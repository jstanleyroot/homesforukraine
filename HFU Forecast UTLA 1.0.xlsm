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2586edbc2ce7bb12/Desktop/"/>
    </mc:Choice>
  </mc:AlternateContent>
  <xr:revisionPtr revIDLastSave="1" documentId="8_{DDAF02AC-F0D0-49F8-9F3B-A489AE08965C}" xr6:coauthVersionLast="47" xr6:coauthVersionMax="47" xr10:uidLastSave="{17328095-3EB0-4EA5-9B30-0C4E92D41744}"/>
  <bookViews>
    <workbookView xWindow="-120" yWindow="-120" windowWidth="38640" windowHeight="21120" tabRatio="800" xr2:uid="{1245888B-B572-429C-9D7F-BAAE48B508A8}"/>
  </bookViews>
  <sheets>
    <sheet name="Reporting" sheetId="22" r:id="rId1"/>
    <sheet name="DropDown Lists" sheetId="23" r:id="rId2"/>
    <sheet name="With Action" sheetId="21" r:id="rId3"/>
    <sheet name="No Action" sheetId="20" r:id="rId4"/>
    <sheet name="Rolling report" sheetId="18" r:id="rId5"/>
    <sheet name="Combined data" sheetId="1" r:id="rId6"/>
    <sheet name="EnglandVisa" sheetId="4" r:id="rId7"/>
    <sheet name="EnglandArrivals" sheetId="5" r:id="rId8"/>
    <sheet name="ScotlandVisa" sheetId="11" r:id="rId9"/>
    <sheet name="ScotlandArrivals" sheetId="10" r:id="rId10"/>
    <sheet name="WalesVisa" sheetId="12" r:id="rId11"/>
    <sheet name="WalesArrivals" sheetId="13" r:id="rId12"/>
    <sheet name="NorthernIrelandVisa" sheetId="14" r:id="rId13"/>
    <sheet name="NorthernIrelandArrivals" sheetId="15" r:id="rId14"/>
  </sheets>
  <definedNames>
    <definedName name="All">'DropDown Lists'!$H$4</definedName>
    <definedName name="England">'DropDown Lists'!$D$4:$D$157</definedName>
    <definedName name="NOGO">'No Action'!$I$8:$AP$279</definedName>
    <definedName name="Northern_Ireland">'DropDown Lists'!$G$4:$G$16</definedName>
    <definedName name="Scotland">'DropDown Lists'!$E$4:$E$41</definedName>
    <definedName name="Wales">'DropDown Lists'!$F$4:$F$31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0" i="22" l="1"/>
  <c r="Y46" i="22"/>
  <c r="X46" i="22"/>
  <c r="Y44" i="22"/>
  <c r="X44" i="22"/>
  <c r="Q276" i="1"/>
  <c r="H276" i="1"/>
  <c r="U44" i="22" a="1"/>
  <c r="U44" i="22" s="1"/>
  <c r="U46" i="22" s="1"/>
  <c r="T44" i="22" a="1"/>
  <c r="T44" i="22" s="1"/>
  <c r="T46" i="22" s="1"/>
  <c r="Q42" i="22" a="1"/>
  <c r="Q42" i="22" s="1"/>
  <c r="P42" i="22" a="1"/>
  <c r="P42" i="22" s="1"/>
  <c r="Q43" i="22" a="1"/>
  <c r="Q43" i="22" s="1"/>
  <c r="P43" i="22" a="1"/>
  <c r="P43" i="22" s="1"/>
  <c r="M43" i="22" a="1"/>
  <c r="M43" i="22" s="1"/>
  <c r="L43" i="22" a="1"/>
  <c r="L43" i="22" s="1"/>
  <c r="M42" i="22" a="1"/>
  <c r="M42" i="22"/>
  <c r="M44" i="22" s="1"/>
  <c r="L42" i="22" a="1"/>
  <c r="L42" i="22"/>
  <c r="L44" i="22" s="1"/>
  <c r="L46" i="22" s="1"/>
  <c r="H44" i="22" a="1"/>
  <c r="H44" i="22" s="1"/>
  <c r="H46" i="22" s="1"/>
  <c r="I44" i="22" a="1"/>
  <c r="I44" i="22" s="1"/>
  <c r="AR277" i="1"/>
  <c r="AS277" i="1"/>
  <c r="AT277" i="1"/>
  <c r="AU277" i="1"/>
  <c r="AV277" i="1"/>
  <c r="AW277" i="1"/>
  <c r="AX277" i="1"/>
  <c r="AY277" i="1"/>
  <c r="AZ277" i="1"/>
  <c r="BA277" i="1"/>
  <c r="BB277" i="1"/>
  <c r="BC277" i="1"/>
  <c r="BD277" i="1"/>
  <c r="BE277" i="1"/>
  <c r="BF277" i="1"/>
  <c r="BG277" i="1"/>
  <c r="BH277" i="1"/>
  <c r="BI277" i="1"/>
  <c r="BJ277" i="1"/>
  <c r="BK277" i="1"/>
  <c r="BL277" i="1"/>
  <c r="BM277" i="1"/>
  <c r="BN277" i="1"/>
  <c r="BO277" i="1"/>
  <c r="BP277" i="1"/>
  <c r="BQ277" i="1"/>
  <c r="BR277" i="1"/>
  <c r="BS277" i="1"/>
  <c r="BT277" i="1"/>
  <c r="BU277" i="1"/>
  <c r="BV277" i="1"/>
  <c r="BW277" i="1"/>
  <c r="BX277" i="1"/>
  <c r="BY277" i="1"/>
  <c r="AR275" i="1"/>
  <c r="AS275" i="1"/>
  <c r="AT275" i="1"/>
  <c r="AU275" i="1"/>
  <c r="AV275" i="1"/>
  <c r="AW275" i="1"/>
  <c r="AX275" i="1"/>
  <c r="AY275" i="1"/>
  <c r="AZ275" i="1"/>
  <c r="BA275" i="1"/>
  <c r="BB275" i="1"/>
  <c r="BC275" i="1"/>
  <c r="BD275" i="1"/>
  <c r="BE275" i="1"/>
  <c r="BF275" i="1"/>
  <c r="BG275" i="1"/>
  <c r="BH275" i="1"/>
  <c r="BI275" i="1"/>
  <c r="BJ275" i="1"/>
  <c r="BK275" i="1"/>
  <c r="BL275" i="1"/>
  <c r="BM275" i="1"/>
  <c r="BN275" i="1"/>
  <c r="BO275" i="1"/>
  <c r="BP275" i="1"/>
  <c r="BQ275" i="1"/>
  <c r="BR275" i="1"/>
  <c r="BS275" i="1"/>
  <c r="BT275" i="1"/>
  <c r="BU275" i="1"/>
  <c r="BV275" i="1"/>
  <c r="BW275" i="1"/>
  <c r="BX275" i="1"/>
  <c r="BY275" i="1"/>
  <c r="AR163" i="1"/>
  <c r="AS163" i="1"/>
  <c r="AT163" i="1"/>
  <c r="AR161" i="1"/>
  <c r="AS161" i="1"/>
  <c r="AD279" i="1"/>
  <c r="BC248" i="1"/>
  <c r="BC254" i="1" s="1"/>
  <c r="BA248" i="1"/>
  <c r="BA254" i="1" s="1"/>
  <c r="AR248" i="1"/>
  <c r="AR254" i="1" s="1"/>
  <c r="AA279" i="1"/>
  <c r="AR276" i="1"/>
  <c r="L163" i="1"/>
  <c r="M163" i="1"/>
  <c r="N163" i="1"/>
  <c r="O163" i="1"/>
  <c r="P163" i="1"/>
  <c r="Q163" i="1"/>
  <c r="R163" i="1"/>
  <c r="S163" i="1"/>
  <c r="T163" i="1"/>
  <c r="U163" i="1"/>
  <c r="Y163" i="1"/>
  <c r="Z163" i="1"/>
  <c r="AW163" i="1"/>
  <c r="AX163" i="1"/>
  <c r="AY163" i="1"/>
  <c r="AZ163" i="1"/>
  <c r="BJ163" i="1"/>
  <c r="BK163" i="1"/>
  <c r="BL163" i="1"/>
  <c r="BM163" i="1"/>
  <c r="I45" i="22" s="1"/>
  <c r="BN163" i="1"/>
  <c r="BO163" i="1"/>
  <c r="BU163" i="1"/>
  <c r="BV163" i="1"/>
  <c r="BW163" i="1"/>
  <c r="BX163" i="1"/>
  <c r="BY163" i="1"/>
  <c r="H163" i="1"/>
  <c r="I161" i="1"/>
  <c r="I163" i="1" s="1"/>
  <c r="J161" i="1"/>
  <c r="J163" i="1" s="1"/>
  <c r="K161" i="1"/>
  <c r="K163" i="1" s="1"/>
  <c r="L161" i="1"/>
  <c r="M161" i="1"/>
  <c r="N161" i="1"/>
  <c r="O161" i="1"/>
  <c r="P161" i="1"/>
  <c r="Q161" i="1"/>
  <c r="R161" i="1"/>
  <c r="S161" i="1"/>
  <c r="T161" i="1"/>
  <c r="U161" i="1"/>
  <c r="V161" i="1"/>
  <c r="V163" i="1" s="1"/>
  <c r="W161" i="1"/>
  <c r="W163" i="1" s="1"/>
  <c r="X161" i="1"/>
  <c r="X163" i="1" s="1"/>
  <c r="Y161" i="1"/>
  <c r="Z161" i="1"/>
  <c r="AA161" i="1"/>
  <c r="AA163" i="1" s="1"/>
  <c r="AB161" i="1"/>
  <c r="AB163" i="1" s="1"/>
  <c r="AC161" i="1"/>
  <c r="AC163" i="1" s="1"/>
  <c r="AD161" i="1"/>
  <c r="AD163" i="1" s="1"/>
  <c r="AT161" i="1"/>
  <c r="AU161" i="1"/>
  <c r="AU163" i="1" s="1"/>
  <c r="AV161" i="1"/>
  <c r="AV163" i="1" s="1"/>
  <c r="AW161" i="1"/>
  <c r="AX161" i="1"/>
  <c r="AY161" i="1"/>
  <c r="AZ161" i="1"/>
  <c r="BA161" i="1"/>
  <c r="BA163" i="1" s="1"/>
  <c r="BB161" i="1"/>
  <c r="BB163" i="1" s="1"/>
  <c r="BC161" i="1"/>
  <c r="BC163" i="1" s="1"/>
  <c r="BD161" i="1"/>
  <c r="BD163" i="1" s="1"/>
  <c r="BE161" i="1"/>
  <c r="BE163" i="1" s="1"/>
  <c r="BF161" i="1"/>
  <c r="BF163" i="1" s="1"/>
  <c r="BG161" i="1"/>
  <c r="BG163" i="1" s="1"/>
  <c r="BH161" i="1"/>
  <c r="BH163" i="1" s="1"/>
  <c r="BI161" i="1"/>
  <c r="BI163" i="1" s="1"/>
  <c r="BJ161" i="1"/>
  <c r="BK161" i="1"/>
  <c r="BL161" i="1"/>
  <c r="BM161" i="1"/>
  <c r="BN161" i="1"/>
  <c r="BO161" i="1"/>
  <c r="BP161" i="1"/>
  <c r="BP163" i="1" s="1"/>
  <c r="BQ161" i="1"/>
  <c r="BQ163" i="1" s="1"/>
  <c r="BR161" i="1"/>
  <c r="BR163" i="1" s="1"/>
  <c r="BS161" i="1"/>
  <c r="BS163" i="1" s="1"/>
  <c r="BT161" i="1"/>
  <c r="BT163" i="1" s="1"/>
  <c r="BU161" i="1"/>
  <c r="BV161" i="1"/>
  <c r="BW161" i="1"/>
  <c r="BX161" i="1"/>
  <c r="BY161" i="1"/>
  <c r="H161" i="1"/>
  <c r="AD247" i="1"/>
  <c r="AD249" i="1" s="1"/>
  <c r="AS208" i="1"/>
  <c r="AT208" i="1"/>
  <c r="AD206" i="1"/>
  <c r="AD208" i="1" s="1"/>
  <c r="AR206" i="1"/>
  <c r="AR208" i="1" s="1"/>
  <c r="BN279" i="1"/>
  <c r="BO279" i="1"/>
  <c r="BP279" i="1"/>
  <c r="BQ279" i="1"/>
  <c r="BR279" i="1"/>
  <c r="BS279" i="1"/>
  <c r="BT279" i="1"/>
  <c r="BU279" i="1"/>
  <c r="BV279" i="1"/>
  <c r="BW279" i="1"/>
  <c r="BX279" i="1"/>
  <c r="BY279" i="1"/>
  <c r="BQ249" i="1"/>
  <c r="BR249" i="1"/>
  <c r="BS249" i="1"/>
  <c r="BT249" i="1"/>
  <c r="BO247" i="1"/>
  <c r="BO249" i="1" s="1"/>
  <c r="BP247" i="1"/>
  <c r="BP249" i="1" s="1"/>
  <c r="BQ247" i="1"/>
  <c r="BR247" i="1"/>
  <c r="BS247" i="1"/>
  <c r="BT247" i="1"/>
  <c r="BU247" i="1"/>
  <c r="BU249" i="1" s="1"/>
  <c r="BV247" i="1"/>
  <c r="BV249" i="1" s="1"/>
  <c r="BW247" i="1"/>
  <c r="BW249" i="1" s="1"/>
  <c r="BX247" i="1"/>
  <c r="BX249" i="1" s="1"/>
  <c r="BY247" i="1"/>
  <c r="BY249" i="1" s="1"/>
  <c r="BN208" i="1"/>
  <c r="BO208" i="1"/>
  <c r="BP208" i="1"/>
  <c r="BT208" i="1"/>
  <c r="BU208" i="1"/>
  <c r="BN206" i="1"/>
  <c r="BO206" i="1"/>
  <c r="BP206" i="1"/>
  <c r="BQ206" i="1"/>
  <c r="BQ208" i="1" s="1"/>
  <c r="BR206" i="1"/>
  <c r="BR208" i="1" s="1"/>
  <c r="BS206" i="1"/>
  <c r="BS208" i="1" s="1"/>
  <c r="BT206" i="1"/>
  <c r="BU206" i="1"/>
  <c r="BV206" i="1"/>
  <c r="BV208" i="1" s="1"/>
  <c r="BW206" i="1"/>
  <c r="BW208" i="1" s="1"/>
  <c r="BX206" i="1"/>
  <c r="BX208" i="1" s="1"/>
  <c r="BY206" i="1"/>
  <c r="BY208" i="1" s="1"/>
  <c r="DE23" i="18"/>
  <c r="DF23" i="18"/>
  <c r="DD24" i="18"/>
  <c r="DG25" i="18"/>
  <c r="DF53" i="18"/>
  <c r="DG53" i="18"/>
  <c r="DE109" i="18"/>
  <c r="DD116" i="18"/>
  <c r="DE123" i="18"/>
  <c r="DF174" i="18"/>
  <c r="DG174" i="18"/>
  <c r="DG178" i="18"/>
  <c r="DD179" i="18"/>
  <c r="CY192" i="18"/>
  <c r="CX206" i="18"/>
  <c r="CY206" i="18"/>
  <c r="CZ206" i="18"/>
  <c r="DA206" i="18"/>
  <c r="DB206" i="18"/>
  <c r="DC206" i="18"/>
  <c r="DD206" i="18"/>
  <c r="DE206" i="18"/>
  <c r="DF206" i="18"/>
  <c r="DG206" i="18"/>
  <c r="DH206" i="18"/>
  <c r="DI206" i="18"/>
  <c r="CX263" i="18"/>
  <c r="CY263" i="18"/>
  <c r="CZ263" i="18"/>
  <c r="DA263" i="18"/>
  <c r="DB263" i="18"/>
  <c r="DC263" i="18"/>
  <c r="DD263" i="18"/>
  <c r="DE263" i="18"/>
  <c r="DF263" i="18"/>
  <c r="DG263" i="18"/>
  <c r="DH263" i="18"/>
  <c r="DI263" i="18"/>
  <c r="CZ264" i="18"/>
  <c r="DE264" i="18"/>
  <c r="DH270" i="18"/>
  <c r="BN9" i="18"/>
  <c r="CX9" i="18" s="1"/>
  <c r="BO9" i="18"/>
  <c r="CY9" i="18" s="1"/>
  <c r="BP9" i="18"/>
  <c r="CZ9" i="18" s="1"/>
  <c r="BQ9" i="18"/>
  <c r="DA9" i="18" s="1"/>
  <c r="BR9" i="18"/>
  <c r="DB9" i="18" s="1"/>
  <c r="BS9" i="18"/>
  <c r="DC9" i="18" s="1"/>
  <c r="BT9" i="18"/>
  <c r="DD9" i="18" s="1"/>
  <c r="BU9" i="18"/>
  <c r="DE9" i="18" s="1"/>
  <c r="BV9" i="18"/>
  <c r="DF9" i="18" s="1"/>
  <c r="BW9" i="18"/>
  <c r="DG9" i="18" s="1"/>
  <c r="BX9" i="18"/>
  <c r="DH9" i="18" s="1"/>
  <c r="BY9" i="18"/>
  <c r="DI9" i="18" s="1"/>
  <c r="BN10" i="18"/>
  <c r="BO10" i="18"/>
  <c r="BP10" i="18"/>
  <c r="BQ10" i="18"/>
  <c r="BR10" i="18"/>
  <c r="BS10" i="18"/>
  <c r="BT10" i="18"/>
  <c r="DD10" i="18" s="1"/>
  <c r="BU10" i="18"/>
  <c r="BV10" i="18"/>
  <c r="BW10" i="18"/>
  <c r="BX10" i="18"/>
  <c r="BY10" i="18"/>
  <c r="BN11" i="18"/>
  <c r="CX11" i="18" s="1"/>
  <c r="BO11" i="18"/>
  <c r="CY11" i="18" s="1"/>
  <c r="BP11" i="18"/>
  <c r="CZ11" i="18" s="1"/>
  <c r="BQ11" i="18"/>
  <c r="DA11" i="18" s="1"/>
  <c r="BR11" i="18"/>
  <c r="DB11" i="18" s="1"/>
  <c r="BS11" i="18"/>
  <c r="DC11" i="18" s="1"/>
  <c r="BT11" i="18"/>
  <c r="DD11" i="18" s="1"/>
  <c r="BU11" i="18"/>
  <c r="DE11" i="18" s="1"/>
  <c r="BV11" i="18"/>
  <c r="DF11" i="18" s="1"/>
  <c r="BW11" i="18"/>
  <c r="DG11" i="18" s="1"/>
  <c r="BX11" i="18"/>
  <c r="DH11" i="18" s="1"/>
  <c r="BY11" i="18"/>
  <c r="DI11" i="18" s="1"/>
  <c r="BN12" i="18"/>
  <c r="CX12" i="18" s="1"/>
  <c r="BO12" i="18"/>
  <c r="CY12" i="18" s="1"/>
  <c r="BP12" i="18"/>
  <c r="CZ12" i="18" s="1"/>
  <c r="BQ12" i="18"/>
  <c r="DA12" i="18" s="1"/>
  <c r="BR12" i="18"/>
  <c r="DB12" i="18" s="1"/>
  <c r="BS12" i="18"/>
  <c r="DC12" i="18" s="1"/>
  <c r="BT12" i="18"/>
  <c r="DD12" i="18" s="1"/>
  <c r="BU12" i="18"/>
  <c r="DE12" i="18" s="1"/>
  <c r="BV12" i="18"/>
  <c r="DF12" i="18" s="1"/>
  <c r="BW12" i="18"/>
  <c r="DG12" i="18" s="1"/>
  <c r="BX12" i="18"/>
  <c r="DH12" i="18" s="1"/>
  <c r="BY12" i="18"/>
  <c r="DI12" i="18" s="1"/>
  <c r="BN13" i="18"/>
  <c r="CX13" i="18" s="1"/>
  <c r="BO13" i="18"/>
  <c r="CY13" i="18" s="1"/>
  <c r="BP13" i="18"/>
  <c r="CZ13" i="18" s="1"/>
  <c r="BQ13" i="18"/>
  <c r="DA13" i="18" s="1"/>
  <c r="BR13" i="18"/>
  <c r="DB13" i="18" s="1"/>
  <c r="BS13" i="18"/>
  <c r="DC13" i="18" s="1"/>
  <c r="BT13" i="18"/>
  <c r="DD13" i="18" s="1"/>
  <c r="BU13" i="18"/>
  <c r="DE13" i="18" s="1"/>
  <c r="BV13" i="18"/>
  <c r="DF13" i="18" s="1"/>
  <c r="BW13" i="18"/>
  <c r="DG13" i="18" s="1"/>
  <c r="BX13" i="18"/>
  <c r="DH13" i="18" s="1"/>
  <c r="BY13" i="18"/>
  <c r="DI13" i="18" s="1"/>
  <c r="BN14" i="18"/>
  <c r="CX14" i="18" s="1"/>
  <c r="BO14" i="18"/>
  <c r="CY14" i="18" s="1"/>
  <c r="BP14" i="18"/>
  <c r="CZ14" i="18" s="1"/>
  <c r="BQ14" i="18"/>
  <c r="DA14" i="18" s="1"/>
  <c r="BR14" i="18"/>
  <c r="DB14" i="18" s="1"/>
  <c r="BS14" i="18"/>
  <c r="DC14" i="18" s="1"/>
  <c r="BT14" i="18"/>
  <c r="DD14" i="18" s="1"/>
  <c r="BU14" i="18"/>
  <c r="DE14" i="18" s="1"/>
  <c r="BV14" i="18"/>
  <c r="DF14" i="18" s="1"/>
  <c r="BW14" i="18"/>
  <c r="DG14" i="18" s="1"/>
  <c r="BX14" i="18"/>
  <c r="DH14" i="18" s="1"/>
  <c r="BY14" i="18"/>
  <c r="DI14" i="18" s="1"/>
  <c r="BN15" i="18"/>
  <c r="CX15" i="18" s="1"/>
  <c r="BO15" i="18"/>
  <c r="CY15" i="18" s="1"/>
  <c r="BP15" i="18"/>
  <c r="CZ15" i="18" s="1"/>
  <c r="BQ15" i="18"/>
  <c r="DA15" i="18" s="1"/>
  <c r="BR15" i="18"/>
  <c r="DB15" i="18" s="1"/>
  <c r="BS15" i="18"/>
  <c r="DC15" i="18" s="1"/>
  <c r="BT15" i="18"/>
  <c r="DD15" i="18" s="1"/>
  <c r="BU15" i="18"/>
  <c r="DE15" i="18" s="1"/>
  <c r="BV15" i="18"/>
  <c r="DF15" i="18" s="1"/>
  <c r="BW15" i="18"/>
  <c r="DG15" i="18" s="1"/>
  <c r="BX15" i="18"/>
  <c r="DH15" i="18" s="1"/>
  <c r="BY15" i="18"/>
  <c r="DI15" i="18" s="1"/>
  <c r="BN16" i="18"/>
  <c r="CX16" i="18" s="1"/>
  <c r="BO16" i="18"/>
  <c r="CY16" i="18" s="1"/>
  <c r="BP16" i="18"/>
  <c r="CZ16" i="18" s="1"/>
  <c r="BQ16" i="18"/>
  <c r="DA16" i="18" s="1"/>
  <c r="BR16" i="18"/>
  <c r="DB16" i="18" s="1"/>
  <c r="BS16" i="18"/>
  <c r="DC16" i="18" s="1"/>
  <c r="BT16" i="18"/>
  <c r="DD16" i="18" s="1"/>
  <c r="BU16" i="18"/>
  <c r="DE16" i="18" s="1"/>
  <c r="BV16" i="18"/>
  <c r="DF16" i="18" s="1"/>
  <c r="BW16" i="18"/>
  <c r="DG16" i="18" s="1"/>
  <c r="BX16" i="18"/>
  <c r="DH16" i="18" s="1"/>
  <c r="BY16" i="18"/>
  <c r="DI16" i="18" s="1"/>
  <c r="BN17" i="18"/>
  <c r="CX17" i="18" s="1"/>
  <c r="BO17" i="18"/>
  <c r="CY17" i="18" s="1"/>
  <c r="BP17" i="18"/>
  <c r="CZ17" i="18" s="1"/>
  <c r="BQ17" i="18"/>
  <c r="DA17" i="18" s="1"/>
  <c r="BR17" i="18"/>
  <c r="DB17" i="18" s="1"/>
  <c r="BS17" i="18"/>
  <c r="DC17" i="18" s="1"/>
  <c r="BT17" i="18"/>
  <c r="DD17" i="18" s="1"/>
  <c r="BU17" i="18"/>
  <c r="DE17" i="18" s="1"/>
  <c r="BV17" i="18"/>
  <c r="DF17" i="18" s="1"/>
  <c r="BW17" i="18"/>
  <c r="DG17" i="18" s="1"/>
  <c r="BX17" i="18"/>
  <c r="DH17" i="18" s="1"/>
  <c r="BY17" i="18"/>
  <c r="DI17" i="18" s="1"/>
  <c r="BN18" i="18"/>
  <c r="CX18" i="18" s="1"/>
  <c r="BO18" i="18"/>
  <c r="CY18" i="18" s="1"/>
  <c r="BP18" i="18"/>
  <c r="CZ18" i="18" s="1"/>
  <c r="BQ18" i="18"/>
  <c r="DA18" i="18" s="1"/>
  <c r="BR18" i="18"/>
  <c r="DB18" i="18" s="1"/>
  <c r="BS18" i="18"/>
  <c r="DC18" i="18" s="1"/>
  <c r="BT18" i="18"/>
  <c r="DD18" i="18" s="1"/>
  <c r="BU18" i="18"/>
  <c r="DE18" i="18" s="1"/>
  <c r="BV18" i="18"/>
  <c r="DF18" i="18" s="1"/>
  <c r="BW18" i="18"/>
  <c r="DG18" i="18" s="1"/>
  <c r="BX18" i="18"/>
  <c r="DH18" i="18" s="1"/>
  <c r="BY18" i="18"/>
  <c r="DI18" i="18" s="1"/>
  <c r="BN19" i="18"/>
  <c r="CX19" i="18" s="1"/>
  <c r="BO19" i="18"/>
  <c r="CY19" i="18" s="1"/>
  <c r="BP19" i="18"/>
  <c r="CZ19" i="18" s="1"/>
  <c r="BQ19" i="18"/>
  <c r="DA19" i="18" s="1"/>
  <c r="BR19" i="18"/>
  <c r="DB19" i="18" s="1"/>
  <c r="BS19" i="18"/>
  <c r="DC19" i="18" s="1"/>
  <c r="BT19" i="18"/>
  <c r="DD19" i="18" s="1"/>
  <c r="BU19" i="18"/>
  <c r="DE19" i="18" s="1"/>
  <c r="BV19" i="18"/>
  <c r="DF19" i="18" s="1"/>
  <c r="BW19" i="18"/>
  <c r="DG19" i="18" s="1"/>
  <c r="BX19" i="18"/>
  <c r="DH19" i="18" s="1"/>
  <c r="BY19" i="18"/>
  <c r="DI19" i="18" s="1"/>
  <c r="BN20" i="18"/>
  <c r="CX20" i="18" s="1"/>
  <c r="BO20" i="18"/>
  <c r="CY20" i="18" s="1"/>
  <c r="BP20" i="18"/>
  <c r="CZ20" i="18" s="1"/>
  <c r="BQ20" i="18"/>
  <c r="DA20" i="18" s="1"/>
  <c r="BR20" i="18"/>
  <c r="DB20" i="18" s="1"/>
  <c r="BS20" i="18"/>
  <c r="DC20" i="18" s="1"/>
  <c r="BT20" i="18"/>
  <c r="DD20" i="18" s="1"/>
  <c r="BU20" i="18"/>
  <c r="DE20" i="18" s="1"/>
  <c r="BV20" i="18"/>
  <c r="DF20" i="18" s="1"/>
  <c r="BW20" i="18"/>
  <c r="DG20" i="18" s="1"/>
  <c r="BX20" i="18"/>
  <c r="DH20" i="18" s="1"/>
  <c r="BY20" i="18"/>
  <c r="DI20" i="18" s="1"/>
  <c r="BN21" i="18"/>
  <c r="CX21" i="18" s="1"/>
  <c r="BO21" i="18"/>
  <c r="CY21" i="18" s="1"/>
  <c r="BP21" i="18"/>
  <c r="CZ21" i="18" s="1"/>
  <c r="BQ21" i="18"/>
  <c r="DA21" i="18" s="1"/>
  <c r="BR21" i="18"/>
  <c r="DB21" i="18" s="1"/>
  <c r="BS21" i="18"/>
  <c r="DC21" i="18" s="1"/>
  <c r="BT21" i="18"/>
  <c r="DD21" i="18" s="1"/>
  <c r="BU21" i="18"/>
  <c r="DE21" i="18" s="1"/>
  <c r="BV21" i="18"/>
  <c r="DF21" i="18" s="1"/>
  <c r="BW21" i="18"/>
  <c r="DG21" i="18" s="1"/>
  <c r="BX21" i="18"/>
  <c r="DH21" i="18" s="1"/>
  <c r="BY21" i="18"/>
  <c r="DI21" i="18" s="1"/>
  <c r="BN22" i="18"/>
  <c r="CX22" i="18" s="1"/>
  <c r="BO22" i="18"/>
  <c r="CY22" i="18" s="1"/>
  <c r="BP22" i="18"/>
  <c r="CZ22" i="18" s="1"/>
  <c r="BQ22" i="18"/>
  <c r="DA22" i="18" s="1"/>
  <c r="BR22" i="18"/>
  <c r="DB22" i="18" s="1"/>
  <c r="BS22" i="18"/>
  <c r="DC22" i="18" s="1"/>
  <c r="BT22" i="18"/>
  <c r="DD22" i="18" s="1"/>
  <c r="BU22" i="18"/>
  <c r="DE22" i="18" s="1"/>
  <c r="BV22" i="18"/>
  <c r="DF22" i="18" s="1"/>
  <c r="BW22" i="18"/>
  <c r="DG22" i="18" s="1"/>
  <c r="BX22" i="18"/>
  <c r="DH22" i="18" s="1"/>
  <c r="BY22" i="18"/>
  <c r="DI22" i="18" s="1"/>
  <c r="BN23" i="18"/>
  <c r="CX23" i="18" s="1"/>
  <c r="BO23" i="18"/>
  <c r="CY23" i="18" s="1"/>
  <c r="BP23" i="18"/>
  <c r="CZ23" i="18" s="1"/>
  <c r="BQ23" i="18"/>
  <c r="DA23" i="18" s="1"/>
  <c r="BR23" i="18"/>
  <c r="DB23" i="18" s="1"/>
  <c r="BS23" i="18"/>
  <c r="DC23" i="18" s="1"/>
  <c r="BT23" i="18"/>
  <c r="DD23" i="18" s="1"/>
  <c r="BU23" i="18"/>
  <c r="BV23" i="18"/>
  <c r="BW23" i="18"/>
  <c r="DG23" i="18" s="1"/>
  <c r="BX23" i="18"/>
  <c r="DH23" i="18" s="1"/>
  <c r="BY23" i="18"/>
  <c r="DI23" i="18" s="1"/>
  <c r="BN24" i="18"/>
  <c r="CX24" i="18" s="1"/>
  <c r="BO24" i="18"/>
  <c r="CY24" i="18" s="1"/>
  <c r="BP24" i="18"/>
  <c r="CZ24" i="18" s="1"/>
  <c r="BQ24" i="18"/>
  <c r="DA24" i="18" s="1"/>
  <c r="BR24" i="18"/>
  <c r="DB24" i="18" s="1"/>
  <c r="BS24" i="18"/>
  <c r="DC24" i="18" s="1"/>
  <c r="BT24" i="18"/>
  <c r="BU24" i="18"/>
  <c r="DE24" i="18" s="1"/>
  <c r="BV24" i="18"/>
  <c r="DF24" i="18" s="1"/>
  <c r="BW24" i="18"/>
  <c r="DG24" i="18" s="1"/>
  <c r="BX24" i="18"/>
  <c r="DH24" i="18" s="1"/>
  <c r="BY24" i="18"/>
  <c r="DI24" i="18" s="1"/>
  <c r="BN25" i="18"/>
  <c r="CX25" i="18" s="1"/>
  <c r="BO25" i="18"/>
  <c r="CY25" i="18" s="1"/>
  <c r="BP25" i="18"/>
  <c r="CZ25" i="18" s="1"/>
  <c r="BQ25" i="18"/>
  <c r="DA25" i="18" s="1"/>
  <c r="BR25" i="18"/>
  <c r="DB25" i="18" s="1"/>
  <c r="BS25" i="18"/>
  <c r="DC25" i="18" s="1"/>
  <c r="BT25" i="18"/>
  <c r="DD25" i="18" s="1"/>
  <c r="BU25" i="18"/>
  <c r="DE25" i="18" s="1"/>
  <c r="BV25" i="18"/>
  <c r="DF25" i="18" s="1"/>
  <c r="BW25" i="18"/>
  <c r="BX25" i="18"/>
  <c r="DH25" i="18" s="1"/>
  <c r="BY25" i="18"/>
  <c r="DI25" i="18" s="1"/>
  <c r="BN26" i="18"/>
  <c r="CX26" i="18" s="1"/>
  <c r="BO26" i="18"/>
  <c r="CY26" i="18" s="1"/>
  <c r="BP26" i="18"/>
  <c r="CZ26" i="18" s="1"/>
  <c r="BQ26" i="18"/>
  <c r="DA26" i="18" s="1"/>
  <c r="BR26" i="18"/>
  <c r="DB26" i="18" s="1"/>
  <c r="BS26" i="18"/>
  <c r="DC26" i="18" s="1"/>
  <c r="BT26" i="18"/>
  <c r="DD26" i="18" s="1"/>
  <c r="BU26" i="18"/>
  <c r="DE26" i="18" s="1"/>
  <c r="BV26" i="18"/>
  <c r="DF26" i="18" s="1"/>
  <c r="BW26" i="18"/>
  <c r="DG26" i="18" s="1"/>
  <c r="BX26" i="18"/>
  <c r="DH26" i="18" s="1"/>
  <c r="BY26" i="18"/>
  <c r="DI26" i="18" s="1"/>
  <c r="BN27" i="18"/>
  <c r="CX27" i="18" s="1"/>
  <c r="BO27" i="18"/>
  <c r="CY27" i="18" s="1"/>
  <c r="BP27" i="18"/>
  <c r="CZ27" i="18" s="1"/>
  <c r="BQ27" i="18"/>
  <c r="DA27" i="18" s="1"/>
  <c r="BR27" i="18"/>
  <c r="DB27" i="18" s="1"/>
  <c r="BS27" i="18"/>
  <c r="DC27" i="18" s="1"/>
  <c r="BT27" i="18"/>
  <c r="DD27" i="18" s="1"/>
  <c r="BU27" i="18"/>
  <c r="DE27" i="18" s="1"/>
  <c r="BV27" i="18"/>
  <c r="DF27" i="18" s="1"/>
  <c r="BW27" i="18"/>
  <c r="DG27" i="18" s="1"/>
  <c r="BX27" i="18"/>
  <c r="DH27" i="18" s="1"/>
  <c r="BY27" i="18"/>
  <c r="DI27" i="18" s="1"/>
  <c r="BN28" i="18"/>
  <c r="CX28" i="18" s="1"/>
  <c r="BO28" i="18"/>
  <c r="CY28" i="18" s="1"/>
  <c r="BP28" i="18"/>
  <c r="CZ28" i="18" s="1"/>
  <c r="BQ28" i="18"/>
  <c r="DA28" i="18" s="1"/>
  <c r="BR28" i="18"/>
  <c r="DB28" i="18" s="1"/>
  <c r="BS28" i="18"/>
  <c r="DC28" i="18" s="1"/>
  <c r="BT28" i="18"/>
  <c r="DD28" i="18" s="1"/>
  <c r="BU28" i="18"/>
  <c r="DE28" i="18" s="1"/>
  <c r="BV28" i="18"/>
  <c r="DF28" i="18" s="1"/>
  <c r="BW28" i="18"/>
  <c r="DG28" i="18" s="1"/>
  <c r="BX28" i="18"/>
  <c r="DH28" i="18" s="1"/>
  <c r="BY28" i="18"/>
  <c r="DI28" i="18" s="1"/>
  <c r="BN29" i="18"/>
  <c r="CX29" i="18" s="1"/>
  <c r="BO29" i="18"/>
  <c r="CY29" i="18" s="1"/>
  <c r="BP29" i="18"/>
  <c r="CZ29" i="18" s="1"/>
  <c r="BQ29" i="18"/>
  <c r="DA29" i="18" s="1"/>
  <c r="BR29" i="18"/>
  <c r="DB29" i="18" s="1"/>
  <c r="BS29" i="18"/>
  <c r="DC29" i="18" s="1"/>
  <c r="BT29" i="18"/>
  <c r="DD29" i="18" s="1"/>
  <c r="BU29" i="18"/>
  <c r="DE29" i="18" s="1"/>
  <c r="BV29" i="18"/>
  <c r="DF29" i="18" s="1"/>
  <c r="BW29" i="18"/>
  <c r="DG29" i="18" s="1"/>
  <c r="BX29" i="18"/>
  <c r="DH29" i="18" s="1"/>
  <c r="BY29" i="18"/>
  <c r="DI29" i="18" s="1"/>
  <c r="BN30" i="18"/>
  <c r="CX30" i="18" s="1"/>
  <c r="BO30" i="18"/>
  <c r="CY30" i="18" s="1"/>
  <c r="BP30" i="18"/>
  <c r="CZ30" i="18" s="1"/>
  <c r="BQ30" i="18"/>
  <c r="DA30" i="18" s="1"/>
  <c r="BR30" i="18"/>
  <c r="DB30" i="18" s="1"/>
  <c r="BS30" i="18"/>
  <c r="DC30" i="18" s="1"/>
  <c r="BT30" i="18"/>
  <c r="DD30" i="18" s="1"/>
  <c r="BU30" i="18"/>
  <c r="DE30" i="18" s="1"/>
  <c r="BV30" i="18"/>
  <c r="DF30" i="18" s="1"/>
  <c r="BW30" i="18"/>
  <c r="DG30" i="18" s="1"/>
  <c r="BX30" i="18"/>
  <c r="DH30" i="18" s="1"/>
  <c r="BY30" i="18"/>
  <c r="DI30" i="18" s="1"/>
  <c r="BN31" i="18"/>
  <c r="CX31" i="18" s="1"/>
  <c r="BO31" i="18"/>
  <c r="CY31" i="18" s="1"/>
  <c r="BP31" i="18"/>
  <c r="CZ31" i="18" s="1"/>
  <c r="BQ31" i="18"/>
  <c r="DA31" i="18" s="1"/>
  <c r="BR31" i="18"/>
  <c r="DB31" i="18" s="1"/>
  <c r="BS31" i="18"/>
  <c r="DC31" i="18" s="1"/>
  <c r="BT31" i="18"/>
  <c r="DD31" i="18" s="1"/>
  <c r="BU31" i="18"/>
  <c r="DE31" i="18" s="1"/>
  <c r="BV31" i="18"/>
  <c r="DF31" i="18" s="1"/>
  <c r="BW31" i="18"/>
  <c r="DG31" i="18" s="1"/>
  <c r="BX31" i="18"/>
  <c r="DH31" i="18" s="1"/>
  <c r="BY31" i="18"/>
  <c r="DI31" i="18" s="1"/>
  <c r="BN32" i="18"/>
  <c r="CX32" i="18" s="1"/>
  <c r="BO32" i="18"/>
  <c r="CY32" i="18" s="1"/>
  <c r="BP32" i="18"/>
  <c r="CZ32" i="18" s="1"/>
  <c r="BQ32" i="18"/>
  <c r="DA32" i="18" s="1"/>
  <c r="BR32" i="18"/>
  <c r="DB32" i="18" s="1"/>
  <c r="BS32" i="18"/>
  <c r="DC32" i="18" s="1"/>
  <c r="BT32" i="18"/>
  <c r="DD32" i="18" s="1"/>
  <c r="BU32" i="18"/>
  <c r="DE32" i="18" s="1"/>
  <c r="BV32" i="18"/>
  <c r="DF32" i="18" s="1"/>
  <c r="BW32" i="18"/>
  <c r="DG32" i="18" s="1"/>
  <c r="BX32" i="18"/>
  <c r="DH32" i="18" s="1"/>
  <c r="BY32" i="18"/>
  <c r="DI32" i="18" s="1"/>
  <c r="BN33" i="18"/>
  <c r="CX33" i="18" s="1"/>
  <c r="BO33" i="18"/>
  <c r="CY33" i="18" s="1"/>
  <c r="BP33" i="18"/>
  <c r="CZ33" i="18" s="1"/>
  <c r="BQ33" i="18"/>
  <c r="DA33" i="18" s="1"/>
  <c r="BR33" i="18"/>
  <c r="DB33" i="18" s="1"/>
  <c r="BS33" i="18"/>
  <c r="DC33" i="18" s="1"/>
  <c r="BT33" i="18"/>
  <c r="DD33" i="18" s="1"/>
  <c r="BU33" i="18"/>
  <c r="DE33" i="18" s="1"/>
  <c r="BV33" i="18"/>
  <c r="DF33" i="18" s="1"/>
  <c r="BW33" i="18"/>
  <c r="DG33" i="18" s="1"/>
  <c r="BX33" i="18"/>
  <c r="DH33" i="18" s="1"/>
  <c r="BY33" i="18"/>
  <c r="DI33" i="18" s="1"/>
  <c r="BN34" i="18"/>
  <c r="CX34" i="18" s="1"/>
  <c r="BO34" i="18"/>
  <c r="CY34" i="18" s="1"/>
  <c r="BP34" i="18"/>
  <c r="CZ34" i="18" s="1"/>
  <c r="BQ34" i="18"/>
  <c r="DA34" i="18" s="1"/>
  <c r="BR34" i="18"/>
  <c r="DB34" i="18" s="1"/>
  <c r="BS34" i="18"/>
  <c r="DC34" i="18" s="1"/>
  <c r="BT34" i="18"/>
  <c r="DD34" i="18" s="1"/>
  <c r="BU34" i="18"/>
  <c r="DE34" i="18" s="1"/>
  <c r="BV34" i="18"/>
  <c r="DF34" i="18" s="1"/>
  <c r="BW34" i="18"/>
  <c r="DG34" i="18" s="1"/>
  <c r="BX34" i="18"/>
  <c r="DH34" i="18" s="1"/>
  <c r="BY34" i="18"/>
  <c r="DI34" i="18" s="1"/>
  <c r="BN35" i="18"/>
  <c r="CX35" i="18" s="1"/>
  <c r="BO35" i="18"/>
  <c r="CY35" i="18" s="1"/>
  <c r="BP35" i="18"/>
  <c r="CZ35" i="18" s="1"/>
  <c r="BQ35" i="18"/>
  <c r="DA35" i="18" s="1"/>
  <c r="BR35" i="18"/>
  <c r="DB35" i="18" s="1"/>
  <c r="BS35" i="18"/>
  <c r="DC35" i="18" s="1"/>
  <c r="BT35" i="18"/>
  <c r="DD35" i="18" s="1"/>
  <c r="BU35" i="18"/>
  <c r="DE35" i="18" s="1"/>
  <c r="BV35" i="18"/>
  <c r="DF35" i="18" s="1"/>
  <c r="BW35" i="18"/>
  <c r="DG35" i="18" s="1"/>
  <c r="BX35" i="18"/>
  <c r="DH35" i="18" s="1"/>
  <c r="BY35" i="18"/>
  <c r="DI35" i="18" s="1"/>
  <c r="BN36" i="18"/>
  <c r="CX36" i="18" s="1"/>
  <c r="BO36" i="18"/>
  <c r="CY36" i="18" s="1"/>
  <c r="BP36" i="18"/>
  <c r="CZ36" i="18" s="1"/>
  <c r="BQ36" i="18"/>
  <c r="DA36" i="18" s="1"/>
  <c r="BR36" i="18"/>
  <c r="DB36" i="18" s="1"/>
  <c r="BS36" i="18"/>
  <c r="DC36" i="18" s="1"/>
  <c r="BT36" i="18"/>
  <c r="DD36" i="18" s="1"/>
  <c r="BU36" i="18"/>
  <c r="DE36" i="18" s="1"/>
  <c r="BV36" i="18"/>
  <c r="DF36" i="18" s="1"/>
  <c r="BW36" i="18"/>
  <c r="DG36" i="18" s="1"/>
  <c r="BX36" i="18"/>
  <c r="DH36" i="18" s="1"/>
  <c r="BY36" i="18"/>
  <c r="DI36" i="18" s="1"/>
  <c r="BN37" i="18"/>
  <c r="CX37" i="18" s="1"/>
  <c r="BO37" i="18"/>
  <c r="CY37" i="18" s="1"/>
  <c r="BP37" i="18"/>
  <c r="CZ37" i="18" s="1"/>
  <c r="BQ37" i="18"/>
  <c r="DA37" i="18" s="1"/>
  <c r="BR37" i="18"/>
  <c r="DB37" i="18" s="1"/>
  <c r="BS37" i="18"/>
  <c r="DC37" i="18" s="1"/>
  <c r="BT37" i="18"/>
  <c r="DD37" i="18" s="1"/>
  <c r="BU37" i="18"/>
  <c r="DE37" i="18" s="1"/>
  <c r="BV37" i="18"/>
  <c r="DF37" i="18" s="1"/>
  <c r="BW37" i="18"/>
  <c r="DG37" i="18" s="1"/>
  <c r="BX37" i="18"/>
  <c r="DH37" i="18" s="1"/>
  <c r="BY37" i="18"/>
  <c r="DI37" i="18" s="1"/>
  <c r="BN38" i="18"/>
  <c r="CX38" i="18" s="1"/>
  <c r="BO38" i="18"/>
  <c r="CY38" i="18" s="1"/>
  <c r="BP38" i="18"/>
  <c r="CZ38" i="18" s="1"/>
  <c r="BQ38" i="18"/>
  <c r="DA38" i="18" s="1"/>
  <c r="BR38" i="18"/>
  <c r="DB38" i="18" s="1"/>
  <c r="BS38" i="18"/>
  <c r="DC38" i="18" s="1"/>
  <c r="BT38" i="18"/>
  <c r="DD38" i="18" s="1"/>
  <c r="BU38" i="18"/>
  <c r="DE38" i="18" s="1"/>
  <c r="BV38" i="18"/>
  <c r="DF38" i="18" s="1"/>
  <c r="BW38" i="18"/>
  <c r="DG38" i="18" s="1"/>
  <c r="BX38" i="18"/>
  <c r="DH38" i="18" s="1"/>
  <c r="BY38" i="18"/>
  <c r="DI38" i="18" s="1"/>
  <c r="BN39" i="18"/>
  <c r="CX39" i="18" s="1"/>
  <c r="BO39" i="18"/>
  <c r="CY39" i="18" s="1"/>
  <c r="BP39" i="18"/>
  <c r="CZ39" i="18" s="1"/>
  <c r="BQ39" i="18"/>
  <c r="DA39" i="18" s="1"/>
  <c r="BR39" i="18"/>
  <c r="DB39" i="18" s="1"/>
  <c r="BS39" i="18"/>
  <c r="DC39" i="18" s="1"/>
  <c r="BT39" i="18"/>
  <c r="DD39" i="18" s="1"/>
  <c r="BU39" i="18"/>
  <c r="DE39" i="18" s="1"/>
  <c r="BV39" i="18"/>
  <c r="DF39" i="18" s="1"/>
  <c r="BW39" i="18"/>
  <c r="DG39" i="18" s="1"/>
  <c r="BX39" i="18"/>
  <c r="DH39" i="18" s="1"/>
  <c r="BY39" i="18"/>
  <c r="DI39" i="18" s="1"/>
  <c r="BN40" i="18"/>
  <c r="CX40" i="18" s="1"/>
  <c r="BO40" i="18"/>
  <c r="CY40" i="18" s="1"/>
  <c r="BP40" i="18"/>
  <c r="CZ40" i="18" s="1"/>
  <c r="BQ40" i="18"/>
  <c r="DA40" i="18" s="1"/>
  <c r="BR40" i="18"/>
  <c r="DB40" i="18" s="1"/>
  <c r="BS40" i="18"/>
  <c r="DC40" i="18" s="1"/>
  <c r="BT40" i="18"/>
  <c r="DD40" i="18" s="1"/>
  <c r="BU40" i="18"/>
  <c r="DE40" i="18" s="1"/>
  <c r="BV40" i="18"/>
  <c r="DF40" i="18" s="1"/>
  <c r="BW40" i="18"/>
  <c r="DG40" i="18" s="1"/>
  <c r="BX40" i="18"/>
  <c r="DH40" i="18" s="1"/>
  <c r="BY40" i="18"/>
  <c r="DI40" i="18" s="1"/>
  <c r="BN41" i="18"/>
  <c r="CX41" i="18" s="1"/>
  <c r="BO41" i="18"/>
  <c r="CY41" i="18" s="1"/>
  <c r="BP41" i="18"/>
  <c r="CZ41" i="18" s="1"/>
  <c r="BQ41" i="18"/>
  <c r="DA41" i="18" s="1"/>
  <c r="BR41" i="18"/>
  <c r="DB41" i="18" s="1"/>
  <c r="BS41" i="18"/>
  <c r="DC41" i="18" s="1"/>
  <c r="BT41" i="18"/>
  <c r="DD41" i="18" s="1"/>
  <c r="BU41" i="18"/>
  <c r="DE41" i="18" s="1"/>
  <c r="BV41" i="18"/>
  <c r="DF41" i="18" s="1"/>
  <c r="BW41" i="18"/>
  <c r="DG41" i="18" s="1"/>
  <c r="BX41" i="18"/>
  <c r="DH41" i="18" s="1"/>
  <c r="BY41" i="18"/>
  <c r="DI41" i="18" s="1"/>
  <c r="BN42" i="18"/>
  <c r="CX42" i="18" s="1"/>
  <c r="BO42" i="18"/>
  <c r="CY42" i="18" s="1"/>
  <c r="BP42" i="18"/>
  <c r="CZ42" i="18" s="1"/>
  <c r="BQ42" i="18"/>
  <c r="DA42" i="18" s="1"/>
  <c r="BR42" i="18"/>
  <c r="DB42" i="18" s="1"/>
  <c r="BS42" i="18"/>
  <c r="DC42" i="18" s="1"/>
  <c r="BT42" i="18"/>
  <c r="DD42" i="18" s="1"/>
  <c r="BU42" i="18"/>
  <c r="DE42" i="18" s="1"/>
  <c r="BV42" i="18"/>
  <c r="DF42" i="18" s="1"/>
  <c r="BW42" i="18"/>
  <c r="DG42" i="18" s="1"/>
  <c r="BX42" i="18"/>
  <c r="DH42" i="18" s="1"/>
  <c r="BY42" i="18"/>
  <c r="DI42" i="18" s="1"/>
  <c r="BN43" i="18"/>
  <c r="CX43" i="18" s="1"/>
  <c r="BO43" i="18"/>
  <c r="CY43" i="18" s="1"/>
  <c r="BP43" i="18"/>
  <c r="CZ43" i="18" s="1"/>
  <c r="BQ43" i="18"/>
  <c r="DA43" i="18" s="1"/>
  <c r="BR43" i="18"/>
  <c r="DB43" i="18" s="1"/>
  <c r="BS43" i="18"/>
  <c r="DC43" i="18" s="1"/>
  <c r="BT43" i="18"/>
  <c r="DD43" i="18" s="1"/>
  <c r="BU43" i="18"/>
  <c r="DE43" i="18" s="1"/>
  <c r="BV43" i="18"/>
  <c r="DF43" i="18" s="1"/>
  <c r="BW43" i="18"/>
  <c r="DG43" i="18" s="1"/>
  <c r="BX43" i="18"/>
  <c r="DH43" i="18" s="1"/>
  <c r="BY43" i="18"/>
  <c r="DI43" i="18" s="1"/>
  <c r="BN44" i="18"/>
  <c r="CX44" i="18" s="1"/>
  <c r="BO44" i="18"/>
  <c r="CY44" i="18" s="1"/>
  <c r="BP44" i="18"/>
  <c r="CZ44" i="18" s="1"/>
  <c r="BQ44" i="18"/>
  <c r="DA44" i="18" s="1"/>
  <c r="BR44" i="18"/>
  <c r="DB44" i="18" s="1"/>
  <c r="BS44" i="18"/>
  <c r="DC44" i="18" s="1"/>
  <c r="BT44" i="18"/>
  <c r="DD44" i="18" s="1"/>
  <c r="BU44" i="18"/>
  <c r="DE44" i="18" s="1"/>
  <c r="BV44" i="18"/>
  <c r="DF44" i="18" s="1"/>
  <c r="BW44" i="18"/>
  <c r="DG44" i="18" s="1"/>
  <c r="BX44" i="18"/>
  <c r="DH44" i="18" s="1"/>
  <c r="BY44" i="18"/>
  <c r="DI44" i="18" s="1"/>
  <c r="BN45" i="18"/>
  <c r="CX45" i="18" s="1"/>
  <c r="BO45" i="18"/>
  <c r="CY45" i="18" s="1"/>
  <c r="BP45" i="18"/>
  <c r="CZ45" i="18" s="1"/>
  <c r="BQ45" i="18"/>
  <c r="DA45" i="18" s="1"/>
  <c r="BR45" i="18"/>
  <c r="DB45" i="18" s="1"/>
  <c r="BS45" i="18"/>
  <c r="DC45" i="18" s="1"/>
  <c r="BT45" i="18"/>
  <c r="DD45" i="18" s="1"/>
  <c r="BU45" i="18"/>
  <c r="DE45" i="18" s="1"/>
  <c r="BV45" i="18"/>
  <c r="DF45" i="18" s="1"/>
  <c r="BW45" i="18"/>
  <c r="DG45" i="18" s="1"/>
  <c r="BX45" i="18"/>
  <c r="DH45" i="18" s="1"/>
  <c r="BY45" i="18"/>
  <c r="DI45" i="18" s="1"/>
  <c r="BN46" i="18"/>
  <c r="CX46" i="18" s="1"/>
  <c r="BO46" i="18"/>
  <c r="CY46" i="18" s="1"/>
  <c r="BP46" i="18"/>
  <c r="CZ46" i="18" s="1"/>
  <c r="BQ46" i="18"/>
  <c r="DA46" i="18" s="1"/>
  <c r="BR46" i="18"/>
  <c r="DB46" i="18" s="1"/>
  <c r="BS46" i="18"/>
  <c r="DC46" i="18" s="1"/>
  <c r="BT46" i="18"/>
  <c r="DD46" i="18" s="1"/>
  <c r="BU46" i="18"/>
  <c r="DE46" i="18" s="1"/>
  <c r="BV46" i="18"/>
  <c r="DF46" i="18" s="1"/>
  <c r="BW46" i="18"/>
  <c r="DG46" i="18" s="1"/>
  <c r="BX46" i="18"/>
  <c r="DH46" i="18" s="1"/>
  <c r="BY46" i="18"/>
  <c r="DI46" i="18" s="1"/>
  <c r="BN47" i="18"/>
  <c r="CX47" i="18" s="1"/>
  <c r="BO47" i="18"/>
  <c r="CY47" i="18" s="1"/>
  <c r="BP47" i="18"/>
  <c r="CZ47" i="18" s="1"/>
  <c r="BQ47" i="18"/>
  <c r="DA47" i="18" s="1"/>
  <c r="BR47" i="18"/>
  <c r="DB47" i="18" s="1"/>
  <c r="BS47" i="18"/>
  <c r="DC47" i="18" s="1"/>
  <c r="BT47" i="18"/>
  <c r="DD47" i="18" s="1"/>
  <c r="BU47" i="18"/>
  <c r="DE47" i="18" s="1"/>
  <c r="BV47" i="18"/>
  <c r="DF47" i="18" s="1"/>
  <c r="BW47" i="18"/>
  <c r="DG47" i="18" s="1"/>
  <c r="BX47" i="18"/>
  <c r="DH47" i="18" s="1"/>
  <c r="BY47" i="18"/>
  <c r="DI47" i="18" s="1"/>
  <c r="BN48" i="18"/>
  <c r="CX48" i="18" s="1"/>
  <c r="BO48" i="18"/>
  <c r="CY48" i="18" s="1"/>
  <c r="BP48" i="18"/>
  <c r="CZ48" i="18" s="1"/>
  <c r="BQ48" i="18"/>
  <c r="DA48" i="18" s="1"/>
  <c r="BR48" i="18"/>
  <c r="DB48" i="18" s="1"/>
  <c r="BS48" i="18"/>
  <c r="DC48" i="18" s="1"/>
  <c r="BT48" i="18"/>
  <c r="DD48" i="18" s="1"/>
  <c r="BU48" i="18"/>
  <c r="DE48" i="18" s="1"/>
  <c r="BV48" i="18"/>
  <c r="DF48" i="18" s="1"/>
  <c r="BW48" i="18"/>
  <c r="DG48" i="18" s="1"/>
  <c r="BX48" i="18"/>
  <c r="DH48" i="18" s="1"/>
  <c r="BY48" i="18"/>
  <c r="DI48" i="18" s="1"/>
  <c r="BN49" i="18"/>
  <c r="CX49" i="18" s="1"/>
  <c r="BO49" i="18"/>
  <c r="CY49" i="18" s="1"/>
  <c r="BP49" i="18"/>
  <c r="CZ49" i="18" s="1"/>
  <c r="BQ49" i="18"/>
  <c r="DA49" i="18" s="1"/>
  <c r="BR49" i="18"/>
  <c r="DB49" i="18" s="1"/>
  <c r="BS49" i="18"/>
  <c r="DC49" i="18" s="1"/>
  <c r="BT49" i="18"/>
  <c r="DD49" i="18" s="1"/>
  <c r="BU49" i="18"/>
  <c r="DE49" i="18" s="1"/>
  <c r="BV49" i="18"/>
  <c r="DF49" i="18" s="1"/>
  <c r="BW49" i="18"/>
  <c r="DG49" i="18" s="1"/>
  <c r="BX49" i="18"/>
  <c r="DH49" i="18" s="1"/>
  <c r="BY49" i="18"/>
  <c r="DI49" i="18" s="1"/>
  <c r="BN50" i="18"/>
  <c r="CX50" i="18" s="1"/>
  <c r="BO50" i="18"/>
  <c r="CY50" i="18" s="1"/>
  <c r="BP50" i="18"/>
  <c r="CZ50" i="18" s="1"/>
  <c r="BQ50" i="18"/>
  <c r="DA50" i="18" s="1"/>
  <c r="BR50" i="18"/>
  <c r="DB50" i="18" s="1"/>
  <c r="BS50" i="18"/>
  <c r="DC50" i="18" s="1"/>
  <c r="BT50" i="18"/>
  <c r="DD50" i="18" s="1"/>
  <c r="BU50" i="18"/>
  <c r="DE50" i="18" s="1"/>
  <c r="BV50" i="18"/>
  <c r="DF50" i="18" s="1"/>
  <c r="BW50" i="18"/>
  <c r="DG50" i="18" s="1"/>
  <c r="BX50" i="18"/>
  <c r="DH50" i="18" s="1"/>
  <c r="BY50" i="18"/>
  <c r="DI50" i="18" s="1"/>
  <c r="BN51" i="18"/>
  <c r="CX51" i="18" s="1"/>
  <c r="BO51" i="18"/>
  <c r="CY51" i="18" s="1"/>
  <c r="BP51" i="18"/>
  <c r="CZ51" i="18" s="1"/>
  <c r="BQ51" i="18"/>
  <c r="DA51" i="18" s="1"/>
  <c r="BR51" i="18"/>
  <c r="DB51" i="18" s="1"/>
  <c r="BS51" i="18"/>
  <c r="DC51" i="18" s="1"/>
  <c r="BT51" i="18"/>
  <c r="DD51" i="18" s="1"/>
  <c r="BU51" i="18"/>
  <c r="DE51" i="18" s="1"/>
  <c r="BV51" i="18"/>
  <c r="DF51" i="18" s="1"/>
  <c r="BW51" i="18"/>
  <c r="DG51" i="18" s="1"/>
  <c r="BX51" i="18"/>
  <c r="DH51" i="18" s="1"/>
  <c r="BY51" i="18"/>
  <c r="DI51" i="18" s="1"/>
  <c r="BN52" i="18"/>
  <c r="CX52" i="18" s="1"/>
  <c r="BO52" i="18"/>
  <c r="CY52" i="18" s="1"/>
  <c r="BP52" i="18"/>
  <c r="CZ52" i="18" s="1"/>
  <c r="BQ52" i="18"/>
  <c r="DA52" i="18" s="1"/>
  <c r="BR52" i="18"/>
  <c r="DB52" i="18" s="1"/>
  <c r="BS52" i="18"/>
  <c r="DC52" i="18" s="1"/>
  <c r="BT52" i="18"/>
  <c r="DD52" i="18" s="1"/>
  <c r="BU52" i="18"/>
  <c r="DE52" i="18" s="1"/>
  <c r="BV52" i="18"/>
  <c r="DF52" i="18" s="1"/>
  <c r="BW52" i="18"/>
  <c r="DG52" i="18" s="1"/>
  <c r="BX52" i="18"/>
  <c r="DH52" i="18" s="1"/>
  <c r="BY52" i="18"/>
  <c r="DI52" i="18" s="1"/>
  <c r="BN53" i="18"/>
  <c r="CX53" i="18" s="1"/>
  <c r="BO53" i="18"/>
  <c r="CY53" i="18" s="1"/>
  <c r="BP53" i="18"/>
  <c r="CZ53" i="18" s="1"/>
  <c r="BQ53" i="18"/>
  <c r="DA53" i="18" s="1"/>
  <c r="BR53" i="18"/>
  <c r="DB53" i="18" s="1"/>
  <c r="BS53" i="18"/>
  <c r="DC53" i="18" s="1"/>
  <c r="BT53" i="18"/>
  <c r="DD53" i="18" s="1"/>
  <c r="BU53" i="18"/>
  <c r="DE53" i="18" s="1"/>
  <c r="BV53" i="18"/>
  <c r="BW53" i="18"/>
  <c r="BX53" i="18"/>
  <c r="DH53" i="18" s="1"/>
  <c r="BY53" i="18"/>
  <c r="DI53" i="18" s="1"/>
  <c r="BN54" i="18"/>
  <c r="CX54" i="18" s="1"/>
  <c r="BO54" i="18"/>
  <c r="CY54" i="18" s="1"/>
  <c r="BP54" i="18"/>
  <c r="CZ54" i="18" s="1"/>
  <c r="BQ54" i="18"/>
  <c r="DA54" i="18" s="1"/>
  <c r="BR54" i="18"/>
  <c r="DB54" i="18" s="1"/>
  <c r="BS54" i="18"/>
  <c r="DC54" i="18" s="1"/>
  <c r="BT54" i="18"/>
  <c r="DD54" i="18" s="1"/>
  <c r="BU54" i="18"/>
  <c r="DE54" i="18" s="1"/>
  <c r="BV54" i="18"/>
  <c r="DF54" i="18" s="1"/>
  <c r="BW54" i="18"/>
  <c r="DG54" i="18" s="1"/>
  <c r="BX54" i="18"/>
  <c r="DH54" i="18" s="1"/>
  <c r="BY54" i="18"/>
  <c r="DI54" i="18" s="1"/>
  <c r="BN55" i="18"/>
  <c r="CX55" i="18" s="1"/>
  <c r="BO55" i="18"/>
  <c r="CY55" i="18" s="1"/>
  <c r="BP55" i="18"/>
  <c r="CZ55" i="18" s="1"/>
  <c r="BQ55" i="18"/>
  <c r="DA55" i="18" s="1"/>
  <c r="BR55" i="18"/>
  <c r="DB55" i="18" s="1"/>
  <c r="BS55" i="18"/>
  <c r="DC55" i="18" s="1"/>
  <c r="BT55" i="18"/>
  <c r="DD55" i="18" s="1"/>
  <c r="BU55" i="18"/>
  <c r="DE55" i="18" s="1"/>
  <c r="BV55" i="18"/>
  <c r="DF55" i="18" s="1"/>
  <c r="BW55" i="18"/>
  <c r="DG55" i="18" s="1"/>
  <c r="BX55" i="18"/>
  <c r="DH55" i="18" s="1"/>
  <c r="BY55" i="18"/>
  <c r="DI55" i="18" s="1"/>
  <c r="BN56" i="18"/>
  <c r="CX56" i="18" s="1"/>
  <c r="BO56" i="18"/>
  <c r="CY56" i="18" s="1"/>
  <c r="BP56" i="18"/>
  <c r="CZ56" i="18" s="1"/>
  <c r="BQ56" i="18"/>
  <c r="DA56" i="18" s="1"/>
  <c r="BR56" i="18"/>
  <c r="DB56" i="18" s="1"/>
  <c r="BS56" i="18"/>
  <c r="DC56" i="18" s="1"/>
  <c r="BT56" i="18"/>
  <c r="DD56" i="18" s="1"/>
  <c r="BU56" i="18"/>
  <c r="DE56" i="18" s="1"/>
  <c r="BV56" i="18"/>
  <c r="DF56" i="18" s="1"/>
  <c r="BW56" i="18"/>
  <c r="DG56" i="18" s="1"/>
  <c r="BX56" i="18"/>
  <c r="DH56" i="18" s="1"/>
  <c r="BY56" i="18"/>
  <c r="DI56" i="18" s="1"/>
  <c r="BN57" i="18"/>
  <c r="CX57" i="18" s="1"/>
  <c r="BO57" i="18"/>
  <c r="CY57" i="18" s="1"/>
  <c r="BP57" i="18"/>
  <c r="CZ57" i="18" s="1"/>
  <c r="BQ57" i="18"/>
  <c r="DA57" i="18" s="1"/>
  <c r="BR57" i="18"/>
  <c r="DB57" i="18" s="1"/>
  <c r="BS57" i="18"/>
  <c r="DC57" i="18" s="1"/>
  <c r="BT57" i="18"/>
  <c r="DD57" i="18" s="1"/>
  <c r="BU57" i="18"/>
  <c r="DE57" i="18" s="1"/>
  <c r="BV57" i="18"/>
  <c r="DF57" i="18" s="1"/>
  <c r="BW57" i="18"/>
  <c r="DG57" i="18" s="1"/>
  <c r="BX57" i="18"/>
  <c r="DH57" i="18" s="1"/>
  <c r="BY57" i="18"/>
  <c r="DI57" i="18" s="1"/>
  <c r="BN58" i="18"/>
  <c r="CX58" i="18" s="1"/>
  <c r="BO58" i="18"/>
  <c r="CY58" i="18" s="1"/>
  <c r="BP58" i="18"/>
  <c r="CZ58" i="18" s="1"/>
  <c r="BQ58" i="18"/>
  <c r="DA58" i="18" s="1"/>
  <c r="BR58" i="18"/>
  <c r="DB58" i="18" s="1"/>
  <c r="BS58" i="18"/>
  <c r="DC58" i="18" s="1"/>
  <c r="BT58" i="18"/>
  <c r="DD58" i="18" s="1"/>
  <c r="BU58" i="18"/>
  <c r="DE58" i="18" s="1"/>
  <c r="BV58" i="18"/>
  <c r="DF58" i="18" s="1"/>
  <c r="BW58" i="18"/>
  <c r="DG58" i="18" s="1"/>
  <c r="BX58" i="18"/>
  <c r="DH58" i="18" s="1"/>
  <c r="BY58" i="18"/>
  <c r="DI58" i="18" s="1"/>
  <c r="BN59" i="18"/>
  <c r="CX59" i="18" s="1"/>
  <c r="BO59" i="18"/>
  <c r="CY59" i="18" s="1"/>
  <c r="BP59" i="18"/>
  <c r="CZ59" i="18" s="1"/>
  <c r="BQ59" i="18"/>
  <c r="DA59" i="18" s="1"/>
  <c r="BR59" i="18"/>
  <c r="DB59" i="18" s="1"/>
  <c r="BS59" i="18"/>
  <c r="DC59" i="18" s="1"/>
  <c r="BT59" i="18"/>
  <c r="DD59" i="18" s="1"/>
  <c r="BU59" i="18"/>
  <c r="DE59" i="18" s="1"/>
  <c r="BV59" i="18"/>
  <c r="DF59" i="18" s="1"/>
  <c r="BW59" i="18"/>
  <c r="DG59" i="18" s="1"/>
  <c r="BX59" i="18"/>
  <c r="DH59" i="18" s="1"/>
  <c r="BY59" i="18"/>
  <c r="DI59" i="18" s="1"/>
  <c r="BN60" i="18"/>
  <c r="CX60" i="18" s="1"/>
  <c r="BO60" i="18"/>
  <c r="CY60" i="18" s="1"/>
  <c r="BP60" i="18"/>
  <c r="CZ60" i="18" s="1"/>
  <c r="BQ60" i="18"/>
  <c r="DA60" i="18" s="1"/>
  <c r="BR60" i="18"/>
  <c r="DB60" i="18" s="1"/>
  <c r="BS60" i="18"/>
  <c r="DC60" i="18" s="1"/>
  <c r="BT60" i="18"/>
  <c r="DD60" i="18" s="1"/>
  <c r="BU60" i="18"/>
  <c r="DE60" i="18" s="1"/>
  <c r="BV60" i="18"/>
  <c r="DF60" i="18" s="1"/>
  <c r="BW60" i="18"/>
  <c r="DG60" i="18" s="1"/>
  <c r="BX60" i="18"/>
  <c r="DH60" i="18" s="1"/>
  <c r="BY60" i="18"/>
  <c r="DI60" i="18" s="1"/>
  <c r="BN61" i="18"/>
  <c r="CX61" i="18" s="1"/>
  <c r="BO61" i="18"/>
  <c r="CY61" i="18" s="1"/>
  <c r="BP61" i="18"/>
  <c r="CZ61" i="18" s="1"/>
  <c r="BQ61" i="18"/>
  <c r="DA61" i="18" s="1"/>
  <c r="BR61" i="18"/>
  <c r="DB61" i="18" s="1"/>
  <c r="BS61" i="18"/>
  <c r="DC61" i="18" s="1"/>
  <c r="BT61" i="18"/>
  <c r="DD61" i="18" s="1"/>
  <c r="BU61" i="18"/>
  <c r="DE61" i="18" s="1"/>
  <c r="BV61" i="18"/>
  <c r="DF61" i="18" s="1"/>
  <c r="BW61" i="18"/>
  <c r="DG61" i="18" s="1"/>
  <c r="BX61" i="18"/>
  <c r="DH61" i="18" s="1"/>
  <c r="BY61" i="18"/>
  <c r="DI61" i="18" s="1"/>
  <c r="BN62" i="18"/>
  <c r="CX62" i="18" s="1"/>
  <c r="BO62" i="18"/>
  <c r="CY62" i="18" s="1"/>
  <c r="BP62" i="18"/>
  <c r="CZ62" i="18" s="1"/>
  <c r="BQ62" i="18"/>
  <c r="DA62" i="18" s="1"/>
  <c r="BR62" i="18"/>
  <c r="DB62" i="18" s="1"/>
  <c r="BS62" i="18"/>
  <c r="DC62" i="18" s="1"/>
  <c r="BT62" i="18"/>
  <c r="DD62" i="18" s="1"/>
  <c r="BU62" i="18"/>
  <c r="DE62" i="18" s="1"/>
  <c r="BV62" i="18"/>
  <c r="DF62" i="18" s="1"/>
  <c r="BW62" i="18"/>
  <c r="DG62" i="18" s="1"/>
  <c r="BX62" i="18"/>
  <c r="DH62" i="18" s="1"/>
  <c r="BY62" i="18"/>
  <c r="DI62" i="18" s="1"/>
  <c r="BN63" i="18"/>
  <c r="CX63" i="18" s="1"/>
  <c r="BO63" i="18"/>
  <c r="CY63" i="18" s="1"/>
  <c r="BP63" i="18"/>
  <c r="CZ63" i="18" s="1"/>
  <c r="BQ63" i="18"/>
  <c r="DA63" i="18" s="1"/>
  <c r="BR63" i="18"/>
  <c r="DB63" i="18" s="1"/>
  <c r="BS63" i="18"/>
  <c r="DC63" i="18" s="1"/>
  <c r="BT63" i="18"/>
  <c r="DD63" i="18" s="1"/>
  <c r="BU63" i="18"/>
  <c r="DE63" i="18" s="1"/>
  <c r="BV63" i="18"/>
  <c r="DF63" i="18" s="1"/>
  <c r="BW63" i="18"/>
  <c r="DG63" i="18" s="1"/>
  <c r="BX63" i="18"/>
  <c r="DH63" i="18" s="1"/>
  <c r="BY63" i="18"/>
  <c r="DI63" i="18" s="1"/>
  <c r="BN64" i="18"/>
  <c r="CX64" i="18" s="1"/>
  <c r="BO64" i="18"/>
  <c r="CY64" i="18" s="1"/>
  <c r="BP64" i="18"/>
  <c r="CZ64" i="18" s="1"/>
  <c r="BQ64" i="18"/>
  <c r="DA64" i="18" s="1"/>
  <c r="BR64" i="18"/>
  <c r="DB64" i="18" s="1"/>
  <c r="BS64" i="18"/>
  <c r="DC64" i="18" s="1"/>
  <c r="BT64" i="18"/>
  <c r="DD64" i="18" s="1"/>
  <c r="BU64" i="18"/>
  <c r="DE64" i="18" s="1"/>
  <c r="BV64" i="18"/>
  <c r="DF64" i="18" s="1"/>
  <c r="BW64" i="18"/>
  <c r="DG64" i="18" s="1"/>
  <c r="BX64" i="18"/>
  <c r="DH64" i="18" s="1"/>
  <c r="BY64" i="18"/>
  <c r="DI64" i="18" s="1"/>
  <c r="BN65" i="18"/>
  <c r="CX65" i="18" s="1"/>
  <c r="BO65" i="18"/>
  <c r="CY65" i="18" s="1"/>
  <c r="BP65" i="18"/>
  <c r="CZ65" i="18" s="1"/>
  <c r="BQ65" i="18"/>
  <c r="DA65" i="18" s="1"/>
  <c r="BR65" i="18"/>
  <c r="DB65" i="18" s="1"/>
  <c r="BS65" i="18"/>
  <c r="DC65" i="18" s="1"/>
  <c r="BT65" i="18"/>
  <c r="DD65" i="18" s="1"/>
  <c r="BU65" i="18"/>
  <c r="DE65" i="18" s="1"/>
  <c r="BV65" i="18"/>
  <c r="DF65" i="18" s="1"/>
  <c r="BW65" i="18"/>
  <c r="DG65" i="18" s="1"/>
  <c r="BX65" i="18"/>
  <c r="DH65" i="18" s="1"/>
  <c r="BY65" i="18"/>
  <c r="DI65" i="18" s="1"/>
  <c r="BN66" i="18"/>
  <c r="CX66" i="18" s="1"/>
  <c r="BO66" i="18"/>
  <c r="CY66" i="18" s="1"/>
  <c r="BP66" i="18"/>
  <c r="CZ66" i="18" s="1"/>
  <c r="BQ66" i="18"/>
  <c r="DA66" i="18" s="1"/>
  <c r="BR66" i="18"/>
  <c r="DB66" i="18" s="1"/>
  <c r="BS66" i="18"/>
  <c r="DC66" i="18" s="1"/>
  <c r="BT66" i="18"/>
  <c r="DD66" i="18" s="1"/>
  <c r="BU66" i="18"/>
  <c r="DE66" i="18" s="1"/>
  <c r="BV66" i="18"/>
  <c r="DF66" i="18" s="1"/>
  <c r="BW66" i="18"/>
  <c r="DG66" i="18" s="1"/>
  <c r="BX66" i="18"/>
  <c r="DH66" i="18" s="1"/>
  <c r="BY66" i="18"/>
  <c r="DI66" i="18" s="1"/>
  <c r="BN67" i="18"/>
  <c r="CX67" i="18" s="1"/>
  <c r="BO67" i="18"/>
  <c r="CY67" i="18" s="1"/>
  <c r="BP67" i="18"/>
  <c r="CZ67" i="18" s="1"/>
  <c r="BQ67" i="18"/>
  <c r="DA67" i="18" s="1"/>
  <c r="BR67" i="18"/>
  <c r="DB67" i="18" s="1"/>
  <c r="BS67" i="18"/>
  <c r="DC67" i="18" s="1"/>
  <c r="BT67" i="18"/>
  <c r="DD67" i="18" s="1"/>
  <c r="BU67" i="18"/>
  <c r="DE67" i="18" s="1"/>
  <c r="BV67" i="18"/>
  <c r="DF67" i="18" s="1"/>
  <c r="BW67" i="18"/>
  <c r="DG67" i="18" s="1"/>
  <c r="BX67" i="18"/>
  <c r="DH67" i="18" s="1"/>
  <c r="BY67" i="18"/>
  <c r="DI67" i="18" s="1"/>
  <c r="BN68" i="18"/>
  <c r="CX68" i="18" s="1"/>
  <c r="BO68" i="18"/>
  <c r="CY68" i="18" s="1"/>
  <c r="BP68" i="18"/>
  <c r="CZ68" i="18" s="1"/>
  <c r="BQ68" i="18"/>
  <c r="DA68" i="18" s="1"/>
  <c r="BR68" i="18"/>
  <c r="DB68" i="18" s="1"/>
  <c r="BS68" i="18"/>
  <c r="DC68" i="18" s="1"/>
  <c r="BT68" i="18"/>
  <c r="DD68" i="18" s="1"/>
  <c r="BU68" i="18"/>
  <c r="DE68" i="18" s="1"/>
  <c r="BV68" i="18"/>
  <c r="DF68" i="18" s="1"/>
  <c r="BW68" i="18"/>
  <c r="DG68" i="18" s="1"/>
  <c r="BX68" i="18"/>
  <c r="DH68" i="18" s="1"/>
  <c r="BY68" i="18"/>
  <c r="DI68" i="18" s="1"/>
  <c r="BN69" i="18"/>
  <c r="CX69" i="18" s="1"/>
  <c r="BO69" i="18"/>
  <c r="CY69" i="18" s="1"/>
  <c r="BP69" i="18"/>
  <c r="CZ69" i="18" s="1"/>
  <c r="BQ69" i="18"/>
  <c r="DA69" i="18" s="1"/>
  <c r="BR69" i="18"/>
  <c r="DB69" i="18" s="1"/>
  <c r="BS69" i="18"/>
  <c r="DC69" i="18" s="1"/>
  <c r="BT69" i="18"/>
  <c r="DD69" i="18" s="1"/>
  <c r="BU69" i="18"/>
  <c r="DE69" i="18" s="1"/>
  <c r="BV69" i="18"/>
  <c r="DF69" i="18" s="1"/>
  <c r="BW69" i="18"/>
  <c r="DG69" i="18" s="1"/>
  <c r="BX69" i="18"/>
  <c r="DH69" i="18" s="1"/>
  <c r="BY69" i="18"/>
  <c r="DI69" i="18" s="1"/>
  <c r="BN70" i="18"/>
  <c r="CX70" i="18" s="1"/>
  <c r="BO70" i="18"/>
  <c r="CY70" i="18" s="1"/>
  <c r="BP70" i="18"/>
  <c r="CZ70" i="18" s="1"/>
  <c r="BQ70" i="18"/>
  <c r="DA70" i="18" s="1"/>
  <c r="BR70" i="18"/>
  <c r="DB70" i="18" s="1"/>
  <c r="BS70" i="18"/>
  <c r="DC70" i="18" s="1"/>
  <c r="BT70" i="18"/>
  <c r="DD70" i="18" s="1"/>
  <c r="BU70" i="18"/>
  <c r="DE70" i="18" s="1"/>
  <c r="BV70" i="18"/>
  <c r="DF70" i="18" s="1"/>
  <c r="BW70" i="18"/>
  <c r="DG70" i="18" s="1"/>
  <c r="BX70" i="18"/>
  <c r="DH70" i="18" s="1"/>
  <c r="BY70" i="18"/>
  <c r="DI70" i="18" s="1"/>
  <c r="BN71" i="18"/>
  <c r="CX71" i="18" s="1"/>
  <c r="BO71" i="18"/>
  <c r="CY71" i="18" s="1"/>
  <c r="BP71" i="18"/>
  <c r="CZ71" i="18" s="1"/>
  <c r="BQ71" i="18"/>
  <c r="DA71" i="18" s="1"/>
  <c r="BR71" i="18"/>
  <c r="DB71" i="18" s="1"/>
  <c r="BS71" i="18"/>
  <c r="DC71" i="18" s="1"/>
  <c r="BT71" i="18"/>
  <c r="DD71" i="18" s="1"/>
  <c r="BU71" i="18"/>
  <c r="DE71" i="18" s="1"/>
  <c r="BV71" i="18"/>
  <c r="DF71" i="18" s="1"/>
  <c r="BW71" i="18"/>
  <c r="DG71" i="18" s="1"/>
  <c r="BX71" i="18"/>
  <c r="DH71" i="18" s="1"/>
  <c r="BY71" i="18"/>
  <c r="DI71" i="18" s="1"/>
  <c r="BN72" i="18"/>
  <c r="CX72" i="18" s="1"/>
  <c r="BO72" i="18"/>
  <c r="CY72" i="18" s="1"/>
  <c r="BP72" i="18"/>
  <c r="CZ72" i="18" s="1"/>
  <c r="BQ72" i="18"/>
  <c r="DA72" i="18" s="1"/>
  <c r="BR72" i="18"/>
  <c r="DB72" i="18" s="1"/>
  <c r="BS72" i="18"/>
  <c r="DC72" i="18" s="1"/>
  <c r="BT72" i="18"/>
  <c r="DD72" i="18" s="1"/>
  <c r="BU72" i="18"/>
  <c r="DE72" i="18" s="1"/>
  <c r="BV72" i="18"/>
  <c r="DF72" i="18" s="1"/>
  <c r="BW72" i="18"/>
  <c r="DG72" i="18" s="1"/>
  <c r="BX72" i="18"/>
  <c r="DH72" i="18" s="1"/>
  <c r="BY72" i="18"/>
  <c r="DI72" i="18" s="1"/>
  <c r="BN73" i="18"/>
  <c r="CX73" i="18" s="1"/>
  <c r="BO73" i="18"/>
  <c r="CY73" i="18" s="1"/>
  <c r="BP73" i="18"/>
  <c r="CZ73" i="18" s="1"/>
  <c r="BQ73" i="18"/>
  <c r="DA73" i="18" s="1"/>
  <c r="BR73" i="18"/>
  <c r="DB73" i="18" s="1"/>
  <c r="BS73" i="18"/>
  <c r="DC73" i="18" s="1"/>
  <c r="BT73" i="18"/>
  <c r="DD73" i="18" s="1"/>
  <c r="BU73" i="18"/>
  <c r="DE73" i="18" s="1"/>
  <c r="BV73" i="18"/>
  <c r="DF73" i="18" s="1"/>
  <c r="BW73" i="18"/>
  <c r="DG73" i="18" s="1"/>
  <c r="BX73" i="18"/>
  <c r="DH73" i="18" s="1"/>
  <c r="BY73" i="18"/>
  <c r="DI73" i="18" s="1"/>
  <c r="BN74" i="18"/>
  <c r="CX74" i="18" s="1"/>
  <c r="BO74" i="18"/>
  <c r="CY74" i="18" s="1"/>
  <c r="BP74" i="18"/>
  <c r="CZ74" i="18" s="1"/>
  <c r="BQ74" i="18"/>
  <c r="DA74" i="18" s="1"/>
  <c r="BR74" i="18"/>
  <c r="DB74" i="18" s="1"/>
  <c r="BS74" i="18"/>
  <c r="DC74" i="18" s="1"/>
  <c r="BT74" i="18"/>
  <c r="DD74" i="18" s="1"/>
  <c r="BU74" i="18"/>
  <c r="DE74" i="18" s="1"/>
  <c r="BV74" i="18"/>
  <c r="DF74" i="18" s="1"/>
  <c r="BW74" i="18"/>
  <c r="DG74" i="18" s="1"/>
  <c r="BX74" i="18"/>
  <c r="DH74" i="18" s="1"/>
  <c r="BY74" i="18"/>
  <c r="DI74" i="18" s="1"/>
  <c r="BN75" i="18"/>
  <c r="CX75" i="18" s="1"/>
  <c r="BO75" i="18"/>
  <c r="CY75" i="18" s="1"/>
  <c r="BP75" i="18"/>
  <c r="CZ75" i="18" s="1"/>
  <c r="BQ75" i="18"/>
  <c r="DA75" i="18" s="1"/>
  <c r="BR75" i="18"/>
  <c r="DB75" i="18" s="1"/>
  <c r="BS75" i="18"/>
  <c r="DC75" i="18" s="1"/>
  <c r="BT75" i="18"/>
  <c r="DD75" i="18" s="1"/>
  <c r="BU75" i="18"/>
  <c r="DE75" i="18" s="1"/>
  <c r="BV75" i="18"/>
  <c r="DF75" i="18" s="1"/>
  <c r="BW75" i="18"/>
  <c r="DG75" i="18" s="1"/>
  <c r="BX75" i="18"/>
  <c r="DH75" i="18" s="1"/>
  <c r="BY75" i="18"/>
  <c r="DI75" i="18" s="1"/>
  <c r="BN76" i="18"/>
  <c r="CX76" i="18" s="1"/>
  <c r="BO76" i="18"/>
  <c r="CY76" i="18" s="1"/>
  <c r="BP76" i="18"/>
  <c r="CZ76" i="18" s="1"/>
  <c r="BQ76" i="18"/>
  <c r="DA76" i="18" s="1"/>
  <c r="BR76" i="18"/>
  <c r="DB76" i="18" s="1"/>
  <c r="BS76" i="18"/>
  <c r="DC76" i="18" s="1"/>
  <c r="BT76" i="18"/>
  <c r="DD76" i="18" s="1"/>
  <c r="BU76" i="18"/>
  <c r="DE76" i="18" s="1"/>
  <c r="BV76" i="18"/>
  <c r="DF76" i="18" s="1"/>
  <c r="BW76" i="18"/>
  <c r="DG76" i="18" s="1"/>
  <c r="BX76" i="18"/>
  <c r="DH76" i="18" s="1"/>
  <c r="BY76" i="18"/>
  <c r="DI76" i="18" s="1"/>
  <c r="BN77" i="18"/>
  <c r="CX77" i="18" s="1"/>
  <c r="BO77" i="18"/>
  <c r="CY77" i="18" s="1"/>
  <c r="BP77" i="18"/>
  <c r="CZ77" i="18" s="1"/>
  <c r="BQ77" i="18"/>
  <c r="DA77" i="18" s="1"/>
  <c r="BR77" i="18"/>
  <c r="DB77" i="18" s="1"/>
  <c r="BS77" i="18"/>
  <c r="DC77" i="18" s="1"/>
  <c r="BT77" i="18"/>
  <c r="DD77" i="18" s="1"/>
  <c r="BU77" i="18"/>
  <c r="DE77" i="18" s="1"/>
  <c r="BV77" i="18"/>
  <c r="DF77" i="18" s="1"/>
  <c r="BW77" i="18"/>
  <c r="DG77" i="18" s="1"/>
  <c r="BX77" i="18"/>
  <c r="DH77" i="18" s="1"/>
  <c r="BY77" i="18"/>
  <c r="DI77" i="18" s="1"/>
  <c r="BN78" i="18"/>
  <c r="CX78" i="18" s="1"/>
  <c r="BO78" i="18"/>
  <c r="CY78" i="18" s="1"/>
  <c r="BP78" i="18"/>
  <c r="CZ78" i="18" s="1"/>
  <c r="BQ78" i="18"/>
  <c r="DA78" i="18" s="1"/>
  <c r="BR78" i="18"/>
  <c r="DB78" i="18" s="1"/>
  <c r="BS78" i="18"/>
  <c r="DC78" i="18" s="1"/>
  <c r="BT78" i="18"/>
  <c r="DD78" i="18" s="1"/>
  <c r="BU78" i="18"/>
  <c r="DE78" i="18" s="1"/>
  <c r="BV78" i="18"/>
  <c r="DF78" i="18" s="1"/>
  <c r="BW78" i="18"/>
  <c r="DG78" i="18" s="1"/>
  <c r="BX78" i="18"/>
  <c r="DH78" i="18" s="1"/>
  <c r="BY78" i="18"/>
  <c r="DI78" i="18" s="1"/>
  <c r="BN79" i="18"/>
  <c r="CX79" i="18" s="1"/>
  <c r="BO79" i="18"/>
  <c r="CY79" i="18" s="1"/>
  <c r="BP79" i="18"/>
  <c r="CZ79" i="18" s="1"/>
  <c r="BQ79" i="18"/>
  <c r="DA79" i="18" s="1"/>
  <c r="BR79" i="18"/>
  <c r="DB79" i="18" s="1"/>
  <c r="BS79" i="18"/>
  <c r="DC79" i="18" s="1"/>
  <c r="BT79" i="18"/>
  <c r="DD79" i="18" s="1"/>
  <c r="BU79" i="18"/>
  <c r="DE79" i="18" s="1"/>
  <c r="BV79" i="18"/>
  <c r="DF79" i="18" s="1"/>
  <c r="BW79" i="18"/>
  <c r="DG79" i="18" s="1"/>
  <c r="BX79" i="18"/>
  <c r="DH79" i="18" s="1"/>
  <c r="BY79" i="18"/>
  <c r="DI79" i="18" s="1"/>
  <c r="BN80" i="18"/>
  <c r="CX80" i="18" s="1"/>
  <c r="BO80" i="18"/>
  <c r="CY80" i="18" s="1"/>
  <c r="BP80" i="18"/>
  <c r="CZ80" i="18" s="1"/>
  <c r="BQ80" i="18"/>
  <c r="DA80" i="18" s="1"/>
  <c r="BR80" i="18"/>
  <c r="DB80" i="18" s="1"/>
  <c r="BS80" i="18"/>
  <c r="DC80" i="18" s="1"/>
  <c r="BT80" i="18"/>
  <c r="DD80" i="18" s="1"/>
  <c r="BU80" i="18"/>
  <c r="DE80" i="18" s="1"/>
  <c r="BV80" i="18"/>
  <c r="DF80" i="18" s="1"/>
  <c r="BW80" i="18"/>
  <c r="DG80" i="18" s="1"/>
  <c r="BX80" i="18"/>
  <c r="DH80" i="18" s="1"/>
  <c r="BY80" i="18"/>
  <c r="DI80" i="18" s="1"/>
  <c r="BN81" i="18"/>
  <c r="CX81" i="18" s="1"/>
  <c r="BO81" i="18"/>
  <c r="CY81" i="18" s="1"/>
  <c r="BP81" i="18"/>
  <c r="CZ81" i="18" s="1"/>
  <c r="BQ81" i="18"/>
  <c r="DA81" i="18" s="1"/>
  <c r="BR81" i="18"/>
  <c r="DB81" i="18" s="1"/>
  <c r="BS81" i="18"/>
  <c r="DC81" i="18" s="1"/>
  <c r="BT81" i="18"/>
  <c r="DD81" i="18" s="1"/>
  <c r="BU81" i="18"/>
  <c r="DE81" i="18" s="1"/>
  <c r="BV81" i="18"/>
  <c r="DF81" i="18" s="1"/>
  <c r="BW81" i="18"/>
  <c r="DG81" i="18" s="1"/>
  <c r="BX81" i="18"/>
  <c r="DH81" i="18" s="1"/>
  <c r="BY81" i="18"/>
  <c r="DI81" i="18" s="1"/>
  <c r="BN82" i="18"/>
  <c r="CX82" i="18" s="1"/>
  <c r="BO82" i="18"/>
  <c r="CY82" i="18" s="1"/>
  <c r="BP82" i="18"/>
  <c r="CZ82" i="18" s="1"/>
  <c r="BQ82" i="18"/>
  <c r="DA82" i="18" s="1"/>
  <c r="BR82" i="18"/>
  <c r="DB82" i="18" s="1"/>
  <c r="BS82" i="18"/>
  <c r="DC82" i="18" s="1"/>
  <c r="BT82" i="18"/>
  <c r="DD82" i="18" s="1"/>
  <c r="BU82" i="18"/>
  <c r="DE82" i="18" s="1"/>
  <c r="BV82" i="18"/>
  <c r="DF82" i="18" s="1"/>
  <c r="BW82" i="18"/>
  <c r="DG82" i="18" s="1"/>
  <c r="BX82" i="18"/>
  <c r="DH82" i="18" s="1"/>
  <c r="BY82" i="18"/>
  <c r="DI82" i="18" s="1"/>
  <c r="BN83" i="18"/>
  <c r="CX83" i="18" s="1"/>
  <c r="BO83" i="18"/>
  <c r="CY83" i="18" s="1"/>
  <c r="BP83" i="18"/>
  <c r="CZ83" i="18" s="1"/>
  <c r="BQ83" i="18"/>
  <c r="DA83" i="18" s="1"/>
  <c r="BR83" i="18"/>
  <c r="DB83" i="18" s="1"/>
  <c r="BS83" i="18"/>
  <c r="DC83" i="18" s="1"/>
  <c r="BT83" i="18"/>
  <c r="DD83" i="18" s="1"/>
  <c r="BU83" i="18"/>
  <c r="DE83" i="18" s="1"/>
  <c r="BV83" i="18"/>
  <c r="DF83" i="18" s="1"/>
  <c r="BW83" i="18"/>
  <c r="DG83" i="18" s="1"/>
  <c r="BX83" i="18"/>
  <c r="DH83" i="18" s="1"/>
  <c r="BY83" i="18"/>
  <c r="DI83" i="18" s="1"/>
  <c r="BN84" i="18"/>
  <c r="CX84" i="18" s="1"/>
  <c r="BO84" i="18"/>
  <c r="CY84" i="18" s="1"/>
  <c r="BP84" i="18"/>
  <c r="CZ84" i="18" s="1"/>
  <c r="BQ84" i="18"/>
  <c r="DA84" i="18" s="1"/>
  <c r="BR84" i="18"/>
  <c r="DB84" i="18" s="1"/>
  <c r="BS84" i="18"/>
  <c r="DC84" i="18" s="1"/>
  <c r="BT84" i="18"/>
  <c r="DD84" i="18" s="1"/>
  <c r="BU84" i="18"/>
  <c r="DE84" i="18" s="1"/>
  <c r="BV84" i="18"/>
  <c r="DF84" i="18" s="1"/>
  <c r="BW84" i="18"/>
  <c r="DG84" i="18" s="1"/>
  <c r="BX84" i="18"/>
  <c r="DH84" i="18" s="1"/>
  <c r="BY84" i="18"/>
  <c r="DI84" i="18" s="1"/>
  <c r="BN85" i="18"/>
  <c r="CX85" i="18" s="1"/>
  <c r="BO85" i="18"/>
  <c r="CY85" i="18" s="1"/>
  <c r="BP85" i="18"/>
  <c r="CZ85" i="18" s="1"/>
  <c r="BQ85" i="18"/>
  <c r="DA85" i="18" s="1"/>
  <c r="BR85" i="18"/>
  <c r="DB85" i="18" s="1"/>
  <c r="BS85" i="18"/>
  <c r="DC85" i="18" s="1"/>
  <c r="BT85" i="18"/>
  <c r="DD85" i="18" s="1"/>
  <c r="BU85" i="18"/>
  <c r="DE85" i="18" s="1"/>
  <c r="BV85" i="18"/>
  <c r="DF85" i="18" s="1"/>
  <c r="BW85" i="18"/>
  <c r="DG85" i="18" s="1"/>
  <c r="BX85" i="18"/>
  <c r="DH85" i="18" s="1"/>
  <c r="BY85" i="18"/>
  <c r="DI85" i="18" s="1"/>
  <c r="BN86" i="18"/>
  <c r="CX86" i="18" s="1"/>
  <c r="BO86" i="18"/>
  <c r="CY86" i="18" s="1"/>
  <c r="BP86" i="18"/>
  <c r="CZ86" i="18" s="1"/>
  <c r="BQ86" i="18"/>
  <c r="DA86" i="18" s="1"/>
  <c r="BR86" i="18"/>
  <c r="DB86" i="18" s="1"/>
  <c r="BS86" i="18"/>
  <c r="DC86" i="18" s="1"/>
  <c r="BT86" i="18"/>
  <c r="DD86" i="18" s="1"/>
  <c r="BU86" i="18"/>
  <c r="DE86" i="18" s="1"/>
  <c r="BV86" i="18"/>
  <c r="DF86" i="18" s="1"/>
  <c r="BW86" i="18"/>
  <c r="DG86" i="18" s="1"/>
  <c r="BX86" i="18"/>
  <c r="DH86" i="18" s="1"/>
  <c r="BY86" i="18"/>
  <c r="DI86" i="18" s="1"/>
  <c r="BN87" i="18"/>
  <c r="CX87" i="18" s="1"/>
  <c r="BO87" i="18"/>
  <c r="CY87" i="18" s="1"/>
  <c r="BP87" i="18"/>
  <c r="CZ87" i="18" s="1"/>
  <c r="BQ87" i="18"/>
  <c r="DA87" i="18" s="1"/>
  <c r="BR87" i="18"/>
  <c r="DB87" i="18" s="1"/>
  <c r="BS87" i="18"/>
  <c r="DC87" i="18" s="1"/>
  <c r="BT87" i="18"/>
  <c r="DD87" i="18" s="1"/>
  <c r="BU87" i="18"/>
  <c r="DE87" i="18" s="1"/>
  <c r="BV87" i="18"/>
  <c r="DF87" i="18" s="1"/>
  <c r="BW87" i="18"/>
  <c r="DG87" i="18" s="1"/>
  <c r="BX87" i="18"/>
  <c r="DH87" i="18" s="1"/>
  <c r="BY87" i="18"/>
  <c r="DI87" i="18" s="1"/>
  <c r="BN88" i="18"/>
  <c r="CX88" i="18" s="1"/>
  <c r="BO88" i="18"/>
  <c r="CY88" i="18" s="1"/>
  <c r="BP88" i="18"/>
  <c r="CZ88" i="18" s="1"/>
  <c r="BQ88" i="18"/>
  <c r="DA88" i="18" s="1"/>
  <c r="BR88" i="18"/>
  <c r="DB88" i="18" s="1"/>
  <c r="BS88" i="18"/>
  <c r="DC88" i="18" s="1"/>
  <c r="BT88" i="18"/>
  <c r="DD88" i="18" s="1"/>
  <c r="BU88" i="18"/>
  <c r="DE88" i="18" s="1"/>
  <c r="BV88" i="18"/>
  <c r="DF88" i="18" s="1"/>
  <c r="BW88" i="18"/>
  <c r="DG88" i="18" s="1"/>
  <c r="BX88" i="18"/>
  <c r="DH88" i="18" s="1"/>
  <c r="BY88" i="18"/>
  <c r="DI88" i="18" s="1"/>
  <c r="BN89" i="18"/>
  <c r="CX89" i="18" s="1"/>
  <c r="BO89" i="18"/>
  <c r="CY89" i="18" s="1"/>
  <c r="BP89" i="18"/>
  <c r="CZ89" i="18" s="1"/>
  <c r="BQ89" i="18"/>
  <c r="DA89" i="18" s="1"/>
  <c r="BR89" i="18"/>
  <c r="DB89" i="18" s="1"/>
  <c r="BS89" i="18"/>
  <c r="DC89" i="18" s="1"/>
  <c r="BT89" i="18"/>
  <c r="DD89" i="18" s="1"/>
  <c r="BU89" i="18"/>
  <c r="DE89" i="18" s="1"/>
  <c r="BV89" i="18"/>
  <c r="DF89" i="18" s="1"/>
  <c r="BW89" i="18"/>
  <c r="DG89" i="18" s="1"/>
  <c r="BX89" i="18"/>
  <c r="DH89" i="18" s="1"/>
  <c r="BY89" i="18"/>
  <c r="DI89" i="18" s="1"/>
  <c r="BN90" i="18"/>
  <c r="CX90" i="18" s="1"/>
  <c r="BO90" i="18"/>
  <c r="CY90" i="18" s="1"/>
  <c r="BP90" i="18"/>
  <c r="CZ90" i="18" s="1"/>
  <c r="BQ90" i="18"/>
  <c r="DA90" i="18" s="1"/>
  <c r="BR90" i="18"/>
  <c r="DB90" i="18" s="1"/>
  <c r="BS90" i="18"/>
  <c r="DC90" i="18" s="1"/>
  <c r="BT90" i="18"/>
  <c r="DD90" i="18" s="1"/>
  <c r="BU90" i="18"/>
  <c r="DE90" i="18" s="1"/>
  <c r="BV90" i="18"/>
  <c r="DF90" i="18" s="1"/>
  <c r="BW90" i="18"/>
  <c r="DG90" i="18" s="1"/>
  <c r="BX90" i="18"/>
  <c r="DH90" i="18" s="1"/>
  <c r="BY90" i="18"/>
  <c r="DI90" i="18" s="1"/>
  <c r="BN91" i="18"/>
  <c r="CX91" i="18" s="1"/>
  <c r="BO91" i="18"/>
  <c r="CY91" i="18" s="1"/>
  <c r="BP91" i="18"/>
  <c r="CZ91" i="18" s="1"/>
  <c r="BQ91" i="18"/>
  <c r="DA91" i="18" s="1"/>
  <c r="BR91" i="18"/>
  <c r="DB91" i="18" s="1"/>
  <c r="BS91" i="18"/>
  <c r="DC91" i="18" s="1"/>
  <c r="BT91" i="18"/>
  <c r="DD91" i="18" s="1"/>
  <c r="BU91" i="18"/>
  <c r="DE91" i="18" s="1"/>
  <c r="BV91" i="18"/>
  <c r="DF91" i="18" s="1"/>
  <c r="BW91" i="18"/>
  <c r="DG91" i="18" s="1"/>
  <c r="BX91" i="18"/>
  <c r="DH91" i="18" s="1"/>
  <c r="BY91" i="18"/>
  <c r="DI91" i="18" s="1"/>
  <c r="BN92" i="18"/>
  <c r="CX92" i="18" s="1"/>
  <c r="BO92" i="18"/>
  <c r="CY92" i="18" s="1"/>
  <c r="BP92" i="18"/>
  <c r="CZ92" i="18" s="1"/>
  <c r="BQ92" i="18"/>
  <c r="DA92" i="18" s="1"/>
  <c r="BR92" i="18"/>
  <c r="DB92" i="18" s="1"/>
  <c r="BS92" i="18"/>
  <c r="DC92" i="18" s="1"/>
  <c r="BT92" i="18"/>
  <c r="DD92" i="18" s="1"/>
  <c r="BU92" i="18"/>
  <c r="DE92" i="18" s="1"/>
  <c r="BV92" i="18"/>
  <c r="DF92" i="18" s="1"/>
  <c r="BW92" i="18"/>
  <c r="DG92" i="18" s="1"/>
  <c r="BX92" i="18"/>
  <c r="DH92" i="18" s="1"/>
  <c r="BY92" i="18"/>
  <c r="DI92" i="18" s="1"/>
  <c r="BN93" i="18"/>
  <c r="CX93" i="18" s="1"/>
  <c r="BO93" i="18"/>
  <c r="CY93" i="18" s="1"/>
  <c r="BP93" i="18"/>
  <c r="CZ93" i="18" s="1"/>
  <c r="BQ93" i="18"/>
  <c r="DA93" i="18" s="1"/>
  <c r="BR93" i="18"/>
  <c r="DB93" i="18" s="1"/>
  <c r="BS93" i="18"/>
  <c r="DC93" i="18" s="1"/>
  <c r="BT93" i="18"/>
  <c r="DD93" i="18" s="1"/>
  <c r="BU93" i="18"/>
  <c r="DE93" i="18" s="1"/>
  <c r="BV93" i="18"/>
  <c r="DF93" i="18" s="1"/>
  <c r="BW93" i="18"/>
  <c r="DG93" i="18" s="1"/>
  <c r="BX93" i="18"/>
  <c r="DH93" i="18" s="1"/>
  <c r="BY93" i="18"/>
  <c r="DI93" i="18" s="1"/>
  <c r="BN94" i="18"/>
  <c r="CX94" i="18" s="1"/>
  <c r="BO94" i="18"/>
  <c r="CY94" i="18" s="1"/>
  <c r="BP94" i="18"/>
  <c r="CZ94" i="18" s="1"/>
  <c r="BQ94" i="18"/>
  <c r="DA94" i="18" s="1"/>
  <c r="BR94" i="18"/>
  <c r="DB94" i="18" s="1"/>
  <c r="BS94" i="18"/>
  <c r="DC94" i="18" s="1"/>
  <c r="BT94" i="18"/>
  <c r="DD94" i="18" s="1"/>
  <c r="BU94" i="18"/>
  <c r="DE94" i="18" s="1"/>
  <c r="BV94" i="18"/>
  <c r="DF94" i="18" s="1"/>
  <c r="BW94" i="18"/>
  <c r="DG94" i="18" s="1"/>
  <c r="BX94" i="18"/>
  <c r="DH94" i="18" s="1"/>
  <c r="BY94" i="18"/>
  <c r="DI94" i="18" s="1"/>
  <c r="BN95" i="18"/>
  <c r="CX95" i="18" s="1"/>
  <c r="BO95" i="18"/>
  <c r="CY95" i="18" s="1"/>
  <c r="BP95" i="18"/>
  <c r="CZ95" i="18" s="1"/>
  <c r="BQ95" i="18"/>
  <c r="DA95" i="18" s="1"/>
  <c r="BR95" i="18"/>
  <c r="DB95" i="18" s="1"/>
  <c r="BS95" i="18"/>
  <c r="DC95" i="18" s="1"/>
  <c r="BT95" i="18"/>
  <c r="DD95" i="18" s="1"/>
  <c r="BU95" i="18"/>
  <c r="DE95" i="18" s="1"/>
  <c r="BV95" i="18"/>
  <c r="DF95" i="18" s="1"/>
  <c r="BW95" i="18"/>
  <c r="DG95" i="18" s="1"/>
  <c r="BX95" i="18"/>
  <c r="DH95" i="18" s="1"/>
  <c r="BY95" i="18"/>
  <c r="DI95" i="18" s="1"/>
  <c r="BN96" i="18"/>
  <c r="CX96" i="18" s="1"/>
  <c r="BO96" i="18"/>
  <c r="CY96" i="18" s="1"/>
  <c r="BP96" i="18"/>
  <c r="CZ96" i="18" s="1"/>
  <c r="BQ96" i="18"/>
  <c r="DA96" i="18" s="1"/>
  <c r="BR96" i="18"/>
  <c r="DB96" i="18" s="1"/>
  <c r="BS96" i="18"/>
  <c r="DC96" i="18" s="1"/>
  <c r="BT96" i="18"/>
  <c r="DD96" i="18" s="1"/>
  <c r="BU96" i="18"/>
  <c r="DE96" i="18" s="1"/>
  <c r="BV96" i="18"/>
  <c r="DF96" i="18" s="1"/>
  <c r="BW96" i="18"/>
  <c r="DG96" i="18" s="1"/>
  <c r="BX96" i="18"/>
  <c r="DH96" i="18" s="1"/>
  <c r="BY96" i="18"/>
  <c r="DI96" i="18" s="1"/>
  <c r="BN97" i="18"/>
  <c r="CX97" i="18" s="1"/>
  <c r="BO97" i="18"/>
  <c r="CY97" i="18" s="1"/>
  <c r="BP97" i="18"/>
  <c r="CZ97" i="18" s="1"/>
  <c r="BQ97" i="18"/>
  <c r="DA97" i="18" s="1"/>
  <c r="BR97" i="18"/>
  <c r="DB97" i="18" s="1"/>
  <c r="BS97" i="18"/>
  <c r="DC97" i="18" s="1"/>
  <c r="BT97" i="18"/>
  <c r="DD97" i="18" s="1"/>
  <c r="BU97" i="18"/>
  <c r="DE97" i="18" s="1"/>
  <c r="BV97" i="18"/>
  <c r="DF97" i="18" s="1"/>
  <c r="BW97" i="18"/>
  <c r="DG97" i="18" s="1"/>
  <c r="BX97" i="18"/>
  <c r="DH97" i="18" s="1"/>
  <c r="BY97" i="18"/>
  <c r="DI97" i="18" s="1"/>
  <c r="BN98" i="18"/>
  <c r="CX98" i="18" s="1"/>
  <c r="BO98" i="18"/>
  <c r="CY98" i="18" s="1"/>
  <c r="BP98" i="18"/>
  <c r="CZ98" i="18" s="1"/>
  <c r="BQ98" i="18"/>
  <c r="DA98" i="18" s="1"/>
  <c r="BR98" i="18"/>
  <c r="DB98" i="18" s="1"/>
  <c r="BS98" i="18"/>
  <c r="DC98" i="18" s="1"/>
  <c r="BT98" i="18"/>
  <c r="DD98" i="18" s="1"/>
  <c r="BU98" i="18"/>
  <c r="DE98" i="18" s="1"/>
  <c r="BV98" i="18"/>
  <c r="DF98" i="18" s="1"/>
  <c r="BW98" i="18"/>
  <c r="DG98" i="18" s="1"/>
  <c r="BX98" i="18"/>
  <c r="DH98" i="18" s="1"/>
  <c r="BY98" i="18"/>
  <c r="DI98" i="18" s="1"/>
  <c r="BN99" i="18"/>
  <c r="CX99" i="18" s="1"/>
  <c r="BO99" i="18"/>
  <c r="CY99" i="18" s="1"/>
  <c r="BP99" i="18"/>
  <c r="CZ99" i="18" s="1"/>
  <c r="BQ99" i="18"/>
  <c r="DA99" i="18" s="1"/>
  <c r="BR99" i="18"/>
  <c r="DB99" i="18" s="1"/>
  <c r="BS99" i="18"/>
  <c r="DC99" i="18" s="1"/>
  <c r="BT99" i="18"/>
  <c r="DD99" i="18" s="1"/>
  <c r="BU99" i="18"/>
  <c r="DE99" i="18" s="1"/>
  <c r="BV99" i="18"/>
  <c r="DF99" i="18" s="1"/>
  <c r="BW99" i="18"/>
  <c r="DG99" i="18" s="1"/>
  <c r="BX99" i="18"/>
  <c r="DH99" i="18" s="1"/>
  <c r="BY99" i="18"/>
  <c r="DI99" i="18" s="1"/>
  <c r="BN100" i="18"/>
  <c r="CX100" i="18" s="1"/>
  <c r="BO100" i="18"/>
  <c r="CY100" i="18" s="1"/>
  <c r="BP100" i="18"/>
  <c r="CZ100" i="18" s="1"/>
  <c r="BQ100" i="18"/>
  <c r="DA100" i="18" s="1"/>
  <c r="BR100" i="18"/>
  <c r="DB100" i="18" s="1"/>
  <c r="BS100" i="18"/>
  <c r="DC100" i="18" s="1"/>
  <c r="BT100" i="18"/>
  <c r="DD100" i="18" s="1"/>
  <c r="BU100" i="18"/>
  <c r="DE100" i="18" s="1"/>
  <c r="BV100" i="18"/>
  <c r="DF100" i="18" s="1"/>
  <c r="BW100" i="18"/>
  <c r="DG100" i="18" s="1"/>
  <c r="BX100" i="18"/>
  <c r="DH100" i="18" s="1"/>
  <c r="BY100" i="18"/>
  <c r="DI100" i="18" s="1"/>
  <c r="BN101" i="18"/>
  <c r="CX101" i="18" s="1"/>
  <c r="BO101" i="18"/>
  <c r="CY101" i="18" s="1"/>
  <c r="BP101" i="18"/>
  <c r="CZ101" i="18" s="1"/>
  <c r="BQ101" i="18"/>
  <c r="DA101" i="18" s="1"/>
  <c r="BR101" i="18"/>
  <c r="DB101" i="18" s="1"/>
  <c r="BS101" i="18"/>
  <c r="DC101" i="18" s="1"/>
  <c r="BT101" i="18"/>
  <c r="DD101" i="18" s="1"/>
  <c r="BU101" i="18"/>
  <c r="DE101" i="18" s="1"/>
  <c r="BV101" i="18"/>
  <c r="DF101" i="18" s="1"/>
  <c r="BW101" i="18"/>
  <c r="DG101" i="18" s="1"/>
  <c r="BX101" i="18"/>
  <c r="DH101" i="18" s="1"/>
  <c r="BY101" i="18"/>
  <c r="DI101" i="18" s="1"/>
  <c r="BN102" i="18"/>
  <c r="CX102" i="18" s="1"/>
  <c r="BO102" i="18"/>
  <c r="CY102" i="18" s="1"/>
  <c r="BP102" i="18"/>
  <c r="CZ102" i="18" s="1"/>
  <c r="BQ102" i="18"/>
  <c r="DA102" i="18" s="1"/>
  <c r="BR102" i="18"/>
  <c r="DB102" i="18" s="1"/>
  <c r="BS102" i="18"/>
  <c r="DC102" i="18" s="1"/>
  <c r="BT102" i="18"/>
  <c r="DD102" i="18" s="1"/>
  <c r="BU102" i="18"/>
  <c r="DE102" i="18" s="1"/>
  <c r="BV102" i="18"/>
  <c r="DF102" i="18" s="1"/>
  <c r="BW102" i="18"/>
  <c r="DG102" i="18" s="1"/>
  <c r="BX102" i="18"/>
  <c r="DH102" i="18" s="1"/>
  <c r="BY102" i="18"/>
  <c r="DI102" i="18" s="1"/>
  <c r="BN103" i="18"/>
  <c r="CX103" i="18" s="1"/>
  <c r="BO103" i="18"/>
  <c r="CY103" i="18" s="1"/>
  <c r="BP103" i="18"/>
  <c r="CZ103" i="18" s="1"/>
  <c r="BQ103" i="18"/>
  <c r="DA103" i="18" s="1"/>
  <c r="BR103" i="18"/>
  <c r="DB103" i="18" s="1"/>
  <c r="BS103" i="18"/>
  <c r="DC103" i="18" s="1"/>
  <c r="BT103" i="18"/>
  <c r="DD103" i="18" s="1"/>
  <c r="BU103" i="18"/>
  <c r="DE103" i="18" s="1"/>
  <c r="BV103" i="18"/>
  <c r="DF103" i="18" s="1"/>
  <c r="BW103" i="18"/>
  <c r="DG103" i="18" s="1"/>
  <c r="BX103" i="18"/>
  <c r="DH103" i="18" s="1"/>
  <c r="BY103" i="18"/>
  <c r="DI103" i="18" s="1"/>
  <c r="BN104" i="18"/>
  <c r="CX104" i="18" s="1"/>
  <c r="BO104" i="18"/>
  <c r="CY104" i="18" s="1"/>
  <c r="BP104" i="18"/>
  <c r="CZ104" i="18" s="1"/>
  <c r="BQ104" i="18"/>
  <c r="DA104" i="18" s="1"/>
  <c r="BR104" i="18"/>
  <c r="DB104" i="18" s="1"/>
  <c r="BS104" i="18"/>
  <c r="DC104" i="18" s="1"/>
  <c r="BT104" i="18"/>
  <c r="DD104" i="18" s="1"/>
  <c r="BU104" i="18"/>
  <c r="DE104" i="18" s="1"/>
  <c r="BV104" i="18"/>
  <c r="DF104" i="18" s="1"/>
  <c r="BW104" i="18"/>
  <c r="DG104" i="18" s="1"/>
  <c r="BX104" i="18"/>
  <c r="DH104" i="18" s="1"/>
  <c r="BY104" i="18"/>
  <c r="DI104" i="18" s="1"/>
  <c r="BN105" i="18"/>
  <c r="CX105" i="18" s="1"/>
  <c r="BO105" i="18"/>
  <c r="CY105" i="18" s="1"/>
  <c r="BP105" i="18"/>
  <c r="CZ105" i="18" s="1"/>
  <c r="BQ105" i="18"/>
  <c r="DA105" i="18" s="1"/>
  <c r="BR105" i="18"/>
  <c r="DB105" i="18" s="1"/>
  <c r="BS105" i="18"/>
  <c r="DC105" i="18" s="1"/>
  <c r="BT105" i="18"/>
  <c r="DD105" i="18" s="1"/>
  <c r="BU105" i="18"/>
  <c r="DE105" i="18" s="1"/>
  <c r="BV105" i="18"/>
  <c r="DF105" i="18" s="1"/>
  <c r="BW105" i="18"/>
  <c r="DG105" i="18" s="1"/>
  <c r="BX105" i="18"/>
  <c r="DH105" i="18" s="1"/>
  <c r="BY105" i="18"/>
  <c r="DI105" i="18" s="1"/>
  <c r="BN106" i="18"/>
  <c r="CX106" i="18" s="1"/>
  <c r="BO106" i="18"/>
  <c r="CY106" i="18" s="1"/>
  <c r="BP106" i="18"/>
  <c r="CZ106" i="18" s="1"/>
  <c r="BQ106" i="18"/>
  <c r="DA106" i="18" s="1"/>
  <c r="BR106" i="18"/>
  <c r="DB106" i="18" s="1"/>
  <c r="BS106" i="18"/>
  <c r="DC106" i="18" s="1"/>
  <c r="BT106" i="18"/>
  <c r="DD106" i="18" s="1"/>
  <c r="BU106" i="18"/>
  <c r="DE106" i="18" s="1"/>
  <c r="BV106" i="18"/>
  <c r="DF106" i="18" s="1"/>
  <c r="BW106" i="18"/>
  <c r="DG106" i="18" s="1"/>
  <c r="BX106" i="18"/>
  <c r="DH106" i="18" s="1"/>
  <c r="BY106" i="18"/>
  <c r="DI106" i="18" s="1"/>
  <c r="BN107" i="18"/>
  <c r="CX107" i="18" s="1"/>
  <c r="BO107" i="18"/>
  <c r="CY107" i="18" s="1"/>
  <c r="BP107" i="18"/>
  <c r="CZ107" i="18" s="1"/>
  <c r="BQ107" i="18"/>
  <c r="DA107" i="18" s="1"/>
  <c r="BR107" i="18"/>
  <c r="DB107" i="18" s="1"/>
  <c r="BS107" i="18"/>
  <c r="DC107" i="18" s="1"/>
  <c r="BT107" i="18"/>
  <c r="DD107" i="18" s="1"/>
  <c r="BU107" i="18"/>
  <c r="DE107" i="18" s="1"/>
  <c r="BV107" i="18"/>
  <c r="DF107" i="18" s="1"/>
  <c r="BW107" i="18"/>
  <c r="DG107" i="18" s="1"/>
  <c r="BX107" i="18"/>
  <c r="DH107" i="18" s="1"/>
  <c r="BY107" i="18"/>
  <c r="DI107" i="18" s="1"/>
  <c r="BN108" i="18"/>
  <c r="CX108" i="18" s="1"/>
  <c r="BO108" i="18"/>
  <c r="CY108" i="18" s="1"/>
  <c r="BP108" i="18"/>
  <c r="CZ108" i="18" s="1"/>
  <c r="BQ108" i="18"/>
  <c r="DA108" i="18" s="1"/>
  <c r="BR108" i="18"/>
  <c r="DB108" i="18" s="1"/>
  <c r="BS108" i="18"/>
  <c r="DC108" i="18" s="1"/>
  <c r="BT108" i="18"/>
  <c r="DD108" i="18" s="1"/>
  <c r="BU108" i="18"/>
  <c r="DE108" i="18" s="1"/>
  <c r="BV108" i="18"/>
  <c r="DF108" i="18" s="1"/>
  <c r="BW108" i="18"/>
  <c r="DG108" i="18" s="1"/>
  <c r="BX108" i="18"/>
  <c r="DH108" i="18" s="1"/>
  <c r="BY108" i="18"/>
  <c r="DI108" i="18" s="1"/>
  <c r="BN109" i="18"/>
  <c r="CX109" i="18" s="1"/>
  <c r="BO109" i="18"/>
  <c r="CY109" i="18" s="1"/>
  <c r="BP109" i="18"/>
  <c r="CZ109" i="18" s="1"/>
  <c r="BQ109" i="18"/>
  <c r="DA109" i="18" s="1"/>
  <c r="BR109" i="18"/>
  <c r="DB109" i="18" s="1"/>
  <c r="BS109" i="18"/>
  <c r="DC109" i="18" s="1"/>
  <c r="BT109" i="18"/>
  <c r="DD109" i="18" s="1"/>
  <c r="BU109" i="18"/>
  <c r="BV109" i="18"/>
  <c r="DF109" i="18" s="1"/>
  <c r="BW109" i="18"/>
  <c r="DG109" i="18" s="1"/>
  <c r="BX109" i="18"/>
  <c r="DH109" i="18" s="1"/>
  <c r="BY109" i="18"/>
  <c r="DI109" i="18" s="1"/>
  <c r="BN110" i="18"/>
  <c r="CX110" i="18" s="1"/>
  <c r="BO110" i="18"/>
  <c r="CY110" i="18" s="1"/>
  <c r="BP110" i="18"/>
  <c r="CZ110" i="18" s="1"/>
  <c r="BQ110" i="18"/>
  <c r="DA110" i="18" s="1"/>
  <c r="BR110" i="18"/>
  <c r="DB110" i="18" s="1"/>
  <c r="BS110" i="18"/>
  <c r="DC110" i="18" s="1"/>
  <c r="BT110" i="18"/>
  <c r="DD110" i="18" s="1"/>
  <c r="BU110" i="18"/>
  <c r="DE110" i="18" s="1"/>
  <c r="BV110" i="18"/>
  <c r="DF110" i="18" s="1"/>
  <c r="BW110" i="18"/>
  <c r="DG110" i="18" s="1"/>
  <c r="BX110" i="18"/>
  <c r="DH110" i="18" s="1"/>
  <c r="BY110" i="18"/>
  <c r="DI110" i="18" s="1"/>
  <c r="BN111" i="18"/>
  <c r="CX111" i="18" s="1"/>
  <c r="BO111" i="18"/>
  <c r="CY111" i="18" s="1"/>
  <c r="BP111" i="18"/>
  <c r="CZ111" i="18" s="1"/>
  <c r="BQ111" i="18"/>
  <c r="DA111" i="18" s="1"/>
  <c r="BR111" i="18"/>
  <c r="DB111" i="18" s="1"/>
  <c r="BS111" i="18"/>
  <c r="DC111" i="18" s="1"/>
  <c r="BT111" i="18"/>
  <c r="DD111" i="18" s="1"/>
  <c r="BU111" i="18"/>
  <c r="DE111" i="18" s="1"/>
  <c r="BV111" i="18"/>
  <c r="DF111" i="18" s="1"/>
  <c r="BW111" i="18"/>
  <c r="DG111" i="18" s="1"/>
  <c r="BX111" i="18"/>
  <c r="DH111" i="18" s="1"/>
  <c r="BY111" i="18"/>
  <c r="DI111" i="18" s="1"/>
  <c r="BN112" i="18"/>
  <c r="CX112" i="18" s="1"/>
  <c r="BO112" i="18"/>
  <c r="CY112" i="18" s="1"/>
  <c r="BP112" i="18"/>
  <c r="CZ112" i="18" s="1"/>
  <c r="BQ112" i="18"/>
  <c r="DA112" i="18" s="1"/>
  <c r="BR112" i="18"/>
  <c r="DB112" i="18" s="1"/>
  <c r="BS112" i="18"/>
  <c r="DC112" i="18" s="1"/>
  <c r="BT112" i="18"/>
  <c r="DD112" i="18" s="1"/>
  <c r="BU112" i="18"/>
  <c r="DE112" i="18" s="1"/>
  <c r="BV112" i="18"/>
  <c r="DF112" i="18" s="1"/>
  <c r="BW112" i="18"/>
  <c r="DG112" i="18" s="1"/>
  <c r="BX112" i="18"/>
  <c r="DH112" i="18" s="1"/>
  <c r="BY112" i="18"/>
  <c r="DI112" i="18" s="1"/>
  <c r="BN113" i="18"/>
  <c r="CX113" i="18" s="1"/>
  <c r="BO113" i="18"/>
  <c r="CY113" i="18" s="1"/>
  <c r="BP113" i="18"/>
  <c r="CZ113" i="18" s="1"/>
  <c r="BQ113" i="18"/>
  <c r="DA113" i="18" s="1"/>
  <c r="BR113" i="18"/>
  <c r="DB113" i="18" s="1"/>
  <c r="BS113" i="18"/>
  <c r="DC113" i="18" s="1"/>
  <c r="BT113" i="18"/>
  <c r="DD113" i="18" s="1"/>
  <c r="BU113" i="18"/>
  <c r="DE113" i="18" s="1"/>
  <c r="BV113" i="18"/>
  <c r="DF113" i="18" s="1"/>
  <c r="BW113" i="18"/>
  <c r="DG113" i="18" s="1"/>
  <c r="BX113" i="18"/>
  <c r="DH113" i="18" s="1"/>
  <c r="BY113" i="18"/>
  <c r="DI113" i="18" s="1"/>
  <c r="BN114" i="18"/>
  <c r="CX114" i="18" s="1"/>
  <c r="BO114" i="18"/>
  <c r="CY114" i="18" s="1"/>
  <c r="BP114" i="18"/>
  <c r="CZ114" i="18" s="1"/>
  <c r="BQ114" i="18"/>
  <c r="DA114" i="18" s="1"/>
  <c r="BR114" i="18"/>
  <c r="DB114" i="18" s="1"/>
  <c r="BS114" i="18"/>
  <c r="DC114" i="18" s="1"/>
  <c r="BT114" i="18"/>
  <c r="DD114" i="18" s="1"/>
  <c r="BU114" i="18"/>
  <c r="DE114" i="18" s="1"/>
  <c r="BV114" i="18"/>
  <c r="DF114" i="18" s="1"/>
  <c r="BW114" i="18"/>
  <c r="DG114" i="18" s="1"/>
  <c r="BX114" i="18"/>
  <c r="DH114" i="18" s="1"/>
  <c r="BY114" i="18"/>
  <c r="DI114" i="18" s="1"/>
  <c r="BN115" i="18"/>
  <c r="CX115" i="18" s="1"/>
  <c r="BO115" i="18"/>
  <c r="CY115" i="18" s="1"/>
  <c r="BP115" i="18"/>
  <c r="CZ115" i="18" s="1"/>
  <c r="BQ115" i="18"/>
  <c r="DA115" i="18" s="1"/>
  <c r="BR115" i="18"/>
  <c r="DB115" i="18" s="1"/>
  <c r="BS115" i="18"/>
  <c r="DC115" i="18" s="1"/>
  <c r="BT115" i="18"/>
  <c r="DD115" i="18" s="1"/>
  <c r="BU115" i="18"/>
  <c r="DE115" i="18" s="1"/>
  <c r="BV115" i="18"/>
  <c r="DF115" i="18" s="1"/>
  <c r="BW115" i="18"/>
  <c r="DG115" i="18" s="1"/>
  <c r="BX115" i="18"/>
  <c r="DH115" i="18" s="1"/>
  <c r="BY115" i="18"/>
  <c r="DI115" i="18" s="1"/>
  <c r="BN116" i="18"/>
  <c r="CX116" i="18" s="1"/>
  <c r="BO116" i="18"/>
  <c r="CY116" i="18" s="1"/>
  <c r="BP116" i="18"/>
  <c r="CZ116" i="18" s="1"/>
  <c r="BQ116" i="18"/>
  <c r="DA116" i="18" s="1"/>
  <c r="BR116" i="18"/>
  <c r="DB116" i="18" s="1"/>
  <c r="BS116" i="18"/>
  <c r="DC116" i="18" s="1"/>
  <c r="BT116" i="18"/>
  <c r="BU116" i="18"/>
  <c r="DE116" i="18" s="1"/>
  <c r="BV116" i="18"/>
  <c r="DF116" i="18" s="1"/>
  <c r="BW116" i="18"/>
  <c r="DG116" i="18" s="1"/>
  <c r="BX116" i="18"/>
  <c r="DH116" i="18" s="1"/>
  <c r="BY116" i="18"/>
  <c r="DI116" i="18" s="1"/>
  <c r="BN117" i="18"/>
  <c r="CX117" i="18" s="1"/>
  <c r="BO117" i="18"/>
  <c r="CY117" i="18" s="1"/>
  <c r="BP117" i="18"/>
  <c r="CZ117" i="18" s="1"/>
  <c r="BQ117" i="18"/>
  <c r="DA117" i="18" s="1"/>
  <c r="BR117" i="18"/>
  <c r="DB117" i="18" s="1"/>
  <c r="BS117" i="18"/>
  <c r="DC117" i="18" s="1"/>
  <c r="BT117" i="18"/>
  <c r="DD117" i="18" s="1"/>
  <c r="BU117" i="18"/>
  <c r="DE117" i="18" s="1"/>
  <c r="BV117" i="18"/>
  <c r="DF117" i="18" s="1"/>
  <c r="BW117" i="18"/>
  <c r="DG117" i="18" s="1"/>
  <c r="BX117" i="18"/>
  <c r="DH117" i="18" s="1"/>
  <c r="BY117" i="18"/>
  <c r="DI117" i="18" s="1"/>
  <c r="BN118" i="18"/>
  <c r="CX118" i="18" s="1"/>
  <c r="BO118" i="18"/>
  <c r="CY118" i="18" s="1"/>
  <c r="BP118" i="18"/>
  <c r="CZ118" i="18" s="1"/>
  <c r="BQ118" i="18"/>
  <c r="DA118" i="18" s="1"/>
  <c r="BR118" i="18"/>
  <c r="DB118" i="18" s="1"/>
  <c r="BS118" i="18"/>
  <c r="DC118" i="18" s="1"/>
  <c r="BT118" i="18"/>
  <c r="DD118" i="18" s="1"/>
  <c r="BU118" i="18"/>
  <c r="DE118" i="18" s="1"/>
  <c r="BV118" i="18"/>
  <c r="DF118" i="18" s="1"/>
  <c r="BW118" i="18"/>
  <c r="DG118" i="18" s="1"/>
  <c r="BX118" i="18"/>
  <c r="DH118" i="18" s="1"/>
  <c r="BY118" i="18"/>
  <c r="DI118" i="18" s="1"/>
  <c r="BN119" i="18"/>
  <c r="CX119" i="18" s="1"/>
  <c r="BO119" i="18"/>
  <c r="CY119" i="18" s="1"/>
  <c r="BP119" i="18"/>
  <c r="CZ119" i="18" s="1"/>
  <c r="BQ119" i="18"/>
  <c r="DA119" i="18" s="1"/>
  <c r="BR119" i="18"/>
  <c r="DB119" i="18" s="1"/>
  <c r="BS119" i="18"/>
  <c r="DC119" i="18" s="1"/>
  <c r="BT119" i="18"/>
  <c r="DD119" i="18" s="1"/>
  <c r="BU119" i="18"/>
  <c r="DE119" i="18" s="1"/>
  <c r="BV119" i="18"/>
  <c r="DF119" i="18" s="1"/>
  <c r="BW119" i="18"/>
  <c r="DG119" i="18" s="1"/>
  <c r="BX119" i="18"/>
  <c r="DH119" i="18" s="1"/>
  <c r="BY119" i="18"/>
  <c r="DI119" i="18" s="1"/>
  <c r="BN120" i="18"/>
  <c r="CX120" i="18" s="1"/>
  <c r="BO120" i="18"/>
  <c r="CY120" i="18" s="1"/>
  <c r="BP120" i="18"/>
  <c r="CZ120" i="18" s="1"/>
  <c r="BQ120" i="18"/>
  <c r="DA120" i="18" s="1"/>
  <c r="BR120" i="18"/>
  <c r="DB120" i="18" s="1"/>
  <c r="BS120" i="18"/>
  <c r="DC120" i="18" s="1"/>
  <c r="BT120" i="18"/>
  <c r="DD120" i="18" s="1"/>
  <c r="BU120" i="18"/>
  <c r="DE120" i="18" s="1"/>
  <c r="BV120" i="18"/>
  <c r="DF120" i="18" s="1"/>
  <c r="BW120" i="18"/>
  <c r="DG120" i="18" s="1"/>
  <c r="BX120" i="18"/>
  <c r="DH120" i="18" s="1"/>
  <c r="BY120" i="18"/>
  <c r="DI120" i="18" s="1"/>
  <c r="BN121" i="18"/>
  <c r="CX121" i="18" s="1"/>
  <c r="BO121" i="18"/>
  <c r="CY121" i="18" s="1"/>
  <c r="BP121" i="18"/>
  <c r="CZ121" i="18" s="1"/>
  <c r="BQ121" i="18"/>
  <c r="DA121" i="18" s="1"/>
  <c r="BR121" i="18"/>
  <c r="DB121" i="18" s="1"/>
  <c r="BS121" i="18"/>
  <c r="DC121" i="18" s="1"/>
  <c r="BT121" i="18"/>
  <c r="DD121" i="18" s="1"/>
  <c r="BU121" i="18"/>
  <c r="DE121" i="18" s="1"/>
  <c r="BV121" i="18"/>
  <c r="DF121" i="18" s="1"/>
  <c r="BW121" i="18"/>
  <c r="DG121" i="18" s="1"/>
  <c r="BX121" i="18"/>
  <c r="DH121" i="18" s="1"/>
  <c r="BY121" i="18"/>
  <c r="DI121" i="18" s="1"/>
  <c r="BN122" i="18"/>
  <c r="CX122" i="18" s="1"/>
  <c r="BO122" i="18"/>
  <c r="CY122" i="18" s="1"/>
  <c r="BP122" i="18"/>
  <c r="CZ122" i="18" s="1"/>
  <c r="BQ122" i="18"/>
  <c r="DA122" i="18" s="1"/>
  <c r="BR122" i="18"/>
  <c r="DB122" i="18" s="1"/>
  <c r="BS122" i="18"/>
  <c r="DC122" i="18" s="1"/>
  <c r="BT122" i="18"/>
  <c r="DD122" i="18" s="1"/>
  <c r="BU122" i="18"/>
  <c r="DE122" i="18" s="1"/>
  <c r="BV122" i="18"/>
  <c r="DF122" i="18" s="1"/>
  <c r="BW122" i="18"/>
  <c r="DG122" i="18" s="1"/>
  <c r="BX122" i="18"/>
  <c r="DH122" i="18" s="1"/>
  <c r="BY122" i="18"/>
  <c r="DI122" i="18" s="1"/>
  <c r="BN123" i="18"/>
  <c r="CX123" i="18" s="1"/>
  <c r="BO123" i="18"/>
  <c r="CY123" i="18" s="1"/>
  <c r="BP123" i="18"/>
  <c r="CZ123" i="18" s="1"/>
  <c r="BQ123" i="18"/>
  <c r="DA123" i="18" s="1"/>
  <c r="BR123" i="18"/>
  <c r="DB123" i="18" s="1"/>
  <c r="BS123" i="18"/>
  <c r="DC123" i="18" s="1"/>
  <c r="BT123" i="18"/>
  <c r="DD123" i="18" s="1"/>
  <c r="BU123" i="18"/>
  <c r="BV123" i="18"/>
  <c r="DF123" i="18" s="1"/>
  <c r="BW123" i="18"/>
  <c r="DG123" i="18" s="1"/>
  <c r="BX123" i="18"/>
  <c r="DH123" i="18" s="1"/>
  <c r="BY123" i="18"/>
  <c r="DI123" i="18" s="1"/>
  <c r="BN124" i="18"/>
  <c r="CX124" i="18" s="1"/>
  <c r="BO124" i="18"/>
  <c r="CY124" i="18" s="1"/>
  <c r="BP124" i="18"/>
  <c r="CZ124" i="18" s="1"/>
  <c r="BQ124" i="18"/>
  <c r="DA124" i="18" s="1"/>
  <c r="BR124" i="18"/>
  <c r="DB124" i="18" s="1"/>
  <c r="BS124" i="18"/>
  <c r="DC124" i="18" s="1"/>
  <c r="BT124" i="18"/>
  <c r="DD124" i="18" s="1"/>
  <c r="BU124" i="18"/>
  <c r="DE124" i="18" s="1"/>
  <c r="BV124" i="18"/>
  <c r="DF124" i="18" s="1"/>
  <c r="BW124" i="18"/>
  <c r="DG124" i="18" s="1"/>
  <c r="BX124" i="18"/>
  <c r="DH124" i="18" s="1"/>
  <c r="BY124" i="18"/>
  <c r="DI124" i="18" s="1"/>
  <c r="BN125" i="18"/>
  <c r="CX125" i="18" s="1"/>
  <c r="BO125" i="18"/>
  <c r="CY125" i="18" s="1"/>
  <c r="BP125" i="18"/>
  <c r="CZ125" i="18" s="1"/>
  <c r="BQ125" i="18"/>
  <c r="DA125" i="18" s="1"/>
  <c r="BR125" i="18"/>
  <c r="DB125" i="18" s="1"/>
  <c r="BS125" i="18"/>
  <c r="DC125" i="18" s="1"/>
  <c r="BT125" i="18"/>
  <c r="DD125" i="18" s="1"/>
  <c r="BU125" i="18"/>
  <c r="DE125" i="18" s="1"/>
  <c r="BV125" i="18"/>
  <c r="DF125" i="18" s="1"/>
  <c r="BW125" i="18"/>
  <c r="DG125" i="18" s="1"/>
  <c r="BX125" i="18"/>
  <c r="DH125" i="18" s="1"/>
  <c r="BY125" i="18"/>
  <c r="DI125" i="18" s="1"/>
  <c r="BN126" i="18"/>
  <c r="CX126" i="18" s="1"/>
  <c r="BO126" i="18"/>
  <c r="CY126" i="18" s="1"/>
  <c r="BP126" i="18"/>
  <c r="CZ126" i="18" s="1"/>
  <c r="BQ126" i="18"/>
  <c r="DA126" i="18" s="1"/>
  <c r="BR126" i="18"/>
  <c r="DB126" i="18" s="1"/>
  <c r="BS126" i="18"/>
  <c r="DC126" i="18" s="1"/>
  <c r="BT126" i="18"/>
  <c r="DD126" i="18" s="1"/>
  <c r="BU126" i="18"/>
  <c r="DE126" i="18" s="1"/>
  <c r="BV126" i="18"/>
  <c r="DF126" i="18" s="1"/>
  <c r="BW126" i="18"/>
  <c r="DG126" i="18" s="1"/>
  <c r="BX126" i="18"/>
  <c r="DH126" i="18" s="1"/>
  <c r="BY126" i="18"/>
  <c r="DI126" i="18" s="1"/>
  <c r="BN127" i="18"/>
  <c r="CX127" i="18" s="1"/>
  <c r="BO127" i="18"/>
  <c r="CY127" i="18" s="1"/>
  <c r="BP127" i="18"/>
  <c r="CZ127" i="18" s="1"/>
  <c r="BQ127" i="18"/>
  <c r="DA127" i="18" s="1"/>
  <c r="BR127" i="18"/>
  <c r="DB127" i="18" s="1"/>
  <c r="BS127" i="18"/>
  <c r="DC127" i="18" s="1"/>
  <c r="BT127" i="18"/>
  <c r="DD127" i="18" s="1"/>
  <c r="BU127" i="18"/>
  <c r="DE127" i="18" s="1"/>
  <c r="BV127" i="18"/>
  <c r="DF127" i="18" s="1"/>
  <c r="BW127" i="18"/>
  <c r="DG127" i="18" s="1"/>
  <c r="BX127" i="18"/>
  <c r="DH127" i="18" s="1"/>
  <c r="BY127" i="18"/>
  <c r="DI127" i="18" s="1"/>
  <c r="BN128" i="18"/>
  <c r="CX128" i="18" s="1"/>
  <c r="BO128" i="18"/>
  <c r="CY128" i="18" s="1"/>
  <c r="BP128" i="18"/>
  <c r="CZ128" i="18" s="1"/>
  <c r="BQ128" i="18"/>
  <c r="DA128" i="18" s="1"/>
  <c r="BR128" i="18"/>
  <c r="DB128" i="18" s="1"/>
  <c r="BS128" i="18"/>
  <c r="DC128" i="18" s="1"/>
  <c r="BT128" i="18"/>
  <c r="DD128" i="18" s="1"/>
  <c r="BU128" i="18"/>
  <c r="DE128" i="18" s="1"/>
  <c r="BV128" i="18"/>
  <c r="DF128" i="18" s="1"/>
  <c r="BW128" i="18"/>
  <c r="DG128" i="18" s="1"/>
  <c r="BX128" i="18"/>
  <c r="DH128" i="18" s="1"/>
  <c r="BY128" i="18"/>
  <c r="DI128" i="18" s="1"/>
  <c r="BN129" i="18"/>
  <c r="CX129" i="18" s="1"/>
  <c r="BO129" i="18"/>
  <c r="CY129" i="18" s="1"/>
  <c r="BP129" i="18"/>
  <c r="CZ129" i="18" s="1"/>
  <c r="BQ129" i="18"/>
  <c r="DA129" i="18" s="1"/>
  <c r="BR129" i="18"/>
  <c r="DB129" i="18" s="1"/>
  <c r="BS129" i="18"/>
  <c r="DC129" i="18" s="1"/>
  <c r="BT129" i="18"/>
  <c r="DD129" i="18" s="1"/>
  <c r="BU129" i="18"/>
  <c r="DE129" i="18" s="1"/>
  <c r="BV129" i="18"/>
  <c r="DF129" i="18" s="1"/>
  <c r="BW129" i="18"/>
  <c r="DG129" i="18" s="1"/>
  <c r="BX129" i="18"/>
  <c r="DH129" i="18" s="1"/>
  <c r="BY129" i="18"/>
  <c r="DI129" i="18" s="1"/>
  <c r="BN130" i="18"/>
  <c r="CX130" i="18" s="1"/>
  <c r="BO130" i="18"/>
  <c r="CY130" i="18" s="1"/>
  <c r="BP130" i="18"/>
  <c r="CZ130" i="18" s="1"/>
  <c r="BQ130" i="18"/>
  <c r="DA130" i="18" s="1"/>
  <c r="BR130" i="18"/>
  <c r="DB130" i="18" s="1"/>
  <c r="BS130" i="18"/>
  <c r="DC130" i="18" s="1"/>
  <c r="BT130" i="18"/>
  <c r="DD130" i="18" s="1"/>
  <c r="BU130" i="18"/>
  <c r="DE130" i="18" s="1"/>
  <c r="BV130" i="18"/>
  <c r="DF130" i="18" s="1"/>
  <c r="BW130" i="18"/>
  <c r="DG130" i="18" s="1"/>
  <c r="BX130" i="18"/>
  <c r="DH130" i="18" s="1"/>
  <c r="BY130" i="18"/>
  <c r="DI130" i="18" s="1"/>
  <c r="BN131" i="18"/>
  <c r="CX131" i="18" s="1"/>
  <c r="BO131" i="18"/>
  <c r="CY131" i="18" s="1"/>
  <c r="BP131" i="18"/>
  <c r="CZ131" i="18" s="1"/>
  <c r="BQ131" i="18"/>
  <c r="DA131" i="18" s="1"/>
  <c r="BR131" i="18"/>
  <c r="DB131" i="18" s="1"/>
  <c r="BS131" i="18"/>
  <c r="DC131" i="18" s="1"/>
  <c r="BT131" i="18"/>
  <c r="DD131" i="18" s="1"/>
  <c r="BU131" i="18"/>
  <c r="DE131" i="18" s="1"/>
  <c r="BV131" i="18"/>
  <c r="DF131" i="18" s="1"/>
  <c r="BW131" i="18"/>
  <c r="DG131" i="18" s="1"/>
  <c r="BX131" i="18"/>
  <c r="DH131" i="18" s="1"/>
  <c r="BY131" i="18"/>
  <c r="DI131" i="18" s="1"/>
  <c r="BN132" i="18"/>
  <c r="CX132" i="18" s="1"/>
  <c r="BO132" i="18"/>
  <c r="CY132" i="18" s="1"/>
  <c r="BP132" i="18"/>
  <c r="CZ132" i="18" s="1"/>
  <c r="BQ132" i="18"/>
  <c r="DA132" i="18" s="1"/>
  <c r="BR132" i="18"/>
  <c r="DB132" i="18" s="1"/>
  <c r="BS132" i="18"/>
  <c r="DC132" i="18" s="1"/>
  <c r="BT132" i="18"/>
  <c r="DD132" i="18" s="1"/>
  <c r="BU132" i="18"/>
  <c r="DE132" i="18" s="1"/>
  <c r="BV132" i="18"/>
  <c r="DF132" i="18" s="1"/>
  <c r="BW132" i="18"/>
  <c r="DG132" i="18" s="1"/>
  <c r="BX132" i="18"/>
  <c r="DH132" i="18" s="1"/>
  <c r="BY132" i="18"/>
  <c r="DI132" i="18" s="1"/>
  <c r="BN133" i="18"/>
  <c r="CX133" i="18" s="1"/>
  <c r="BO133" i="18"/>
  <c r="CY133" i="18" s="1"/>
  <c r="BP133" i="18"/>
  <c r="CZ133" i="18" s="1"/>
  <c r="BQ133" i="18"/>
  <c r="DA133" i="18" s="1"/>
  <c r="BR133" i="18"/>
  <c r="DB133" i="18" s="1"/>
  <c r="BS133" i="18"/>
  <c r="DC133" i="18" s="1"/>
  <c r="BT133" i="18"/>
  <c r="DD133" i="18" s="1"/>
  <c r="BU133" i="18"/>
  <c r="DE133" i="18" s="1"/>
  <c r="BV133" i="18"/>
  <c r="DF133" i="18" s="1"/>
  <c r="BW133" i="18"/>
  <c r="DG133" i="18" s="1"/>
  <c r="BX133" i="18"/>
  <c r="DH133" i="18" s="1"/>
  <c r="BY133" i="18"/>
  <c r="DI133" i="18" s="1"/>
  <c r="BN134" i="18"/>
  <c r="CX134" i="18" s="1"/>
  <c r="BO134" i="18"/>
  <c r="CY134" i="18" s="1"/>
  <c r="BP134" i="18"/>
  <c r="CZ134" i="18" s="1"/>
  <c r="BQ134" i="18"/>
  <c r="DA134" i="18" s="1"/>
  <c r="BR134" i="18"/>
  <c r="DB134" i="18" s="1"/>
  <c r="BS134" i="18"/>
  <c r="DC134" i="18" s="1"/>
  <c r="BT134" i="18"/>
  <c r="DD134" i="18" s="1"/>
  <c r="BU134" i="18"/>
  <c r="DE134" i="18" s="1"/>
  <c r="BV134" i="18"/>
  <c r="DF134" i="18" s="1"/>
  <c r="BW134" i="18"/>
  <c r="DG134" i="18" s="1"/>
  <c r="BX134" i="18"/>
  <c r="DH134" i="18" s="1"/>
  <c r="BY134" i="18"/>
  <c r="DI134" i="18" s="1"/>
  <c r="BN135" i="18"/>
  <c r="CX135" i="18" s="1"/>
  <c r="BO135" i="18"/>
  <c r="CY135" i="18" s="1"/>
  <c r="BP135" i="18"/>
  <c r="CZ135" i="18" s="1"/>
  <c r="BQ135" i="18"/>
  <c r="DA135" i="18" s="1"/>
  <c r="BR135" i="18"/>
  <c r="DB135" i="18" s="1"/>
  <c r="BS135" i="18"/>
  <c r="DC135" i="18" s="1"/>
  <c r="BT135" i="18"/>
  <c r="DD135" i="18" s="1"/>
  <c r="BU135" i="18"/>
  <c r="DE135" i="18" s="1"/>
  <c r="BV135" i="18"/>
  <c r="DF135" i="18" s="1"/>
  <c r="BW135" i="18"/>
  <c r="DG135" i="18" s="1"/>
  <c r="BX135" i="18"/>
  <c r="DH135" i="18" s="1"/>
  <c r="BY135" i="18"/>
  <c r="DI135" i="18" s="1"/>
  <c r="BN136" i="18"/>
  <c r="CX136" i="18" s="1"/>
  <c r="BO136" i="18"/>
  <c r="CY136" i="18" s="1"/>
  <c r="BP136" i="18"/>
  <c r="CZ136" i="18" s="1"/>
  <c r="BQ136" i="18"/>
  <c r="DA136" i="18" s="1"/>
  <c r="BR136" i="18"/>
  <c r="DB136" i="18" s="1"/>
  <c r="BS136" i="18"/>
  <c r="DC136" i="18" s="1"/>
  <c r="BT136" i="18"/>
  <c r="DD136" i="18" s="1"/>
  <c r="BU136" i="18"/>
  <c r="DE136" i="18" s="1"/>
  <c r="BV136" i="18"/>
  <c r="DF136" i="18" s="1"/>
  <c r="BW136" i="18"/>
  <c r="DG136" i="18" s="1"/>
  <c r="BX136" i="18"/>
  <c r="DH136" i="18" s="1"/>
  <c r="BY136" i="18"/>
  <c r="DI136" i="18" s="1"/>
  <c r="BN137" i="18"/>
  <c r="CX137" i="18" s="1"/>
  <c r="BO137" i="18"/>
  <c r="CY137" i="18" s="1"/>
  <c r="BP137" i="18"/>
  <c r="CZ137" i="18" s="1"/>
  <c r="BQ137" i="18"/>
  <c r="DA137" i="18" s="1"/>
  <c r="BR137" i="18"/>
  <c r="DB137" i="18" s="1"/>
  <c r="BS137" i="18"/>
  <c r="DC137" i="18" s="1"/>
  <c r="BT137" i="18"/>
  <c r="DD137" i="18" s="1"/>
  <c r="BU137" i="18"/>
  <c r="DE137" i="18" s="1"/>
  <c r="BV137" i="18"/>
  <c r="DF137" i="18" s="1"/>
  <c r="BW137" i="18"/>
  <c r="DG137" i="18" s="1"/>
  <c r="BX137" i="18"/>
  <c r="DH137" i="18" s="1"/>
  <c r="BY137" i="18"/>
  <c r="DI137" i="18" s="1"/>
  <c r="BN138" i="18"/>
  <c r="CX138" i="18" s="1"/>
  <c r="BO138" i="18"/>
  <c r="CY138" i="18" s="1"/>
  <c r="BP138" i="18"/>
  <c r="CZ138" i="18" s="1"/>
  <c r="BQ138" i="18"/>
  <c r="DA138" i="18" s="1"/>
  <c r="BR138" i="18"/>
  <c r="DB138" i="18" s="1"/>
  <c r="BS138" i="18"/>
  <c r="DC138" i="18" s="1"/>
  <c r="BT138" i="18"/>
  <c r="DD138" i="18" s="1"/>
  <c r="BU138" i="18"/>
  <c r="DE138" i="18" s="1"/>
  <c r="BV138" i="18"/>
  <c r="DF138" i="18" s="1"/>
  <c r="BW138" i="18"/>
  <c r="DG138" i="18" s="1"/>
  <c r="BX138" i="18"/>
  <c r="DH138" i="18" s="1"/>
  <c r="BY138" i="18"/>
  <c r="DI138" i="18" s="1"/>
  <c r="BN139" i="18"/>
  <c r="CX139" i="18" s="1"/>
  <c r="BO139" i="18"/>
  <c r="CY139" i="18" s="1"/>
  <c r="BP139" i="18"/>
  <c r="CZ139" i="18" s="1"/>
  <c r="BQ139" i="18"/>
  <c r="DA139" i="18" s="1"/>
  <c r="BR139" i="18"/>
  <c r="DB139" i="18" s="1"/>
  <c r="BS139" i="18"/>
  <c r="DC139" i="18" s="1"/>
  <c r="BT139" i="18"/>
  <c r="DD139" i="18" s="1"/>
  <c r="BU139" i="18"/>
  <c r="DE139" i="18" s="1"/>
  <c r="BV139" i="18"/>
  <c r="DF139" i="18" s="1"/>
  <c r="BW139" i="18"/>
  <c r="DG139" i="18" s="1"/>
  <c r="BX139" i="18"/>
  <c r="DH139" i="18" s="1"/>
  <c r="BY139" i="18"/>
  <c r="DI139" i="18" s="1"/>
  <c r="BN140" i="18"/>
  <c r="CX140" i="18" s="1"/>
  <c r="BO140" i="18"/>
  <c r="CY140" i="18" s="1"/>
  <c r="BP140" i="18"/>
  <c r="CZ140" i="18" s="1"/>
  <c r="BQ140" i="18"/>
  <c r="DA140" i="18" s="1"/>
  <c r="BR140" i="18"/>
  <c r="DB140" i="18" s="1"/>
  <c r="BS140" i="18"/>
  <c r="DC140" i="18" s="1"/>
  <c r="BT140" i="18"/>
  <c r="DD140" i="18" s="1"/>
  <c r="BU140" i="18"/>
  <c r="DE140" i="18" s="1"/>
  <c r="BV140" i="18"/>
  <c r="DF140" i="18" s="1"/>
  <c r="BW140" i="18"/>
  <c r="DG140" i="18" s="1"/>
  <c r="BX140" i="18"/>
  <c r="DH140" i="18" s="1"/>
  <c r="BY140" i="18"/>
  <c r="DI140" i="18" s="1"/>
  <c r="BN141" i="18"/>
  <c r="CX141" i="18" s="1"/>
  <c r="BO141" i="18"/>
  <c r="CY141" i="18" s="1"/>
  <c r="BP141" i="18"/>
  <c r="CZ141" i="18" s="1"/>
  <c r="BQ141" i="18"/>
  <c r="DA141" i="18" s="1"/>
  <c r="BR141" i="18"/>
  <c r="DB141" i="18" s="1"/>
  <c r="BS141" i="18"/>
  <c r="DC141" i="18" s="1"/>
  <c r="BT141" i="18"/>
  <c r="DD141" i="18" s="1"/>
  <c r="BU141" i="18"/>
  <c r="DE141" i="18" s="1"/>
  <c r="BV141" i="18"/>
  <c r="DF141" i="18" s="1"/>
  <c r="BW141" i="18"/>
  <c r="DG141" i="18" s="1"/>
  <c r="BX141" i="18"/>
  <c r="DH141" i="18" s="1"/>
  <c r="BY141" i="18"/>
  <c r="DI141" i="18" s="1"/>
  <c r="BN142" i="18"/>
  <c r="CX142" i="18" s="1"/>
  <c r="BO142" i="18"/>
  <c r="CY142" i="18" s="1"/>
  <c r="BP142" i="18"/>
  <c r="CZ142" i="18" s="1"/>
  <c r="BQ142" i="18"/>
  <c r="DA142" i="18" s="1"/>
  <c r="BR142" i="18"/>
  <c r="DB142" i="18" s="1"/>
  <c r="BS142" i="18"/>
  <c r="DC142" i="18" s="1"/>
  <c r="BT142" i="18"/>
  <c r="DD142" i="18" s="1"/>
  <c r="BU142" i="18"/>
  <c r="DE142" i="18" s="1"/>
  <c r="BV142" i="18"/>
  <c r="DF142" i="18" s="1"/>
  <c r="BW142" i="18"/>
  <c r="DG142" i="18" s="1"/>
  <c r="BX142" i="18"/>
  <c r="DH142" i="18" s="1"/>
  <c r="BY142" i="18"/>
  <c r="DI142" i="18" s="1"/>
  <c r="BN143" i="18"/>
  <c r="CX143" i="18" s="1"/>
  <c r="BO143" i="18"/>
  <c r="CY143" i="18" s="1"/>
  <c r="BP143" i="18"/>
  <c r="CZ143" i="18" s="1"/>
  <c r="BQ143" i="18"/>
  <c r="DA143" i="18" s="1"/>
  <c r="BR143" i="18"/>
  <c r="DB143" i="18" s="1"/>
  <c r="BS143" i="18"/>
  <c r="DC143" i="18" s="1"/>
  <c r="BT143" i="18"/>
  <c r="DD143" i="18" s="1"/>
  <c r="BU143" i="18"/>
  <c r="DE143" i="18" s="1"/>
  <c r="BV143" i="18"/>
  <c r="DF143" i="18" s="1"/>
  <c r="BW143" i="18"/>
  <c r="DG143" i="18" s="1"/>
  <c r="BX143" i="18"/>
  <c r="DH143" i="18" s="1"/>
  <c r="BY143" i="18"/>
  <c r="DI143" i="18" s="1"/>
  <c r="BN144" i="18"/>
  <c r="CX144" i="18" s="1"/>
  <c r="BO144" i="18"/>
  <c r="CY144" i="18" s="1"/>
  <c r="BP144" i="18"/>
  <c r="CZ144" i="18" s="1"/>
  <c r="BQ144" i="18"/>
  <c r="DA144" i="18" s="1"/>
  <c r="BR144" i="18"/>
  <c r="DB144" i="18" s="1"/>
  <c r="BS144" i="18"/>
  <c r="DC144" i="18" s="1"/>
  <c r="BT144" i="18"/>
  <c r="DD144" i="18" s="1"/>
  <c r="BU144" i="18"/>
  <c r="DE144" i="18" s="1"/>
  <c r="BV144" i="18"/>
  <c r="DF144" i="18" s="1"/>
  <c r="BW144" i="18"/>
  <c r="DG144" i="18" s="1"/>
  <c r="BX144" i="18"/>
  <c r="DH144" i="18" s="1"/>
  <c r="BY144" i="18"/>
  <c r="DI144" i="18" s="1"/>
  <c r="BN145" i="18"/>
  <c r="CX145" i="18" s="1"/>
  <c r="BO145" i="18"/>
  <c r="CY145" i="18" s="1"/>
  <c r="BP145" i="18"/>
  <c r="CZ145" i="18" s="1"/>
  <c r="BQ145" i="18"/>
  <c r="DA145" i="18" s="1"/>
  <c r="BR145" i="18"/>
  <c r="DB145" i="18" s="1"/>
  <c r="BS145" i="18"/>
  <c r="DC145" i="18" s="1"/>
  <c r="BT145" i="18"/>
  <c r="DD145" i="18" s="1"/>
  <c r="BU145" i="18"/>
  <c r="DE145" i="18" s="1"/>
  <c r="BV145" i="18"/>
  <c r="DF145" i="18" s="1"/>
  <c r="BW145" i="18"/>
  <c r="DG145" i="18" s="1"/>
  <c r="BX145" i="18"/>
  <c r="DH145" i="18" s="1"/>
  <c r="BY145" i="18"/>
  <c r="DI145" i="18" s="1"/>
  <c r="BN146" i="18"/>
  <c r="CX146" i="18" s="1"/>
  <c r="BO146" i="18"/>
  <c r="CY146" i="18" s="1"/>
  <c r="BP146" i="18"/>
  <c r="CZ146" i="18" s="1"/>
  <c r="BQ146" i="18"/>
  <c r="DA146" i="18" s="1"/>
  <c r="BR146" i="18"/>
  <c r="DB146" i="18" s="1"/>
  <c r="BS146" i="18"/>
  <c r="DC146" i="18" s="1"/>
  <c r="BT146" i="18"/>
  <c r="DD146" i="18" s="1"/>
  <c r="BU146" i="18"/>
  <c r="DE146" i="18" s="1"/>
  <c r="BV146" i="18"/>
  <c r="DF146" i="18" s="1"/>
  <c r="BW146" i="18"/>
  <c r="DG146" i="18" s="1"/>
  <c r="BX146" i="18"/>
  <c r="DH146" i="18" s="1"/>
  <c r="BY146" i="18"/>
  <c r="DI146" i="18" s="1"/>
  <c r="BN147" i="18"/>
  <c r="CX147" i="18" s="1"/>
  <c r="BO147" i="18"/>
  <c r="CY147" i="18" s="1"/>
  <c r="BP147" i="18"/>
  <c r="CZ147" i="18" s="1"/>
  <c r="BQ147" i="18"/>
  <c r="DA147" i="18" s="1"/>
  <c r="BR147" i="18"/>
  <c r="DB147" i="18" s="1"/>
  <c r="BS147" i="18"/>
  <c r="DC147" i="18" s="1"/>
  <c r="BT147" i="18"/>
  <c r="DD147" i="18" s="1"/>
  <c r="BU147" i="18"/>
  <c r="DE147" i="18" s="1"/>
  <c r="BV147" i="18"/>
  <c r="DF147" i="18" s="1"/>
  <c r="BW147" i="18"/>
  <c r="DG147" i="18" s="1"/>
  <c r="BX147" i="18"/>
  <c r="DH147" i="18" s="1"/>
  <c r="BY147" i="18"/>
  <c r="DI147" i="18" s="1"/>
  <c r="BN148" i="18"/>
  <c r="CX148" i="18" s="1"/>
  <c r="BO148" i="18"/>
  <c r="CY148" i="18" s="1"/>
  <c r="BP148" i="18"/>
  <c r="CZ148" i="18" s="1"/>
  <c r="BQ148" i="18"/>
  <c r="DA148" i="18" s="1"/>
  <c r="BR148" i="18"/>
  <c r="DB148" i="18" s="1"/>
  <c r="BS148" i="18"/>
  <c r="DC148" i="18" s="1"/>
  <c r="BT148" i="18"/>
  <c r="DD148" i="18" s="1"/>
  <c r="BU148" i="18"/>
  <c r="DE148" i="18" s="1"/>
  <c r="BV148" i="18"/>
  <c r="DF148" i="18" s="1"/>
  <c r="BW148" i="18"/>
  <c r="DG148" i="18" s="1"/>
  <c r="BX148" i="18"/>
  <c r="DH148" i="18" s="1"/>
  <c r="BY148" i="18"/>
  <c r="DI148" i="18" s="1"/>
  <c r="BN149" i="18"/>
  <c r="CX149" i="18" s="1"/>
  <c r="BO149" i="18"/>
  <c r="CY149" i="18" s="1"/>
  <c r="BP149" i="18"/>
  <c r="CZ149" i="18" s="1"/>
  <c r="BQ149" i="18"/>
  <c r="DA149" i="18" s="1"/>
  <c r="BR149" i="18"/>
  <c r="DB149" i="18" s="1"/>
  <c r="BS149" i="18"/>
  <c r="DC149" i="18" s="1"/>
  <c r="BT149" i="18"/>
  <c r="DD149" i="18" s="1"/>
  <c r="BU149" i="18"/>
  <c r="DE149" i="18" s="1"/>
  <c r="BV149" i="18"/>
  <c r="DF149" i="18" s="1"/>
  <c r="BW149" i="18"/>
  <c r="DG149" i="18" s="1"/>
  <c r="BX149" i="18"/>
  <c r="DH149" i="18" s="1"/>
  <c r="BY149" i="18"/>
  <c r="DI149" i="18" s="1"/>
  <c r="BN150" i="18"/>
  <c r="CX150" i="18" s="1"/>
  <c r="BO150" i="18"/>
  <c r="CY150" i="18" s="1"/>
  <c r="BP150" i="18"/>
  <c r="CZ150" i="18" s="1"/>
  <c r="BQ150" i="18"/>
  <c r="DA150" i="18" s="1"/>
  <c r="BR150" i="18"/>
  <c r="DB150" i="18" s="1"/>
  <c r="BS150" i="18"/>
  <c r="DC150" i="18" s="1"/>
  <c r="BT150" i="18"/>
  <c r="DD150" i="18" s="1"/>
  <c r="BU150" i="18"/>
  <c r="DE150" i="18" s="1"/>
  <c r="BV150" i="18"/>
  <c r="DF150" i="18" s="1"/>
  <c r="BW150" i="18"/>
  <c r="DG150" i="18" s="1"/>
  <c r="BX150" i="18"/>
  <c r="DH150" i="18" s="1"/>
  <c r="BY150" i="18"/>
  <c r="DI150" i="18" s="1"/>
  <c r="BN151" i="18"/>
  <c r="CX151" i="18" s="1"/>
  <c r="BO151" i="18"/>
  <c r="CY151" i="18" s="1"/>
  <c r="BP151" i="18"/>
  <c r="CZ151" i="18" s="1"/>
  <c r="BQ151" i="18"/>
  <c r="DA151" i="18" s="1"/>
  <c r="BR151" i="18"/>
  <c r="DB151" i="18" s="1"/>
  <c r="BS151" i="18"/>
  <c r="DC151" i="18" s="1"/>
  <c r="BT151" i="18"/>
  <c r="DD151" i="18" s="1"/>
  <c r="BU151" i="18"/>
  <c r="DE151" i="18" s="1"/>
  <c r="BV151" i="18"/>
  <c r="DF151" i="18" s="1"/>
  <c r="BW151" i="18"/>
  <c r="DG151" i="18" s="1"/>
  <c r="BX151" i="18"/>
  <c r="DH151" i="18" s="1"/>
  <c r="BY151" i="18"/>
  <c r="DI151" i="18" s="1"/>
  <c r="BN152" i="18"/>
  <c r="CX152" i="18" s="1"/>
  <c r="BO152" i="18"/>
  <c r="CY152" i="18" s="1"/>
  <c r="BP152" i="18"/>
  <c r="CZ152" i="18" s="1"/>
  <c r="BQ152" i="18"/>
  <c r="DA152" i="18" s="1"/>
  <c r="BR152" i="18"/>
  <c r="DB152" i="18" s="1"/>
  <c r="BS152" i="18"/>
  <c r="DC152" i="18" s="1"/>
  <c r="BT152" i="18"/>
  <c r="DD152" i="18" s="1"/>
  <c r="BU152" i="18"/>
  <c r="DE152" i="18" s="1"/>
  <c r="BV152" i="18"/>
  <c r="DF152" i="18" s="1"/>
  <c r="BW152" i="18"/>
  <c r="DG152" i="18" s="1"/>
  <c r="BX152" i="18"/>
  <c r="DH152" i="18" s="1"/>
  <c r="BY152" i="18"/>
  <c r="DI152" i="18" s="1"/>
  <c r="BN153" i="18"/>
  <c r="CX153" i="18" s="1"/>
  <c r="BO153" i="18"/>
  <c r="CY153" i="18" s="1"/>
  <c r="BP153" i="18"/>
  <c r="CZ153" i="18" s="1"/>
  <c r="BQ153" i="18"/>
  <c r="DA153" i="18" s="1"/>
  <c r="BR153" i="18"/>
  <c r="DB153" i="18" s="1"/>
  <c r="BS153" i="18"/>
  <c r="DC153" i="18" s="1"/>
  <c r="BT153" i="18"/>
  <c r="DD153" i="18" s="1"/>
  <c r="BU153" i="18"/>
  <c r="DE153" i="18" s="1"/>
  <c r="BV153" i="18"/>
  <c r="DF153" i="18" s="1"/>
  <c r="BW153" i="18"/>
  <c r="DG153" i="18" s="1"/>
  <c r="BX153" i="18"/>
  <c r="DH153" i="18" s="1"/>
  <c r="BY153" i="18"/>
  <c r="DI153" i="18" s="1"/>
  <c r="BN154" i="18"/>
  <c r="CX154" i="18" s="1"/>
  <c r="BO154" i="18"/>
  <c r="CY154" i="18" s="1"/>
  <c r="BP154" i="18"/>
  <c r="CZ154" i="18" s="1"/>
  <c r="BQ154" i="18"/>
  <c r="DA154" i="18" s="1"/>
  <c r="BR154" i="18"/>
  <c r="DB154" i="18" s="1"/>
  <c r="BS154" i="18"/>
  <c r="DC154" i="18" s="1"/>
  <c r="BT154" i="18"/>
  <c r="DD154" i="18" s="1"/>
  <c r="BU154" i="18"/>
  <c r="DE154" i="18" s="1"/>
  <c r="BV154" i="18"/>
  <c r="DF154" i="18" s="1"/>
  <c r="BW154" i="18"/>
  <c r="DG154" i="18" s="1"/>
  <c r="BX154" i="18"/>
  <c r="DH154" i="18" s="1"/>
  <c r="BY154" i="18"/>
  <c r="DI154" i="18" s="1"/>
  <c r="BN155" i="18"/>
  <c r="CX155" i="18" s="1"/>
  <c r="BO155" i="18"/>
  <c r="CY155" i="18" s="1"/>
  <c r="BP155" i="18"/>
  <c r="CZ155" i="18" s="1"/>
  <c r="BQ155" i="18"/>
  <c r="DA155" i="18" s="1"/>
  <c r="BR155" i="18"/>
  <c r="DB155" i="18" s="1"/>
  <c r="BS155" i="18"/>
  <c r="DC155" i="18" s="1"/>
  <c r="BT155" i="18"/>
  <c r="DD155" i="18" s="1"/>
  <c r="BU155" i="18"/>
  <c r="DE155" i="18" s="1"/>
  <c r="BV155" i="18"/>
  <c r="DF155" i="18" s="1"/>
  <c r="BW155" i="18"/>
  <c r="DG155" i="18" s="1"/>
  <c r="BX155" i="18"/>
  <c r="DH155" i="18" s="1"/>
  <c r="BY155" i="18"/>
  <c r="DI155" i="18" s="1"/>
  <c r="BN156" i="18"/>
  <c r="CX156" i="18" s="1"/>
  <c r="BO156" i="18"/>
  <c r="CY156" i="18" s="1"/>
  <c r="BP156" i="18"/>
  <c r="CZ156" i="18" s="1"/>
  <c r="BQ156" i="18"/>
  <c r="DA156" i="18" s="1"/>
  <c r="BR156" i="18"/>
  <c r="DB156" i="18" s="1"/>
  <c r="BS156" i="18"/>
  <c r="DC156" i="18" s="1"/>
  <c r="BT156" i="18"/>
  <c r="DD156" i="18" s="1"/>
  <c r="BU156" i="18"/>
  <c r="DE156" i="18" s="1"/>
  <c r="BV156" i="18"/>
  <c r="DF156" i="18" s="1"/>
  <c r="BW156" i="18"/>
  <c r="DG156" i="18" s="1"/>
  <c r="BX156" i="18"/>
  <c r="DH156" i="18" s="1"/>
  <c r="BY156" i="18"/>
  <c r="DI156" i="18" s="1"/>
  <c r="BN157" i="18"/>
  <c r="CX157" i="18" s="1"/>
  <c r="BO157" i="18"/>
  <c r="CY157" i="18" s="1"/>
  <c r="BP157" i="18"/>
  <c r="CZ157" i="18" s="1"/>
  <c r="BQ157" i="18"/>
  <c r="DA157" i="18" s="1"/>
  <c r="BR157" i="18"/>
  <c r="DB157" i="18" s="1"/>
  <c r="BS157" i="18"/>
  <c r="DC157" i="18" s="1"/>
  <c r="BT157" i="18"/>
  <c r="DD157" i="18" s="1"/>
  <c r="BU157" i="18"/>
  <c r="DE157" i="18" s="1"/>
  <c r="BV157" i="18"/>
  <c r="DF157" i="18" s="1"/>
  <c r="BW157" i="18"/>
  <c r="DG157" i="18" s="1"/>
  <c r="BX157" i="18"/>
  <c r="DH157" i="18" s="1"/>
  <c r="BY157" i="18"/>
  <c r="DI157" i="18" s="1"/>
  <c r="BN158" i="18"/>
  <c r="CX158" i="18" s="1"/>
  <c r="BO158" i="18"/>
  <c r="CY158" i="18" s="1"/>
  <c r="BP158" i="18"/>
  <c r="CZ158" i="18" s="1"/>
  <c r="BQ158" i="18"/>
  <c r="DA158" i="18" s="1"/>
  <c r="BR158" i="18"/>
  <c r="DB158" i="18" s="1"/>
  <c r="BS158" i="18"/>
  <c r="DC158" i="18" s="1"/>
  <c r="BT158" i="18"/>
  <c r="DD158" i="18" s="1"/>
  <c r="BU158" i="18"/>
  <c r="DE158" i="18" s="1"/>
  <c r="BV158" i="18"/>
  <c r="DF158" i="18" s="1"/>
  <c r="BW158" i="18"/>
  <c r="DG158" i="18" s="1"/>
  <c r="BX158" i="18"/>
  <c r="DH158" i="18" s="1"/>
  <c r="BY158" i="18"/>
  <c r="DI158" i="18" s="1"/>
  <c r="BN159" i="18"/>
  <c r="CX159" i="18" s="1"/>
  <c r="BO159" i="18"/>
  <c r="CY159" i="18" s="1"/>
  <c r="BP159" i="18"/>
  <c r="CZ159" i="18" s="1"/>
  <c r="BQ159" i="18"/>
  <c r="DA159" i="18" s="1"/>
  <c r="BR159" i="18"/>
  <c r="DB159" i="18" s="1"/>
  <c r="BS159" i="18"/>
  <c r="DC159" i="18" s="1"/>
  <c r="BT159" i="18"/>
  <c r="DD159" i="18" s="1"/>
  <c r="BU159" i="18"/>
  <c r="DE159" i="18" s="1"/>
  <c r="BV159" i="18"/>
  <c r="DF159" i="18" s="1"/>
  <c r="BW159" i="18"/>
  <c r="DG159" i="18" s="1"/>
  <c r="BX159" i="18"/>
  <c r="DH159" i="18" s="1"/>
  <c r="BY159" i="18"/>
  <c r="DI159" i="18" s="1"/>
  <c r="BN160" i="18"/>
  <c r="CX160" i="18" s="1"/>
  <c r="BO160" i="18"/>
  <c r="CY160" i="18" s="1"/>
  <c r="BP160" i="18"/>
  <c r="CZ160" i="18" s="1"/>
  <c r="BQ160" i="18"/>
  <c r="DA160" i="18" s="1"/>
  <c r="BR160" i="18"/>
  <c r="DB160" i="18" s="1"/>
  <c r="BS160" i="18"/>
  <c r="DC160" i="18" s="1"/>
  <c r="BT160" i="18"/>
  <c r="DD160" i="18" s="1"/>
  <c r="BU160" i="18"/>
  <c r="DE160" i="18" s="1"/>
  <c r="BV160" i="18"/>
  <c r="DF160" i="18" s="1"/>
  <c r="BW160" i="18"/>
  <c r="DG160" i="18" s="1"/>
  <c r="BX160" i="18"/>
  <c r="DH160" i="18" s="1"/>
  <c r="BY160" i="18"/>
  <c r="DI160" i="18" s="1"/>
  <c r="BN174" i="18"/>
  <c r="CX174" i="18" s="1"/>
  <c r="BO174" i="18"/>
  <c r="CY174" i="18" s="1"/>
  <c r="BP174" i="18"/>
  <c r="CZ174" i="18" s="1"/>
  <c r="BQ174" i="18"/>
  <c r="BR174" i="18"/>
  <c r="DB174" i="18" s="1"/>
  <c r="BS174" i="18"/>
  <c r="DC174" i="18" s="1"/>
  <c r="BT174" i="18"/>
  <c r="DD174" i="18" s="1"/>
  <c r="BU174" i="18"/>
  <c r="DE174" i="18" s="1"/>
  <c r="BV174" i="18"/>
  <c r="BW174" i="18"/>
  <c r="BX174" i="18"/>
  <c r="DH174" i="18" s="1"/>
  <c r="BY174" i="18"/>
  <c r="BN175" i="18"/>
  <c r="BO175" i="18"/>
  <c r="BP175" i="18"/>
  <c r="BQ175" i="18"/>
  <c r="DA175" i="18" s="1"/>
  <c r="BR175" i="18"/>
  <c r="DB175" i="18" s="1"/>
  <c r="BS175" i="18"/>
  <c r="BT175" i="18"/>
  <c r="BU175" i="18"/>
  <c r="DE175" i="18" s="1"/>
  <c r="BV175" i="18"/>
  <c r="DF175" i="18" s="1"/>
  <c r="BW175" i="18"/>
  <c r="DG175" i="18" s="1"/>
  <c r="BX175" i="18"/>
  <c r="DH175" i="18" s="1"/>
  <c r="BY175" i="18"/>
  <c r="DI175" i="18" s="1"/>
  <c r="BN176" i="18"/>
  <c r="CX176" i="18" s="1"/>
  <c r="BO176" i="18"/>
  <c r="CY176" i="18" s="1"/>
  <c r="BP176" i="18"/>
  <c r="CZ176" i="18" s="1"/>
  <c r="BQ176" i="18"/>
  <c r="DA176" i="18" s="1"/>
  <c r="BR176" i="18"/>
  <c r="DB176" i="18" s="1"/>
  <c r="BS176" i="18"/>
  <c r="DC176" i="18" s="1"/>
  <c r="BT176" i="18"/>
  <c r="DD176" i="18" s="1"/>
  <c r="BU176" i="18"/>
  <c r="DE176" i="18" s="1"/>
  <c r="BV176" i="18"/>
  <c r="DF176" i="18" s="1"/>
  <c r="BW176" i="18"/>
  <c r="DG176" i="18" s="1"/>
  <c r="BX176" i="18"/>
  <c r="DH176" i="18" s="1"/>
  <c r="BY176" i="18"/>
  <c r="DI176" i="18" s="1"/>
  <c r="BN177" i="18"/>
  <c r="CX177" i="18" s="1"/>
  <c r="BO177" i="18"/>
  <c r="CY177" i="18" s="1"/>
  <c r="BP177" i="18"/>
  <c r="CZ177" i="18" s="1"/>
  <c r="BQ177" i="18"/>
  <c r="DA177" i="18" s="1"/>
  <c r="BR177" i="18"/>
  <c r="DB177" i="18" s="1"/>
  <c r="BS177" i="18"/>
  <c r="DC177" i="18" s="1"/>
  <c r="BT177" i="18"/>
  <c r="DD177" i="18" s="1"/>
  <c r="BU177" i="18"/>
  <c r="DE177" i="18" s="1"/>
  <c r="BV177" i="18"/>
  <c r="DF177" i="18" s="1"/>
  <c r="BW177" i="18"/>
  <c r="DG177" i="18" s="1"/>
  <c r="BX177" i="18"/>
  <c r="DH177" i="18" s="1"/>
  <c r="BY177" i="18"/>
  <c r="DI177" i="18" s="1"/>
  <c r="BN178" i="18"/>
  <c r="CX178" i="18" s="1"/>
  <c r="BO178" i="18"/>
  <c r="CY178" i="18" s="1"/>
  <c r="BP178" i="18"/>
  <c r="CZ178" i="18" s="1"/>
  <c r="BQ178" i="18"/>
  <c r="DA178" i="18" s="1"/>
  <c r="BR178" i="18"/>
  <c r="DB178" i="18" s="1"/>
  <c r="BS178" i="18"/>
  <c r="DC178" i="18" s="1"/>
  <c r="BT178" i="18"/>
  <c r="DD178" i="18" s="1"/>
  <c r="BU178" i="18"/>
  <c r="DE178" i="18" s="1"/>
  <c r="BV178" i="18"/>
  <c r="DF178" i="18" s="1"/>
  <c r="BW178" i="18"/>
  <c r="BX178" i="18"/>
  <c r="DH178" i="18" s="1"/>
  <c r="BY178" i="18"/>
  <c r="DI178" i="18" s="1"/>
  <c r="BN179" i="18"/>
  <c r="CX179" i="18" s="1"/>
  <c r="BO179" i="18"/>
  <c r="CY179" i="18" s="1"/>
  <c r="BP179" i="18"/>
  <c r="CZ179" i="18" s="1"/>
  <c r="BQ179" i="18"/>
  <c r="DA179" i="18" s="1"/>
  <c r="BR179" i="18"/>
  <c r="DB179" i="18" s="1"/>
  <c r="BS179" i="18"/>
  <c r="DC179" i="18" s="1"/>
  <c r="BT179" i="18"/>
  <c r="BU179" i="18"/>
  <c r="DE179" i="18" s="1"/>
  <c r="BV179" i="18"/>
  <c r="DF179" i="18" s="1"/>
  <c r="BW179" i="18"/>
  <c r="DG179" i="18" s="1"/>
  <c r="BX179" i="18"/>
  <c r="DH179" i="18" s="1"/>
  <c r="BY179" i="18"/>
  <c r="DI179" i="18" s="1"/>
  <c r="BN180" i="18"/>
  <c r="CX180" i="18" s="1"/>
  <c r="BO180" i="18"/>
  <c r="CY180" i="18" s="1"/>
  <c r="BP180" i="18"/>
  <c r="CZ180" i="18" s="1"/>
  <c r="BQ180" i="18"/>
  <c r="DA180" i="18" s="1"/>
  <c r="BR180" i="18"/>
  <c r="DB180" i="18" s="1"/>
  <c r="BS180" i="18"/>
  <c r="DC180" i="18" s="1"/>
  <c r="BT180" i="18"/>
  <c r="DD180" i="18" s="1"/>
  <c r="BU180" i="18"/>
  <c r="DE180" i="18" s="1"/>
  <c r="BV180" i="18"/>
  <c r="DF180" i="18" s="1"/>
  <c r="BW180" i="18"/>
  <c r="DG180" i="18" s="1"/>
  <c r="BX180" i="18"/>
  <c r="DH180" i="18" s="1"/>
  <c r="BY180" i="18"/>
  <c r="DI180" i="18" s="1"/>
  <c r="BN181" i="18"/>
  <c r="CX181" i="18" s="1"/>
  <c r="BO181" i="18"/>
  <c r="CY181" i="18" s="1"/>
  <c r="BP181" i="18"/>
  <c r="CZ181" i="18" s="1"/>
  <c r="BQ181" i="18"/>
  <c r="DA181" i="18" s="1"/>
  <c r="BR181" i="18"/>
  <c r="DB181" i="18" s="1"/>
  <c r="BS181" i="18"/>
  <c r="DC181" i="18" s="1"/>
  <c r="BT181" i="18"/>
  <c r="DD181" i="18" s="1"/>
  <c r="BU181" i="18"/>
  <c r="DE181" i="18" s="1"/>
  <c r="BV181" i="18"/>
  <c r="DF181" i="18" s="1"/>
  <c r="BW181" i="18"/>
  <c r="DG181" i="18" s="1"/>
  <c r="BX181" i="18"/>
  <c r="DH181" i="18" s="1"/>
  <c r="BY181" i="18"/>
  <c r="DI181" i="18" s="1"/>
  <c r="BN182" i="18"/>
  <c r="CX182" i="18" s="1"/>
  <c r="BO182" i="18"/>
  <c r="CY182" i="18" s="1"/>
  <c r="BP182" i="18"/>
  <c r="CZ182" i="18" s="1"/>
  <c r="BQ182" i="18"/>
  <c r="DA182" i="18" s="1"/>
  <c r="BR182" i="18"/>
  <c r="DB182" i="18" s="1"/>
  <c r="BS182" i="18"/>
  <c r="DC182" i="18" s="1"/>
  <c r="BT182" i="18"/>
  <c r="DD182" i="18" s="1"/>
  <c r="BU182" i="18"/>
  <c r="DE182" i="18" s="1"/>
  <c r="BV182" i="18"/>
  <c r="DF182" i="18" s="1"/>
  <c r="BW182" i="18"/>
  <c r="DG182" i="18" s="1"/>
  <c r="BX182" i="18"/>
  <c r="DH182" i="18" s="1"/>
  <c r="BY182" i="18"/>
  <c r="DI182" i="18" s="1"/>
  <c r="BN183" i="18"/>
  <c r="CX183" i="18" s="1"/>
  <c r="BO183" i="18"/>
  <c r="CY183" i="18" s="1"/>
  <c r="BP183" i="18"/>
  <c r="CZ183" i="18" s="1"/>
  <c r="BQ183" i="18"/>
  <c r="DA183" i="18" s="1"/>
  <c r="BR183" i="18"/>
  <c r="DB183" i="18" s="1"/>
  <c r="BS183" i="18"/>
  <c r="DC183" i="18" s="1"/>
  <c r="BT183" i="18"/>
  <c r="DD183" i="18" s="1"/>
  <c r="BU183" i="18"/>
  <c r="DE183" i="18" s="1"/>
  <c r="BV183" i="18"/>
  <c r="DF183" i="18" s="1"/>
  <c r="BW183" i="18"/>
  <c r="DG183" i="18" s="1"/>
  <c r="BX183" i="18"/>
  <c r="DH183" i="18" s="1"/>
  <c r="BY183" i="18"/>
  <c r="DI183" i="18" s="1"/>
  <c r="BN184" i="18"/>
  <c r="CX184" i="18" s="1"/>
  <c r="BO184" i="18"/>
  <c r="CY184" i="18" s="1"/>
  <c r="BP184" i="18"/>
  <c r="CZ184" i="18" s="1"/>
  <c r="BQ184" i="18"/>
  <c r="DA184" i="18" s="1"/>
  <c r="BR184" i="18"/>
  <c r="DB184" i="18" s="1"/>
  <c r="BS184" i="18"/>
  <c r="DC184" i="18" s="1"/>
  <c r="BT184" i="18"/>
  <c r="DD184" i="18" s="1"/>
  <c r="BU184" i="18"/>
  <c r="DE184" i="18" s="1"/>
  <c r="BV184" i="18"/>
  <c r="DF184" i="18" s="1"/>
  <c r="BW184" i="18"/>
  <c r="DG184" i="18" s="1"/>
  <c r="BX184" i="18"/>
  <c r="DH184" i="18" s="1"/>
  <c r="BY184" i="18"/>
  <c r="DI184" i="18" s="1"/>
  <c r="BN185" i="18"/>
  <c r="CX185" i="18" s="1"/>
  <c r="BO185" i="18"/>
  <c r="CY185" i="18" s="1"/>
  <c r="BP185" i="18"/>
  <c r="CZ185" i="18" s="1"/>
  <c r="BQ185" i="18"/>
  <c r="DA185" i="18" s="1"/>
  <c r="BR185" i="18"/>
  <c r="DB185" i="18" s="1"/>
  <c r="BS185" i="18"/>
  <c r="DC185" i="18" s="1"/>
  <c r="BT185" i="18"/>
  <c r="DD185" i="18" s="1"/>
  <c r="BU185" i="18"/>
  <c r="DE185" i="18" s="1"/>
  <c r="BV185" i="18"/>
  <c r="DF185" i="18" s="1"/>
  <c r="BW185" i="18"/>
  <c r="DG185" i="18" s="1"/>
  <c r="BX185" i="18"/>
  <c r="DH185" i="18" s="1"/>
  <c r="BY185" i="18"/>
  <c r="DI185" i="18" s="1"/>
  <c r="BN186" i="18"/>
  <c r="CX186" i="18" s="1"/>
  <c r="BO186" i="18"/>
  <c r="CY186" i="18" s="1"/>
  <c r="BP186" i="18"/>
  <c r="CZ186" i="18" s="1"/>
  <c r="BQ186" i="18"/>
  <c r="DA186" i="18" s="1"/>
  <c r="BR186" i="18"/>
  <c r="DB186" i="18" s="1"/>
  <c r="BS186" i="18"/>
  <c r="DC186" i="18" s="1"/>
  <c r="BT186" i="18"/>
  <c r="DD186" i="18" s="1"/>
  <c r="BU186" i="18"/>
  <c r="DE186" i="18" s="1"/>
  <c r="BV186" i="18"/>
  <c r="DF186" i="18" s="1"/>
  <c r="BW186" i="18"/>
  <c r="DG186" i="18" s="1"/>
  <c r="BX186" i="18"/>
  <c r="DH186" i="18" s="1"/>
  <c r="BY186" i="18"/>
  <c r="DI186" i="18" s="1"/>
  <c r="BN187" i="18"/>
  <c r="CX187" i="18" s="1"/>
  <c r="BO187" i="18"/>
  <c r="CY187" i="18" s="1"/>
  <c r="BP187" i="18"/>
  <c r="CZ187" i="18" s="1"/>
  <c r="BQ187" i="18"/>
  <c r="DA187" i="18" s="1"/>
  <c r="BR187" i="18"/>
  <c r="DB187" i="18" s="1"/>
  <c r="BS187" i="18"/>
  <c r="DC187" i="18" s="1"/>
  <c r="BT187" i="18"/>
  <c r="DD187" i="18" s="1"/>
  <c r="BU187" i="18"/>
  <c r="DE187" i="18" s="1"/>
  <c r="BV187" i="18"/>
  <c r="DF187" i="18" s="1"/>
  <c r="BW187" i="18"/>
  <c r="DG187" i="18" s="1"/>
  <c r="BX187" i="18"/>
  <c r="DH187" i="18" s="1"/>
  <c r="BY187" i="18"/>
  <c r="DI187" i="18" s="1"/>
  <c r="BN188" i="18"/>
  <c r="CX188" i="18" s="1"/>
  <c r="BO188" i="18"/>
  <c r="CY188" i="18" s="1"/>
  <c r="BP188" i="18"/>
  <c r="CZ188" i="18" s="1"/>
  <c r="BQ188" i="18"/>
  <c r="DA188" i="18" s="1"/>
  <c r="BR188" i="18"/>
  <c r="DB188" i="18" s="1"/>
  <c r="BS188" i="18"/>
  <c r="DC188" i="18" s="1"/>
  <c r="BT188" i="18"/>
  <c r="DD188" i="18" s="1"/>
  <c r="BU188" i="18"/>
  <c r="DE188" i="18" s="1"/>
  <c r="BV188" i="18"/>
  <c r="DF188" i="18" s="1"/>
  <c r="BW188" i="18"/>
  <c r="DG188" i="18" s="1"/>
  <c r="BX188" i="18"/>
  <c r="DH188" i="18" s="1"/>
  <c r="BY188" i="18"/>
  <c r="DI188" i="18" s="1"/>
  <c r="BN189" i="18"/>
  <c r="CX189" i="18" s="1"/>
  <c r="BO189" i="18"/>
  <c r="CY189" i="18" s="1"/>
  <c r="BP189" i="18"/>
  <c r="CZ189" i="18" s="1"/>
  <c r="BQ189" i="18"/>
  <c r="DA189" i="18" s="1"/>
  <c r="BR189" i="18"/>
  <c r="DB189" i="18" s="1"/>
  <c r="BS189" i="18"/>
  <c r="DC189" i="18" s="1"/>
  <c r="BT189" i="18"/>
  <c r="DD189" i="18" s="1"/>
  <c r="BU189" i="18"/>
  <c r="DE189" i="18" s="1"/>
  <c r="BV189" i="18"/>
  <c r="DF189" i="18" s="1"/>
  <c r="BW189" i="18"/>
  <c r="DG189" i="18" s="1"/>
  <c r="BX189" i="18"/>
  <c r="DH189" i="18" s="1"/>
  <c r="BY189" i="18"/>
  <c r="DI189" i="18" s="1"/>
  <c r="BN190" i="18"/>
  <c r="CX190" i="18" s="1"/>
  <c r="BO190" i="18"/>
  <c r="CY190" i="18" s="1"/>
  <c r="BP190" i="18"/>
  <c r="CZ190" i="18" s="1"/>
  <c r="BQ190" i="18"/>
  <c r="DA190" i="18" s="1"/>
  <c r="BR190" i="18"/>
  <c r="DB190" i="18" s="1"/>
  <c r="BS190" i="18"/>
  <c r="DC190" i="18" s="1"/>
  <c r="BT190" i="18"/>
  <c r="DD190" i="18" s="1"/>
  <c r="BU190" i="18"/>
  <c r="DE190" i="18" s="1"/>
  <c r="BV190" i="18"/>
  <c r="DF190" i="18" s="1"/>
  <c r="BW190" i="18"/>
  <c r="DG190" i="18" s="1"/>
  <c r="BX190" i="18"/>
  <c r="DH190" i="18" s="1"/>
  <c r="BY190" i="18"/>
  <c r="DI190" i="18" s="1"/>
  <c r="BN191" i="18"/>
  <c r="CX191" i="18" s="1"/>
  <c r="BO191" i="18"/>
  <c r="CY191" i="18" s="1"/>
  <c r="BP191" i="18"/>
  <c r="CZ191" i="18" s="1"/>
  <c r="BQ191" i="18"/>
  <c r="DA191" i="18" s="1"/>
  <c r="BR191" i="18"/>
  <c r="DB191" i="18" s="1"/>
  <c r="BS191" i="18"/>
  <c r="DC191" i="18" s="1"/>
  <c r="BT191" i="18"/>
  <c r="DD191" i="18" s="1"/>
  <c r="BU191" i="18"/>
  <c r="DE191" i="18" s="1"/>
  <c r="BV191" i="18"/>
  <c r="DF191" i="18" s="1"/>
  <c r="BW191" i="18"/>
  <c r="DG191" i="18" s="1"/>
  <c r="BX191" i="18"/>
  <c r="DH191" i="18" s="1"/>
  <c r="BY191" i="18"/>
  <c r="DI191" i="18" s="1"/>
  <c r="BN192" i="18"/>
  <c r="CX192" i="18" s="1"/>
  <c r="BO192" i="18"/>
  <c r="BP192" i="18"/>
  <c r="CZ192" i="18" s="1"/>
  <c r="BQ192" i="18"/>
  <c r="DA192" i="18" s="1"/>
  <c r="BR192" i="18"/>
  <c r="DB192" i="18" s="1"/>
  <c r="BS192" i="18"/>
  <c r="DC192" i="18" s="1"/>
  <c r="BT192" i="18"/>
  <c r="DD192" i="18" s="1"/>
  <c r="BU192" i="18"/>
  <c r="DE192" i="18" s="1"/>
  <c r="BV192" i="18"/>
  <c r="DF192" i="18" s="1"/>
  <c r="BW192" i="18"/>
  <c r="DG192" i="18" s="1"/>
  <c r="BX192" i="18"/>
  <c r="DH192" i="18" s="1"/>
  <c r="BY192" i="18"/>
  <c r="DI192" i="18" s="1"/>
  <c r="BN193" i="18"/>
  <c r="CX193" i="18" s="1"/>
  <c r="BO193" i="18"/>
  <c r="CY193" i="18" s="1"/>
  <c r="BP193" i="18"/>
  <c r="CZ193" i="18" s="1"/>
  <c r="BQ193" i="18"/>
  <c r="DA193" i="18" s="1"/>
  <c r="BR193" i="18"/>
  <c r="DB193" i="18" s="1"/>
  <c r="BS193" i="18"/>
  <c r="DC193" i="18" s="1"/>
  <c r="BT193" i="18"/>
  <c r="DD193" i="18" s="1"/>
  <c r="BU193" i="18"/>
  <c r="DE193" i="18" s="1"/>
  <c r="BV193" i="18"/>
  <c r="DF193" i="18" s="1"/>
  <c r="BW193" i="18"/>
  <c r="DG193" i="18" s="1"/>
  <c r="BX193" i="18"/>
  <c r="DH193" i="18" s="1"/>
  <c r="BY193" i="18"/>
  <c r="DI193" i="18" s="1"/>
  <c r="BN194" i="18"/>
  <c r="CX194" i="18" s="1"/>
  <c r="BO194" i="18"/>
  <c r="CY194" i="18" s="1"/>
  <c r="BP194" i="18"/>
  <c r="CZ194" i="18" s="1"/>
  <c r="BQ194" i="18"/>
  <c r="DA194" i="18" s="1"/>
  <c r="BR194" i="18"/>
  <c r="DB194" i="18" s="1"/>
  <c r="BS194" i="18"/>
  <c r="DC194" i="18" s="1"/>
  <c r="BT194" i="18"/>
  <c r="DD194" i="18" s="1"/>
  <c r="BU194" i="18"/>
  <c r="DE194" i="18" s="1"/>
  <c r="BV194" i="18"/>
  <c r="DF194" i="18" s="1"/>
  <c r="BW194" i="18"/>
  <c r="DG194" i="18" s="1"/>
  <c r="BX194" i="18"/>
  <c r="DH194" i="18" s="1"/>
  <c r="BY194" i="18"/>
  <c r="DI194" i="18" s="1"/>
  <c r="BN195" i="18"/>
  <c r="CX195" i="18" s="1"/>
  <c r="BO195" i="18"/>
  <c r="CY195" i="18" s="1"/>
  <c r="BP195" i="18"/>
  <c r="CZ195" i="18" s="1"/>
  <c r="BQ195" i="18"/>
  <c r="DA195" i="18" s="1"/>
  <c r="BR195" i="18"/>
  <c r="DB195" i="18" s="1"/>
  <c r="BS195" i="18"/>
  <c r="DC195" i="18" s="1"/>
  <c r="BT195" i="18"/>
  <c r="DD195" i="18" s="1"/>
  <c r="BU195" i="18"/>
  <c r="DE195" i="18" s="1"/>
  <c r="BV195" i="18"/>
  <c r="DF195" i="18" s="1"/>
  <c r="BW195" i="18"/>
  <c r="DG195" i="18" s="1"/>
  <c r="BX195" i="18"/>
  <c r="DH195" i="18" s="1"/>
  <c r="BY195" i="18"/>
  <c r="DI195" i="18" s="1"/>
  <c r="BN196" i="18"/>
  <c r="CX196" i="18" s="1"/>
  <c r="BO196" i="18"/>
  <c r="CY196" i="18" s="1"/>
  <c r="BP196" i="18"/>
  <c r="CZ196" i="18" s="1"/>
  <c r="BQ196" i="18"/>
  <c r="DA196" i="18" s="1"/>
  <c r="BR196" i="18"/>
  <c r="DB196" i="18" s="1"/>
  <c r="BS196" i="18"/>
  <c r="DC196" i="18" s="1"/>
  <c r="BT196" i="18"/>
  <c r="DD196" i="18" s="1"/>
  <c r="BU196" i="18"/>
  <c r="DE196" i="18" s="1"/>
  <c r="BV196" i="18"/>
  <c r="DF196" i="18" s="1"/>
  <c r="BW196" i="18"/>
  <c r="DG196" i="18" s="1"/>
  <c r="BX196" i="18"/>
  <c r="DH196" i="18" s="1"/>
  <c r="BY196" i="18"/>
  <c r="DI196" i="18" s="1"/>
  <c r="BN197" i="18"/>
  <c r="CX197" i="18" s="1"/>
  <c r="BO197" i="18"/>
  <c r="CY197" i="18" s="1"/>
  <c r="BP197" i="18"/>
  <c r="CZ197" i="18" s="1"/>
  <c r="BQ197" i="18"/>
  <c r="DA197" i="18" s="1"/>
  <c r="BR197" i="18"/>
  <c r="DB197" i="18" s="1"/>
  <c r="BS197" i="18"/>
  <c r="DC197" i="18" s="1"/>
  <c r="BT197" i="18"/>
  <c r="DD197" i="18" s="1"/>
  <c r="BU197" i="18"/>
  <c r="DE197" i="18" s="1"/>
  <c r="BV197" i="18"/>
  <c r="DF197" i="18" s="1"/>
  <c r="BW197" i="18"/>
  <c r="DG197" i="18" s="1"/>
  <c r="BX197" i="18"/>
  <c r="DH197" i="18" s="1"/>
  <c r="BY197" i="18"/>
  <c r="DI197" i="18" s="1"/>
  <c r="BN198" i="18"/>
  <c r="CX198" i="18" s="1"/>
  <c r="BO198" i="18"/>
  <c r="CY198" i="18" s="1"/>
  <c r="BP198" i="18"/>
  <c r="CZ198" i="18" s="1"/>
  <c r="BQ198" i="18"/>
  <c r="DA198" i="18" s="1"/>
  <c r="BR198" i="18"/>
  <c r="DB198" i="18" s="1"/>
  <c r="BS198" i="18"/>
  <c r="DC198" i="18" s="1"/>
  <c r="BT198" i="18"/>
  <c r="DD198" i="18" s="1"/>
  <c r="BU198" i="18"/>
  <c r="DE198" i="18" s="1"/>
  <c r="BV198" i="18"/>
  <c r="DF198" i="18" s="1"/>
  <c r="BW198" i="18"/>
  <c r="DG198" i="18" s="1"/>
  <c r="BX198" i="18"/>
  <c r="DH198" i="18" s="1"/>
  <c r="BY198" i="18"/>
  <c r="DI198" i="18" s="1"/>
  <c r="BN199" i="18"/>
  <c r="CX199" i="18" s="1"/>
  <c r="BO199" i="18"/>
  <c r="CY199" i="18" s="1"/>
  <c r="BP199" i="18"/>
  <c r="CZ199" i="18" s="1"/>
  <c r="BQ199" i="18"/>
  <c r="DA199" i="18" s="1"/>
  <c r="BR199" i="18"/>
  <c r="DB199" i="18" s="1"/>
  <c r="BS199" i="18"/>
  <c r="DC199" i="18" s="1"/>
  <c r="BT199" i="18"/>
  <c r="DD199" i="18" s="1"/>
  <c r="BU199" i="18"/>
  <c r="DE199" i="18" s="1"/>
  <c r="BV199" i="18"/>
  <c r="DF199" i="18" s="1"/>
  <c r="BW199" i="18"/>
  <c r="DG199" i="18" s="1"/>
  <c r="BX199" i="18"/>
  <c r="DH199" i="18" s="1"/>
  <c r="BY199" i="18"/>
  <c r="DI199" i="18" s="1"/>
  <c r="BN200" i="18"/>
  <c r="CX200" i="18" s="1"/>
  <c r="BO200" i="18"/>
  <c r="CY200" i="18" s="1"/>
  <c r="BP200" i="18"/>
  <c r="CZ200" i="18" s="1"/>
  <c r="BQ200" i="18"/>
  <c r="DA200" i="18" s="1"/>
  <c r="BR200" i="18"/>
  <c r="DB200" i="18" s="1"/>
  <c r="BS200" i="18"/>
  <c r="DC200" i="18" s="1"/>
  <c r="BT200" i="18"/>
  <c r="DD200" i="18" s="1"/>
  <c r="BU200" i="18"/>
  <c r="DE200" i="18" s="1"/>
  <c r="BV200" i="18"/>
  <c r="DF200" i="18" s="1"/>
  <c r="BW200" i="18"/>
  <c r="DG200" i="18" s="1"/>
  <c r="BX200" i="18"/>
  <c r="DH200" i="18" s="1"/>
  <c r="BY200" i="18"/>
  <c r="DI200" i="18" s="1"/>
  <c r="BN201" i="18"/>
  <c r="CX201" i="18" s="1"/>
  <c r="BO201" i="18"/>
  <c r="CY201" i="18" s="1"/>
  <c r="BP201" i="18"/>
  <c r="CZ201" i="18" s="1"/>
  <c r="BQ201" i="18"/>
  <c r="DA201" i="18" s="1"/>
  <c r="BR201" i="18"/>
  <c r="DB201" i="18" s="1"/>
  <c r="BS201" i="18"/>
  <c r="DC201" i="18" s="1"/>
  <c r="BT201" i="18"/>
  <c r="DD201" i="18" s="1"/>
  <c r="BU201" i="18"/>
  <c r="DE201" i="18" s="1"/>
  <c r="BV201" i="18"/>
  <c r="DF201" i="18" s="1"/>
  <c r="BW201" i="18"/>
  <c r="DG201" i="18" s="1"/>
  <c r="BX201" i="18"/>
  <c r="DH201" i="18" s="1"/>
  <c r="BY201" i="18"/>
  <c r="DI201" i="18" s="1"/>
  <c r="BN202" i="18"/>
  <c r="CX202" i="18" s="1"/>
  <c r="BO202" i="18"/>
  <c r="CY202" i="18" s="1"/>
  <c r="BP202" i="18"/>
  <c r="CZ202" i="18" s="1"/>
  <c r="BQ202" i="18"/>
  <c r="DA202" i="18" s="1"/>
  <c r="BR202" i="18"/>
  <c r="DB202" i="18" s="1"/>
  <c r="BS202" i="18"/>
  <c r="DC202" i="18" s="1"/>
  <c r="BT202" i="18"/>
  <c r="DD202" i="18" s="1"/>
  <c r="BU202" i="18"/>
  <c r="DE202" i="18" s="1"/>
  <c r="BV202" i="18"/>
  <c r="DF202" i="18" s="1"/>
  <c r="BW202" i="18"/>
  <c r="DG202" i="18" s="1"/>
  <c r="BX202" i="18"/>
  <c r="DH202" i="18" s="1"/>
  <c r="BY202" i="18"/>
  <c r="DI202" i="18" s="1"/>
  <c r="BN203" i="18"/>
  <c r="CX203" i="18" s="1"/>
  <c r="BO203" i="18"/>
  <c r="CY203" i="18" s="1"/>
  <c r="BP203" i="18"/>
  <c r="CZ203" i="18" s="1"/>
  <c r="BQ203" i="18"/>
  <c r="DA203" i="18" s="1"/>
  <c r="BR203" i="18"/>
  <c r="DB203" i="18" s="1"/>
  <c r="BS203" i="18"/>
  <c r="DC203" i="18" s="1"/>
  <c r="BT203" i="18"/>
  <c r="DD203" i="18" s="1"/>
  <c r="BU203" i="18"/>
  <c r="DE203" i="18" s="1"/>
  <c r="BV203" i="18"/>
  <c r="DF203" i="18" s="1"/>
  <c r="BW203" i="18"/>
  <c r="DG203" i="18" s="1"/>
  <c r="BX203" i="18"/>
  <c r="DH203" i="18" s="1"/>
  <c r="BY203" i="18"/>
  <c r="DI203" i="18" s="1"/>
  <c r="BN204" i="18"/>
  <c r="CX204" i="18" s="1"/>
  <c r="BO204" i="18"/>
  <c r="CY204" i="18" s="1"/>
  <c r="BP204" i="18"/>
  <c r="CZ204" i="18" s="1"/>
  <c r="BQ204" i="18"/>
  <c r="DA204" i="18" s="1"/>
  <c r="BR204" i="18"/>
  <c r="DB204" i="18" s="1"/>
  <c r="BS204" i="18"/>
  <c r="DC204" i="18" s="1"/>
  <c r="BT204" i="18"/>
  <c r="DD204" i="18" s="1"/>
  <c r="BU204" i="18"/>
  <c r="DE204" i="18" s="1"/>
  <c r="BV204" i="18"/>
  <c r="DF204" i="18" s="1"/>
  <c r="BW204" i="18"/>
  <c r="DG204" i="18" s="1"/>
  <c r="BX204" i="18"/>
  <c r="DH204" i="18" s="1"/>
  <c r="BY204" i="18"/>
  <c r="DI204" i="18" s="1"/>
  <c r="BN205" i="18"/>
  <c r="CX205" i="18" s="1"/>
  <c r="BO205" i="18"/>
  <c r="CY205" i="18" s="1"/>
  <c r="BP205" i="18"/>
  <c r="CZ205" i="18" s="1"/>
  <c r="BQ205" i="18"/>
  <c r="DA205" i="18" s="1"/>
  <c r="BR205" i="18"/>
  <c r="DB205" i="18" s="1"/>
  <c r="BS205" i="18"/>
  <c r="DC205" i="18" s="1"/>
  <c r="BT205" i="18"/>
  <c r="DD205" i="18" s="1"/>
  <c r="BU205" i="18"/>
  <c r="DE205" i="18" s="1"/>
  <c r="BV205" i="18"/>
  <c r="DF205" i="18" s="1"/>
  <c r="BW205" i="18"/>
  <c r="DG205" i="18" s="1"/>
  <c r="BX205" i="18"/>
  <c r="DH205" i="18" s="1"/>
  <c r="BY205" i="18"/>
  <c r="DI205" i="18" s="1"/>
  <c r="BN211" i="18"/>
  <c r="CX211" i="18" s="1"/>
  <c r="BO211" i="18"/>
  <c r="BP211" i="18"/>
  <c r="BQ211" i="18"/>
  <c r="BR211" i="18"/>
  <c r="BS211" i="18"/>
  <c r="DC211" i="18" s="1"/>
  <c r="BT211" i="18"/>
  <c r="DD211" i="18" s="1"/>
  <c r="BU211" i="18"/>
  <c r="BV211" i="18"/>
  <c r="DF211" i="18" s="1"/>
  <c r="BW211" i="18"/>
  <c r="DG211" i="18" s="1"/>
  <c r="BX211" i="18"/>
  <c r="BY211" i="18"/>
  <c r="DI211" i="18" s="1"/>
  <c r="BN225" i="18"/>
  <c r="CX225" i="18" s="1"/>
  <c r="BO225" i="18"/>
  <c r="CY225" i="18" s="1"/>
  <c r="BP225" i="18"/>
  <c r="CZ225" i="18" s="1"/>
  <c r="BQ225" i="18"/>
  <c r="DA225" i="18" s="1"/>
  <c r="BR225" i="18"/>
  <c r="DB225" i="18" s="1"/>
  <c r="BS225" i="18"/>
  <c r="DC225" i="18" s="1"/>
  <c r="BT225" i="18"/>
  <c r="DD225" i="18" s="1"/>
  <c r="BU225" i="18"/>
  <c r="DE225" i="18" s="1"/>
  <c r="BV225" i="18"/>
  <c r="DF225" i="18" s="1"/>
  <c r="BW225" i="18"/>
  <c r="DG225" i="18" s="1"/>
  <c r="BX225" i="18"/>
  <c r="DH225" i="18" s="1"/>
  <c r="BY225" i="18"/>
  <c r="DI225" i="18" s="1"/>
  <c r="BN226" i="18"/>
  <c r="BO226" i="18"/>
  <c r="BP226" i="18"/>
  <c r="CZ226" i="18" s="1"/>
  <c r="BQ226" i="18"/>
  <c r="DA226" i="18" s="1"/>
  <c r="BR226" i="18"/>
  <c r="BS226" i="18"/>
  <c r="BT226" i="18"/>
  <c r="BU226" i="18"/>
  <c r="BV226" i="18"/>
  <c r="BW226" i="18"/>
  <c r="BX226" i="18"/>
  <c r="BY226" i="18"/>
  <c r="DI226" i="18" s="1"/>
  <c r="BN227" i="18"/>
  <c r="CX227" i="18" s="1"/>
  <c r="BO227" i="18"/>
  <c r="CY227" i="18" s="1"/>
  <c r="BP227" i="18"/>
  <c r="CZ227" i="18" s="1"/>
  <c r="BQ227" i="18"/>
  <c r="DA227" i="18" s="1"/>
  <c r="BR227" i="18"/>
  <c r="DB227" i="18" s="1"/>
  <c r="BS227" i="18"/>
  <c r="DC227" i="18" s="1"/>
  <c r="BT227" i="18"/>
  <c r="DD227" i="18" s="1"/>
  <c r="BU227" i="18"/>
  <c r="DE227" i="18" s="1"/>
  <c r="BV227" i="18"/>
  <c r="DF227" i="18" s="1"/>
  <c r="BW227" i="18"/>
  <c r="DG227" i="18" s="1"/>
  <c r="BX227" i="18"/>
  <c r="DH227" i="18" s="1"/>
  <c r="BY227" i="18"/>
  <c r="DI227" i="18" s="1"/>
  <c r="BN228" i="18"/>
  <c r="CX228" i="18" s="1"/>
  <c r="BO228" i="18"/>
  <c r="CY228" i="18" s="1"/>
  <c r="BP228" i="18"/>
  <c r="CZ228" i="18" s="1"/>
  <c r="BQ228" i="18"/>
  <c r="DA228" i="18" s="1"/>
  <c r="BR228" i="18"/>
  <c r="DB228" i="18" s="1"/>
  <c r="BS228" i="18"/>
  <c r="DC228" i="18" s="1"/>
  <c r="BT228" i="18"/>
  <c r="DD228" i="18" s="1"/>
  <c r="BU228" i="18"/>
  <c r="DE228" i="18" s="1"/>
  <c r="BV228" i="18"/>
  <c r="DF228" i="18" s="1"/>
  <c r="BW228" i="18"/>
  <c r="DG228" i="18" s="1"/>
  <c r="BX228" i="18"/>
  <c r="DH228" i="18" s="1"/>
  <c r="BY228" i="18"/>
  <c r="DI228" i="18" s="1"/>
  <c r="BN229" i="18"/>
  <c r="CX229" i="18" s="1"/>
  <c r="BO229" i="18"/>
  <c r="CY229" i="18" s="1"/>
  <c r="BP229" i="18"/>
  <c r="CZ229" i="18" s="1"/>
  <c r="BQ229" i="18"/>
  <c r="DA229" i="18" s="1"/>
  <c r="BR229" i="18"/>
  <c r="DB229" i="18" s="1"/>
  <c r="BS229" i="18"/>
  <c r="DC229" i="18" s="1"/>
  <c r="BT229" i="18"/>
  <c r="DD229" i="18" s="1"/>
  <c r="BU229" i="18"/>
  <c r="DE229" i="18" s="1"/>
  <c r="BV229" i="18"/>
  <c r="DF229" i="18" s="1"/>
  <c r="BW229" i="18"/>
  <c r="DG229" i="18" s="1"/>
  <c r="BX229" i="18"/>
  <c r="DH229" i="18" s="1"/>
  <c r="BY229" i="18"/>
  <c r="DI229" i="18" s="1"/>
  <c r="BN230" i="18"/>
  <c r="CX230" i="18" s="1"/>
  <c r="BO230" i="18"/>
  <c r="CY230" i="18" s="1"/>
  <c r="BP230" i="18"/>
  <c r="CZ230" i="18" s="1"/>
  <c r="BQ230" i="18"/>
  <c r="DA230" i="18" s="1"/>
  <c r="BR230" i="18"/>
  <c r="DB230" i="18" s="1"/>
  <c r="BS230" i="18"/>
  <c r="DC230" i="18" s="1"/>
  <c r="BT230" i="18"/>
  <c r="DD230" i="18" s="1"/>
  <c r="BU230" i="18"/>
  <c r="DE230" i="18" s="1"/>
  <c r="BV230" i="18"/>
  <c r="DF230" i="18" s="1"/>
  <c r="BW230" i="18"/>
  <c r="DG230" i="18" s="1"/>
  <c r="BX230" i="18"/>
  <c r="DH230" i="18" s="1"/>
  <c r="BY230" i="18"/>
  <c r="DI230" i="18" s="1"/>
  <c r="BN231" i="18"/>
  <c r="CX231" i="18" s="1"/>
  <c r="BO231" i="18"/>
  <c r="CY231" i="18" s="1"/>
  <c r="BP231" i="18"/>
  <c r="CZ231" i="18" s="1"/>
  <c r="BQ231" i="18"/>
  <c r="DA231" i="18" s="1"/>
  <c r="BR231" i="18"/>
  <c r="DB231" i="18" s="1"/>
  <c r="BS231" i="18"/>
  <c r="DC231" i="18" s="1"/>
  <c r="BT231" i="18"/>
  <c r="DD231" i="18" s="1"/>
  <c r="BU231" i="18"/>
  <c r="DE231" i="18" s="1"/>
  <c r="BV231" i="18"/>
  <c r="DF231" i="18" s="1"/>
  <c r="BW231" i="18"/>
  <c r="DG231" i="18" s="1"/>
  <c r="BX231" i="18"/>
  <c r="DH231" i="18" s="1"/>
  <c r="BY231" i="18"/>
  <c r="DI231" i="18" s="1"/>
  <c r="BN232" i="18"/>
  <c r="CX232" i="18" s="1"/>
  <c r="BO232" i="18"/>
  <c r="CY232" i="18" s="1"/>
  <c r="BP232" i="18"/>
  <c r="CZ232" i="18" s="1"/>
  <c r="BQ232" i="18"/>
  <c r="DA232" i="18" s="1"/>
  <c r="BR232" i="18"/>
  <c r="DB232" i="18" s="1"/>
  <c r="BS232" i="18"/>
  <c r="DC232" i="18" s="1"/>
  <c r="BT232" i="18"/>
  <c r="DD232" i="18" s="1"/>
  <c r="BU232" i="18"/>
  <c r="DE232" i="18" s="1"/>
  <c r="BV232" i="18"/>
  <c r="DF232" i="18" s="1"/>
  <c r="BW232" i="18"/>
  <c r="DG232" i="18" s="1"/>
  <c r="BX232" i="18"/>
  <c r="DH232" i="18" s="1"/>
  <c r="BY232" i="18"/>
  <c r="DI232" i="18" s="1"/>
  <c r="BN233" i="18"/>
  <c r="CX233" i="18" s="1"/>
  <c r="BO233" i="18"/>
  <c r="CY233" i="18" s="1"/>
  <c r="BP233" i="18"/>
  <c r="CZ233" i="18" s="1"/>
  <c r="BQ233" i="18"/>
  <c r="DA233" i="18" s="1"/>
  <c r="BR233" i="18"/>
  <c r="DB233" i="18" s="1"/>
  <c r="BS233" i="18"/>
  <c r="DC233" i="18" s="1"/>
  <c r="BT233" i="18"/>
  <c r="DD233" i="18" s="1"/>
  <c r="BU233" i="18"/>
  <c r="DE233" i="18" s="1"/>
  <c r="BV233" i="18"/>
  <c r="DF233" i="18" s="1"/>
  <c r="BW233" i="18"/>
  <c r="DG233" i="18" s="1"/>
  <c r="BX233" i="18"/>
  <c r="DH233" i="18" s="1"/>
  <c r="BY233" i="18"/>
  <c r="DI233" i="18" s="1"/>
  <c r="BN234" i="18"/>
  <c r="CX234" i="18" s="1"/>
  <c r="BO234" i="18"/>
  <c r="CY234" i="18" s="1"/>
  <c r="BP234" i="18"/>
  <c r="CZ234" i="18" s="1"/>
  <c r="BQ234" i="18"/>
  <c r="DA234" i="18" s="1"/>
  <c r="BR234" i="18"/>
  <c r="DB234" i="18" s="1"/>
  <c r="BS234" i="18"/>
  <c r="DC234" i="18" s="1"/>
  <c r="BT234" i="18"/>
  <c r="DD234" i="18" s="1"/>
  <c r="BU234" i="18"/>
  <c r="DE234" i="18" s="1"/>
  <c r="BV234" i="18"/>
  <c r="DF234" i="18" s="1"/>
  <c r="BW234" i="18"/>
  <c r="DG234" i="18" s="1"/>
  <c r="BX234" i="18"/>
  <c r="DH234" i="18" s="1"/>
  <c r="BY234" i="18"/>
  <c r="DI234" i="18" s="1"/>
  <c r="BN235" i="18"/>
  <c r="CX235" i="18" s="1"/>
  <c r="BO235" i="18"/>
  <c r="CY235" i="18" s="1"/>
  <c r="BP235" i="18"/>
  <c r="CZ235" i="18" s="1"/>
  <c r="BQ235" i="18"/>
  <c r="DA235" i="18" s="1"/>
  <c r="BR235" i="18"/>
  <c r="DB235" i="18" s="1"/>
  <c r="BS235" i="18"/>
  <c r="DC235" i="18" s="1"/>
  <c r="BT235" i="18"/>
  <c r="DD235" i="18" s="1"/>
  <c r="BU235" i="18"/>
  <c r="DE235" i="18" s="1"/>
  <c r="BV235" i="18"/>
  <c r="DF235" i="18" s="1"/>
  <c r="BW235" i="18"/>
  <c r="DG235" i="18" s="1"/>
  <c r="BX235" i="18"/>
  <c r="DH235" i="18" s="1"/>
  <c r="BY235" i="18"/>
  <c r="DI235" i="18" s="1"/>
  <c r="BN236" i="18"/>
  <c r="CX236" i="18" s="1"/>
  <c r="BO236" i="18"/>
  <c r="CY236" i="18" s="1"/>
  <c r="BP236" i="18"/>
  <c r="CZ236" i="18" s="1"/>
  <c r="BQ236" i="18"/>
  <c r="DA236" i="18" s="1"/>
  <c r="BR236" i="18"/>
  <c r="DB236" i="18" s="1"/>
  <c r="BS236" i="18"/>
  <c r="DC236" i="18" s="1"/>
  <c r="BT236" i="18"/>
  <c r="DD236" i="18" s="1"/>
  <c r="BU236" i="18"/>
  <c r="DE236" i="18" s="1"/>
  <c r="BV236" i="18"/>
  <c r="DF236" i="18" s="1"/>
  <c r="BW236" i="18"/>
  <c r="DG236" i="18" s="1"/>
  <c r="BX236" i="18"/>
  <c r="DH236" i="18" s="1"/>
  <c r="BY236" i="18"/>
  <c r="DI236" i="18" s="1"/>
  <c r="BN237" i="18"/>
  <c r="CX237" i="18" s="1"/>
  <c r="BO237" i="18"/>
  <c r="CY237" i="18" s="1"/>
  <c r="BP237" i="18"/>
  <c r="CZ237" i="18" s="1"/>
  <c r="BQ237" i="18"/>
  <c r="DA237" i="18" s="1"/>
  <c r="BR237" i="18"/>
  <c r="DB237" i="18" s="1"/>
  <c r="BS237" i="18"/>
  <c r="DC237" i="18" s="1"/>
  <c r="BT237" i="18"/>
  <c r="DD237" i="18" s="1"/>
  <c r="BU237" i="18"/>
  <c r="DE237" i="18" s="1"/>
  <c r="BV237" i="18"/>
  <c r="DF237" i="18" s="1"/>
  <c r="BW237" i="18"/>
  <c r="DG237" i="18" s="1"/>
  <c r="BX237" i="18"/>
  <c r="DH237" i="18" s="1"/>
  <c r="BY237" i="18"/>
  <c r="DI237" i="18" s="1"/>
  <c r="BN238" i="18"/>
  <c r="CX238" i="18" s="1"/>
  <c r="BO238" i="18"/>
  <c r="CY238" i="18" s="1"/>
  <c r="BP238" i="18"/>
  <c r="CZ238" i="18" s="1"/>
  <c r="BQ238" i="18"/>
  <c r="DA238" i="18" s="1"/>
  <c r="BR238" i="18"/>
  <c r="DB238" i="18" s="1"/>
  <c r="BS238" i="18"/>
  <c r="DC238" i="18" s="1"/>
  <c r="BT238" i="18"/>
  <c r="DD238" i="18" s="1"/>
  <c r="BU238" i="18"/>
  <c r="DE238" i="18" s="1"/>
  <c r="BV238" i="18"/>
  <c r="DF238" i="18" s="1"/>
  <c r="BW238" i="18"/>
  <c r="DG238" i="18" s="1"/>
  <c r="BX238" i="18"/>
  <c r="DH238" i="18" s="1"/>
  <c r="BY238" i="18"/>
  <c r="DI238" i="18" s="1"/>
  <c r="BN239" i="18"/>
  <c r="CX239" i="18" s="1"/>
  <c r="BO239" i="18"/>
  <c r="CY239" i="18" s="1"/>
  <c r="BP239" i="18"/>
  <c r="CZ239" i="18" s="1"/>
  <c r="BQ239" i="18"/>
  <c r="DA239" i="18" s="1"/>
  <c r="BR239" i="18"/>
  <c r="DB239" i="18" s="1"/>
  <c r="BS239" i="18"/>
  <c r="DC239" i="18" s="1"/>
  <c r="BT239" i="18"/>
  <c r="DD239" i="18" s="1"/>
  <c r="BU239" i="18"/>
  <c r="DE239" i="18" s="1"/>
  <c r="BV239" i="18"/>
  <c r="DF239" i="18" s="1"/>
  <c r="BW239" i="18"/>
  <c r="DG239" i="18" s="1"/>
  <c r="BX239" i="18"/>
  <c r="DH239" i="18" s="1"/>
  <c r="BY239" i="18"/>
  <c r="DI239" i="18" s="1"/>
  <c r="BN240" i="18"/>
  <c r="CX240" i="18" s="1"/>
  <c r="BO240" i="18"/>
  <c r="CY240" i="18" s="1"/>
  <c r="BP240" i="18"/>
  <c r="CZ240" i="18" s="1"/>
  <c r="BQ240" i="18"/>
  <c r="DA240" i="18" s="1"/>
  <c r="BR240" i="18"/>
  <c r="DB240" i="18" s="1"/>
  <c r="BS240" i="18"/>
  <c r="DC240" i="18" s="1"/>
  <c r="BT240" i="18"/>
  <c r="DD240" i="18" s="1"/>
  <c r="BU240" i="18"/>
  <c r="DE240" i="18" s="1"/>
  <c r="BV240" i="18"/>
  <c r="DF240" i="18" s="1"/>
  <c r="BW240" i="18"/>
  <c r="DG240" i="18" s="1"/>
  <c r="BX240" i="18"/>
  <c r="DH240" i="18" s="1"/>
  <c r="BY240" i="18"/>
  <c r="DI240" i="18" s="1"/>
  <c r="BN241" i="18"/>
  <c r="CX241" i="18" s="1"/>
  <c r="BO241" i="18"/>
  <c r="CY241" i="18" s="1"/>
  <c r="BP241" i="18"/>
  <c r="CZ241" i="18" s="1"/>
  <c r="BQ241" i="18"/>
  <c r="DA241" i="18" s="1"/>
  <c r="BR241" i="18"/>
  <c r="DB241" i="18" s="1"/>
  <c r="BS241" i="18"/>
  <c r="DC241" i="18" s="1"/>
  <c r="BT241" i="18"/>
  <c r="DD241" i="18" s="1"/>
  <c r="BU241" i="18"/>
  <c r="DE241" i="18" s="1"/>
  <c r="BV241" i="18"/>
  <c r="DF241" i="18" s="1"/>
  <c r="BW241" i="18"/>
  <c r="DG241" i="18" s="1"/>
  <c r="BX241" i="18"/>
  <c r="DH241" i="18" s="1"/>
  <c r="BY241" i="18"/>
  <c r="DI241" i="18" s="1"/>
  <c r="BN242" i="18"/>
  <c r="CX242" i="18" s="1"/>
  <c r="BO242" i="18"/>
  <c r="CY242" i="18" s="1"/>
  <c r="BP242" i="18"/>
  <c r="CZ242" i="18" s="1"/>
  <c r="BQ242" i="18"/>
  <c r="DA242" i="18" s="1"/>
  <c r="BR242" i="18"/>
  <c r="DB242" i="18" s="1"/>
  <c r="BS242" i="18"/>
  <c r="DC242" i="18" s="1"/>
  <c r="BT242" i="18"/>
  <c r="DD242" i="18" s="1"/>
  <c r="BU242" i="18"/>
  <c r="DE242" i="18" s="1"/>
  <c r="BV242" i="18"/>
  <c r="DF242" i="18" s="1"/>
  <c r="BW242" i="18"/>
  <c r="DG242" i="18" s="1"/>
  <c r="BX242" i="18"/>
  <c r="DH242" i="18" s="1"/>
  <c r="BY242" i="18"/>
  <c r="DI242" i="18" s="1"/>
  <c r="BN243" i="18"/>
  <c r="CX243" i="18" s="1"/>
  <c r="BO243" i="18"/>
  <c r="CY243" i="18" s="1"/>
  <c r="BP243" i="18"/>
  <c r="CZ243" i="18" s="1"/>
  <c r="BQ243" i="18"/>
  <c r="DA243" i="18" s="1"/>
  <c r="BR243" i="18"/>
  <c r="DB243" i="18" s="1"/>
  <c r="BS243" i="18"/>
  <c r="DC243" i="18" s="1"/>
  <c r="BT243" i="18"/>
  <c r="DD243" i="18" s="1"/>
  <c r="BU243" i="18"/>
  <c r="DE243" i="18" s="1"/>
  <c r="BV243" i="18"/>
  <c r="DF243" i="18" s="1"/>
  <c r="BW243" i="18"/>
  <c r="DG243" i="18" s="1"/>
  <c r="BX243" i="18"/>
  <c r="DH243" i="18" s="1"/>
  <c r="BY243" i="18"/>
  <c r="DI243" i="18" s="1"/>
  <c r="BN244" i="18"/>
  <c r="CX244" i="18" s="1"/>
  <c r="BO244" i="18"/>
  <c r="CY244" i="18" s="1"/>
  <c r="BP244" i="18"/>
  <c r="CZ244" i="18" s="1"/>
  <c r="BQ244" i="18"/>
  <c r="DA244" i="18" s="1"/>
  <c r="BR244" i="18"/>
  <c r="DB244" i="18" s="1"/>
  <c r="BS244" i="18"/>
  <c r="DC244" i="18" s="1"/>
  <c r="BT244" i="18"/>
  <c r="DD244" i="18" s="1"/>
  <c r="BU244" i="18"/>
  <c r="DE244" i="18" s="1"/>
  <c r="BV244" i="18"/>
  <c r="DF244" i="18" s="1"/>
  <c r="BW244" i="18"/>
  <c r="DG244" i="18" s="1"/>
  <c r="BX244" i="18"/>
  <c r="DH244" i="18" s="1"/>
  <c r="BY244" i="18"/>
  <c r="DI244" i="18" s="1"/>
  <c r="BN245" i="18"/>
  <c r="CX245" i="18" s="1"/>
  <c r="BO245" i="18"/>
  <c r="CY245" i="18" s="1"/>
  <c r="BP245" i="18"/>
  <c r="CZ245" i="18" s="1"/>
  <c r="BQ245" i="18"/>
  <c r="DA245" i="18" s="1"/>
  <c r="BR245" i="18"/>
  <c r="DB245" i="18" s="1"/>
  <c r="BS245" i="18"/>
  <c r="DC245" i="18" s="1"/>
  <c r="BT245" i="18"/>
  <c r="DD245" i="18" s="1"/>
  <c r="BU245" i="18"/>
  <c r="DE245" i="18" s="1"/>
  <c r="BV245" i="18"/>
  <c r="DF245" i="18" s="1"/>
  <c r="BW245" i="18"/>
  <c r="DG245" i="18" s="1"/>
  <c r="BX245" i="18"/>
  <c r="DH245" i="18" s="1"/>
  <c r="BY245" i="18"/>
  <c r="DI245" i="18" s="1"/>
  <c r="BN246" i="18"/>
  <c r="CX246" i="18" s="1"/>
  <c r="BO246" i="18"/>
  <c r="CY246" i="18" s="1"/>
  <c r="BP246" i="18"/>
  <c r="CZ246" i="18" s="1"/>
  <c r="BQ246" i="18"/>
  <c r="DA246" i="18" s="1"/>
  <c r="BR246" i="18"/>
  <c r="DB246" i="18" s="1"/>
  <c r="BS246" i="18"/>
  <c r="DC246" i="18" s="1"/>
  <c r="BT246" i="18"/>
  <c r="DD246" i="18" s="1"/>
  <c r="BU246" i="18"/>
  <c r="DE246" i="18" s="1"/>
  <c r="BV246" i="18"/>
  <c r="DF246" i="18" s="1"/>
  <c r="BW246" i="18"/>
  <c r="DG246" i="18" s="1"/>
  <c r="BX246" i="18"/>
  <c r="DH246" i="18" s="1"/>
  <c r="BY246" i="18"/>
  <c r="DI246" i="18" s="1"/>
  <c r="BN252" i="18"/>
  <c r="CX252" i="18" s="1"/>
  <c r="BO252" i="18"/>
  <c r="BP252" i="18"/>
  <c r="BQ252" i="18"/>
  <c r="BR252" i="18"/>
  <c r="BS252" i="18"/>
  <c r="DC252" i="18" s="1"/>
  <c r="BT252" i="18"/>
  <c r="DD252" i="18" s="1"/>
  <c r="BU252" i="18"/>
  <c r="DE252" i="18" s="1"/>
  <c r="BV252" i="18"/>
  <c r="DF252" i="18" s="1"/>
  <c r="BW252" i="18"/>
  <c r="DG252" i="18" s="1"/>
  <c r="BX252" i="18"/>
  <c r="DH252" i="18" s="1"/>
  <c r="BY252" i="18"/>
  <c r="DI252" i="18" s="1"/>
  <c r="BN264" i="18"/>
  <c r="CX264" i="18" s="1"/>
  <c r="BO264" i="18"/>
  <c r="CY264" i="18" s="1"/>
  <c r="BP264" i="18"/>
  <c r="BQ264" i="18"/>
  <c r="DA264" i="18" s="1"/>
  <c r="BR264" i="18"/>
  <c r="DB264" i="18" s="1"/>
  <c r="BS264" i="18"/>
  <c r="BT264" i="18"/>
  <c r="BU264" i="18"/>
  <c r="BV264" i="18"/>
  <c r="BW264" i="18"/>
  <c r="BX264" i="18"/>
  <c r="BY264" i="18"/>
  <c r="BN265" i="18"/>
  <c r="CX265" i="18" s="1"/>
  <c r="BO265" i="18"/>
  <c r="CY265" i="18" s="1"/>
  <c r="BP265" i="18"/>
  <c r="CZ265" i="18" s="1"/>
  <c r="BQ265" i="18"/>
  <c r="DA265" i="18" s="1"/>
  <c r="BR265" i="18"/>
  <c r="DB265" i="18" s="1"/>
  <c r="BS265" i="18"/>
  <c r="DC265" i="18" s="1"/>
  <c r="BT265" i="18"/>
  <c r="DD265" i="18" s="1"/>
  <c r="BU265" i="18"/>
  <c r="DE265" i="18" s="1"/>
  <c r="BV265" i="18"/>
  <c r="DF265" i="18" s="1"/>
  <c r="BW265" i="18"/>
  <c r="DG265" i="18" s="1"/>
  <c r="BX265" i="18"/>
  <c r="DH265" i="18" s="1"/>
  <c r="BY265" i="18"/>
  <c r="DI265" i="18" s="1"/>
  <c r="BN266" i="18"/>
  <c r="CX266" i="18" s="1"/>
  <c r="BO266" i="18"/>
  <c r="CY266" i="18" s="1"/>
  <c r="BP266" i="18"/>
  <c r="CZ266" i="18" s="1"/>
  <c r="BQ266" i="18"/>
  <c r="DA266" i="18" s="1"/>
  <c r="BR266" i="18"/>
  <c r="DB266" i="18" s="1"/>
  <c r="BS266" i="18"/>
  <c r="DC266" i="18" s="1"/>
  <c r="BT266" i="18"/>
  <c r="DD266" i="18" s="1"/>
  <c r="BU266" i="18"/>
  <c r="DE266" i="18" s="1"/>
  <c r="BV266" i="18"/>
  <c r="DF266" i="18" s="1"/>
  <c r="BW266" i="18"/>
  <c r="DG266" i="18" s="1"/>
  <c r="BX266" i="18"/>
  <c r="DH266" i="18" s="1"/>
  <c r="BY266" i="18"/>
  <c r="DI266" i="18" s="1"/>
  <c r="BN267" i="18"/>
  <c r="CX267" i="18" s="1"/>
  <c r="BO267" i="18"/>
  <c r="CY267" i="18" s="1"/>
  <c r="BP267" i="18"/>
  <c r="CZ267" i="18" s="1"/>
  <c r="BQ267" i="18"/>
  <c r="DA267" i="18" s="1"/>
  <c r="BR267" i="18"/>
  <c r="DB267" i="18" s="1"/>
  <c r="BS267" i="18"/>
  <c r="DC267" i="18" s="1"/>
  <c r="BT267" i="18"/>
  <c r="DD267" i="18" s="1"/>
  <c r="BU267" i="18"/>
  <c r="DE267" i="18" s="1"/>
  <c r="BV267" i="18"/>
  <c r="DF267" i="18" s="1"/>
  <c r="BW267" i="18"/>
  <c r="DG267" i="18" s="1"/>
  <c r="BX267" i="18"/>
  <c r="DH267" i="18" s="1"/>
  <c r="BY267" i="18"/>
  <c r="DI267" i="18" s="1"/>
  <c r="BN268" i="18"/>
  <c r="CX268" i="18" s="1"/>
  <c r="BO268" i="18"/>
  <c r="CY268" i="18" s="1"/>
  <c r="BP268" i="18"/>
  <c r="CZ268" i="18" s="1"/>
  <c r="BQ268" i="18"/>
  <c r="DA268" i="18" s="1"/>
  <c r="BR268" i="18"/>
  <c r="DB268" i="18" s="1"/>
  <c r="BS268" i="18"/>
  <c r="DC268" i="18" s="1"/>
  <c r="BT268" i="18"/>
  <c r="DD268" i="18" s="1"/>
  <c r="BU268" i="18"/>
  <c r="DE268" i="18" s="1"/>
  <c r="BV268" i="18"/>
  <c r="DF268" i="18" s="1"/>
  <c r="BW268" i="18"/>
  <c r="DG268" i="18" s="1"/>
  <c r="BX268" i="18"/>
  <c r="DH268" i="18" s="1"/>
  <c r="BY268" i="18"/>
  <c r="DI268" i="18" s="1"/>
  <c r="BN269" i="18"/>
  <c r="CX269" i="18" s="1"/>
  <c r="BO269" i="18"/>
  <c r="CY269" i="18" s="1"/>
  <c r="BP269" i="18"/>
  <c r="CZ269" i="18" s="1"/>
  <c r="BQ269" i="18"/>
  <c r="DA269" i="18" s="1"/>
  <c r="BR269" i="18"/>
  <c r="DB269" i="18" s="1"/>
  <c r="BS269" i="18"/>
  <c r="DC269" i="18" s="1"/>
  <c r="BT269" i="18"/>
  <c r="DD269" i="18" s="1"/>
  <c r="BU269" i="18"/>
  <c r="DE269" i="18" s="1"/>
  <c r="BV269" i="18"/>
  <c r="DF269" i="18" s="1"/>
  <c r="BW269" i="18"/>
  <c r="DG269" i="18" s="1"/>
  <c r="BX269" i="18"/>
  <c r="DH269" i="18" s="1"/>
  <c r="BY269" i="18"/>
  <c r="DI269" i="18" s="1"/>
  <c r="BN270" i="18"/>
  <c r="CX270" i="18" s="1"/>
  <c r="BO270" i="18"/>
  <c r="CY270" i="18" s="1"/>
  <c r="BP270" i="18"/>
  <c r="CZ270" i="18" s="1"/>
  <c r="BQ270" i="18"/>
  <c r="DA270" i="18" s="1"/>
  <c r="BR270" i="18"/>
  <c r="DB270" i="18" s="1"/>
  <c r="BS270" i="18"/>
  <c r="DC270" i="18" s="1"/>
  <c r="BT270" i="18"/>
  <c r="DD270" i="18" s="1"/>
  <c r="BU270" i="18"/>
  <c r="DE270" i="18" s="1"/>
  <c r="BV270" i="18"/>
  <c r="DF270" i="18" s="1"/>
  <c r="BW270" i="18"/>
  <c r="DG270" i="18" s="1"/>
  <c r="BX270" i="18"/>
  <c r="BY270" i="18"/>
  <c r="DI270" i="18" s="1"/>
  <c r="BN271" i="18"/>
  <c r="CX271" i="18" s="1"/>
  <c r="BO271" i="18"/>
  <c r="CY271" i="18" s="1"/>
  <c r="BP271" i="18"/>
  <c r="CZ271" i="18" s="1"/>
  <c r="BQ271" i="18"/>
  <c r="DA271" i="18" s="1"/>
  <c r="BR271" i="18"/>
  <c r="DB271" i="18" s="1"/>
  <c r="BS271" i="18"/>
  <c r="DC271" i="18" s="1"/>
  <c r="BT271" i="18"/>
  <c r="DD271" i="18" s="1"/>
  <c r="BU271" i="18"/>
  <c r="DE271" i="18" s="1"/>
  <c r="BV271" i="18"/>
  <c r="DF271" i="18" s="1"/>
  <c r="BW271" i="18"/>
  <c r="DG271" i="18" s="1"/>
  <c r="BX271" i="18"/>
  <c r="DH271" i="18" s="1"/>
  <c r="BY271" i="18"/>
  <c r="DI271" i="18" s="1"/>
  <c r="BN272" i="18"/>
  <c r="CX272" i="18" s="1"/>
  <c r="BO272" i="18"/>
  <c r="CY272" i="18" s="1"/>
  <c r="BP272" i="18"/>
  <c r="CZ272" i="18" s="1"/>
  <c r="BQ272" i="18"/>
  <c r="DA272" i="18" s="1"/>
  <c r="BR272" i="18"/>
  <c r="DB272" i="18" s="1"/>
  <c r="BS272" i="18"/>
  <c r="DC272" i="18" s="1"/>
  <c r="BT272" i="18"/>
  <c r="DD272" i="18" s="1"/>
  <c r="BU272" i="18"/>
  <c r="DE272" i="18" s="1"/>
  <c r="BV272" i="18"/>
  <c r="DF272" i="18" s="1"/>
  <c r="BW272" i="18"/>
  <c r="DG272" i="18" s="1"/>
  <c r="BX272" i="18"/>
  <c r="DH272" i="18" s="1"/>
  <c r="BY272" i="18"/>
  <c r="DI272" i="18" s="1"/>
  <c r="BN273" i="18"/>
  <c r="CX273" i="18" s="1"/>
  <c r="BO273" i="18"/>
  <c r="CY273" i="18" s="1"/>
  <c r="BP273" i="18"/>
  <c r="CZ273" i="18" s="1"/>
  <c r="BQ273" i="18"/>
  <c r="DA273" i="18" s="1"/>
  <c r="BR273" i="18"/>
  <c r="DB273" i="18" s="1"/>
  <c r="BS273" i="18"/>
  <c r="DC273" i="18" s="1"/>
  <c r="BT273" i="18"/>
  <c r="DD273" i="18" s="1"/>
  <c r="BU273" i="18"/>
  <c r="DE273" i="18" s="1"/>
  <c r="BV273" i="18"/>
  <c r="DF273" i="18" s="1"/>
  <c r="BW273" i="18"/>
  <c r="DG273" i="18" s="1"/>
  <c r="BX273" i="18"/>
  <c r="DH273" i="18" s="1"/>
  <c r="BY273" i="18"/>
  <c r="DI273" i="18" s="1"/>
  <c r="BN274" i="18"/>
  <c r="CX274" i="18" s="1"/>
  <c r="BO274" i="18"/>
  <c r="CY274" i="18" s="1"/>
  <c r="BP274" i="18"/>
  <c r="CZ274" i="18" s="1"/>
  <c r="BQ274" i="18"/>
  <c r="DA274" i="18" s="1"/>
  <c r="BR274" i="18"/>
  <c r="DB274" i="18" s="1"/>
  <c r="BS274" i="18"/>
  <c r="DC274" i="18" s="1"/>
  <c r="BT274" i="18"/>
  <c r="DD274" i="18" s="1"/>
  <c r="BU274" i="18"/>
  <c r="DE274" i="18" s="1"/>
  <c r="BV274" i="18"/>
  <c r="DF274" i="18" s="1"/>
  <c r="BW274" i="18"/>
  <c r="DG274" i="18" s="1"/>
  <c r="BX274" i="18"/>
  <c r="DH274" i="18" s="1"/>
  <c r="BY274" i="18"/>
  <c r="DI274" i="18" s="1"/>
  <c r="AP161" i="18"/>
  <c r="AP163" i="18"/>
  <c r="AP164" i="18"/>
  <c r="AP165" i="18"/>
  <c r="AP166" i="18"/>
  <c r="AP167" i="18"/>
  <c r="AP168" i="18"/>
  <c r="AP169" i="18"/>
  <c r="AP170" i="18"/>
  <c r="AP171" i="18"/>
  <c r="AP172" i="18"/>
  <c r="AP173" i="18"/>
  <c r="AP206" i="18"/>
  <c r="AP208" i="18"/>
  <c r="AP209" i="18"/>
  <c r="AP210" i="18"/>
  <c r="AP212" i="18"/>
  <c r="AP214" i="18"/>
  <c r="AP215" i="18"/>
  <c r="AP216" i="18"/>
  <c r="AP217" i="18"/>
  <c r="AP218" i="18"/>
  <c r="AP219" i="18"/>
  <c r="AP220" i="18"/>
  <c r="AP221" i="18"/>
  <c r="AP222" i="18"/>
  <c r="AP223" i="18"/>
  <c r="AP224" i="18"/>
  <c r="AP247" i="18"/>
  <c r="AP249" i="18"/>
  <c r="AP250" i="18"/>
  <c r="AP251" i="18"/>
  <c r="AP253" i="18"/>
  <c r="AP255" i="18"/>
  <c r="AP256" i="18"/>
  <c r="AP257" i="18"/>
  <c r="AP258" i="18"/>
  <c r="AP259" i="18"/>
  <c r="AP260" i="18"/>
  <c r="AP261" i="18"/>
  <c r="AP262" i="18"/>
  <c r="AP263" i="18"/>
  <c r="AP275" i="18"/>
  <c r="AP277" i="18"/>
  <c r="AP278" i="18"/>
  <c r="AO9" i="18"/>
  <c r="AO10" i="18"/>
  <c r="AO11" i="18"/>
  <c r="AO12" i="18"/>
  <c r="AO13" i="18"/>
  <c r="AO14" i="18"/>
  <c r="AO15" i="18"/>
  <c r="AO16" i="18"/>
  <c r="AO17" i="18"/>
  <c r="AO18" i="18"/>
  <c r="AO19" i="18"/>
  <c r="AO20" i="18"/>
  <c r="AO21" i="18"/>
  <c r="AO22" i="18"/>
  <c r="AO23" i="18"/>
  <c r="AO24" i="18"/>
  <c r="AO25" i="18"/>
  <c r="AO26" i="18"/>
  <c r="AO27" i="18"/>
  <c r="AO28" i="18"/>
  <c r="AO29" i="18"/>
  <c r="AO30" i="18"/>
  <c r="AO31" i="18"/>
  <c r="AO32" i="18"/>
  <c r="AO33" i="18"/>
  <c r="AO34" i="18"/>
  <c r="AO35" i="18"/>
  <c r="AO36" i="18"/>
  <c r="AO37" i="18"/>
  <c r="AO38" i="18"/>
  <c r="AO39" i="18"/>
  <c r="AO40" i="18"/>
  <c r="AO41" i="18"/>
  <c r="AO42" i="18"/>
  <c r="AO43" i="18"/>
  <c r="AO44" i="18"/>
  <c r="AO45" i="18"/>
  <c r="AO46" i="18"/>
  <c r="AO47" i="18"/>
  <c r="AO48" i="18"/>
  <c r="AO49" i="18"/>
  <c r="AO50" i="18"/>
  <c r="AO51" i="18"/>
  <c r="AO52" i="18"/>
  <c r="AO53" i="18"/>
  <c r="AO54" i="18"/>
  <c r="AO55" i="18"/>
  <c r="AO56" i="18"/>
  <c r="AO57" i="18"/>
  <c r="AO58" i="18"/>
  <c r="AO59" i="18"/>
  <c r="AO60" i="18"/>
  <c r="AO61" i="18"/>
  <c r="AO62" i="18"/>
  <c r="AO63" i="18"/>
  <c r="AO64" i="18"/>
  <c r="AO65" i="18"/>
  <c r="AO66" i="18"/>
  <c r="AO67" i="18"/>
  <c r="AO68" i="18"/>
  <c r="AO69" i="18"/>
  <c r="AO70" i="18"/>
  <c r="AO71" i="18"/>
  <c r="AO72" i="18"/>
  <c r="AO73" i="18"/>
  <c r="AO74" i="18"/>
  <c r="AO75" i="18"/>
  <c r="AO76" i="18"/>
  <c r="AO77" i="18"/>
  <c r="AO78" i="18"/>
  <c r="AO79" i="18"/>
  <c r="AO80" i="18"/>
  <c r="AO81" i="18"/>
  <c r="AO82" i="18"/>
  <c r="AO83" i="18"/>
  <c r="AO84" i="18"/>
  <c r="AO85" i="18"/>
  <c r="AO86" i="18"/>
  <c r="AO87" i="18"/>
  <c r="AO88" i="18"/>
  <c r="AO89" i="18"/>
  <c r="AO90" i="18"/>
  <c r="AO91" i="18"/>
  <c r="AO92" i="18"/>
  <c r="AO93" i="18"/>
  <c r="AO94" i="18"/>
  <c r="AO95" i="18"/>
  <c r="AO96" i="18"/>
  <c r="AO97" i="18"/>
  <c r="AO98" i="18"/>
  <c r="AO99" i="18"/>
  <c r="AO100" i="18"/>
  <c r="AO101" i="18"/>
  <c r="AO102" i="18"/>
  <c r="AO103" i="18"/>
  <c r="AO104" i="18"/>
  <c r="AO105" i="18"/>
  <c r="AO106" i="18"/>
  <c r="AO107" i="18"/>
  <c r="AO108" i="18"/>
  <c r="AO109" i="18"/>
  <c r="AO110" i="18"/>
  <c r="AO111" i="18"/>
  <c r="AO112" i="18"/>
  <c r="AO113" i="18"/>
  <c r="AO114" i="18"/>
  <c r="AO115" i="18"/>
  <c r="AO116" i="18"/>
  <c r="AO117" i="18"/>
  <c r="AO118" i="18"/>
  <c r="AO119" i="18"/>
  <c r="AO120" i="18"/>
  <c r="AO121" i="18"/>
  <c r="AO122" i="18"/>
  <c r="AO123" i="18"/>
  <c r="AO124" i="18"/>
  <c r="AO125" i="18"/>
  <c r="AO126" i="18"/>
  <c r="AO127" i="18"/>
  <c r="AO128" i="18"/>
  <c r="AO129" i="18"/>
  <c r="AO130" i="18"/>
  <c r="AO131" i="18"/>
  <c r="AO132" i="18"/>
  <c r="AO133" i="18"/>
  <c r="AO134" i="18"/>
  <c r="AO135" i="18"/>
  <c r="AO136" i="18"/>
  <c r="AO137" i="18"/>
  <c r="AO138" i="18"/>
  <c r="AO139" i="18"/>
  <c r="AO140" i="18"/>
  <c r="AO141" i="18"/>
  <c r="AO142" i="18"/>
  <c r="AO143" i="18"/>
  <c r="AO144" i="18"/>
  <c r="AO145" i="18"/>
  <c r="AO146" i="18"/>
  <c r="AO147" i="18"/>
  <c r="AO148" i="18"/>
  <c r="AO149" i="18"/>
  <c r="AO150" i="18"/>
  <c r="AO151" i="18"/>
  <c r="AO152" i="18"/>
  <c r="AO153" i="18"/>
  <c r="AO154" i="18"/>
  <c r="AO155" i="18"/>
  <c r="AO156" i="18"/>
  <c r="AO157" i="18"/>
  <c r="AO158" i="18"/>
  <c r="AO159" i="18"/>
  <c r="AO160" i="18"/>
  <c r="AO174" i="18"/>
  <c r="AO175" i="18"/>
  <c r="AO176" i="18"/>
  <c r="AO177" i="18"/>
  <c r="AO178" i="18"/>
  <c r="AO179" i="18"/>
  <c r="AO180" i="18"/>
  <c r="AO181" i="18"/>
  <c r="AO182" i="18"/>
  <c r="AO183" i="18"/>
  <c r="AO184" i="18"/>
  <c r="AO185" i="18"/>
  <c r="AO186" i="18"/>
  <c r="AO187" i="18"/>
  <c r="AO188" i="18"/>
  <c r="AO189" i="18"/>
  <c r="AO190" i="18"/>
  <c r="AO191" i="18"/>
  <c r="AO192" i="18"/>
  <c r="AO193" i="18"/>
  <c r="AO194" i="18"/>
  <c r="AO195" i="18"/>
  <c r="AO196" i="18"/>
  <c r="AO197" i="18"/>
  <c r="AO198" i="18"/>
  <c r="AO199" i="18"/>
  <c r="AO200" i="18"/>
  <c r="AO201" i="18"/>
  <c r="AO202" i="18"/>
  <c r="AO203" i="18"/>
  <c r="AO204" i="18"/>
  <c r="AO205" i="18"/>
  <c r="AO211" i="18"/>
  <c r="AO225" i="18"/>
  <c r="AO226" i="18"/>
  <c r="AO227" i="18"/>
  <c r="AO228" i="18"/>
  <c r="AO229" i="18"/>
  <c r="AO230" i="18"/>
  <c r="AO231" i="18"/>
  <c r="AO232" i="18"/>
  <c r="AO233" i="18"/>
  <c r="AO234" i="18"/>
  <c r="AO235" i="18"/>
  <c r="AO236" i="18"/>
  <c r="AO237" i="18"/>
  <c r="AO238" i="18"/>
  <c r="AO239" i="18"/>
  <c r="AO240" i="18"/>
  <c r="AO241" i="18"/>
  <c r="AO242" i="18"/>
  <c r="AO243" i="18"/>
  <c r="AO244" i="18"/>
  <c r="AO245" i="18"/>
  <c r="AO246" i="18"/>
  <c r="AO252" i="18"/>
  <c r="AO264" i="18"/>
  <c r="AO265" i="18"/>
  <c r="AO266" i="18"/>
  <c r="AO267" i="18"/>
  <c r="AO268" i="18"/>
  <c r="AO269" i="18"/>
  <c r="AO270" i="18"/>
  <c r="AO271" i="18"/>
  <c r="AO272" i="18"/>
  <c r="AO273" i="18"/>
  <c r="AO274" i="18"/>
  <c r="AM10" i="10"/>
  <c r="AM11" i="10"/>
  <c r="AM12" i="10"/>
  <c r="AM13" i="10"/>
  <c r="AM18" i="10"/>
  <c r="AM23" i="10"/>
  <c r="AM28" i="10"/>
  <c r="AM33" i="10"/>
  <c r="AM38" i="10"/>
  <c r="AM43" i="10"/>
  <c r="AM48" i="10"/>
  <c r="AM53" i="10"/>
  <c r="AM58" i="10"/>
  <c r="AM63" i="10"/>
  <c r="AM68" i="10"/>
  <c r="AM73" i="10"/>
  <c r="AM78" i="10"/>
  <c r="AM83" i="10"/>
  <c r="AM88" i="10"/>
  <c r="AM93" i="10"/>
  <c r="AM98" i="10"/>
  <c r="AM103" i="10"/>
  <c r="AM108" i="10"/>
  <c r="AM113" i="10"/>
  <c r="AM118" i="10"/>
  <c r="AM123" i="10"/>
  <c r="AM128" i="10"/>
  <c r="AM133" i="10"/>
  <c r="AM138" i="10"/>
  <c r="AM143" i="10"/>
  <c r="AM148" i="10"/>
  <c r="AM153" i="10"/>
  <c r="AM158" i="10"/>
  <c r="AM163" i="10"/>
  <c r="AM168" i="10"/>
  <c r="AM173" i="10"/>
  <c r="AM178" i="10"/>
  <c r="AD9" i="18"/>
  <c r="AD10" i="18"/>
  <c r="AD11" i="18"/>
  <c r="AD12" i="18"/>
  <c r="AD13" i="18"/>
  <c r="AD14" i="18"/>
  <c r="AD15" i="18"/>
  <c r="AD16" i="18"/>
  <c r="AD17" i="18"/>
  <c r="AD18" i="18"/>
  <c r="AD19" i="18"/>
  <c r="AD20" i="18"/>
  <c r="AD21" i="18"/>
  <c r="AD22" i="18"/>
  <c r="AD23" i="18"/>
  <c r="AD24" i="18"/>
  <c r="AD25" i="18"/>
  <c r="AD26" i="18"/>
  <c r="AD27" i="18"/>
  <c r="AD28" i="18"/>
  <c r="AD29" i="18"/>
  <c r="AD30" i="18"/>
  <c r="AD31" i="18"/>
  <c r="AD32" i="18"/>
  <c r="AD33" i="18"/>
  <c r="AD34" i="18"/>
  <c r="AD35" i="18"/>
  <c r="AD36" i="18"/>
  <c r="AD37" i="18"/>
  <c r="AD38" i="18"/>
  <c r="AD39" i="18"/>
  <c r="AD40" i="18"/>
  <c r="AD41" i="18"/>
  <c r="AD42" i="18"/>
  <c r="AD43" i="18"/>
  <c r="AD44" i="18"/>
  <c r="AD45" i="18"/>
  <c r="AD46" i="18"/>
  <c r="AD47" i="18"/>
  <c r="AD48" i="18"/>
  <c r="AD49" i="18"/>
  <c r="AD50" i="18"/>
  <c r="AD51" i="18"/>
  <c r="AD52" i="18"/>
  <c r="AD53" i="18"/>
  <c r="AD54" i="18"/>
  <c r="AD55" i="18"/>
  <c r="AD56" i="18"/>
  <c r="AD57" i="18"/>
  <c r="AD58" i="18"/>
  <c r="AD59" i="18"/>
  <c r="AD60" i="18"/>
  <c r="AD61" i="18"/>
  <c r="AD62" i="18"/>
  <c r="AD63" i="18"/>
  <c r="AD64" i="18"/>
  <c r="AD65" i="18"/>
  <c r="AD66" i="18"/>
  <c r="AD67" i="18"/>
  <c r="AD68" i="18"/>
  <c r="AD69" i="18"/>
  <c r="AD70" i="18"/>
  <c r="AD71" i="18"/>
  <c r="AD72" i="18"/>
  <c r="AD73" i="18"/>
  <c r="AD74" i="18"/>
  <c r="AD75" i="18"/>
  <c r="AD76" i="18"/>
  <c r="AD77" i="18"/>
  <c r="AD78" i="18"/>
  <c r="AD79" i="18"/>
  <c r="AD80" i="18"/>
  <c r="AD81" i="18"/>
  <c r="AD82" i="18"/>
  <c r="AD83" i="18"/>
  <c r="AD84" i="18"/>
  <c r="AD85" i="18"/>
  <c r="AD86" i="18"/>
  <c r="AD87" i="18"/>
  <c r="AD88" i="18"/>
  <c r="AD89" i="18"/>
  <c r="AD90" i="18"/>
  <c r="AD91" i="18"/>
  <c r="AD92" i="18"/>
  <c r="AD93" i="18"/>
  <c r="AD94" i="18"/>
  <c r="AD95" i="18"/>
  <c r="AD96" i="18"/>
  <c r="AD97" i="18"/>
  <c r="AD98" i="18"/>
  <c r="AD99" i="18"/>
  <c r="AD100" i="18"/>
  <c r="AD101" i="18"/>
  <c r="AD102" i="18"/>
  <c r="AD103" i="18"/>
  <c r="AD104" i="18"/>
  <c r="AD105" i="18"/>
  <c r="AD106" i="18"/>
  <c r="AD107" i="18"/>
  <c r="AD108" i="18"/>
  <c r="AD109" i="18"/>
  <c r="AD110" i="18"/>
  <c r="AD111" i="18"/>
  <c r="AD112" i="18"/>
  <c r="AD113" i="18"/>
  <c r="AD114" i="18"/>
  <c r="AD115" i="18"/>
  <c r="AD116" i="18"/>
  <c r="AD117" i="18"/>
  <c r="AD118" i="18"/>
  <c r="AD119" i="18"/>
  <c r="AD120" i="18"/>
  <c r="AD121" i="18"/>
  <c r="AD122" i="18"/>
  <c r="AD123" i="18"/>
  <c r="AD124" i="18"/>
  <c r="AD125" i="18"/>
  <c r="AD126" i="18"/>
  <c r="AD127" i="18"/>
  <c r="AD128" i="18"/>
  <c r="AD129" i="18"/>
  <c r="AD130" i="18"/>
  <c r="AD131" i="18"/>
  <c r="AD132" i="18"/>
  <c r="AD133" i="18"/>
  <c r="AD134" i="18"/>
  <c r="AD135" i="18"/>
  <c r="AD136" i="18"/>
  <c r="AD137" i="18"/>
  <c r="AD138" i="18"/>
  <c r="AD139" i="18"/>
  <c r="AD140" i="18"/>
  <c r="AD141" i="18"/>
  <c r="AD142" i="18"/>
  <c r="AD143" i="18"/>
  <c r="AD144" i="18"/>
  <c r="AD145" i="18"/>
  <c r="AD146" i="18"/>
  <c r="AD147" i="18"/>
  <c r="AD148" i="18"/>
  <c r="AD149" i="18"/>
  <c r="AD150" i="18"/>
  <c r="AD151" i="18"/>
  <c r="AD152" i="18"/>
  <c r="AD153" i="18"/>
  <c r="AD154" i="18"/>
  <c r="AD155" i="18"/>
  <c r="AD156" i="18"/>
  <c r="AD157" i="18"/>
  <c r="AD158" i="18"/>
  <c r="AD159" i="18"/>
  <c r="AD160" i="18"/>
  <c r="AD174" i="18"/>
  <c r="AD175" i="18"/>
  <c r="AD176" i="18"/>
  <c r="AD177" i="18"/>
  <c r="AD178" i="18"/>
  <c r="AD179" i="18"/>
  <c r="AD180" i="18"/>
  <c r="AD181" i="18"/>
  <c r="AD182" i="18"/>
  <c r="AD183" i="18"/>
  <c r="AD184" i="18"/>
  <c r="AD185" i="18"/>
  <c r="AD186" i="18"/>
  <c r="AD187" i="18"/>
  <c r="AD188" i="18"/>
  <c r="AD189" i="18"/>
  <c r="AD190" i="18"/>
  <c r="AD191" i="18"/>
  <c r="AD192" i="18"/>
  <c r="AD193" i="18"/>
  <c r="AD194" i="18"/>
  <c r="AD195" i="18"/>
  <c r="AD196" i="18"/>
  <c r="AD197" i="18"/>
  <c r="AD198" i="18"/>
  <c r="AD199" i="18"/>
  <c r="AD200" i="18"/>
  <c r="AD201" i="18"/>
  <c r="AD202" i="18"/>
  <c r="AD203" i="18"/>
  <c r="AD204" i="18"/>
  <c r="AD205" i="18"/>
  <c r="AD211" i="18"/>
  <c r="AD225" i="18"/>
  <c r="AD226" i="18"/>
  <c r="AD227" i="18"/>
  <c r="AD228" i="18"/>
  <c r="AD229" i="18"/>
  <c r="AD230" i="18"/>
  <c r="AD231" i="18"/>
  <c r="AD232" i="18"/>
  <c r="AD233" i="18"/>
  <c r="AD234" i="18"/>
  <c r="AD235" i="18"/>
  <c r="AD236" i="18"/>
  <c r="AD237" i="18"/>
  <c r="AD238" i="18"/>
  <c r="AD239" i="18"/>
  <c r="AD240" i="18"/>
  <c r="AD241" i="18"/>
  <c r="AD242" i="18"/>
  <c r="AD243" i="18"/>
  <c r="AD244" i="18"/>
  <c r="AD245" i="18"/>
  <c r="AD246" i="18"/>
  <c r="AD252" i="18"/>
  <c r="AD264" i="18"/>
  <c r="AD265" i="18"/>
  <c r="AD266" i="18"/>
  <c r="AD267" i="18"/>
  <c r="AD268" i="18"/>
  <c r="AD269" i="18"/>
  <c r="AD270" i="18"/>
  <c r="AD271" i="18"/>
  <c r="AD272" i="18"/>
  <c r="AD273" i="18"/>
  <c r="AD274" i="18"/>
  <c r="AM122" i="15"/>
  <c r="W126" i="15"/>
  <c r="AM127" i="15"/>
  <c r="AM132" i="15"/>
  <c r="W136" i="15"/>
  <c r="AM137" i="15"/>
  <c r="AM142" i="15"/>
  <c r="W146" i="15"/>
  <c r="AM147" i="15"/>
  <c r="AM152" i="15"/>
  <c r="W156" i="15"/>
  <c r="AM157" i="15"/>
  <c r="AM162" i="15"/>
  <c r="W166" i="15"/>
  <c r="AM167" i="15"/>
  <c r="AM172" i="15"/>
  <c r="W176" i="15"/>
  <c r="AM177" i="15"/>
  <c r="AM129" i="14"/>
  <c r="AM134" i="14"/>
  <c r="AM139" i="14"/>
  <c r="AM144" i="14"/>
  <c r="AM149" i="14"/>
  <c r="AM154" i="14"/>
  <c r="AM159" i="14"/>
  <c r="AM164" i="14"/>
  <c r="AM169" i="14"/>
  <c r="AM174" i="14"/>
  <c r="AM179" i="14"/>
  <c r="AM184" i="14"/>
  <c r="AM122" i="13"/>
  <c r="W126" i="13"/>
  <c r="AM127" i="13"/>
  <c r="AM132" i="13"/>
  <c r="W136" i="13"/>
  <c r="AM137" i="13"/>
  <c r="AM142" i="13"/>
  <c r="W146" i="13"/>
  <c r="AM147" i="13"/>
  <c r="AM152" i="13"/>
  <c r="W156" i="13"/>
  <c r="AM157" i="13"/>
  <c r="AM162" i="13"/>
  <c r="W166" i="13"/>
  <c r="AM167" i="13"/>
  <c r="AM172" i="13"/>
  <c r="W176" i="13"/>
  <c r="AM177" i="13"/>
  <c r="AM129" i="12"/>
  <c r="AM134" i="12"/>
  <c r="AM139" i="12"/>
  <c r="AM144" i="12"/>
  <c r="AM149" i="12"/>
  <c r="AM154" i="12"/>
  <c r="AM159" i="12"/>
  <c r="AM164" i="12"/>
  <c r="AM169" i="12"/>
  <c r="AM174" i="12"/>
  <c r="AM179" i="12"/>
  <c r="AM184" i="12"/>
  <c r="W127" i="10"/>
  <c r="W137" i="10"/>
  <c r="W147" i="10"/>
  <c r="W157" i="10"/>
  <c r="W167" i="10"/>
  <c r="W177" i="10"/>
  <c r="AM129" i="11"/>
  <c r="AM134" i="11"/>
  <c r="AM139" i="11"/>
  <c r="AM144" i="11"/>
  <c r="AM149" i="11"/>
  <c r="AM154" i="11"/>
  <c r="AM159" i="11"/>
  <c r="AM164" i="11"/>
  <c r="AM169" i="11"/>
  <c r="AM174" i="11"/>
  <c r="AM179" i="11"/>
  <c r="AM184" i="11"/>
  <c r="AM122" i="5"/>
  <c r="W126" i="5"/>
  <c r="AM127" i="5"/>
  <c r="AM132" i="5"/>
  <c r="W136" i="5"/>
  <c r="AM137" i="5"/>
  <c r="AM142" i="5"/>
  <c r="W146" i="5"/>
  <c r="AM147" i="5"/>
  <c r="AM152" i="5"/>
  <c r="W156" i="5"/>
  <c r="AM157" i="5"/>
  <c r="AM162" i="5"/>
  <c r="W166" i="5"/>
  <c r="AM167" i="5"/>
  <c r="AM172" i="5"/>
  <c r="W176" i="5"/>
  <c r="AM177" i="5"/>
  <c r="AM184" i="4"/>
  <c r="AM129" i="4"/>
  <c r="AM134" i="4"/>
  <c r="AM139" i="4"/>
  <c r="AM144" i="4"/>
  <c r="AM149" i="4"/>
  <c r="AM154" i="4"/>
  <c r="AM159" i="4"/>
  <c r="AM164" i="4"/>
  <c r="AM169" i="4"/>
  <c r="AM174" i="4"/>
  <c r="AM179" i="4"/>
  <c r="AE9" i="18"/>
  <c r="AF9" i="18"/>
  <c r="AG9" i="18"/>
  <c r="AH9" i="18"/>
  <c r="AI9" i="18"/>
  <c r="AJ9" i="18"/>
  <c r="AK9" i="18"/>
  <c r="AL9" i="18"/>
  <c r="AM9" i="18"/>
  <c r="AN9" i="18"/>
  <c r="AE10" i="18"/>
  <c r="AF10" i="18"/>
  <c r="AG10" i="18"/>
  <c r="AH10" i="18"/>
  <c r="AI10" i="18"/>
  <c r="AJ10" i="18"/>
  <c r="AK10" i="18"/>
  <c r="AL10" i="18"/>
  <c r="AM10" i="18"/>
  <c r="AN10" i="18"/>
  <c r="AE11" i="18"/>
  <c r="AF11" i="18"/>
  <c r="AG11" i="18"/>
  <c r="AH11" i="18"/>
  <c r="AI11" i="18"/>
  <c r="AJ11" i="18"/>
  <c r="AK11" i="18"/>
  <c r="AL11" i="18"/>
  <c r="AM11" i="18"/>
  <c r="AN11" i="18"/>
  <c r="AE12" i="18"/>
  <c r="AF12" i="18"/>
  <c r="AG12" i="18"/>
  <c r="AH12" i="18"/>
  <c r="AI12" i="18"/>
  <c r="AJ12" i="18"/>
  <c r="AK12" i="18"/>
  <c r="AL12" i="18"/>
  <c r="AM12" i="18"/>
  <c r="AN12" i="18"/>
  <c r="AE13" i="18"/>
  <c r="AF13" i="18"/>
  <c r="AG13" i="18"/>
  <c r="AH13" i="18"/>
  <c r="AI13" i="18"/>
  <c r="AJ13" i="18"/>
  <c r="AK13" i="18"/>
  <c r="AL13" i="18"/>
  <c r="AM13" i="18"/>
  <c r="AN13" i="18"/>
  <c r="AE14" i="18"/>
  <c r="AF14" i="18"/>
  <c r="AG14" i="18"/>
  <c r="AH14" i="18"/>
  <c r="AI14" i="18"/>
  <c r="AJ14" i="18"/>
  <c r="AK14" i="18"/>
  <c r="AL14" i="18"/>
  <c r="AM14" i="18"/>
  <c r="AN14" i="18"/>
  <c r="AE15" i="18"/>
  <c r="AF15" i="18"/>
  <c r="AG15" i="18"/>
  <c r="AH15" i="18"/>
  <c r="AI15" i="18"/>
  <c r="AJ15" i="18"/>
  <c r="AK15" i="18"/>
  <c r="AL15" i="18"/>
  <c r="AM15" i="18"/>
  <c r="AN15" i="18"/>
  <c r="AE16" i="18"/>
  <c r="AF16" i="18"/>
  <c r="AG16" i="18"/>
  <c r="AH16" i="18"/>
  <c r="AI16" i="18"/>
  <c r="AJ16" i="18"/>
  <c r="AK16" i="18"/>
  <c r="AL16" i="18"/>
  <c r="AM16" i="18"/>
  <c r="AN16" i="18"/>
  <c r="AE17" i="18"/>
  <c r="AF17" i="18"/>
  <c r="AG17" i="18"/>
  <c r="AH17" i="18"/>
  <c r="AI17" i="18"/>
  <c r="AJ17" i="18"/>
  <c r="AK17" i="18"/>
  <c r="AL17" i="18"/>
  <c r="AM17" i="18"/>
  <c r="AN17" i="18"/>
  <c r="AE18" i="18"/>
  <c r="AF18" i="18"/>
  <c r="AG18" i="18"/>
  <c r="AH18" i="18"/>
  <c r="AI18" i="18"/>
  <c r="AJ18" i="18"/>
  <c r="AK18" i="18"/>
  <c r="AL18" i="18"/>
  <c r="AM18" i="18"/>
  <c r="AN18" i="18"/>
  <c r="AE19" i="18"/>
  <c r="AF19" i="18"/>
  <c r="AG19" i="18"/>
  <c r="AH19" i="18"/>
  <c r="AI19" i="18"/>
  <c r="AJ19" i="18"/>
  <c r="AK19" i="18"/>
  <c r="AL19" i="18"/>
  <c r="AM19" i="18"/>
  <c r="AN19" i="18"/>
  <c r="AE20" i="18"/>
  <c r="AF20" i="18"/>
  <c r="AG20" i="18"/>
  <c r="AH20" i="18"/>
  <c r="AI20" i="18"/>
  <c r="AJ20" i="18"/>
  <c r="AK20" i="18"/>
  <c r="AL20" i="18"/>
  <c r="AM20" i="18"/>
  <c r="AN20" i="18"/>
  <c r="AE21" i="18"/>
  <c r="AF21" i="18"/>
  <c r="AG21" i="18"/>
  <c r="AH21" i="18"/>
  <c r="AI21" i="18"/>
  <c r="AJ21" i="18"/>
  <c r="AK21" i="18"/>
  <c r="AL21" i="18"/>
  <c r="AM21" i="18"/>
  <c r="AN21" i="18"/>
  <c r="AE22" i="18"/>
  <c r="AF22" i="18"/>
  <c r="AG22" i="18"/>
  <c r="AH22" i="18"/>
  <c r="AI22" i="18"/>
  <c r="AJ22" i="18"/>
  <c r="AK22" i="18"/>
  <c r="AL22" i="18"/>
  <c r="AM22" i="18"/>
  <c r="AN22" i="18"/>
  <c r="AE23" i="18"/>
  <c r="AF23" i="18"/>
  <c r="AG23" i="18"/>
  <c r="AH23" i="18"/>
  <c r="AI23" i="18"/>
  <c r="AJ23" i="18"/>
  <c r="AK23" i="18"/>
  <c r="AL23" i="18"/>
  <c r="AM23" i="18"/>
  <c r="AN23" i="18"/>
  <c r="AE24" i="18"/>
  <c r="AF24" i="18"/>
  <c r="AG24" i="18"/>
  <c r="AH24" i="18"/>
  <c r="AI24" i="18"/>
  <c r="AJ24" i="18"/>
  <c r="AK24" i="18"/>
  <c r="AL24" i="18"/>
  <c r="AM24" i="18"/>
  <c r="AN24" i="18"/>
  <c r="AE25" i="18"/>
  <c r="AF25" i="18"/>
  <c r="AG25" i="18"/>
  <c r="AH25" i="18"/>
  <c r="AI25" i="18"/>
  <c r="AJ25" i="18"/>
  <c r="AK25" i="18"/>
  <c r="AL25" i="18"/>
  <c r="AM25" i="18"/>
  <c r="AN25" i="18"/>
  <c r="AE26" i="18"/>
  <c r="AF26" i="18"/>
  <c r="AG26" i="18"/>
  <c r="AH26" i="18"/>
  <c r="AI26" i="18"/>
  <c r="AJ26" i="18"/>
  <c r="AK26" i="18"/>
  <c r="AL26" i="18"/>
  <c r="AM26" i="18"/>
  <c r="AN26" i="18"/>
  <c r="AE27" i="18"/>
  <c r="AF27" i="18"/>
  <c r="AG27" i="18"/>
  <c r="AH27" i="18"/>
  <c r="AI27" i="18"/>
  <c r="AJ27" i="18"/>
  <c r="AK27" i="18"/>
  <c r="AL27" i="18"/>
  <c r="AM27" i="18"/>
  <c r="AN27" i="18"/>
  <c r="AE28" i="18"/>
  <c r="AF28" i="18"/>
  <c r="AG28" i="18"/>
  <c r="AH28" i="18"/>
  <c r="AI28" i="18"/>
  <c r="AJ28" i="18"/>
  <c r="AK28" i="18"/>
  <c r="AL28" i="18"/>
  <c r="AM28" i="18"/>
  <c r="AN28" i="18"/>
  <c r="AE29" i="18"/>
  <c r="AF29" i="18"/>
  <c r="AG29" i="18"/>
  <c r="AH29" i="18"/>
  <c r="AI29" i="18"/>
  <c r="AJ29" i="18"/>
  <c r="AK29" i="18"/>
  <c r="AL29" i="18"/>
  <c r="AM29" i="18"/>
  <c r="AN29" i="18"/>
  <c r="AE30" i="18"/>
  <c r="AF30" i="18"/>
  <c r="AG30" i="18"/>
  <c r="AH30" i="18"/>
  <c r="AI30" i="18"/>
  <c r="AJ30" i="18"/>
  <c r="AK30" i="18"/>
  <c r="AL30" i="18"/>
  <c r="AM30" i="18"/>
  <c r="AN30" i="18"/>
  <c r="AE31" i="18"/>
  <c r="AF31" i="18"/>
  <c r="AG31" i="18"/>
  <c r="AH31" i="18"/>
  <c r="AI31" i="18"/>
  <c r="AJ31" i="18"/>
  <c r="AK31" i="18"/>
  <c r="AL31" i="18"/>
  <c r="AM31" i="18"/>
  <c r="AN31" i="18"/>
  <c r="AE32" i="18"/>
  <c r="AF32" i="18"/>
  <c r="AG32" i="18"/>
  <c r="AH32" i="18"/>
  <c r="AI32" i="18"/>
  <c r="AJ32" i="18"/>
  <c r="AK32" i="18"/>
  <c r="AL32" i="18"/>
  <c r="AM32" i="18"/>
  <c r="AN32" i="18"/>
  <c r="AE33" i="18"/>
  <c r="AF33" i="18"/>
  <c r="AG33" i="18"/>
  <c r="AH33" i="18"/>
  <c r="AI33" i="18"/>
  <c r="AJ33" i="18"/>
  <c r="AK33" i="18"/>
  <c r="AL33" i="18"/>
  <c r="AM33" i="18"/>
  <c r="AN33" i="18"/>
  <c r="AE34" i="18"/>
  <c r="AF34" i="18"/>
  <c r="AG34" i="18"/>
  <c r="AH34" i="18"/>
  <c r="AI34" i="18"/>
  <c r="AJ34" i="18"/>
  <c r="AK34" i="18"/>
  <c r="AL34" i="18"/>
  <c r="AM34" i="18"/>
  <c r="AN34" i="18"/>
  <c r="AE35" i="18"/>
  <c r="AF35" i="18"/>
  <c r="AG35" i="18"/>
  <c r="AH35" i="18"/>
  <c r="AI35" i="18"/>
  <c r="AJ35" i="18"/>
  <c r="AK35" i="18"/>
  <c r="AL35" i="18"/>
  <c r="AM35" i="18"/>
  <c r="AN35" i="18"/>
  <c r="AE36" i="18"/>
  <c r="AF36" i="18"/>
  <c r="AG36" i="18"/>
  <c r="AH36" i="18"/>
  <c r="AI36" i="18"/>
  <c r="AJ36" i="18"/>
  <c r="AK36" i="18"/>
  <c r="AL36" i="18"/>
  <c r="AM36" i="18"/>
  <c r="AN36" i="18"/>
  <c r="AE37" i="18"/>
  <c r="AF37" i="18"/>
  <c r="AG37" i="18"/>
  <c r="AH37" i="18"/>
  <c r="AI37" i="18"/>
  <c r="AJ37" i="18"/>
  <c r="AK37" i="18"/>
  <c r="AL37" i="18"/>
  <c r="AM37" i="18"/>
  <c r="AN37" i="18"/>
  <c r="AE38" i="18"/>
  <c r="AF38" i="18"/>
  <c r="AG38" i="18"/>
  <c r="AH38" i="18"/>
  <c r="AI38" i="18"/>
  <c r="AJ38" i="18"/>
  <c r="AK38" i="18"/>
  <c r="AL38" i="18"/>
  <c r="AM38" i="18"/>
  <c r="AN38" i="18"/>
  <c r="AE39" i="18"/>
  <c r="AF39" i="18"/>
  <c r="AG39" i="18"/>
  <c r="AH39" i="18"/>
  <c r="AI39" i="18"/>
  <c r="AJ39" i="18"/>
  <c r="AK39" i="18"/>
  <c r="AL39" i="18"/>
  <c r="AM39" i="18"/>
  <c r="AN39" i="18"/>
  <c r="AE40" i="18"/>
  <c r="AF40" i="18"/>
  <c r="AG40" i="18"/>
  <c r="AH40" i="18"/>
  <c r="AI40" i="18"/>
  <c r="AJ40" i="18"/>
  <c r="AK40" i="18"/>
  <c r="AL40" i="18"/>
  <c r="AM40" i="18"/>
  <c r="AN40" i="18"/>
  <c r="AE41" i="18"/>
  <c r="AF41" i="18"/>
  <c r="AG41" i="18"/>
  <c r="AH41" i="18"/>
  <c r="AI41" i="18"/>
  <c r="AJ41" i="18"/>
  <c r="AK41" i="18"/>
  <c r="AL41" i="18"/>
  <c r="AM41" i="18"/>
  <c r="AN41" i="18"/>
  <c r="AE42" i="18"/>
  <c r="AF42" i="18"/>
  <c r="AG42" i="18"/>
  <c r="AH42" i="18"/>
  <c r="AI42" i="18"/>
  <c r="AJ42" i="18"/>
  <c r="AK42" i="18"/>
  <c r="AL42" i="18"/>
  <c r="AM42" i="18"/>
  <c r="AN42" i="18"/>
  <c r="AE43" i="18"/>
  <c r="AF43" i="18"/>
  <c r="AG43" i="18"/>
  <c r="AH43" i="18"/>
  <c r="AI43" i="18"/>
  <c r="AJ43" i="18"/>
  <c r="AK43" i="18"/>
  <c r="AL43" i="18"/>
  <c r="AM43" i="18"/>
  <c r="AN43" i="18"/>
  <c r="AE44" i="18"/>
  <c r="AF44" i="18"/>
  <c r="AG44" i="18"/>
  <c r="AH44" i="18"/>
  <c r="AI44" i="18"/>
  <c r="AJ44" i="18"/>
  <c r="AK44" i="18"/>
  <c r="AL44" i="18"/>
  <c r="AM44" i="18"/>
  <c r="AN44" i="18"/>
  <c r="AE45" i="18"/>
  <c r="AF45" i="18"/>
  <c r="AG45" i="18"/>
  <c r="AH45" i="18"/>
  <c r="AI45" i="18"/>
  <c r="AJ45" i="18"/>
  <c r="AK45" i="18"/>
  <c r="AL45" i="18"/>
  <c r="AM45" i="18"/>
  <c r="AN45" i="18"/>
  <c r="AE46" i="18"/>
  <c r="AF46" i="18"/>
  <c r="AG46" i="18"/>
  <c r="AH46" i="18"/>
  <c r="AI46" i="18"/>
  <c r="AJ46" i="18"/>
  <c r="AK46" i="18"/>
  <c r="AL46" i="18"/>
  <c r="AM46" i="18"/>
  <c r="AN46" i="18"/>
  <c r="AE47" i="18"/>
  <c r="AF47" i="18"/>
  <c r="AG47" i="18"/>
  <c r="AH47" i="18"/>
  <c r="AI47" i="18"/>
  <c r="AJ47" i="18"/>
  <c r="AK47" i="18"/>
  <c r="AL47" i="18"/>
  <c r="AM47" i="18"/>
  <c r="AN47" i="18"/>
  <c r="AE48" i="18"/>
  <c r="AF48" i="18"/>
  <c r="AG48" i="18"/>
  <c r="AH48" i="18"/>
  <c r="AI48" i="18"/>
  <c r="AJ48" i="18"/>
  <c r="AK48" i="18"/>
  <c r="AL48" i="18"/>
  <c r="AM48" i="18"/>
  <c r="AN48" i="18"/>
  <c r="AE49" i="18"/>
  <c r="AF49" i="18"/>
  <c r="AG49" i="18"/>
  <c r="AH49" i="18"/>
  <c r="AI49" i="18"/>
  <c r="AJ49" i="18"/>
  <c r="AK49" i="18"/>
  <c r="AL49" i="18"/>
  <c r="AM49" i="18"/>
  <c r="AN49" i="18"/>
  <c r="AE50" i="18"/>
  <c r="AF50" i="18"/>
  <c r="AG50" i="18"/>
  <c r="AH50" i="18"/>
  <c r="AI50" i="18"/>
  <c r="AJ50" i="18"/>
  <c r="AK50" i="18"/>
  <c r="AL50" i="18"/>
  <c r="AM50" i="18"/>
  <c r="AN50" i="18"/>
  <c r="AE51" i="18"/>
  <c r="AF51" i="18"/>
  <c r="AG51" i="18"/>
  <c r="AH51" i="18"/>
  <c r="AI51" i="18"/>
  <c r="AJ51" i="18"/>
  <c r="AK51" i="18"/>
  <c r="AL51" i="18"/>
  <c r="AM51" i="18"/>
  <c r="AN51" i="18"/>
  <c r="AE52" i="18"/>
  <c r="AF52" i="18"/>
  <c r="AG52" i="18"/>
  <c r="AH52" i="18"/>
  <c r="AI52" i="18"/>
  <c r="AJ52" i="18"/>
  <c r="AK52" i="18"/>
  <c r="AL52" i="18"/>
  <c r="AM52" i="18"/>
  <c r="AN52" i="18"/>
  <c r="AE53" i="18"/>
  <c r="AF53" i="18"/>
  <c r="AG53" i="18"/>
  <c r="AH53" i="18"/>
  <c r="AI53" i="18"/>
  <c r="AJ53" i="18"/>
  <c r="AK53" i="18"/>
  <c r="AL53" i="18"/>
  <c r="AM53" i="18"/>
  <c r="AN53" i="18"/>
  <c r="AE54" i="18"/>
  <c r="AF54" i="18"/>
  <c r="AG54" i="18"/>
  <c r="AH54" i="18"/>
  <c r="AI54" i="18"/>
  <c r="AJ54" i="18"/>
  <c r="AK54" i="18"/>
  <c r="AL54" i="18"/>
  <c r="AM54" i="18"/>
  <c r="AN54" i="18"/>
  <c r="AE55" i="18"/>
  <c r="AF55" i="18"/>
  <c r="AG55" i="18"/>
  <c r="AH55" i="18"/>
  <c r="AI55" i="18"/>
  <c r="AJ55" i="18"/>
  <c r="AK55" i="18"/>
  <c r="AL55" i="18"/>
  <c r="AM55" i="18"/>
  <c r="AN55" i="18"/>
  <c r="AE56" i="18"/>
  <c r="AF56" i="18"/>
  <c r="AG56" i="18"/>
  <c r="AH56" i="18"/>
  <c r="AI56" i="18"/>
  <c r="AJ56" i="18"/>
  <c r="AK56" i="18"/>
  <c r="AL56" i="18"/>
  <c r="AM56" i="18"/>
  <c r="AN56" i="18"/>
  <c r="AE57" i="18"/>
  <c r="AF57" i="18"/>
  <c r="AG57" i="18"/>
  <c r="AH57" i="18"/>
  <c r="AI57" i="18"/>
  <c r="AJ57" i="18"/>
  <c r="AK57" i="18"/>
  <c r="AL57" i="18"/>
  <c r="AM57" i="18"/>
  <c r="AN57" i="18"/>
  <c r="AE58" i="18"/>
  <c r="AF58" i="18"/>
  <c r="AG58" i="18"/>
  <c r="AH58" i="18"/>
  <c r="AI58" i="18"/>
  <c r="AJ58" i="18"/>
  <c r="AK58" i="18"/>
  <c r="AL58" i="18"/>
  <c r="AM58" i="18"/>
  <c r="AN58" i="18"/>
  <c r="AE59" i="18"/>
  <c r="AF59" i="18"/>
  <c r="AG59" i="18"/>
  <c r="AH59" i="18"/>
  <c r="AI59" i="18"/>
  <c r="AJ59" i="18"/>
  <c r="AK59" i="18"/>
  <c r="AL59" i="18"/>
  <c r="AM59" i="18"/>
  <c r="AN59" i="18"/>
  <c r="AE60" i="18"/>
  <c r="AF60" i="18"/>
  <c r="AG60" i="18"/>
  <c r="AH60" i="18"/>
  <c r="AI60" i="18"/>
  <c r="AJ60" i="18"/>
  <c r="AK60" i="18"/>
  <c r="AL60" i="18"/>
  <c r="AM60" i="18"/>
  <c r="AN60" i="18"/>
  <c r="AE61" i="18"/>
  <c r="AF61" i="18"/>
  <c r="AG61" i="18"/>
  <c r="AH61" i="18"/>
  <c r="AI61" i="18"/>
  <c r="AJ61" i="18"/>
  <c r="AK61" i="18"/>
  <c r="AL61" i="18"/>
  <c r="AM61" i="18"/>
  <c r="AN61" i="18"/>
  <c r="AE62" i="18"/>
  <c r="AF62" i="18"/>
  <c r="AG62" i="18"/>
  <c r="AH62" i="18"/>
  <c r="AI62" i="18"/>
  <c r="AJ62" i="18"/>
  <c r="AK62" i="18"/>
  <c r="AL62" i="18"/>
  <c r="AM62" i="18"/>
  <c r="AN62" i="18"/>
  <c r="AE63" i="18"/>
  <c r="AF63" i="18"/>
  <c r="AG63" i="18"/>
  <c r="AH63" i="18"/>
  <c r="AI63" i="18"/>
  <c r="AJ63" i="18"/>
  <c r="AK63" i="18"/>
  <c r="AL63" i="18"/>
  <c r="AM63" i="18"/>
  <c r="AN63" i="18"/>
  <c r="AE64" i="18"/>
  <c r="AF64" i="18"/>
  <c r="AG64" i="18"/>
  <c r="AH64" i="18"/>
  <c r="AI64" i="18"/>
  <c r="AJ64" i="18"/>
  <c r="AK64" i="18"/>
  <c r="AL64" i="18"/>
  <c r="AM64" i="18"/>
  <c r="AN64" i="18"/>
  <c r="AE65" i="18"/>
  <c r="AF65" i="18"/>
  <c r="AG65" i="18"/>
  <c r="AH65" i="18"/>
  <c r="AI65" i="18"/>
  <c r="AJ65" i="18"/>
  <c r="AK65" i="18"/>
  <c r="AL65" i="18"/>
  <c r="AM65" i="18"/>
  <c r="AN65" i="18"/>
  <c r="AE66" i="18"/>
  <c r="AF66" i="18"/>
  <c r="AG66" i="18"/>
  <c r="AH66" i="18"/>
  <c r="AI66" i="18"/>
  <c r="AJ66" i="18"/>
  <c r="AK66" i="18"/>
  <c r="AL66" i="18"/>
  <c r="AM66" i="18"/>
  <c r="AN66" i="18"/>
  <c r="AE67" i="18"/>
  <c r="AF67" i="18"/>
  <c r="AG67" i="18"/>
  <c r="AH67" i="18"/>
  <c r="AI67" i="18"/>
  <c r="AJ67" i="18"/>
  <c r="AK67" i="18"/>
  <c r="AL67" i="18"/>
  <c r="AM67" i="18"/>
  <c r="AN67" i="18"/>
  <c r="AE68" i="18"/>
  <c r="AF68" i="18"/>
  <c r="AG68" i="18"/>
  <c r="AH68" i="18"/>
  <c r="AI68" i="18"/>
  <c r="AJ68" i="18"/>
  <c r="AK68" i="18"/>
  <c r="AL68" i="18"/>
  <c r="AM68" i="18"/>
  <c r="AN68" i="18"/>
  <c r="AE69" i="18"/>
  <c r="AF69" i="18"/>
  <c r="AG69" i="18"/>
  <c r="AH69" i="18"/>
  <c r="AI69" i="18"/>
  <c r="AJ69" i="18"/>
  <c r="AK69" i="18"/>
  <c r="AL69" i="18"/>
  <c r="AM69" i="18"/>
  <c r="AN69" i="18"/>
  <c r="AE70" i="18"/>
  <c r="AF70" i="18"/>
  <c r="AG70" i="18"/>
  <c r="AH70" i="18"/>
  <c r="AI70" i="18"/>
  <c r="AJ70" i="18"/>
  <c r="AK70" i="18"/>
  <c r="AL70" i="18"/>
  <c r="AM70" i="18"/>
  <c r="AN70" i="18"/>
  <c r="AE71" i="18"/>
  <c r="AF71" i="18"/>
  <c r="AG71" i="18"/>
  <c r="AH71" i="18"/>
  <c r="AI71" i="18"/>
  <c r="AJ71" i="18"/>
  <c r="AK71" i="18"/>
  <c r="AL71" i="18"/>
  <c r="AM71" i="18"/>
  <c r="AN71" i="18"/>
  <c r="AE72" i="18"/>
  <c r="AF72" i="18"/>
  <c r="AG72" i="18"/>
  <c r="AH72" i="18"/>
  <c r="AI72" i="18"/>
  <c r="AJ72" i="18"/>
  <c r="AK72" i="18"/>
  <c r="AL72" i="18"/>
  <c r="AM72" i="18"/>
  <c r="AN72" i="18"/>
  <c r="AE73" i="18"/>
  <c r="AF73" i="18"/>
  <c r="AG73" i="18"/>
  <c r="AH73" i="18"/>
  <c r="AI73" i="18"/>
  <c r="AJ73" i="18"/>
  <c r="AK73" i="18"/>
  <c r="AL73" i="18"/>
  <c r="AM73" i="18"/>
  <c r="AN73" i="18"/>
  <c r="AE74" i="18"/>
  <c r="AF74" i="18"/>
  <c r="AG74" i="18"/>
  <c r="AH74" i="18"/>
  <c r="AI74" i="18"/>
  <c r="AJ74" i="18"/>
  <c r="AK74" i="18"/>
  <c r="AL74" i="18"/>
  <c r="AM74" i="18"/>
  <c r="AN74" i="18"/>
  <c r="AE75" i="18"/>
  <c r="AF75" i="18"/>
  <c r="AG75" i="18"/>
  <c r="AH75" i="18"/>
  <c r="AI75" i="18"/>
  <c r="AJ75" i="18"/>
  <c r="AK75" i="18"/>
  <c r="AL75" i="18"/>
  <c r="AM75" i="18"/>
  <c r="AN75" i="18"/>
  <c r="AE76" i="18"/>
  <c r="AF76" i="18"/>
  <c r="AG76" i="18"/>
  <c r="AH76" i="18"/>
  <c r="AI76" i="18"/>
  <c r="AJ76" i="18"/>
  <c r="AK76" i="18"/>
  <c r="AL76" i="18"/>
  <c r="AM76" i="18"/>
  <c r="AN76" i="18"/>
  <c r="AE77" i="18"/>
  <c r="AF77" i="18"/>
  <c r="AG77" i="18"/>
  <c r="AH77" i="18"/>
  <c r="AI77" i="18"/>
  <c r="AJ77" i="18"/>
  <c r="AK77" i="18"/>
  <c r="AL77" i="18"/>
  <c r="AM77" i="18"/>
  <c r="AN77" i="18"/>
  <c r="AE78" i="18"/>
  <c r="AF78" i="18"/>
  <c r="AG78" i="18"/>
  <c r="AH78" i="18"/>
  <c r="AI78" i="18"/>
  <c r="AJ78" i="18"/>
  <c r="AK78" i="18"/>
  <c r="AL78" i="18"/>
  <c r="AM78" i="18"/>
  <c r="AN78" i="18"/>
  <c r="AE79" i="18"/>
  <c r="AF79" i="18"/>
  <c r="AG79" i="18"/>
  <c r="AH79" i="18"/>
  <c r="AI79" i="18"/>
  <c r="AJ79" i="18"/>
  <c r="AK79" i="18"/>
  <c r="AL79" i="18"/>
  <c r="AM79" i="18"/>
  <c r="AN79" i="18"/>
  <c r="AE80" i="18"/>
  <c r="AF80" i="18"/>
  <c r="AG80" i="18"/>
  <c r="AH80" i="18"/>
  <c r="AI80" i="18"/>
  <c r="AJ80" i="18"/>
  <c r="AK80" i="18"/>
  <c r="AL80" i="18"/>
  <c r="AM80" i="18"/>
  <c r="AN80" i="18"/>
  <c r="AE81" i="18"/>
  <c r="AF81" i="18"/>
  <c r="AG81" i="18"/>
  <c r="AH81" i="18"/>
  <c r="AI81" i="18"/>
  <c r="AJ81" i="18"/>
  <c r="AK81" i="18"/>
  <c r="AL81" i="18"/>
  <c r="AM81" i="18"/>
  <c r="AN81" i="18"/>
  <c r="AE82" i="18"/>
  <c r="AF82" i="18"/>
  <c r="AG82" i="18"/>
  <c r="AH82" i="18"/>
  <c r="AI82" i="18"/>
  <c r="AJ82" i="18"/>
  <c r="AK82" i="18"/>
  <c r="AL82" i="18"/>
  <c r="AM82" i="18"/>
  <c r="AN82" i="18"/>
  <c r="AE83" i="18"/>
  <c r="AF83" i="18"/>
  <c r="AG83" i="18"/>
  <c r="AH83" i="18"/>
  <c r="AI83" i="18"/>
  <c r="AJ83" i="18"/>
  <c r="AK83" i="18"/>
  <c r="AL83" i="18"/>
  <c r="AM83" i="18"/>
  <c r="AN83" i="18"/>
  <c r="AE84" i="18"/>
  <c r="AF84" i="18"/>
  <c r="AG84" i="18"/>
  <c r="AH84" i="18"/>
  <c r="AI84" i="18"/>
  <c r="AJ84" i="18"/>
  <c r="AK84" i="18"/>
  <c r="AL84" i="18"/>
  <c r="AM84" i="18"/>
  <c r="AN84" i="18"/>
  <c r="AE85" i="18"/>
  <c r="AF85" i="18"/>
  <c r="AG85" i="18"/>
  <c r="AH85" i="18"/>
  <c r="AI85" i="18"/>
  <c r="AJ85" i="18"/>
  <c r="AK85" i="18"/>
  <c r="AL85" i="18"/>
  <c r="AM85" i="18"/>
  <c r="AN85" i="18"/>
  <c r="AE86" i="18"/>
  <c r="AF86" i="18"/>
  <c r="AG86" i="18"/>
  <c r="AH86" i="18"/>
  <c r="AI86" i="18"/>
  <c r="AJ86" i="18"/>
  <c r="AK86" i="18"/>
  <c r="AL86" i="18"/>
  <c r="AM86" i="18"/>
  <c r="AN86" i="18"/>
  <c r="AE87" i="18"/>
  <c r="AF87" i="18"/>
  <c r="AG87" i="18"/>
  <c r="AH87" i="18"/>
  <c r="AI87" i="18"/>
  <c r="AJ87" i="18"/>
  <c r="AK87" i="18"/>
  <c r="AL87" i="18"/>
  <c r="AM87" i="18"/>
  <c r="AN87" i="18"/>
  <c r="AE88" i="18"/>
  <c r="AF88" i="18"/>
  <c r="AG88" i="18"/>
  <c r="AH88" i="18"/>
  <c r="AI88" i="18"/>
  <c r="AJ88" i="18"/>
  <c r="AK88" i="18"/>
  <c r="AL88" i="18"/>
  <c r="AM88" i="18"/>
  <c r="AN88" i="18"/>
  <c r="AE89" i="18"/>
  <c r="AF89" i="18"/>
  <c r="AG89" i="18"/>
  <c r="AH89" i="18"/>
  <c r="AI89" i="18"/>
  <c r="AJ89" i="18"/>
  <c r="AK89" i="18"/>
  <c r="AL89" i="18"/>
  <c r="AM89" i="18"/>
  <c r="AN89" i="18"/>
  <c r="AE90" i="18"/>
  <c r="AF90" i="18"/>
  <c r="AG90" i="18"/>
  <c r="AH90" i="18"/>
  <c r="AI90" i="18"/>
  <c r="AJ90" i="18"/>
  <c r="AK90" i="18"/>
  <c r="AL90" i="18"/>
  <c r="AM90" i="18"/>
  <c r="AN90" i="18"/>
  <c r="AE91" i="18"/>
  <c r="AF91" i="18"/>
  <c r="AG91" i="18"/>
  <c r="AH91" i="18"/>
  <c r="AI91" i="18"/>
  <c r="AJ91" i="18"/>
  <c r="AK91" i="18"/>
  <c r="AL91" i="18"/>
  <c r="AM91" i="18"/>
  <c r="AN91" i="18"/>
  <c r="AE92" i="18"/>
  <c r="AF92" i="18"/>
  <c r="AG92" i="18"/>
  <c r="AH92" i="18"/>
  <c r="AI92" i="18"/>
  <c r="AJ92" i="18"/>
  <c r="AK92" i="18"/>
  <c r="AL92" i="18"/>
  <c r="AM92" i="18"/>
  <c r="AN92" i="18"/>
  <c r="AE93" i="18"/>
  <c r="AF93" i="18"/>
  <c r="AG93" i="18"/>
  <c r="AH93" i="18"/>
  <c r="AI93" i="18"/>
  <c r="AJ93" i="18"/>
  <c r="AK93" i="18"/>
  <c r="AL93" i="18"/>
  <c r="AM93" i="18"/>
  <c r="AN93" i="18"/>
  <c r="AE94" i="18"/>
  <c r="AF94" i="18"/>
  <c r="AG94" i="18"/>
  <c r="AH94" i="18"/>
  <c r="AI94" i="18"/>
  <c r="AJ94" i="18"/>
  <c r="AK94" i="18"/>
  <c r="AL94" i="18"/>
  <c r="AM94" i="18"/>
  <c r="AN94" i="18"/>
  <c r="AE95" i="18"/>
  <c r="AF95" i="18"/>
  <c r="AG95" i="18"/>
  <c r="AH95" i="18"/>
  <c r="AI95" i="18"/>
  <c r="AJ95" i="18"/>
  <c r="AK95" i="18"/>
  <c r="AL95" i="18"/>
  <c r="AM95" i="18"/>
  <c r="AN95" i="18"/>
  <c r="AE96" i="18"/>
  <c r="AF96" i="18"/>
  <c r="AG96" i="18"/>
  <c r="AH96" i="18"/>
  <c r="AI96" i="18"/>
  <c r="AJ96" i="18"/>
  <c r="AK96" i="18"/>
  <c r="AL96" i="18"/>
  <c r="AM96" i="18"/>
  <c r="AN96" i="18"/>
  <c r="AE97" i="18"/>
  <c r="AF97" i="18"/>
  <c r="AG97" i="18"/>
  <c r="AH97" i="18"/>
  <c r="AI97" i="18"/>
  <c r="AJ97" i="18"/>
  <c r="AK97" i="18"/>
  <c r="AL97" i="18"/>
  <c r="AM97" i="18"/>
  <c r="AN97" i="18"/>
  <c r="AE98" i="18"/>
  <c r="AF98" i="18"/>
  <c r="AG98" i="18"/>
  <c r="AH98" i="18"/>
  <c r="AI98" i="18"/>
  <c r="AJ98" i="18"/>
  <c r="AK98" i="18"/>
  <c r="AL98" i="18"/>
  <c r="AM98" i="18"/>
  <c r="AN98" i="18"/>
  <c r="AE99" i="18"/>
  <c r="AF99" i="18"/>
  <c r="AG99" i="18"/>
  <c r="AH99" i="18"/>
  <c r="AI99" i="18"/>
  <c r="AJ99" i="18"/>
  <c r="AK99" i="18"/>
  <c r="AL99" i="18"/>
  <c r="AM99" i="18"/>
  <c r="AN99" i="18"/>
  <c r="AE100" i="18"/>
  <c r="AF100" i="18"/>
  <c r="AG100" i="18"/>
  <c r="AH100" i="18"/>
  <c r="AI100" i="18"/>
  <c r="AJ100" i="18"/>
  <c r="AK100" i="18"/>
  <c r="AL100" i="18"/>
  <c r="AM100" i="18"/>
  <c r="AN100" i="18"/>
  <c r="AE101" i="18"/>
  <c r="AF101" i="18"/>
  <c r="AG101" i="18"/>
  <c r="AH101" i="18"/>
  <c r="AI101" i="18"/>
  <c r="AJ101" i="18"/>
  <c r="AK101" i="18"/>
  <c r="AL101" i="18"/>
  <c r="AM101" i="18"/>
  <c r="AN101" i="18"/>
  <c r="AE102" i="18"/>
  <c r="AF102" i="18"/>
  <c r="AG102" i="18"/>
  <c r="AH102" i="18"/>
  <c r="AI102" i="18"/>
  <c r="AJ102" i="18"/>
  <c r="AK102" i="18"/>
  <c r="AL102" i="18"/>
  <c r="AM102" i="18"/>
  <c r="AN102" i="18"/>
  <c r="AE103" i="18"/>
  <c r="AF103" i="18"/>
  <c r="AG103" i="18"/>
  <c r="AH103" i="18"/>
  <c r="AI103" i="18"/>
  <c r="AJ103" i="18"/>
  <c r="AK103" i="18"/>
  <c r="AL103" i="18"/>
  <c r="AM103" i="18"/>
  <c r="AN103" i="18"/>
  <c r="AE104" i="18"/>
  <c r="AF104" i="18"/>
  <c r="AG104" i="18"/>
  <c r="AH104" i="18"/>
  <c r="AI104" i="18"/>
  <c r="AJ104" i="18"/>
  <c r="AK104" i="18"/>
  <c r="AL104" i="18"/>
  <c r="AM104" i="18"/>
  <c r="AN104" i="18"/>
  <c r="AE105" i="18"/>
  <c r="AF105" i="18"/>
  <c r="AG105" i="18"/>
  <c r="AH105" i="18"/>
  <c r="AI105" i="18"/>
  <c r="AJ105" i="18"/>
  <c r="AK105" i="18"/>
  <c r="AL105" i="18"/>
  <c r="AM105" i="18"/>
  <c r="AN105" i="18"/>
  <c r="AE106" i="18"/>
  <c r="AF106" i="18"/>
  <c r="AG106" i="18"/>
  <c r="AH106" i="18"/>
  <c r="AI106" i="18"/>
  <c r="AJ106" i="18"/>
  <c r="AK106" i="18"/>
  <c r="AL106" i="18"/>
  <c r="AM106" i="18"/>
  <c r="AN106" i="18"/>
  <c r="AE107" i="18"/>
  <c r="AF107" i="18"/>
  <c r="AG107" i="18"/>
  <c r="AH107" i="18"/>
  <c r="AI107" i="18"/>
  <c r="AJ107" i="18"/>
  <c r="AK107" i="18"/>
  <c r="AL107" i="18"/>
  <c r="AM107" i="18"/>
  <c r="AN107" i="18"/>
  <c r="AE108" i="18"/>
  <c r="AF108" i="18"/>
  <c r="AG108" i="18"/>
  <c r="AH108" i="18"/>
  <c r="AI108" i="18"/>
  <c r="AJ108" i="18"/>
  <c r="AK108" i="18"/>
  <c r="AL108" i="18"/>
  <c r="AM108" i="18"/>
  <c r="AN108" i="18"/>
  <c r="AE109" i="18"/>
  <c r="AF109" i="18"/>
  <c r="AG109" i="18"/>
  <c r="AH109" i="18"/>
  <c r="AI109" i="18"/>
  <c r="AJ109" i="18"/>
  <c r="AK109" i="18"/>
  <c r="AL109" i="18"/>
  <c r="AM109" i="18"/>
  <c r="AN109" i="18"/>
  <c r="AE110" i="18"/>
  <c r="AF110" i="18"/>
  <c r="AG110" i="18"/>
  <c r="AH110" i="18"/>
  <c r="AI110" i="18"/>
  <c r="AJ110" i="18"/>
  <c r="AK110" i="18"/>
  <c r="AL110" i="18"/>
  <c r="AM110" i="18"/>
  <c r="AN110" i="18"/>
  <c r="AE111" i="18"/>
  <c r="AF111" i="18"/>
  <c r="AG111" i="18"/>
  <c r="AH111" i="18"/>
  <c r="AI111" i="18"/>
  <c r="AJ111" i="18"/>
  <c r="AK111" i="18"/>
  <c r="AL111" i="18"/>
  <c r="AM111" i="18"/>
  <c r="AN111" i="18"/>
  <c r="AE112" i="18"/>
  <c r="AF112" i="18"/>
  <c r="AG112" i="18"/>
  <c r="AH112" i="18"/>
  <c r="AI112" i="18"/>
  <c r="AJ112" i="18"/>
  <c r="AK112" i="18"/>
  <c r="AL112" i="18"/>
  <c r="AM112" i="18"/>
  <c r="AN112" i="18"/>
  <c r="AE113" i="18"/>
  <c r="AF113" i="18"/>
  <c r="AG113" i="18"/>
  <c r="AH113" i="18"/>
  <c r="AI113" i="18"/>
  <c r="AJ113" i="18"/>
  <c r="AK113" i="18"/>
  <c r="AL113" i="18"/>
  <c r="AM113" i="18"/>
  <c r="AN113" i="18"/>
  <c r="AE114" i="18"/>
  <c r="AF114" i="18"/>
  <c r="AG114" i="18"/>
  <c r="AH114" i="18"/>
  <c r="AI114" i="18"/>
  <c r="AJ114" i="18"/>
  <c r="AK114" i="18"/>
  <c r="AL114" i="18"/>
  <c r="AM114" i="18"/>
  <c r="AN114" i="18"/>
  <c r="AE115" i="18"/>
  <c r="AF115" i="18"/>
  <c r="AG115" i="18"/>
  <c r="AH115" i="18"/>
  <c r="AI115" i="18"/>
  <c r="AJ115" i="18"/>
  <c r="AK115" i="18"/>
  <c r="AL115" i="18"/>
  <c r="AM115" i="18"/>
  <c r="AN115" i="18"/>
  <c r="AE116" i="18"/>
  <c r="AF116" i="18"/>
  <c r="AG116" i="18"/>
  <c r="AH116" i="18"/>
  <c r="AI116" i="18"/>
  <c r="AJ116" i="18"/>
  <c r="AK116" i="18"/>
  <c r="AL116" i="18"/>
  <c r="AM116" i="18"/>
  <c r="AN116" i="18"/>
  <c r="AE117" i="18"/>
  <c r="AF117" i="18"/>
  <c r="AG117" i="18"/>
  <c r="AH117" i="18"/>
  <c r="AI117" i="18"/>
  <c r="AJ117" i="18"/>
  <c r="AK117" i="18"/>
  <c r="AL117" i="18"/>
  <c r="AM117" i="18"/>
  <c r="AN117" i="18"/>
  <c r="AE118" i="18"/>
  <c r="AF118" i="18"/>
  <c r="AG118" i="18"/>
  <c r="AH118" i="18"/>
  <c r="AI118" i="18"/>
  <c r="AJ118" i="18"/>
  <c r="AK118" i="18"/>
  <c r="AL118" i="18"/>
  <c r="AM118" i="18"/>
  <c r="AN118" i="18"/>
  <c r="AE119" i="18"/>
  <c r="AF119" i="18"/>
  <c r="AG119" i="18"/>
  <c r="AH119" i="18"/>
  <c r="AI119" i="18"/>
  <c r="AJ119" i="18"/>
  <c r="AK119" i="18"/>
  <c r="AL119" i="18"/>
  <c r="AM119" i="18"/>
  <c r="AN119" i="18"/>
  <c r="AE120" i="18"/>
  <c r="AF120" i="18"/>
  <c r="AG120" i="18"/>
  <c r="AH120" i="18"/>
  <c r="AI120" i="18"/>
  <c r="AJ120" i="18"/>
  <c r="AK120" i="18"/>
  <c r="AL120" i="18"/>
  <c r="AM120" i="18"/>
  <c r="AN120" i="18"/>
  <c r="AE121" i="18"/>
  <c r="AF121" i="18"/>
  <c r="AG121" i="18"/>
  <c r="AH121" i="18"/>
  <c r="AI121" i="18"/>
  <c r="AJ121" i="18"/>
  <c r="AK121" i="18"/>
  <c r="AL121" i="18"/>
  <c r="AM121" i="18"/>
  <c r="AN121" i="18"/>
  <c r="AE122" i="18"/>
  <c r="AF122" i="18"/>
  <c r="AG122" i="18"/>
  <c r="AH122" i="18"/>
  <c r="AI122" i="18"/>
  <c r="AJ122" i="18"/>
  <c r="AK122" i="18"/>
  <c r="AL122" i="18"/>
  <c r="AM122" i="18"/>
  <c r="AN122" i="18"/>
  <c r="AE123" i="18"/>
  <c r="AF123" i="18"/>
  <c r="AG123" i="18"/>
  <c r="AH123" i="18"/>
  <c r="AI123" i="18"/>
  <c r="AJ123" i="18"/>
  <c r="AK123" i="18"/>
  <c r="AL123" i="18"/>
  <c r="AM123" i="18"/>
  <c r="AN123" i="18"/>
  <c r="AE124" i="18"/>
  <c r="AF124" i="18"/>
  <c r="AG124" i="18"/>
  <c r="AH124" i="18"/>
  <c r="AI124" i="18"/>
  <c r="AJ124" i="18"/>
  <c r="AK124" i="18"/>
  <c r="AL124" i="18"/>
  <c r="AM124" i="18"/>
  <c r="AN124" i="18"/>
  <c r="AE125" i="18"/>
  <c r="AF125" i="18"/>
  <c r="AG125" i="18"/>
  <c r="AH125" i="18"/>
  <c r="AI125" i="18"/>
  <c r="AJ125" i="18"/>
  <c r="AK125" i="18"/>
  <c r="AL125" i="18"/>
  <c r="AM125" i="18"/>
  <c r="AN125" i="18"/>
  <c r="AE126" i="18"/>
  <c r="AF126" i="18"/>
  <c r="AG126" i="18"/>
  <c r="AH126" i="18"/>
  <c r="AI126" i="18"/>
  <c r="AJ126" i="18"/>
  <c r="AK126" i="18"/>
  <c r="AL126" i="18"/>
  <c r="AM126" i="18"/>
  <c r="AN126" i="18"/>
  <c r="AE127" i="18"/>
  <c r="AF127" i="18"/>
  <c r="AG127" i="18"/>
  <c r="AH127" i="18"/>
  <c r="AI127" i="18"/>
  <c r="AJ127" i="18"/>
  <c r="AK127" i="18"/>
  <c r="AL127" i="18"/>
  <c r="AM127" i="18"/>
  <c r="AN127" i="18"/>
  <c r="AE128" i="18"/>
  <c r="AF128" i="18"/>
  <c r="AG128" i="18"/>
  <c r="AH128" i="18"/>
  <c r="AI128" i="18"/>
  <c r="AJ128" i="18"/>
  <c r="AK128" i="18"/>
  <c r="AL128" i="18"/>
  <c r="AM128" i="18"/>
  <c r="AN128" i="18"/>
  <c r="AE129" i="18"/>
  <c r="AF129" i="18"/>
  <c r="AG129" i="18"/>
  <c r="AH129" i="18"/>
  <c r="AI129" i="18"/>
  <c r="AJ129" i="18"/>
  <c r="AK129" i="18"/>
  <c r="AL129" i="18"/>
  <c r="AM129" i="18"/>
  <c r="AN129" i="18"/>
  <c r="AE130" i="18"/>
  <c r="AF130" i="18"/>
  <c r="AG130" i="18"/>
  <c r="AH130" i="18"/>
  <c r="AI130" i="18"/>
  <c r="AJ130" i="18"/>
  <c r="AK130" i="18"/>
  <c r="AL130" i="18"/>
  <c r="AM130" i="18"/>
  <c r="AN130" i="18"/>
  <c r="AE131" i="18"/>
  <c r="AF131" i="18"/>
  <c r="AG131" i="18"/>
  <c r="AH131" i="18"/>
  <c r="AI131" i="18"/>
  <c r="AJ131" i="18"/>
  <c r="AK131" i="18"/>
  <c r="AL131" i="18"/>
  <c r="AM131" i="18"/>
  <c r="AN131" i="18"/>
  <c r="AE132" i="18"/>
  <c r="AF132" i="18"/>
  <c r="AG132" i="18"/>
  <c r="AH132" i="18"/>
  <c r="AI132" i="18"/>
  <c r="AJ132" i="18"/>
  <c r="AK132" i="18"/>
  <c r="AL132" i="18"/>
  <c r="AM132" i="18"/>
  <c r="AN132" i="18"/>
  <c r="AE133" i="18"/>
  <c r="AF133" i="18"/>
  <c r="AG133" i="18"/>
  <c r="AH133" i="18"/>
  <c r="AI133" i="18"/>
  <c r="AJ133" i="18"/>
  <c r="AK133" i="18"/>
  <c r="AL133" i="18"/>
  <c r="AM133" i="18"/>
  <c r="AN133" i="18"/>
  <c r="AE134" i="18"/>
  <c r="AF134" i="18"/>
  <c r="AG134" i="18"/>
  <c r="AH134" i="18"/>
  <c r="AI134" i="18"/>
  <c r="AJ134" i="18"/>
  <c r="AK134" i="18"/>
  <c r="AL134" i="18"/>
  <c r="AM134" i="18"/>
  <c r="AN134" i="18"/>
  <c r="AE135" i="18"/>
  <c r="AF135" i="18"/>
  <c r="AG135" i="18"/>
  <c r="AH135" i="18"/>
  <c r="AI135" i="18"/>
  <c r="AJ135" i="18"/>
  <c r="AK135" i="18"/>
  <c r="AL135" i="18"/>
  <c r="AM135" i="18"/>
  <c r="AN135" i="18"/>
  <c r="AE136" i="18"/>
  <c r="AF136" i="18"/>
  <c r="AG136" i="18"/>
  <c r="AH136" i="18"/>
  <c r="AI136" i="18"/>
  <c r="AJ136" i="18"/>
  <c r="AK136" i="18"/>
  <c r="AL136" i="18"/>
  <c r="AM136" i="18"/>
  <c r="AN136" i="18"/>
  <c r="AE137" i="18"/>
  <c r="AF137" i="18"/>
  <c r="AG137" i="18"/>
  <c r="AH137" i="18"/>
  <c r="AI137" i="18"/>
  <c r="AJ137" i="18"/>
  <c r="AK137" i="18"/>
  <c r="AL137" i="18"/>
  <c r="AM137" i="18"/>
  <c r="AN137" i="18"/>
  <c r="AE138" i="18"/>
  <c r="AF138" i="18"/>
  <c r="AG138" i="18"/>
  <c r="AH138" i="18"/>
  <c r="AI138" i="18"/>
  <c r="AJ138" i="18"/>
  <c r="AK138" i="18"/>
  <c r="AL138" i="18"/>
  <c r="AM138" i="18"/>
  <c r="AN138" i="18"/>
  <c r="AE139" i="18"/>
  <c r="AF139" i="18"/>
  <c r="AG139" i="18"/>
  <c r="AH139" i="18"/>
  <c r="AI139" i="18"/>
  <c r="AJ139" i="18"/>
  <c r="AK139" i="18"/>
  <c r="AL139" i="18"/>
  <c r="AM139" i="18"/>
  <c r="AN139" i="18"/>
  <c r="AE140" i="18"/>
  <c r="AF140" i="18"/>
  <c r="AG140" i="18"/>
  <c r="AH140" i="18"/>
  <c r="AI140" i="18"/>
  <c r="AJ140" i="18"/>
  <c r="AK140" i="18"/>
  <c r="AL140" i="18"/>
  <c r="AM140" i="18"/>
  <c r="AN140" i="18"/>
  <c r="AE141" i="18"/>
  <c r="AF141" i="18"/>
  <c r="AG141" i="18"/>
  <c r="AH141" i="18"/>
  <c r="AI141" i="18"/>
  <c r="AJ141" i="18"/>
  <c r="AK141" i="18"/>
  <c r="AL141" i="18"/>
  <c r="AM141" i="18"/>
  <c r="AN141" i="18"/>
  <c r="AE142" i="18"/>
  <c r="AF142" i="18"/>
  <c r="AG142" i="18"/>
  <c r="AH142" i="18"/>
  <c r="AI142" i="18"/>
  <c r="AJ142" i="18"/>
  <c r="AK142" i="18"/>
  <c r="AL142" i="18"/>
  <c r="AM142" i="18"/>
  <c r="AN142" i="18"/>
  <c r="AE143" i="18"/>
  <c r="AF143" i="18"/>
  <c r="AG143" i="18"/>
  <c r="AH143" i="18"/>
  <c r="AI143" i="18"/>
  <c r="AJ143" i="18"/>
  <c r="AK143" i="18"/>
  <c r="AL143" i="18"/>
  <c r="AM143" i="18"/>
  <c r="AN143" i="18"/>
  <c r="AE144" i="18"/>
  <c r="AF144" i="18"/>
  <c r="AG144" i="18"/>
  <c r="AH144" i="18"/>
  <c r="AI144" i="18"/>
  <c r="AJ144" i="18"/>
  <c r="AK144" i="18"/>
  <c r="AL144" i="18"/>
  <c r="AM144" i="18"/>
  <c r="AN144" i="18"/>
  <c r="AE145" i="18"/>
  <c r="AF145" i="18"/>
  <c r="AG145" i="18"/>
  <c r="AH145" i="18"/>
  <c r="AI145" i="18"/>
  <c r="AJ145" i="18"/>
  <c r="AK145" i="18"/>
  <c r="AL145" i="18"/>
  <c r="AM145" i="18"/>
  <c r="AN145" i="18"/>
  <c r="AE146" i="18"/>
  <c r="AF146" i="18"/>
  <c r="AG146" i="18"/>
  <c r="AH146" i="18"/>
  <c r="AI146" i="18"/>
  <c r="AJ146" i="18"/>
  <c r="AK146" i="18"/>
  <c r="AL146" i="18"/>
  <c r="AM146" i="18"/>
  <c r="AN146" i="18"/>
  <c r="AE147" i="18"/>
  <c r="AF147" i="18"/>
  <c r="AG147" i="18"/>
  <c r="AH147" i="18"/>
  <c r="AI147" i="18"/>
  <c r="AJ147" i="18"/>
  <c r="AK147" i="18"/>
  <c r="AL147" i="18"/>
  <c r="AM147" i="18"/>
  <c r="AN147" i="18"/>
  <c r="AE148" i="18"/>
  <c r="AF148" i="18"/>
  <c r="AG148" i="18"/>
  <c r="AH148" i="18"/>
  <c r="AI148" i="18"/>
  <c r="AJ148" i="18"/>
  <c r="AK148" i="18"/>
  <c r="AL148" i="18"/>
  <c r="AM148" i="18"/>
  <c r="AN148" i="18"/>
  <c r="AE149" i="18"/>
  <c r="AF149" i="18"/>
  <c r="AG149" i="18"/>
  <c r="AH149" i="18"/>
  <c r="AI149" i="18"/>
  <c r="AJ149" i="18"/>
  <c r="AK149" i="18"/>
  <c r="AL149" i="18"/>
  <c r="AM149" i="18"/>
  <c r="AN149" i="18"/>
  <c r="AE150" i="18"/>
  <c r="AF150" i="18"/>
  <c r="AG150" i="18"/>
  <c r="AH150" i="18"/>
  <c r="AI150" i="18"/>
  <c r="AJ150" i="18"/>
  <c r="AK150" i="18"/>
  <c r="AL150" i="18"/>
  <c r="AM150" i="18"/>
  <c r="AN150" i="18"/>
  <c r="AE151" i="18"/>
  <c r="AF151" i="18"/>
  <c r="AG151" i="18"/>
  <c r="AH151" i="18"/>
  <c r="AI151" i="18"/>
  <c r="AJ151" i="18"/>
  <c r="AK151" i="18"/>
  <c r="AL151" i="18"/>
  <c r="AM151" i="18"/>
  <c r="AN151" i="18"/>
  <c r="AE152" i="18"/>
  <c r="AF152" i="18"/>
  <c r="AG152" i="18"/>
  <c r="AH152" i="18"/>
  <c r="AI152" i="18"/>
  <c r="AJ152" i="18"/>
  <c r="AK152" i="18"/>
  <c r="AL152" i="18"/>
  <c r="AM152" i="18"/>
  <c r="AN152" i="18"/>
  <c r="AE153" i="18"/>
  <c r="AF153" i="18"/>
  <c r="AG153" i="18"/>
  <c r="AH153" i="18"/>
  <c r="AI153" i="18"/>
  <c r="AJ153" i="18"/>
  <c r="AK153" i="18"/>
  <c r="AL153" i="18"/>
  <c r="AM153" i="18"/>
  <c r="AN153" i="18"/>
  <c r="AE154" i="18"/>
  <c r="AF154" i="18"/>
  <c r="AG154" i="18"/>
  <c r="AH154" i="18"/>
  <c r="AI154" i="18"/>
  <c r="AJ154" i="18"/>
  <c r="AK154" i="18"/>
  <c r="AL154" i="18"/>
  <c r="AM154" i="18"/>
  <c r="AN154" i="18"/>
  <c r="AE155" i="18"/>
  <c r="AF155" i="18"/>
  <c r="AG155" i="18"/>
  <c r="AH155" i="18"/>
  <c r="AI155" i="18"/>
  <c r="AJ155" i="18"/>
  <c r="AK155" i="18"/>
  <c r="AL155" i="18"/>
  <c r="AM155" i="18"/>
  <c r="AN155" i="18"/>
  <c r="AE156" i="18"/>
  <c r="AF156" i="18"/>
  <c r="AG156" i="18"/>
  <c r="AH156" i="18"/>
  <c r="AI156" i="18"/>
  <c r="AJ156" i="18"/>
  <c r="AK156" i="18"/>
  <c r="AL156" i="18"/>
  <c r="AM156" i="18"/>
  <c r="AN156" i="18"/>
  <c r="AE157" i="18"/>
  <c r="AF157" i="18"/>
  <c r="AG157" i="18"/>
  <c r="AH157" i="18"/>
  <c r="AI157" i="18"/>
  <c r="AJ157" i="18"/>
  <c r="AK157" i="18"/>
  <c r="AL157" i="18"/>
  <c r="AM157" i="18"/>
  <c r="AN157" i="18"/>
  <c r="AE158" i="18"/>
  <c r="AF158" i="18"/>
  <c r="AG158" i="18"/>
  <c r="AH158" i="18"/>
  <c r="AI158" i="18"/>
  <c r="AJ158" i="18"/>
  <c r="AK158" i="18"/>
  <c r="AL158" i="18"/>
  <c r="AM158" i="18"/>
  <c r="AN158" i="18"/>
  <c r="AE159" i="18"/>
  <c r="AF159" i="18"/>
  <c r="AG159" i="18"/>
  <c r="AH159" i="18"/>
  <c r="AI159" i="18"/>
  <c r="AJ159" i="18"/>
  <c r="AK159" i="18"/>
  <c r="AL159" i="18"/>
  <c r="AM159" i="18"/>
  <c r="AN159" i="18"/>
  <c r="AE160" i="18"/>
  <c r="AF160" i="18"/>
  <c r="AG160" i="18"/>
  <c r="AH160" i="18"/>
  <c r="AI160" i="18"/>
  <c r="AJ160" i="18"/>
  <c r="AK160" i="18"/>
  <c r="AL160" i="18"/>
  <c r="AM160" i="18"/>
  <c r="AN160" i="18"/>
  <c r="AE174" i="18"/>
  <c r="AF174" i="18"/>
  <c r="AG174" i="18"/>
  <c r="AH174" i="18"/>
  <c r="AI174" i="18"/>
  <c r="AJ174" i="18"/>
  <c r="AK174" i="18"/>
  <c r="AL174" i="18"/>
  <c r="AM174" i="18"/>
  <c r="AN174" i="18"/>
  <c r="AE175" i="18"/>
  <c r="AF175" i="18"/>
  <c r="AG175" i="18"/>
  <c r="AH175" i="18"/>
  <c r="AI175" i="18"/>
  <c r="AJ175" i="18"/>
  <c r="AK175" i="18"/>
  <c r="AL175" i="18"/>
  <c r="AM175" i="18"/>
  <c r="AN175" i="18"/>
  <c r="AE176" i="18"/>
  <c r="AF176" i="18"/>
  <c r="AG176" i="18"/>
  <c r="AH176" i="18"/>
  <c r="AI176" i="18"/>
  <c r="AJ176" i="18"/>
  <c r="AK176" i="18"/>
  <c r="AL176" i="18"/>
  <c r="AM176" i="18"/>
  <c r="AN176" i="18"/>
  <c r="AE177" i="18"/>
  <c r="AF177" i="18"/>
  <c r="AG177" i="18"/>
  <c r="AH177" i="18"/>
  <c r="AI177" i="18"/>
  <c r="AJ177" i="18"/>
  <c r="AK177" i="18"/>
  <c r="AL177" i="18"/>
  <c r="AM177" i="18"/>
  <c r="AN177" i="18"/>
  <c r="AE178" i="18"/>
  <c r="AF178" i="18"/>
  <c r="AG178" i="18"/>
  <c r="AH178" i="18"/>
  <c r="AI178" i="18"/>
  <c r="AJ178" i="18"/>
  <c r="AK178" i="18"/>
  <c r="AL178" i="18"/>
  <c r="AM178" i="18"/>
  <c r="AN178" i="18"/>
  <c r="AE179" i="18"/>
  <c r="AF179" i="18"/>
  <c r="AG179" i="18"/>
  <c r="AH179" i="18"/>
  <c r="AI179" i="18"/>
  <c r="AJ179" i="18"/>
  <c r="AK179" i="18"/>
  <c r="AL179" i="18"/>
  <c r="AM179" i="18"/>
  <c r="AN179" i="18"/>
  <c r="AE180" i="18"/>
  <c r="AF180" i="18"/>
  <c r="AG180" i="18"/>
  <c r="AH180" i="18"/>
  <c r="AI180" i="18"/>
  <c r="AJ180" i="18"/>
  <c r="AK180" i="18"/>
  <c r="AL180" i="18"/>
  <c r="AM180" i="18"/>
  <c r="AN180" i="18"/>
  <c r="AE181" i="18"/>
  <c r="AF181" i="18"/>
  <c r="AG181" i="18"/>
  <c r="AH181" i="18"/>
  <c r="AI181" i="18"/>
  <c r="AJ181" i="18"/>
  <c r="AK181" i="18"/>
  <c r="AL181" i="18"/>
  <c r="AM181" i="18"/>
  <c r="AN181" i="18"/>
  <c r="AE182" i="18"/>
  <c r="AF182" i="18"/>
  <c r="AG182" i="18"/>
  <c r="AH182" i="18"/>
  <c r="AI182" i="18"/>
  <c r="AJ182" i="18"/>
  <c r="AK182" i="18"/>
  <c r="AL182" i="18"/>
  <c r="AM182" i="18"/>
  <c r="AN182" i="18"/>
  <c r="AE183" i="18"/>
  <c r="AF183" i="18"/>
  <c r="AG183" i="18"/>
  <c r="AH183" i="18"/>
  <c r="AI183" i="18"/>
  <c r="AJ183" i="18"/>
  <c r="AK183" i="18"/>
  <c r="AL183" i="18"/>
  <c r="AM183" i="18"/>
  <c r="AN183" i="18"/>
  <c r="AE184" i="18"/>
  <c r="AF184" i="18"/>
  <c r="AG184" i="18"/>
  <c r="AH184" i="18"/>
  <c r="AI184" i="18"/>
  <c r="AJ184" i="18"/>
  <c r="AK184" i="18"/>
  <c r="AL184" i="18"/>
  <c r="AM184" i="18"/>
  <c r="AN184" i="18"/>
  <c r="AE185" i="18"/>
  <c r="AF185" i="18"/>
  <c r="AG185" i="18"/>
  <c r="AH185" i="18"/>
  <c r="AI185" i="18"/>
  <c r="AJ185" i="18"/>
  <c r="AK185" i="18"/>
  <c r="AL185" i="18"/>
  <c r="AM185" i="18"/>
  <c r="AN185" i="18"/>
  <c r="AE186" i="18"/>
  <c r="AF186" i="18"/>
  <c r="AG186" i="18"/>
  <c r="AH186" i="18"/>
  <c r="AI186" i="18"/>
  <c r="AJ186" i="18"/>
  <c r="AK186" i="18"/>
  <c r="AL186" i="18"/>
  <c r="AM186" i="18"/>
  <c r="AN186" i="18"/>
  <c r="AE187" i="18"/>
  <c r="AF187" i="18"/>
  <c r="AG187" i="18"/>
  <c r="AH187" i="18"/>
  <c r="AI187" i="18"/>
  <c r="AJ187" i="18"/>
  <c r="AK187" i="18"/>
  <c r="AL187" i="18"/>
  <c r="AM187" i="18"/>
  <c r="AN187" i="18"/>
  <c r="AE188" i="18"/>
  <c r="AF188" i="18"/>
  <c r="AG188" i="18"/>
  <c r="AH188" i="18"/>
  <c r="AI188" i="18"/>
  <c r="AJ188" i="18"/>
  <c r="AK188" i="18"/>
  <c r="AL188" i="18"/>
  <c r="AM188" i="18"/>
  <c r="AN188" i="18"/>
  <c r="AE189" i="18"/>
  <c r="AF189" i="18"/>
  <c r="AG189" i="18"/>
  <c r="AH189" i="18"/>
  <c r="AI189" i="18"/>
  <c r="AJ189" i="18"/>
  <c r="AK189" i="18"/>
  <c r="AL189" i="18"/>
  <c r="AM189" i="18"/>
  <c r="AN189" i="18"/>
  <c r="AE190" i="18"/>
  <c r="AF190" i="18"/>
  <c r="AG190" i="18"/>
  <c r="AH190" i="18"/>
  <c r="AI190" i="18"/>
  <c r="AJ190" i="18"/>
  <c r="AK190" i="18"/>
  <c r="AL190" i="18"/>
  <c r="AM190" i="18"/>
  <c r="AN190" i="18"/>
  <c r="AE191" i="18"/>
  <c r="AF191" i="18"/>
  <c r="AG191" i="18"/>
  <c r="AH191" i="18"/>
  <c r="AI191" i="18"/>
  <c r="AJ191" i="18"/>
  <c r="AK191" i="18"/>
  <c r="AL191" i="18"/>
  <c r="AM191" i="18"/>
  <c r="AN191" i="18"/>
  <c r="AE192" i="18"/>
  <c r="AF192" i="18"/>
  <c r="AG192" i="18"/>
  <c r="AH192" i="18"/>
  <c r="AI192" i="18"/>
  <c r="AJ192" i="18"/>
  <c r="AK192" i="18"/>
  <c r="AL192" i="18"/>
  <c r="AM192" i="18"/>
  <c r="AN192" i="18"/>
  <c r="AE193" i="18"/>
  <c r="AF193" i="18"/>
  <c r="AG193" i="18"/>
  <c r="AH193" i="18"/>
  <c r="AI193" i="18"/>
  <c r="AJ193" i="18"/>
  <c r="AK193" i="18"/>
  <c r="AL193" i="18"/>
  <c r="AM193" i="18"/>
  <c r="AN193" i="18"/>
  <c r="AE194" i="18"/>
  <c r="AF194" i="18"/>
  <c r="AG194" i="18"/>
  <c r="AH194" i="18"/>
  <c r="AI194" i="18"/>
  <c r="AJ194" i="18"/>
  <c r="AK194" i="18"/>
  <c r="AL194" i="18"/>
  <c r="AM194" i="18"/>
  <c r="AN194" i="18"/>
  <c r="AE195" i="18"/>
  <c r="AF195" i="18"/>
  <c r="AG195" i="18"/>
  <c r="AH195" i="18"/>
  <c r="AI195" i="18"/>
  <c r="AJ195" i="18"/>
  <c r="AK195" i="18"/>
  <c r="AL195" i="18"/>
  <c r="AM195" i="18"/>
  <c r="AN195" i="18"/>
  <c r="AE196" i="18"/>
  <c r="AF196" i="18"/>
  <c r="AG196" i="18"/>
  <c r="AH196" i="18"/>
  <c r="AI196" i="18"/>
  <c r="AJ196" i="18"/>
  <c r="AK196" i="18"/>
  <c r="AL196" i="18"/>
  <c r="AM196" i="18"/>
  <c r="AN196" i="18"/>
  <c r="AE197" i="18"/>
  <c r="AF197" i="18"/>
  <c r="AG197" i="18"/>
  <c r="AH197" i="18"/>
  <c r="AI197" i="18"/>
  <c r="AJ197" i="18"/>
  <c r="AK197" i="18"/>
  <c r="AL197" i="18"/>
  <c r="AM197" i="18"/>
  <c r="AN197" i="18"/>
  <c r="AE198" i="18"/>
  <c r="AF198" i="18"/>
  <c r="AG198" i="18"/>
  <c r="AH198" i="18"/>
  <c r="AI198" i="18"/>
  <c r="AJ198" i="18"/>
  <c r="AK198" i="18"/>
  <c r="AL198" i="18"/>
  <c r="AM198" i="18"/>
  <c r="AN198" i="18"/>
  <c r="AE199" i="18"/>
  <c r="AF199" i="18"/>
  <c r="AG199" i="18"/>
  <c r="AH199" i="18"/>
  <c r="AI199" i="18"/>
  <c r="AJ199" i="18"/>
  <c r="AK199" i="18"/>
  <c r="AL199" i="18"/>
  <c r="AM199" i="18"/>
  <c r="AN199" i="18"/>
  <c r="AE200" i="18"/>
  <c r="AF200" i="18"/>
  <c r="AG200" i="18"/>
  <c r="AH200" i="18"/>
  <c r="AI200" i="18"/>
  <c r="AJ200" i="18"/>
  <c r="AK200" i="18"/>
  <c r="AL200" i="18"/>
  <c r="AM200" i="18"/>
  <c r="AN200" i="18"/>
  <c r="AE201" i="18"/>
  <c r="AF201" i="18"/>
  <c r="AG201" i="18"/>
  <c r="AH201" i="18"/>
  <c r="AI201" i="18"/>
  <c r="AJ201" i="18"/>
  <c r="AK201" i="18"/>
  <c r="AL201" i="18"/>
  <c r="AM201" i="18"/>
  <c r="AN201" i="18"/>
  <c r="AE202" i="18"/>
  <c r="AF202" i="18"/>
  <c r="AG202" i="18"/>
  <c r="AH202" i="18"/>
  <c r="AI202" i="18"/>
  <c r="AJ202" i="18"/>
  <c r="AK202" i="18"/>
  <c r="AL202" i="18"/>
  <c r="AM202" i="18"/>
  <c r="AN202" i="18"/>
  <c r="AE203" i="18"/>
  <c r="AF203" i="18"/>
  <c r="AG203" i="18"/>
  <c r="AH203" i="18"/>
  <c r="AI203" i="18"/>
  <c r="AJ203" i="18"/>
  <c r="AK203" i="18"/>
  <c r="AL203" i="18"/>
  <c r="AM203" i="18"/>
  <c r="AN203" i="18"/>
  <c r="AE204" i="18"/>
  <c r="AF204" i="18"/>
  <c r="AG204" i="18"/>
  <c r="AH204" i="18"/>
  <c r="AI204" i="18"/>
  <c r="AJ204" i="18"/>
  <c r="AK204" i="18"/>
  <c r="AL204" i="18"/>
  <c r="AM204" i="18"/>
  <c r="AN204" i="18"/>
  <c r="AE205" i="18"/>
  <c r="AF205" i="18"/>
  <c r="AG205" i="18"/>
  <c r="AH205" i="18"/>
  <c r="AI205" i="18"/>
  <c r="AJ205" i="18"/>
  <c r="AK205" i="18"/>
  <c r="AL205" i="18"/>
  <c r="AM205" i="18"/>
  <c r="AN205" i="18"/>
  <c r="AE211" i="18"/>
  <c r="AF211" i="18"/>
  <c r="AG211" i="18"/>
  <c r="AH211" i="18"/>
  <c r="AI211" i="18"/>
  <c r="AJ211" i="18"/>
  <c r="AK211" i="18"/>
  <c r="AL211" i="18"/>
  <c r="AM211" i="18"/>
  <c r="AN211" i="18"/>
  <c r="AE225" i="18"/>
  <c r="AF225" i="18"/>
  <c r="AG225" i="18"/>
  <c r="AH225" i="18"/>
  <c r="AI225" i="18"/>
  <c r="AJ225" i="18"/>
  <c r="AK225" i="18"/>
  <c r="AL225" i="18"/>
  <c r="AM225" i="18"/>
  <c r="AN225" i="18"/>
  <c r="AE226" i="18"/>
  <c r="AF226" i="18"/>
  <c r="AG226" i="18"/>
  <c r="AH226" i="18"/>
  <c r="AI226" i="18"/>
  <c r="AJ226" i="18"/>
  <c r="AK226" i="18"/>
  <c r="AL226" i="18"/>
  <c r="AM226" i="18"/>
  <c r="AN226" i="18"/>
  <c r="AE227" i="18"/>
  <c r="AF227" i="18"/>
  <c r="AG227" i="18"/>
  <c r="AH227" i="18"/>
  <c r="AI227" i="18"/>
  <c r="AJ227" i="18"/>
  <c r="AK227" i="18"/>
  <c r="AL227" i="18"/>
  <c r="AM227" i="18"/>
  <c r="AN227" i="18"/>
  <c r="AE228" i="18"/>
  <c r="AF228" i="18"/>
  <c r="AG228" i="18"/>
  <c r="AH228" i="18"/>
  <c r="AI228" i="18"/>
  <c r="AJ228" i="18"/>
  <c r="AK228" i="18"/>
  <c r="AL228" i="18"/>
  <c r="AM228" i="18"/>
  <c r="AN228" i="18"/>
  <c r="AE229" i="18"/>
  <c r="AF229" i="18"/>
  <c r="AG229" i="18"/>
  <c r="AH229" i="18"/>
  <c r="AI229" i="18"/>
  <c r="AJ229" i="18"/>
  <c r="AK229" i="18"/>
  <c r="AL229" i="18"/>
  <c r="AM229" i="18"/>
  <c r="AN229" i="18"/>
  <c r="AE230" i="18"/>
  <c r="AF230" i="18"/>
  <c r="AG230" i="18"/>
  <c r="AH230" i="18"/>
  <c r="AI230" i="18"/>
  <c r="AJ230" i="18"/>
  <c r="AK230" i="18"/>
  <c r="AL230" i="18"/>
  <c r="AM230" i="18"/>
  <c r="AN230" i="18"/>
  <c r="AE231" i="18"/>
  <c r="AF231" i="18"/>
  <c r="AG231" i="18"/>
  <c r="AH231" i="18"/>
  <c r="AI231" i="18"/>
  <c r="AJ231" i="18"/>
  <c r="AK231" i="18"/>
  <c r="AL231" i="18"/>
  <c r="AM231" i="18"/>
  <c r="AN231" i="18"/>
  <c r="AE232" i="18"/>
  <c r="AF232" i="18"/>
  <c r="AG232" i="18"/>
  <c r="AH232" i="18"/>
  <c r="AI232" i="18"/>
  <c r="AJ232" i="18"/>
  <c r="AK232" i="18"/>
  <c r="AL232" i="18"/>
  <c r="AM232" i="18"/>
  <c r="AN232" i="18"/>
  <c r="AE233" i="18"/>
  <c r="AF233" i="18"/>
  <c r="AG233" i="18"/>
  <c r="AH233" i="18"/>
  <c r="AI233" i="18"/>
  <c r="AJ233" i="18"/>
  <c r="AK233" i="18"/>
  <c r="AL233" i="18"/>
  <c r="AM233" i="18"/>
  <c r="AN233" i="18"/>
  <c r="AE234" i="18"/>
  <c r="AF234" i="18"/>
  <c r="AG234" i="18"/>
  <c r="AH234" i="18"/>
  <c r="AI234" i="18"/>
  <c r="AJ234" i="18"/>
  <c r="AK234" i="18"/>
  <c r="AL234" i="18"/>
  <c r="AM234" i="18"/>
  <c r="AN234" i="18"/>
  <c r="AE235" i="18"/>
  <c r="AF235" i="18"/>
  <c r="AG235" i="18"/>
  <c r="AH235" i="18"/>
  <c r="AI235" i="18"/>
  <c r="AJ235" i="18"/>
  <c r="AK235" i="18"/>
  <c r="AL235" i="18"/>
  <c r="AM235" i="18"/>
  <c r="AN235" i="18"/>
  <c r="AE236" i="18"/>
  <c r="AF236" i="18"/>
  <c r="AG236" i="18"/>
  <c r="AH236" i="18"/>
  <c r="AI236" i="18"/>
  <c r="AJ236" i="18"/>
  <c r="AK236" i="18"/>
  <c r="AL236" i="18"/>
  <c r="AM236" i="18"/>
  <c r="AN236" i="18"/>
  <c r="AE237" i="18"/>
  <c r="AF237" i="18"/>
  <c r="AG237" i="18"/>
  <c r="AH237" i="18"/>
  <c r="AI237" i="18"/>
  <c r="AJ237" i="18"/>
  <c r="AK237" i="18"/>
  <c r="AL237" i="18"/>
  <c r="AM237" i="18"/>
  <c r="AN237" i="18"/>
  <c r="AE238" i="18"/>
  <c r="AF238" i="18"/>
  <c r="AG238" i="18"/>
  <c r="AH238" i="18"/>
  <c r="AI238" i="18"/>
  <c r="AJ238" i="18"/>
  <c r="AK238" i="18"/>
  <c r="AL238" i="18"/>
  <c r="AM238" i="18"/>
  <c r="AN238" i="18"/>
  <c r="AE239" i="18"/>
  <c r="AF239" i="18"/>
  <c r="AG239" i="18"/>
  <c r="AH239" i="18"/>
  <c r="AI239" i="18"/>
  <c r="AJ239" i="18"/>
  <c r="AK239" i="18"/>
  <c r="AL239" i="18"/>
  <c r="AM239" i="18"/>
  <c r="AN239" i="18"/>
  <c r="AE240" i="18"/>
  <c r="AF240" i="18"/>
  <c r="AG240" i="18"/>
  <c r="AH240" i="18"/>
  <c r="AI240" i="18"/>
  <c r="AJ240" i="18"/>
  <c r="AK240" i="18"/>
  <c r="AL240" i="18"/>
  <c r="AM240" i="18"/>
  <c r="AN240" i="18"/>
  <c r="AE241" i="18"/>
  <c r="AF241" i="18"/>
  <c r="AG241" i="18"/>
  <c r="AH241" i="18"/>
  <c r="AI241" i="18"/>
  <c r="AJ241" i="18"/>
  <c r="AK241" i="18"/>
  <c r="AL241" i="18"/>
  <c r="AM241" i="18"/>
  <c r="AN241" i="18"/>
  <c r="AE242" i="18"/>
  <c r="AF242" i="18"/>
  <c r="AG242" i="18"/>
  <c r="AH242" i="18"/>
  <c r="AI242" i="18"/>
  <c r="AJ242" i="18"/>
  <c r="AK242" i="18"/>
  <c r="AL242" i="18"/>
  <c r="AM242" i="18"/>
  <c r="AN242" i="18"/>
  <c r="AE243" i="18"/>
  <c r="AF243" i="18"/>
  <c r="AG243" i="18"/>
  <c r="AH243" i="18"/>
  <c r="AI243" i="18"/>
  <c r="AJ243" i="18"/>
  <c r="AK243" i="18"/>
  <c r="AL243" i="18"/>
  <c r="AM243" i="18"/>
  <c r="AN243" i="18"/>
  <c r="AE244" i="18"/>
  <c r="AF244" i="18"/>
  <c r="AG244" i="18"/>
  <c r="AH244" i="18"/>
  <c r="AI244" i="18"/>
  <c r="AJ244" i="18"/>
  <c r="AK244" i="18"/>
  <c r="AL244" i="18"/>
  <c r="AM244" i="18"/>
  <c r="AN244" i="18"/>
  <c r="AE245" i="18"/>
  <c r="AF245" i="18"/>
  <c r="AG245" i="18"/>
  <c r="AH245" i="18"/>
  <c r="AI245" i="18"/>
  <c r="AJ245" i="18"/>
  <c r="AK245" i="18"/>
  <c r="AL245" i="18"/>
  <c r="AM245" i="18"/>
  <c r="AN245" i="18"/>
  <c r="AE246" i="18"/>
  <c r="AF246" i="18"/>
  <c r="AG246" i="18"/>
  <c r="AH246" i="18"/>
  <c r="AI246" i="18"/>
  <c r="AJ246" i="18"/>
  <c r="AK246" i="18"/>
  <c r="AL246" i="18"/>
  <c r="AM246" i="18"/>
  <c r="AN246" i="18"/>
  <c r="AE252" i="18"/>
  <c r="AF252" i="18"/>
  <c r="AG252" i="18"/>
  <c r="AH252" i="18"/>
  <c r="AI252" i="18"/>
  <c r="AJ252" i="18"/>
  <c r="AK252" i="18"/>
  <c r="AL252" i="18"/>
  <c r="AM252" i="18"/>
  <c r="AN252" i="18"/>
  <c r="AE264" i="18"/>
  <c r="AF264" i="18"/>
  <c r="AG264" i="18"/>
  <c r="AH264" i="18"/>
  <c r="AI264" i="18"/>
  <c r="AJ264" i="18"/>
  <c r="AK264" i="18"/>
  <c r="AL264" i="18"/>
  <c r="AM264" i="18"/>
  <c r="AN264" i="18"/>
  <c r="AE265" i="18"/>
  <c r="AF265" i="18"/>
  <c r="AG265" i="18"/>
  <c r="AH265" i="18"/>
  <c r="AI265" i="18"/>
  <c r="AJ265" i="18"/>
  <c r="AK265" i="18"/>
  <c r="AL265" i="18"/>
  <c r="AM265" i="18"/>
  <c r="AN265" i="18"/>
  <c r="AE266" i="18"/>
  <c r="AF266" i="18"/>
  <c r="AG266" i="18"/>
  <c r="AH266" i="18"/>
  <c r="AI266" i="18"/>
  <c r="AJ266" i="18"/>
  <c r="AK266" i="18"/>
  <c r="AL266" i="18"/>
  <c r="AM266" i="18"/>
  <c r="AN266" i="18"/>
  <c r="AE267" i="18"/>
  <c r="AF267" i="18"/>
  <c r="AG267" i="18"/>
  <c r="AH267" i="18"/>
  <c r="AI267" i="18"/>
  <c r="AJ267" i="18"/>
  <c r="AK267" i="18"/>
  <c r="AL267" i="18"/>
  <c r="AM267" i="18"/>
  <c r="AN267" i="18"/>
  <c r="AE268" i="18"/>
  <c r="AF268" i="18"/>
  <c r="AG268" i="18"/>
  <c r="AH268" i="18"/>
  <c r="AI268" i="18"/>
  <c r="AJ268" i="18"/>
  <c r="AK268" i="18"/>
  <c r="AL268" i="18"/>
  <c r="AM268" i="18"/>
  <c r="AN268" i="18"/>
  <c r="AE269" i="18"/>
  <c r="AF269" i="18"/>
  <c r="AG269" i="18"/>
  <c r="AH269" i="18"/>
  <c r="AI269" i="18"/>
  <c r="AJ269" i="18"/>
  <c r="AK269" i="18"/>
  <c r="AL269" i="18"/>
  <c r="AM269" i="18"/>
  <c r="AN269" i="18"/>
  <c r="AE270" i="18"/>
  <c r="AF270" i="18"/>
  <c r="AG270" i="18"/>
  <c r="AH270" i="18"/>
  <c r="AI270" i="18"/>
  <c r="AJ270" i="18"/>
  <c r="AK270" i="18"/>
  <c r="AL270" i="18"/>
  <c r="AM270" i="18"/>
  <c r="AN270" i="18"/>
  <c r="AE271" i="18"/>
  <c r="AF271" i="18"/>
  <c r="AG271" i="18"/>
  <c r="AH271" i="18"/>
  <c r="AI271" i="18"/>
  <c r="AJ271" i="18"/>
  <c r="AK271" i="18"/>
  <c r="AL271" i="18"/>
  <c r="AM271" i="18"/>
  <c r="AN271" i="18"/>
  <c r="AE272" i="18"/>
  <c r="AF272" i="18"/>
  <c r="AG272" i="18"/>
  <c r="AH272" i="18"/>
  <c r="AI272" i="18"/>
  <c r="AJ272" i="18"/>
  <c r="AK272" i="18"/>
  <c r="AL272" i="18"/>
  <c r="AM272" i="18"/>
  <c r="AN272" i="18"/>
  <c r="AE273" i="18"/>
  <c r="AF273" i="18"/>
  <c r="AG273" i="18"/>
  <c r="AH273" i="18"/>
  <c r="AI273" i="18"/>
  <c r="AJ273" i="18"/>
  <c r="AK273" i="18"/>
  <c r="AL273" i="18"/>
  <c r="AM273" i="18"/>
  <c r="AN273" i="18"/>
  <c r="AE274" i="18"/>
  <c r="AF274" i="18"/>
  <c r="AG274" i="18"/>
  <c r="AH274" i="18"/>
  <c r="AI274" i="18"/>
  <c r="AJ274" i="18"/>
  <c r="AK274" i="18"/>
  <c r="AL274" i="18"/>
  <c r="AM274" i="18"/>
  <c r="AN274" i="18"/>
  <c r="N7" i="22"/>
  <c r="N6" i="22"/>
  <c r="A276" i="21"/>
  <c r="A254" i="21"/>
  <c r="A252" i="21"/>
  <c r="A248" i="21"/>
  <c r="A213" i="21"/>
  <c r="A211" i="21"/>
  <c r="A207" i="21"/>
  <c r="A162" i="21"/>
  <c r="AR207" i="1"/>
  <c r="AR213" i="1" s="1"/>
  <c r="I206" i="1"/>
  <c r="I208" i="1" s="1"/>
  <c r="J206" i="1"/>
  <c r="J208" i="1" s="1"/>
  <c r="K206" i="1"/>
  <c r="K208" i="1" s="1"/>
  <c r="L206" i="1"/>
  <c r="L208" i="1" s="1"/>
  <c r="M206" i="1"/>
  <c r="M208" i="1" s="1"/>
  <c r="N206" i="1"/>
  <c r="N208" i="1" s="1"/>
  <c r="O206" i="1"/>
  <c r="O208" i="1" s="1"/>
  <c r="P206" i="1"/>
  <c r="P208" i="1" s="1"/>
  <c r="Q206" i="1"/>
  <c r="Q208" i="1" s="1"/>
  <c r="R206" i="1"/>
  <c r="R208" i="1" s="1"/>
  <c r="S206" i="1"/>
  <c r="T206" i="1"/>
  <c r="T208" i="1" s="1"/>
  <c r="U206" i="1"/>
  <c r="U208" i="1" s="1"/>
  <c r="V206" i="1"/>
  <c r="V208" i="1" s="1"/>
  <c r="W206" i="1"/>
  <c r="W208" i="1" s="1"/>
  <c r="X206" i="1"/>
  <c r="X208" i="1" s="1"/>
  <c r="Y206" i="1"/>
  <c r="Y208" i="1" s="1"/>
  <c r="Z206" i="1"/>
  <c r="Z208" i="1" s="1"/>
  <c r="AA206" i="1"/>
  <c r="AA208" i="1" s="1"/>
  <c r="AB206" i="1"/>
  <c r="AB208" i="1" s="1"/>
  <c r="AC206" i="1"/>
  <c r="AC208" i="1" s="1"/>
  <c r="AS206" i="1"/>
  <c r="AT206" i="1"/>
  <c r="AU206" i="1"/>
  <c r="AU208" i="1" s="1"/>
  <c r="AV206" i="1"/>
  <c r="AV208" i="1" s="1"/>
  <c r="AW206" i="1"/>
  <c r="AW208" i="1" s="1"/>
  <c r="AX206" i="1"/>
  <c r="AX208" i="1" s="1"/>
  <c r="AY206" i="1"/>
  <c r="AY208" i="1" s="1"/>
  <c r="AZ206" i="1"/>
  <c r="AZ208" i="1" s="1"/>
  <c r="BA206" i="1"/>
  <c r="BA208" i="1" s="1"/>
  <c r="BB206" i="1"/>
  <c r="BB208" i="1" s="1"/>
  <c r="BC206" i="1"/>
  <c r="BD206" i="1"/>
  <c r="BD208" i="1" s="1"/>
  <c r="BE206" i="1"/>
  <c r="BE208" i="1" s="1"/>
  <c r="BF206" i="1"/>
  <c r="BF208" i="1" s="1"/>
  <c r="BG206" i="1"/>
  <c r="BG208" i="1" s="1"/>
  <c r="BH206" i="1"/>
  <c r="BH208" i="1" s="1"/>
  <c r="BI206" i="1"/>
  <c r="BI208" i="1" s="1"/>
  <c r="BJ206" i="1"/>
  <c r="BJ208" i="1" s="1"/>
  <c r="BK206" i="1"/>
  <c r="BK208" i="1" s="1"/>
  <c r="BL206" i="1"/>
  <c r="BL208" i="1" s="1"/>
  <c r="BM206" i="1"/>
  <c r="BM208" i="1" s="1"/>
  <c r="M45" i="22" s="1"/>
  <c r="H206" i="1"/>
  <c r="BA276" i="1"/>
  <c r="I247" i="1"/>
  <c r="I249" i="1" s="1"/>
  <c r="J247" i="1"/>
  <c r="J249" i="1" s="1"/>
  <c r="K247" i="1"/>
  <c r="K249" i="1" s="1"/>
  <c r="L247" i="1"/>
  <c r="L249" i="1" s="1"/>
  <c r="M247" i="1"/>
  <c r="M249" i="1" s="1"/>
  <c r="N247" i="1"/>
  <c r="N249" i="1" s="1"/>
  <c r="O247" i="1"/>
  <c r="O249" i="1" s="1"/>
  <c r="P247" i="1"/>
  <c r="P249" i="1" s="1"/>
  <c r="Q247" i="1"/>
  <c r="R247" i="1"/>
  <c r="R249" i="1" s="1"/>
  <c r="S247" i="1"/>
  <c r="T247" i="1"/>
  <c r="T249" i="1" s="1"/>
  <c r="U247" i="1"/>
  <c r="U249" i="1" s="1"/>
  <c r="V247" i="1"/>
  <c r="V249" i="1" s="1"/>
  <c r="W247" i="1"/>
  <c r="W249" i="1" s="1"/>
  <c r="X247" i="1"/>
  <c r="X249" i="1" s="1"/>
  <c r="Y247" i="1"/>
  <c r="Y249" i="1" s="1"/>
  <c r="Z247" i="1"/>
  <c r="Z249" i="1" s="1"/>
  <c r="AA247" i="1"/>
  <c r="AA249" i="1" s="1"/>
  <c r="AB247" i="1"/>
  <c r="AB249" i="1" s="1"/>
  <c r="AC247" i="1"/>
  <c r="AC249" i="1" s="1"/>
  <c r="H247" i="1"/>
  <c r="BC207" i="1"/>
  <c r="S207" i="1"/>
  <c r="H207" i="1"/>
  <c r="H213" i="1" s="1"/>
  <c r="Q5" i="21"/>
  <c r="Q4" i="21"/>
  <c r="Q3" i="21"/>
  <c r="Q2" i="21"/>
  <c r="Q1" i="21"/>
  <c r="Y5" i="21"/>
  <c r="Y4" i="21"/>
  <c r="Y3" i="21"/>
  <c r="Y2" i="21"/>
  <c r="Y1" i="21"/>
  <c r="Y5" i="20"/>
  <c r="Y4" i="20"/>
  <c r="Y3" i="20"/>
  <c r="Y2" i="20"/>
  <c r="Y1" i="20"/>
  <c r="Q6" i="20"/>
  <c r="N5" i="22"/>
  <c r="A279" i="21"/>
  <c r="P6" i="22"/>
  <c r="Q6" i="22" s="1"/>
  <c r="H9" i="18"/>
  <c r="CB206" i="18"/>
  <c r="CC206" i="18"/>
  <c r="CD206" i="18"/>
  <c r="CE206" i="18"/>
  <c r="CF206" i="18"/>
  <c r="CG206" i="18"/>
  <c r="CH206" i="18"/>
  <c r="CI206" i="18"/>
  <c r="CJ206" i="18"/>
  <c r="CK206" i="18"/>
  <c r="CL206" i="18"/>
  <c r="CM206" i="18"/>
  <c r="CN206" i="18"/>
  <c r="CO206" i="18"/>
  <c r="CP206" i="18"/>
  <c r="CQ206" i="18"/>
  <c r="CR206" i="18"/>
  <c r="CS206" i="18"/>
  <c r="CT206" i="18"/>
  <c r="CU206" i="18"/>
  <c r="CV206" i="18"/>
  <c r="CW206" i="18"/>
  <c r="CB211" i="18"/>
  <c r="CB252" i="18"/>
  <c r="CB263" i="18"/>
  <c r="CC263" i="18"/>
  <c r="CD263" i="18"/>
  <c r="CE263" i="18"/>
  <c r="CF263" i="18"/>
  <c r="CG263" i="18"/>
  <c r="CH263" i="18"/>
  <c r="CI263" i="18"/>
  <c r="CJ263" i="18"/>
  <c r="CK263" i="18"/>
  <c r="CL263" i="18"/>
  <c r="CM263" i="18"/>
  <c r="CN263" i="18"/>
  <c r="CO263" i="18"/>
  <c r="CP263" i="18"/>
  <c r="CQ263" i="18"/>
  <c r="CR263" i="18"/>
  <c r="CS263" i="18"/>
  <c r="CT263" i="18"/>
  <c r="CU263" i="18"/>
  <c r="CV263" i="18"/>
  <c r="CW263" i="18"/>
  <c r="AT252" i="18"/>
  <c r="CD252" i="18" s="1"/>
  <c r="AU252" i="18"/>
  <c r="CE252" i="18" s="1"/>
  <c r="AV252" i="18"/>
  <c r="CF252" i="18" s="1"/>
  <c r="AW252" i="18"/>
  <c r="CG252" i="18" s="1"/>
  <c r="AX252" i="18"/>
  <c r="CH252" i="18" s="1"/>
  <c r="AY252" i="18"/>
  <c r="CI252" i="18" s="1"/>
  <c r="AZ252" i="18"/>
  <c r="CJ252" i="18" s="1"/>
  <c r="BA252" i="18"/>
  <c r="CK252" i="18" s="1"/>
  <c r="BB252" i="18"/>
  <c r="BC252" i="18"/>
  <c r="CM252" i="18" s="1"/>
  <c r="BD252" i="18"/>
  <c r="BE252" i="18"/>
  <c r="CO252" i="18" s="1"/>
  <c r="BF252" i="18"/>
  <c r="CP252" i="18" s="1"/>
  <c r="BG252" i="18"/>
  <c r="CQ252" i="18" s="1"/>
  <c r="BH252" i="18"/>
  <c r="BI252" i="18"/>
  <c r="CS252" i="18" s="1"/>
  <c r="BJ252" i="18"/>
  <c r="CT252" i="18" s="1"/>
  <c r="BK252" i="18"/>
  <c r="BL252" i="18"/>
  <c r="BM252" i="18"/>
  <c r="CW252" i="18" s="1"/>
  <c r="AS252" i="18"/>
  <c r="J252" i="18"/>
  <c r="K252" i="18"/>
  <c r="L252" i="18"/>
  <c r="M252" i="18"/>
  <c r="N252" i="18"/>
  <c r="O252" i="18"/>
  <c r="P252" i="18"/>
  <c r="Q252" i="18"/>
  <c r="R252" i="18"/>
  <c r="S252" i="18"/>
  <c r="T252" i="18"/>
  <c r="U252" i="18"/>
  <c r="V252" i="18"/>
  <c r="W252" i="18"/>
  <c r="X252" i="18"/>
  <c r="Y252" i="18"/>
  <c r="Z252" i="18"/>
  <c r="AA252" i="18"/>
  <c r="AB252" i="18"/>
  <c r="AC252" i="18"/>
  <c r="I252" i="18"/>
  <c r="AT211" i="18"/>
  <c r="AU211" i="18"/>
  <c r="CE211" i="18" s="1"/>
  <c r="AV211" i="18"/>
  <c r="CF211" i="18" s="1"/>
  <c r="AW211" i="18"/>
  <c r="CG211" i="18" s="1"/>
  <c r="AX211" i="18"/>
  <c r="CH211" i="18" s="1"/>
  <c r="AY211" i="18"/>
  <c r="CI211" i="18" s="1"/>
  <c r="AZ211" i="18"/>
  <c r="CJ211" i="18" s="1"/>
  <c r="BA211" i="18"/>
  <c r="CK211" i="18" s="1"/>
  <c r="BB211" i="18"/>
  <c r="CL211" i="18" s="1"/>
  <c r="BC211" i="18"/>
  <c r="CM211" i="18" s="1"/>
  <c r="BD211" i="18"/>
  <c r="CN211" i="18" s="1"/>
  <c r="BE211" i="18"/>
  <c r="CO211" i="18" s="1"/>
  <c r="BF211" i="18"/>
  <c r="CP211" i="18" s="1"/>
  <c r="BG211" i="18"/>
  <c r="CQ211" i="18" s="1"/>
  <c r="BH211" i="18"/>
  <c r="CR211" i="18" s="1"/>
  <c r="BI211" i="18"/>
  <c r="CS211" i="18" s="1"/>
  <c r="BJ211" i="18"/>
  <c r="CT211" i="18" s="1"/>
  <c r="BK211" i="18"/>
  <c r="CU211" i="18" s="1"/>
  <c r="BL211" i="18"/>
  <c r="CV211" i="18" s="1"/>
  <c r="BM211" i="18"/>
  <c r="CW211" i="18" s="1"/>
  <c r="AS211" i="18"/>
  <c r="CC211" i="18" s="1"/>
  <c r="J211" i="18"/>
  <c r="K211" i="18"/>
  <c r="L211" i="18"/>
  <c r="M211" i="18"/>
  <c r="N211" i="18"/>
  <c r="O211" i="18"/>
  <c r="P211" i="18"/>
  <c r="Q211" i="18"/>
  <c r="R211" i="18"/>
  <c r="S211" i="18"/>
  <c r="T211" i="18"/>
  <c r="U211" i="18"/>
  <c r="V211" i="18"/>
  <c r="W211" i="18"/>
  <c r="X211" i="18"/>
  <c r="Y211" i="18"/>
  <c r="Z211" i="18"/>
  <c r="AA211" i="18"/>
  <c r="AB211" i="18"/>
  <c r="AC211" i="18"/>
  <c r="I211" i="18"/>
  <c r="H265" i="18"/>
  <c r="I265" i="18"/>
  <c r="J265" i="18"/>
  <c r="K265" i="18"/>
  <c r="L265" i="18"/>
  <c r="M265" i="18"/>
  <c r="N265" i="18"/>
  <c r="O265" i="18"/>
  <c r="P265" i="18"/>
  <c r="Q265" i="18"/>
  <c r="R265" i="18"/>
  <c r="S265" i="18"/>
  <c r="T265" i="18"/>
  <c r="U265" i="18"/>
  <c r="V265" i="18"/>
  <c r="W265" i="18"/>
  <c r="X265" i="18"/>
  <c r="Y265" i="18"/>
  <c r="Z265" i="18"/>
  <c r="AA265" i="18"/>
  <c r="AB265" i="18"/>
  <c r="AC265" i="18"/>
  <c r="AR265" i="18"/>
  <c r="CB265" i="18" s="1"/>
  <c r="AS265" i="18"/>
  <c r="CC265" i="18" s="1"/>
  <c r="AT265" i="18"/>
  <c r="CD265" i="18" s="1"/>
  <c r="AU265" i="18"/>
  <c r="CE265" i="18" s="1"/>
  <c r="AV265" i="18"/>
  <c r="CF265" i="18" s="1"/>
  <c r="AW265" i="18"/>
  <c r="CG265" i="18" s="1"/>
  <c r="AX265" i="18"/>
  <c r="CH265" i="18" s="1"/>
  <c r="AY265" i="18"/>
  <c r="CI265" i="18" s="1"/>
  <c r="AZ265" i="18"/>
  <c r="CJ265" i="18" s="1"/>
  <c r="BA265" i="18"/>
  <c r="CK265" i="18" s="1"/>
  <c r="BB265" i="18"/>
  <c r="BC265" i="18"/>
  <c r="CM265" i="18" s="1"/>
  <c r="BD265" i="18"/>
  <c r="BE265" i="18"/>
  <c r="CO265" i="18" s="1"/>
  <c r="BF265" i="18"/>
  <c r="CP265" i="18" s="1"/>
  <c r="BG265" i="18"/>
  <c r="CQ265" i="18" s="1"/>
  <c r="BH265" i="18"/>
  <c r="CR265" i="18" s="1"/>
  <c r="BI265" i="18"/>
  <c r="CS265" i="18" s="1"/>
  <c r="BJ265" i="18"/>
  <c r="CT265" i="18" s="1"/>
  <c r="BK265" i="18"/>
  <c r="CU265" i="18" s="1"/>
  <c r="BL265" i="18"/>
  <c r="CV265" i="18" s="1"/>
  <c r="BM265" i="18"/>
  <c r="H266" i="18"/>
  <c r="I266" i="18"/>
  <c r="J266" i="18"/>
  <c r="K266" i="18"/>
  <c r="L266" i="18"/>
  <c r="M266" i="18"/>
  <c r="N266" i="18"/>
  <c r="O266" i="18"/>
  <c r="P266" i="18"/>
  <c r="Q266" i="18"/>
  <c r="R266" i="18"/>
  <c r="S266" i="18"/>
  <c r="T266" i="18"/>
  <c r="U266" i="18"/>
  <c r="V266" i="18"/>
  <c r="W266" i="18"/>
  <c r="X266" i="18"/>
  <c r="Y266" i="18"/>
  <c r="Z266" i="18"/>
  <c r="AA266" i="18"/>
  <c r="AB266" i="18"/>
  <c r="AC266" i="18"/>
  <c r="AR266" i="18"/>
  <c r="CB266" i="18" s="1"/>
  <c r="AS266" i="18"/>
  <c r="CC266" i="18" s="1"/>
  <c r="AT266" i="18"/>
  <c r="CD266" i="18" s="1"/>
  <c r="AU266" i="18"/>
  <c r="CE266" i="18" s="1"/>
  <c r="AV266" i="18"/>
  <c r="CF266" i="18" s="1"/>
  <c r="AW266" i="18"/>
  <c r="CG266" i="18" s="1"/>
  <c r="AX266" i="18"/>
  <c r="CH266" i="18" s="1"/>
  <c r="AY266" i="18"/>
  <c r="CI266" i="18" s="1"/>
  <c r="AZ266" i="18"/>
  <c r="CJ266" i="18" s="1"/>
  <c r="BA266" i="18"/>
  <c r="CK266" i="18" s="1"/>
  <c r="BB266" i="18"/>
  <c r="CL266" i="18" s="1"/>
  <c r="BC266" i="18"/>
  <c r="CM266" i="18" s="1"/>
  <c r="BD266" i="18"/>
  <c r="CN266" i="18" s="1"/>
  <c r="BE266" i="18"/>
  <c r="CO266" i="18" s="1"/>
  <c r="BF266" i="18"/>
  <c r="CP266" i="18" s="1"/>
  <c r="BG266" i="18"/>
  <c r="CQ266" i="18" s="1"/>
  <c r="BH266" i="18"/>
  <c r="CR266" i="18" s="1"/>
  <c r="BI266" i="18"/>
  <c r="CS266" i="18" s="1"/>
  <c r="BJ266" i="18"/>
  <c r="CT266" i="18" s="1"/>
  <c r="BK266" i="18"/>
  <c r="CU266" i="18" s="1"/>
  <c r="BL266" i="18"/>
  <c r="CV266" i="18" s="1"/>
  <c r="BM266" i="18"/>
  <c r="CW266" i="18" s="1"/>
  <c r="H267" i="18"/>
  <c r="I267" i="18"/>
  <c r="J267" i="18"/>
  <c r="K267" i="18"/>
  <c r="L267" i="18"/>
  <c r="M267" i="18"/>
  <c r="N267" i="18"/>
  <c r="O267" i="18"/>
  <c r="P267" i="18"/>
  <c r="Q267" i="18"/>
  <c r="R267" i="18"/>
  <c r="S267" i="18"/>
  <c r="T267" i="18"/>
  <c r="U267" i="18"/>
  <c r="V267" i="18"/>
  <c r="W267" i="18"/>
  <c r="X267" i="18"/>
  <c r="Y267" i="18"/>
  <c r="Z267" i="18"/>
  <c r="AA267" i="18"/>
  <c r="AB267" i="18"/>
  <c r="AC267" i="18"/>
  <c r="AR267" i="18"/>
  <c r="CB267" i="18" s="1"/>
  <c r="AS267" i="18"/>
  <c r="CC267" i="18" s="1"/>
  <c r="AT267" i="18"/>
  <c r="CD267" i="18" s="1"/>
  <c r="AU267" i="18"/>
  <c r="CE267" i="18" s="1"/>
  <c r="AV267" i="18"/>
  <c r="CF267" i="18" s="1"/>
  <c r="AW267" i="18"/>
  <c r="CG267" i="18" s="1"/>
  <c r="AX267" i="18"/>
  <c r="CH267" i="18" s="1"/>
  <c r="AY267" i="18"/>
  <c r="AZ267" i="18"/>
  <c r="CJ267" i="18" s="1"/>
  <c r="BA267" i="18"/>
  <c r="CK267" i="18" s="1"/>
  <c r="BB267" i="18"/>
  <c r="CL267" i="18" s="1"/>
  <c r="BC267" i="18"/>
  <c r="CM267" i="18" s="1"/>
  <c r="BD267" i="18"/>
  <c r="CN267" i="18" s="1"/>
  <c r="BE267" i="18"/>
  <c r="CO267" i="18" s="1"/>
  <c r="BF267" i="18"/>
  <c r="CP267" i="18" s="1"/>
  <c r="BG267" i="18"/>
  <c r="CQ267" i="18" s="1"/>
  <c r="BH267" i="18"/>
  <c r="CR267" i="18" s="1"/>
  <c r="BI267" i="18"/>
  <c r="CS267" i="18" s="1"/>
  <c r="BJ267" i="18"/>
  <c r="CT267" i="18" s="1"/>
  <c r="BK267" i="18"/>
  <c r="CU267" i="18" s="1"/>
  <c r="BL267" i="18"/>
  <c r="CV267" i="18" s="1"/>
  <c r="BM267" i="18"/>
  <c r="CW267" i="18" s="1"/>
  <c r="H268" i="18"/>
  <c r="I268" i="18"/>
  <c r="J268" i="18"/>
  <c r="K268" i="18"/>
  <c r="L268" i="18"/>
  <c r="M268" i="18"/>
  <c r="N268" i="18"/>
  <c r="O268" i="18"/>
  <c r="P268" i="18"/>
  <c r="Q268" i="18"/>
  <c r="R268" i="18"/>
  <c r="S268" i="18"/>
  <c r="T268" i="18"/>
  <c r="U268" i="18"/>
  <c r="V268" i="18"/>
  <c r="W268" i="18"/>
  <c r="X268" i="18"/>
  <c r="Y268" i="18"/>
  <c r="Z268" i="18"/>
  <c r="AA268" i="18"/>
  <c r="AB268" i="18"/>
  <c r="AC268" i="18"/>
  <c r="AR268" i="18"/>
  <c r="CB268" i="18" s="1"/>
  <c r="AS268" i="18"/>
  <c r="CC268" i="18" s="1"/>
  <c r="AT268" i="18"/>
  <c r="CD268" i="18" s="1"/>
  <c r="AU268" i="18"/>
  <c r="CE268" i="18" s="1"/>
  <c r="AV268" i="18"/>
  <c r="CF268" i="18" s="1"/>
  <c r="AW268" i="18"/>
  <c r="CG268" i="18" s="1"/>
  <c r="AX268" i="18"/>
  <c r="CH268" i="18" s="1"/>
  <c r="AY268" i="18"/>
  <c r="CI268" i="18" s="1"/>
  <c r="AZ268" i="18"/>
  <c r="CJ268" i="18" s="1"/>
  <c r="BA268" i="18"/>
  <c r="CK268" i="18" s="1"/>
  <c r="BB268" i="18"/>
  <c r="CL268" i="18" s="1"/>
  <c r="BC268" i="18"/>
  <c r="CM268" i="18" s="1"/>
  <c r="BD268" i="18"/>
  <c r="CN268" i="18" s="1"/>
  <c r="BE268" i="18"/>
  <c r="CO268" i="18" s="1"/>
  <c r="BF268" i="18"/>
  <c r="CP268" i="18" s="1"/>
  <c r="BG268" i="18"/>
  <c r="CQ268" i="18" s="1"/>
  <c r="BH268" i="18"/>
  <c r="CR268" i="18" s="1"/>
  <c r="BI268" i="18"/>
  <c r="CS268" i="18" s="1"/>
  <c r="BJ268" i="18"/>
  <c r="CT268" i="18" s="1"/>
  <c r="BK268" i="18"/>
  <c r="CU268" i="18" s="1"/>
  <c r="BL268" i="18"/>
  <c r="CV268" i="18" s="1"/>
  <c r="BM268" i="18"/>
  <c r="CW268" i="18" s="1"/>
  <c r="H269" i="18"/>
  <c r="I269" i="18"/>
  <c r="J269" i="18"/>
  <c r="K269" i="18"/>
  <c r="L269" i="18"/>
  <c r="M269" i="18"/>
  <c r="N269" i="18"/>
  <c r="O269" i="18"/>
  <c r="P269" i="18"/>
  <c r="Q269" i="18"/>
  <c r="R269" i="18"/>
  <c r="S269" i="18"/>
  <c r="T269" i="18"/>
  <c r="U269" i="18"/>
  <c r="V269" i="18"/>
  <c r="W269" i="18"/>
  <c r="X269" i="18"/>
  <c r="Y269" i="18"/>
  <c r="Z269" i="18"/>
  <c r="AA269" i="18"/>
  <c r="AB269" i="18"/>
  <c r="AC269" i="18"/>
  <c r="AR269" i="18"/>
  <c r="CB269" i="18" s="1"/>
  <c r="AS269" i="18"/>
  <c r="CC269" i="18" s="1"/>
  <c r="AT269" i="18"/>
  <c r="CD269" i="18" s="1"/>
  <c r="AU269" i="18"/>
  <c r="CE269" i="18" s="1"/>
  <c r="AV269" i="18"/>
  <c r="CF269" i="18" s="1"/>
  <c r="AW269" i="18"/>
  <c r="CG269" i="18" s="1"/>
  <c r="AX269" i="18"/>
  <c r="CH269" i="18" s="1"/>
  <c r="AY269" i="18"/>
  <c r="CI269" i="18" s="1"/>
  <c r="AZ269" i="18"/>
  <c r="CJ269" i="18" s="1"/>
  <c r="BA269" i="18"/>
  <c r="CK269" i="18" s="1"/>
  <c r="BB269" i="18"/>
  <c r="CL269" i="18" s="1"/>
  <c r="BC269" i="18"/>
  <c r="CM269" i="18" s="1"/>
  <c r="BD269" i="18"/>
  <c r="CN269" i="18" s="1"/>
  <c r="BE269" i="18"/>
  <c r="CO269" i="18" s="1"/>
  <c r="BF269" i="18"/>
  <c r="CP269" i="18" s="1"/>
  <c r="BG269" i="18"/>
  <c r="CQ269" i="18" s="1"/>
  <c r="BH269" i="18"/>
  <c r="CR269" i="18" s="1"/>
  <c r="BI269" i="18"/>
  <c r="CS269" i="18" s="1"/>
  <c r="BJ269" i="18"/>
  <c r="CT269" i="18" s="1"/>
  <c r="BK269" i="18"/>
  <c r="CU269" i="18" s="1"/>
  <c r="BL269" i="18"/>
  <c r="CV269" i="18" s="1"/>
  <c r="BM269" i="18"/>
  <c r="CW269" i="18" s="1"/>
  <c r="H270" i="18"/>
  <c r="I270" i="18"/>
  <c r="J270" i="18"/>
  <c r="K270" i="18"/>
  <c r="L270" i="18"/>
  <c r="M270" i="18"/>
  <c r="N270" i="18"/>
  <c r="O270" i="18"/>
  <c r="P270" i="18"/>
  <c r="Q270" i="18"/>
  <c r="R270" i="18"/>
  <c r="S270" i="18"/>
  <c r="T270" i="18"/>
  <c r="U270" i="18"/>
  <c r="V270" i="18"/>
  <c r="W270" i="18"/>
  <c r="X270" i="18"/>
  <c r="Y270" i="18"/>
  <c r="Z270" i="18"/>
  <c r="AA270" i="18"/>
  <c r="AB270" i="18"/>
  <c r="AC270" i="18"/>
  <c r="AR270" i="18"/>
  <c r="CB270" i="18" s="1"/>
  <c r="AS270" i="18"/>
  <c r="AT270" i="18"/>
  <c r="CD270" i="18" s="1"/>
  <c r="AU270" i="18"/>
  <c r="CE270" i="18" s="1"/>
  <c r="AV270" i="18"/>
  <c r="CF270" i="18" s="1"/>
  <c r="AW270" i="18"/>
  <c r="CG270" i="18" s="1"/>
  <c r="AX270" i="18"/>
  <c r="CH270" i="18" s="1"/>
  <c r="AY270" i="18"/>
  <c r="CI270" i="18" s="1"/>
  <c r="AZ270" i="18"/>
  <c r="CJ270" i="18" s="1"/>
  <c r="BA270" i="18"/>
  <c r="CK270" i="18" s="1"/>
  <c r="BB270" i="18"/>
  <c r="CL270" i="18" s="1"/>
  <c r="BC270" i="18"/>
  <c r="CM270" i="18" s="1"/>
  <c r="BD270" i="18"/>
  <c r="CN270" i="18" s="1"/>
  <c r="BE270" i="18"/>
  <c r="CO270" i="18" s="1"/>
  <c r="BF270" i="18"/>
  <c r="CP270" i="18" s="1"/>
  <c r="BG270" i="18"/>
  <c r="CQ270" i="18" s="1"/>
  <c r="BH270" i="18"/>
  <c r="CR270" i="18" s="1"/>
  <c r="BI270" i="18"/>
  <c r="CS270" i="18" s="1"/>
  <c r="BJ270" i="18"/>
  <c r="CT270" i="18" s="1"/>
  <c r="BK270" i="18"/>
  <c r="CU270" i="18" s="1"/>
  <c r="BL270" i="18"/>
  <c r="CV270" i="18" s="1"/>
  <c r="BM270" i="18"/>
  <c r="CW270" i="18" s="1"/>
  <c r="H271" i="18"/>
  <c r="I271" i="18"/>
  <c r="J271" i="18"/>
  <c r="K271" i="18"/>
  <c r="L271" i="18"/>
  <c r="M271" i="18"/>
  <c r="N271" i="18"/>
  <c r="O271" i="18"/>
  <c r="P271" i="18"/>
  <c r="Q271" i="18"/>
  <c r="R271" i="18"/>
  <c r="S271" i="18"/>
  <c r="T271" i="18"/>
  <c r="U271" i="18"/>
  <c r="V271" i="18"/>
  <c r="W271" i="18"/>
  <c r="X271" i="18"/>
  <c r="Y271" i="18"/>
  <c r="Z271" i="18"/>
  <c r="AA271" i="18"/>
  <c r="AB271" i="18"/>
  <c r="AC271" i="18"/>
  <c r="AR271" i="18"/>
  <c r="CB271" i="18" s="1"/>
  <c r="AS271" i="18"/>
  <c r="CC271" i="18" s="1"/>
  <c r="AT271" i="18"/>
  <c r="CD271" i="18" s="1"/>
  <c r="AU271" i="18"/>
  <c r="CE271" i="18" s="1"/>
  <c r="AV271" i="18"/>
  <c r="CF271" i="18" s="1"/>
  <c r="AW271" i="18"/>
  <c r="CG271" i="18" s="1"/>
  <c r="AX271" i="18"/>
  <c r="CH271" i="18" s="1"/>
  <c r="AY271" i="18"/>
  <c r="CI271" i="18" s="1"/>
  <c r="AZ271" i="18"/>
  <c r="CJ271" i="18" s="1"/>
  <c r="BA271" i="18"/>
  <c r="CK271" i="18" s="1"/>
  <c r="BB271" i="18"/>
  <c r="CL271" i="18" s="1"/>
  <c r="BC271" i="18"/>
  <c r="CM271" i="18" s="1"/>
  <c r="BD271" i="18"/>
  <c r="CN271" i="18" s="1"/>
  <c r="BE271" i="18"/>
  <c r="CO271" i="18" s="1"/>
  <c r="BF271" i="18"/>
  <c r="CP271" i="18" s="1"/>
  <c r="BG271" i="18"/>
  <c r="CQ271" i="18" s="1"/>
  <c r="BH271" i="18"/>
  <c r="CR271" i="18" s="1"/>
  <c r="BI271" i="18"/>
  <c r="CS271" i="18" s="1"/>
  <c r="BJ271" i="18"/>
  <c r="CT271" i="18" s="1"/>
  <c r="BK271" i="18"/>
  <c r="CU271" i="18" s="1"/>
  <c r="BL271" i="18"/>
  <c r="CV271" i="18" s="1"/>
  <c r="BM271" i="18"/>
  <c r="CW271" i="18" s="1"/>
  <c r="H272" i="18"/>
  <c r="I272" i="18"/>
  <c r="J272" i="18"/>
  <c r="K272" i="18"/>
  <c r="L272" i="18"/>
  <c r="M272" i="18"/>
  <c r="N272" i="18"/>
  <c r="O272" i="18"/>
  <c r="P272" i="18"/>
  <c r="Q272" i="18"/>
  <c r="R272" i="18"/>
  <c r="S272" i="18"/>
  <c r="T272" i="18"/>
  <c r="U272" i="18"/>
  <c r="V272" i="18"/>
  <c r="W272" i="18"/>
  <c r="X272" i="18"/>
  <c r="Y272" i="18"/>
  <c r="Z272" i="18"/>
  <c r="AA272" i="18"/>
  <c r="AB272" i="18"/>
  <c r="AC272" i="18"/>
  <c r="AR272" i="18"/>
  <c r="CB272" i="18" s="1"/>
  <c r="AS272" i="18"/>
  <c r="CC272" i="18" s="1"/>
  <c r="AT272" i="18"/>
  <c r="CD272" i="18" s="1"/>
  <c r="AU272" i="18"/>
  <c r="CE272" i="18" s="1"/>
  <c r="AV272" i="18"/>
  <c r="CF272" i="18" s="1"/>
  <c r="AW272" i="18"/>
  <c r="CG272" i="18" s="1"/>
  <c r="AX272" i="18"/>
  <c r="CH272" i="18" s="1"/>
  <c r="AY272" i="18"/>
  <c r="CI272" i="18" s="1"/>
  <c r="AZ272" i="18"/>
  <c r="CJ272" i="18" s="1"/>
  <c r="BA272" i="18"/>
  <c r="CK272" i="18" s="1"/>
  <c r="BB272" i="18"/>
  <c r="CL272" i="18" s="1"/>
  <c r="BC272" i="18"/>
  <c r="CM272" i="18" s="1"/>
  <c r="BD272" i="18"/>
  <c r="CN272" i="18" s="1"/>
  <c r="BE272" i="18"/>
  <c r="CO272" i="18" s="1"/>
  <c r="BF272" i="18"/>
  <c r="CP272" i="18" s="1"/>
  <c r="BG272" i="18"/>
  <c r="CQ272" i="18" s="1"/>
  <c r="BH272" i="18"/>
  <c r="CR272" i="18" s="1"/>
  <c r="BI272" i="18"/>
  <c r="CS272" i="18" s="1"/>
  <c r="BJ272" i="18"/>
  <c r="CT272" i="18" s="1"/>
  <c r="BK272" i="18"/>
  <c r="CU272" i="18" s="1"/>
  <c r="BL272" i="18"/>
  <c r="CV272" i="18" s="1"/>
  <c r="BM272" i="18"/>
  <c r="CW272" i="18" s="1"/>
  <c r="H273" i="18"/>
  <c r="I273" i="18"/>
  <c r="J273" i="18"/>
  <c r="K273" i="18"/>
  <c r="L273" i="18"/>
  <c r="M273" i="18"/>
  <c r="N273" i="18"/>
  <c r="O273" i="18"/>
  <c r="P273" i="18"/>
  <c r="Q273" i="18"/>
  <c r="R273" i="18"/>
  <c r="S273" i="18"/>
  <c r="T273" i="18"/>
  <c r="U273" i="18"/>
  <c r="V273" i="18"/>
  <c r="W273" i="18"/>
  <c r="X273" i="18"/>
  <c r="Y273" i="18"/>
  <c r="Z273" i="18"/>
  <c r="AA273" i="18"/>
  <c r="AB273" i="18"/>
  <c r="AC273" i="18"/>
  <c r="AR273" i="18"/>
  <c r="CB273" i="18" s="1"/>
  <c r="AS273" i="18"/>
  <c r="CC273" i="18" s="1"/>
  <c r="AT273" i="18"/>
  <c r="CD273" i="18" s="1"/>
  <c r="AU273" i="18"/>
  <c r="CE273" i="18" s="1"/>
  <c r="AV273" i="18"/>
  <c r="CF273" i="18" s="1"/>
  <c r="AW273" i="18"/>
  <c r="CG273" i="18" s="1"/>
  <c r="AX273" i="18"/>
  <c r="CH273" i="18" s="1"/>
  <c r="AY273" i="18"/>
  <c r="CI273" i="18" s="1"/>
  <c r="AZ273" i="18"/>
  <c r="CJ273" i="18" s="1"/>
  <c r="BA273" i="18"/>
  <c r="CK273" i="18" s="1"/>
  <c r="BB273" i="18"/>
  <c r="CL273" i="18" s="1"/>
  <c r="BC273" i="18"/>
  <c r="CM273" i="18" s="1"/>
  <c r="BD273" i="18"/>
  <c r="CN273" i="18" s="1"/>
  <c r="BE273" i="18"/>
  <c r="CO273" i="18" s="1"/>
  <c r="BF273" i="18"/>
  <c r="CP273" i="18" s="1"/>
  <c r="BG273" i="18"/>
  <c r="CQ273" i="18" s="1"/>
  <c r="BH273" i="18"/>
  <c r="CR273" i="18" s="1"/>
  <c r="BI273" i="18"/>
  <c r="CS273" i="18" s="1"/>
  <c r="BJ273" i="18"/>
  <c r="CT273" i="18" s="1"/>
  <c r="BK273" i="18"/>
  <c r="CU273" i="18" s="1"/>
  <c r="BL273" i="18"/>
  <c r="CV273" i="18" s="1"/>
  <c r="BM273" i="18"/>
  <c r="CW273" i="18" s="1"/>
  <c r="H274" i="18"/>
  <c r="I274" i="18"/>
  <c r="J274" i="18"/>
  <c r="K274" i="18"/>
  <c r="L274" i="18"/>
  <c r="M274" i="18"/>
  <c r="N274" i="18"/>
  <c r="O274" i="18"/>
  <c r="P274" i="18"/>
  <c r="Q274" i="18"/>
  <c r="R274" i="18"/>
  <c r="S274" i="18"/>
  <c r="T274" i="18"/>
  <c r="U274" i="18"/>
  <c r="V274" i="18"/>
  <c r="W274" i="18"/>
  <c r="X274" i="18"/>
  <c r="Y274" i="18"/>
  <c r="Z274" i="18"/>
  <c r="AA274" i="18"/>
  <c r="AB274" i="18"/>
  <c r="AC274" i="18"/>
  <c r="AR274" i="18"/>
  <c r="CB274" i="18" s="1"/>
  <c r="AS274" i="18"/>
  <c r="CC274" i="18" s="1"/>
  <c r="AT274" i="18"/>
  <c r="CD274" i="18" s="1"/>
  <c r="AU274" i="18"/>
  <c r="CE274" i="18" s="1"/>
  <c r="AV274" i="18"/>
  <c r="CF274" i="18" s="1"/>
  <c r="AW274" i="18"/>
  <c r="CG274" i="18" s="1"/>
  <c r="AX274" i="18"/>
  <c r="CH274" i="18" s="1"/>
  <c r="AY274" i="18"/>
  <c r="CI274" i="18" s="1"/>
  <c r="AZ274" i="18"/>
  <c r="CJ274" i="18" s="1"/>
  <c r="BA274" i="18"/>
  <c r="CK274" i="18" s="1"/>
  <c r="BB274" i="18"/>
  <c r="CL274" i="18" s="1"/>
  <c r="BC274" i="18"/>
  <c r="CM274" i="18" s="1"/>
  <c r="BD274" i="18"/>
  <c r="CN274" i="18" s="1"/>
  <c r="BE274" i="18"/>
  <c r="CO274" i="18" s="1"/>
  <c r="BF274" i="18"/>
  <c r="CP274" i="18" s="1"/>
  <c r="BG274" i="18"/>
  <c r="CQ274" i="18" s="1"/>
  <c r="BH274" i="18"/>
  <c r="CR274" i="18" s="1"/>
  <c r="BI274" i="18"/>
  <c r="CS274" i="18" s="1"/>
  <c r="BJ274" i="18"/>
  <c r="CT274" i="18" s="1"/>
  <c r="BK274" i="18"/>
  <c r="CU274" i="18" s="1"/>
  <c r="BL274" i="18"/>
  <c r="CV274" i="18" s="1"/>
  <c r="BM274" i="18"/>
  <c r="CW274" i="18" s="1"/>
  <c r="BM264" i="18"/>
  <c r="CW264" i="18" s="1"/>
  <c r="BL264" i="18"/>
  <c r="CV264" i="18" s="1"/>
  <c r="BK264" i="18"/>
  <c r="CU264" i="18" s="1"/>
  <c r="BJ264" i="18"/>
  <c r="CT264" i="18" s="1"/>
  <c r="BI264" i="18"/>
  <c r="CS264" i="18" s="1"/>
  <c r="BH264" i="18"/>
  <c r="CR264" i="18" s="1"/>
  <c r="BG264" i="18"/>
  <c r="CQ264" i="18" s="1"/>
  <c r="BF264" i="18"/>
  <c r="CP264" i="18" s="1"/>
  <c r="BE264" i="18"/>
  <c r="CO264" i="18" s="1"/>
  <c r="BD264" i="18"/>
  <c r="CN264" i="18" s="1"/>
  <c r="BC264" i="18"/>
  <c r="CM264" i="18" s="1"/>
  <c r="BB264" i="18"/>
  <c r="CL264" i="18" s="1"/>
  <c r="BA264" i="18"/>
  <c r="CK264" i="18" s="1"/>
  <c r="AZ264" i="18"/>
  <c r="CJ264" i="18" s="1"/>
  <c r="AY264" i="18"/>
  <c r="CI264" i="18" s="1"/>
  <c r="AX264" i="18"/>
  <c r="CH264" i="18" s="1"/>
  <c r="AW264" i="18"/>
  <c r="CG264" i="18" s="1"/>
  <c r="AV264" i="18"/>
  <c r="CF264" i="18" s="1"/>
  <c r="AU264" i="18"/>
  <c r="CE264" i="18" s="1"/>
  <c r="AT264" i="18"/>
  <c r="CD264" i="18" s="1"/>
  <c r="AS264" i="18"/>
  <c r="CC264" i="18" s="1"/>
  <c r="AR264" i="18"/>
  <c r="CB264" i="18" s="1"/>
  <c r="AC264" i="18"/>
  <c r="AB264" i="18"/>
  <c r="AA264" i="18"/>
  <c r="Z264" i="18"/>
  <c r="Y264" i="18"/>
  <c r="X264" i="18"/>
  <c r="W264" i="18"/>
  <c r="V264" i="18"/>
  <c r="U264" i="18"/>
  <c r="T264" i="18"/>
  <c r="S264" i="18"/>
  <c r="R264" i="18"/>
  <c r="Q264" i="18"/>
  <c r="P264" i="18"/>
  <c r="O264" i="18"/>
  <c r="N264" i="18"/>
  <c r="M264" i="18"/>
  <c r="L264" i="18"/>
  <c r="K264" i="18"/>
  <c r="J264" i="18"/>
  <c r="I264" i="18"/>
  <c r="H264" i="18"/>
  <c r="AR226" i="18"/>
  <c r="CB226" i="18" s="1"/>
  <c r="AS226" i="18"/>
  <c r="CC226" i="18" s="1"/>
  <c r="AT226" i="18"/>
  <c r="CD226" i="18" s="1"/>
  <c r="AU226" i="18"/>
  <c r="CE226" i="18" s="1"/>
  <c r="AV226" i="18"/>
  <c r="CF226" i="18" s="1"/>
  <c r="AW226" i="18"/>
  <c r="CG226" i="18" s="1"/>
  <c r="AX226" i="18"/>
  <c r="CH226" i="18" s="1"/>
  <c r="AY226" i="18"/>
  <c r="CI226" i="18" s="1"/>
  <c r="AZ226" i="18"/>
  <c r="CJ226" i="18" s="1"/>
  <c r="BA226" i="18"/>
  <c r="CK226" i="18" s="1"/>
  <c r="BB226" i="18"/>
  <c r="BC226" i="18"/>
  <c r="CM226" i="18" s="1"/>
  <c r="BD226" i="18"/>
  <c r="CN226" i="18" s="1"/>
  <c r="BE226" i="18"/>
  <c r="CO226" i="18" s="1"/>
  <c r="BF226" i="18"/>
  <c r="BG226" i="18"/>
  <c r="CQ226" i="18" s="1"/>
  <c r="BH226" i="18"/>
  <c r="CR226" i="18" s="1"/>
  <c r="BI226" i="18"/>
  <c r="CS226" i="18" s="1"/>
  <c r="BJ226" i="18"/>
  <c r="CT226" i="18" s="1"/>
  <c r="BK226" i="18"/>
  <c r="CU226" i="18" s="1"/>
  <c r="BL226" i="18"/>
  <c r="CV226" i="18" s="1"/>
  <c r="BM226" i="18"/>
  <c r="CW226" i="18" s="1"/>
  <c r="AR227" i="18"/>
  <c r="CB227" i="18" s="1"/>
  <c r="AS227" i="18"/>
  <c r="CC227" i="18" s="1"/>
  <c r="AT227" i="18"/>
  <c r="CD227" i="18" s="1"/>
  <c r="AU227" i="18"/>
  <c r="CE227" i="18" s="1"/>
  <c r="AV227" i="18"/>
  <c r="CF227" i="18" s="1"/>
  <c r="AW227" i="18"/>
  <c r="CG227" i="18" s="1"/>
  <c r="AX227" i="18"/>
  <c r="CH227" i="18" s="1"/>
  <c r="AY227" i="18"/>
  <c r="CI227" i="18" s="1"/>
  <c r="AZ227" i="18"/>
  <c r="CJ227" i="18" s="1"/>
  <c r="BA227" i="18"/>
  <c r="CK227" i="18" s="1"/>
  <c r="BB227" i="18"/>
  <c r="CL227" i="18" s="1"/>
  <c r="BC227" i="18"/>
  <c r="CM227" i="18" s="1"/>
  <c r="BD227" i="18"/>
  <c r="CN227" i="18" s="1"/>
  <c r="BE227" i="18"/>
  <c r="CO227" i="18" s="1"/>
  <c r="BF227" i="18"/>
  <c r="CP227" i="18" s="1"/>
  <c r="BG227" i="18"/>
  <c r="CQ227" i="18" s="1"/>
  <c r="BH227" i="18"/>
  <c r="CR227" i="18" s="1"/>
  <c r="BI227" i="18"/>
  <c r="CS227" i="18" s="1"/>
  <c r="BJ227" i="18"/>
  <c r="CT227" i="18" s="1"/>
  <c r="BK227" i="18"/>
  <c r="CU227" i="18" s="1"/>
  <c r="BL227" i="18"/>
  <c r="CV227" i="18" s="1"/>
  <c r="BM227" i="18"/>
  <c r="CW227" i="18" s="1"/>
  <c r="AR228" i="18"/>
  <c r="CB228" i="18" s="1"/>
  <c r="AS228" i="18"/>
  <c r="AT228" i="18"/>
  <c r="CD228" i="18" s="1"/>
  <c r="AU228" i="18"/>
  <c r="AV228" i="18"/>
  <c r="CF228" i="18" s="1"/>
  <c r="AW228" i="18"/>
  <c r="CG228" i="18" s="1"/>
  <c r="AX228" i="18"/>
  <c r="CH228" i="18" s="1"/>
  <c r="AY228" i="18"/>
  <c r="CI228" i="18" s="1"/>
  <c r="AZ228" i="18"/>
  <c r="CJ228" i="18" s="1"/>
  <c r="BA228" i="18"/>
  <c r="CK228" i="18" s="1"/>
  <c r="BB228" i="18"/>
  <c r="CL228" i="18" s="1"/>
  <c r="BC228" i="18"/>
  <c r="CM228" i="18" s="1"/>
  <c r="BD228" i="18"/>
  <c r="CN228" i="18" s="1"/>
  <c r="BE228" i="18"/>
  <c r="CO228" i="18" s="1"/>
  <c r="BF228" i="18"/>
  <c r="CP228" i="18" s="1"/>
  <c r="BG228" i="18"/>
  <c r="CQ228" i="18" s="1"/>
  <c r="BH228" i="18"/>
  <c r="CR228" i="18" s="1"/>
  <c r="BI228" i="18"/>
  <c r="CS228" i="18" s="1"/>
  <c r="BJ228" i="18"/>
  <c r="CT228" i="18" s="1"/>
  <c r="BK228" i="18"/>
  <c r="CU228" i="18" s="1"/>
  <c r="BL228" i="18"/>
  <c r="CV228" i="18" s="1"/>
  <c r="BM228" i="18"/>
  <c r="CW228" i="18" s="1"/>
  <c r="AR229" i="18"/>
  <c r="CB229" i="18" s="1"/>
  <c r="AS229" i="18"/>
  <c r="CC229" i="18" s="1"/>
  <c r="AT229" i="18"/>
  <c r="CD229" i="18" s="1"/>
  <c r="AU229" i="18"/>
  <c r="CE229" i="18" s="1"/>
  <c r="AV229" i="18"/>
  <c r="AW229" i="18"/>
  <c r="CG229" i="18" s="1"/>
  <c r="AX229" i="18"/>
  <c r="CH229" i="18" s="1"/>
  <c r="AY229" i="18"/>
  <c r="CI229" i="18" s="1"/>
  <c r="AZ229" i="18"/>
  <c r="CJ229" i="18" s="1"/>
  <c r="BA229" i="18"/>
  <c r="CK229" i="18" s="1"/>
  <c r="BB229" i="18"/>
  <c r="CL229" i="18" s="1"/>
  <c r="BC229" i="18"/>
  <c r="CM229" i="18" s="1"/>
  <c r="BD229" i="18"/>
  <c r="CN229" i="18" s="1"/>
  <c r="BE229" i="18"/>
  <c r="CO229" i="18" s="1"/>
  <c r="BF229" i="18"/>
  <c r="CP229" i="18" s="1"/>
  <c r="BG229" i="18"/>
  <c r="CQ229" i="18" s="1"/>
  <c r="BH229" i="18"/>
  <c r="CR229" i="18" s="1"/>
  <c r="BI229" i="18"/>
  <c r="CS229" i="18" s="1"/>
  <c r="BJ229" i="18"/>
  <c r="CT229" i="18" s="1"/>
  <c r="BK229" i="18"/>
  <c r="CU229" i="18" s="1"/>
  <c r="BL229" i="18"/>
  <c r="CV229" i="18" s="1"/>
  <c r="BM229" i="18"/>
  <c r="CW229" i="18" s="1"/>
  <c r="AR230" i="18"/>
  <c r="CB230" i="18" s="1"/>
  <c r="AS230" i="18"/>
  <c r="CC230" i="18" s="1"/>
  <c r="AT230" i="18"/>
  <c r="CD230" i="18" s="1"/>
  <c r="AU230" i="18"/>
  <c r="CE230" i="18" s="1"/>
  <c r="AV230" i="18"/>
  <c r="CF230" i="18" s="1"/>
  <c r="AW230" i="18"/>
  <c r="CG230" i="18" s="1"/>
  <c r="AX230" i="18"/>
  <c r="AY230" i="18"/>
  <c r="CI230" i="18" s="1"/>
  <c r="AZ230" i="18"/>
  <c r="CJ230" i="18" s="1"/>
  <c r="BA230" i="18"/>
  <c r="CK230" i="18" s="1"/>
  <c r="BB230" i="18"/>
  <c r="CL230" i="18" s="1"/>
  <c r="BC230" i="18"/>
  <c r="CM230" i="18" s="1"/>
  <c r="BD230" i="18"/>
  <c r="CN230" i="18" s="1"/>
  <c r="BE230" i="18"/>
  <c r="CO230" i="18" s="1"/>
  <c r="BF230" i="18"/>
  <c r="CP230" i="18" s="1"/>
  <c r="BG230" i="18"/>
  <c r="CQ230" i="18" s="1"/>
  <c r="BH230" i="18"/>
  <c r="CR230" i="18" s="1"/>
  <c r="BI230" i="18"/>
  <c r="CS230" i="18" s="1"/>
  <c r="BJ230" i="18"/>
  <c r="CT230" i="18" s="1"/>
  <c r="BK230" i="18"/>
  <c r="CU230" i="18" s="1"/>
  <c r="BL230" i="18"/>
  <c r="CV230" i="18" s="1"/>
  <c r="BM230" i="18"/>
  <c r="CW230" i="18" s="1"/>
  <c r="AR231" i="18"/>
  <c r="CB231" i="18" s="1"/>
  <c r="AS231" i="18"/>
  <c r="CC231" i="18" s="1"/>
  <c r="AT231" i="18"/>
  <c r="CD231" i="18" s="1"/>
  <c r="AU231" i="18"/>
  <c r="CE231" i="18" s="1"/>
  <c r="AV231" i="18"/>
  <c r="CF231" i="18" s="1"/>
  <c r="AW231" i="18"/>
  <c r="CG231" i="18" s="1"/>
  <c r="AX231" i="18"/>
  <c r="CH231" i="18" s="1"/>
  <c r="AY231" i="18"/>
  <c r="CI231" i="18" s="1"/>
  <c r="AZ231" i="18"/>
  <c r="CJ231" i="18" s="1"/>
  <c r="BA231" i="18"/>
  <c r="CK231" i="18" s="1"/>
  <c r="BB231" i="18"/>
  <c r="CL231" i="18" s="1"/>
  <c r="BC231" i="18"/>
  <c r="CM231" i="18" s="1"/>
  <c r="BD231" i="18"/>
  <c r="CN231" i="18" s="1"/>
  <c r="BE231" i="18"/>
  <c r="CO231" i="18" s="1"/>
  <c r="BF231" i="18"/>
  <c r="CP231" i="18" s="1"/>
  <c r="BG231" i="18"/>
  <c r="CQ231" i="18" s="1"/>
  <c r="BH231" i="18"/>
  <c r="CR231" i="18" s="1"/>
  <c r="BI231" i="18"/>
  <c r="CS231" i="18" s="1"/>
  <c r="BJ231" i="18"/>
  <c r="CT231" i="18" s="1"/>
  <c r="BK231" i="18"/>
  <c r="CU231" i="18" s="1"/>
  <c r="BL231" i="18"/>
  <c r="CV231" i="18" s="1"/>
  <c r="BM231" i="18"/>
  <c r="CW231" i="18" s="1"/>
  <c r="AR232" i="18"/>
  <c r="CB232" i="18" s="1"/>
  <c r="AS232" i="18"/>
  <c r="CC232" i="18" s="1"/>
  <c r="AT232" i="18"/>
  <c r="CD232" i="18" s="1"/>
  <c r="AU232" i="18"/>
  <c r="CE232" i="18" s="1"/>
  <c r="AV232" i="18"/>
  <c r="CF232" i="18" s="1"/>
  <c r="AW232" i="18"/>
  <c r="CG232" i="18" s="1"/>
  <c r="AX232" i="18"/>
  <c r="CH232" i="18" s="1"/>
  <c r="AY232" i="18"/>
  <c r="CI232" i="18" s="1"/>
  <c r="AZ232" i="18"/>
  <c r="CJ232" i="18" s="1"/>
  <c r="BA232" i="18"/>
  <c r="CK232" i="18" s="1"/>
  <c r="BB232" i="18"/>
  <c r="CL232" i="18" s="1"/>
  <c r="BC232" i="18"/>
  <c r="CM232" i="18" s="1"/>
  <c r="BD232" i="18"/>
  <c r="CN232" i="18" s="1"/>
  <c r="BE232" i="18"/>
  <c r="CO232" i="18" s="1"/>
  <c r="BF232" i="18"/>
  <c r="CP232" i="18" s="1"/>
  <c r="BG232" i="18"/>
  <c r="CQ232" i="18" s="1"/>
  <c r="BH232" i="18"/>
  <c r="CR232" i="18" s="1"/>
  <c r="BI232" i="18"/>
  <c r="CS232" i="18" s="1"/>
  <c r="BJ232" i="18"/>
  <c r="CT232" i="18" s="1"/>
  <c r="BK232" i="18"/>
  <c r="CU232" i="18" s="1"/>
  <c r="BL232" i="18"/>
  <c r="CV232" i="18" s="1"/>
  <c r="BM232" i="18"/>
  <c r="CW232" i="18" s="1"/>
  <c r="AR233" i="18"/>
  <c r="CB233" i="18" s="1"/>
  <c r="AS233" i="18"/>
  <c r="CC233" i="18" s="1"/>
  <c r="AT233" i="18"/>
  <c r="CD233" i="18" s="1"/>
  <c r="AU233" i="18"/>
  <c r="CE233" i="18" s="1"/>
  <c r="AV233" i="18"/>
  <c r="CF233" i="18" s="1"/>
  <c r="AW233" i="18"/>
  <c r="CG233" i="18" s="1"/>
  <c r="AX233" i="18"/>
  <c r="CH233" i="18" s="1"/>
  <c r="AY233" i="18"/>
  <c r="CI233" i="18" s="1"/>
  <c r="AZ233" i="18"/>
  <c r="CJ233" i="18" s="1"/>
  <c r="BA233" i="18"/>
  <c r="CK233" i="18" s="1"/>
  <c r="BB233" i="18"/>
  <c r="CL233" i="18" s="1"/>
  <c r="BC233" i="18"/>
  <c r="CM233" i="18" s="1"/>
  <c r="BD233" i="18"/>
  <c r="CN233" i="18" s="1"/>
  <c r="BE233" i="18"/>
  <c r="CO233" i="18" s="1"/>
  <c r="BF233" i="18"/>
  <c r="CP233" i="18" s="1"/>
  <c r="BG233" i="18"/>
  <c r="CQ233" i="18" s="1"/>
  <c r="BH233" i="18"/>
  <c r="CR233" i="18" s="1"/>
  <c r="BI233" i="18"/>
  <c r="CS233" i="18" s="1"/>
  <c r="BJ233" i="18"/>
  <c r="CT233" i="18" s="1"/>
  <c r="BK233" i="18"/>
  <c r="CU233" i="18" s="1"/>
  <c r="BL233" i="18"/>
  <c r="CV233" i="18" s="1"/>
  <c r="BM233" i="18"/>
  <c r="CW233" i="18" s="1"/>
  <c r="AR234" i="18"/>
  <c r="AS234" i="18"/>
  <c r="CC234" i="18" s="1"/>
  <c r="AT234" i="18"/>
  <c r="CD234" i="18" s="1"/>
  <c r="AU234" i="18"/>
  <c r="CE234" i="18" s="1"/>
  <c r="AV234" i="18"/>
  <c r="CF234" i="18" s="1"/>
  <c r="AW234" i="18"/>
  <c r="CG234" i="18" s="1"/>
  <c r="AX234" i="18"/>
  <c r="CH234" i="18" s="1"/>
  <c r="AY234" i="18"/>
  <c r="CI234" i="18" s="1"/>
  <c r="AZ234" i="18"/>
  <c r="CJ234" i="18" s="1"/>
  <c r="BA234" i="18"/>
  <c r="CK234" i="18" s="1"/>
  <c r="BB234" i="18"/>
  <c r="CL234" i="18" s="1"/>
  <c r="BC234" i="18"/>
  <c r="CM234" i="18" s="1"/>
  <c r="BD234" i="18"/>
  <c r="CN234" i="18" s="1"/>
  <c r="BE234" i="18"/>
  <c r="CO234" i="18" s="1"/>
  <c r="BF234" i="18"/>
  <c r="CP234" i="18" s="1"/>
  <c r="BG234" i="18"/>
  <c r="CQ234" i="18" s="1"/>
  <c r="BH234" i="18"/>
  <c r="CR234" i="18" s="1"/>
  <c r="BI234" i="18"/>
  <c r="CS234" i="18" s="1"/>
  <c r="BJ234" i="18"/>
  <c r="CT234" i="18" s="1"/>
  <c r="BK234" i="18"/>
  <c r="CU234" i="18" s="1"/>
  <c r="BL234" i="18"/>
  <c r="CV234" i="18" s="1"/>
  <c r="BM234" i="18"/>
  <c r="CW234" i="18" s="1"/>
  <c r="AR235" i="18"/>
  <c r="CB235" i="18" s="1"/>
  <c r="AS235" i="18"/>
  <c r="CC235" i="18" s="1"/>
  <c r="AT235" i="18"/>
  <c r="CD235" i="18" s="1"/>
  <c r="AU235" i="18"/>
  <c r="CE235" i="18" s="1"/>
  <c r="AV235" i="18"/>
  <c r="CF235" i="18" s="1"/>
  <c r="AW235" i="18"/>
  <c r="CG235" i="18" s="1"/>
  <c r="AX235" i="18"/>
  <c r="CH235" i="18" s="1"/>
  <c r="AY235" i="18"/>
  <c r="CI235" i="18" s="1"/>
  <c r="AZ235" i="18"/>
  <c r="CJ235" i="18" s="1"/>
  <c r="BA235" i="18"/>
  <c r="CK235" i="18" s="1"/>
  <c r="BB235" i="18"/>
  <c r="CL235" i="18" s="1"/>
  <c r="BC235" i="18"/>
  <c r="CM235" i="18" s="1"/>
  <c r="BD235" i="18"/>
  <c r="CN235" i="18" s="1"/>
  <c r="BE235" i="18"/>
  <c r="CO235" i="18" s="1"/>
  <c r="BF235" i="18"/>
  <c r="CP235" i="18" s="1"/>
  <c r="BG235" i="18"/>
  <c r="CQ235" i="18" s="1"/>
  <c r="BH235" i="18"/>
  <c r="CR235" i="18" s="1"/>
  <c r="BI235" i="18"/>
  <c r="CS235" i="18" s="1"/>
  <c r="BJ235" i="18"/>
  <c r="CT235" i="18" s="1"/>
  <c r="BK235" i="18"/>
  <c r="CU235" i="18" s="1"/>
  <c r="BL235" i="18"/>
  <c r="CV235" i="18" s="1"/>
  <c r="BM235" i="18"/>
  <c r="CW235" i="18" s="1"/>
  <c r="AR236" i="18"/>
  <c r="CB236" i="18" s="1"/>
  <c r="AS236" i="18"/>
  <c r="CC236" i="18" s="1"/>
  <c r="AT236" i="18"/>
  <c r="CD236" i="18" s="1"/>
  <c r="AU236" i="18"/>
  <c r="CE236" i="18" s="1"/>
  <c r="AV236" i="18"/>
  <c r="CF236" i="18" s="1"/>
  <c r="AW236" i="18"/>
  <c r="CG236" i="18" s="1"/>
  <c r="AX236" i="18"/>
  <c r="CH236" i="18" s="1"/>
  <c r="AY236" i="18"/>
  <c r="CI236" i="18" s="1"/>
  <c r="AZ236" i="18"/>
  <c r="CJ236" i="18" s="1"/>
  <c r="BA236" i="18"/>
  <c r="CK236" i="18" s="1"/>
  <c r="BB236" i="18"/>
  <c r="CL236" i="18" s="1"/>
  <c r="BC236" i="18"/>
  <c r="CM236" i="18" s="1"/>
  <c r="BD236" i="18"/>
  <c r="CN236" i="18" s="1"/>
  <c r="BE236" i="18"/>
  <c r="CO236" i="18" s="1"/>
  <c r="BF236" i="18"/>
  <c r="CP236" i="18" s="1"/>
  <c r="BG236" i="18"/>
  <c r="CQ236" i="18" s="1"/>
  <c r="BH236" i="18"/>
  <c r="CR236" i="18" s="1"/>
  <c r="BI236" i="18"/>
  <c r="CS236" i="18" s="1"/>
  <c r="BJ236" i="18"/>
  <c r="CT236" i="18" s="1"/>
  <c r="BK236" i="18"/>
  <c r="CU236" i="18" s="1"/>
  <c r="BL236" i="18"/>
  <c r="CV236" i="18" s="1"/>
  <c r="BM236" i="18"/>
  <c r="CW236" i="18" s="1"/>
  <c r="AR237" i="18"/>
  <c r="AS237" i="18"/>
  <c r="CC237" i="18" s="1"/>
  <c r="AT237" i="18"/>
  <c r="CD237" i="18" s="1"/>
  <c r="AU237" i="18"/>
  <c r="CE237" i="18" s="1"/>
  <c r="AV237" i="18"/>
  <c r="CF237" i="18" s="1"/>
  <c r="AW237" i="18"/>
  <c r="CG237" i="18" s="1"/>
  <c r="AX237" i="18"/>
  <c r="CH237" i="18" s="1"/>
  <c r="AY237" i="18"/>
  <c r="CI237" i="18" s="1"/>
  <c r="AZ237" i="18"/>
  <c r="CJ237" i="18" s="1"/>
  <c r="BA237" i="18"/>
  <c r="CK237" i="18" s="1"/>
  <c r="BB237" i="18"/>
  <c r="CL237" i="18" s="1"/>
  <c r="BC237" i="18"/>
  <c r="CM237" i="18" s="1"/>
  <c r="BD237" i="18"/>
  <c r="CN237" i="18" s="1"/>
  <c r="BE237" i="18"/>
  <c r="CO237" i="18" s="1"/>
  <c r="BF237" i="18"/>
  <c r="CP237" i="18" s="1"/>
  <c r="BG237" i="18"/>
  <c r="CQ237" i="18" s="1"/>
  <c r="BH237" i="18"/>
  <c r="CR237" i="18" s="1"/>
  <c r="BI237" i="18"/>
  <c r="CS237" i="18" s="1"/>
  <c r="BJ237" i="18"/>
  <c r="CT237" i="18" s="1"/>
  <c r="BK237" i="18"/>
  <c r="CU237" i="18" s="1"/>
  <c r="BL237" i="18"/>
  <c r="CV237" i="18" s="1"/>
  <c r="BM237" i="18"/>
  <c r="CW237" i="18" s="1"/>
  <c r="AR238" i="18"/>
  <c r="CB238" i="18" s="1"/>
  <c r="AS238" i="18"/>
  <c r="CC238" i="18" s="1"/>
  <c r="AT238" i="18"/>
  <c r="CD238" i="18" s="1"/>
  <c r="AU238" i="18"/>
  <c r="CE238" i="18" s="1"/>
  <c r="AV238" i="18"/>
  <c r="CF238" i="18" s="1"/>
  <c r="AW238" i="18"/>
  <c r="CG238" i="18" s="1"/>
  <c r="AX238" i="18"/>
  <c r="CH238" i="18" s="1"/>
  <c r="AY238" i="18"/>
  <c r="CI238" i="18" s="1"/>
  <c r="AZ238" i="18"/>
  <c r="CJ238" i="18" s="1"/>
  <c r="BA238" i="18"/>
  <c r="CK238" i="18" s="1"/>
  <c r="BB238" i="18"/>
  <c r="CL238" i="18" s="1"/>
  <c r="BC238" i="18"/>
  <c r="CM238" i="18" s="1"/>
  <c r="BD238" i="18"/>
  <c r="CN238" i="18" s="1"/>
  <c r="BE238" i="18"/>
  <c r="CO238" i="18" s="1"/>
  <c r="BF238" i="18"/>
  <c r="CP238" i="18" s="1"/>
  <c r="BG238" i="18"/>
  <c r="CQ238" i="18" s="1"/>
  <c r="BH238" i="18"/>
  <c r="CR238" i="18" s="1"/>
  <c r="BI238" i="18"/>
  <c r="CS238" i="18" s="1"/>
  <c r="BJ238" i="18"/>
  <c r="CT238" i="18" s="1"/>
  <c r="BK238" i="18"/>
  <c r="CU238" i="18" s="1"/>
  <c r="BL238" i="18"/>
  <c r="CV238" i="18" s="1"/>
  <c r="BM238" i="18"/>
  <c r="CW238" i="18" s="1"/>
  <c r="AR239" i="18"/>
  <c r="CB239" i="18" s="1"/>
  <c r="AS239" i="18"/>
  <c r="CC239" i="18" s="1"/>
  <c r="AT239" i="18"/>
  <c r="CD239" i="18" s="1"/>
  <c r="AU239" i="18"/>
  <c r="CE239" i="18" s="1"/>
  <c r="AV239" i="18"/>
  <c r="CF239" i="18" s="1"/>
  <c r="AW239" i="18"/>
  <c r="CG239" i="18" s="1"/>
  <c r="AX239" i="18"/>
  <c r="CH239" i="18" s="1"/>
  <c r="AY239" i="18"/>
  <c r="CI239" i="18" s="1"/>
  <c r="AZ239" i="18"/>
  <c r="CJ239" i="18" s="1"/>
  <c r="BA239" i="18"/>
  <c r="CK239" i="18" s="1"/>
  <c r="BB239" i="18"/>
  <c r="CL239" i="18" s="1"/>
  <c r="BC239" i="18"/>
  <c r="CM239" i="18" s="1"/>
  <c r="BD239" i="18"/>
  <c r="CN239" i="18" s="1"/>
  <c r="BE239" i="18"/>
  <c r="CO239" i="18" s="1"/>
  <c r="BF239" i="18"/>
  <c r="CP239" i="18" s="1"/>
  <c r="BG239" i="18"/>
  <c r="CQ239" i="18" s="1"/>
  <c r="BH239" i="18"/>
  <c r="CR239" i="18" s="1"/>
  <c r="BI239" i="18"/>
  <c r="CS239" i="18" s="1"/>
  <c r="BJ239" i="18"/>
  <c r="CT239" i="18" s="1"/>
  <c r="BK239" i="18"/>
  <c r="CU239" i="18" s="1"/>
  <c r="BL239" i="18"/>
  <c r="CV239" i="18" s="1"/>
  <c r="BM239" i="18"/>
  <c r="CW239" i="18" s="1"/>
  <c r="AR240" i="18"/>
  <c r="CB240" i="18" s="1"/>
  <c r="AS240" i="18"/>
  <c r="CC240" i="18" s="1"/>
  <c r="AT240" i="18"/>
  <c r="AU240" i="18"/>
  <c r="CE240" i="18" s="1"/>
  <c r="AV240" i="18"/>
  <c r="CF240" i="18" s="1"/>
  <c r="AW240" i="18"/>
  <c r="CG240" i="18" s="1"/>
  <c r="AX240" i="18"/>
  <c r="CH240" i="18" s="1"/>
  <c r="AY240" i="18"/>
  <c r="CI240" i="18" s="1"/>
  <c r="AZ240" i="18"/>
  <c r="CJ240" i="18" s="1"/>
  <c r="BA240" i="18"/>
  <c r="CK240" i="18" s="1"/>
  <c r="BB240" i="18"/>
  <c r="CL240" i="18" s="1"/>
  <c r="BC240" i="18"/>
  <c r="CM240" i="18" s="1"/>
  <c r="BD240" i="18"/>
  <c r="CN240" i="18" s="1"/>
  <c r="BE240" i="18"/>
  <c r="CO240" i="18" s="1"/>
  <c r="BF240" i="18"/>
  <c r="CP240" i="18" s="1"/>
  <c r="BG240" i="18"/>
  <c r="CQ240" i="18" s="1"/>
  <c r="BH240" i="18"/>
  <c r="CR240" i="18" s="1"/>
  <c r="BI240" i="18"/>
  <c r="CS240" i="18" s="1"/>
  <c r="BJ240" i="18"/>
  <c r="CT240" i="18" s="1"/>
  <c r="BK240" i="18"/>
  <c r="CU240" i="18" s="1"/>
  <c r="BL240" i="18"/>
  <c r="CV240" i="18" s="1"/>
  <c r="BM240" i="18"/>
  <c r="CW240" i="18" s="1"/>
  <c r="AR241" i="18"/>
  <c r="CB241" i="18" s="1"/>
  <c r="AS241" i="18"/>
  <c r="CC241" i="18" s="1"/>
  <c r="AT241" i="18"/>
  <c r="CD241" i="18" s="1"/>
  <c r="AU241" i="18"/>
  <c r="CE241" i="18" s="1"/>
  <c r="AV241" i="18"/>
  <c r="CF241" i="18" s="1"/>
  <c r="AW241" i="18"/>
  <c r="CG241" i="18" s="1"/>
  <c r="AX241" i="18"/>
  <c r="CH241" i="18" s="1"/>
  <c r="AY241" i="18"/>
  <c r="CI241" i="18" s="1"/>
  <c r="AZ241" i="18"/>
  <c r="CJ241" i="18" s="1"/>
  <c r="BA241" i="18"/>
  <c r="CK241" i="18" s="1"/>
  <c r="BB241" i="18"/>
  <c r="CL241" i="18" s="1"/>
  <c r="BC241" i="18"/>
  <c r="CM241" i="18" s="1"/>
  <c r="BD241" i="18"/>
  <c r="CN241" i="18" s="1"/>
  <c r="BE241" i="18"/>
  <c r="CO241" i="18" s="1"/>
  <c r="BF241" i="18"/>
  <c r="CP241" i="18" s="1"/>
  <c r="BG241" i="18"/>
  <c r="CQ241" i="18" s="1"/>
  <c r="BH241" i="18"/>
  <c r="CR241" i="18" s="1"/>
  <c r="BI241" i="18"/>
  <c r="CS241" i="18" s="1"/>
  <c r="BJ241" i="18"/>
  <c r="CT241" i="18" s="1"/>
  <c r="BK241" i="18"/>
  <c r="CU241" i="18" s="1"/>
  <c r="BL241" i="18"/>
  <c r="CV241" i="18" s="1"/>
  <c r="BM241" i="18"/>
  <c r="CW241" i="18" s="1"/>
  <c r="AR242" i="18"/>
  <c r="CB242" i="18" s="1"/>
  <c r="AS242" i="18"/>
  <c r="CC242" i="18" s="1"/>
  <c r="AT242" i="18"/>
  <c r="CD242" i="18" s="1"/>
  <c r="AU242" i="18"/>
  <c r="CE242" i="18" s="1"/>
  <c r="AV242" i="18"/>
  <c r="CF242" i="18" s="1"/>
  <c r="AW242" i="18"/>
  <c r="CG242" i="18" s="1"/>
  <c r="AX242" i="18"/>
  <c r="CH242" i="18" s="1"/>
  <c r="AY242" i="18"/>
  <c r="CI242" i="18" s="1"/>
  <c r="AZ242" i="18"/>
  <c r="CJ242" i="18" s="1"/>
  <c r="BA242" i="18"/>
  <c r="CK242" i="18" s="1"/>
  <c r="BB242" i="18"/>
  <c r="CL242" i="18" s="1"/>
  <c r="BC242" i="18"/>
  <c r="CM242" i="18" s="1"/>
  <c r="BD242" i="18"/>
  <c r="CN242" i="18" s="1"/>
  <c r="BE242" i="18"/>
  <c r="CO242" i="18" s="1"/>
  <c r="BF242" i="18"/>
  <c r="CP242" i="18" s="1"/>
  <c r="BG242" i="18"/>
  <c r="CQ242" i="18" s="1"/>
  <c r="BH242" i="18"/>
  <c r="CR242" i="18" s="1"/>
  <c r="BI242" i="18"/>
  <c r="CS242" i="18" s="1"/>
  <c r="BJ242" i="18"/>
  <c r="CT242" i="18" s="1"/>
  <c r="BK242" i="18"/>
  <c r="CU242" i="18" s="1"/>
  <c r="BL242" i="18"/>
  <c r="CV242" i="18" s="1"/>
  <c r="BM242" i="18"/>
  <c r="CW242" i="18" s="1"/>
  <c r="AR243" i="18"/>
  <c r="CB243" i="18" s="1"/>
  <c r="AS243" i="18"/>
  <c r="CC243" i="18" s="1"/>
  <c r="AT243" i="18"/>
  <c r="CD243" i="18" s="1"/>
  <c r="AU243" i="18"/>
  <c r="CE243" i="18" s="1"/>
  <c r="AV243" i="18"/>
  <c r="CF243" i="18" s="1"/>
  <c r="AW243" i="18"/>
  <c r="CG243" i="18" s="1"/>
  <c r="AX243" i="18"/>
  <c r="CH243" i="18" s="1"/>
  <c r="AY243" i="18"/>
  <c r="CI243" i="18" s="1"/>
  <c r="AZ243" i="18"/>
  <c r="CJ243" i="18" s="1"/>
  <c r="BA243" i="18"/>
  <c r="CK243" i="18" s="1"/>
  <c r="BB243" i="18"/>
  <c r="CL243" i="18" s="1"/>
  <c r="BC243" i="18"/>
  <c r="CM243" i="18" s="1"/>
  <c r="BD243" i="18"/>
  <c r="CN243" i="18" s="1"/>
  <c r="BE243" i="18"/>
  <c r="CO243" i="18" s="1"/>
  <c r="BF243" i="18"/>
  <c r="CP243" i="18" s="1"/>
  <c r="BG243" i="18"/>
  <c r="CQ243" i="18" s="1"/>
  <c r="BH243" i="18"/>
  <c r="CR243" i="18" s="1"/>
  <c r="BI243" i="18"/>
  <c r="CS243" i="18" s="1"/>
  <c r="BJ243" i="18"/>
  <c r="CT243" i="18" s="1"/>
  <c r="BK243" i="18"/>
  <c r="CU243" i="18" s="1"/>
  <c r="BL243" i="18"/>
  <c r="CV243" i="18" s="1"/>
  <c r="BM243" i="18"/>
  <c r="CW243" i="18" s="1"/>
  <c r="AR244" i="18"/>
  <c r="AS244" i="18"/>
  <c r="CC244" i="18" s="1"/>
  <c r="AT244" i="18"/>
  <c r="CD244" i="18" s="1"/>
  <c r="AU244" i="18"/>
  <c r="CE244" i="18" s="1"/>
  <c r="AV244" i="18"/>
  <c r="CF244" i="18" s="1"/>
  <c r="AW244" i="18"/>
  <c r="CG244" i="18" s="1"/>
  <c r="AX244" i="18"/>
  <c r="CH244" i="18" s="1"/>
  <c r="AY244" i="18"/>
  <c r="CI244" i="18" s="1"/>
  <c r="AZ244" i="18"/>
  <c r="CJ244" i="18" s="1"/>
  <c r="BA244" i="18"/>
  <c r="CK244" i="18" s="1"/>
  <c r="BB244" i="18"/>
  <c r="CL244" i="18" s="1"/>
  <c r="BC244" i="18"/>
  <c r="CM244" i="18" s="1"/>
  <c r="BD244" i="18"/>
  <c r="CN244" i="18" s="1"/>
  <c r="BE244" i="18"/>
  <c r="CO244" i="18" s="1"/>
  <c r="BF244" i="18"/>
  <c r="CP244" i="18" s="1"/>
  <c r="BG244" i="18"/>
  <c r="CQ244" i="18" s="1"/>
  <c r="BH244" i="18"/>
  <c r="CR244" i="18" s="1"/>
  <c r="BI244" i="18"/>
  <c r="CS244" i="18" s="1"/>
  <c r="BJ244" i="18"/>
  <c r="CT244" i="18" s="1"/>
  <c r="BK244" i="18"/>
  <c r="CU244" i="18" s="1"/>
  <c r="BL244" i="18"/>
  <c r="CV244" i="18" s="1"/>
  <c r="BM244" i="18"/>
  <c r="CW244" i="18" s="1"/>
  <c r="AR245" i="18"/>
  <c r="CB245" i="18" s="1"/>
  <c r="AS245" i="18"/>
  <c r="CC245" i="18" s="1"/>
  <c r="AT245" i="18"/>
  <c r="CD245" i="18" s="1"/>
  <c r="AU245" i="18"/>
  <c r="CE245" i="18" s="1"/>
  <c r="AV245" i="18"/>
  <c r="CF245" i="18" s="1"/>
  <c r="AW245" i="18"/>
  <c r="CG245" i="18" s="1"/>
  <c r="AX245" i="18"/>
  <c r="CH245" i="18" s="1"/>
  <c r="AY245" i="18"/>
  <c r="CI245" i="18" s="1"/>
  <c r="AZ245" i="18"/>
  <c r="CJ245" i="18" s="1"/>
  <c r="BA245" i="18"/>
  <c r="CK245" i="18" s="1"/>
  <c r="BB245" i="18"/>
  <c r="CL245" i="18" s="1"/>
  <c r="BC245" i="18"/>
  <c r="CM245" i="18" s="1"/>
  <c r="BD245" i="18"/>
  <c r="CN245" i="18" s="1"/>
  <c r="BE245" i="18"/>
  <c r="CO245" i="18" s="1"/>
  <c r="BF245" i="18"/>
  <c r="CP245" i="18" s="1"/>
  <c r="BG245" i="18"/>
  <c r="CQ245" i="18" s="1"/>
  <c r="BH245" i="18"/>
  <c r="CR245" i="18" s="1"/>
  <c r="BI245" i="18"/>
  <c r="CS245" i="18" s="1"/>
  <c r="BJ245" i="18"/>
  <c r="CT245" i="18" s="1"/>
  <c r="BK245" i="18"/>
  <c r="CU245" i="18" s="1"/>
  <c r="BL245" i="18"/>
  <c r="CV245" i="18" s="1"/>
  <c r="BM245" i="18"/>
  <c r="CW245" i="18" s="1"/>
  <c r="AR246" i="18"/>
  <c r="AS246" i="18"/>
  <c r="CC246" i="18" s="1"/>
  <c r="AT246" i="18"/>
  <c r="CD246" i="18" s="1"/>
  <c r="AU246" i="18"/>
  <c r="CE246" i="18" s="1"/>
  <c r="AV246" i="18"/>
  <c r="CF246" i="18" s="1"/>
  <c r="AW246" i="18"/>
  <c r="CG246" i="18" s="1"/>
  <c r="AX246" i="18"/>
  <c r="CH246" i="18" s="1"/>
  <c r="AY246" i="18"/>
  <c r="CI246" i="18" s="1"/>
  <c r="AZ246" i="18"/>
  <c r="CJ246" i="18" s="1"/>
  <c r="BA246" i="18"/>
  <c r="CK246" i="18" s="1"/>
  <c r="BB246" i="18"/>
  <c r="CL246" i="18" s="1"/>
  <c r="BC246" i="18"/>
  <c r="CM246" i="18" s="1"/>
  <c r="BD246" i="18"/>
  <c r="CN246" i="18" s="1"/>
  <c r="BE246" i="18"/>
  <c r="CO246" i="18" s="1"/>
  <c r="BF246" i="18"/>
  <c r="CP246" i="18" s="1"/>
  <c r="BG246" i="18"/>
  <c r="CQ246" i="18" s="1"/>
  <c r="BH246" i="18"/>
  <c r="CR246" i="18" s="1"/>
  <c r="BI246" i="18"/>
  <c r="CS246" i="18" s="1"/>
  <c r="BJ246" i="18"/>
  <c r="CT246" i="18" s="1"/>
  <c r="BK246" i="18"/>
  <c r="CU246" i="18" s="1"/>
  <c r="BL246" i="18"/>
  <c r="CV246" i="18" s="1"/>
  <c r="BM246" i="18"/>
  <c r="CW246" i="18" s="1"/>
  <c r="AT225" i="18"/>
  <c r="CD225" i="18" s="1"/>
  <c r="AU225" i="18"/>
  <c r="CE225" i="18" s="1"/>
  <c r="AV225" i="18"/>
  <c r="CF225" i="18" s="1"/>
  <c r="AW225" i="18"/>
  <c r="CG225" i="18" s="1"/>
  <c r="AX225" i="18"/>
  <c r="CH225" i="18" s="1"/>
  <c r="AY225" i="18"/>
  <c r="CI225" i="18" s="1"/>
  <c r="AZ225" i="18"/>
  <c r="CJ225" i="18" s="1"/>
  <c r="BA225" i="18"/>
  <c r="CK225" i="18" s="1"/>
  <c r="BB225" i="18"/>
  <c r="CL225" i="18" s="1"/>
  <c r="BC225" i="18"/>
  <c r="CM225" i="18" s="1"/>
  <c r="BD225" i="18"/>
  <c r="CN225" i="18" s="1"/>
  <c r="BE225" i="18"/>
  <c r="CO225" i="18" s="1"/>
  <c r="BF225" i="18"/>
  <c r="CP225" i="18" s="1"/>
  <c r="BG225" i="18"/>
  <c r="CQ225" i="18" s="1"/>
  <c r="BH225" i="18"/>
  <c r="CR225" i="18" s="1"/>
  <c r="BI225" i="18"/>
  <c r="CS225" i="18" s="1"/>
  <c r="BJ225" i="18"/>
  <c r="BK225" i="18"/>
  <c r="BL225" i="18"/>
  <c r="CV225" i="18" s="1"/>
  <c r="BM225" i="18"/>
  <c r="CW225" i="18" s="1"/>
  <c r="AS225" i="18"/>
  <c r="CC225" i="18" s="1"/>
  <c r="AR225" i="18"/>
  <c r="CB225" i="18" s="1"/>
  <c r="H226" i="18"/>
  <c r="I226" i="18"/>
  <c r="J226" i="18"/>
  <c r="K226" i="18"/>
  <c r="L226" i="18"/>
  <c r="M226" i="18"/>
  <c r="N226" i="18"/>
  <c r="O226" i="18"/>
  <c r="P226" i="18"/>
  <c r="Q226" i="18"/>
  <c r="R226" i="18"/>
  <c r="S226" i="18"/>
  <c r="T226" i="18"/>
  <c r="U226" i="18"/>
  <c r="V226" i="18"/>
  <c r="W226" i="18"/>
  <c r="X226" i="18"/>
  <c r="Y226" i="18"/>
  <c r="Z226" i="18"/>
  <c r="AA226" i="18"/>
  <c r="AB226" i="18"/>
  <c r="AC226" i="18"/>
  <c r="H227" i="18"/>
  <c r="I227" i="18"/>
  <c r="J227" i="18"/>
  <c r="K227" i="18"/>
  <c r="L227" i="18"/>
  <c r="M227" i="18"/>
  <c r="N227" i="18"/>
  <c r="O227" i="18"/>
  <c r="P227" i="18"/>
  <c r="Q227" i="18"/>
  <c r="R227" i="18"/>
  <c r="S227" i="18"/>
  <c r="T227" i="18"/>
  <c r="U227" i="18"/>
  <c r="V227" i="18"/>
  <c r="W227" i="18"/>
  <c r="X227" i="18"/>
  <c r="Y227" i="18"/>
  <c r="Z227" i="18"/>
  <c r="AA227" i="18"/>
  <c r="AB227" i="18"/>
  <c r="AC227" i="18"/>
  <c r="H228" i="18"/>
  <c r="I228" i="18"/>
  <c r="J228" i="18"/>
  <c r="K228" i="18"/>
  <c r="L228" i="18"/>
  <c r="M228" i="18"/>
  <c r="N228" i="18"/>
  <c r="O228" i="18"/>
  <c r="P228" i="18"/>
  <c r="Q228" i="18"/>
  <c r="R228" i="18"/>
  <c r="S228" i="18"/>
  <c r="T228" i="18"/>
  <c r="U228" i="18"/>
  <c r="V228" i="18"/>
  <c r="W228" i="18"/>
  <c r="X228" i="18"/>
  <c r="Y228" i="18"/>
  <c r="Z228" i="18"/>
  <c r="AA228" i="18"/>
  <c r="AB228" i="18"/>
  <c r="AC228" i="18"/>
  <c r="H229" i="18"/>
  <c r="I229" i="18"/>
  <c r="J229" i="18"/>
  <c r="K229" i="18"/>
  <c r="L229" i="18"/>
  <c r="M229" i="18"/>
  <c r="N229" i="18"/>
  <c r="O229" i="18"/>
  <c r="P229" i="18"/>
  <c r="Q229" i="18"/>
  <c r="R229" i="18"/>
  <c r="S229" i="18"/>
  <c r="T229" i="18"/>
  <c r="U229" i="18"/>
  <c r="V229" i="18"/>
  <c r="W229" i="18"/>
  <c r="X229" i="18"/>
  <c r="Y229" i="18"/>
  <c r="Z229" i="18"/>
  <c r="AA229" i="18"/>
  <c r="AB229" i="18"/>
  <c r="AC229" i="18"/>
  <c r="H230" i="18"/>
  <c r="I230" i="18"/>
  <c r="J230" i="18"/>
  <c r="K230" i="18"/>
  <c r="L230" i="18"/>
  <c r="M230" i="18"/>
  <c r="N230" i="18"/>
  <c r="O230" i="18"/>
  <c r="P230" i="18"/>
  <c r="Q230" i="18"/>
  <c r="R230" i="18"/>
  <c r="S230" i="18"/>
  <c r="T230" i="18"/>
  <c r="U230" i="18"/>
  <c r="V230" i="18"/>
  <c r="W230" i="18"/>
  <c r="X230" i="18"/>
  <c r="Y230" i="18"/>
  <c r="Z230" i="18"/>
  <c r="AA230" i="18"/>
  <c r="AB230" i="18"/>
  <c r="AC230" i="18"/>
  <c r="H231" i="18"/>
  <c r="I231" i="18"/>
  <c r="J231" i="18"/>
  <c r="K231" i="18"/>
  <c r="L231" i="18"/>
  <c r="M231" i="18"/>
  <c r="N231" i="18"/>
  <c r="O231" i="18"/>
  <c r="P231" i="18"/>
  <c r="Q231" i="18"/>
  <c r="R231" i="18"/>
  <c r="S231" i="18"/>
  <c r="T231" i="18"/>
  <c r="U231" i="18"/>
  <c r="V231" i="18"/>
  <c r="W231" i="18"/>
  <c r="X231" i="18"/>
  <c r="Y231" i="18"/>
  <c r="Z231" i="18"/>
  <c r="AA231" i="18"/>
  <c r="AB231" i="18"/>
  <c r="AC231" i="18"/>
  <c r="H232" i="18"/>
  <c r="I232" i="18"/>
  <c r="J232" i="18"/>
  <c r="K232" i="18"/>
  <c r="L232" i="18"/>
  <c r="M232" i="18"/>
  <c r="N232" i="18"/>
  <c r="O232" i="18"/>
  <c r="P232" i="18"/>
  <c r="Q232" i="18"/>
  <c r="R232" i="18"/>
  <c r="S232" i="18"/>
  <c r="T232" i="18"/>
  <c r="U232" i="18"/>
  <c r="V232" i="18"/>
  <c r="W232" i="18"/>
  <c r="X232" i="18"/>
  <c r="Y232" i="18"/>
  <c r="Z232" i="18"/>
  <c r="AA232" i="18"/>
  <c r="AB232" i="18"/>
  <c r="AC232" i="18"/>
  <c r="H233" i="18"/>
  <c r="I233" i="18"/>
  <c r="J233" i="18"/>
  <c r="K233" i="18"/>
  <c r="L233" i="18"/>
  <c r="M233" i="18"/>
  <c r="N233" i="18"/>
  <c r="O233" i="18"/>
  <c r="P233" i="18"/>
  <c r="Q233" i="18"/>
  <c r="R233" i="18"/>
  <c r="S233" i="18"/>
  <c r="T233" i="18"/>
  <c r="U233" i="18"/>
  <c r="V233" i="18"/>
  <c r="W233" i="18"/>
  <c r="X233" i="18"/>
  <c r="Y233" i="18"/>
  <c r="Z233" i="18"/>
  <c r="AA233" i="18"/>
  <c r="AB233" i="18"/>
  <c r="AC233" i="18"/>
  <c r="H234" i="18"/>
  <c r="I234" i="18"/>
  <c r="J234" i="18"/>
  <c r="K234" i="18"/>
  <c r="L234" i="18"/>
  <c r="M234" i="18"/>
  <c r="N234" i="18"/>
  <c r="O234" i="18"/>
  <c r="P234" i="18"/>
  <c r="Q234" i="18"/>
  <c r="R234" i="18"/>
  <c r="S234" i="18"/>
  <c r="T234" i="18"/>
  <c r="U234" i="18"/>
  <c r="V234" i="18"/>
  <c r="W234" i="18"/>
  <c r="X234" i="18"/>
  <c r="Y234" i="18"/>
  <c r="Z234" i="18"/>
  <c r="AA234" i="18"/>
  <c r="AB234" i="18"/>
  <c r="AC234" i="18"/>
  <c r="H235" i="18"/>
  <c r="I235" i="18"/>
  <c r="J235" i="18"/>
  <c r="K235" i="18"/>
  <c r="L235" i="18"/>
  <c r="M235" i="18"/>
  <c r="N235" i="18"/>
  <c r="O235" i="18"/>
  <c r="P235" i="18"/>
  <c r="Q235" i="18"/>
  <c r="R235" i="18"/>
  <c r="S235" i="18"/>
  <c r="T235" i="18"/>
  <c r="U235" i="18"/>
  <c r="V235" i="18"/>
  <c r="W235" i="18"/>
  <c r="X235" i="18"/>
  <c r="Y235" i="18"/>
  <c r="Z235" i="18"/>
  <c r="AA235" i="18"/>
  <c r="AB235" i="18"/>
  <c r="AC235" i="18"/>
  <c r="H236" i="18"/>
  <c r="I236" i="18"/>
  <c r="J236" i="18"/>
  <c r="K236" i="18"/>
  <c r="L236" i="18"/>
  <c r="M236" i="18"/>
  <c r="N236" i="18"/>
  <c r="O236" i="18"/>
  <c r="P236" i="18"/>
  <c r="Q236" i="18"/>
  <c r="R236" i="18"/>
  <c r="S236" i="18"/>
  <c r="T236" i="18"/>
  <c r="U236" i="18"/>
  <c r="V236" i="18"/>
  <c r="W236" i="18"/>
  <c r="X236" i="18"/>
  <c r="Y236" i="18"/>
  <c r="Z236" i="18"/>
  <c r="AA236" i="18"/>
  <c r="AB236" i="18"/>
  <c r="AC236" i="18"/>
  <c r="H237" i="18"/>
  <c r="I237" i="18"/>
  <c r="J237" i="18"/>
  <c r="K237" i="18"/>
  <c r="L237" i="18"/>
  <c r="M237" i="18"/>
  <c r="N237" i="18"/>
  <c r="O237" i="18"/>
  <c r="P237" i="18"/>
  <c r="Q237" i="18"/>
  <c r="R237" i="18"/>
  <c r="S237" i="18"/>
  <c r="T237" i="18"/>
  <c r="U237" i="18"/>
  <c r="V237" i="18"/>
  <c r="W237" i="18"/>
  <c r="X237" i="18"/>
  <c r="Y237" i="18"/>
  <c r="Z237" i="18"/>
  <c r="AA237" i="18"/>
  <c r="AB237" i="18"/>
  <c r="AC237" i="18"/>
  <c r="H238" i="18"/>
  <c r="I238" i="18"/>
  <c r="J238" i="18"/>
  <c r="K238" i="18"/>
  <c r="L238" i="18"/>
  <c r="M238" i="18"/>
  <c r="N238" i="18"/>
  <c r="O238" i="18"/>
  <c r="P238" i="18"/>
  <c r="Q238" i="18"/>
  <c r="R238" i="18"/>
  <c r="S238" i="18"/>
  <c r="T238" i="18"/>
  <c r="U238" i="18"/>
  <c r="V238" i="18"/>
  <c r="W238" i="18"/>
  <c r="X238" i="18"/>
  <c r="Y238" i="18"/>
  <c r="Z238" i="18"/>
  <c r="AA238" i="18"/>
  <c r="AB238" i="18"/>
  <c r="AC238" i="18"/>
  <c r="H239" i="18"/>
  <c r="I239" i="18"/>
  <c r="J239" i="18"/>
  <c r="K239" i="18"/>
  <c r="L239" i="18"/>
  <c r="M239" i="18"/>
  <c r="N239" i="18"/>
  <c r="O239" i="18"/>
  <c r="P239" i="18"/>
  <c r="Q239" i="18"/>
  <c r="R239" i="18"/>
  <c r="S239" i="18"/>
  <c r="T239" i="18"/>
  <c r="U239" i="18"/>
  <c r="V239" i="18"/>
  <c r="W239" i="18"/>
  <c r="X239" i="18"/>
  <c r="Y239" i="18"/>
  <c r="Z239" i="18"/>
  <c r="AA239" i="18"/>
  <c r="AB239" i="18"/>
  <c r="AC239" i="18"/>
  <c r="H240" i="18"/>
  <c r="I240" i="18"/>
  <c r="J240" i="18"/>
  <c r="K240" i="18"/>
  <c r="L240" i="18"/>
  <c r="M240" i="18"/>
  <c r="N240" i="18"/>
  <c r="O240" i="18"/>
  <c r="P240" i="18"/>
  <c r="Q240" i="18"/>
  <c r="R240" i="18"/>
  <c r="S240" i="18"/>
  <c r="T240" i="18"/>
  <c r="U240" i="18"/>
  <c r="V240" i="18"/>
  <c r="W240" i="18"/>
  <c r="X240" i="18"/>
  <c r="Y240" i="18"/>
  <c r="Z240" i="18"/>
  <c r="AA240" i="18"/>
  <c r="AB240" i="18"/>
  <c r="AC240" i="18"/>
  <c r="H241" i="18"/>
  <c r="I241" i="18"/>
  <c r="J241" i="18"/>
  <c r="K241" i="18"/>
  <c r="L241" i="18"/>
  <c r="M241" i="18"/>
  <c r="N241" i="18"/>
  <c r="O241" i="18"/>
  <c r="P241" i="18"/>
  <c r="Q241" i="18"/>
  <c r="R241" i="18"/>
  <c r="S241" i="18"/>
  <c r="T241" i="18"/>
  <c r="U241" i="18"/>
  <c r="V241" i="18"/>
  <c r="W241" i="18"/>
  <c r="X241" i="18"/>
  <c r="Y241" i="18"/>
  <c r="Z241" i="18"/>
  <c r="AA241" i="18"/>
  <c r="AB241" i="18"/>
  <c r="AC241" i="18"/>
  <c r="H242" i="18"/>
  <c r="I242" i="18"/>
  <c r="J242" i="18"/>
  <c r="K242" i="18"/>
  <c r="L242" i="18"/>
  <c r="M242" i="18"/>
  <c r="N242" i="18"/>
  <c r="O242" i="18"/>
  <c r="P242" i="18"/>
  <c r="Q242" i="18"/>
  <c r="R242" i="18"/>
  <c r="S242" i="18"/>
  <c r="T242" i="18"/>
  <c r="U242" i="18"/>
  <c r="V242" i="18"/>
  <c r="W242" i="18"/>
  <c r="X242" i="18"/>
  <c r="Y242" i="18"/>
  <c r="Z242" i="18"/>
  <c r="AA242" i="18"/>
  <c r="AB242" i="18"/>
  <c r="AC242" i="18"/>
  <c r="H243" i="18"/>
  <c r="I243" i="18"/>
  <c r="J243" i="18"/>
  <c r="K243" i="18"/>
  <c r="L243" i="18"/>
  <c r="M243" i="18"/>
  <c r="N243" i="18"/>
  <c r="O243" i="18"/>
  <c r="P243" i="18"/>
  <c r="Q243" i="18"/>
  <c r="R243" i="18"/>
  <c r="S243" i="18"/>
  <c r="T243" i="18"/>
  <c r="U243" i="18"/>
  <c r="V243" i="18"/>
  <c r="W243" i="18"/>
  <c r="X243" i="18"/>
  <c r="Y243" i="18"/>
  <c r="Z243" i="18"/>
  <c r="AA243" i="18"/>
  <c r="AB243" i="18"/>
  <c r="AC243" i="18"/>
  <c r="H244" i="18"/>
  <c r="I244" i="18"/>
  <c r="J244" i="18"/>
  <c r="K244" i="18"/>
  <c r="L244" i="18"/>
  <c r="M244" i="18"/>
  <c r="N244" i="18"/>
  <c r="O244" i="18"/>
  <c r="P244" i="18"/>
  <c r="Q244" i="18"/>
  <c r="R244" i="18"/>
  <c r="S244" i="18"/>
  <c r="T244" i="18"/>
  <c r="U244" i="18"/>
  <c r="V244" i="18"/>
  <c r="W244" i="18"/>
  <c r="X244" i="18"/>
  <c r="Y244" i="18"/>
  <c r="Z244" i="18"/>
  <c r="AA244" i="18"/>
  <c r="AB244" i="18"/>
  <c r="AC244" i="18"/>
  <c r="H245" i="18"/>
  <c r="I245" i="18"/>
  <c r="J245" i="18"/>
  <c r="K245" i="18"/>
  <c r="L245" i="18"/>
  <c r="M245" i="18"/>
  <c r="N245" i="18"/>
  <c r="O245" i="18"/>
  <c r="P245" i="18"/>
  <c r="Q245" i="18"/>
  <c r="R245" i="18"/>
  <c r="S245" i="18"/>
  <c r="T245" i="18"/>
  <c r="U245" i="18"/>
  <c r="V245" i="18"/>
  <c r="W245" i="18"/>
  <c r="X245" i="18"/>
  <c r="Y245" i="18"/>
  <c r="Z245" i="18"/>
  <c r="AA245" i="18"/>
  <c r="AB245" i="18"/>
  <c r="AC245" i="18"/>
  <c r="H246" i="18"/>
  <c r="I246" i="18"/>
  <c r="J246" i="18"/>
  <c r="K246" i="18"/>
  <c r="L246" i="18"/>
  <c r="M246" i="18"/>
  <c r="N246" i="18"/>
  <c r="O246" i="18"/>
  <c r="P246" i="18"/>
  <c r="Q246" i="18"/>
  <c r="R246" i="18"/>
  <c r="S246" i="18"/>
  <c r="T246" i="18"/>
  <c r="U246" i="18"/>
  <c r="V246" i="18"/>
  <c r="W246" i="18"/>
  <c r="X246" i="18"/>
  <c r="Y246" i="18"/>
  <c r="Z246" i="18"/>
  <c r="AA246" i="18"/>
  <c r="AB246" i="18"/>
  <c r="AC246" i="18"/>
  <c r="J225" i="18"/>
  <c r="K225" i="18"/>
  <c r="L225" i="18"/>
  <c r="M225" i="18"/>
  <c r="N225" i="18"/>
  <c r="O225" i="18"/>
  <c r="P225" i="18"/>
  <c r="Q225" i="18"/>
  <c r="R225" i="18"/>
  <c r="S225" i="18"/>
  <c r="T225" i="18"/>
  <c r="U225" i="18"/>
  <c r="V225" i="18"/>
  <c r="W225" i="18"/>
  <c r="X225" i="18"/>
  <c r="Y225" i="18"/>
  <c r="Z225" i="18"/>
  <c r="AA225" i="18"/>
  <c r="AB225" i="18"/>
  <c r="AC225" i="18"/>
  <c r="I225" i="18"/>
  <c r="H225"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174" i="18"/>
  <c r="AR175" i="18"/>
  <c r="CB175" i="18" s="1"/>
  <c r="AS175" i="18"/>
  <c r="CC175" i="18" s="1"/>
  <c r="AT175" i="18"/>
  <c r="CD175" i="18" s="1"/>
  <c r="AU175" i="18"/>
  <c r="CE175" i="18" s="1"/>
  <c r="AV175" i="18"/>
  <c r="CF175" i="18" s="1"/>
  <c r="AW175" i="18"/>
  <c r="CG175" i="18" s="1"/>
  <c r="AX175" i="18"/>
  <c r="CH175" i="18" s="1"/>
  <c r="AY175" i="18"/>
  <c r="CI175" i="18" s="1"/>
  <c r="AZ175" i="18"/>
  <c r="CJ175" i="18" s="1"/>
  <c r="BA175" i="18"/>
  <c r="CK175" i="18" s="1"/>
  <c r="BB175" i="18"/>
  <c r="CL175" i="18" s="1"/>
  <c r="BC175" i="18"/>
  <c r="CM175" i="18" s="1"/>
  <c r="BD175" i="18"/>
  <c r="CN175" i="18" s="1"/>
  <c r="BE175" i="18"/>
  <c r="CO175" i="18" s="1"/>
  <c r="BF175" i="18"/>
  <c r="CP175" i="18" s="1"/>
  <c r="BG175" i="18"/>
  <c r="CQ175" i="18" s="1"/>
  <c r="BH175" i="18"/>
  <c r="CR175" i="18" s="1"/>
  <c r="BI175" i="18"/>
  <c r="CS175" i="18" s="1"/>
  <c r="BJ175" i="18"/>
  <c r="CT175" i="18" s="1"/>
  <c r="BK175" i="18"/>
  <c r="CU175" i="18" s="1"/>
  <c r="BL175" i="18"/>
  <c r="CV175" i="18" s="1"/>
  <c r="BM175" i="18"/>
  <c r="CW175" i="18" s="1"/>
  <c r="AR176" i="18"/>
  <c r="CB176" i="18" s="1"/>
  <c r="AS176" i="18"/>
  <c r="CC176" i="18" s="1"/>
  <c r="AT176" i="18"/>
  <c r="AU176" i="18"/>
  <c r="CE176" i="18" s="1"/>
  <c r="AV176" i="18"/>
  <c r="CF176" i="18" s="1"/>
  <c r="AW176" i="18"/>
  <c r="CG176" i="18" s="1"/>
  <c r="AX176" i="18"/>
  <c r="CH176" i="18" s="1"/>
  <c r="AY176" i="18"/>
  <c r="CI176" i="18" s="1"/>
  <c r="AZ176" i="18"/>
  <c r="CJ176" i="18" s="1"/>
  <c r="BA176" i="18"/>
  <c r="CK176" i="18" s="1"/>
  <c r="BB176" i="18"/>
  <c r="CL176" i="18" s="1"/>
  <c r="BC176" i="18"/>
  <c r="CM176" i="18" s="1"/>
  <c r="BD176" i="18"/>
  <c r="CN176" i="18" s="1"/>
  <c r="BE176" i="18"/>
  <c r="CO176" i="18" s="1"/>
  <c r="BF176" i="18"/>
  <c r="CP176" i="18" s="1"/>
  <c r="BG176" i="18"/>
  <c r="CQ176" i="18" s="1"/>
  <c r="BH176" i="18"/>
  <c r="CR176" i="18" s="1"/>
  <c r="BI176" i="18"/>
  <c r="CS176" i="18" s="1"/>
  <c r="BJ176" i="18"/>
  <c r="CT176" i="18" s="1"/>
  <c r="BK176" i="18"/>
  <c r="CU176" i="18" s="1"/>
  <c r="BL176" i="18"/>
  <c r="CV176" i="18" s="1"/>
  <c r="BM176" i="18"/>
  <c r="CW176" i="18" s="1"/>
  <c r="AR177" i="18"/>
  <c r="CB177" i="18" s="1"/>
  <c r="AS177" i="18"/>
  <c r="AT177" i="18"/>
  <c r="CD177" i="18" s="1"/>
  <c r="AU177" i="18"/>
  <c r="CE177" i="18" s="1"/>
  <c r="AV177" i="18"/>
  <c r="CF177" i="18" s="1"/>
  <c r="AW177" i="18"/>
  <c r="CG177" i="18" s="1"/>
  <c r="AX177" i="18"/>
  <c r="CH177" i="18" s="1"/>
  <c r="AY177" i="18"/>
  <c r="CI177" i="18" s="1"/>
  <c r="AZ177" i="18"/>
  <c r="CJ177" i="18" s="1"/>
  <c r="BA177" i="18"/>
  <c r="CK177" i="18" s="1"/>
  <c r="BB177" i="18"/>
  <c r="CL177" i="18" s="1"/>
  <c r="BC177" i="18"/>
  <c r="CM177" i="18" s="1"/>
  <c r="BD177" i="18"/>
  <c r="CN177" i="18" s="1"/>
  <c r="BE177" i="18"/>
  <c r="CO177" i="18" s="1"/>
  <c r="BF177" i="18"/>
  <c r="CP177" i="18" s="1"/>
  <c r="BG177" i="18"/>
  <c r="CQ177" i="18" s="1"/>
  <c r="BH177" i="18"/>
  <c r="CR177" i="18" s="1"/>
  <c r="BI177" i="18"/>
  <c r="CS177" i="18" s="1"/>
  <c r="BJ177" i="18"/>
  <c r="CT177" i="18" s="1"/>
  <c r="BK177" i="18"/>
  <c r="CU177" i="18" s="1"/>
  <c r="BL177" i="18"/>
  <c r="CV177" i="18" s="1"/>
  <c r="BM177" i="18"/>
  <c r="CW177" i="18" s="1"/>
  <c r="AR178" i="18"/>
  <c r="CB178" i="18" s="1"/>
  <c r="AS178" i="18"/>
  <c r="CC178" i="18" s="1"/>
  <c r="AT178" i="18"/>
  <c r="CD178" i="18" s="1"/>
  <c r="AU178" i="18"/>
  <c r="CE178" i="18" s="1"/>
  <c r="AV178" i="18"/>
  <c r="CF178" i="18" s="1"/>
  <c r="AW178" i="18"/>
  <c r="CG178" i="18" s="1"/>
  <c r="AX178" i="18"/>
  <c r="CH178" i="18" s="1"/>
  <c r="AY178" i="18"/>
  <c r="CI178" i="18" s="1"/>
  <c r="AZ178" i="18"/>
  <c r="CJ178" i="18" s="1"/>
  <c r="BA178" i="18"/>
  <c r="CK178" i="18" s="1"/>
  <c r="BB178" i="18"/>
  <c r="CL178" i="18" s="1"/>
  <c r="BC178" i="18"/>
  <c r="CM178" i="18" s="1"/>
  <c r="BD178" i="18"/>
  <c r="CN178" i="18" s="1"/>
  <c r="BE178" i="18"/>
  <c r="CO178" i="18" s="1"/>
  <c r="BF178" i="18"/>
  <c r="CP178" i="18" s="1"/>
  <c r="BG178" i="18"/>
  <c r="CQ178" i="18" s="1"/>
  <c r="BH178" i="18"/>
  <c r="CR178" i="18" s="1"/>
  <c r="BI178" i="18"/>
  <c r="BJ178" i="18"/>
  <c r="BK178" i="18"/>
  <c r="CU178" i="18" s="1"/>
  <c r="BL178" i="18"/>
  <c r="CV178" i="18" s="1"/>
  <c r="BM178" i="18"/>
  <c r="CW178" i="18" s="1"/>
  <c r="AR179" i="18"/>
  <c r="CB179" i="18" s="1"/>
  <c r="AS179" i="18"/>
  <c r="CC179" i="18" s="1"/>
  <c r="AT179" i="18"/>
  <c r="CD179" i="18" s="1"/>
  <c r="AU179" i="18"/>
  <c r="CE179" i="18" s="1"/>
  <c r="AV179" i="18"/>
  <c r="CF179" i="18" s="1"/>
  <c r="AW179" i="18"/>
  <c r="CG179" i="18" s="1"/>
  <c r="AX179" i="18"/>
  <c r="AY179" i="18"/>
  <c r="CI179" i="18" s="1"/>
  <c r="AZ179" i="18"/>
  <c r="CJ179" i="18" s="1"/>
  <c r="BA179" i="18"/>
  <c r="CK179" i="18" s="1"/>
  <c r="BB179" i="18"/>
  <c r="CL179" i="18" s="1"/>
  <c r="BC179" i="18"/>
  <c r="CM179" i="18" s="1"/>
  <c r="BD179" i="18"/>
  <c r="CN179" i="18" s="1"/>
  <c r="BE179" i="18"/>
  <c r="CO179" i="18" s="1"/>
  <c r="BF179" i="18"/>
  <c r="CP179" i="18" s="1"/>
  <c r="BG179" i="18"/>
  <c r="CQ179" i="18" s="1"/>
  <c r="BH179" i="18"/>
  <c r="CR179" i="18" s="1"/>
  <c r="BI179" i="18"/>
  <c r="CS179" i="18" s="1"/>
  <c r="BJ179" i="18"/>
  <c r="CT179" i="18" s="1"/>
  <c r="BK179" i="18"/>
  <c r="CU179" i="18" s="1"/>
  <c r="BL179" i="18"/>
  <c r="CV179" i="18" s="1"/>
  <c r="BM179" i="18"/>
  <c r="CW179" i="18" s="1"/>
  <c r="AR180" i="18"/>
  <c r="AS180" i="18"/>
  <c r="CC180" i="18" s="1"/>
  <c r="AT180" i="18"/>
  <c r="CD180" i="18" s="1"/>
  <c r="AU180" i="18"/>
  <c r="CE180" i="18" s="1"/>
  <c r="AV180" i="18"/>
  <c r="CF180" i="18" s="1"/>
  <c r="AW180" i="18"/>
  <c r="CG180" i="18" s="1"/>
  <c r="AX180" i="18"/>
  <c r="CH180" i="18" s="1"/>
  <c r="AY180" i="18"/>
  <c r="CI180" i="18" s="1"/>
  <c r="AZ180" i="18"/>
  <c r="CJ180" i="18" s="1"/>
  <c r="BA180" i="18"/>
  <c r="CK180" i="18" s="1"/>
  <c r="BB180" i="18"/>
  <c r="CL180" i="18" s="1"/>
  <c r="BC180" i="18"/>
  <c r="CM180" i="18" s="1"/>
  <c r="BD180" i="18"/>
  <c r="CN180" i="18" s="1"/>
  <c r="BE180" i="18"/>
  <c r="CO180" i="18" s="1"/>
  <c r="BF180" i="18"/>
  <c r="CP180" i="18" s="1"/>
  <c r="BG180" i="18"/>
  <c r="CQ180" i="18" s="1"/>
  <c r="BH180" i="18"/>
  <c r="CR180" i="18" s="1"/>
  <c r="BI180" i="18"/>
  <c r="CS180" i="18" s="1"/>
  <c r="BJ180" i="18"/>
  <c r="CT180" i="18" s="1"/>
  <c r="BK180" i="18"/>
  <c r="CU180" i="18" s="1"/>
  <c r="BL180" i="18"/>
  <c r="CV180" i="18" s="1"/>
  <c r="BM180" i="18"/>
  <c r="CW180" i="18" s="1"/>
  <c r="AR181" i="18"/>
  <c r="CB181" i="18" s="1"/>
  <c r="AS181" i="18"/>
  <c r="CC181" i="18" s="1"/>
  <c r="AT181" i="18"/>
  <c r="CD181" i="18" s="1"/>
  <c r="AU181" i="18"/>
  <c r="CE181" i="18" s="1"/>
  <c r="AV181" i="18"/>
  <c r="CF181" i="18" s="1"/>
  <c r="AW181" i="18"/>
  <c r="CG181" i="18" s="1"/>
  <c r="AX181" i="18"/>
  <c r="CH181" i="18" s="1"/>
  <c r="AY181" i="18"/>
  <c r="CI181" i="18" s="1"/>
  <c r="AZ181" i="18"/>
  <c r="CJ181" i="18" s="1"/>
  <c r="BA181" i="18"/>
  <c r="CK181" i="18" s="1"/>
  <c r="BB181" i="18"/>
  <c r="CL181" i="18" s="1"/>
  <c r="BC181" i="18"/>
  <c r="CM181" i="18" s="1"/>
  <c r="BD181" i="18"/>
  <c r="CN181" i="18" s="1"/>
  <c r="BE181" i="18"/>
  <c r="CO181" i="18" s="1"/>
  <c r="BF181" i="18"/>
  <c r="CP181" i="18" s="1"/>
  <c r="BG181" i="18"/>
  <c r="CQ181" i="18" s="1"/>
  <c r="BH181" i="18"/>
  <c r="CR181" i="18" s="1"/>
  <c r="BI181" i="18"/>
  <c r="CS181" i="18" s="1"/>
  <c r="BJ181" i="18"/>
  <c r="CT181" i="18" s="1"/>
  <c r="BK181" i="18"/>
  <c r="CU181" i="18" s="1"/>
  <c r="BL181" i="18"/>
  <c r="CV181" i="18" s="1"/>
  <c r="BM181" i="18"/>
  <c r="CW181" i="18" s="1"/>
  <c r="AR182" i="18"/>
  <c r="CB182" i="18" s="1"/>
  <c r="AS182" i="18"/>
  <c r="CC182" i="18" s="1"/>
  <c r="AT182" i="18"/>
  <c r="CD182" i="18" s="1"/>
  <c r="AU182" i="18"/>
  <c r="CE182" i="18" s="1"/>
  <c r="AV182" i="18"/>
  <c r="CF182" i="18" s="1"/>
  <c r="AW182" i="18"/>
  <c r="CG182" i="18" s="1"/>
  <c r="AX182" i="18"/>
  <c r="CH182" i="18" s="1"/>
  <c r="AY182" i="18"/>
  <c r="CI182" i="18" s="1"/>
  <c r="AZ182" i="18"/>
  <c r="CJ182" i="18" s="1"/>
  <c r="BA182" i="18"/>
  <c r="CK182" i="18" s="1"/>
  <c r="BB182" i="18"/>
  <c r="CL182" i="18" s="1"/>
  <c r="BC182" i="18"/>
  <c r="CM182" i="18" s="1"/>
  <c r="BD182" i="18"/>
  <c r="CN182" i="18" s="1"/>
  <c r="BE182" i="18"/>
  <c r="CO182" i="18" s="1"/>
  <c r="BF182" i="18"/>
  <c r="CP182" i="18" s="1"/>
  <c r="BG182" i="18"/>
  <c r="CQ182" i="18" s="1"/>
  <c r="BH182" i="18"/>
  <c r="CR182" i="18" s="1"/>
  <c r="BI182" i="18"/>
  <c r="CS182" i="18" s="1"/>
  <c r="BJ182" i="18"/>
  <c r="CT182" i="18" s="1"/>
  <c r="BK182" i="18"/>
  <c r="CU182" i="18" s="1"/>
  <c r="BL182" i="18"/>
  <c r="CV182" i="18" s="1"/>
  <c r="BM182" i="18"/>
  <c r="CW182" i="18" s="1"/>
  <c r="AR183" i="18"/>
  <c r="CB183" i="18" s="1"/>
  <c r="AS183" i="18"/>
  <c r="CC183" i="18" s="1"/>
  <c r="AT183" i="18"/>
  <c r="CD183" i="18" s="1"/>
  <c r="AU183" i="18"/>
  <c r="CE183" i="18" s="1"/>
  <c r="AV183" i="18"/>
  <c r="CF183" i="18" s="1"/>
  <c r="AW183" i="18"/>
  <c r="CG183" i="18" s="1"/>
  <c r="AX183" i="18"/>
  <c r="CH183" i="18" s="1"/>
  <c r="AY183" i="18"/>
  <c r="CI183" i="18" s="1"/>
  <c r="AZ183" i="18"/>
  <c r="CJ183" i="18" s="1"/>
  <c r="BA183" i="18"/>
  <c r="CK183" i="18" s="1"/>
  <c r="BB183" i="18"/>
  <c r="CL183" i="18" s="1"/>
  <c r="BC183" i="18"/>
  <c r="CM183" i="18" s="1"/>
  <c r="BD183" i="18"/>
  <c r="CN183" i="18" s="1"/>
  <c r="BE183" i="18"/>
  <c r="CO183" i="18" s="1"/>
  <c r="BF183" i="18"/>
  <c r="CP183" i="18" s="1"/>
  <c r="BG183" i="18"/>
  <c r="CQ183" i="18" s="1"/>
  <c r="BH183" i="18"/>
  <c r="CR183" i="18" s="1"/>
  <c r="BI183" i="18"/>
  <c r="CS183" i="18" s="1"/>
  <c r="BJ183" i="18"/>
  <c r="CT183" i="18" s="1"/>
  <c r="BK183" i="18"/>
  <c r="CU183" i="18" s="1"/>
  <c r="BL183" i="18"/>
  <c r="CV183" i="18" s="1"/>
  <c r="BM183" i="18"/>
  <c r="CW183" i="18" s="1"/>
  <c r="AR184" i="18"/>
  <c r="CB184" i="18" s="1"/>
  <c r="AS184" i="18"/>
  <c r="CC184" i="18" s="1"/>
  <c r="AT184" i="18"/>
  <c r="CD184" i="18" s="1"/>
  <c r="AU184" i="18"/>
  <c r="CE184" i="18" s="1"/>
  <c r="AV184" i="18"/>
  <c r="CF184" i="18" s="1"/>
  <c r="AW184" i="18"/>
  <c r="CG184" i="18" s="1"/>
  <c r="AX184" i="18"/>
  <c r="CH184" i="18" s="1"/>
  <c r="AY184" i="18"/>
  <c r="CI184" i="18" s="1"/>
  <c r="AZ184" i="18"/>
  <c r="CJ184" i="18" s="1"/>
  <c r="BA184" i="18"/>
  <c r="CK184" i="18" s="1"/>
  <c r="BB184" i="18"/>
  <c r="CL184" i="18" s="1"/>
  <c r="BC184" i="18"/>
  <c r="CM184" i="18" s="1"/>
  <c r="BD184" i="18"/>
  <c r="CN184" i="18" s="1"/>
  <c r="BE184" i="18"/>
  <c r="CO184" i="18" s="1"/>
  <c r="BF184" i="18"/>
  <c r="CP184" i="18" s="1"/>
  <c r="BG184" i="18"/>
  <c r="CQ184" i="18" s="1"/>
  <c r="BH184" i="18"/>
  <c r="CR184" i="18" s="1"/>
  <c r="BI184" i="18"/>
  <c r="CS184" i="18" s="1"/>
  <c r="BJ184" i="18"/>
  <c r="CT184" i="18" s="1"/>
  <c r="BK184" i="18"/>
  <c r="CU184" i="18" s="1"/>
  <c r="BL184" i="18"/>
  <c r="CV184" i="18" s="1"/>
  <c r="BM184" i="18"/>
  <c r="CW184" i="18" s="1"/>
  <c r="AR185" i="18"/>
  <c r="CB185" i="18" s="1"/>
  <c r="AS185" i="18"/>
  <c r="CC185" i="18" s="1"/>
  <c r="AT185" i="18"/>
  <c r="CD185" i="18" s="1"/>
  <c r="AU185" i="18"/>
  <c r="CE185" i="18" s="1"/>
  <c r="AV185" i="18"/>
  <c r="CF185" i="18" s="1"/>
  <c r="AW185" i="18"/>
  <c r="CG185" i="18" s="1"/>
  <c r="AX185" i="18"/>
  <c r="CH185" i="18" s="1"/>
  <c r="AY185" i="18"/>
  <c r="CI185" i="18" s="1"/>
  <c r="AZ185" i="18"/>
  <c r="CJ185" i="18" s="1"/>
  <c r="BA185" i="18"/>
  <c r="CK185" i="18" s="1"/>
  <c r="BB185" i="18"/>
  <c r="CL185" i="18" s="1"/>
  <c r="BC185" i="18"/>
  <c r="CM185" i="18" s="1"/>
  <c r="BD185" i="18"/>
  <c r="CN185" i="18" s="1"/>
  <c r="BE185" i="18"/>
  <c r="CO185" i="18" s="1"/>
  <c r="BF185" i="18"/>
  <c r="CP185" i="18" s="1"/>
  <c r="BG185" i="18"/>
  <c r="CQ185" i="18" s="1"/>
  <c r="BH185" i="18"/>
  <c r="CR185" i="18" s="1"/>
  <c r="BI185" i="18"/>
  <c r="CS185" i="18" s="1"/>
  <c r="BJ185" i="18"/>
  <c r="CT185" i="18" s="1"/>
  <c r="BK185" i="18"/>
  <c r="CU185" i="18" s="1"/>
  <c r="BL185" i="18"/>
  <c r="CV185" i="18" s="1"/>
  <c r="BM185" i="18"/>
  <c r="CW185" i="18" s="1"/>
  <c r="AR186" i="18"/>
  <c r="CB186" i="18" s="1"/>
  <c r="AS186" i="18"/>
  <c r="CC186" i="18" s="1"/>
  <c r="AT186" i="18"/>
  <c r="CD186" i="18" s="1"/>
  <c r="AU186" i="18"/>
  <c r="CE186" i="18" s="1"/>
  <c r="AV186" i="18"/>
  <c r="CF186" i="18" s="1"/>
  <c r="AW186" i="18"/>
  <c r="CG186" i="18" s="1"/>
  <c r="AX186" i="18"/>
  <c r="CH186" i="18" s="1"/>
  <c r="AY186" i="18"/>
  <c r="CI186" i="18" s="1"/>
  <c r="AZ186" i="18"/>
  <c r="CJ186" i="18" s="1"/>
  <c r="BA186" i="18"/>
  <c r="CK186" i="18" s="1"/>
  <c r="BB186" i="18"/>
  <c r="CL186" i="18" s="1"/>
  <c r="BC186" i="18"/>
  <c r="CM186" i="18" s="1"/>
  <c r="BD186" i="18"/>
  <c r="CN186" i="18" s="1"/>
  <c r="BE186" i="18"/>
  <c r="CO186" i="18" s="1"/>
  <c r="BF186" i="18"/>
  <c r="CP186" i="18" s="1"/>
  <c r="BG186" i="18"/>
  <c r="CQ186" i="18" s="1"/>
  <c r="BH186" i="18"/>
  <c r="CR186" i="18" s="1"/>
  <c r="BI186" i="18"/>
  <c r="CS186" i="18" s="1"/>
  <c r="BJ186" i="18"/>
  <c r="CT186" i="18" s="1"/>
  <c r="BK186" i="18"/>
  <c r="CU186" i="18" s="1"/>
  <c r="BL186" i="18"/>
  <c r="CV186" i="18" s="1"/>
  <c r="BM186" i="18"/>
  <c r="CW186" i="18" s="1"/>
  <c r="AR187" i="18"/>
  <c r="CB187" i="18" s="1"/>
  <c r="AS187" i="18"/>
  <c r="CC187" i="18" s="1"/>
  <c r="AT187" i="18"/>
  <c r="CD187" i="18" s="1"/>
  <c r="AU187" i="18"/>
  <c r="CE187" i="18" s="1"/>
  <c r="AV187" i="18"/>
  <c r="CF187" i="18" s="1"/>
  <c r="AW187" i="18"/>
  <c r="CG187" i="18" s="1"/>
  <c r="AX187" i="18"/>
  <c r="CH187" i="18" s="1"/>
  <c r="AY187" i="18"/>
  <c r="CI187" i="18" s="1"/>
  <c r="AZ187" i="18"/>
  <c r="CJ187" i="18" s="1"/>
  <c r="BA187" i="18"/>
  <c r="CK187" i="18" s="1"/>
  <c r="BB187" i="18"/>
  <c r="CL187" i="18" s="1"/>
  <c r="BC187" i="18"/>
  <c r="CM187" i="18" s="1"/>
  <c r="BD187" i="18"/>
  <c r="CN187" i="18" s="1"/>
  <c r="BE187" i="18"/>
  <c r="CO187" i="18" s="1"/>
  <c r="BF187" i="18"/>
  <c r="CP187" i="18" s="1"/>
  <c r="BG187" i="18"/>
  <c r="CQ187" i="18" s="1"/>
  <c r="BH187" i="18"/>
  <c r="CR187" i="18" s="1"/>
  <c r="BI187" i="18"/>
  <c r="CS187" i="18" s="1"/>
  <c r="BJ187" i="18"/>
  <c r="CT187" i="18" s="1"/>
  <c r="BK187" i="18"/>
  <c r="CU187" i="18" s="1"/>
  <c r="BL187" i="18"/>
  <c r="CV187" i="18" s="1"/>
  <c r="BM187" i="18"/>
  <c r="CW187" i="18" s="1"/>
  <c r="AR188" i="18"/>
  <c r="AS188" i="18"/>
  <c r="CC188" i="18" s="1"/>
  <c r="AT188" i="18"/>
  <c r="CD188" i="18" s="1"/>
  <c r="AU188" i="18"/>
  <c r="CE188" i="18" s="1"/>
  <c r="AV188" i="18"/>
  <c r="CF188" i="18" s="1"/>
  <c r="AW188" i="18"/>
  <c r="CG188" i="18" s="1"/>
  <c r="AX188" i="18"/>
  <c r="CH188" i="18" s="1"/>
  <c r="AY188" i="18"/>
  <c r="CI188" i="18" s="1"/>
  <c r="AZ188" i="18"/>
  <c r="CJ188" i="18" s="1"/>
  <c r="BA188" i="18"/>
  <c r="CK188" i="18" s="1"/>
  <c r="BB188" i="18"/>
  <c r="CL188" i="18" s="1"/>
  <c r="BC188" i="18"/>
  <c r="CM188" i="18" s="1"/>
  <c r="BD188" i="18"/>
  <c r="CN188" i="18" s="1"/>
  <c r="BE188" i="18"/>
  <c r="CO188" i="18" s="1"/>
  <c r="BF188" i="18"/>
  <c r="CP188" i="18" s="1"/>
  <c r="BG188" i="18"/>
  <c r="CQ188" i="18" s="1"/>
  <c r="BH188" i="18"/>
  <c r="CR188" i="18" s="1"/>
  <c r="BI188" i="18"/>
  <c r="CS188" i="18" s="1"/>
  <c r="BJ188" i="18"/>
  <c r="CT188" i="18" s="1"/>
  <c r="BK188" i="18"/>
  <c r="CU188" i="18" s="1"/>
  <c r="BL188" i="18"/>
  <c r="CV188" i="18" s="1"/>
  <c r="BM188" i="18"/>
  <c r="CW188" i="18" s="1"/>
  <c r="AR189" i="18"/>
  <c r="CB189" i="18" s="1"/>
  <c r="AS189" i="18"/>
  <c r="CC189" i="18" s="1"/>
  <c r="AT189" i="18"/>
  <c r="CD189" i="18" s="1"/>
  <c r="AU189" i="18"/>
  <c r="CE189" i="18" s="1"/>
  <c r="AV189" i="18"/>
  <c r="CF189" i="18" s="1"/>
  <c r="AW189" i="18"/>
  <c r="CG189" i="18" s="1"/>
  <c r="AX189" i="18"/>
  <c r="CH189" i="18" s="1"/>
  <c r="AY189" i="18"/>
  <c r="CI189" i="18" s="1"/>
  <c r="AZ189" i="18"/>
  <c r="CJ189" i="18" s="1"/>
  <c r="BA189" i="18"/>
  <c r="CK189" i="18" s="1"/>
  <c r="BB189" i="18"/>
  <c r="CL189" i="18" s="1"/>
  <c r="BC189" i="18"/>
  <c r="CM189" i="18" s="1"/>
  <c r="BD189" i="18"/>
  <c r="CN189" i="18" s="1"/>
  <c r="BE189" i="18"/>
  <c r="CO189" i="18" s="1"/>
  <c r="BF189" i="18"/>
  <c r="CP189" i="18" s="1"/>
  <c r="BG189" i="18"/>
  <c r="CQ189" i="18" s="1"/>
  <c r="BH189" i="18"/>
  <c r="CR189" i="18" s="1"/>
  <c r="BI189" i="18"/>
  <c r="CS189" i="18" s="1"/>
  <c r="BJ189" i="18"/>
  <c r="CT189" i="18" s="1"/>
  <c r="BK189" i="18"/>
  <c r="CU189" i="18" s="1"/>
  <c r="BL189" i="18"/>
  <c r="CV189" i="18" s="1"/>
  <c r="BM189" i="18"/>
  <c r="CW189" i="18" s="1"/>
  <c r="AR190" i="18"/>
  <c r="CB190" i="18" s="1"/>
  <c r="AS190" i="18"/>
  <c r="CC190" i="18" s="1"/>
  <c r="AT190" i="18"/>
  <c r="CD190" i="18" s="1"/>
  <c r="AU190" i="18"/>
  <c r="CE190" i="18" s="1"/>
  <c r="AV190" i="18"/>
  <c r="CF190" i="18" s="1"/>
  <c r="AW190" i="18"/>
  <c r="CG190" i="18" s="1"/>
  <c r="AX190" i="18"/>
  <c r="CH190" i="18" s="1"/>
  <c r="AY190" i="18"/>
  <c r="CI190" i="18" s="1"/>
  <c r="AZ190" i="18"/>
  <c r="CJ190" i="18" s="1"/>
  <c r="BA190" i="18"/>
  <c r="CK190" i="18" s="1"/>
  <c r="BB190" i="18"/>
  <c r="CL190" i="18" s="1"/>
  <c r="BC190" i="18"/>
  <c r="CM190" i="18" s="1"/>
  <c r="BD190" i="18"/>
  <c r="CN190" i="18" s="1"/>
  <c r="BE190" i="18"/>
  <c r="CO190" i="18" s="1"/>
  <c r="BF190" i="18"/>
  <c r="CP190" i="18" s="1"/>
  <c r="BG190" i="18"/>
  <c r="CQ190" i="18" s="1"/>
  <c r="BH190" i="18"/>
  <c r="CR190" i="18" s="1"/>
  <c r="BI190" i="18"/>
  <c r="CS190" i="18" s="1"/>
  <c r="BJ190" i="18"/>
  <c r="CT190" i="18" s="1"/>
  <c r="BK190" i="18"/>
  <c r="CU190" i="18" s="1"/>
  <c r="BL190" i="18"/>
  <c r="CV190" i="18" s="1"/>
  <c r="BM190" i="18"/>
  <c r="CW190" i="18" s="1"/>
  <c r="AR191" i="18"/>
  <c r="CB191" i="18" s="1"/>
  <c r="AS191" i="18"/>
  <c r="CC191" i="18" s="1"/>
  <c r="AT191" i="18"/>
  <c r="CD191" i="18" s="1"/>
  <c r="AU191" i="18"/>
  <c r="CE191" i="18" s="1"/>
  <c r="AV191" i="18"/>
  <c r="CF191" i="18" s="1"/>
  <c r="AW191" i="18"/>
  <c r="CG191" i="18" s="1"/>
  <c r="AX191" i="18"/>
  <c r="CH191" i="18" s="1"/>
  <c r="AY191" i="18"/>
  <c r="CI191" i="18" s="1"/>
  <c r="AZ191" i="18"/>
  <c r="CJ191" i="18" s="1"/>
  <c r="BA191" i="18"/>
  <c r="CK191" i="18" s="1"/>
  <c r="BB191" i="18"/>
  <c r="CL191" i="18" s="1"/>
  <c r="BC191" i="18"/>
  <c r="CM191" i="18" s="1"/>
  <c r="BD191" i="18"/>
  <c r="CN191" i="18" s="1"/>
  <c r="BE191" i="18"/>
  <c r="CO191" i="18" s="1"/>
  <c r="BF191" i="18"/>
  <c r="CP191" i="18" s="1"/>
  <c r="BG191" i="18"/>
  <c r="CQ191" i="18" s="1"/>
  <c r="BH191" i="18"/>
  <c r="CR191" i="18" s="1"/>
  <c r="BI191" i="18"/>
  <c r="CS191" i="18" s="1"/>
  <c r="BJ191" i="18"/>
  <c r="CT191" i="18" s="1"/>
  <c r="BK191" i="18"/>
  <c r="CU191" i="18" s="1"/>
  <c r="BL191" i="18"/>
  <c r="CV191" i="18" s="1"/>
  <c r="BM191" i="18"/>
  <c r="CW191" i="18" s="1"/>
  <c r="AR192" i="18"/>
  <c r="AS192" i="18"/>
  <c r="CC192" i="18" s="1"/>
  <c r="AT192" i="18"/>
  <c r="CD192" i="18" s="1"/>
  <c r="AU192" i="18"/>
  <c r="CE192" i="18" s="1"/>
  <c r="AV192" i="18"/>
  <c r="CF192" i="18" s="1"/>
  <c r="AW192" i="18"/>
  <c r="CG192" i="18" s="1"/>
  <c r="AX192" i="18"/>
  <c r="CH192" i="18" s="1"/>
  <c r="AY192" i="18"/>
  <c r="CI192" i="18" s="1"/>
  <c r="AZ192" i="18"/>
  <c r="CJ192" i="18" s="1"/>
  <c r="BA192" i="18"/>
  <c r="CK192" i="18" s="1"/>
  <c r="BB192" i="18"/>
  <c r="CL192" i="18" s="1"/>
  <c r="BC192" i="18"/>
  <c r="CM192" i="18" s="1"/>
  <c r="BD192" i="18"/>
  <c r="CN192" i="18" s="1"/>
  <c r="BE192" i="18"/>
  <c r="CO192" i="18" s="1"/>
  <c r="BF192" i="18"/>
  <c r="CP192" i="18" s="1"/>
  <c r="BG192" i="18"/>
  <c r="CQ192" i="18" s="1"/>
  <c r="BH192" i="18"/>
  <c r="CR192" i="18" s="1"/>
  <c r="BI192" i="18"/>
  <c r="CS192" i="18" s="1"/>
  <c r="BJ192" i="18"/>
  <c r="CT192" i="18" s="1"/>
  <c r="BK192" i="18"/>
  <c r="CU192" i="18" s="1"/>
  <c r="BL192" i="18"/>
  <c r="CV192" i="18" s="1"/>
  <c r="BM192" i="18"/>
  <c r="CW192" i="18" s="1"/>
  <c r="AR193" i="18"/>
  <c r="AS193" i="18"/>
  <c r="CC193" i="18" s="1"/>
  <c r="AT193" i="18"/>
  <c r="CD193" i="18" s="1"/>
  <c r="AU193" i="18"/>
  <c r="CE193" i="18" s="1"/>
  <c r="AV193" i="18"/>
  <c r="CF193" i="18" s="1"/>
  <c r="AW193" i="18"/>
  <c r="CG193" i="18" s="1"/>
  <c r="AX193" i="18"/>
  <c r="CH193" i="18" s="1"/>
  <c r="AY193" i="18"/>
  <c r="CI193" i="18" s="1"/>
  <c r="AZ193" i="18"/>
  <c r="CJ193" i="18" s="1"/>
  <c r="BA193" i="18"/>
  <c r="CK193" i="18" s="1"/>
  <c r="BB193" i="18"/>
  <c r="CL193" i="18" s="1"/>
  <c r="BC193" i="18"/>
  <c r="CM193" i="18" s="1"/>
  <c r="BD193" i="18"/>
  <c r="CN193" i="18" s="1"/>
  <c r="BE193" i="18"/>
  <c r="CO193" i="18" s="1"/>
  <c r="BF193" i="18"/>
  <c r="CP193" i="18" s="1"/>
  <c r="BG193" i="18"/>
  <c r="CQ193" i="18" s="1"/>
  <c r="BH193" i="18"/>
  <c r="CR193" i="18" s="1"/>
  <c r="BI193" i="18"/>
  <c r="CS193" i="18" s="1"/>
  <c r="BJ193" i="18"/>
  <c r="CT193" i="18" s="1"/>
  <c r="BK193" i="18"/>
  <c r="CU193" i="18" s="1"/>
  <c r="BL193" i="18"/>
  <c r="CV193" i="18" s="1"/>
  <c r="BM193" i="18"/>
  <c r="CW193" i="18" s="1"/>
  <c r="AR194" i="18"/>
  <c r="CB194" i="18" s="1"/>
  <c r="AS194" i="18"/>
  <c r="CC194" i="18" s="1"/>
  <c r="AT194" i="18"/>
  <c r="CD194" i="18" s="1"/>
  <c r="AU194" i="18"/>
  <c r="CE194" i="18" s="1"/>
  <c r="AV194" i="18"/>
  <c r="CF194" i="18" s="1"/>
  <c r="AW194" i="18"/>
  <c r="CG194" i="18" s="1"/>
  <c r="AX194" i="18"/>
  <c r="CH194" i="18" s="1"/>
  <c r="AY194" i="18"/>
  <c r="CI194" i="18" s="1"/>
  <c r="AZ194" i="18"/>
  <c r="CJ194" i="18" s="1"/>
  <c r="BA194" i="18"/>
  <c r="CK194" i="18" s="1"/>
  <c r="BB194" i="18"/>
  <c r="CL194" i="18" s="1"/>
  <c r="BC194" i="18"/>
  <c r="CM194" i="18" s="1"/>
  <c r="BD194" i="18"/>
  <c r="CN194" i="18" s="1"/>
  <c r="BE194" i="18"/>
  <c r="CO194" i="18" s="1"/>
  <c r="BF194" i="18"/>
  <c r="CP194" i="18" s="1"/>
  <c r="BG194" i="18"/>
  <c r="CQ194" i="18" s="1"/>
  <c r="BH194" i="18"/>
  <c r="CR194" i="18" s="1"/>
  <c r="BI194" i="18"/>
  <c r="CS194" i="18" s="1"/>
  <c r="BJ194" i="18"/>
  <c r="CT194" i="18" s="1"/>
  <c r="BK194" i="18"/>
  <c r="CU194" i="18" s="1"/>
  <c r="BL194" i="18"/>
  <c r="CV194" i="18" s="1"/>
  <c r="BM194" i="18"/>
  <c r="CW194" i="18" s="1"/>
  <c r="AR195" i="18"/>
  <c r="AS195" i="18"/>
  <c r="CC195" i="18" s="1"/>
  <c r="AT195" i="18"/>
  <c r="CD195" i="18" s="1"/>
  <c r="AU195" i="18"/>
  <c r="CE195" i="18" s="1"/>
  <c r="AV195" i="18"/>
  <c r="CF195" i="18" s="1"/>
  <c r="AW195" i="18"/>
  <c r="CG195" i="18" s="1"/>
  <c r="AX195" i="18"/>
  <c r="CH195" i="18" s="1"/>
  <c r="AY195" i="18"/>
  <c r="CI195" i="18" s="1"/>
  <c r="AZ195" i="18"/>
  <c r="CJ195" i="18" s="1"/>
  <c r="BA195" i="18"/>
  <c r="CK195" i="18" s="1"/>
  <c r="BB195" i="18"/>
  <c r="CL195" i="18" s="1"/>
  <c r="BC195" i="18"/>
  <c r="CM195" i="18" s="1"/>
  <c r="BD195" i="18"/>
  <c r="CN195" i="18" s="1"/>
  <c r="BE195" i="18"/>
  <c r="CO195" i="18" s="1"/>
  <c r="BF195" i="18"/>
  <c r="CP195" i="18" s="1"/>
  <c r="BG195" i="18"/>
  <c r="CQ195" i="18" s="1"/>
  <c r="BH195" i="18"/>
  <c r="CR195" i="18" s="1"/>
  <c r="BI195" i="18"/>
  <c r="CS195" i="18" s="1"/>
  <c r="BJ195" i="18"/>
  <c r="CT195" i="18" s="1"/>
  <c r="BK195" i="18"/>
  <c r="CU195" i="18" s="1"/>
  <c r="BL195" i="18"/>
  <c r="CV195" i="18" s="1"/>
  <c r="BM195" i="18"/>
  <c r="CW195" i="18" s="1"/>
  <c r="AR196" i="18"/>
  <c r="CB196" i="18" s="1"/>
  <c r="AS196" i="18"/>
  <c r="CC196" i="18" s="1"/>
  <c r="AT196" i="18"/>
  <c r="CD196" i="18" s="1"/>
  <c r="AU196" i="18"/>
  <c r="CE196" i="18" s="1"/>
  <c r="AV196" i="18"/>
  <c r="CF196" i="18" s="1"/>
  <c r="AW196" i="18"/>
  <c r="CG196" i="18" s="1"/>
  <c r="AX196" i="18"/>
  <c r="CH196" i="18" s="1"/>
  <c r="AY196" i="18"/>
  <c r="CI196" i="18" s="1"/>
  <c r="AZ196" i="18"/>
  <c r="CJ196" i="18" s="1"/>
  <c r="BA196" i="18"/>
  <c r="CK196" i="18" s="1"/>
  <c r="BB196" i="18"/>
  <c r="CL196" i="18" s="1"/>
  <c r="BC196" i="18"/>
  <c r="CM196" i="18" s="1"/>
  <c r="BD196" i="18"/>
  <c r="CN196" i="18" s="1"/>
  <c r="BE196" i="18"/>
  <c r="CO196" i="18" s="1"/>
  <c r="BF196" i="18"/>
  <c r="CP196" i="18" s="1"/>
  <c r="BG196" i="18"/>
  <c r="CQ196" i="18" s="1"/>
  <c r="BH196" i="18"/>
  <c r="CR196" i="18" s="1"/>
  <c r="BI196" i="18"/>
  <c r="CS196" i="18" s="1"/>
  <c r="BJ196" i="18"/>
  <c r="CT196" i="18" s="1"/>
  <c r="BK196" i="18"/>
  <c r="CU196" i="18" s="1"/>
  <c r="BL196" i="18"/>
  <c r="CV196" i="18" s="1"/>
  <c r="BM196" i="18"/>
  <c r="CW196" i="18" s="1"/>
  <c r="AR197" i="18"/>
  <c r="CB197" i="18" s="1"/>
  <c r="AS197" i="18"/>
  <c r="CC197" i="18" s="1"/>
  <c r="AT197" i="18"/>
  <c r="CD197" i="18" s="1"/>
  <c r="AU197" i="18"/>
  <c r="CE197" i="18" s="1"/>
  <c r="AV197" i="18"/>
  <c r="CF197" i="18" s="1"/>
  <c r="AW197" i="18"/>
  <c r="CG197" i="18" s="1"/>
  <c r="AX197" i="18"/>
  <c r="CH197" i="18" s="1"/>
  <c r="AY197" i="18"/>
  <c r="CI197" i="18" s="1"/>
  <c r="AZ197" i="18"/>
  <c r="CJ197" i="18" s="1"/>
  <c r="BA197" i="18"/>
  <c r="CK197" i="18" s="1"/>
  <c r="BB197" i="18"/>
  <c r="CL197" i="18" s="1"/>
  <c r="BC197" i="18"/>
  <c r="CM197" i="18" s="1"/>
  <c r="BD197" i="18"/>
  <c r="CN197" i="18" s="1"/>
  <c r="BE197" i="18"/>
  <c r="CO197" i="18" s="1"/>
  <c r="BF197" i="18"/>
  <c r="CP197" i="18" s="1"/>
  <c r="BG197" i="18"/>
  <c r="CQ197" i="18" s="1"/>
  <c r="BH197" i="18"/>
  <c r="CR197" i="18" s="1"/>
  <c r="BI197" i="18"/>
  <c r="CS197" i="18" s="1"/>
  <c r="BJ197" i="18"/>
  <c r="CT197" i="18" s="1"/>
  <c r="BK197" i="18"/>
  <c r="CU197" i="18" s="1"/>
  <c r="BL197" i="18"/>
  <c r="CV197" i="18" s="1"/>
  <c r="BM197" i="18"/>
  <c r="CW197" i="18" s="1"/>
  <c r="AR198" i="18"/>
  <c r="AS198" i="18"/>
  <c r="CC198" i="18" s="1"/>
  <c r="AT198" i="18"/>
  <c r="CD198" i="18" s="1"/>
  <c r="AU198" i="18"/>
  <c r="CE198" i="18" s="1"/>
  <c r="AV198" i="18"/>
  <c r="CF198" i="18" s="1"/>
  <c r="AW198" i="18"/>
  <c r="CG198" i="18" s="1"/>
  <c r="AX198" i="18"/>
  <c r="CH198" i="18" s="1"/>
  <c r="AY198" i="18"/>
  <c r="CI198" i="18" s="1"/>
  <c r="AZ198" i="18"/>
  <c r="CJ198" i="18" s="1"/>
  <c r="BA198" i="18"/>
  <c r="CK198" i="18" s="1"/>
  <c r="BB198" i="18"/>
  <c r="CL198" i="18" s="1"/>
  <c r="BC198" i="18"/>
  <c r="CM198" i="18" s="1"/>
  <c r="BD198" i="18"/>
  <c r="CN198" i="18" s="1"/>
  <c r="BE198" i="18"/>
  <c r="CO198" i="18" s="1"/>
  <c r="BF198" i="18"/>
  <c r="CP198" i="18" s="1"/>
  <c r="BG198" i="18"/>
  <c r="CQ198" i="18" s="1"/>
  <c r="BH198" i="18"/>
  <c r="CR198" i="18" s="1"/>
  <c r="BI198" i="18"/>
  <c r="CS198" i="18" s="1"/>
  <c r="BJ198" i="18"/>
  <c r="CT198" i="18" s="1"/>
  <c r="BK198" i="18"/>
  <c r="CU198" i="18" s="1"/>
  <c r="BL198" i="18"/>
  <c r="CV198" i="18" s="1"/>
  <c r="BM198" i="18"/>
  <c r="CW198" i="18" s="1"/>
  <c r="AR199" i="18"/>
  <c r="CB199" i="18" s="1"/>
  <c r="AS199" i="18"/>
  <c r="CC199" i="18" s="1"/>
  <c r="AT199" i="18"/>
  <c r="CD199" i="18" s="1"/>
  <c r="AU199" i="18"/>
  <c r="CE199" i="18" s="1"/>
  <c r="AV199" i="18"/>
  <c r="CF199" i="18" s="1"/>
  <c r="AW199" i="18"/>
  <c r="CG199" i="18" s="1"/>
  <c r="AX199" i="18"/>
  <c r="CH199" i="18" s="1"/>
  <c r="AY199" i="18"/>
  <c r="CI199" i="18" s="1"/>
  <c r="AZ199" i="18"/>
  <c r="CJ199" i="18" s="1"/>
  <c r="BA199" i="18"/>
  <c r="CK199" i="18" s="1"/>
  <c r="BB199" i="18"/>
  <c r="CL199" i="18" s="1"/>
  <c r="BC199" i="18"/>
  <c r="CM199" i="18" s="1"/>
  <c r="BD199" i="18"/>
  <c r="CN199" i="18" s="1"/>
  <c r="BE199" i="18"/>
  <c r="CO199" i="18" s="1"/>
  <c r="BF199" i="18"/>
  <c r="CP199" i="18" s="1"/>
  <c r="BG199" i="18"/>
  <c r="CQ199" i="18" s="1"/>
  <c r="BH199" i="18"/>
  <c r="CR199" i="18" s="1"/>
  <c r="BI199" i="18"/>
  <c r="CS199" i="18" s="1"/>
  <c r="BJ199" i="18"/>
  <c r="CT199" i="18" s="1"/>
  <c r="BK199" i="18"/>
  <c r="CU199" i="18" s="1"/>
  <c r="BL199" i="18"/>
  <c r="CV199" i="18" s="1"/>
  <c r="BM199" i="18"/>
  <c r="CW199" i="18" s="1"/>
  <c r="AR200" i="18"/>
  <c r="CB200" i="18" s="1"/>
  <c r="AS200" i="18"/>
  <c r="CC200" i="18" s="1"/>
  <c r="AT200" i="18"/>
  <c r="CD200" i="18" s="1"/>
  <c r="AU200" i="18"/>
  <c r="CE200" i="18" s="1"/>
  <c r="AV200" i="18"/>
  <c r="CF200" i="18" s="1"/>
  <c r="AW200" i="18"/>
  <c r="CG200" i="18" s="1"/>
  <c r="AX200" i="18"/>
  <c r="CH200" i="18" s="1"/>
  <c r="AY200" i="18"/>
  <c r="CI200" i="18" s="1"/>
  <c r="AZ200" i="18"/>
  <c r="CJ200" i="18" s="1"/>
  <c r="BA200" i="18"/>
  <c r="CK200" i="18" s="1"/>
  <c r="BB200" i="18"/>
  <c r="CL200" i="18" s="1"/>
  <c r="BC200" i="18"/>
  <c r="CM200" i="18" s="1"/>
  <c r="BD200" i="18"/>
  <c r="CN200" i="18" s="1"/>
  <c r="BE200" i="18"/>
  <c r="CO200" i="18" s="1"/>
  <c r="BF200" i="18"/>
  <c r="CP200" i="18" s="1"/>
  <c r="BG200" i="18"/>
  <c r="CQ200" i="18" s="1"/>
  <c r="BH200" i="18"/>
  <c r="CR200" i="18" s="1"/>
  <c r="BI200" i="18"/>
  <c r="CS200" i="18" s="1"/>
  <c r="BJ200" i="18"/>
  <c r="CT200" i="18" s="1"/>
  <c r="BK200" i="18"/>
  <c r="CU200" i="18" s="1"/>
  <c r="BL200" i="18"/>
  <c r="CV200" i="18" s="1"/>
  <c r="BM200" i="18"/>
  <c r="CW200" i="18" s="1"/>
  <c r="AR201" i="18"/>
  <c r="CB201" i="18" s="1"/>
  <c r="AS201" i="18"/>
  <c r="AT201" i="18"/>
  <c r="CD201" i="18" s="1"/>
  <c r="AU201" i="18"/>
  <c r="CE201" i="18" s="1"/>
  <c r="AV201" i="18"/>
  <c r="CF201" i="18" s="1"/>
  <c r="AW201" i="18"/>
  <c r="CG201" i="18" s="1"/>
  <c r="AX201" i="18"/>
  <c r="CH201" i="18" s="1"/>
  <c r="AY201" i="18"/>
  <c r="CI201" i="18" s="1"/>
  <c r="AZ201" i="18"/>
  <c r="CJ201" i="18" s="1"/>
  <c r="BA201" i="18"/>
  <c r="CK201" i="18" s="1"/>
  <c r="BB201" i="18"/>
  <c r="CL201" i="18" s="1"/>
  <c r="BC201" i="18"/>
  <c r="CM201" i="18" s="1"/>
  <c r="BD201" i="18"/>
  <c r="CN201" i="18" s="1"/>
  <c r="BE201" i="18"/>
  <c r="CO201" i="18" s="1"/>
  <c r="BF201" i="18"/>
  <c r="CP201" i="18" s="1"/>
  <c r="BG201" i="18"/>
  <c r="CQ201" i="18" s="1"/>
  <c r="BH201" i="18"/>
  <c r="CR201" i="18" s="1"/>
  <c r="BI201" i="18"/>
  <c r="CS201" i="18" s="1"/>
  <c r="BJ201" i="18"/>
  <c r="CT201" i="18" s="1"/>
  <c r="BK201" i="18"/>
  <c r="CU201" i="18" s="1"/>
  <c r="BL201" i="18"/>
  <c r="CV201" i="18" s="1"/>
  <c r="BM201" i="18"/>
  <c r="CW201" i="18" s="1"/>
  <c r="AR202" i="18"/>
  <c r="CB202" i="18" s="1"/>
  <c r="AS202" i="18"/>
  <c r="CC202" i="18" s="1"/>
  <c r="AT202" i="18"/>
  <c r="CD202" i="18" s="1"/>
  <c r="AU202" i="18"/>
  <c r="CE202" i="18" s="1"/>
  <c r="AV202" i="18"/>
  <c r="CF202" i="18" s="1"/>
  <c r="AW202" i="18"/>
  <c r="CG202" i="18" s="1"/>
  <c r="AX202" i="18"/>
  <c r="CH202" i="18" s="1"/>
  <c r="AY202" i="18"/>
  <c r="CI202" i="18" s="1"/>
  <c r="AZ202" i="18"/>
  <c r="CJ202" i="18" s="1"/>
  <c r="BA202" i="18"/>
  <c r="CK202" i="18" s="1"/>
  <c r="BB202" i="18"/>
  <c r="CL202" i="18" s="1"/>
  <c r="BC202" i="18"/>
  <c r="CM202" i="18" s="1"/>
  <c r="BD202" i="18"/>
  <c r="CN202" i="18" s="1"/>
  <c r="BE202" i="18"/>
  <c r="CO202" i="18" s="1"/>
  <c r="BF202" i="18"/>
  <c r="CP202" i="18" s="1"/>
  <c r="BG202" i="18"/>
  <c r="CQ202" i="18" s="1"/>
  <c r="BH202" i="18"/>
  <c r="CR202" i="18" s="1"/>
  <c r="BI202" i="18"/>
  <c r="CS202" i="18" s="1"/>
  <c r="BJ202" i="18"/>
  <c r="CT202" i="18" s="1"/>
  <c r="BK202" i="18"/>
  <c r="CU202" i="18" s="1"/>
  <c r="BL202" i="18"/>
  <c r="CV202" i="18" s="1"/>
  <c r="BM202" i="18"/>
  <c r="CW202" i="18" s="1"/>
  <c r="AR203" i="18"/>
  <c r="CB203" i="18" s="1"/>
  <c r="AS203" i="18"/>
  <c r="CC203" i="18" s="1"/>
  <c r="AT203" i="18"/>
  <c r="CD203" i="18" s="1"/>
  <c r="AU203" i="18"/>
  <c r="CE203" i="18" s="1"/>
  <c r="AV203" i="18"/>
  <c r="CF203" i="18" s="1"/>
  <c r="AW203" i="18"/>
  <c r="CG203" i="18" s="1"/>
  <c r="AX203" i="18"/>
  <c r="CH203" i="18" s="1"/>
  <c r="AY203" i="18"/>
  <c r="CI203" i="18" s="1"/>
  <c r="AZ203" i="18"/>
  <c r="CJ203" i="18" s="1"/>
  <c r="BA203" i="18"/>
  <c r="CK203" i="18" s="1"/>
  <c r="BB203" i="18"/>
  <c r="CL203" i="18" s="1"/>
  <c r="BC203" i="18"/>
  <c r="CM203" i="18" s="1"/>
  <c r="BD203" i="18"/>
  <c r="CN203" i="18" s="1"/>
  <c r="BE203" i="18"/>
  <c r="CO203" i="18" s="1"/>
  <c r="BF203" i="18"/>
  <c r="CP203" i="18" s="1"/>
  <c r="BG203" i="18"/>
  <c r="CQ203" i="18" s="1"/>
  <c r="BH203" i="18"/>
  <c r="CR203" i="18" s="1"/>
  <c r="BI203" i="18"/>
  <c r="CS203" i="18" s="1"/>
  <c r="BJ203" i="18"/>
  <c r="CT203" i="18" s="1"/>
  <c r="BK203" i="18"/>
  <c r="CU203" i="18" s="1"/>
  <c r="BL203" i="18"/>
  <c r="CV203" i="18" s="1"/>
  <c r="BM203" i="18"/>
  <c r="CW203" i="18" s="1"/>
  <c r="AR204" i="18"/>
  <c r="AS204" i="18"/>
  <c r="CC204" i="18" s="1"/>
  <c r="AT204" i="18"/>
  <c r="CD204" i="18" s="1"/>
  <c r="AU204" i="18"/>
  <c r="CE204" i="18" s="1"/>
  <c r="AV204" i="18"/>
  <c r="CF204" i="18" s="1"/>
  <c r="AW204" i="18"/>
  <c r="CG204" i="18" s="1"/>
  <c r="AX204" i="18"/>
  <c r="CH204" i="18" s="1"/>
  <c r="AY204" i="18"/>
  <c r="CI204" i="18" s="1"/>
  <c r="AZ204" i="18"/>
  <c r="CJ204" i="18" s="1"/>
  <c r="BA204" i="18"/>
  <c r="CK204" i="18" s="1"/>
  <c r="BB204" i="18"/>
  <c r="CL204" i="18" s="1"/>
  <c r="BC204" i="18"/>
  <c r="CM204" i="18" s="1"/>
  <c r="BD204" i="18"/>
  <c r="CN204" i="18" s="1"/>
  <c r="BE204" i="18"/>
  <c r="CO204" i="18" s="1"/>
  <c r="BF204" i="18"/>
  <c r="CP204" i="18" s="1"/>
  <c r="BG204" i="18"/>
  <c r="CQ204" i="18" s="1"/>
  <c r="BH204" i="18"/>
  <c r="CR204" i="18" s="1"/>
  <c r="BI204" i="18"/>
  <c r="CS204" i="18" s="1"/>
  <c r="BJ204" i="18"/>
  <c r="CT204" i="18" s="1"/>
  <c r="BK204" i="18"/>
  <c r="CU204" i="18" s="1"/>
  <c r="BL204" i="18"/>
  <c r="CV204" i="18" s="1"/>
  <c r="BM204" i="18"/>
  <c r="CW204" i="18" s="1"/>
  <c r="AR205" i="18"/>
  <c r="CB205" i="18" s="1"/>
  <c r="AS205" i="18"/>
  <c r="CC205" i="18" s="1"/>
  <c r="AT205" i="18"/>
  <c r="CD205" i="18" s="1"/>
  <c r="AU205" i="18"/>
  <c r="CE205" i="18" s="1"/>
  <c r="AV205" i="18"/>
  <c r="CF205" i="18" s="1"/>
  <c r="AW205" i="18"/>
  <c r="CG205" i="18" s="1"/>
  <c r="AX205" i="18"/>
  <c r="CH205" i="18" s="1"/>
  <c r="AY205" i="18"/>
  <c r="CI205" i="18" s="1"/>
  <c r="AZ205" i="18"/>
  <c r="CJ205" i="18" s="1"/>
  <c r="BA205" i="18"/>
  <c r="CK205" i="18" s="1"/>
  <c r="BB205" i="18"/>
  <c r="CL205" i="18" s="1"/>
  <c r="BC205" i="18"/>
  <c r="CM205" i="18" s="1"/>
  <c r="BD205" i="18"/>
  <c r="CN205" i="18" s="1"/>
  <c r="BE205" i="18"/>
  <c r="CO205" i="18" s="1"/>
  <c r="BF205" i="18"/>
  <c r="CP205" i="18" s="1"/>
  <c r="BG205" i="18"/>
  <c r="CQ205" i="18" s="1"/>
  <c r="BH205" i="18"/>
  <c r="CR205" i="18" s="1"/>
  <c r="BI205" i="18"/>
  <c r="CS205" i="18" s="1"/>
  <c r="BJ205" i="18"/>
  <c r="CT205" i="18" s="1"/>
  <c r="BK205" i="18"/>
  <c r="CU205" i="18" s="1"/>
  <c r="BL205" i="18"/>
  <c r="CV205" i="18" s="1"/>
  <c r="BM205" i="18"/>
  <c r="CW205" i="18" s="1"/>
  <c r="AR174" i="18"/>
  <c r="CB174" i="18" s="1"/>
  <c r="AT174" i="18"/>
  <c r="CD174" i="18" s="1"/>
  <c r="AU174" i="18"/>
  <c r="CE174" i="18" s="1"/>
  <c r="AV174" i="18"/>
  <c r="CF174" i="18" s="1"/>
  <c r="AW174" i="18"/>
  <c r="CG174" i="18" s="1"/>
  <c r="AX174" i="18"/>
  <c r="CH174" i="18" s="1"/>
  <c r="AY174" i="18"/>
  <c r="CI174" i="18" s="1"/>
  <c r="AZ174" i="18"/>
  <c r="CJ174" i="18" s="1"/>
  <c r="BA174" i="18"/>
  <c r="CK174" i="18" s="1"/>
  <c r="BB174" i="18"/>
  <c r="CL174" i="18" s="1"/>
  <c r="BC174" i="18"/>
  <c r="CM174" i="18" s="1"/>
  <c r="BD174" i="18"/>
  <c r="CN174" i="18" s="1"/>
  <c r="BE174" i="18"/>
  <c r="CO174" i="18" s="1"/>
  <c r="BF174" i="18"/>
  <c r="CP174" i="18" s="1"/>
  <c r="BG174" i="18"/>
  <c r="CQ174" i="18" s="1"/>
  <c r="BH174" i="18"/>
  <c r="CR174" i="18" s="1"/>
  <c r="BI174" i="18"/>
  <c r="CS174" i="18" s="1"/>
  <c r="BJ174" i="18"/>
  <c r="CT174" i="18" s="1"/>
  <c r="BK174" i="18"/>
  <c r="CU174" i="18" s="1"/>
  <c r="BL174" i="18"/>
  <c r="CV174" i="18" s="1"/>
  <c r="BM174" i="18"/>
  <c r="CW174" i="18" s="1"/>
  <c r="AS174" i="18"/>
  <c r="CC174" i="18" s="1"/>
  <c r="I175" i="18"/>
  <c r="J175" i="18"/>
  <c r="K175" i="18"/>
  <c r="L175" i="18"/>
  <c r="M175" i="18"/>
  <c r="N175" i="18"/>
  <c r="O175" i="18"/>
  <c r="P175" i="18"/>
  <c r="Q175" i="18"/>
  <c r="R175" i="18"/>
  <c r="S175" i="18"/>
  <c r="T175" i="18"/>
  <c r="U175" i="18"/>
  <c r="V175" i="18"/>
  <c r="W175" i="18"/>
  <c r="X175" i="18"/>
  <c r="Y175" i="18"/>
  <c r="Z175" i="18"/>
  <c r="AA175" i="18"/>
  <c r="AB175" i="18"/>
  <c r="AC175" i="18"/>
  <c r="I176" i="18"/>
  <c r="J176" i="18"/>
  <c r="K176" i="18"/>
  <c r="L176" i="18"/>
  <c r="M176" i="18"/>
  <c r="N176" i="18"/>
  <c r="O176" i="18"/>
  <c r="P176" i="18"/>
  <c r="Q176" i="18"/>
  <c r="R176" i="18"/>
  <c r="S176" i="18"/>
  <c r="T176" i="18"/>
  <c r="U176" i="18"/>
  <c r="V176" i="18"/>
  <c r="W176" i="18"/>
  <c r="X176" i="18"/>
  <c r="Y176" i="18"/>
  <c r="Z176" i="18"/>
  <c r="AA176" i="18"/>
  <c r="AB176" i="18"/>
  <c r="AC176" i="18"/>
  <c r="I177" i="18"/>
  <c r="J177" i="18"/>
  <c r="K177" i="18"/>
  <c r="L177" i="18"/>
  <c r="M177" i="18"/>
  <c r="N177" i="18"/>
  <c r="O177" i="18"/>
  <c r="P177" i="18"/>
  <c r="Q177" i="18"/>
  <c r="R177" i="18"/>
  <c r="S177" i="18"/>
  <c r="T177" i="18"/>
  <c r="U177" i="18"/>
  <c r="V177" i="18"/>
  <c r="W177" i="18"/>
  <c r="X177" i="18"/>
  <c r="Y177" i="18"/>
  <c r="Z177" i="18"/>
  <c r="AA177" i="18"/>
  <c r="AB177" i="18"/>
  <c r="AC177" i="18"/>
  <c r="I178" i="18"/>
  <c r="J178" i="18"/>
  <c r="K178" i="18"/>
  <c r="L178" i="18"/>
  <c r="M178" i="18"/>
  <c r="N178" i="18"/>
  <c r="O178" i="18"/>
  <c r="P178" i="18"/>
  <c r="Q178" i="18"/>
  <c r="R178" i="18"/>
  <c r="S178" i="18"/>
  <c r="T178" i="18"/>
  <c r="U178" i="18"/>
  <c r="V178" i="18"/>
  <c r="W178" i="18"/>
  <c r="X178" i="18"/>
  <c r="Y178" i="18"/>
  <c r="Z178" i="18"/>
  <c r="AA178" i="18"/>
  <c r="AB178" i="18"/>
  <c r="AC178" i="18"/>
  <c r="I179" i="18"/>
  <c r="J179" i="18"/>
  <c r="K179" i="18"/>
  <c r="L179" i="18"/>
  <c r="M179" i="18"/>
  <c r="N179" i="18"/>
  <c r="O179" i="18"/>
  <c r="P179" i="18"/>
  <c r="Q179" i="18"/>
  <c r="R179" i="18"/>
  <c r="S179" i="18"/>
  <c r="T179" i="18"/>
  <c r="U179" i="18"/>
  <c r="V179" i="18"/>
  <c r="W179" i="18"/>
  <c r="X179" i="18"/>
  <c r="Y179" i="18"/>
  <c r="Z179" i="18"/>
  <c r="AA179" i="18"/>
  <c r="AB179" i="18"/>
  <c r="AC179" i="18"/>
  <c r="I180" i="18"/>
  <c r="J180" i="18"/>
  <c r="K180" i="18"/>
  <c r="L180" i="18"/>
  <c r="M180" i="18"/>
  <c r="N180" i="18"/>
  <c r="O180" i="18"/>
  <c r="P180" i="18"/>
  <c r="Q180" i="18"/>
  <c r="R180" i="18"/>
  <c r="S180" i="18"/>
  <c r="T180" i="18"/>
  <c r="U180" i="18"/>
  <c r="V180" i="18"/>
  <c r="W180" i="18"/>
  <c r="X180" i="18"/>
  <c r="Y180" i="18"/>
  <c r="Z180" i="18"/>
  <c r="AA180" i="18"/>
  <c r="AB180" i="18"/>
  <c r="AC180" i="18"/>
  <c r="I181" i="18"/>
  <c r="J181" i="18"/>
  <c r="K181" i="18"/>
  <c r="L181" i="18"/>
  <c r="M181" i="18"/>
  <c r="N181" i="18"/>
  <c r="O181" i="18"/>
  <c r="P181" i="18"/>
  <c r="Q181" i="18"/>
  <c r="R181" i="18"/>
  <c r="S181" i="18"/>
  <c r="T181" i="18"/>
  <c r="U181" i="18"/>
  <c r="V181" i="18"/>
  <c r="W181" i="18"/>
  <c r="X181" i="18"/>
  <c r="Y181" i="18"/>
  <c r="Z181" i="18"/>
  <c r="AA181" i="18"/>
  <c r="AB181" i="18"/>
  <c r="AC181" i="18"/>
  <c r="I182" i="18"/>
  <c r="J182" i="18"/>
  <c r="K182" i="18"/>
  <c r="L182" i="18"/>
  <c r="M182" i="18"/>
  <c r="N182" i="18"/>
  <c r="O182" i="18"/>
  <c r="P182" i="18"/>
  <c r="Q182" i="18"/>
  <c r="R182" i="18"/>
  <c r="S182" i="18"/>
  <c r="T182" i="18"/>
  <c r="U182" i="18"/>
  <c r="V182" i="18"/>
  <c r="W182" i="18"/>
  <c r="X182" i="18"/>
  <c r="Y182" i="18"/>
  <c r="Z182" i="18"/>
  <c r="AA182" i="18"/>
  <c r="AB182" i="18"/>
  <c r="AC182" i="18"/>
  <c r="I183" i="18"/>
  <c r="J183" i="18"/>
  <c r="K183" i="18"/>
  <c r="L183" i="18"/>
  <c r="M183" i="18"/>
  <c r="N183" i="18"/>
  <c r="O183" i="18"/>
  <c r="P183" i="18"/>
  <c r="Q183" i="18"/>
  <c r="R183" i="18"/>
  <c r="S183" i="18"/>
  <c r="T183" i="18"/>
  <c r="U183" i="18"/>
  <c r="V183" i="18"/>
  <c r="W183" i="18"/>
  <c r="X183" i="18"/>
  <c r="Y183" i="18"/>
  <c r="Z183" i="18"/>
  <c r="AA183" i="18"/>
  <c r="AB183" i="18"/>
  <c r="AC183" i="18"/>
  <c r="I184" i="18"/>
  <c r="J184" i="18"/>
  <c r="K184" i="18"/>
  <c r="L184" i="18"/>
  <c r="M184" i="18"/>
  <c r="N184" i="18"/>
  <c r="O184" i="18"/>
  <c r="P184" i="18"/>
  <c r="Q184" i="18"/>
  <c r="R184" i="18"/>
  <c r="S184" i="18"/>
  <c r="T184" i="18"/>
  <c r="U184" i="18"/>
  <c r="V184" i="18"/>
  <c r="W184" i="18"/>
  <c r="X184" i="18"/>
  <c r="Y184" i="18"/>
  <c r="Z184" i="18"/>
  <c r="AA184" i="18"/>
  <c r="AB184" i="18"/>
  <c r="AC184" i="18"/>
  <c r="I185" i="18"/>
  <c r="J185" i="18"/>
  <c r="K185" i="18"/>
  <c r="L185" i="18"/>
  <c r="M185" i="18"/>
  <c r="N185" i="18"/>
  <c r="O185" i="18"/>
  <c r="P185" i="18"/>
  <c r="Q185" i="18"/>
  <c r="R185" i="18"/>
  <c r="S185" i="18"/>
  <c r="T185" i="18"/>
  <c r="U185" i="18"/>
  <c r="V185" i="18"/>
  <c r="W185" i="18"/>
  <c r="X185" i="18"/>
  <c r="Y185" i="18"/>
  <c r="Z185" i="18"/>
  <c r="AA185" i="18"/>
  <c r="AB185" i="18"/>
  <c r="AC185" i="18"/>
  <c r="I186" i="18"/>
  <c r="J186" i="18"/>
  <c r="K186" i="18"/>
  <c r="L186" i="18"/>
  <c r="M186" i="18"/>
  <c r="N186" i="18"/>
  <c r="O186" i="18"/>
  <c r="P186" i="18"/>
  <c r="Q186" i="18"/>
  <c r="R186" i="18"/>
  <c r="S186" i="18"/>
  <c r="T186" i="18"/>
  <c r="U186" i="18"/>
  <c r="V186" i="18"/>
  <c r="W186" i="18"/>
  <c r="X186" i="18"/>
  <c r="Y186" i="18"/>
  <c r="Z186" i="18"/>
  <c r="AA186" i="18"/>
  <c r="AB186" i="18"/>
  <c r="AC186" i="18"/>
  <c r="I187" i="18"/>
  <c r="J187" i="18"/>
  <c r="K187" i="18"/>
  <c r="L187" i="18"/>
  <c r="M187" i="18"/>
  <c r="N187" i="18"/>
  <c r="O187" i="18"/>
  <c r="P187" i="18"/>
  <c r="Q187" i="18"/>
  <c r="R187" i="18"/>
  <c r="S187" i="18"/>
  <c r="T187" i="18"/>
  <c r="U187" i="18"/>
  <c r="V187" i="18"/>
  <c r="W187" i="18"/>
  <c r="X187" i="18"/>
  <c r="Y187" i="18"/>
  <c r="Z187" i="18"/>
  <c r="AA187" i="18"/>
  <c r="AB187" i="18"/>
  <c r="AC187" i="18"/>
  <c r="I188" i="18"/>
  <c r="J188" i="18"/>
  <c r="K188" i="18"/>
  <c r="L188" i="18"/>
  <c r="M188" i="18"/>
  <c r="N188" i="18"/>
  <c r="O188" i="18"/>
  <c r="P188" i="18"/>
  <c r="Q188" i="18"/>
  <c r="R188" i="18"/>
  <c r="S188" i="18"/>
  <c r="T188" i="18"/>
  <c r="U188" i="18"/>
  <c r="V188" i="18"/>
  <c r="W188" i="18"/>
  <c r="X188" i="18"/>
  <c r="Y188" i="18"/>
  <c r="Z188" i="18"/>
  <c r="AA188" i="18"/>
  <c r="AB188" i="18"/>
  <c r="AC188" i="18"/>
  <c r="I189" i="18"/>
  <c r="J189" i="18"/>
  <c r="K189" i="18"/>
  <c r="L189" i="18"/>
  <c r="M189" i="18"/>
  <c r="N189" i="18"/>
  <c r="O189" i="18"/>
  <c r="P189" i="18"/>
  <c r="Q189" i="18"/>
  <c r="R189" i="18"/>
  <c r="S189" i="18"/>
  <c r="T189" i="18"/>
  <c r="U189" i="18"/>
  <c r="V189" i="18"/>
  <c r="W189" i="18"/>
  <c r="X189" i="18"/>
  <c r="Y189" i="18"/>
  <c r="Z189" i="18"/>
  <c r="AA189" i="18"/>
  <c r="AB189" i="18"/>
  <c r="AC189" i="18"/>
  <c r="I190" i="18"/>
  <c r="J190" i="18"/>
  <c r="K190" i="18"/>
  <c r="L190" i="18"/>
  <c r="M190" i="18"/>
  <c r="N190" i="18"/>
  <c r="O190" i="18"/>
  <c r="P190" i="18"/>
  <c r="Q190" i="18"/>
  <c r="R190" i="18"/>
  <c r="S190" i="18"/>
  <c r="T190" i="18"/>
  <c r="U190" i="18"/>
  <c r="V190" i="18"/>
  <c r="W190" i="18"/>
  <c r="X190" i="18"/>
  <c r="Y190" i="18"/>
  <c r="Z190" i="18"/>
  <c r="AA190" i="18"/>
  <c r="AB190" i="18"/>
  <c r="AC190" i="18"/>
  <c r="I191" i="18"/>
  <c r="J191" i="18"/>
  <c r="K191" i="18"/>
  <c r="L191" i="18"/>
  <c r="M191" i="18"/>
  <c r="N191" i="18"/>
  <c r="O191" i="18"/>
  <c r="P191" i="18"/>
  <c r="Q191" i="18"/>
  <c r="R191" i="18"/>
  <c r="S191" i="18"/>
  <c r="T191" i="18"/>
  <c r="U191" i="18"/>
  <c r="V191" i="18"/>
  <c r="W191" i="18"/>
  <c r="X191" i="18"/>
  <c r="Y191" i="18"/>
  <c r="Z191" i="18"/>
  <c r="AA191" i="18"/>
  <c r="AB191" i="18"/>
  <c r="AC191" i="18"/>
  <c r="I192" i="18"/>
  <c r="J192" i="18"/>
  <c r="K192" i="18"/>
  <c r="L192" i="18"/>
  <c r="M192" i="18"/>
  <c r="N192" i="18"/>
  <c r="O192" i="18"/>
  <c r="P192" i="18"/>
  <c r="Q192" i="18"/>
  <c r="R192" i="18"/>
  <c r="S192" i="18"/>
  <c r="T192" i="18"/>
  <c r="U192" i="18"/>
  <c r="V192" i="18"/>
  <c r="W192" i="18"/>
  <c r="X192" i="18"/>
  <c r="Y192" i="18"/>
  <c r="Z192" i="18"/>
  <c r="AA192" i="18"/>
  <c r="AB192" i="18"/>
  <c r="AC192" i="18"/>
  <c r="I193" i="18"/>
  <c r="J193" i="18"/>
  <c r="K193" i="18"/>
  <c r="L193" i="18"/>
  <c r="M193" i="18"/>
  <c r="N193" i="18"/>
  <c r="O193" i="18"/>
  <c r="P193" i="18"/>
  <c r="Q193" i="18"/>
  <c r="R193" i="18"/>
  <c r="S193" i="18"/>
  <c r="T193" i="18"/>
  <c r="U193" i="18"/>
  <c r="V193" i="18"/>
  <c r="W193" i="18"/>
  <c r="X193" i="18"/>
  <c r="Y193" i="18"/>
  <c r="Z193" i="18"/>
  <c r="AA193" i="18"/>
  <c r="AB193" i="18"/>
  <c r="AC193" i="18"/>
  <c r="I194" i="18"/>
  <c r="J194" i="18"/>
  <c r="K194" i="18"/>
  <c r="L194" i="18"/>
  <c r="M194" i="18"/>
  <c r="N194" i="18"/>
  <c r="O194" i="18"/>
  <c r="P194" i="18"/>
  <c r="Q194" i="18"/>
  <c r="R194" i="18"/>
  <c r="S194" i="18"/>
  <c r="T194" i="18"/>
  <c r="U194" i="18"/>
  <c r="V194" i="18"/>
  <c r="W194" i="18"/>
  <c r="X194" i="18"/>
  <c r="Y194" i="18"/>
  <c r="Z194" i="18"/>
  <c r="AA194" i="18"/>
  <c r="AB194" i="18"/>
  <c r="AC194" i="18"/>
  <c r="I195" i="18"/>
  <c r="J195" i="18"/>
  <c r="K195" i="18"/>
  <c r="L195" i="18"/>
  <c r="M195" i="18"/>
  <c r="N195" i="18"/>
  <c r="O195" i="18"/>
  <c r="P195" i="18"/>
  <c r="Q195" i="18"/>
  <c r="R195" i="18"/>
  <c r="S195" i="18"/>
  <c r="T195" i="18"/>
  <c r="U195" i="18"/>
  <c r="V195" i="18"/>
  <c r="W195" i="18"/>
  <c r="X195" i="18"/>
  <c r="Y195" i="18"/>
  <c r="Z195" i="18"/>
  <c r="AA195" i="18"/>
  <c r="AB195" i="18"/>
  <c r="AC195" i="18"/>
  <c r="I196" i="18"/>
  <c r="J196" i="18"/>
  <c r="K196" i="18"/>
  <c r="L196" i="18"/>
  <c r="M196" i="18"/>
  <c r="N196" i="18"/>
  <c r="O196" i="18"/>
  <c r="P196" i="18"/>
  <c r="Q196" i="18"/>
  <c r="R196" i="18"/>
  <c r="S196" i="18"/>
  <c r="T196" i="18"/>
  <c r="U196" i="18"/>
  <c r="V196" i="18"/>
  <c r="W196" i="18"/>
  <c r="X196" i="18"/>
  <c r="Y196" i="18"/>
  <c r="Z196" i="18"/>
  <c r="AA196" i="18"/>
  <c r="AB196" i="18"/>
  <c r="AC196" i="18"/>
  <c r="I197" i="18"/>
  <c r="J197" i="18"/>
  <c r="K197" i="18"/>
  <c r="L197" i="18"/>
  <c r="M197" i="18"/>
  <c r="N197" i="18"/>
  <c r="O197" i="18"/>
  <c r="P197" i="18"/>
  <c r="Q197" i="18"/>
  <c r="R197" i="18"/>
  <c r="S197" i="18"/>
  <c r="T197" i="18"/>
  <c r="U197" i="18"/>
  <c r="V197" i="18"/>
  <c r="W197" i="18"/>
  <c r="X197" i="18"/>
  <c r="Y197" i="18"/>
  <c r="Z197" i="18"/>
  <c r="AA197" i="18"/>
  <c r="AB197" i="18"/>
  <c r="AC197" i="18"/>
  <c r="I198" i="18"/>
  <c r="J198" i="18"/>
  <c r="K198" i="18"/>
  <c r="L198" i="18"/>
  <c r="M198" i="18"/>
  <c r="N198" i="18"/>
  <c r="O198" i="18"/>
  <c r="P198" i="18"/>
  <c r="Q198" i="18"/>
  <c r="R198" i="18"/>
  <c r="S198" i="18"/>
  <c r="T198" i="18"/>
  <c r="U198" i="18"/>
  <c r="V198" i="18"/>
  <c r="W198" i="18"/>
  <c r="X198" i="18"/>
  <c r="Y198" i="18"/>
  <c r="Z198" i="18"/>
  <c r="AA198" i="18"/>
  <c r="AB198" i="18"/>
  <c r="AC198" i="18"/>
  <c r="I199" i="18"/>
  <c r="J199" i="18"/>
  <c r="K199" i="18"/>
  <c r="L199" i="18"/>
  <c r="M199" i="18"/>
  <c r="N199" i="18"/>
  <c r="O199" i="18"/>
  <c r="P199" i="18"/>
  <c r="Q199" i="18"/>
  <c r="R199" i="18"/>
  <c r="S199" i="18"/>
  <c r="T199" i="18"/>
  <c r="U199" i="18"/>
  <c r="V199" i="18"/>
  <c r="W199" i="18"/>
  <c r="X199" i="18"/>
  <c r="Y199" i="18"/>
  <c r="Z199" i="18"/>
  <c r="AA199" i="18"/>
  <c r="AB199" i="18"/>
  <c r="AC199" i="18"/>
  <c r="I200" i="18"/>
  <c r="J200" i="18"/>
  <c r="K200" i="18"/>
  <c r="L200" i="18"/>
  <c r="M200" i="18"/>
  <c r="N200" i="18"/>
  <c r="O200" i="18"/>
  <c r="P200" i="18"/>
  <c r="Q200" i="18"/>
  <c r="R200" i="18"/>
  <c r="S200" i="18"/>
  <c r="T200" i="18"/>
  <c r="U200" i="18"/>
  <c r="V200" i="18"/>
  <c r="W200" i="18"/>
  <c r="X200" i="18"/>
  <c r="Y200" i="18"/>
  <c r="Z200" i="18"/>
  <c r="AA200" i="18"/>
  <c r="AB200" i="18"/>
  <c r="AC200" i="18"/>
  <c r="I201" i="18"/>
  <c r="J201" i="18"/>
  <c r="K201" i="18"/>
  <c r="L201" i="18"/>
  <c r="M201" i="18"/>
  <c r="N201" i="18"/>
  <c r="O201" i="18"/>
  <c r="P201" i="18"/>
  <c r="Q201" i="18"/>
  <c r="R201" i="18"/>
  <c r="S201" i="18"/>
  <c r="T201" i="18"/>
  <c r="U201" i="18"/>
  <c r="V201" i="18"/>
  <c r="W201" i="18"/>
  <c r="X201" i="18"/>
  <c r="Y201" i="18"/>
  <c r="Z201" i="18"/>
  <c r="AA201" i="18"/>
  <c r="AB201" i="18"/>
  <c r="AC201" i="18"/>
  <c r="I202" i="18"/>
  <c r="J202" i="18"/>
  <c r="K202" i="18"/>
  <c r="L202" i="18"/>
  <c r="M202" i="18"/>
  <c r="N202" i="18"/>
  <c r="O202" i="18"/>
  <c r="P202" i="18"/>
  <c r="Q202" i="18"/>
  <c r="R202" i="18"/>
  <c r="S202" i="18"/>
  <c r="T202" i="18"/>
  <c r="U202" i="18"/>
  <c r="V202" i="18"/>
  <c r="W202" i="18"/>
  <c r="X202" i="18"/>
  <c r="Y202" i="18"/>
  <c r="Z202" i="18"/>
  <c r="AA202" i="18"/>
  <c r="AB202" i="18"/>
  <c r="AC202" i="18"/>
  <c r="I203" i="18"/>
  <c r="J203" i="18"/>
  <c r="K203" i="18"/>
  <c r="L203" i="18"/>
  <c r="M203" i="18"/>
  <c r="N203" i="18"/>
  <c r="O203" i="18"/>
  <c r="P203" i="18"/>
  <c r="Q203" i="18"/>
  <c r="R203" i="18"/>
  <c r="S203" i="18"/>
  <c r="T203" i="18"/>
  <c r="U203" i="18"/>
  <c r="V203" i="18"/>
  <c r="W203" i="18"/>
  <c r="X203" i="18"/>
  <c r="Y203" i="18"/>
  <c r="Z203" i="18"/>
  <c r="AA203" i="18"/>
  <c r="AB203" i="18"/>
  <c r="AC203" i="18"/>
  <c r="I204" i="18"/>
  <c r="J204" i="18"/>
  <c r="K204" i="18"/>
  <c r="L204" i="18"/>
  <c r="M204" i="18"/>
  <c r="N204" i="18"/>
  <c r="O204" i="18"/>
  <c r="P204" i="18"/>
  <c r="Q204" i="18"/>
  <c r="R204" i="18"/>
  <c r="S204" i="18"/>
  <c r="T204" i="18"/>
  <c r="U204" i="18"/>
  <c r="V204" i="18"/>
  <c r="W204" i="18"/>
  <c r="X204" i="18"/>
  <c r="Y204" i="18"/>
  <c r="Z204" i="18"/>
  <c r="AA204" i="18"/>
  <c r="AB204" i="18"/>
  <c r="AC204" i="18"/>
  <c r="I205" i="18"/>
  <c r="J205" i="18"/>
  <c r="K205" i="18"/>
  <c r="L205" i="18"/>
  <c r="M205" i="18"/>
  <c r="N205" i="18"/>
  <c r="O205" i="18"/>
  <c r="P205" i="18"/>
  <c r="Q205" i="18"/>
  <c r="R205" i="18"/>
  <c r="S205" i="18"/>
  <c r="T205" i="18"/>
  <c r="U205" i="18"/>
  <c r="V205" i="18"/>
  <c r="W205" i="18"/>
  <c r="X205" i="18"/>
  <c r="Y205" i="18"/>
  <c r="Z205" i="18"/>
  <c r="AA205" i="18"/>
  <c r="AB205" i="18"/>
  <c r="AC205" i="18"/>
  <c r="J174" i="18"/>
  <c r="K174" i="18"/>
  <c r="L174" i="18"/>
  <c r="M174" i="18"/>
  <c r="N174" i="18"/>
  <c r="O174" i="18"/>
  <c r="P174" i="18"/>
  <c r="Q174" i="18"/>
  <c r="R174" i="18"/>
  <c r="S174" i="18"/>
  <c r="T174" i="18"/>
  <c r="U174" i="18"/>
  <c r="V174" i="18"/>
  <c r="W174" i="18"/>
  <c r="X174" i="18"/>
  <c r="Y174" i="18"/>
  <c r="Z174" i="18"/>
  <c r="AA174" i="18"/>
  <c r="AB174" i="18"/>
  <c r="AC174" i="18"/>
  <c r="I174" i="18"/>
  <c r="H10" i="18"/>
  <c r="I10" i="18"/>
  <c r="J10" i="18"/>
  <c r="K10" i="18"/>
  <c r="L10" i="18"/>
  <c r="M10" i="18"/>
  <c r="N10" i="18"/>
  <c r="O10" i="18"/>
  <c r="P10" i="18"/>
  <c r="Q10" i="18"/>
  <c r="R10" i="18"/>
  <c r="S10" i="18"/>
  <c r="T10" i="18"/>
  <c r="U10" i="18"/>
  <c r="V10" i="18"/>
  <c r="W10" i="18"/>
  <c r="X10" i="18"/>
  <c r="Y10" i="18"/>
  <c r="Z10" i="18"/>
  <c r="AA10" i="18"/>
  <c r="AB10" i="18"/>
  <c r="AC10" i="18"/>
  <c r="AR10" i="18"/>
  <c r="CB10" i="18" s="1"/>
  <c r="AS10" i="18"/>
  <c r="CC10" i="18" s="1"/>
  <c r="AT10" i="18"/>
  <c r="CD10" i="18" s="1"/>
  <c r="AU10" i="18"/>
  <c r="CE10" i="18" s="1"/>
  <c r="AV10" i="18"/>
  <c r="CF10" i="18" s="1"/>
  <c r="AW10" i="18"/>
  <c r="CG10" i="18" s="1"/>
  <c r="AX10" i="18"/>
  <c r="CH10" i="18" s="1"/>
  <c r="AY10" i="18"/>
  <c r="CI10" i="18" s="1"/>
  <c r="AZ10" i="18"/>
  <c r="CJ10" i="18" s="1"/>
  <c r="BA10" i="18"/>
  <c r="CK10" i="18" s="1"/>
  <c r="BB10" i="18"/>
  <c r="CL10" i="18" s="1"/>
  <c r="BC10" i="18"/>
  <c r="CM10" i="18" s="1"/>
  <c r="BD10" i="18"/>
  <c r="BE10" i="18"/>
  <c r="CO10" i="18" s="1"/>
  <c r="BF10" i="18"/>
  <c r="CP10" i="18" s="1"/>
  <c r="BG10" i="18"/>
  <c r="CQ10" i="18" s="1"/>
  <c r="BH10" i="18"/>
  <c r="CR10" i="18" s="1"/>
  <c r="BI10" i="18"/>
  <c r="CS10" i="18" s="1"/>
  <c r="BJ10" i="18"/>
  <c r="CT10" i="18" s="1"/>
  <c r="BK10" i="18"/>
  <c r="CU10" i="18" s="1"/>
  <c r="BL10" i="18"/>
  <c r="CV10" i="18" s="1"/>
  <c r="BM10" i="18"/>
  <c r="CW10" i="18" s="1"/>
  <c r="H11" i="18"/>
  <c r="I11" i="18"/>
  <c r="J11" i="18"/>
  <c r="K11" i="18"/>
  <c r="L11" i="18"/>
  <c r="M11" i="18"/>
  <c r="N11" i="18"/>
  <c r="O11" i="18"/>
  <c r="P11" i="18"/>
  <c r="Q11" i="18"/>
  <c r="R11" i="18"/>
  <c r="S11" i="18"/>
  <c r="T11" i="18"/>
  <c r="U11" i="18"/>
  <c r="V11" i="18"/>
  <c r="W11" i="18"/>
  <c r="X11" i="18"/>
  <c r="Y11" i="18"/>
  <c r="Z11" i="18"/>
  <c r="AA11" i="18"/>
  <c r="AB11" i="18"/>
  <c r="AC11" i="18"/>
  <c r="AR11" i="18"/>
  <c r="CB11" i="18" s="1"/>
  <c r="AS11" i="18"/>
  <c r="CC11" i="18" s="1"/>
  <c r="AT11" i="18"/>
  <c r="CD11" i="18" s="1"/>
  <c r="AU11" i="18"/>
  <c r="CE11" i="18" s="1"/>
  <c r="AV11" i="18"/>
  <c r="CF11" i="18" s="1"/>
  <c r="AW11" i="18"/>
  <c r="CG11" i="18" s="1"/>
  <c r="AX11" i="18"/>
  <c r="CH11" i="18" s="1"/>
  <c r="AY11" i="18"/>
  <c r="CI11" i="18" s="1"/>
  <c r="AZ11" i="18"/>
  <c r="CJ11" i="18" s="1"/>
  <c r="BA11" i="18"/>
  <c r="CK11" i="18" s="1"/>
  <c r="BB11" i="18"/>
  <c r="CL11" i="18" s="1"/>
  <c r="BC11" i="18"/>
  <c r="CM11" i="18" s="1"/>
  <c r="BD11" i="18"/>
  <c r="CN11" i="18" s="1"/>
  <c r="BE11" i="18"/>
  <c r="CO11" i="18" s="1"/>
  <c r="BF11" i="18"/>
  <c r="CP11" i="18" s="1"/>
  <c r="BG11" i="18"/>
  <c r="CQ11" i="18" s="1"/>
  <c r="BH11" i="18"/>
  <c r="CR11" i="18" s="1"/>
  <c r="BI11" i="18"/>
  <c r="CS11" i="18" s="1"/>
  <c r="BJ11" i="18"/>
  <c r="CT11" i="18" s="1"/>
  <c r="BK11" i="18"/>
  <c r="CU11" i="18" s="1"/>
  <c r="BL11" i="18"/>
  <c r="CV11" i="18" s="1"/>
  <c r="BM11" i="18"/>
  <c r="CW11" i="18" s="1"/>
  <c r="H12" i="18"/>
  <c r="I12" i="18"/>
  <c r="J12" i="18"/>
  <c r="K12" i="18"/>
  <c r="L12" i="18"/>
  <c r="M12" i="18"/>
  <c r="N12" i="18"/>
  <c r="O12" i="18"/>
  <c r="P12" i="18"/>
  <c r="Q12" i="18"/>
  <c r="R12" i="18"/>
  <c r="S12" i="18"/>
  <c r="T12" i="18"/>
  <c r="U12" i="18"/>
  <c r="V12" i="18"/>
  <c r="W12" i="18"/>
  <c r="X12" i="18"/>
  <c r="Y12" i="18"/>
  <c r="Z12" i="18"/>
  <c r="AA12" i="18"/>
  <c r="AB12" i="18"/>
  <c r="AC12" i="18"/>
  <c r="AR12" i="18"/>
  <c r="CB12" i="18" s="1"/>
  <c r="AS12" i="18"/>
  <c r="AT12" i="18"/>
  <c r="CD12" i="18" s="1"/>
  <c r="AU12" i="18"/>
  <c r="CE12" i="18" s="1"/>
  <c r="AV12" i="18"/>
  <c r="CF12" i="18" s="1"/>
  <c r="AW12" i="18"/>
  <c r="CG12" i="18" s="1"/>
  <c r="AX12" i="18"/>
  <c r="CH12" i="18" s="1"/>
  <c r="AY12" i="18"/>
  <c r="CI12" i="18" s="1"/>
  <c r="AZ12" i="18"/>
  <c r="CJ12" i="18" s="1"/>
  <c r="BA12" i="18"/>
  <c r="BB12" i="18"/>
  <c r="CL12" i="18" s="1"/>
  <c r="BC12" i="18"/>
  <c r="CM12" i="18" s="1"/>
  <c r="BD12" i="18"/>
  <c r="CN12" i="18" s="1"/>
  <c r="BE12" i="18"/>
  <c r="CO12" i="18" s="1"/>
  <c r="BF12" i="18"/>
  <c r="CP12" i="18" s="1"/>
  <c r="BG12" i="18"/>
  <c r="CQ12" i="18" s="1"/>
  <c r="BH12" i="18"/>
  <c r="CR12" i="18" s="1"/>
  <c r="BI12" i="18"/>
  <c r="CS12" i="18" s="1"/>
  <c r="BJ12" i="18"/>
  <c r="CT12" i="18" s="1"/>
  <c r="BK12" i="18"/>
  <c r="CU12" i="18" s="1"/>
  <c r="BL12" i="18"/>
  <c r="CV12" i="18" s="1"/>
  <c r="BM12" i="18"/>
  <c r="CW12" i="18" s="1"/>
  <c r="H13" i="18"/>
  <c r="I13" i="18"/>
  <c r="J13" i="18"/>
  <c r="K13" i="18"/>
  <c r="L13" i="18"/>
  <c r="M13" i="18"/>
  <c r="N13" i="18"/>
  <c r="O13" i="18"/>
  <c r="P13" i="18"/>
  <c r="Q13" i="18"/>
  <c r="R13" i="18"/>
  <c r="S13" i="18"/>
  <c r="T13" i="18"/>
  <c r="U13" i="18"/>
  <c r="V13" i="18"/>
  <c r="W13" i="18"/>
  <c r="X13" i="18"/>
  <c r="Y13" i="18"/>
  <c r="Z13" i="18"/>
  <c r="AA13" i="18"/>
  <c r="AB13" i="18"/>
  <c r="AC13" i="18"/>
  <c r="AR13" i="18"/>
  <c r="CB13" i="18" s="1"/>
  <c r="AS13" i="18"/>
  <c r="CC13" i="18" s="1"/>
  <c r="AT13" i="18"/>
  <c r="CD13" i="18" s="1"/>
  <c r="AU13" i="18"/>
  <c r="CE13" i="18" s="1"/>
  <c r="AV13" i="18"/>
  <c r="CF13" i="18" s="1"/>
  <c r="AW13" i="18"/>
  <c r="CG13" i="18" s="1"/>
  <c r="AX13" i="18"/>
  <c r="CH13" i="18" s="1"/>
  <c r="AY13" i="18"/>
  <c r="CI13" i="18" s="1"/>
  <c r="AZ13" i="18"/>
  <c r="CJ13" i="18" s="1"/>
  <c r="BA13" i="18"/>
  <c r="CK13" i="18" s="1"/>
  <c r="BB13" i="18"/>
  <c r="CL13" i="18" s="1"/>
  <c r="BC13" i="18"/>
  <c r="CM13" i="18" s="1"/>
  <c r="BD13" i="18"/>
  <c r="CN13" i="18" s="1"/>
  <c r="BE13" i="18"/>
  <c r="CO13" i="18" s="1"/>
  <c r="BF13" i="18"/>
  <c r="CP13" i="18" s="1"/>
  <c r="BG13" i="18"/>
  <c r="CQ13" i="18" s="1"/>
  <c r="BH13" i="18"/>
  <c r="CR13" i="18" s="1"/>
  <c r="BI13" i="18"/>
  <c r="CS13" i="18" s="1"/>
  <c r="BJ13" i="18"/>
  <c r="CT13" i="18" s="1"/>
  <c r="BK13" i="18"/>
  <c r="CU13" i="18" s="1"/>
  <c r="BL13" i="18"/>
  <c r="CV13" i="18" s="1"/>
  <c r="BM13" i="18"/>
  <c r="CW13" i="18" s="1"/>
  <c r="H14" i="18"/>
  <c r="I14" i="18"/>
  <c r="J14" i="18"/>
  <c r="K14" i="18"/>
  <c r="L14" i="18"/>
  <c r="M14" i="18"/>
  <c r="N14" i="18"/>
  <c r="O14" i="18"/>
  <c r="P14" i="18"/>
  <c r="Q14" i="18"/>
  <c r="R14" i="18"/>
  <c r="S14" i="18"/>
  <c r="T14" i="18"/>
  <c r="U14" i="18"/>
  <c r="V14" i="18"/>
  <c r="W14" i="18"/>
  <c r="X14" i="18"/>
  <c r="Y14" i="18"/>
  <c r="Z14" i="18"/>
  <c r="AA14" i="18"/>
  <c r="AB14" i="18"/>
  <c r="AC14" i="18"/>
  <c r="AR14" i="18"/>
  <c r="CB14" i="18" s="1"/>
  <c r="AS14" i="18"/>
  <c r="CC14" i="18" s="1"/>
  <c r="AT14" i="18"/>
  <c r="CD14" i="18" s="1"/>
  <c r="AU14" i="18"/>
  <c r="CE14" i="18" s="1"/>
  <c r="AV14" i="18"/>
  <c r="CF14" i="18" s="1"/>
  <c r="AW14" i="18"/>
  <c r="CG14" i="18" s="1"/>
  <c r="AX14" i="18"/>
  <c r="CH14" i="18" s="1"/>
  <c r="AY14" i="18"/>
  <c r="CI14" i="18" s="1"/>
  <c r="AZ14" i="18"/>
  <c r="CJ14" i="18" s="1"/>
  <c r="BA14" i="18"/>
  <c r="CK14" i="18" s="1"/>
  <c r="BB14" i="18"/>
  <c r="CL14" i="18" s="1"/>
  <c r="BC14" i="18"/>
  <c r="CM14" i="18" s="1"/>
  <c r="BD14" i="18"/>
  <c r="CN14" i="18" s="1"/>
  <c r="BE14" i="18"/>
  <c r="CO14" i="18" s="1"/>
  <c r="BF14" i="18"/>
  <c r="CP14" i="18" s="1"/>
  <c r="BG14" i="18"/>
  <c r="CQ14" i="18" s="1"/>
  <c r="BH14" i="18"/>
  <c r="CR14" i="18" s="1"/>
  <c r="BI14" i="18"/>
  <c r="CS14" i="18" s="1"/>
  <c r="BJ14" i="18"/>
  <c r="CT14" i="18" s="1"/>
  <c r="BK14" i="18"/>
  <c r="CU14" i="18" s="1"/>
  <c r="BL14" i="18"/>
  <c r="CV14" i="18" s="1"/>
  <c r="BM14" i="18"/>
  <c r="CW14" i="18" s="1"/>
  <c r="H15" i="18"/>
  <c r="I15" i="18"/>
  <c r="J15" i="18"/>
  <c r="K15" i="18"/>
  <c r="L15" i="18"/>
  <c r="M15" i="18"/>
  <c r="N15" i="18"/>
  <c r="O15" i="18"/>
  <c r="P15" i="18"/>
  <c r="Q15" i="18"/>
  <c r="R15" i="18"/>
  <c r="S15" i="18"/>
  <c r="T15" i="18"/>
  <c r="U15" i="18"/>
  <c r="V15" i="18"/>
  <c r="W15" i="18"/>
  <c r="X15" i="18"/>
  <c r="Y15" i="18"/>
  <c r="Z15" i="18"/>
  <c r="AA15" i="18"/>
  <c r="AB15" i="18"/>
  <c r="AC15" i="18"/>
  <c r="AR15" i="18"/>
  <c r="CB15" i="18" s="1"/>
  <c r="AS15" i="18"/>
  <c r="CC15" i="18" s="1"/>
  <c r="AT15" i="18"/>
  <c r="AU15" i="18"/>
  <c r="CE15" i="18" s="1"/>
  <c r="AV15" i="18"/>
  <c r="CF15" i="18" s="1"/>
  <c r="AW15" i="18"/>
  <c r="CG15" i="18" s="1"/>
  <c r="AX15" i="18"/>
  <c r="CH15" i="18" s="1"/>
  <c r="AY15" i="18"/>
  <c r="CI15" i="18" s="1"/>
  <c r="AZ15" i="18"/>
  <c r="CJ15" i="18" s="1"/>
  <c r="BA15" i="18"/>
  <c r="CK15" i="18" s="1"/>
  <c r="BB15" i="18"/>
  <c r="CL15" i="18" s="1"/>
  <c r="BC15" i="18"/>
  <c r="CM15" i="18" s="1"/>
  <c r="BD15" i="18"/>
  <c r="CN15" i="18" s="1"/>
  <c r="BE15" i="18"/>
  <c r="CO15" i="18" s="1"/>
  <c r="BF15" i="18"/>
  <c r="CP15" i="18" s="1"/>
  <c r="BG15" i="18"/>
  <c r="CQ15" i="18" s="1"/>
  <c r="BH15" i="18"/>
  <c r="CR15" i="18" s="1"/>
  <c r="BI15" i="18"/>
  <c r="CS15" i="18" s="1"/>
  <c r="BJ15" i="18"/>
  <c r="CT15" i="18" s="1"/>
  <c r="BK15" i="18"/>
  <c r="CU15" i="18" s="1"/>
  <c r="BL15" i="18"/>
  <c r="CV15" i="18" s="1"/>
  <c r="BM15" i="18"/>
  <c r="CW15" i="18" s="1"/>
  <c r="H16" i="18"/>
  <c r="I16" i="18"/>
  <c r="J16" i="18"/>
  <c r="K16" i="18"/>
  <c r="L16" i="18"/>
  <c r="M16" i="18"/>
  <c r="N16" i="18"/>
  <c r="O16" i="18"/>
  <c r="P16" i="18"/>
  <c r="Q16" i="18"/>
  <c r="R16" i="18"/>
  <c r="S16" i="18"/>
  <c r="T16" i="18"/>
  <c r="U16" i="18"/>
  <c r="V16" i="18"/>
  <c r="W16" i="18"/>
  <c r="X16" i="18"/>
  <c r="Y16" i="18"/>
  <c r="Z16" i="18"/>
  <c r="AA16" i="18"/>
  <c r="AB16" i="18"/>
  <c r="AC16" i="18"/>
  <c r="AR16" i="18"/>
  <c r="CB16" i="18" s="1"/>
  <c r="AS16" i="18"/>
  <c r="AT16" i="18"/>
  <c r="CD16" i="18" s="1"/>
  <c r="AU16" i="18"/>
  <c r="CE16" i="18" s="1"/>
  <c r="AV16" i="18"/>
  <c r="CF16" i="18" s="1"/>
  <c r="AW16" i="18"/>
  <c r="CG16" i="18" s="1"/>
  <c r="AX16" i="18"/>
  <c r="CH16" i="18" s="1"/>
  <c r="AY16" i="18"/>
  <c r="CI16" i="18" s="1"/>
  <c r="AZ16" i="18"/>
  <c r="CJ16" i="18" s="1"/>
  <c r="BA16" i="18"/>
  <c r="CK16" i="18" s="1"/>
  <c r="BB16" i="18"/>
  <c r="CL16" i="18" s="1"/>
  <c r="BC16" i="18"/>
  <c r="CM16" i="18" s="1"/>
  <c r="BD16" i="18"/>
  <c r="CN16" i="18" s="1"/>
  <c r="BE16" i="18"/>
  <c r="CO16" i="18" s="1"/>
  <c r="BF16" i="18"/>
  <c r="CP16" i="18" s="1"/>
  <c r="BG16" i="18"/>
  <c r="CQ16" i="18" s="1"/>
  <c r="BH16" i="18"/>
  <c r="CR16" i="18" s="1"/>
  <c r="BI16" i="18"/>
  <c r="CS16" i="18" s="1"/>
  <c r="BJ16" i="18"/>
  <c r="CT16" i="18" s="1"/>
  <c r="BK16" i="18"/>
  <c r="CU16" i="18" s="1"/>
  <c r="BL16" i="18"/>
  <c r="CV16" i="18" s="1"/>
  <c r="BM16" i="18"/>
  <c r="CW16" i="18" s="1"/>
  <c r="H17" i="18"/>
  <c r="I17" i="18"/>
  <c r="J17" i="18"/>
  <c r="K17" i="18"/>
  <c r="L17" i="18"/>
  <c r="M17" i="18"/>
  <c r="N17" i="18"/>
  <c r="O17" i="18"/>
  <c r="P17" i="18"/>
  <c r="Q17" i="18"/>
  <c r="R17" i="18"/>
  <c r="S17" i="18"/>
  <c r="T17" i="18"/>
  <c r="U17" i="18"/>
  <c r="V17" i="18"/>
  <c r="W17" i="18"/>
  <c r="X17" i="18"/>
  <c r="Y17" i="18"/>
  <c r="Z17" i="18"/>
  <c r="AA17" i="18"/>
  <c r="AB17" i="18"/>
  <c r="AC17" i="18"/>
  <c r="AR17" i="18"/>
  <c r="AS17" i="18"/>
  <c r="CC17" i="18" s="1"/>
  <c r="AT17" i="18"/>
  <c r="CD17" i="18" s="1"/>
  <c r="AU17" i="18"/>
  <c r="CE17" i="18" s="1"/>
  <c r="AV17" i="18"/>
  <c r="CF17" i="18" s="1"/>
  <c r="AW17" i="18"/>
  <c r="CG17" i="18" s="1"/>
  <c r="AX17" i="18"/>
  <c r="CH17" i="18" s="1"/>
  <c r="AY17" i="18"/>
  <c r="CI17" i="18" s="1"/>
  <c r="AZ17" i="18"/>
  <c r="CJ17" i="18" s="1"/>
  <c r="BA17" i="18"/>
  <c r="CK17" i="18" s="1"/>
  <c r="BB17" i="18"/>
  <c r="CL17" i="18" s="1"/>
  <c r="BC17" i="18"/>
  <c r="CM17" i="18" s="1"/>
  <c r="BD17" i="18"/>
  <c r="CN17" i="18" s="1"/>
  <c r="BE17" i="18"/>
  <c r="CO17" i="18" s="1"/>
  <c r="BF17" i="18"/>
  <c r="CP17" i="18" s="1"/>
  <c r="BG17" i="18"/>
  <c r="CQ17" i="18" s="1"/>
  <c r="BH17" i="18"/>
  <c r="CR17" i="18" s="1"/>
  <c r="BI17" i="18"/>
  <c r="CS17" i="18" s="1"/>
  <c r="BJ17" i="18"/>
  <c r="CT17" i="18" s="1"/>
  <c r="BK17" i="18"/>
  <c r="CU17" i="18" s="1"/>
  <c r="BL17" i="18"/>
  <c r="CV17" i="18" s="1"/>
  <c r="BM17" i="18"/>
  <c r="CW17" i="18" s="1"/>
  <c r="H18" i="18"/>
  <c r="I18" i="18"/>
  <c r="J18" i="18"/>
  <c r="K18" i="18"/>
  <c r="L18" i="18"/>
  <c r="M18" i="18"/>
  <c r="N18" i="18"/>
  <c r="O18" i="18"/>
  <c r="P18" i="18"/>
  <c r="Q18" i="18"/>
  <c r="R18" i="18"/>
  <c r="S18" i="18"/>
  <c r="T18" i="18"/>
  <c r="U18" i="18"/>
  <c r="V18" i="18"/>
  <c r="W18" i="18"/>
  <c r="X18" i="18"/>
  <c r="Y18" i="18"/>
  <c r="Z18" i="18"/>
  <c r="AA18" i="18"/>
  <c r="AB18" i="18"/>
  <c r="AC18" i="18"/>
  <c r="AR18" i="18"/>
  <c r="AS18" i="18"/>
  <c r="CC18" i="18" s="1"/>
  <c r="AT18" i="18"/>
  <c r="CD18" i="18" s="1"/>
  <c r="AU18" i="18"/>
  <c r="CE18" i="18" s="1"/>
  <c r="AV18" i="18"/>
  <c r="CF18" i="18" s="1"/>
  <c r="AW18" i="18"/>
  <c r="CG18" i="18" s="1"/>
  <c r="AX18" i="18"/>
  <c r="CH18" i="18" s="1"/>
  <c r="AY18" i="18"/>
  <c r="CI18" i="18" s="1"/>
  <c r="AZ18" i="18"/>
  <c r="CJ18" i="18" s="1"/>
  <c r="BA18" i="18"/>
  <c r="CK18" i="18" s="1"/>
  <c r="BB18" i="18"/>
  <c r="CL18" i="18" s="1"/>
  <c r="BC18" i="18"/>
  <c r="CM18" i="18" s="1"/>
  <c r="BD18" i="18"/>
  <c r="CN18" i="18" s="1"/>
  <c r="BE18" i="18"/>
  <c r="CO18" i="18" s="1"/>
  <c r="BF18" i="18"/>
  <c r="CP18" i="18" s="1"/>
  <c r="BG18" i="18"/>
  <c r="CQ18" i="18" s="1"/>
  <c r="BH18" i="18"/>
  <c r="CR18" i="18" s="1"/>
  <c r="BI18" i="18"/>
  <c r="CS18" i="18" s="1"/>
  <c r="BJ18" i="18"/>
  <c r="CT18" i="18" s="1"/>
  <c r="BK18" i="18"/>
  <c r="CU18" i="18" s="1"/>
  <c r="BL18" i="18"/>
  <c r="CV18" i="18" s="1"/>
  <c r="BM18" i="18"/>
  <c r="CW18" i="18" s="1"/>
  <c r="H19" i="18"/>
  <c r="I19" i="18"/>
  <c r="J19" i="18"/>
  <c r="K19" i="18"/>
  <c r="L19" i="18"/>
  <c r="M19" i="18"/>
  <c r="N19" i="18"/>
  <c r="O19" i="18"/>
  <c r="P19" i="18"/>
  <c r="Q19" i="18"/>
  <c r="R19" i="18"/>
  <c r="S19" i="18"/>
  <c r="T19" i="18"/>
  <c r="U19" i="18"/>
  <c r="V19" i="18"/>
  <c r="W19" i="18"/>
  <c r="X19" i="18"/>
  <c r="Y19" i="18"/>
  <c r="Z19" i="18"/>
  <c r="AA19" i="18"/>
  <c r="AB19" i="18"/>
  <c r="AC19" i="18"/>
  <c r="AR19" i="18"/>
  <c r="CB19" i="18" s="1"/>
  <c r="AS19" i="18"/>
  <c r="CC19" i="18" s="1"/>
  <c r="AT19" i="18"/>
  <c r="CD19" i="18" s="1"/>
  <c r="AU19" i="18"/>
  <c r="CE19" i="18" s="1"/>
  <c r="AV19" i="18"/>
  <c r="CF19" i="18" s="1"/>
  <c r="AW19" i="18"/>
  <c r="CG19" i="18" s="1"/>
  <c r="AX19" i="18"/>
  <c r="CH19" i="18" s="1"/>
  <c r="AY19" i="18"/>
  <c r="CI19" i="18" s="1"/>
  <c r="AZ19" i="18"/>
  <c r="CJ19" i="18" s="1"/>
  <c r="BA19" i="18"/>
  <c r="CK19" i="18" s="1"/>
  <c r="BB19" i="18"/>
  <c r="CL19" i="18" s="1"/>
  <c r="BC19" i="18"/>
  <c r="CM19" i="18" s="1"/>
  <c r="BD19" i="18"/>
  <c r="CN19" i="18" s="1"/>
  <c r="BE19" i="18"/>
  <c r="CO19" i="18" s="1"/>
  <c r="BF19" i="18"/>
  <c r="CP19" i="18" s="1"/>
  <c r="BG19" i="18"/>
  <c r="CQ19" i="18" s="1"/>
  <c r="BH19" i="18"/>
  <c r="CR19" i="18" s="1"/>
  <c r="BI19" i="18"/>
  <c r="CS19" i="18" s="1"/>
  <c r="BJ19" i="18"/>
  <c r="CT19" i="18" s="1"/>
  <c r="BK19" i="18"/>
  <c r="CU19" i="18" s="1"/>
  <c r="BL19" i="18"/>
  <c r="CV19" i="18" s="1"/>
  <c r="BM19" i="18"/>
  <c r="CW19" i="18" s="1"/>
  <c r="H20" i="18"/>
  <c r="I20" i="18"/>
  <c r="J20" i="18"/>
  <c r="K20" i="18"/>
  <c r="L20" i="18"/>
  <c r="M20" i="18"/>
  <c r="N20" i="18"/>
  <c r="O20" i="18"/>
  <c r="P20" i="18"/>
  <c r="Q20" i="18"/>
  <c r="R20" i="18"/>
  <c r="S20" i="18"/>
  <c r="T20" i="18"/>
  <c r="U20" i="18"/>
  <c r="V20" i="18"/>
  <c r="W20" i="18"/>
  <c r="X20" i="18"/>
  <c r="Y20" i="18"/>
  <c r="Z20" i="18"/>
  <c r="AA20" i="18"/>
  <c r="AB20" i="18"/>
  <c r="AC20" i="18"/>
  <c r="AR20" i="18"/>
  <c r="CB20" i="18" s="1"/>
  <c r="AS20" i="18"/>
  <c r="CC20" i="18" s="1"/>
  <c r="AT20" i="18"/>
  <c r="CD20" i="18" s="1"/>
  <c r="AU20" i="18"/>
  <c r="CE20" i="18" s="1"/>
  <c r="AV20" i="18"/>
  <c r="CF20" i="18" s="1"/>
  <c r="AW20" i="18"/>
  <c r="CG20" i="18" s="1"/>
  <c r="AX20" i="18"/>
  <c r="CH20" i="18" s="1"/>
  <c r="AY20" i="18"/>
  <c r="CI20" i="18" s="1"/>
  <c r="AZ20" i="18"/>
  <c r="CJ20" i="18" s="1"/>
  <c r="BA20" i="18"/>
  <c r="CK20" i="18" s="1"/>
  <c r="BB20" i="18"/>
  <c r="CL20" i="18" s="1"/>
  <c r="BC20" i="18"/>
  <c r="CM20" i="18" s="1"/>
  <c r="BD20" i="18"/>
  <c r="CN20" i="18" s="1"/>
  <c r="BE20" i="18"/>
  <c r="CO20" i="18" s="1"/>
  <c r="BF20" i="18"/>
  <c r="CP20" i="18" s="1"/>
  <c r="BG20" i="18"/>
  <c r="CQ20" i="18" s="1"/>
  <c r="BH20" i="18"/>
  <c r="CR20" i="18" s="1"/>
  <c r="BI20" i="18"/>
  <c r="CS20" i="18" s="1"/>
  <c r="BJ20" i="18"/>
  <c r="CT20" i="18" s="1"/>
  <c r="BK20" i="18"/>
  <c r="CU20" i="18" s="1"/>
  <c r="BL20" i="18"/>
  <c r="CV20" i="18" s="1"/>
  <c r="BM20" i="18"/>
  <c r="CW20" i="18" s="1"/>
  <c r="H21" i="18"/>
  <c r="I21" i="18"/>
  <c r="J21" i="18"/>
  <c r="K21" i="18"/>
  <c r="L21" i="18"/>
  <c r="M21" i="18"/>
  <c r="N21" i="18"/>
  <c r="O21" i="18"/>
  <c r="P21" i="18"/>
  <c r="Q21" i="18"/>
  <c r="R21" i="18"/>
  <c r="S21" i="18"/>
  <c r="T21" i="18"/>
  <c r="U21" i="18"/>
  <c r="V21" i="18"/>
  <c r="W21" i="18"/>
  <c r="X21" i="18"/>
  <c r="Y21" i="18"/>
  <c r="Z21" i="18"/>
  <c r="AA21" i="18"/>
  <c r="AB21" i="18"/>
  <c r="AC21" i="18"/>
  <c r="AR21" i="18"/>
  <c r="CB21" i="18" s="1"/>
  <c r="AS21" i="18"/>
  <c r="CC21" i="18" s="1"/>
  <c r="AT21" i="18"/>
  <c r="CD21" i="18" s="1"/>
  <c r="AU21" i="18"/>
  <c r="CE21" i="18" s="1"/>
  <c r="AV21" i="18"/>
  <c r="CF21" i="18" s="1"/>
  <c r="AW21" i="18"/>
  <c r="CG21" i="18" s="1"/>
  <c r="AX21" i="18"/>
  <c r="CH21" i="18" s="1"/>
  <c r="AY21" i="18"/>
  <c r="CI21" i="18" s="1"/>
  <c r="AZ21" i="18"/>
  <c r="CJ21" i="18" s="1"/>
  <c r="BA21" i="18"/>
  <c r="CK21" i="18" s="1"/>
  <c r="BB21" i="18"/>
  <c r="CL21" i="18" s="1"/>
  <c r="BC21" i="18"/>
  <c r="CM21" i="18" s="1"/>
  <c r="BD21" i="18"/>
  <c r="CN21" i="18" s="1"/>
  <c r="BE21" i="18"/>
  <c r="CO21" i="18" s="1"/>
  <c r="BF21" i="18"/>
  <c r="CP21" i="18" s="1"/>
  <c r="BG21" i="18"/>
  <c r="CQ21" i="18" s="1"/>
  <c r="BH21" i="18"/>
  <c r="CR21" i="18" s="1"/>
  <c r="BI21" i="18"/>
  <c r="CS21" i="18" s="1"/>
  <c r="BJ21" i="18"/>
  <c r="CT21" i="18" s="1"/>
  <c r="BK21" i="18"/>
  <c r="CU21" i="18" s="1"/>
  <c r="BL21" i="18"/>
  <c r="CV21" i="18" s="1"/>
  <c r="BM21" i="18"/>
  <c r="CW21" i="18" s="1"/>
  <c r="H22" i="18"/>
  <c r="I22" i="18"/>
  <c r="J22" i="18"/>
  <c r="K22" i="18"/>
  <c r="L22" i="18"/>
  <c r="M22" i="18"/>
  <c r="N22" i="18"/>
  <c r="O22" i="18"/>
  <c r="P22" i="18"/>
  <c r="Q22" i="18"/>
  <c r="R22" i="18"/>
  <c r="S22" i="18"/>
  <c r="T22" i="18"/>
  <c r="U22" i="18"/>
  <c r="V22" i="18"/>
  <c r="W22" i="18"/>
  <c r="X22" i="18"/>
  <c r="Y22" i="18"/>
  <c r="Z22" i="18"/>
  <c r="AA22" i="18"/>
  <c r="AB22" i="18"/>
  <c r="AC22" i="18"/>
  <c r="AR22" i="18"/>
  <c r="CB22" i="18" s="1"/>
  <c r="AS22" i="18"/>
  <c r="CC22" i="18" s="1"/>
  <c r="AT22" i="18"/>
  <c r="CD22" i="18" s="1"/>
  <c r="AU22" i="18"/>
  <c r="CE22" i="18" s="1"/>
  <c r="AV22" i="18"/>
  <c r="CF22" i="18" s="1"/>
  <c r="AW22" i="18"/>
  <c r="CG22" i="18" s="1"/>
  <c r="AX22" i="18"/>
  <c r="CH22" i="18" s="1"/>
  <c r="AY22" i="18"/>
  <c r="CI22" i="18" s="1"/>
  <c r="AZ22" i="18"/>
  <c r="CJ22" i="18" s="1"/>
  <c r="BA22" i="18"/>
  <c r="CK22" i="18" s="1"/>
  <c r="BB22" i="18"/>
  <c r="CL22" i="18" s="1"/>
  <c r="BC22" i="18"/>
  <c r="CM22" i="18" s="1"/>
  <c r="BD22" i="18"/>
  <c r="CN22" i="18" s="1"/>
  <c r="BE22" i="18"/>
  <c r="CO22" i="18" s="1"/>
  <c r="BF22" i="18"/>
  <c r="CP22" i="18" s="1"/>
  <c r="BG22" i="18"/>
  <c r="CQ22" i="18" s="1"/>
  <c r="BH22" i="18"/>
  <c r="CR22" i="18" s="1"/>
  <c r="BI22" i="18"/>
  <c r="CS22" i="18" s="1"/>
  <c r="BJ22" i="18"/>
  <c r="CT22" i="18" s="1"/>
  <c r="BK22" i="18"/>
  <c r="CU22" i="18" s="1"/>
  <c r="BL22" i="18"/>
  <c r="CV22" i="18" s="1"/>
  <c r="BM22" i="18"/>
  <c r="CW22" i="18" s="1"/>
  <c r="H23" i="18"/>
  <c r="I23" i="18"/>
  <c r="J23" i="18"/>
  <c r="K23" i="18"/>
  <c r="L23" i="18"/>
  <c r="M23" i="18"/>
  <c r="N23" i="18"/>
  <c r="O23" i="18"/>
  <c r="P23" i="18"/>
  <c r="Q23" i="18"/>
  <c r="R23" i="18"/>
  <c r="S23" i="18"/>
  <c r="T23" i="18"/>
  <c r="U23" i="18"/>
  <c r="V23" i="18"/>
  <c r="W23" i="18"/>
  <c r="X23" i="18"/>
  <c r="Y23" i="18"/>
  <c r="Z23" i="18"/>
  <c r="AA23" i="18"/>
  <c r="AB23" i="18"/>
  <c r="AC23" i="18"/>
  <c r="AR23" i="18"/>
  <c r="CB23" i="18" s="1"/>
  <c r="AS23" i="18"/>
  <c r="CC23" i="18" s="1"/>
  <c r="AT23" i="18"/>
  <c r="CD23" i="18" s="1"/>
  <c r="AU23" i="18"/>
  <c r="CE23" i="18" s="1"/>
  <c r="AV23" i="18"/>
  <c r="CF23" i="18" s="1"/>
  <c r="AW23" i="18"/>
  <c r="CG23" i="18" s="1"/>
  <c r="AX23" i="18"/>
  <c r="CH23" i="18" s="1"/>
  <c r="AY23" i="18"/>
  <c r="CI23" i="18" s="1"/>
  <c r="AZ23" i="18"/>
  <c r="CJ23" i="18" s="1"/>
  <c r="BA23" i="18"/>
  <c r="CK23" i="18" s="1"/>
  <c r="BB23" i="18"/>
  <c r="CL23" i="18" s="1"/>
  <c r="BC23" i="18"/>
  <c r="CM23" i="18" s="1"/>
  <c r="BD23" i="18"/>
  <c r="CN23" i="18" s="1"/>
  <c r="BE23" i="18"/>
  <c r="CO23" i="18" s="1"/>
  <c r="BF23" i="18"/>
  <c r="CP23" i="18" s="1"/>
  <c r="BG23" i="18"/>
  <c r="CQ23" i="18" s="1"/>
  <c r="BH23" i="18"/>
  <c r="CR23" i="18" s="1"/>
  <c r="BI23" i="18"/>
  <c r="CS23" i="18" s="1"/>
  <c r="BJ23" i="18"/>
  <c r="CT23" i="18" s="1"/>
  <c r="BK23" i="18"/>
  <c r="CU23" i="18" s="1"/>
  <c r="BL23" i="18"/>
  <c r="CV23" i="18" s="1"/>
  <c r="BM23" i="18"/>
  <c r="CW23" i="18" s="1"/>
  <c r="H24" i="18"/>
  <c r="I24" i="18"/>
  <c r="J24" i="18"/>
  <c r="K24" i="18"/>
  <c r="L24" i="18"/>
  <c r="M24" i="18"/>
  <c r="N24" i="18"/>
  <c r="O24" i="18"/>
  <c r="P24" i="18"/>
  <c r="Q24" i="18"/>
  <c r="R24" i="18"/>
  <c r="S24" i="18"/>
  <c r="T24" i="18"/>
  <c r="U24" i="18"/>
  <c r="V24" i="18"/>
  <c r="W24" i="18"/>
  <c r="X24" i="18"/>
  <c r="Y24" i="18"/>
  <c r="Z24" i="18"/>
  <c r="AA24" i="18"/>
  <c r="AB24" i="18"/>
  <c r="AC24" i="18"/>
  <c r="AR24" i="18"/>
  <c r="CB24" i="18" s="1"/>
  <c r="AS24" i="18"/>
  <c r="CC24" i="18" s="1"/>
  <c r="AT24" i="18"/>
  <c r="CD24" i="18" s="1"/>
  <c r="AU24" i="18"/>
  <c r="CE24" i="18" s="1"/>
  <c r="AV24" i="18"/>
  <c r="CF24" i="18" s="1"/>
  <c r="AW24" i="18"/>
  <c r="CG24" i="18" s="1"/>
  <c r="AX24" i="18"/>
  <c r="CH24" i="18" s="1"/>
  <c r="AY24" i="18"/>
  <c r="CI24" i="18" s="1"/>
  <c r="AZ24" i="18"/>
  <c r="CJ24" i="18" s="1"/>
  <c r="BA24" i="18"/>
  <c r="CK24" i="18" s="1"/>
  <c r="BB24" i="18"/>
  <c r="CL24" i="18" s="1"/>
  <c r="BC24" i="18"/>
  <c r="CM24" i="18" s="1"/>
  <c r="BD24" i="18"/>
  <c r="CN24" i="18" s="1"/>
  <c r="BE24" i="18"/>
  <c r="CO24" i="18" s="1"/>
  <c r="BF24" i="18"/>
  <c r="CP24" i="18" s="1"/>
  <c r="BG24" i="18"/>
  <c r="CQ24" i="18" s="1"/>
  <c r="BH24" i="18"/>
  <c r="CR24" i="18" s="1"/>
  <c r="BI24" i="18"/>
  <c r="CS24" i="18" s="1"/>
  <c r="BJ24" i="18"/>
  <c r="CT24" i="18" s="1"/>
  <c r="BK24" i="18"/>
  <c r="CU24" i="18" s="1"/>
  <c r="BL24" i="18"/>
  <c r="CV24" i="18" s="1"/>
  <c r="BM24" i="18"/>
  <c r="CW24" i="18" s="1"/>
  <c r="H25" i="18"/>
  <c r="I25" i="18"/>
  <c r="J25" i="18"/>
  <c r="K25" i="18"/>
  <c r="L25" i="18"/>
  <c r="M25" i="18"/>
  <c r="N25" i="18"/>
  <c r="O25" i="18"/>
  <c r="P25" i="18"/>
  <c r="Q25" i="18"/>
  <c r="R25" i="18"/>
  <c r="S25" i="18"/>
  <c r="T25" i="18"/>
  <c r="U25" i="18"/>
  <c r="V25" i="18"/>
  <c r="W25" i="18"/>
  <c r="X25" i="18"/>
  <c r="Y25" i="18"/>
  <c r="Z25" i="18"/>
  <c r="AA25" i="18"/>
  <c r="AB25" i="18"/>
  <c r="AC25" i="18"/>
  <c r="AR25" i="18"/>
  <c r="CB25" i="18" s="1"/>
  <c r="AS25" i="18"/>
  <c r="AT25" i="18"/>
  <c r="CD25" i="18" s="1"/>
  <c r="AU25" i="18"/>
  <c r="CE25" i="18" s="1"/>
  <c r="AV25" i="18"/>
  <c r="CF25" i="18" s="1"/>
  <c r="AW25" i="18"/>
  <c r="CG25" i="18" s="1"/>
  <c r="AX25" i="18"/>
  <c r="CH25" i="18" s="1"/>
  <c r="AY25" i="18"/>
  <c r="CI25" i="18" s="1"/>
  <c r="AZ25" i="18"/>
  <c r="CJ25" i="18" s="1"/>
  <c r="BA25" i="18"/>
  <c r="CK25" i="18" s="1"/>
  <c r="BB25" i="18"/>
  <c r="CL25" i="18" s="1"/>
  <c r="BC25" i="18"/>
  <c r="CM25" i="18" s="1"/>
  <c r="BD25" i="18"/>
  <c r="CN25" i="18" s="1"/>
  <c r="BE25" i="18"/>
  <c r="CO25" i="18" s="1"/>
  <c r="BF25" i="18"/>
  <c r="CP25" i="18" s="1"/>
  <c r="BG25" i="18"/>
  <c r="CQ25" i="18" s="1"/>
  <c r="BH25" i="18"/>
  <c r="CR25" i="18" s="1"/>
  <c r="BI25" i="18"/>
  <c r="CS25" i="18" s="1"/>
  <c r="BJ25" i="18"/>
  <c r="CT25" i="18" s="1"/>
  <c r="BK25" i="18"/>
  <c r="CU25" i="18" s="1"/>
  <c r="BL25" i="18"/>
  <c r="CV25" i="18" s="1"/>
  <c r="BM25" i="18"/>
  <c r="CW25" i="18" s="1"/>
  <c r="H26" i="18"/>
  <c r="I26" i="18"/>
  <c r="J26" i="18"/>
  <c r="K26" i="18"/>
  <c r="L26" i="18"/>
  <c r="M26" i="18"/>
  <c r="N26" i="18"/>
  <c r="O26" i="18"/>
  <c r="P26" i="18"/>
  <c r="Q26" i="18"/>
  <c r="R26" i="18"/>
  <c r="S26" i="18"/>
  <c r="T26" i="18"/>
  <c r="U26" i="18"/>
  <c r="V26" i="18"/>
  <c r="W26" i="18"/>
  <c r="X26" i="18"/>
  <c r="Y26" i="18"/>
  <c r="Z26" i="18"/>
  <c r="AA26" i="18"/>
  <c r="AB26" i="18"/>
  <c r="AC26" i="18"/>
  <c r="AR26" i="18"/>
  <c r="AS26" i="18"/>
  <c r="CC26" i="18" s="1"/>
  <c r="AT26" i="18"/>
  <c r="CD26" i="18" s="1"/>
  <c r="AU26" i="18"/>
  <c r="CE26" i="18" s="1"/>
  <c r="AV26" i="18"/>
  <c r="CF26" i="18" s="1"/>
  <c r="AW26" i="18"/>
  <c r="CG26" i="18" s="1"/>
  <c r="AX26" i="18"/>
  <c r="CH26" i="18" s="1"/>
  <c r="AY26" i="18"/>
  <c r="CI26" i="18" s="1"/>
  <c r="AZ26" i="18"/>
  <c r="CJ26" i="18" s="1"/>
  <c r="BA26" i="18"/>
  <c r="CK26" i="18" s="1"/>
  <c r="BB26" i="18"/>
  <c r="CL26" i="18" s="1"/>
  <c r="BC26" i="18"/>
  <c r="CM26" i="18" s="1"/>
  <c r="BD26" i="18"/>
  <c r="CN26" i="18" s="1"/>
  <c r="BE26" i="18"/>
  <c r="CO26" i="18" s="1"/>
  <c r="BF26" i="18"/>
  <c r="CP26" i="18" s="1"/>
  <c r="BG26" i="18"/>
  <c r="CQ26" i="18" s="1"/>
  <c r="BH26" i="18"/>
  <c r="CR26" i="18" s="1"/>
  <c r="BI26" i="18"/>
  <c r="CS26" i="18" s="1"/>
  <c r="BJ26" i="18"/>
  <c r="CT26" i="18" s="1"/>
  <c r="BK26" i="18"/>
  <c r="CU26" i="18" s="1"/>
  <c r="BL26" i="18"/>
  <c r="CV26" i="18" s="1"/>
  <c r="BM26" i="18"/>
  <c r="CW26" i="18" s="1"/>
  <c r="H27" i="18"/>
  <c r="I27" i="18"/>
  <c r="J27" i="18"/>
  <c r="K27" i="18"/>
  <c r="L27" i="18"/>
  <c r="M27" i="18"/>
  <c r="N27" i="18"/>
  <c r="O27" i="18"/>
  <c r="P27" i="18"/>
  <c r="Q27" i="18"/>
  <c r="R27" i="18"/>
  <c r="S27" i="18"/>
  <c r="T27" i="18"/>
  <c r="U27" i="18"/>
  <c r="V27" i="18"/>
  <c r="W27" i="18"/>
  <c r="X27" i="18"/>
  <c r="Y27" i="18"/>
  <c r="Z27" i="18"/>
  <c r="AA27" i="18"/>
  <c r="AB27" i="18"/>
  <c r="AC27" i="18"/>
  <c r="AR27" i="18"/>
  <c r="CB27" i="18" s="1"/>
  <c r="AS27" i="18"/>
  <c r="CC27" i="18" s="1"/>
  <c r="AT27" i="18"/>
  <c r="CD27" i="18" s="1"/>
  <c r="AU27" i="18"/>
  <c r="CE27" i="18" s="1"/>
  <c r="AV27" i="18"/>
  <c r="CF27" i="18" s="1"/>
  <c r="AW27" i="18"/>
  <c r="CG27" i="18" s="1"/>
  <c r="AX27" i="18"/>
  <c r="CH27" i="18" s="1"/>
  <c r="AY27" i="18"/>
  <c r="CI27" i="18" s="1"/>
  <c r="AZ27" i="18"/>
  <c r="CJ27" i="18" s="1"/>
  <c r="BA27" i="18"/>
  <c r="CK27" i="18" s="1"/>
  <c r="BB27" i="18"/>
  <c r="CL27" i="18" s="1"/>
  <c r="BC27" i="18"/>
  <c r="CM27" i="18" s="1"/>
  <c r="BD27" i="18"/>
  <c r="CN27" i="18" s="1"/>
  <c r="BE27" i="18"/>
  <c r="CO27" i="18" s="1"/>
  <c r="BF27" i="18"/>
  <c r="CP27" i="18" s="1"/>
  <c r="BG27" i="18"/>
  <c r="CQ27" i="18" s="1"/>
  <c r="BH27" i="18"/>
  <c r="CR27" i="18" s="1"/>
  <c r="BI27" i="18"/>
  <c r="CS27" i="18" s="1"/>
  <c r="BJ27" i="18"/>
  <c r="CT27" i="18" s="1"/>
  <c r="BK27" i="18"/>
  <c r="CU27" i="18" s="1"/>
  <c r="BL27" i="18"/>
  <c r="CV27" i="18" s="1"/>
  <c r="BM27" i="18"/>
  <c r="CW27" i="18" s="1"/>
  <c r="H28" i="18"/>
  <c r="I28" i="18"/>
  <c r="J28" i="18"/>
  <c r="K28" i="18"/>
  <c r="L28" i="18"/>
  <c r="M28" i="18"/>
  <c r="N28" i="18"/>
  <c r="O28" i="18"/>
  <c r="P28" i="18"/>
  <c r="Q28" i="18"/>
  <c r="R28" i="18"/>
  <c r="S28" i="18"/>
  <c r="T28" i="18"/>
  <c r="U28" i="18"/>
  <c r="V28" i="18"/>
  <c r="W28" i="18"/>
  <c r="X28" i="18"/>
  <c r="Y28" i="18"/>
  <c r="Z28" i="18"/>
  <c r="AA28" i="18"/>
  <c r="AB28" i="18"/>
  <c r="AC28" i="18"/>
  <c r="AR28" i="18"/>
  <c r="CB28" i="18" s="1"/>
  <c r="AS28" i="18"/>
  <c r="CC28" i="18" s="1"/>
  <c r="AT28" i="18"/>
  <c r="CD28" i="18" s="1"/>
  <c r="AU28" i="18"/>
  <c r="CE28" i="18" s="1"/>
  <c r="AV28" i="18"/>
  <c r="CF28" i="18" s="1"/>
  <c r="AW28" i="18"/>
  <c r="CG28" i="18" s="1"/>
  <c r="AX28" i="18"/>
  <c r="CH28" i="18" s="1"/>
  <c r="AY28" i="18"/>
  <c r="CI28" i="18" s="1"/>
  <c r="AZ28" i="18"/>
  <c r="CJ28" i="18" s="1"/>
  <c r="BA28" i="18"/>
  <c r="CK28" i="18" s="1"/>
  <c r="BB28" i="18"/>
  <c r="CL28" i="18" s="1"/>
  <c r="BC28" i="18"/>
  <c r="CM28" i="18" s="1"/>
  <c r="BD28" i="18"/>
  <c r="CN28" i="18" s="1"/>
  <c r="BE28" i="18"/>
  <c r="CO28" i="18" s="1"/>
  <c r="BF28" i="18"/>
  <c r="CP28" i="18" s="1"/>
  <c r="BG28" i="18"/>
  <c r="CQ28" i="18" s="1"/>
  <c r="BH28" i="18"/>
  <c r="CR28" i="18" s="1"/>
  <c r="BI28" i="18"/>
  <c r="CS28" i="18" s="1"/>
  <c r="BJ28" i="18"/>
  <c r="CT28" i="18" s="1"/>
  <c r="BK28" i="18"/>
  <c r="CU28" i="18" s="1"/>
  <c r="BL28" i="18"/>
  <c r="CV28" i="18" s="1"/>
  <c r="BM28" i="18"/>
  <c r="CW28" i="18" s="1"/>
  <c r="H29" i="18"/>
  <c r="I29" i="18"/>
  <c r="J29" i="18"/>
  <c r="K29" i="18"/>
  <c r="L29" i="18"/>
  <c r="M29" i="18"/>
  <c r="N29" i="18"/>
  <c r="O29" i="18"/>
  <c r="P29" i="18"/>
  <c r="Q29" i="18"/>
  <c r="R29" i="18"/>
  <c r="S29" i="18"/>
  <c r="T29" i="18"/>
  <c r="U29" i="18"/>
  <c r="V29" i="18"/>
  <c r="W29" i="18"/>
  <c r="X29" i="18"/>
  <c r="Y29" i="18"/>
  <c r="Z29" i="18"/>
  <c r="AA29" i="18"/>
  <c r="AB29" i="18"/>
  <c r="AC29" i="18"/>
  <c r="AR29" i="18"/>
  <c r="CB29" i="18" s="1"/>
  <c r="AS29" i="18"/>
  <c r="CC29" i="18" s="1"/>
  <c r="AT29" i="18"/>
  <c r="CD29" i="18" s="1"/>
  <c r="AU29" i="18"/>
  <c r="CE29" i="18" s="1"/>
  <c r="AV29" i="18"/>
  <c r="CF29" i="18" s="1"/>
  <c r="AW29" i="18"/>
  <c r="CG29" i="18" s="1"/>
  <c r="AX29" i="18"/>
  <c r="CH29" i="18" s="1"/>
  <c r="AY29" i="18"/>
  <c r="CI29" i="18" s="1"/>
  <c r="AZ29" i="18"/>
  <c r="CJ29" i="18" s="1"/>
  <c r="BA29" i="18"/>
  <c r="CK29" i="18" s="1"/>
  <c r="BB29" i="18"/>
  <c r="CL29" i="18" s="1"/>
  <c r="BC29" i="18"/>
  <c r="CM29" i="18" s="1"/>
  <c r="BD29" i="18"/>
  <c r="CN29" i="18" s="1"/>
  <c r="BE29" i="18"/>
  <c r="CO29" i="18" s="1"/>
  <c r="BF29" i="18"/>
  <c r="CP29" i="18" s="1"/>
  <c r="BG29" i="18"/>
  <c r="CQ29" i="18" s="1"/>
  <c r="BH29" i="18"/>
  <c r="CR29" i="18" s="1"/>
  <c r="BI29" i="18"/>
  <c r="CS29" i="18" s="1"/>
  <c r="BJ29" i="18"/>
  <c r="CT29" i="18" s="1"/>
  <c r="BK29" i="18"/>
  <c r="CU29" i="18" s="1"/>
  <c r="BL29" i="18"/>
  <c r="CV29" i="18" s="1"/>
  <c r="BM29" i="18"/>
  <c r="CW29" i="18" s="1"/>
  <c r="H30" i="18"/>
  <c r="I30" i="18"/>
  <c r="J30" i="18"/>
  <c r="K30" i="18"/>
  <c r="L30" i="18"/>
  <c r="M30" i="18"/>
  <c r="N30" i="18"/>
  <c r="O30" i="18"/>
  <c r="P30" i="18"/>
  <c r="Q30" i="18"/>
  <c r="R30" i="18"/>
  <c r="S30" i="18"/>
  <c r="T30" i="18"/>
  <c r="U30" i="18"/>
  <c r="V30" i="18"/>
  <c r="W30" i="18"/>
  <c r="X30" i="18"/>
  <c r="Y30" i="18"/>
  <c r="Z30" i="18"/>
  <c r="AA30" i="18"/>
  <c r="AB30" i="18"/>
  <c r="AC30" i="18"/>
  <c r="AR30" i="18"/>
  <c r="CB30" i="18" s="1"/>
  <c r="AS30" i="18"/>
  <c r="CC30" i="18" s="1"/>
  <c r="AT30" i="18"/>
  <c r="CD30" i="18" s="1"/>
  <c r="AU30" i="18"/>
  <c r="CE30" i="18" s="1"/>
  <c r="AV30" i="18"/>
  <c r="CF30" i="18" s="1"/>
  <c r="AW30" i="18"/>
  <c r="CG30" i="18" s="1"/>
  <c r="AX30" i="18"/>
  <c r="CH30" i="18" s="1"/>
  <c r="AY30" i="18"/>
  <c r="CI30" i="18" s="1"/>
  <c r="AZ30" i="18"/>
  <c r="CJ30" i="18" s="1"/>
  <c r="BA30" i="18"/>
  <c r="CK30" i="18" s="1"/>
  <c r="BB30" i="18"/>
  <c r="CL30" i="18" s="1"/>
  <c r="BC30" i="18"/>
  <c r="CM30" i="18" s="1"/>
  <c r="BD30" i="18"/>
  <c r="CN30" i="18" s="1"/>
  <c r="BE30" i="18"/>
  <c r="CO30" i="18" s="1"/>
  <c r="BF30" i="18"/>
  <c r="CP30" i="18" s="1"/>
  <c r="BG30" i="18"/>
  <c r="CQ30" i="18" s="1"/>
  <c r="BH30" i="18"/>
  <c r="CR30" i="18" s="1"/>
  <c r="BI30" i="18"/>
  <c r="CS30" i="18" s="1"/>
  <c r="BJ30" i="18"/>
  <c r="CT30" i="18" s="1"/>
  <c r="BK30" i="18"/>
  <c r="CU30" i="18" s="1"/>
  <c r="BL30" i="18"/>
  <c r="CV30" i="18" s="1"/>
  <c r="BM30" i="18"/>
  <c r="CW30" i="18" s="1"/>
  <c r="H31" i="18"/>
  <c r="I31" i="18"/>
  <c r="J31" i="18"/>
  <c r="K31" i="18"/>
  <c r="L31" i="18"/>
  <c r="M31" i="18"/>
  <c r="N31" i="18"/>
  <c r="O31" i="18"/>
  <c r="P31" i="18"/>
  <c r="Q31" i="18"/>
  <c r="R31" i="18"/>
  <c r="S31" i="18"/>
  <c r="T31" i="18"/>
  <c r="U31" i="18"/>
  <c r="V31" i="18"/>
  <c r="W31" i="18"/>
  <c r="X31" i="18"/>
  <c r="Y31" i="18"/>
  <c r="Z31" i="18"/>
  <c r="AA31" i="18"/>
  <c r="AB31" i="18"/>
  <c r="AC31" i="18"/>
  <c r="AR31" i="18"/>
  <c r="AS31" i="18"/>
  <c r="CC31" i="18" s="1"/>
  <c r="AT31" i="18"/>
  <c r="CD31" i="18" s="1"/>
  <c r="AU31" i="18"/>
  <c r="CE31" i="18" s="1"/>
  <c r="AV31" i="18"/>
  <c r="CF31" i="18" s="1"/>
  <c r="AW31" i="18"/>
  <c r="CG31" i="18" s="1"/>
  <c r="AX31" i="18"/>
  <c r="CH31" i="18" s="1"/>
  <c r="AY31" i="18"/>
  <c r="CI31" i="18" s="1"/>
  <c r="AZ31" i="18"/>
  <c r="CJ31" i="18" s="1"/>
  <c r="BA31" i="18"/>
  <c r="CK31" i="18" s="1"/>
  <c r="BB31" i="18"/>
  <c r="CL31" i="18" s="1"/>
  <c r="BC31" i="18"/>
  <c r="CM31" i="18" s="1"/>
  <c r="BD31" i="18"/>
  <c r="CN31" i="18" s="1"/>
  <c r="BE31" i="18"/>
  <c r="CO31" i="18" s="1"/>
  <c r="BF31" i="18"/>
  <c r="CP31" i="18" s="1"/>
  <c r="BG31" i="18"/>
  <c r="CQ31" i="18" s="1"/>
  <c r="BH31" i="18"/>
  <c r="CR31" i="18" s="1"/>
  <c r="BI31" i="18"/>
  <c r="CS31" i="18" s="1"/>
  <c r="BJ31" i="18"/>
  <c r="CT31" i="18" s="1"/>
  <c r="BK31" i="18"/>
  <c r="CU31" i="18" s="1"/>
  <c r="BL31" i="18"/>
  <c r="CV31" i="18" s="1"/>
  <c r="BM31" i="18"/>
  <c r="CW31" i="18" s="1"/>
  <c r="H32" i="18"/>
  <c r="I32" i="18"/>
  <c r="J32" i="18"/>
  <c r="K32" i="18"/>
  <c r="L32" i="18"/>
  <c r="M32" i="18"/>
  <c r="N32" i="18"/>
  <c r="O32" i="18"/>
  <c r="P32" i="18"/>
  <c r="Q32" i="18"/>
  <c r="R32" i="18"/>
  <c r="S32" i="18"/>
  <c r="T32" i="18"/>
  <c r="U32" i="18"/>
  <c r="V32" i="18"/>
  <c r="W32" i="18"/>
  <c r="X32" i="18"/>
  <c r="Y32" i="18"/>
  <c r="Z32" i="18"/>
  <c r="AA32" i="18"/>
  <c r="AB32" i="18"/>
  <c r="AC32" i="18"/>
  <c r="AR32" i="18"/>
  <c r="AS32" i="18"/>
  <c r="CC32" i="18" s="1"/>
  <c r="AT32" i="18"/>
  <c r="CD32" i="18" s="1"/>
  <c r="AU32" i="18"/>
  <c r="CE32" i="18" s="1"/>
  <c r="AV32" i="18"/>
  <c r="CF32" i="18" s="1"/>
  <c r="AW32" i="18"/>
  <c r="CG32" i="18" s="1"/>
  <c r="AX32" i="18"/>
  <c r="CH32" i="18" s="1"/>
  <c r="AY32" i="18"/>
  <c r="CI32" i="18" s="1"/>
  <c r="AZ32" i="18"/>
  <c r="CJ32" i="18" s="1"/>
  <c r="BA32" i="18"/>
  <c r="CK32" i="18" s="1"/>
  <c r="BB32" i="18"/>
  <c r="CL32" i="18" s="1"/>
  <c r="BC32" i="18"/>
  <c r="CM32" i="18" s="1"/>
  <c r="BD32" i="18"/>
  <c r="CN32" i="18" s="1"/>
  <c r="BE32" i="18"/>
  <c r="CO32" i="18" s="1"/>
  <c r="BF32" i="18"/>
  <c r="CP32" i="18" s="1"/>
  <c r="BG32" i="18"/>
  <c r="CQ32" i="18" s="1"/>
  <c r="BH32" i="18"/>
  <c r="CR32" i="18" s="1"/>
  <c r="BI32" i="18"/>
  <c r="CS32" i="18" s="1"/>
  <c r="BJ32" i="18"/>
  <c r="CT32" i="18" s="1"/>
  <c r="BK32" i="18"/>
  <c r="CU32" i="18" s="1"/>
  <c r="BL32" i="18"/>
  <c r="CV32" i="18" s="1"/>
  <c r="BM32" i="18"/>
  <c r="CW32" i="18" s="1"/>
  <c r="H33" i="18"/>
  <c r="I33" i="18"/>
  <c r="J33" i="18"/>
  <c r="K33" i="18"/>
  <c r="L33" i="18"/>
  <c r="M33" i="18"/>
  <c r="N33" i="18"/>
  <c r="O33" i="18"/>
  <c r="P33" i="18"/>
  <c r="Q33" i="18"/>
  <c r="R33" i="18"/>
  <c r="S33" i="18"/>
  <c r="T33" i="18"/>
  <c r="U33" i="18"/>
  <c r="V33" i="18"/>
  <c r="W33" i="18"/>
  <c r="X33" i="18"/>
  <c r="Y33" i="18"/>
  <c r="Z33" i="18"/>
  <c r="AA33" i="18"/>
  <c r="AB33" i="18"/>
  <c r="AC33" i="18"/>
  <c r="AR33" i="18"/>
  <c r="CB33" i="18" s="1"/>
  <c r="AS33" i="18"/>
  <c r="CC33" i="18" s="1"/>
  <c r="AT33" i="18"/>
  <c r="CD33" i="18" s="1"/>
  <c r="AU33" i="18"/>
  <c r="CE33" i="18" s="1"/>
  <c r="AV33" i="18"/>
  <c r="CF33" i="18" s="1"/>
  <c r="AW33" i="18"/>
  <c r="CG33" i="18" s="1"/>
  <c r="AX33" i="18"/>
  <c r="CH33" i="18" s="1"/>
  <c r="AY33" i="18"/>
  <c r="CI33" i="18" s="1"/>
  <c r="AZ33" i="18"/>
  <c r="CJ33" i="18" s="1"/>
  <c r="BA33" i="18"/>
  <c r="CK33" i="18" s="1"/>
  <c r="BB33" i="18"/>
  <c r="CL33" i="18" s="1"/>
  <c r="BC33" i="18"/>
  <c r="CM33" i="18" s="1"/>
  <c r="BD33" i="18"/>
  <c r="CN33" i="18" s="1"/>
  <c r="BE33" i="18"/>
  <c r="CO33" i="18" s="1"/>
  <c r="BF33" i="18"/>
  <c r="CP33" i="18" s="1"/>
  <c r="BG33" i="18"/>
  <c r="CQ33" i="18" s="1"/>
  <c r="BH33" i="18"/>
  <c r="CR33" i="18" s="1"/>
  <c r="BI33" i="18"/>
  <c r="CS33" i="18" s="1"/>
  <c r="BJ33" i="18"/>
  <c r="CT33" i="18" s="1"/>
  <c r="BK33" i="18"/>
  <c r="CU33" i="18" s="1"/>
  <c r="BL33" i="18"/>
  <c r="CV33" i="18" s="1"/>
  <c r="BM33" i="18"/>
  <c r="CW33" i="18" s="1"/>
  <c r="H34" i="18"/>
  <c r="I34" i="18"/>
  <c r="J34" i="18"/>
  <c r="K34" i="18"/>
  <c r="L34" i="18"/>
  <c r="M34" i="18"/>
  <c r="N34" i="18"/>
  <c r="O34" i="18"/>
  <c r="P34" i="18"/>
  <c r="Q34" i="18"/>
  <c r="R34" i="18"/>
  <c r="S34" i="18"/>
  <c r="T34" i="18"/>
  <c r="U34" i="18"/>
  <c r="V34" i="18"/>
  <c r="W34" i="18"/>
  <c r="X34" i="18"/>
  <c r="Y34" i="18"/>
  <c r="Z34" i="18"/>
  <c r="AA34" i="18"/>
  <c r="AB34" i="18"/>
  <c r="AC34" i="18"/>
  <c r="AR34" i="18"/>
  <c r="CB34" i="18" s="1"/>
  <c r="AS34" i="18"/>
  <c r="CC34" i="18" s="1"/>
  <c r="AT34" i="18"/>
  <c r="CD34" i="18" s="1"/>
  <c r="AU34" i="18"/>
  <c r="CE34" i="18" s="1"/>
  <c r="AV34" i="18"/>
  <c r="CF34" i="18" s="1"/>
  <c r="AW34" i="18"/>
  <c r="CG34" i="18" s="1"/>
  <c r="AX34" i="18"/>
  <c r="CH34" i="18" s="1"/>
  <c r="AY34" i="18"/>
  <c r="CI34" i="18" s="1"/>
  <c r="AZ34" i="18"/>
  <c r="CJ34" i="18" s="1"/>
  <c r="BA34" i="18"/>
  <c r="CK34" i="18" s="1"/>
  <c r="BB34" i="18"/>
  <c r="CL34" i="18" s="1"/>
  <c r="BC34" i="18"/>
  <c r="CM34" i="18" s="1"/>
  <c r="BD34" i="18"/>
  <c r="CN34" i="18" s="1"/>
  <c r="BE34" i="18"/>
  <c r="CO34" i="18" s="1"/>
  <c r="BF34" i="18"/>
  <c r="CP34" i="18" s="1"/>
  <c r="BG34" i="18"/>
  <c r="CQ34" i="18" s="1"/>
  <c r="BH34" i="18"/>
  <c r="CR34" i="18" s="1"/>
  <c r="BI34" i="18"/>
  <c r="CS34" i="18" s="1"/>
  <c r="BJ34" i="18"/>
  <c r="CT34" i="18" s="1"/>
  <c r="BK34" i="18"/>
  <c r="CU34" i="18" s="1"/>
  <c r="BL34" i="18"/>
  <c r="CV34" i="18" s="1"/>
  <c r="BM34" i="18"/>
  <c r="CW34" i="18" s="1"/>
  <c r="H35" i="18"/>
  <c r="I35" i="18"/>
  <c r="J35" i="18"/>
  <c r="K35" i="18"/>
  <c r="L35" i="18"/>
  <c r="M35" i="18"/>
  <c r="N35" i="18"/>
  <c r="O35" i="18"/>
  <c r="P35" i="18"/>
  <c r="Q35" i="18"/>
  <c r="R35" i="18"/>
  <c r="S35" i="18"/>
  <c r="T35" i="18"/>
  <c r="U35" i="18"/>
  <c r="V35" i="18"/>
  <c r="W35" i="18"/>
  <c r="X35" i="18"/>
  <c r="Y35" i="18"/>
  <c r="Z35" i="18"/>
  <c r="AA35" i="18"/>
  <c r="AB35" i="18"/>
  <c r="AC35" i="18"/>
  <c r="AR35" i="18"/>
  <c r="CB35" i="18" s="1"/>
  <c r="AS35" i="18"/>
  <c r="CC35" i="18" s="1"/>
  <c r="AT35" i="18"/>
  <c r="CD35" i="18" s="1"/>
  <c r="AU35" i="18"/>
  <c r="CE35" i="18" s="1"/>
  <c r="AV35" i="18"/>
  <c r="CF35" i="18" s="1"/>
  <c r="AW35" i="18"/>
  <c r="CG35" i="18" s="1"/>
  <c r="AX35" i="18"/>
  <c r="CH35" i="18" s="1"/>
  <c r="AY35" i="18"/>
  <c r="CI35" i="18" s="1"/>
  <c r="AZ35" i="18"/>
  <c r="CJ35" i="18" s="1"/>
  <c r="BA35" i="18"/>
  <c r="CK35" i="18" s="1"/>
  <c r="BB35" i="18"/>
  <c r="CL35" i="18" s="1"/>
  <c r="BC35" i="18"/>
  <c r="CM35" i="18" s="1"/>
  <c r="BD35" i="18"/>
  <c r="CN35" i="18" s="1"/>
  <c r="BE35" i="18"/>
  <c r="CO35" i="18" s="1"/>
  <c r="BF35" i="18"/>
  <c r="CP35" i="18" s="1"/>
  <c r="BG35" i="18"/>
  <c r="CQ35" i="18" s="1"/>
  <c r="BH35" i="18"/>
  <c r="CR35" i="18" s="1"/>
  <c r="BI35" i="18"/>
  <c r="CS35" i="18" s="1"/>
  <c r="BJ35" i="18"/>
  <c r="CT35" i="18" s="1"/>
  <c r="BK35" i="18"/>
  <c r="CU35" i="18" s="1"/>
  <c r="BL35" i="18"/>
  <c r="CV35" i="18" s="1"/>
  <c r="BM35" i="18"/>
  <c r="CW35" i="18" s="1"/>
  <c r="H36" i="18"/>
  <c r="I36" i="18"/>
  <c r="J36" i="18"/>
  <c r="K36" i="18"/>
  <c r="L36" i="18"/>
  <c r="M36" i="18"/>
  <c r="N36" i="18"/>
  <c r="O36" i="18"/>
  <c r="P36" i="18"/>
  <c r="Q36" i="18"/>
  <c r="R36" i="18"/>
  <c r="S36" i="18"/>
  <c r="T36" i="18"/>
  <c r="U36" i="18"/>
  <c r="V36" i="18"/>
  <c r="W36" i="18"/>
  <c r="X36" i="18"/>
  <c r="Y36" i="18"/>
  <c r="Z36" i="18"/>
  <c r="AA36" i="18"/>
  <c r="AB36" i="18"/>
  <c r="AC36" i="18"/>
  <c r="AR36" i="18"/>
  <c r="CB36" i="18" s="1"/>
  <c r="AS36" i="18"/>
  <c r="AT36" i="18"/>
  <c r="CD36" i="18" s="1"/>
  <c r="AU36" i="18"/>
  <c r="CE36" i="18" s="1"/>
  <c r="AV36" i="18"/>
  <c r="CF36" i="18" s="1"/>
  <c r="AW36" i="18"/>
  <c r="CG36" i="18" s="1"/>
  <c r="AX36" i="18"/>
  <c r="CH36" i="18" s="1"/>
  <c r="AY36" i="18"/>
  <c r="CI36" i="18" s="1"/>
  <c r="AZ36" i="18"/>
  <c r="CJ36" i="18" s="1"/>
  <c r="BA36" i="18"/>
  <c r="CK36" i="18" s="1"/>
  <c r="BB36" i="18"/>
  <c r="CL36" i="18" s="1"/>
  <c r="BC36" i="18"/>
  <c r="CM36" i="18" s="1"/>
  <c r="BD36" i="18"/>
  <c r="CN36" i="18" s="1"/>
  <c r="BE36" i="18"/>
  <c r="CO36" i="18" s="1"/>
  <c r="BF36" i="18"/>
  <c r="CP36" i="18" s="1"/>
  <c r="BG36" i="18"/>
  <c r="CQ36" i="18" s="1"/>
  <c r="BH36" i="18"/>
  <c r="CR36" i="18" s="1"/>
  <c r="BI36" i="18"/>
  <c r="CS36" i="18" s="1"/>
  <c r="BJ36" i="18"/>
  <c r="CT36" i="18" s="1"/>
  <c r="BK36" i="18"/>
  <c r="CU36" i="18" s="1"/>
  <c r="BL36" i="18"/>
  <c r="CV36" i="18" s="1"/>
  <c r="BM36" i="18"/>
  <c r="CW36" i="18" s="1"/>
  <c r="H37" i="18"/>
  <c r="I37" i="18"/>
  <c r="J37" i="18"/>
  <c r="K37" i="18"/>
  <c r="L37" i="18"/>
  <c r="M37" i="18"/>
  <c r="N37" i="18"/>
  <c r="O37" i="18"/>
  <c r="P37" i="18"/>
  <c r="Q37" i="18"/>
  <c r="R37" i="18"/>
  <c r="S37" i="18"/>
  <c r="T37" i="18"/>
  <c r="U37" i="18"/>
  <c r="V37" i="18"/>
  <c r="W37" i="18"/>
  <c r="X37" i="18"/>
  <c r="Y37" i="18"/>
  <c r="Z37" i="18"/>
  <c r="AA37" i="18"/>
  <c r="AB37" i="18"/>
  <c r="AC37" i="18"/>
  <c r="AR37" i="18"/>
  <c r="CB37" i="18" s="1"/>
  <c r="AS37" i="18"/>
  <c r="CC37" i="18" s="1"/>
  <c r="AT37" i="18"/>
  <c r="CD37" i="18" s="1"/>
  <c r="AU37" i="18"/>
  <c r="CE37" i="18" s="1"/>
  <c r="AV37" i="18"/>
  <c r="CF37" i="18" s="1"/>
  <c r="AW37" i="18"/>
  <c r="CG37" i="18" s="1"/>
  <c r="AX37" i="18"/>
  <c r="CH37" i="18" s="1"/>
  <c r="AY37" i="18"/>
  <c r="CI37" i="18" s="1"/>
  <c r="AZ37" i="18"/>
  <c r="CJ37" i="18" s="1"/>
  <c r="BA37" i="18"/>
  <c r="CK37" i="18" s="1"/>
  <c r="BB37" i="18"/>
  <c r="CL37" i="18" s="1"/>
  <c r="BC37" i="18"/>
  <c r="CM37" i="18" s="1"/>
  <c r="BD37" i="18"/>
  <c r="CN37" i="18" s="1"/>
  <c r="BE37" i="18"/>
  <c r="CO37" i="18" s="1"/>
  <c r="BF37" i="18"/>
  <c r="CP37" i="18" s="1"/>
  <c r="BG37" i="18"/>
  <c r="CQ37" i="18" s="1"/>
  <c r="BH37" i="18"/>
  <c r="CR37" i="18" s="1"/>
  <c r="BI37" i="18"/>
  <c r="CS37" i="18" s="1"/>
  <c r="BJ37" i="18"/>
  <c r="CT37" i="18" s="1"/>
  <c r="BK37" i="18"/>
  <c r="CU37" i="18" s="1"/>
  <c r="BL37" i="18"/>
  <c r="CV37" i="18" s="1"/>
  <c r="BM37" i="18"/>
  <c r="CW37" i="18" s="1"/>
  <c r="H38" i="18"/>
  <c r="I38" i="18"/>
  <c r="J38" i="18"/>
  <c r="K38" i="18"/>
  <c r="L38" i="18"/>
  <c r="M38" i="18"/>
  <c r="N38" i="18"/>
  <c r="O38" i="18"/>
  <c r="P38" i="18"/>
  <c r="Q38" i="18"/>
  <c r="R38" i="18"/>
  <c r="S38" i="18"/>
  <c r="T38" i="18"/>
  <c r="U38" i="18"/>
  <c r="V38" i="18"/>
  <c r="W38" i="18"/>
  <c r="X38" i="18"/>
  <c r="Y38" i="18"/>
  <c r="Z38" i="18"/>
  <c r="AA38" i="18"/>
  <c r="AB38" i="18"/>
  <c r="AC38" i="18"/>
  <c r="AR38" i="18"/>
  <c r="AS38" i="18"/>
  <c r="CC38" i="18" s="1"/>
  <c r="AT38" i="18"/>
  <c r="CD38" i="18" s="1"/>
  <c r="AU38" i="18"/>
  <c r="CE38" i="18" s="1"/>
  <c r="AV38" i="18"/>
  <c r="CF38" i="18" s="1"/>
  <c r="AW38" i="18"/>
  <c r="CG38" i="18" s="1"/>
  <c r="AX38" i="18"/>
  <c r="CH38" i="18" s="1"/>
  <c r="AY38" i="18"/>
  <c r="CI38" i="18" s="1"/>
  <c r="AZ38" i="18"/>
  <c r="CJ38" i="18" s="1"/>
  <c r="BA38" i="18"/>
  <c r="CK38" i="18" s="1"/>
  <c r="BB38" i="18"/>
  <c r="CL38" i="18" s="1"/>
  <c r="BC38" i="18"/>
  <c r="CM38" i="18" s="1"/>
  <c r="BD38" i="18"/>
  <c r="CN38" i="18" s="1"/>
  <c r="BE38" i="18"/>
  <c r="CO38" i="18" s="1"/>
  <c r="BF38" i="18"/>
  <c r="CP38" i="18" s="1"/>
  <c r="BG38" i="18"/>
  <c r="CQ38" i="18" s="1"/>
  <c r="BH38" i="18"/>
  <c r="CR38" i="18" s="1"/>
  <c r="BI38" i="18"/>
  <c r="CS38" i="18" s="1"/>
  <c r="BJ38" i="18"/>
  <c r="CT38" i="18" s="1"/>
  <c r="BK38" i="18"/>
  <c r="CU38" i="18" s="1"/>
  <c r="BL38" i="18"/>
  <c r="CV38" i="18" s="1"/>
  <c r="BM38" i="18"/>
  <c r="CW38" i="18" s="1"/>
  <c r="H39" i="18"/>
  <c r="I39" i="18"/>
  <c r="J39" i="18"/>
  <c r="K39" i="18"/>
  <c r="L39" i="18"/>
  <c r="M39" i="18"/>
  <c r="N39" i="18"/>
  <c r="O39" i="18"/>
  <c r="P39" i="18"/>
  <c r="Q39" i="18"/>
  <c r="R39" i="18"/>
  <c r="S39" i="18"/>
  <c r="T39" i="18"/>
  <c r="U39" i="18"/>
  <c r="V39" i="18"/>
  <c r="W39" i="18"/>
  <c r="X39" i="18"/>
  <c r="Y39" i="18"/>
  <c r="Z39" i="18"/>
  <c r="AA39" i="18"/>
  <c r="AB39" i="18"/>
  <c r="AC39" i="18"/>
  <c r="AR39" i="18"/>
  <c r="CB39" i="18" s="1"/>
  <c r="AS39" i="18"/>
  <c r="CC39" i="18" s="1"/>
  <c r="AT39" i="18"/>
  <c r="CD39" i="18" s="1"/>
  <c r="AU39" i="18"/>
  <c r="CE39" i="18" s="1"/>
  <c r="AV39" i="18"/>
  <c r="CF39" i="18" s="1"/>
  <c r="AW39" i="18"/>
  <c r="CG39" i="18" s="1"/>
  <c r="AX39" i="18"/>
  <c r="CH39" i="18" s="1"/>
  <c r="AY39" i="18"/>
  <c r="CI39" i="18" s="1"/>
  <c r="AZ39" i="18"/>
  <c r="CJ39" i="18" s="1"/>
  <c r="BA39" i="18"/>
  <c r="CK39" i="18" s="1"/>
  <c r="BB39" i="18"/>
  <c r="CL39" i="18" s="1"/>
  <c r="BC39" i="18"/>
  <c r="CM39" i="18" s="1"/>
  <c r="BD39" i="18"/>
  <c r="CN39" i="18" s="1"/>
  <c r="BE39" i="18"/>
  <c r="CO39" i="18" s="1"/>
  <c r="BF39" i="18"/>
  <c r="CP39" i="18" s="1"/>
  <c r="BG39" i="18"/>
  <c r="CQ39" i="18" s="1"/>
  <c r="BH39" i="18"/>
  <c r="CR39" i="18" s="1"/>
  <c r="BI39" i="18"/>
  <c r="CS39" i="18" s="1"/>
  <c r="BJ39" i="18"/>
  <c r="CT39" i="18" s="1"/>
  <c r="BK39" i="18"/>
  <c r="CU39" i="18" s="1"/>
  <c r="BL39" i="18"/>
  <c r="CV39" i="18" s="1"/>
  <c r="BM39" i="18"/>
  <c r="CW39" i="18" s="1"/>
  <c r="H40" i="18"/>
  <c r="I40" i="18"/>
  <c r="J40" i="18"/>
  <c r="K40" i="18"/>
  <c r="L40" i="18"/>
  <c r="M40" i="18"/>
  <c r="N40" i="18"/>
  <c r="O40" i="18"/>
  <c r="P40" i="18"/>
  <c r="Q40" i="18"/>
  <c r="R40" i="18"/>
  <c r="S40" i="18"/>
  <c r="T40" i="18"/>
  <c r="U40" i="18"/>
  <c r="V40" i="18"/>
  <c r="W40" i="18"/>
  <c r="X40" i="18"/>
  <c r="Y40" i="18"/>
  <c r="Z40" i="18"/>
  <c r="AA40" i="18"/>
  <c r="AB40" i="18"/>
  <c r="AC40" i="18"/>
  <c r="AR40" i="18"/>
  <c r="CB40" i="18" s="1"/>
  <c r="AS40" i="18"/>
  <c r="CC40" i="18" s="1"/>
  <c r="AT40" i="18"/>
  <c r="CD40" i="18" s="1"/>
  <c r="AU40" i="18"/>
  <c r="CE40" i="18" s="1"/>
  <c r="AV40" i="18"/>
  <c r="CF40" i="18" s="1"/>
  <c r="AW40" i="18"/>
  <c r="CG40" i="18" s="1"/>
  <c r="AX40" i="18"/>
  <c r="CH40" i="18" s="1"/>
  <c r="AY40" i="18"/>
  <c r="CI40" i="18" s="1"/>
  <c r="AZ40" i="18"/>
  <c r="CJ40" i="18" s="1"/>
  <c r="BA40" i="18"/>
  <c r="CK40" i="18" s="1"/>
  <c r="BB40" i="18"/>
  <c r="CL40" i="18" s="1"/>
  <c r="BC40" i="18"/>
  <c r="CM40" i="18" s="1"/>
  <c r="BD40" i="18"/>
  <c r="CN40" i="18" s="1"/>
  <c r="BE40" i="18"/>
  <c r="CO40" i="18" s="1"/>
  <c r="BF40" i="18"/>
  <c r="CP40" i="18" s="1"/>
  <c r="BG40" i="18"/>
  <c r="CQ40" i="18" s="1"/>
  <c r="BH40" i="18"/>
  <c r="CR40" i="18" s="1"/>
  <c r="BI40" i="18"/>
  <c r="CS40" i="18" s="1"/>
  <c r="BJ40" i="18"/>
  <c r="CT40" i="18" s="1"/>
  <c r="BK40" i="18"/>
  <c r="CU40" i="18" s="1"/>
  <c r="BL40" i="18"/>
  <c r="CV40" i="18" s="1"/>
  <c r="BM40" i="18"/>
  <c r="CW40" i="18" s="1"/>
  <c r="H41" i="18"/>
  <c r="I41" i="18"/>
  <c r="J41" i="18"/>
  <c r="K41" i="18"/>
  <c r="L41" i="18"/>
  <c r="M41" i="18"/>
  <c r="N41" i="18"/>
  <c r="O41" i="18"/>
  <c r="P41" i="18"/>
  <c r="Q41" i="18"/>
  <c r="R41" i="18"/>
  <c r="S41" i="18"/>
  <c r="T41" i="18"/>
  <c r="U41" i="18"/>
  <c r="V41" i="18"/>
  <c r="W41" i="18"/>
  <c r="X41" i="18"/>
  <c r="Y41" i="18"/>
  <c r="Z41" i="18"/>
  <c r="AA41" i="18"/>
  <c r="AB41" i="18"/>
  <c r="AC41" i="18"/>
  <c r="AR41" i="18"/>
  <c r="CB41" i="18" s="1"/>
  <c r="AS41" i="18"/>
  <c r="CC41" i="18" s="1"/>
  <c r="AT41" i="18"/>
  <c r="CD41" i="18" s="1"/>
  <c r="AU41" i="18"/>
  <c r="CE41" i="18" s="1"/>
  <c r="AV41" i="18"/>
  <c r="CF41" i="18" s="1"/>
  <c r="AW41" i="18"/>
  <c r="CG41" i="18" s="1"/>
  <c r="AX41" i="18"/>
  <c r="CH41" i="18" s="1"/>
  <c r="AY41" i="18"/>
  <c r="CI41" i="18" s="1"/>
  <c r="AZ41" i="18"/>
  <c r="CJ41" i="18" s="1"/>
  <c r="BA41" i="18"/>
  <c r="CK41" i="18" s="1"/>
  <c r="BB41" i="18"/>
  <c r="CL41" i="18" s="1"/>
  <c r="BC41" i="18"/>
  <c r="CM41" i="18" s="1"/>
  <c r="BD41" i="18"/>
  <c r="CN41" i="18" s="1"/>
  <c r="BE41" i="18"/>
  <c r="CO41" i="18" s="1"/>
  <c r="BF41" i="18"/>
  <c r="CP41" i="18" s="1"/>
  <c r="BG41" i="18"/>
  <c r="CQ41" i="18" s="1"/>
  <c r="BH41" i="18"/>
  <c r="CR41" i="18" s="1"/>
  <c r="BI41" i="18"/>
  <c r="CS41" i="18" s="1"/>
  <c r="BJ41" i="18"/>
  <c r="CT41" i="18" s="1"/>
  <c r="BK41" i="18"/>
  <c r="CU41" i="18" s="1"/>
  <c r="BL41" i="18"/>
  <c r="CV41" i="18" s="1"/>
  <c r="BM41" i="18"/>
  <c r="CW41" i="18" s="1"/>
  <c r="H42" i="18"/>
  <c r="I42" i="18"/>
  <c r="J42" i="18"/>
  <c r="K42" i="18"/>
  <c r="L42" i="18"/>
  <c r="M42" i="18"/>
  <c r="N42" i="18"/>
  <c r="O42" i="18"/>
  <c r="P42" i="18"/>
  <c r="Q42" i="18"/>
  <c r="R42" i="18"/>
  <c r="S42" i="18"/>
  <c r="T42" i="18"/>
  <c r="U42" i="18"/>
  <c r="V42" i="18"/>
  <c r="W42" i="18"/>
  <c r="X42" i="18"/>
  <c r="Y42" i="18"/>
  <c r="Z42" i="18"/>
  <c r="AA42" i="18"/>
  <c r="AB42" i="18"/>
  <c r="AC42" i="18"/>
  <c r="AR42" i="18"/>
  <c r="CB42" i="18" s="1"/>
  <c r="AS42" i="18"/>
  <c r="CC42" i="18" s="1"/>
  <c r="AT42" i="18"/>
  <c r="CD42" i="18" s="1"/>
  <c r="AU42" i="18"/>
  <c r="CE42" i="18" s="1"/>
  <c r="AV42" i="18"/>
  <c r="CF42" i="18" s="1"/>
  <c r="AW42" i="18"/>
  <c r="CG42" i="18" s="1"/>
  <c r="AX42" i="18"/>
  <c r="CH42" i="18" s="1"/>
  <c r="AY42" i="18"/>
  <c r="CI42" i="18" s="1"/>
  <c r="AZ42" i="18"/>
  <c r="CJ42" i="18" s="1"/>
  <c r="BA42" i="18"/>
  <c r="CK42" i="18" s="1"/>
  <c r="BB42" i="18"/>
  <c r="CL42" i="18" s="1"/>
  <c r="BC42" i="18"/>
  <c r="CM42" i="18" s="1"/>
  <c r="BD42" i="18"/>
  <c r="CN42" i="18" s="1"/>
  <c r="BE42" i="18"/>
  <c r="CO42" i="18" s="1"/>
  <c r="BF42" i="18"/>
  <c r="CP42" i="18" s="1"/>
  <c r="BG42" i="18"/>
  <c r="CQ42" i="18" s="1"/>
  <c r="BH42" i="18"/>
  <c r="CR42" i="18" s="1"/>
  <c r="BI42" i="18"/>
  <c r="CS42" i="18" s="1"/>
  <c r="BJ42" i="18"/>
  <c r="CT42" i="18" s="1"/>
  <c r="BK42" i="18"/>
  <c r="CU42" i="18" s="1"/>
  <c r="BL42" i="18"/>
  <c r="CV42" i="18" s="1"/>
  <c r="BM42" i="18"/>
  <c r="CW42" i="18" s="1"/>
  <c r="H43" i="18"/>
  <c r="I43" i="18"/>
  <c r="J43" i="18"/>
  <c r="K43" i="18"/>
  <c r="L43" i="18"/>
  <c r="M43" i="18"/>
  <c r="N43" i="18"/>
  <c r="O43" i="18"/>
  <c r="P43" i="18"/>
  <c r="Q43" i="18"/>
  <c r="R43" i="18"/>
  <c r="S43" i="18"/>
  <c r="T43" i="18"/>
  <c r="U43" i="18"/>
  <c r="V43" i="18"/>
  <c r="W43" i="18"/>
  <c r="X43" i="18"/>
  <c r="Y43" i="18"/>
  <c r="Z43" i="18"/>
  <c r="AA43" i="18"/>
  <c r="AB43" i="18"/>
  <c r="AC43" i="18"/>
  <c r="AR43" i="18"/>
  <c r="CB43" i="18" s="1"/>
  <c r="AS43" i="18"/>
  <c r="CC43" i="18" s="1"/>
  <c r="AT43" i="18"/>
  <c r="CD43" i="18" s="1"/>
  <c r="AU43" i="18"/>
  <c r="CE43" i="18" s="1"/>
  <c r="AV43" i="18"/>
  <c r="CF43" i="18" s="1"/>
  <c r="AW43" i="18"/>
  <c r="CG43" i="18" s="1"/>
  <c r="AX43" i="18"/>
  <c r="CH43" i="18" s="1"/>
  <c r="AY43" i="18"/>
  <c r="CI43" i="18" s="1"/>
  <c r="AZ43" i="18"/>
  <c r="CJ43" i="18" s="1"/>
  <c r="BA43" i="18"/>
  <c r="CK43" i="18" s="1"/>
  <c r="BB43" i="18"/>
  <c r="CL43" i="18" s="1"/>
  <c r="BC43" i="18"/>
  <c r="CM43" i="18" s="1"/>
  <c r="BD43" i="18"/>
  <c r="CN43" i="18" s="1"/>
  <c r="BE43" i="18"/>
  <c r="CO43" i="18" s="1"/>
  <c r="BF43" i="18"/>
  <c r="CP43" i="18" s="1"/>
  <c r="BG43" i="18"/>
  <c r="CQ43" i="18" s="1"/>
  <c r="BH43" i="18"/>
  <c r="CR43" i="18" s="1"/>
  <c r="BI43" i="18"/>
  <c r="CS43" i="18" s="1"/>
  <c r="BJ43" i="18"/>
  <c r="CT43" i="18" s="1"/>
  <c r="BK43" i="18"/>
  <c r="CU43" i="18" s="1"/>
  <c r="BL43" i="18"/>
  <c r="CV43" i="18" s="1"/>
  <c r="BM43" i="18"/>
  <c r="CW43" i="18" s="1"/>
  <c r="H44" i="18"/>
  <c r="I44" i="18"/>
  <c r="J44" i="18"/>
  <c r="K44" i="18"/>
  <c r="L44" i="18"/>
  <c r="M44" i="18"/>
  <c r="N44" i="18"/>
  <c r="O44" i="18"/>
  <c r="P44" i="18"/>
  <c r="Q44" i="18"/>
  <c r="R44" i="18"/>
  <c r="S44" i="18"/>
  <c r="T44" i="18"/>
  <c r="U44" i="18"/>
  <c r="V44" i="18"/>
  <c r="W44" i="18"/>
  <c r="X44" i="18"/>
  <c r="Y44" i="18"/>
  <c r="Z44" i="18"/>
  <c r="AA44" i="18"/>
  <c r="AB44" i="18"/>
  <c r="AC44" i="18"/>
  <c r="AR44" i="18"/>
  <c r="CB44" i="18" s="1"/>
  <c r="AS44" i="18"/>
  <c r="CC44" i="18" s="1"/>
  <c r="AT44" i="18"/>
  <c r="CD44" i="18" s="1"/>
  <c r="AU44" i="18"/>
  <c r="CE44" i="18" s="1"/>
  <c r="AV44" i="18"/>
  <c r="CF44" i="18" s="1"/>
  <c r="AW44" i="18"/>
  <c r="CG44" i="18" s="1"/>
  <c r="AX44" i="18"/>
  <c r="CH44" i="18" s="1"/>
  <c r="AY44" i="18"/>
  <c r="CI44" i="18" s="1"/>
  <c r="AZ44" i="18"/>
  <c r="CJ44" i="18" s="1"/>
  <c r="BA44" i="18"/>
  <c r="CK44" i="18" s="1"/>
  <c r="BB44" i="18"/>
  <c r="CL44" i="18" s="1"/>
  <c r="BC44" i="18"/>
  <c r="CM44" i="18" s="1"/>
  <c r="BD44" i="18"/>
  <c r="CN44" i="18" s="1"/>
  <c r="BE44" i="18"/>
  <c r="CO44" i="18" s="1"/>
  <c r="BF44" i="18"/>
  <c r="CP44" i="18" s="1"/>
  <c r="BG44" i="18"/>
  <c r="CQ44" i="18" s="1"/>
  <c r="BH44" i="18"/>
  <c r="CR44" i="18" s="1"/>
  <c r="BI44" i="18"/>
  <c r="CS44" i="18" s="1"/>
  <c r="BJ44" i="18"/>
  <c r="CT44" i="18" s="1"/>
  <c r="BK44" i="18"/>
  <c r="CU44" i="18" s="1"/>
  <c r="BL44" i="18"/>
  <c r="CV44" i="18" s="1"/>
  <c r="BM44" i="18"/>
  <c r="CW44" i="18" s="1"/>
  <c r="H45" i="18"/>
  <c r="I45" i="18"/>
  <c r="J45" i="18"/>
  <c r="K45" i="18"/>
  <c r="L45" i="18"/>
  <c r="M45" i="18"/>
  <c r="N45" i="18"/>
  <c r="O45" i="18"/>
  <c r="P45" i="18"/>
  <c r="Q45" i="18"/>
  <c r="R45" i="18"/>
  <c r="S45" i="18"/>
  <c r="T45" i="18"/>
  <c r="U45" i="18"/>
  <c r="V45" i="18"/>
  <c r="W45" i="18"/>
  <c r="X45" i="18"/>
  <c r="Y45" i="18"/>
  <c r="Z45" i="18"/>
  <c r="AA45" i="18"/>
  <c r="AB45" i="18"/>
  <c r="AC45" i="18"/>
  <c r="AR45" i="18"/>
  <c r="CB45" i="18" s="1"/>
  <c r="AS45" i="18"/>
  <c r="CC45" i="18" s="1"/>
  <c r="AT45" i="18"/>
  <c r="CD45" i="18" s="1"/>
  <c r="AU45" i="18"/>
  <c r="CE45" i="18" s="1"/>
  <c r="AV45" i="18"/>
  <c r="CF45" i="18" s="1"/>
  <c r="AW45" i="18"/>
  <c r="CG45" i="18" s="1"/>
  <c r="AX45" i="18"/>
  <c r="CH45" i="18" s="1"/>
  <c r="AY45" i="18"/>
  <c r="CI45" i="18" s="1"/>
  <c r="AZ45" i="18"/>
  <c r="CJ45" i="18" s="1"/>
  <c r="BA45" i="18"/>
  <c r="CK45" i="18" s="1"/>
  <c r="BB45" i="18"/>
  <c r="CL45" i="18" s="1"/>
  <c r="BC45" i="18"/>
  <c r="CM45" i="18" s="1"/>
  <c r="BD45" i="18"/>
  <c r="CN45" i="18" s="1"/>
  <c r="BE45" i="18"/>
  <c r="CO45" i="18" s="1"/>
  <c r="BF45" i="18"/>
  <c r="CP45" i="18" s="1"/>
  <c r="BG45" i="18"/>
  <c r="CQ45" i="18" s="1"/>
  <c r="BH45" i="18"/>
  <c r="CR45" i="18" s="1"/>
  <c r="BI45" i="18"/>
  <c r="CS45" i="18" s="1"/>
  <c r="BJ45" i="18"/>
  <c r="CT45" i="18" s="1"/>
  <c r="BK45" i="18"/>
  <c r="CU45" i="18" s="1"/>
  <c r="BL45" i="18"/>
  <c r="CV45" i="18" s="1"/>
  <c r="BM45" i="18"/>
  <c r="CW45" i="18" s="1"/>
  <c r="H46" i="18"/>
  <c r="I46" i="18"/>
  <c r="J46" i="18"/>
  <c r="K46" i="18"/>
  <c r="L46" i="18"/>
  <c r="M46" i="18"/>
  <c r="N46" i="18"/>
  <c r="O46" i="18"/>
  <c r="P46" i="18"/>
  <c r="Q46" i="18"/>
  <c r="R46" i="18"/>
  <c r="S46" i="18"/>
  <c r="T46" i="18"/>
  <c r="U46" i="18"/>
  <c r="V46" i="18"/>
  <c r="W46" i="18"/>
  <c r="X46" i="18"/>
  <c r="Y46" i="18"/>
  <c r="Z46" i="18"/>
  <c r="AA46" i="18"/>
  <c r="AB46" i="18"/>
  <c r="AC46" i="18"/>
  <c r="AR46" i="18"/>
  <c r="CB46" i="18" s="1"/>
  <c r="AS46" i="18"/>
  <c r="CC46" i="18" s="1"/>
  <c r="AT46" i="18"/>
  <c r="CD46" i="18" s="1"/>
  <c r="AU46" i="18"/>
  <c r="CE46" i="18" s="1"/>
  <c r="AV46" i="18"/>
  <c r="CF46" i="18" s="1"/>
  <c r="AW46" i="18"/>
  <c r="CG46" i="18" s="1"/>
  <c r="AX46" i="18"/>
  <c r="CH46" i="18" s="1"/>
  <c r="AY46" i="18"/>
  <c r="CI46" i="18" s="1"/>
  <c r="AZ46" i="18"/>
  <c r="CJ46" i="18" s="1"/>
  <c r="BA46" i="18"/>
  <c r="CK46" i="18" s="1"/>
  <c r="BB46" i="18"/>
  <c r="CL46" i="18" s="1"/>
  <c r="BC46" i="18"/>
  <c r="CM46" i="18" s="1"/>
  <c r="BD46" i="18"/>
  <c r="CN46" i="18" s="1"/>
  <c r="BE46" i="18"/>
  <c r="CO46" i="18" s="1"/>
  <c r="BF46" i="18"/>
  <c r="CP46" i="18" s="1"/>
  <c r="BG46" i="18"/>
  <c r="CQ46" i="18" s="1"/>
  <c r="BH46" i="18"/>
  <c r="CR46" i="18" s="1"/>
  <c r="BI46" i="18"/>
  <c r="CS46" i="18" s="1"/>
  <c r="BJ46" i="18"/>
  <c r="CT46" i="18" s="1"/>
  <c r="BK46" i="18"/>
  <c r="CU46" i="18" s="1"/>
  <c r="BL46" i="18"/>
  <c r="CV46" i="18" s="1"/>
  <c r="BM46" i="18"/>
  <c r="CW46" i="18" s="1"/>
  <c r="H47" i="18"/>
  <c r="I47" i="18"/>
  <c r="J47" i="18"/>
  <c r="K47" i="18"/>
  <c r="L47" i="18"/>
  <c r="M47" i="18"/>
  <c r="N47" i="18"/>
  <c r="O47" i="18"/>
  <c r="P47" i="18"/>
  <c r="Q47" i="18"/>
  <c r="R47" i="18"/>
  <c r="S47" i="18"/>
  <c r="T47" i="18"/>
  <c r="U47" i="18"/>
  <c r="V47" i="18"/>
  <c r="W47" i="18"/>
  <c r="X47" i="18"/>
  <c r="Y47" i="18"/>
  <c r="Z47" i="18"/>
  <c r="AA47" i="18"/>
  <c r="AB47" i="18"/>
  <c r="AC47" i="18"/>
  <c r="AR47" i="18"/>
  <c r="CB47" i="18" s="1"/>
  <c r="AS47" i="18"/>
  <c r="CC47" i="18" s="1"/>
  <c r="AT47" i="18"/>
  <c r="CD47" i="18" s="1"/>
  <c r="AU47" i="18"/>
  <c r="CE47" i="18" s="1"/>
  <c r="AV47" i="18"/>
  <c r="CF47" i="18" s="1"/>
  <c r="AW47" i="18"/>
  <c r="CG47" i="18" s="1"/>
  <c r="AX47" i="18"/>
  <c r="CH47" i="18" s="1"/>
  <c r="AY47" i="18"/>
  <c r="CI47" i="18" s="1"/>
  <c r="AZ47" i="18"/>
  <c r="CJ47" i="18" s="1"/>
  <c r="BA47" i="18"/>
  <c r="CK47" i="18" s="1"/>
  <c r="BB47" i="18"/>
  <c r="CL47" i="18" s="1"/>
  <c r="BC47" i="18"/>
  <c r="CM47" i="18" s="1"/>
  <c r="BD47" i="18"/>
  <c r="CN47" i="18" s="1"/>
  <c r="BE47" i="18"/>
  <c r="CO47" i="18" s="1"/>
  <c r="BF47" i="18"/>
  <c r="CP47" i="18" s="1"/>
  <c r="BG47" i="18"/>
  <c r="CQ47" i="18" s="1"/>
  <c r="BH47" i="18"/>
  <c r="CR47" i="18" s="1"/>
  <c r="BI47" i="18"/>
  <c r="CS47" i="18" s="1"/>
  <c r="BJ47" i="18"/>
  <c r="CT47" i="18" s="1"/>
  <c r="BK47" i="18"/>
  <c r="CU47" i="18" s="1"/>
  <c r="BL47" i="18"/>
  <c r="CV47" i="18" s="1"/>
  <c r="BM47" i="18"/>
  <c r="CW47" i="18" s="1"/>
  <c r="H48" i="18"/>
  <c r="I48" i="18"/>
  <c r="J48" i="18"/>
  <c r="K48" i="18"/>
  <c r="L48" i="18"/>
  <c r="M48" i="18"/>
  <c r="N48" i="18"/>
  <c r="O48" i="18"/>
  <c r="P48" i="18"/>
  <c r="Q48" i="18"/>
  <c r="R48" i="18"/>
  <c r="S48" i="18"/>
  <c r="T48" i="18"/>
  <c r="U48" i="18"/>
  <c r="V48" i="18"/>
  <c r="W48" i="18"/>
  <c r="X48" i="18"/>
  <c r="Y48" i="18"/>
  <c r="Z48" i="18"/>
  <c r="AA48" i="18"/>
  <c r="AB48" i="18"/>
  <c r="AC48" i="18"/>
  <c r="AR48" i="18"/>
  <c r="CB48" i="18" s="1"/>
  <c r="AS48" i="18"/>
  <c r="CC48" i="18" s="1"/>
  <c r="AT48" i="18"/>
  <c r="CD48" i="18" s="1"/>
  <c r="AU48" i="18"/>
  <c r="CE48" i="18" s="1"/>
  <c r="AV48" i="18"/>
  <c r="CF48" i="18" s="1"/>
  <c r="AW48" i="18"/>
  <c r="CG48" i="18" s="1"/>
  <c r="AX48" i="18"/>
  <c r="CH48" i="18" s="1"/>
  <c r="AY48" i="18"/>
  <c r="CI48" i="18" s="1"/>
  <c r="AZ48" i="18"/>
  <c r="CJ48" i="18" s="1"/>
  <c r="BA48" i="18"/>
  <c r="CK48" i="18" s="1"/>
  <c r="BB48" i="18"/>
  <c r="CL48" i="18" s="1"/>
  <c r="BC48" i="18"/>
  <c r="CM48" i="18" s="1"/>
  <c r="BD48" i="18"/>
  <c r="CN48" i="18" s="1"/>
  <c r="BE48" i="18"/>
  <c r="CO48" i="18" s="1"/>
  <c r="BF48" i="18"/>
  <c r="CP48" i="18" s="1"/>
  <c r="BG48" i="18"/>
  <c r="CQ48" i="18" s="1"/>
  <c r="BH48" i="18"/>
  <c r="CR48" i="18" s="1"/>
  <c r="BI48" i="18"/>
  <c r="CS48" i="18" s="1"/>
  <c r="BJ48" i="18"/>
  <c r="CT48" i="18" s="1"/>
  <c r="BK48" i="18"/>
  <c r="CU48" i="18" s="1"/>
  <c r="BL48" i="18"/>
  <c r="CV48" i="18" s="1"/>
  <c r="BM48" i="18"/>
  <c r="CW48" i="18" s="1"/>
  <c r="H49" i="18"/>
  <c r="I49" i="18"/>
  <c r="J49" i="18"/>
  <c r="K49" i="18"/>
  <c r="L49" i="18"/>
  <c r="M49" i="18"/>
  <c r="N49" i="18"/>
  <c r="O49" i="18"/>
  <c r="P49" i="18"/>
  <c r="Q49" i="18"/>
  <c r="R49" i="18"/>
  <c r="S49" i="18"/>
  <c r="T49" i="18"/>
  <c r="U49" i="18"/>
  <c r="V49" i="18"/>
  <c r="W49" i="18"/>
  <c r="X49" i="18"/>
  <c r="Y49" i="18"/>
  <c r="Z49" i="18"/>
  <c r="AA49" i="18"/>
  <c r="AB49" i="18"/>
  <c r="AC49" i="18"/>
  <c r="AR49" i="18"/>
  <c r="CB49" i="18" s="1"/>
  <c r="AS49" i="18"/>
  <c r="CC49" i="18" s="1"/>
  <c r="AT49" i="18"/>
  <c r="CD49" i="18" s="1"/>
  <c r="AU49" i="18"/>
  <c r="CE49" i="18" s="1"/>
  <c r="AV49" i="18"/>
  <c r="AW49" i="18"/>
  <c r="CG49" i="18" s="1"/>
  <c r="AX49" i="18"/>
  <c r="CH49" i="18" s="1"/>
  <c r="AY49" i="18"/>
  <c r="CI49" i="18" s="1"/>
  <c r="AZ49" i="18"/>
  <c r="CJ49" i="18" s="1"/>
  <c r="BA49" i="18"/>
  <c r="CK49" i="18" s="1"/>
  <c r="BB49" i="18"/>
  <c r="CL49" i="18" s="1"/>
  <c r="BC49" i="18"/>
  <c r="CM49" i="18" s="1"/>
  <c r="BD49" i="18"/>
  <c r="CN49" i="18" s="1"/>
  <c r="BE49" i="18"/>
  <c r="CO49" i="18" s="1"/>
  <c r="BF49" i="18"/>
  <c r="CP49" i="18" s="1"/>
  <c r="BG49" i="18"/>
  <c r="CQ49" i="18" s="1"/>
  <c r="BH49" i="18"/>
  <c r="CR49" i="18" s="1"/>
  <c r="BI49" i="18"/>
  <c r="CS49" i="18" s="1"/>
  <c r="BJ49" i="18"/>
  <c r="CT49" i="18" s="1"/>
  <c r="BK49" i="18"/>
  <c r="CU49" i="18" s="1"/>
  <c r="BL49" i="18"/>
  <c r="CV49" i="18" s="1"/>
  <c r="BM49" i="18"/>
  <c r="CW49" i="18" s="1"/>
  <c r="H50" i="18"/>
  <c r="I50" i="18"/>
  <c r="J50" i="18"/>
  <c r="K50" i="18"/>
  <c r="L50" i="18"/>
  <c r="M50" i="18"/>
  <c r="N50" i="18"/>
  <c r="O50" i="18"/>
  <c r="P50" i="18"/>
  <c r="Q50" i="18"/>
  <c r="R50" i="18"/>
  <c r="S50" i="18"/>
  <c r="T50" i="18"/>
  <c r="U50" i="18"/>
  <c r="V50" i="18"/>
  <c r="W50" i="18"/>
  <c r="X50" i="18"/>
  <c r="Y50" i="18"/>
  <c r="Z50" i="18"/>
  <c r="AA50" i="18"/>
  <c r="AB50" i="18"/>
  <c r="AC50" i="18"/>
  <c r="AR50" i="18"/>
  <c r="CB50" i="18" s="1"/>
  <c r="AS50" i="18"/>
  <c r="CC50" i="18" s="1"/>
  <c r="AT50" i="18"/>
  <c r="CD50" i="18" s="1"/>
  <c r="AU50" i="18"/>
  <c r="CE50" i="18" s="1"/>
  <c r="AV50" i="18"/>
  <c r="CF50" i="18" s="1"/>
  <c r="AW50" i="18"/>
  <c r="CG50" i="18" s="1"/>
  <c r="AX50" i="18"/>
  <c r="CH50" i="18" s="1"/>
  <c r="AY50" i="18"/>
  <c r="CI50" i="18" s="1"/>
  <c r="AZ50" i="18"/>
  <c r="CJ50" i="18" s="1"/>
  <c r="BA50" i="18"/>
  <c r="CK50" i="18" s="1"/>
  <c r="BB50" i="18"/>
  <c r="CL50" i="18" s="1"/>
  <c r="BC50" i="18"/>
  <c r="CM50" i="18" s="1"/>
  <c r="BD50" i="18"/>
  <c r="CN50" i="18" s="1"/>
  <c r="BE50" i="18"/>
  <c r="CO50" i="18" s="1"/>
  <c r="BF50" i="18"/>
  <c r="CP50" i="18" s="1"/>
  <c r="BG50" i="18"/>
  <c r="CQ50" i="18" s="1"/>
  <c r="BH50" i="18"/>
  <c r="CR50" i="18" s="1"/>
  <c r="BI50" i="18"/>
  <c r="CS50" i="18" s="1"/>
  <c r="BJ50" i="18"/>
  <c r="CT50" i="18" s="1"/>
  <c r="BK50" i="18"/>
  <c r="CU50" i="18" s="1"/>
  <c r="BL50" i="18"/>
  <c r="CV50" i="18" s="1"/>
  <c r="BM50" i="18"/>
  <c r="CW50" i="18" s="1"/>
  <c r="H51" i="18"/>
  <c r="I51" i="18"/>
  <c r="J51" i="18"/>
  <c r="K51" i="18"/>
  <c r="L51" i="18"/>
  <c r="M51" i="18"/>
  <c r="N51" i="18"/>
  <c r="O51" i="18"/>
  <c r="P51" i="18"/>
  <c r="Q51" i="18"/>
  <c r="R51" i="18"/>
  <c r="S51" i="18"/>
  <c r="T51" i="18"/>
  <c r="U51" i="18"/>
  <c r="V51" i="18"/>
  <c r="W51" i="18"/>
  <c r="X51" i="18"/>
  <c r="Y51" i="18"/>
  <c r="Z51" i="18"/>
  <c r="AA51" i="18"/>
  <c r="AB51" i="18"/>
  <c r="AC51" i="18"/>
  <c r="AR51" i="18"/>
  <c r="CB51" i="18" s="1"/>
  <c r="AS51" i="18"/>
  <c r="CC51" i="18" s="1"/>
  <c r="AT51" i="18"/>
  <c r="CD51" i="18" s="1"/>
  <c r="AU51" i="18"/>
  <c r="CE51" i="18" s="1"/>
  <c r="AV51" i="18"/>
  <c r="CF51" i="18" s="1"/>
  <c r="AW51" i="18"/>
  <c r="CG51" i="18" s="1"/>
  <c r="AX51" i="18"/>
  <c r="CH51" i="18" s="1"/>
  <c r="AY51" i="18"/>
  <c r="CI51" i="18" s="1"/>
  <c r="AZ51" i="18"/>
  <c r="CJ51" i="18" s="1"/>
  <c r="BA51" i="18"/>
  <c r="CK51" i="18" s="1"/>
  <c r="BB51" i="18"/>
  <c r="CL51" i="18" s="1"/>
  <c r="BC51" i="18"/>
  <c r="CM51" i="18" s="1"/>
  <c r="BD51" i="18"/>
  <c r="CN51" i="18" s="1"/>
  <c r="BE51" i="18"/>
  <c r="CO51" i="18" s="1"/>
  <c r="BF51" i="18"/>
  <c r="CP51" i="18" s="1"/>
  <c r="BG51" i="18"/>
  <c r="CQ51" i="18" s="1"/>
  <c r="BH51" i="18"/>
  <c r="CR51" i="18" s="1"/>
  <c r="BI51" i="18"/>
  <c r="CS51" i="18" s="1"/>
  <c r="BJ51" i="18"/>
  <c r="CT51" i="18" s="1"/>
  <c r="BK51" i="18"/>
  <c r="CU51" i="18" s="1"/>
  <c r="BL51" i="18"/>
  <c r="CV51" i="18" s="1"/>
  <c r="BM51" i="18"/>
  <c r="CW51" i="18" s="1"/>
  <c r="H52" i="18"/>
  <c r="I52" i="18"/>
  <c r="J52" i="18"/>
  <c r="K52" i="18"/>
  <c r="L52" i="18"/>
  <c r="M52" i="18"/>
  <c r="N52" i="18"/>
  <c r="O52" i="18"/>
  <c r="P52" i="18"/>
  <c r="Q52" i="18"/>
  <c r="R52" i="18"/>
  <c r="S52" i="18"/>
  <c r="T52" i="18"/>
  <c r="U52" i="18"/>
  <c r="V52" i="18"/>
  <c r="W52" i="18"/>
  <c r="X52" i="18"/>
  <c r="Y52" i="18"/>
  <c r="Z52" i="18"/>
  <c r="AA52" i="18"/>
  <c r="AB52" i="18"/>
  <c r="AC52" i="18"/>
  <c r="AR52" i="18"/>
  <c r="CB52" i="18" s="1"/>
  <c r="AS52" i="18"/>
  <c r="CC52" i="18" s="1"/>
  <c r="AT52" i="18"/>
  <c r="CD52" i="18" s="1"/>
  <c r="AU52" i="18"/>
  <c r="CE52" i="18" s="1"/>
  <c r="AV52" i="18"/>
  <c r="CF52" i="18" s="1"/>
  <c r="AW52" i="18"/>
  <c r="CG52" i="18" s="1"/>
  <c r="AX52" i="18"/>
  <c r="CH52" i="18" s="1"/>
  <c r="AY52" i="18"/>
  <c r="CI52" i="18" s="1"/>
  <c r="AZ52" i="18"/>
  <c r="CJ52" i="18" s="1"/>
  <c r="BA52" i="18"/>
  <c r="CK52" i="18" s="1"/>
  <c r="BB52" i="18"/>
  <c r="CL52" i="18" s="1"/>
  <c r="BC52" i="18"/>
  <c r="CM52" i="18" s="1"/>
  <c r="BD52" i="18"/>
  <c r="CN52" i="18" s="1"/>
  <c r="BE52" i="18"/>
  <c r="CO52" i="18" s="1"/>
  <c r="BF52" i="18"/>
  <c r="CP52" i="18" s="1"/>
  <c r="BG52" i="18"/>
  <c r="CQ52" i="18" s="1"/>
  <c r="BH52" i="18"/>
  <c r="CR52" i="18" s="1"/>
  <c r="BI52" i="18"/>
  <c r="CS52" i="18" s="1"/>
  <c r="BJ52" i="18"/>
  <c r="CT52" i="18" s="1"/>
  <c r="BK52" i="18"/>
  <c r="CU52" i="18" s="1"/>
  <c r="BL52" i="18"/>
  <c r="CV52" i="18" s="1"/>
  <c r="BM52" i="18"/>
  <c r="CW52" i="18" s="1"/>
  <c r="H53" i="18"/>
  <c r="I53" i="18"/>
  <c r="J53" i="18"/>
  <c r="K53" i="18"/>
  <c r="L53" i="18"/>
  <c r="M53" i="18"/>
  <c r="N53" i="18"/>
  <c r="O53" i="18"/>
  <c r="P53" i="18"/>
  <c r="Q53" i="18"/>
  <c r="R53" i="18"/>
  <c r="S53" i="18"/>
  <c r="T53" i="18"/>
  <c r="U53" i="18"/>
  <c r="V53" i="18"/>
  <c r="W53" i="18"/>
  <c r="X53" i="18"/>
  <c r="Y53" i="18"/>
  <c r="Z53" i="18"/>
  <c r="AA53" i="18"/>
  <c r="AB53" i="18"/>
  <c r="AC53" i="18"/>
  <c r="AR53" i="18"/>
  <c r="CB53" i="18" s="1"/>
  <c r="AS53" i="18"/>
  <c r="CC53" i="18" s="1"/>
  <c r="AT53" i="18"/>
  <c r="CD53" i="18" s="1"/>
  <c r="AU53" i="18"/>
  <c r="CE53" i="18" s="1"/>
  <c r="AV53" i="18"/>
  <c r="CF53" i="18" s="1"/>
  <c r="AW53" i="18"/>
  <c r="CG53" i="18" s="1"/>
  <c r="AX53" i="18"/>
  <c r="CH53" i="18" s="1"/>
  <c r="AY53" i="18"/>
  <c r="CI53" i="18" s="1"/>
  <c r="AZ53" i="18"/>
  <c r="CJ53" i="18" s="1"/>
  <c r="BA53" i="18"/>
  <c r="CK53" i="18" s="1"/>
  <c r="BB53" i="18"/>
  <c r="CL53" i="18" s="1"/>
  <c r="BC53" i="18"/>
  <c r="CM53" i="18" s="1"/>
  <c r="BD53" i="18"/>
  <c r="CN53" i="18" s="1"/>
  <c r="BE53" i="18"/>
  <c r="CO53" i="18" s="1"/>
  <c r="BF53" i="18"/>
  <c r="CP53" i="18" s="1"/>
  <c r="BG53" i="18"/>
  <c r="CQ53" i="18" s="1"/>
  <c r="BH53" i="18"/>
  <c r="CR53" i="18" s="1"/>
  <c r="BI53" i="18"/>
  <c r="CS53" i="18" s="1"/>
  <c r="BJ53" i="18"/>
  <c r="CT53" i="18" s="1"/>
  <c r="BK53" i="18"/>
  <c r="CU53" i="18" s="1"/>
  <c r="BL53" i="18"/>
  <c r="CV53" i="18" s="1"/>
  <c r="BM53" i="18"/>
  <c r="CW53" i="18" s="1"/>
  <c r="H54" i="18"/>
  <c r="I54" i="18"/>
  <c r="J54" i="18"/>
  <c r="K54" i="18"/>
  <c r="L54" i="18"/>
  <c r="M54" i="18"/>
  <c r="N54" i="18"/>
  <c r="O54" i="18"/>
  <c r="P54" i="18"/>
  <c r="Q54" i="18"/>
  <c r="R54" i="18"/>
  <c r="S54" i="18"/>
  <c r="T54" i="18"/>
  <c r="U54" i="18"/>
  <c r="V54" i="18"/>
  <c r="W54" i="18"/>
  <c r="X54" i="18"/>
  <c r="Y54" i="18"/>
  <c r="Z54" i="18"/>
  <c r="AA54" i="18"/>
  <c r="AB54" i="18"/>
  <c r="AC54" i="18"/>
  <c r="AR54" i="18"/>
  <c r="CB54" i="18" s="1"/>
  <c r="AS54" i="18"/>
  <c r="CC54" i="18" s="1"/>
  <c r="AT54" i="18"/>
  <c r="CD54" i="18" s="1"/>
  <c r="AU54" i="18"/>
  <c r="CE54" i="18" s="1"/>
  <c r="AV54" i="18"/>
  <c r="CF54" i="18" s="1"/>
  <c r="AW54" i="18"/>
  <c r="CG54" i="18" s="1"/>
  <c r="AX54" i="18"/>
  <c r="CH54" i="18" s="1"/>
  <c r="AY54" i="18"/>
  <c r="CI54" i="18" s="1"/>
  <c r="AZ54" i="18"/>
  <c r="CJ54" i="18" s="1"/>
  <c r="BA54" i="18"/>
  <c r="CK54" i="18" s="1"/>
  <c r="BB54" i="18"/>
  <c r="CL54" i="18" s="1"/>
  <c r="BC54" i="18"/>
  <c r="CM54" i="18" s="1"/>
  <c r="BD54" i="18"/>
  <c r="CN54" i="18" s="1"/>
  <c r="BE54" i="18"/>
  <c r="CO54" i="18" s="1"/>
  <c r="BF54" i="18"/>
  <c r="CP54" i="18" s="1"/>
  <c r="BG54" i="18"/>
  <c r="CQ54" i="18" s="1"/>
  <c r="BH54" i="18"/>
  <c r="CR54" i="18" s="1"/>
  <c r="BI54" i="18"/>
  <c r="CS54" i="18" s="1"/>
  <c r="BJ54" i="18"/>
  <c r="CT54" i="18" s="1"/>
  <c r="BK54" i="18"/>
  <c r="CU54" i="18" s="1"/>
  <c r="BL54" i="18"/>
  <c r="CV54" i="18" s="1"/>
  <c r="BM54" i="18"/>
  <c r="CW54" i="18" s="1"/>
  <c r="H55" i="18"/>
  <c r="I55" i="18"/>
  <c r="J55" i="18"/>
  <c r="K55" i="18"/>
  <c r="L55" i="18"/>
  <c r="M55" i="18"/>
  <c r="N55" i="18"/>
  <c r="O55" i="18"/>
  <c r="P55" i="18"/>
  <c r="Q55" i="18"/>
  <c r="R55" i="18"/>
  <c r="S55" i="18"/>
  <c r="T55" i="18"/>
  <c r="U55" i="18"/>
  <c r="V55" i="18"/>
  <c r="W55" i="18"/>
  <c r="X55" i="18"/>
  <c r="Y55" i="18"/>
  <c r="Z55" i="18"/>
  <c r="AA55" i="18"/>
  <c r="AB55" i="18"/>
  <c r="AC55" i="18"/>
  <c r="AR55" i="18"/>
  <c r="CB55" i="18" s="1"/>
  <c r="AS55" i="18"/>
  <c r="CC55" i="18" s="1"/>
  <c r="AT55" i="18"/>
  <c r="CD55" i="18" s="1"/>
  <c r="AU55" i="18"/>
  <c r="CE55" i="18" s="1"/>
  <c r="AV55" i="18"/>
  <c r="CF55" i="18" s="1"/>
  <c r="AW55" i="18"/>
  <c r="CG55" i="18" s="1"/>
  <c r="AX55" i="18"/>
  <c r="CH55" i="18" s="1"/>
  <c r="AY55" i="18"/>
  <c r="CI55" i="18" s="1"/>
  <c r="AZ55" i="18"/>
  <c r="CJ55" i="18" s="1"/>
  <c r="BA55" i="18"/>
  <c r="CK55" i="18" s="1"/>
  <c r="BB55" i="18"/>
  <c r="CL55" i="18" s="1"/>
  <c r="BC55" i="18"/>
  <c r="CM55" i="18" s="1"/>
  <c r="BD55" i="18"/>
  <c r="CN55" i="18" s="1"/>
  <c r="BE55" i="18"/>
  <c r="CO55" i="18" s="1"/>
  <c r="BF55" i="18"/>
  <c r="CP55" i="18" s="1"/>
  <c r="BG55" i="18"/>
  <c r="CQ55" i="18" s="1"/>
  <c r="BH55" i="18"/>
  <c r="CR55" i="18" s="1"/>
  <c r="BI55" i="18"/>
  <c r="CS55" i="18" s="1"/>
  <c r="BJ55" i="18"/>
  <c r="CT55" i="18" s="1"/>
  <c r="BK55" i="18"/>
  <c r="CU55" i="18" s="1"/>
  <c r="BL55" i="18"/>
  <c r="CV55" i="18" s="1"/>
  <c r="BM55" i="18"/>
  <c r="CW55" i="18" s="1"/>
  <c r="H56" i="18"/>
  <c r="I56" i="18"/>
  <c r="J56" i="18"/>
  <c r="K56" i="18"/>
  <c r="L56" i="18"/>
  <c r="M56" i="18"/>
  <c r="N56" i="18"/>
  <c r="O56" i="18"/>
  <c r="P56" i="18"/>
  <c r="Q56" i="18"/>
  <c r="R56" i="18"/>
  <c r="S56" i="18"/>
  <c r="T56" i="18"/>
  <c r="U56" i="18"/>
  <c r="V56" i="18"/>
  <c r="W56" i="18"/>
  <c r="X56" i="18"/>
  <c r="Y56" i="18"/>
  <c r="Z56" i="18"/>
  <c r="AA56" i="18"/>
  <c r="AB56" i="18"/>
  <c r="AC56" i="18"/>
  <c r="AR56" i="18"/>
  <c r="AS56" i="18"/>
  <c r="CC56" i="18" s="1"/>
  <c r="AT56" i="18"/>
  <c r="CD56" i="18" s="1"/>
  <c r="AU56" i="18"/>
  <c r="CE56" i="18" s="1"/>
  <c r="AV56" i="18"/>
  <c r="CF56" i="18" s="1"/>
  <c r="AW56" i="18"/>
  <c r="CG56" i="18" s="1"/>
  <c r="AX56" i="18"/>
  <c r="CH56" i="18" s="1"/>
  <c r="AY56" i="18"/>
  <c r="CI56" i="18" s="1"/>
  <c r="AZ56" i="18"/>
  <c r="CJ56" i="18" s="1"/>
  <c r="BA56" i="18"/>
  <c r="CK56" i="18" s="1"/>
  <c r="BB56" i="18"/>
  <c r="CL56" i="18" s="1"/>
  <c r="BC56" i="18"/>
  <c r="CM56" i="18" s="1"/>
  <c r="BD56" i="18"/>
  <c r="CN56" i="18" s="1"/>
  <c r="BE56" i="18"/>
  <c r="CO56" i="18" s="1"/>
  <c r="BF56" i="18"/>
  <c r="CP56" i="18" s="1"/>
  <c r="BG56" i="18"/>
  <c r="CQ56" i="18" s="1"/>
  <c r="BH56" i="18"/>
  <c r="CR56" i="18" s="1"/>
  <c r="BI56" i="18"/>
  <c r="CS56" i="18" s="1"/>
  <c r="BJ56" i="18"/>
  <c r="CT56" i="18" s="1"/>
  <c r="BK56" i="18"/>
  <c r="CU56" i="18" s="1"/>
  <c r="BL56" i="18"/>
  <c r="CV56" i="18" s="1"/>
  <c r="BM56" i="18"/>
  <c r="CW56" i="18" s="1"/>
  <c r="H57" i="18"/>
  <c r="I57" i="18"/>
  <c r="J57" i="18"/>
  <c r="K57" i="18"/>
  <c r="L57" i="18"/>
  <c r="M57" i="18"/>
  <c r="N57" i="18"/>
  <c r="O57" i="18"/>
  <c r="P57" i="18"/>
  <c r="Q57" i="18"/>
  <c r="R57" i="18"/>
  <c r="S57" i="18"/>
  <c r="T57" i="18"/>
  <c r="U57" i="18"/>
  <c r="V57" i="18"/>
  <c r="W57" i="18"/>
  <c r="X57" i="18"/>
  <c r="Y57" i="18"/>
  <c r="Z57" i="18"/>
  <c r="AA57" i="18"/>
  <c r="AB57" i="18"/>
  <c r="AC57" i="18"/>
  <c r="AR57" i="18"/>
  <c r="AS57" i="18"/>
  <c r="CC57" i="18" s="1"/>
  <c r="AT57" i="18"/>
  <c r="CD57" i="18" s="1"/>
  <c r="AU57" i="18"/>
  <c r="CE57" i="18" s="1"/>
  <c r="AV57" i="18"/>
  <c r="CF57" i="18" s="1"/>
  <c r="AW57" i="18"/>
  <c r="CG57" i="18" s="1"/>
  <c r="AX57" i="18"/>
  <c r="CH57" i="18" s="1"/>
  <c r="AY57" i="18"/>
  <c r="CI57" i="18" s="1"/>
  <c r="AZ57" i="18"/>
  <c r="CJ57" i="18" s="1"/>
  <c r="BA57" i="18"/>
  <c r="CK57" i="18" s="1"/>
  <c r="BB57" i="18"/>
  <c r="CL57" i="18" s="1"/>
  <c r="BC57" i="18"/>
  <c r="CM57" i="18" s="1"/>
  <c r="BD57" i="18"/>
  <c r="CN57" i="18" s="1"/>
  <c r="BE57" i="18"/>
  <c r="CO57" i="18" s="1"/>
  <c r="BF57" i="18"/>
  <c r="CP57" i="18" s="1"/>
  <c r="BG57" i="18"/>
  <c r="CQ57" i="18" s="1"/>
  <c r="BH57" i="18"/>
  <c r="CR57" i="18" s="1"/>
  <c r="BI57" i="18"/>
  <c r="CS57" i="18" s="1"/>
  <c r="BJ57" i="18"/>
  <c r="CT57" i="18" s="1"/>
  <c r="BK57" i="18"/>
  <c r="CU57" i="18" s="1"/>
  <c r="BL57" i="18"/>
  <c r="CV57" i="18" s="1"/>
  <c r="BM57" i="18"/>
  <c r="CW57" i="18" s="1"/>
  <c r="H58" i="18"/>
  <c r="I58" i="18"/>
  <c r="J58" i="18"/>
  <c r="K58" i="18"/>
  <c r="L58" i="18"/>
  <c r="M58" i="18"/>
  <c r="N58" i="18"/>
  <c r="O58" i="18"/>
  <c r="P58" i="18"/>
  <c r="Q58" i="18"/>
  <c r="R58" i="18"/>
  <c r="S58" i="18"/>
  <c r="T58" i="18"/>
  <c r="U58" i="18"/>
  <c r="V58" i="18"/>
  <c r="W58" i="18"/>
  <c r="X58" i="18"/>
  <c r="Y58" i="18"/>
  <c r="Z58" i="18"/>
  <c r="AA58" i="18"/>
  <c r="AB58" i="18"/>
  <c r="AC58" i="18"/>
  <c r="AR58" i="18"/>
  <c r="CB58" i="18" s="1"/>
  <c r="AS58" i="18"/>
  <c r="CC58" i="18" s="1"/>
  <c r="AT58" i="18"/>
  <c r="CD58" i="18" s="1"/>
  <c r="AU58" i="18"/>
  <c r="CE58" i="18" s="1"/>
  <c r="AV58" i="18"/>
  <c r="CF58" i="18" s="1"/>
  <c r="AW58" i="18"/>
  <c r="CG58" i="18" s="1"/>
  <c r="AX58" i="18"/>
  <c r="CH58" i="18" s="1"/>
  <c r="AY58" i="18"/>
  <c r="CI58" i="18" s="1"/>
  <c r="AZ58" i="18"/>
  <c r="CJ58" i="18" s="1"/>
  <c r="BA58" i="18"/>
  <c r="CK58" i="18" s="1"/>
  <c r="BB58" i="18"/>
  <c r="CL58" i="18" s="1"/>
  <c r="BC58" i="18"/>
  <c r="CM58" i="18" s="1"/>
  <c r="BD58" i="18"/>
  <c r="CN58" i="18" s="1"/>
  <c r="BE58" i="18"/>
  <c r="CO58" i="18" s="1"/>
  <c r="BF58" i="18"/>
  <c r="CP58" i="18" s="1"/>
  <c r="BG58" i="18"/>
  <c r="CQ58" i="18" s="1"/>
  <c r="BH58" i="18"/>
  <c r="CR58" i="18" s="1"/>
  <c r="BI58" i="18"/>
  <c r="CS58" i="18" s="1"/>
  <c r="BJ58" i="18"/>
  <c r="CT58" i="18" s="1"/>
  <c r="BK58" i="18"/>
  <c r="CU58" i="18" s="1"/>
  <c r="BL58" i="18"/>
  <c r="CV58" i="18" s="1"/>
  <c r="BM58" i="18"/>
  <c r="CW58" i="18" s="1"/>
  <c r="H59" i="18"/>
  <c r="I59" i="18"/>
  <c r="J59" i="18"/>
  <c r="K59" i="18"/>
  <c r="L59" i="18"/>
  <c r="M59" i="18"/>
  <c r="N59" i="18"/>
  <c r="O59" i="18"/>
  <c r="P59" i="18"/>
  <c r="Q59" i="18"/>
  <c r="R59" i="18"/>
  <c r="S59" i="18"/>
  <c r="T59" i="18"/>
  <c r="U59" i="18"/>
  <c r="V59" i="18"/>
  <c r="W59" i="18"/>
  <c r="X59" i="18"/>
  <c r="Y59" i="18"/>
  <c r="Z59" i="18"/>
  <c r="AA59" i="18"/>
  <c r="AB59" i="18"/>
  <c r="AC59" i="18"/>
  <c r="AR59" i="18"/>
  <c r="CB59" i="18" s="1"/>
  <c r="AS59" i="18"/>
  <c r="CC59" i="18" s="1"/>
  <c r="AT59" i="18"/>
  <c r="CD59" i="18" s="1"/>
  <c r="AU59" i="18"/>
  <c r="CE59" i="18" s="1"/>
  <c r="AV59" i="18"/>
  <c r="CF59" i="18" s="1"/>
  <c r="AW59" i="18"/>
  <c r="CG59" i="18" s="1"/>
  <c r="AX59" i="18"/>
  <c r="CH59" i="18" s="1"/>
  <c r="AY59" i="18"/>
  <c r="CI59" i="18" s="1"/>
  <c r="AZ59" i="18"/>
  <c r="CJ59" i="18" s="1"/>
  <c r="BA59" i="18"/>
  <c r="CK59" i="18" s="1"/>
  <c r="BB59" i="18"/>
  <c r="CL59" i="18" s="1"/>
  <c r="BC59" i="18"/>
  <c r="CM59" i="18" s="1"/>
  <c r="BD59" i="18"/>
  <c r="CN59" i="18" s="1"/>
  <c r="BE59" i="18"/>
  <c r="CO59" i="18" s="1"/>
  <c r="BF59" i="18"/>
  <c r="CP59" i="18" s="1"/>
  <c r="BG59" i="18"/>
  <c r="CQ59" i="18" s="1"/>
  <c r="BH59" i="18"/>
  <c r="CR59" i="18" s="1"/>
  <c r="BI59" i="18"/>
  <c r="CS59" i="18" s="1"/>
  <c r="BJ59" i="18"/>
  <c r="CT59" i="18" s="1"/>
  <c r="BK59" i="18"/>
  <c r="CU59" i="18" s="1"/>
  <c r="BL59" i="18"/>
  <c r="CV59" i="18" s="1"/>
  <c r="BM59" i="18"/>
  <c r="CW59" i="18" s="1"/>
  <c r="H60" i="18"/>
  <c r="I60" i="18"/>
  <c r="J60" i="18"/>
  <c r="K60" i="18"/>
  <c r="L60" i="18"/>
  <c r="M60" i="18"/>
  <c r="N60" i="18"/>
  <c r="O60" i="18"/>
  <c r="P60" i="18"/>
  <c r="Q60" i="18"/>
  <c r="R60" i="18"/>
  <c r="S60" i="18"/>
  <c r="T60" i="18"/>
  <c r="U60" i="18"/>
  <c r="V60" i="18"/>
  <c r="W60" i="18"/>
  <c r="X60" i="18"/>
  <c r="Y60" i="18"/>
  <c r="Z60" i="18"/>
  <c r="AA60" i="18"/>
  <c r="AB60" i="18"/>
  <c r="AC60" i="18"/>
  <c r="AR60" i="18"/>
  <c r="CB60" i="18" s="1"/>
  <c r="AS60" i="18"/>
  <c r="AT60" i="18"/>
  <c r="CD60" i="18" s="1"/>
  <c r="AU60" i="18"/>
  <c r="CE60" i="18" s="1"/>
  <c r="AV60" i="18"/>
  <c r="CF60" i="18" s="1"/>
  <c r="AW60" i="18"/>
  <c r="CG60" i="18" s="1"/>
  <c r="AX60" i="18"/>
  <c r="CH60" i="18" s="1"/>
  <c r="AY60" i="18"/>
  <c r="CI60" i="18" s="1"/>
  <c r="AZ60" i="18"/>
  <c r="CJ60" i="18" s="1"/>
  <c r="BA60" i="18"/>
  <c r="CK60" i="18" s="1"/>
  <c r="BB60" i="18"/>
  <c r="CL60" i="18" s="1"/>
  <c r="BC60" i="18"/>
  <c r="CM60" i="18" s="1"/>
  <c r="BD60" i="18"/>
  <c r="CN60" i="18" s="1"/>
  <c r="BE60" i="18"/>
  <c r="CO60" i="18" s="1"/>
  <c r="BF60" i="18"/>
  <c r="CP60" i="18" s="1"/>
  <c r="BG60" i="18"/>
  <c r="CQ60" i="18" s="1"/>
  <c r="BH60" i="18"/>
  <c r="CR60" i="18" s="1"/>
  <c r="BI60" i="18"/>
  <c r="CS60" i="18" s="1"/>
  <c r="BJ60" i="18"/>
  <c r="CT60" i="18" s="1"/>
  <c r="BK60" i="18"/>
  <c r="CU60" i="18" s="1"/>
  <c r="BL60" i="18"/>
  <c r="CV60" i="18" s="1"/>
  <c r="BM60" i="18"/>
  <c r="CW60" i="18" s="1"/>
  <c r="H61" i="18"/>
  <c r="I61" i="18"/>
  <c r="J61" i="18"/>
  <c r="K61" i="18"/>
  <c r="L61" i="18"/>
  <c r="M61" i="18"/>
  <c r="N61" i="18"/>
  <c r="O61" i="18"/>
  <c r="P61" i="18"/>
  <c r="Q61" i="18"/>
  <c r="R61" i="18"/>
  <c r="S61" i="18"/>
  <c r="T61" i="18"/>
  <c r="U61" i="18"/>
  <c r="V61" i="18"/>
  <c r="W61" i="18"/>
  <c r="X61" i="18"/>
  <c r="Y61" i="18"/>
  <c r="Z61" i="18"/>
  <c r="AA61" i="18"/>
  <c r="AB61" i="18"/>
  <c r="AC61" i="18"/>
  <c r="AR61" i="18"/>
  <c r="AS61" i="18"/>
  <c r="CC61" i="18" s="1"/>
  <c r="AT61" i="18"/>
  <c r="CD61" i="18" s="1"/>
  <c r="AU61" i="18"/>
  <c r="CE61" i="18" s="1"/>
  <c r="AV61" i="18"/>
  <c r="CF61" i="18" s="1"/>
  <c r="AW61" i="18"/>
  <c r="CG61" i="18" s="1"/>
  <c r="AX61" i="18"/>
  <c r="CH61" i="18" s="1"/>
  <c r="AY61" i="18"/>
  <c r="CI61" i="18" s="1"/>
  <c r="AZ61" i="18"/>
  <c r="CJ61" i="18" s="1"/>
  <c r="BA61" i="18"/>
  <c r="CK61" i="18" s="1"/>
  <c r="BB61" i="18"/>
  <c r="CL61" i="18" s="1"/>
  <c r="BC61" i="18"/>
  <c r="CM61" i="18" s="1"/>
  <c r="BD61" i="18"/>
  <c r="CN61" i="18" s="1"/>
  <c r="BE61" i="18"/>
  <c r="CO61" i="18" s="1"/>
  <c r="BF61" i="18"/>
  <c r="CP61" i="18" s="1"/>
  <c r="BG61" i="18"/>
  <c r="CQ61" i="18" s="1"/>
  <c r="BH61" i="18"/>
  <c r="CR61" i="18" s="1"/>
  <c r="BI61" i="18"/>
  <c r="CS61" i="18" s="1"/>
  <c r="BJ61" i="18"/>
  <c r="CT61" i="18" s="1"/>
  <c r="BK61" i="18"/>
  <c r="CU61" i="18" s="1"/>
  <c r="BL61" i="18"/>
  <c r="CV61" i="18" s="1"/>
  <c r="BM61" i="18"/>
  <c r="CW61" i="18" s="1"/>
  <c r="H62" i="18"/>
  <c r="I62" i="18"/>
  <c r="J62" i="18"/>
  <c r="K62" i="18"/>
  <c r="L62" i="18"/>
  <c r="M62" i="18"/>
  <c r="N62" i="18"/>
  <c r="O62" i="18"/>
  <c r="P62" i="18"/>
  <c r="Q62" i="18"/>
  <c r="R62" i="18"/>
  <c r="S62" i="18"/>
  <c r="T62" i="18"/>
  <c r="U62" i="18"/>
  <c r="V62" i="18"/>
  <c r="W62" i="18"/>
  <c r="X62" i="18"/>
  <c r="Y62" i="18"/>
  <c r="Z62" i="18"/>
  <c r="AA62" i="18"/>
  <c r="AB62" i="18"/>
  <c r="AC62" i="18"/>
  <c r="AR62" i="18"/>
  <c r="AS62" i="18"/>
  <c r="CC62" i="18" s="1"/>
  <c r="AT62" i="18"/>
  <c r="CD62" i="18" s="1"/>
  <c r="AU62" i="18"/>
  <c r="CE62" i="18" s="1"/>
  <c r="AV62" i="18"/>
  <c r="CF62" i="18" s="1"/>
  <c r="AW62" i="18"/>
  <c r="CG62" i="18" s="1"/>
  <c r="AX62" i="18"/>
  <c r="CH62" i="18" s="1"/>
  <c r="AY62" i="18"/>
  <c r="CI62" i="18" s="1"/>
  <c r="AZ62" i="18"/>
  <c r="CJ62" i="18" s="1"/>
  <c r="BA62" i="18"/>
  <c r="CK62" i="18" s="1"/>
  <c r="BB62" i="18"/>
  <c r="CL62" i="18" s="1"/>
  <c r="BC62" i="18"/>
  <c r="CM62" i="18" s="1"/>
  <c r="BD62" i="18"/>
  <c r="CN62" i="18" s="1"/>
  <c r="BE62" i="18"/>
  <c r="CO62" i="18" s="1"/>
  <c r="BF62" i="18"/>
  <c r="CP62" i="18" s="1"/>
  <c r="BG62" i="18"/>
  <c r="CQ62" i="18" s="1"/>
  <c r="BH62" i="18"/>
  <c r="CR62" i="18" s="1"/>
  <c r="BI62" i="18"/>
  <c r="CS62" i="18" s="1"/>
  <c r="BJ62" i="18"/>
  <c r="CT62" i="18" s="1"/>
  <c r="BK62" i="18"/>
  <c r="CU62" i="18" s="1"/>
  <c r="BL62" i="18"/>
  <c r="CV62" i="18" s="1"/>
  <c r="BM62" i="18"/>
  <c r="CW62" i="18" s="1"/>
  <c r="H63" i="18"/>
  <c r="I63" i="18"/>
  <c r="J63" i="18"/>
  <c r="K63" i="18"/>
  <c r="L63" i="18"/>
  <c r="M63" i="18"/>
  <c r="N63" i="18"/>
  <c r="O63" i="18"/>
  <c r="P63" i="18"/>
  <c r="Q63" i="18"/>
  <c r="R63" i="18"/>
  <c r="S63" i="18"/>
  <c r="T63" i="18"/>
  <c r="U63" i="18"/>
  <c r="V63" i="18"/>
  <c r="W63" i="18"/>
  <c r="X63" i="18"/>
  <c r="Y63" i="18"/>
  <c r="Z63" i="18"/>
  <c r="AA63" i="18"/>
  <c r="AB63" i="18"/>
  <c r="AC63" i="18"/>
  <c r="AR63" i="18"/>
  <c r="AS63" i="18"/>
  <c r="CC63" i="18" s="1"/>
  <c r="AT63" i="18"/>
  <c r="CD63" i="18" s="1"/>
  <c r="AU63" i="18"/>
  <c r="CE63" i="18" s="1"/>
  <c r="AV63" i="18"/>
  <c r="CF63" i="18" s="1"/>
  <c r="AW63" i="18"/>
  <c r="CG63" i="18" s="1"/>
  <c r="AX63" i="18"/>
  <c r="CH63" i="18" s="1"/>
  <c r="AY63" i="18"/>
  <c r="CI63" i="18" s="1"/>
  <c r="AZ63" i="18"/>
  <c r="CJ63" i="18" s="1"/>
  <c r="BA63" i="18"/>
  <c r="CK63" i="18" s="1"/>
  <c r="BB63" i="18"/>
  <c r="CL63" i="18" s="1"/>
  <c r="BC63" i="18"/>
  <c r="CM63" i="18" s="1"/>
  <c r="BD63" i="18"/>
  <c r="CN63" i="18" s="1"/>
  <c r="BE63" i="18"/>
  <c r="CO63" i="18" s="1"/>
  <c r="BF63" i="18"/>
  <c r="CP63" i="18" s="1"/>
  <c r="BG63" i="18"/>
  <c r="CQ63" i="18" s="1"/>
  <c r="BH63" i="18"/>
  <c r="CR63" i="18" s="1"/>
  <c r="BI63" i="18"/>
  <c r="CS63" i="18" s="1"/>
  <c r="BJ63" i="18"/>
  <c r="CT63" i="18" s="1"/>
  <c r="BK63" i="18"/>
  <c r="CU63" i="18" s="1"/>
  <c r="BL63" i="18"/>
  <c r="CV63" i="18" s="1"/>
  <c r="BM63" i="18"/>
  <c r="CW63" i="18" s="1"/>
  <c r="H64" i="18"/>
  <c r="I64" i="18"/>
  <c r="J64" i="18"/>
  <c r="K64" i="18"/>
  <c r="L64" i="18"/>
  <c r="M64" i="18"/>
  <c r="N64" i="18"/>
  <c r="O64" i="18"/>
  <c r="P64" i="18"/>
  <c r="Q64" i="18"/>
  <c r="R64" i="18"/>
  <c r="S64" i="18"/>
  <c r="T64" i="18"/>
  <c r="U64" i="18"/>
  <c r="V64" i="18"/>
  <c r="W64" i="18"/>
  <c r="X64" i="18"/>
  <c r="Y64" i="18"/>
  <c r="Z64" i="18"/>
  <c r="AA64" i="18"/>
  <c r="AB64" i="18"/>
  <c r="AC64" i="18"/>
  <c r="AR64" i="18"/>
  <c r="AS64" i="18"/>
  <c r="CC64" i="18" s="1"/>
  <c r="AT64" i="18"/>
  <c r="CD64" i="18" s="1"/>
  <c r="AU64" i="18"/>
  <c r="CE64" i="18" s="1"/>
  <c r="AV64" i="18"/>
  <c r="CF64" i="18" s="1"/>
  <c r="AW64" i="18"/>
  <c r="CG64" i="18" s="1"/>
  <c r="AX64" i="18"/>
  <c r="CH64" i="18" s="1"/>
  <c r="AY64" i="18"/>
  <c r="CI64" i="18" s="1"/>
  <c r="AZ64" i="18"/>
  <c r="CJ64" i="18" s="1"/>
  <c r="BA64" i="18"/>
  <c r="CK64" i="18" s="1"/>
  <c r="BB64" i="18"/>
  <c r="CL64" i="18" s="1"/>
  <c r="BC64" i="18"/>
  <c r="CM64" i="18" s="1"/>
  <c r="BD64" i="18"/>
  <c r="CN64" i="18" s="1"/>
  <c r="BE64" i="18"/>
  <c r="CO64" i="18" s="1"/>
  <c r="BF64" i="18"/>
  <c r="CP64" i="18" s="1"/>
  <c r="BG64" i="18"/>
  <c r="CQ64" i="18" s="1"/>
  <c r="BH64" i="18"/>
  <c r="CR64" i="18" s="1"/>
  <c r="BI64" i="18"/>
  <c r="CS64" i="18" s="1"/>
  <c r="BJ64" i="18"/>
  <c r="CT64" i="18" s="1"/>
  <c r="BK64" i="18"/>
  <c r="CU64" i="18" s="1"/>
  <c r="BL64" i="18"/>
  <c r="CV64" i="18" s="1"/>
  <c r="BM64" i="18"/>
  <c r="CW64" i="18" s="1"/>
  <c r="H65" i="18"/>
  <c r="I65" i="18"/>
  <c r="J65" i="18"/>
  <c r="K65" i="18"/>
  <c r="L65" i="18"/>
  <c r="M65" i="18"/>
  <c r="N65" i="18"/>
  <c r="O65" i="18"/>
  <c r="P65" i="18"/>
  <c r="Q65" i="18"/>
  <c r="R65" i="18"/>
  <c r="S65" i="18"/>
  <c r="T65" i="18"/>
  <c r="U65" i="18"/>
  <c r="V65" i="18"/>
  <c r="W65" i="18"/>
  <c r="X65" i="18"/>
  <c r="Y65" i="18"/>
  <c r="Z65" i="18"/>
  <c r="AA65" i="18"/>
  <c r="AB65" i="18"/>
  <c r="AC65" i="18"/>
  <c r="AR65" i="18"/>
  <c r="CB65" i="18" s="1"/>
  <c r="AS65" i="18"/>
  <c r="CC65" i="18" s="1"/>
  <c r="AT65" i="18"/>
  <c r="CD65" i="18" s="1"/>
  <c r="AU65" i="18"/>
  <c r="CE65" i="18" s="1"/>
  <c r="AV65" i="18"/>
  <c r="CF65" i="18" s="1"/>
  <c r="AW65" i="18"/>
  <c r="CG65" i="18" s="1"/>
  <c r="AX65" i="18"/>
  <c r="CH65" i="18" s="1"/>
  <c r="AY65" i="18"/>
  <c r="CI65" i="18" s="1"/>
  <c r="AZ65" i="18"/>
  <c r="CJ65" i="18" s="1"/>
  <c r="BA65" i="18"/>
  <c r="CK65" i="18" s="1"/>
  <c r="BB65" i="18"/>
  <c r="CL65" i="18" s="1"/>
  <c r="BC65" i="18"/>
  <c r="CM65" i="18" s="1"/>
  <c r="BD65" i="18"/>
  <c r="CN65" i="18" s="1"/>
  <c r="BE65" i="18"/>
  <c r="CO65" i="18" s="1"/>
  <c r="BF65" i="18"/>
  <c r="CP65" i="18" s="1"/>
  <c r="BG65" i="18"/>
  <c r="CQ65" i="18" s="1"/>
  <c r="BH65" i="18"/>
  <c r="CR65" i="18" s="1"/>
  <c r="BI65" i="18"/>
  <c r="CS65" i="18" s="1"/>
  <c r="BJ65" i="18"/>
  <c r="CT65" i="18" s="1"/>
  <c r="BK65" i="18"/>
  <c r="CU65" i="18" s="1"/>
  <c r="BL65" i="18"/>
  <c r="CV65" i="18" s="1"/>
  <c r="BM65" i="18"/>
  <c r="CW65" i="18" s="1"/>
  <c r="H66" i="18"/>
  <c r="I66" i="18"/>
  <c r="J66" i="18"/>
  <c r="K66" i="18"/>
  <c r="L66" i="18"/>
  <c r="M66" i="18"/>
  <c r="N66" i="18"/>
  <c r="O66" i="18"/>
  <c r="P66" i="18"/>
  <c r="Q66" i="18"/>
  <c r="R66" i="18"/>
  <c r="S66" i="18"/>
  <c r="T66" i="18"/>
  <c r="U66" i="18"/>
  <c r="V66" i="18"/>
  <c r="W66" i="18"/>
  <c r="X66" i="18"/>
  <c r="Y66" i="18"/>
  <c r="Z66" i="18"/>
  <c r="AA66" i="18"/>
  <c r="AB66" i="18"/>
  <c r="AC66" i="18"/>
  <c r="AR66" i="18"/>
  <c r="CB66" i="18" s="1"/>
  <c r="AS66" i="18"/>
  <c r="CC66" i="18" s="1"/>
  <c r="AT66" i="18"/>
  <c r="CD66" i="18" s="1"/>
  <c r="AU66" i="18"/>
  <c r="CE66" i="18" s="1"/>
  <c r="AV66" i="18"/>
  <c r="CF66" i="18" s="1"/>
  <c r="AW66" i="18"/>
  <c r="CG66" i="18" s="1"/>
  <c r="AX66" i="18"/>
  <c r="CH66" i="18" s="1"/>
  <c r="AY66" i="18"/>
  <c r="CI66" i="18" s="1"/>
  <c r="AZ66" i="18"/>
  <c r="CJ66" i="18" s="1"/>
  <c r="BA66" i="18"/>
  <c r="CK66" i="18" s="1"/>
  <c r="BB66" i="18"/>
  <c r="CL66" i="18" s="1"/>
  <c r="BC66" i="18"/>
  <c r="CM66" i="18" s="1"/>
  <c r="BD66" i="18"/>
  <c r="CN66" i="18" s="1"/>
  <c r="BE66" i="18"/>
  <c r="CO66" i="18" s="1"/>
  <c r="BF66" i="18"/>
  <c r="CP66" i="18" s="1"/>
  <c r="BG66" i="18"/>
  <c r="CQ66" i="18" s="1"/>
  <c r="BH66" i="18"/>
  <c r="CR66" i="18" s="1"/>
  <c r="BI66" i="18"/>
  <c r="CS66" i="18" s="1"/>
  <c r="BJ66" i="18"/>
  <c r="CT66" i="18" s="1"/>
  <c r="BK66" i="18"/>
  <c r="CU66" i="18" s="1"/>
  <c r="BL66" i="18"/>
  <c r="CV66" i="18" s="1"/>
  <c r="BM66" i="18"/>
  <c r="CW66" i="18" s="1"/>
  <c r="H67" i="18"/>
  <c r="I67" i="18"/>
  <c r="J67" i="18"/>
  <c r="K67" i="18"/>
  <c r="L67" i="18"/>
  <c r="M67" i="18"/>
  <c r="N67" i="18"/>
  <c r="O67" i="18"/>
  <c r="P67" i="18"/>
  <c r="Q67" i="18"/>
  <c r="R67" i="18"/>
  <c r="S67" i="18"/>
  <c r="T67" i="18"/>
  <c r="U67" i="18"/>
  <c r="V67" i="18"/>
  <c r="W67" i="18"/>
  <c r="X67" i="18"/>
  <c r="Y67" i="18"/>
  <c r="Z67" i="18"/>
  <c r="AA67" i="18"/>
  <c r="AB67" i="18"/>
  <c r="AC67" i="18"/>
  <c r="AR67" i="18"/>
  <c r="CB67" i="18" s="1"/>
  <c r="AS67" i="18"/>
  <c r="CC67" i="18" s="1"/>
  <c r="AT67" i="18"/>
  <c r="CD67" i="18" s="1"/>
  <c r="AU67" i="18"/>
  <c r="CE67" i="18" s="1"/>
  <c r="AV67" i="18"/>
  <c r="CF67" i="18" s="1"/>
  <c r="AW67" i="18"/>
  <c r="CG67" i="18" s="1"/>
  <c r="AX67" i="18"/>
  <c r="CH67" i="18" s="1"/>
  <c r="AY67" i="18"/>
  <c r="CI67" i="18" s="1"/>
  <c r="AZ67" i="18"/>
  <c r="CJ67" i="18" s="1"/>
  <c r="BA67" i="18"/>
  <c r="CK67" i="18" s="1"/>
  <c r="BB67" i="18"/>
  <c r="CL67" i="18" s="1"/>
  <c r="BC67" i="18"/>
  <c r="CM67" i="18" s="1"/>
  <c r="BD67" i="18"/>
  <c r="CN67" i="18" s="1"/>
  <c r="BE67" i="18"/>
  <c r="CO67" i="18" s="1"/>
  <c r="BF67" i="18"/>
  <c r="CP67" i="18" s="1"/>
  <c r="BG67" i="18"/>
  <c r="CQ67" i="18" s="1"/>
  <c r="BH67" i="18"/>
  <c r="CR67" i="18" s="1"/>
  <c r="BI67" i="18"/>
  <c r="CS67" i="18" s="1"/>
  <c r="BJ67" i="18"/>
  <c r="CT67" i="18" s="1"/>
  <c r="BK67" i="18"/>
  <c r="CU67" i="18" s="1"/>
  <c r="BL67" i="18"/>
  <c r="CV67" i="18" s="1"/>
  <c r="BM67" i="18"/>
  <c r="CW67" i="18" s="1"/>
  <c r="H68" i="18"/>
  <c r="I68" i="18"/>
  <c r="J68" i="18"/>
  <c r="K68" i="18"/>
  <c r="L68" i="18"/>
  <c r="M68" i="18"/>
  <c r="N68" i="18"/>
  <c r="O68" i="18"/>
  <c r="P68" i="18"/>
  <c r="Q68" i="18"/>
  <c r="R68" i="18"/>
  <c r="S68" i="18"/>
  <c r="T68" i="18"/>
  <c r="U68" i="18"/>
  <c r="V68" i="18"/>
  <c r="W68" i="18"/>
  <c r="X68" i="18"/>
  <c r="Y68" i="18"/>
  <c r="Z68" i="18"/>
  <c r="AA68" i="18"/>
  <c r="AB68" i="18"/>
  <c r="AC68" i="18"/>
  <c r="AT68" i="18"/>
  <c r="CD68" i="18" s="1"/>
  <c r="AU68" i="18"/>
  <c r="CE68" i="18" s="1"/>
  <c r="AV68" i="18"/>
  <c r="CF68" i="18" s="1"/>
  <c r="AW68" i="18"/>
  <c r="CG68" i="18" s="1"/>
  <c r="AX68" i="18"/>
  <c r="CH68" i="18" s="1"/>
  <c r="AY68" i="18"/>
  <c r="CI68" i="18" s="1"/>
  <c r="AZ68" i="18"/>
  <c r="CJ68" i="18" s="1"/>
  <c r="BA68" i="18"/>
  <c r="CK68" i="18" s="1"/>
  <c r="BB68" i="18"/>
  <c r="CL68" i="18" s="1"/>
  <c r="BC68" i="18"/>
  <c r="CM68" i="18" s="1"/>
  <c r="BD68" i="18"/>
  <c r="CN68" i="18" s="1"/>
  <c r="BE68" i="18"/>
  <c r="CO68" i="18" s="1"/>
  <c r="BF68" i="18"/>
  <c r="CP68" i="18" s="1"/>
  <c r="BG68" i="18"/>
  <c r="CQ68" i="18" s="1"/>
  <c r="BH68" i="18"/>
  <c r="CR68" i="18" s="1"/>
  <c r="BI68" i="18"/>
  <c r="CS68" i="18" s="1"/>
  <c r="BJ68" i="18"/>
  <c r="CT68" i="18" s="1"/>
  <c r="BK68" i="18"/>
  <c r="CU68" i="18" s="1"/>
  <c r="BL68" i="18"/>
  <c r="CV68" i="18" s="1"/>
  <c r="BM68" i="18"/>
  <c r="CW68" i="18" s="1"/>
  <c r="H69" i="18"/>
  <c r="I69" i="18"/>
  <c r="J69" i="18"/>
  <c r="K69" i="18"/>
  <c r="L69" i="18"/>
  <c r="M69" i="18"/>
  <c r="N69" i="18"/>
  <c r="O69" i="18"/>
  <c r="P69" i="18"/>
  <c r="Q69" i="18"/>
  <c r="R69" i="18"/>
  <c r="S69" i="18"/>
  <c r="T69" i="18"/>
  <c r="U69" i="18"/>
  <c r="V69" i="18"/>
  <c r="W69" i="18"/>
  <c r="X69" i="18"/>
  <c r="Y69" i="18"/>
  <c r="Z69" i="18"/>
  <c r="AA69" i="18"/>
  <c r="AB69" i="18"/>
  <c r="AC69" i="18"/>
  <c r="AR69" i="18"/>
  <c r="CB69" i="18" s="1"/>
  <c r="AS69" i="18"/>
  <c r="CC69" i="18" s="1"/>
  <c r="AT69" i="18"/>
  <c r="CD69" i="18" s="1"/>
  <c r="AU69" i="18"/>
  <c r="CE69" i="18" s="1"/>
  <c r="AV69" i="18"/>
  <c r="CF69" i="18" s="1"/>
  <c r="AW69" i="18"/>
  <c r="CG69" i="18" s="1"/>
  <c r="AX69" i="18"/>
  <c r="CH69" i="18" s="1"/>
  <c r="AY69" i="18"/>
  <c r="CI69" i="18" s="1"/>
  <c r="AZ69" i="18"/>
  <c r="CJ69" i="18" s="1"/>
  <c r="BA69" i="18"/>
  <c r="CK69" i="18" s="1"/>
  <c r="BB69" i="18"/>
  <c r="CL69" i="18" s="1"/>
  <c r="BC69" i="18"/>
  <c r="CM69" i="18" s="1"/>
  <c r="BD69" i="18"/>
  <c r="CN69" i="18" s="1"/>
  <c r="BE69" i="18"/>
  <c r="CO69" i="18" s="1"/>
  <c r="BF69" i="18"/>
  <c r="CP69" i="18" s="1"/>
  <c r="BG69" i="18"/>
  <c r="CQ69" i="18" s="1"/>
  <c r="BH69" i="18"/>
  <c r="CR69" i="18" s="1"/>
  <c r="BI69" i="18"/>
  <c r="CS69" i="18" s="1"/>
  <c r="BJ69" i="18"/>
  <c r="CT69" i="18" s="1"/>
  <c r="BK69" i="18"/>
  <c r="CU69" i="18" s="1"/>
  <c r="BL69" i="18"/>
  <c r="CV69" i="18" s="1"/>
  <c r="BM69" i="18"/>
  <c r="CW69" i="18" s="1"/>
  <c r="H70" i="18"/>
  <c r="I70" i="18"/>
  <c r="J70" i="18"/>
  <c r="K70" i="18"/>
  <c r="L70" i="18"/>
  <c r="M70" i="18"/>
  <c r="N70" i="18"/>
  <c r="O70" i="18"/>
  <c r="P70" i="18"/>
  <c r="Q70" i="18"/>
  <c r="R70" i="18"/>
  <c r="S70" i="18"/>
  <c r="T70" i="18"/>
  <c r="U70" i="18"/>
  <c r="V70" i="18"/>
  <c r="W70" i="18"/>
  <c r="X70" i="18"/>
  <c r="Y70" i="18"/>
  <c r="Z70" i="18"/>
  <c r="AA70" i="18"/>
  <c r="AB70" i="18"/>
  <c r="AC70" i="18"/>
  <c r="AR70" i="18"/>
  <c r="CB70" i="18" s="1"/>
  <c r="AS70" i="18"/>
  <c r="CC70" i="18" s="1"/>
  <c r="AT70" i="18"/>
  <c r="CD70" i="18" s="1"/>
  <c r="AU70" i="18"/>
  <c r="CE70" i="18" s="1"/>
  <c r="AV70" i="18"/>
  <c r="CF70" i="18" s="1"/>
  <c r="AW70" i="18"/>
  <c r="CG70" i="18" s="1"/>
  <c r="AX70" i="18"/>
  <c r="CH70" i="18" s="1"/>
  <c r="AY70" i="18"/>
  <c r="CI70" i="18" s="1"/>
  <c r="AZ70" i="18"/>
  <c r="CJ70" i="18" s="1"/>
  <c r="BA70" i="18"/>
  <c r="CK70" i="18" s="1"/>
  <c r="BB70" i="18"/>
  <c r="CL70" i="18" s="1"/>
  <c r="BC70" i="18"/>
  <c r="CM70" i="18" s="1"/>
  <c r="BD70" i="18"/>
  <c r="CN70" i="18" s="1"/>
  <c r="BE70" i="18"/>
  <c r="CO70" i="18" s="1"/>
  <c r="BF70" i="18"/>
  <c r="CP70" i="18" s="1"/>
  <c r="BG70" i="18"/>
  <c r="CQ70" i="18" s="1"/>
  <c r="BH70" i="18"/>
  <c r="CR70" i="18" s="1"/>
  <c r="BI70" i="18"/>
  <c r="CS70" i="18" s="1"/>
  <c r="BJ70" i="18"/>
  <c r="CT70" i="18" s="1"/>
  <c r="BK70" i="18"/>
  <c r="CU70" i="18" s="1"/>
  <c r="BL70" i="18"/>
  <c r="CV70" i="18" s="1"/>
  <c r="BM70" i="18"/>
  <c r="CW70" i="18" s="1"/>
  <c r="H71" i="18"/>
  <c r="I71" i="18"/>
  <c r="J71" i="18"/>
  <c r="K71" i="18"/>
  <c r="L71" i="18"/>
  <c r="M71" i="18"/>
  <c r="N71" i="18"/>
  <c r="O71" i="18"/>
  <c r="P71" i="18"/>
  <c r="Q71" i="18"/>
  <c r="R71" i="18"/>
  <c r="S71" i="18"/>
  <c r="T71" i="18"/>
  <c r="U71" i="18"/>
  <c r="V71" i="18"/>
  <c r="W71" i="18"/>
  <c r="X71" i="18"/>
  <c r="Y71" i="18"/>
  <c r="Z71" i="18"/>
  <c r="AA71" i="18"/>
  <c r="AB71" i="18"/>
  <c r="AC71" i="18"/>
  <c r="AR71" i="18"/>
  <c r="CB71" i="18" s="1"/>
  <c r="AS71" i="18"/>
  <c r="CC71" i="18" s="1"/>
  <c r="AT71" i="18"/>
  <c r="CD71" i="18" s="1"/>
  <c r="AU71" i="18"/>
  <c r="CE71" i="18" s="1"/>
  <c r="AV71" i="18"/>
  <c r="CF71" i="18" s="1"/>
  <c r="AW71" i="18"/>
  <c r="CG71" i="18" s="1"/>
  <c r="AX71" i="18"/>
  <c r="CH71" i="18" s="1"/>
  <c r="AY71" i="18"/>
  <c r="CI71" i="18" s="1"/>
  <c r="AZ71" i="18"/>
  <c r="CJ71" i="18" s="1"/>
  <c r="BA71" i="18"/>
  <c r="CK71" i="18" s="1"/>
  <c r="BB71" i="18"/>
  <c r="CL71" i="18" s="1"/>
  <c r="BC71" i="18"/>
  <c r="CM71" i="18" s="1"/>
  <c r="BD71" i="18"/>
  <c r="CN71" i="18" s="1"/>
  <c r="BE71" i="18"/>
  <c r="CO71" i="18" s="1"/>
  <c r="BF71" i="18"/>
  <c r="CP71" i="18" s="1"/>
  <c r="BG71" i="18"/>
  <c r="CQ71" i="18" s="1"/>
  <c r="BH71" i="18"/>
  <c r="CR71" i="18" s="1"/>
  <c r="BI71" i="18"/>
  <c r="CS71" i="18" s="1"/>
  <c r="BJ71" i="18"/>
  <c r="CT71" i="18" s="1"/>
  <c r="BK71" i="18"/>
  <c r="CU71" i="18" s="1"/>
  <c r="BL71" i="18"/>
  <c r="CV71" i="18" s="1"/>
  <c r="BM71" i="18"/>
  <c r="CW71" i="18" s="1"/>
  <c r="H72" i="18"/>
  <c r="I72" i="18"/>
  <c r="J72" i="18"/>
  <c r="K72" i="18"/>
  <c r="L72" i="18"/>
  <c r="M72" i="18"/>
  <c r="N72" i="18"/>
  <c r="O72" i="18"/>
  <c r="P72" i="18"/>
  <c r="Q72" i="18"/>
  <c r="R72" i="18"/>
  <c r="S72" i="18"/>
  <c r="T72" i="18"/>
  <c r="U72" i="18"/>
  <c r="V72" i="18"/>
  <c r="W72" i="18"/>
  <c r="X72" i="18"/>
  <c r="Y72" i="18"/>
  <c r="Z72" i="18"/>
  <c r="AA72" i="18"/>
  <c r="AB72" i="18"/>
  <c r="AC72" i="18"/>
  <c r="AR72" i="18"/>
  <c r="CB72" i="18" s="1"/>
  <c r="AS72" i="18"/>
  <c r="CC72" i="18" s="1"/>
  <c r="AT72" i="18"/>
  <c r="CD72" i="18" s="1"/>
  <c r="AU72" i="18"/>
  <c r="CE72" i="18" s="1"/>
  <c r="AV72" i="18"/>
  <c r="CF72" i="18" s="1"/>
  <c r="AW72" i="18"/>
  <c r="CG72" i="18" s="1"/>
  <c r="AX72" i="18"/>
  <c r="CH72" i="18" s="1"/>
  <c r="AY72" i="18"/>
  <c r="CI72" i="18" s="1"/>
  <c r="AZ72" i="18"/>
  <c r="CJ72" i="18" s="1"/>
  <c r="BA72" i="18"/>
  <c r="CK72" i="18" s="1"/>
  <c r="BB72" i="18"/>
  <c r="CL72" i="18" s="1"/>
  <c r="BC72" i="18"/>
  <c r="CM72" i="18" s="1"/>
  <c r="BD72" i="18"/>
  <c r="CN72" i="18" s="1"/>
  <c r="BE72" i="18"/>
  <c r="CO72" i="18" s="1"/>
  <c r="BF72" i="18"/>
  <c r="CP72" i="18" s="1"/>
  <c r="BG72" i="18"/>
  <c r="CQ72" i="18" s="1"/>
  <c r="BH72" i="18"/>
  <c r="CR72" i="18" s="1"/>
  <c r="BI72" i="18"/>
  <c r="CS72" i="18" s="1"/>
  <c r="BJ72" i="18"/>
  <c r="CT72" i="18" s="1"/>
  <c r="BK72" i="18"/>
  <c r="CU72" i="18" s="1"/>
  <c r="BL72" i="18"/>
  <c r="CV72" i="18" s="1"/>
  <c r="BM72" i="18"/>
  <c r="CW72" i="18" s="1"/>
  <c r="H73" i="18"/>
  <c r="I73" i="18"/>
  <c r="J73" i="18"/>
  <c r="K73" i="18"/>
  <c r="L73" i="18"/>
  <c r="M73" i="18"/>
  <c r="N73" i="18"/>
  <c r="O73" i="18"/>
  <c r="P73" i="18"/>
  <c r="Q73" i="18"/>
  <c r="R73" i="18"/>
  <c r="S73" i="18"/>
  <c r="T73" i="18"/>
  <c r="U73" i="18"/>
  <c r="V73" i="18"/>
  <c r="W73" i="18"/>
  <c r="X73" i="18"/>
  <c r="Y73" i="18"/>
  <c r="Z73" i="18"/>
  <c r="AA73" i="18"/>
  <c r="AB73" i="18"/>
  <c r="AC73" i="18"/>
  <c r="AR73" i="18"/>
  <c r="CB73" i="18" s="1"/>
  <c r="AS73" i="18"/>
  <c r="AT73" i="18"/>
  <c r="CD73" i="18" s="1"/>
  <c r="AU73" i="18"/>
  <c r="CE73" i="18" s="1"/>
  <c r="AV73" i="18"/>
  <c r="CF73" i="18" s="1"/>
  <c r="AW73" i="18"/>
  <c r="CG73" i="18" s="1"/>
  <c r="AX73" i="18"/>
  <c r="CH73" i="18" s="1"/>
  <c r="AY73" i="18"/>
  <c r="CI73" i="18" s="1"/>
  <c r="AZ73" i="18"/>
  <c r="CJ73" i="18" s="1"/>
  <c r="BA73" i="18"/>
  <c r="CK73" i="18" s="1"/>
  <c r="BB73" i="18"/>
  <c r="CL73" i="18" s="1"/>
  <c r="BC73" i="18"/>
  <c r="CM73" i="18" s="1"/>
  <c r="BD73" i="18"/>
  <c r="CN73" i="18" s="1"/>
  <c r="BE73" i="18"/>
  <c r="CO73" i="18" s="1"/>
  <c r="BF73" i="18"/>
  <c r="CP73" i="18" s="1"/>
  <c r="BG73" i="18"/>
  <c r="CQ73" i="18" s="1"/>
  <c r="BH73" i="18"/>
  <c r="CR73" i="18" s="1"/>
  <c r="BI73" i="18"/>
  <c r="CS73" i="18" s="1"/>
  <c r="BJ73" i="18"/>
  <c r="CT73" i="18" s="1"/>
  <c r="BK73" i="18"/>
  <c r="CU73" i="18" s="1"/>
  <c r="BL73" i="18"/>
  <c r="CV73" i="18" s="1"/>
  <c r="BM73" i="18"/>
  <c r="CW73" i="18" s="1"/>
  <c r="H74" i="18"/>
  <c r="I74" i="18"/>
  <c r="J74" i="18"/>
  <c r="K74" i="18"/>
  <c r="L74" i="18"/>
  <c r="M74" i="18"/>
  <c r="N74" i="18"/>
  <c r="O74" i="18"/>
  <c r="P74" i="18"/>
  <c r="Q74" i="18"/>
  <c r="R74" i="18"/>
  <c r="S74" i="18"/>
  <c r="T74" i="18"/>
  <c r="U74" i="18"/>
  <c r="V74" i="18"/>
  <c r="W74" i="18"/>
  <c r="X74" i="18"/>
  <c r="Y74" i="18"/>
  <c r="Z74" i="18"/>
  <c r="AA74" i="18"/>
  <c r="AB74" i="18"/>
  <c r="AC74" i="18"/>
  <c r="AR74" i="18"/>
  <c r="CB74" i="18" s="1"/>
  <c r="AS74" i="18"/>
  <c r="CC74" i="18" s="1"/>
  <c r="AT74" i="18"/>
  <c r="CD74" i="18" s="1"/>
  <c r="AU74" i="18"/>
  <c r="CE74" i="18" s="1"/>
  <c r="AV74" i="18"/>
  <c r="CF74" i="18" s="1"/>
  <c r="AW74" i="18"/>
  <c r="CG74" i="18" s="1"/>
  <c r="AX74" i="18"/>
  <c r="CH74" i="18" s="1"/>
  <c r="AY74" i="18"/>
  <c r="CI74" i="18" s="1"/>
  <c r="AZ74" i="18"/>
  <c r="CJ74" i="18" s="1"/>
  <c r="BA74" i="18"/>
  <c r="CK74" i="18" s="1"/>
  <c r="BB74" i="18"/>
  <c r="CL74" i="18" s="1"/>
  <c r="BC74" i="18"/>
  <c r="CM74" i="18" s="1"/>
  <c r="BD74" i="18"/>
  <c r="CN74" i="18" s="1"/>
  <c r="BE74" i="18"/>
  <c r="CO74" i="18" s="1"/>
  <c r="BF74" i="18"/>
  <c r="CP74" i="18" s="1"/>
  <c r="BG74" i="18"/>
  <c r="CQ74" i="18" s="1"/>
  <c r="BH74" i="18"/>
  <c r="CR74" i="18" s="1"/>
  <c r="BI74" i="18"/>
  <c r="CS74" i="18" s="1"/>
  <c r="BJ74" i="18"/>
  <c r="CT74" i="18" s="1"/>
  <c r="BK74" i="18"/>
  <c r="CU74" i="18" s="1"/>
  <c r="BL74" i="18"/>
  <c r="CV74" i="18" s="1"/>
  <c r="BM74" i="18"/>
  <c r="CW74" i="18" s="1"/>
  <c r="H75" i="18"/>
  <c r="I75" i="18"/>
  <c r="J75" i="18"/>
  <c r="K75" i="18"/>
  <c r="L75" i="18"/>
  <c r="M75" i="18"/>
  <c r="N75" i="18"/>
  <c r="O75" i="18"/>
  <c r="P75" i="18"/>
  <c r="Q75" i="18"/>
  <c r="R75" i="18"/>
  <c r="S75" i="18"/>
  <c r="T75" i="18"/>
  <c r="U75" i="18"/>
  <c r="V75" i="18"/>
  <c r="W75" i="18"/>
  <c r="X75" i="18"/>
  <c r="Y75" i="18"/>
  <c r="Z75" i="18"/>
  <c r="AA75" i="18"/>
  <c r="AB75" i="18"/>
  <c r="AC75" i="18"/>
  <c r="AR75" i="18"/>
  <c r="CB75" i="18" s="1"/>
  <c r="AS75" i="18"/>
  <c r="CC75" i="18" s="1"/>
  <c r="AT75" i="18"/>
  <c r="CD75" i="18" s="1"/>
  <c r="AU75" i="18"/>
  <c r="CE75" i="18" s="1"/>
  <c r="AV75" i="18"/>
  <c r="CF75" i="18" s="1"/>
  <c r="AW75" i="18"/>
  <c r="CG75" i="18" s="1"/>
  <c r="AX75" i="18"/>
  <c r="CH75" i="18" s="1"/>
  <c r="AY75" i="18"/>
  <c r="CI75" i="18" s="1"/>
  <c r="AZ75" i="18"/>
  <c r="CJ75" i="18" s="1"/>
  <c r="BA75" i="18"/>
  <c r="CK75" i="18" s="1"/>
  <c r="BB75" i="18"/>
  <c r="CL75" i="18" s="1"/>
  <c r="BC75" i="18"/>
  <c r="CM75" i="18" s="1"/>
  <c r="BD75" i="18"/>
  <c r="CN75" i="18" s="1"/>
  <c r="BE75" i="18"/>
  <c r="CO75" i="18" s="1"/>
  <c r="BF75" i="18"/>
  <c r="CP75" i="18" s="1"/>
  <c r="BG75" i="18"/>
  <c r="CQ75" i="18" s="1"/>
  <c r="BH75" i="18"/>
  <c r="CR75" i="18" s="1"/>
  <c r="BI75" i="18"/>
  <c r="CS75" i="18" s="1"/>
  <c r="BJ75" i="18"/>
  <c r="CT75" i="18" s="1"/>
  <c r="BK75" i="18"/>
  <c r="CU75" i="18" s="1"/>
  <c r="BL75" i="18"/>
  <c r="CV75" i="18" s="1"/>
  <c r="BM75" i="18"/>
  <c r="CW75" i="18" s="1"/>
  <c r="H76" i="18"/>
  <c r="I76" i="18"/>
  <c r="J76" i="18"/>
  <c r="K76" i="18"/>
  <c r="L76" i="18"/>
  <c r="M76" i="18"/>
  <c r="N76" i="18"/>
  <c r="O76" i="18"/>
  <c r="P76" i="18"/>
  <c r="Q76" i="18"/>
  <c r="R76" i="18"/>
  <c r="S76" i="18"/>
  <c r="T76" i="18"/>
  <c r="U76" i="18"/>
  <c r="V76" i="18"/>
  <c r="W76" i="18"/>
  <c r="X76" i="18"/>
  <c r="Y76" i="18"/>
  <c r="Z76" i="18"/>
  <c r="AA76" i="18"/>
  <c r="AB76" i="18"/>
  <c r="AC76" i="18"/>
  <c r="AR76" i="18"/>
  <c r="CB76" i="18" s="1"/>
  <c r="AS76" i="18"/>
  <c r="CC76" i="18" s="1"/>
  <c r="AT76" i="18"/>
  <c r="CD76" i="18" s="1"/>
  <c r="AU76" i="18"/>
  <c r="CE76" i="18" s="1"/>
  <c r="AV76" i="18"/>
  <c r="CF76" i="18" s="1"/>
  <c r="AW76" i="18"/>
  <c r="CG76" i="18" s="1"/>
  <c r="AX76" i="18"/>
  <c r="CH76" i="18" s="1"/>
  <c r="AY76" i="18"/>
  <c r="CI76" i="18" s="1"/>
  <c r="AZ76" i="18"/>
  <c r="CJ76" i="18" s="1"/>
  <c r="BA76" i="18"/>
  <c r="CK76" i="18" s="1"/>
  <c r="BB76" i="18"/>
  <c r="CL76" i="18" s="1"/>
  <c r="BC76" i="18"/>
  <c r="CM76" i="18" s="1"/>
  <c r="BD76" i="18"/>
  <c r="CN76" i="18" s="1"/>
  <c r="BE76" i="18"/>
  <c r="CO76" i="18" s="1"/>
  <c r="BF76" i="18"/>
  <c r="CP76" i="18" s="1"/>
  <c r="BG76" i="18"/>
  <c r="CQ76" i="18" s="1"/>
  <c r="BH76" i="18"/>
  <c r="CR76" i="18" s="1"/>
  <c r="BI76" i="18"/>
  <c r="CS76" i="18" s="1"/>
  <c r="BJ76" i="18"/>
  <c r="CT76" i="18" s="1"/>
  <c r="BK76" i="18"/>
  <c r="CU76" i="18" s="1"/>
  <c r="BL76" i="18"/>
  <c r="CV76" i="18" s="1"/>
  <c r="BM76" i="18"/>
  <c r="CW76" i="18" s="1"/>
  <c r="H77" i="18"/>
  <c r="I77" i="18"/>
  <c r="J77" i="18"/>
  <c r="K77" i="18"/>
  <c r="L77" i="18"/>
  <c r="M77" i="18"/>
  <c r="N77" i="18"/>
  <c r="O77" i="18"/>
  <c r="P77" i="18"/>
  <c r="Q77" i="18"/>
  <c r="R77" i="18"/>
  <c r="S77" i="18"/>
  <c r="T77" i="18"/>
  <c r="U77" i="18"/>
  <c r="V77" i="18"/>
  <c r="W77" i="18"/>
  <c r="X77" i="18"/>
  <c r="Y77" i="18"/>
  <c r="Z77" i="18"/>
  <c r="AA77" i="18"/>
  <c r="AB77" i="18"/>
  <c r="AC77" i="18"/>
  <c r="AR77" i="18"/>
  <c r="CB77" i="18" s="1"/>
  <c r="AS77" i="18"/>
  <c r="CC77" i="18" s="1"/>
  <c r="AT77" i="18"/>
  <c r="CD77" i="18" s="1"/>
  <c r="AU77" i="18"/>
  <c r="CE77" i="18" s="1"/>
  <c r="AV77" i="18"/>
  <c r="CF77" i="18" s="1"/>
  <c r="AW77" i="18"/>
  <c r="CG77" i="18" s="1"/>
  <c r="AX77" i="18"/>
  <c r="CH77" i="18" s="1"/>
  <c r="AY77" i="18"/>
  <c r="CI77" i="18" s="1"/>
  <c r="AZ77" i="18"/>
  <c r="CJ77" i="18" s="1"/>
  <c r="BA77" i="18"/>
  <c r="CK77" i="18" s="1"/>
  <c r="BB77" i="18"/>
  <c r="CL77" i="18" s="1"/>
  <c r="BC77" i="18"/>
  <c r="CM77" i="18" s="1"/>
  <c r="BD77" i="18"/>
  <c r="CN77" i="18" s="1"/>
  <c r="BE77" i="18"/>
  <c r="CO77" i="18" s="1"/>
  <c r="BF77" i="18"/>
  <c r="CP77" i="18" s="1"/>
  <c r="BG77" i="18"/>
  <c r="CQ77" i="18" s="1"/>
  <c r="BH77" i="18"/>
  <c r="CR77" i="18" s="1"/>
  <c r="BI77" i="18"/>
  <c r="CS77" i="18" s="1"/>
  <c r="BJ77" i="18"/>
  <c r="CT77" i="18" s="1"/>
  <c r="BK77" i="18"/>
  <c r="CU77" i="18" s="1"/>
  <c r="BL77" i="18"/>
  <c r="CV77" i="18" s="1"/>
  <c r="BM77" i="18"/>
  <c r="CW77" i="18" s="1"/>
  <c r="H78" i="18"/>
  <c r="I78" i="18"/>
  <c r="J78" i="18"/>
  <c r="K78" i="18"/>
  <c r="L78" i="18"/>
  <c r="M78" i="18"/>
  <c r="N78" i="18"/>
  <c r="O78" i="18"/>
  <c r="P78" i="18"/>
  <c r="Q78" i="18"/>
  <c r="R78" i="18"/>
  <c r="S78" i="18"/>
  <c r="T78" i="18"/>
  <c r="U78" i="18"/>
  <c r="V78" i="18"/>
  <c r="W78" i="18"/>
  <c r="X78" i="18"/>
  <c r="Y78" i="18"/>
  <c r="Z78" i="18"/>
  <c r="AA78" i="18"/>
  <c r="AB78" i="18"/>
  <c r="AC78" i="18"/>
  <c r="AR78" i="18"/>
  <c r="CB78" i="18" s="1"/>
  <c r="AS78" i="18"/>
  <c r="CC78" i="18" s="1"/>
  <c r="AT78" i="18"/>
  <c r="CD78" i="18" s="1"/>
  <c r="AU78" i="18"/>
  <c r="CE78" i="18" s="1"/>
  <c r="AV78" i="18"/>
  <c r="CF78" i="18" s="1"/>
  <c r="AW78" i="18"/>
  <c r="CG78" i="18" s="1"/>
  <c r="AX78" i="18"/>
  <c r="CH78" i="18" s="1"/>
  <c r="AY78" i="18"/>
  <c r="CI78" i="18" s="1"/>
  <c r="AZ78" i="18"/>
  <c r="CJ78" i="18" s="1"/>
  <c r="BA78" i="18"/>
  <c r="CK78" i="18" s="1"/>
  <c r="BB78" i="18"/>
  <c r="CL78" i="18" s="1"/>
  <c r="BC78" i="18"/>
  <c r="CM78" i="18" s="1"/>
  <c r="BD78" i="18"/>
  <c r="CN78" i="18" s="1"/>
  <c r="BE78" i="18"/>
  <c r="CO78" i="18" s="1"/>
  <c r="BF78" i="18"/>
  <c r="CP78" i="18" s="1"/>
  <c r="BG78" i="18"/>
  <c r="CQ78" i="18" s="1"/>
  <c r="BH78" i="18"/>
  <c r="CR78" i="18" s="1"/>
  <c r="BI78" i="18"/>
  <c r="CS78" i="18" s="1"/>
  <c r="BJ78" i="18"/>
  <c r="CT78" i="18" s="1"/>
  <c r="BK78" i="18"/>
  <c r="CU78" i="18" s="1"/>
  <c r="BL78" i="18"/>
  <c r="CV78" i="18" s="1"/>
  <c r="BM78" i="18"/>
  <c r="CW78" i="18" s="1"/>
  <c r="H79" i="18"/>
  <c r="I79" i="18"/>
  <c r="J79" i="18"/>
  <c r="K79" i="18"/>
  <c r="L79" i="18"/>
  <c r="M79" i="18"/>
  <c r="N79" i="18"/>
  <c r="O79" i="18"/>
  <c r="P79" i="18"/>
  <c r="Q79" i="18"/>
  <c r="R79" i="18"/>
  <c r="S79" i="18"/>
  <c r="T79" i="18"/>
  <c r="U79" i="18"/>
  <c r="V79" i="18"/>
  <c r="W79" i="18"/>
  <c r="X79" i="18"/>
  <c r="Y79" i="18"/>
  <c r="Z79" i="18"/>
  <c r="AA79" i="18"/>
  <c r="AB79" i="18"/>
  <c r="AC79" i="18"/>
  <c r="AR79" i="18"/>
  <c r="CB79" i="18" s="1"/>
  <c r="AS79" i="18"/>
  <c r="CC79" i="18" s="1"/>
  <c r="AT79" i="18"/>
  <c r="CD79" i="18" s="1"/>
  <c r="AU79" i="18"/>
  <c r="CE79" i="18" s="1"/>
  <c r="AV79" i="18"/>
  <c r="CF79" i="18" s="1"/>
  <c r="AW79" i="18"/>
  <c r="CG79" i="18" s="1"/>
  <c r="AX79" i="18"/>
  <c r="CH79" i="18" s="1"/>
  <c r="AY79" i="18"/>
  <c r="CI79" i="18" s="1"/>
  <c r="AZ79" i="18"/>
  <c r="CJ79" i="18" s="1"/>
  <c r="BA79" i="18"/>
  <c r="CK79" i="18" s="1"/>
  <c r="BB79" i="18"/>
  <c r="CL79" i="18" s="1"/>
  <c r="BC79" i="18"/>
  <c r="CM79" i="18" s="1"/>
  <c r="BD79" i="18"/>
  <c r="CN79" i="18" s="1"/>
  <c r="BE79" i="18"/>
  <c r="CO79" i="18" s="1"/>
  <c r="BF79" i="18"/>
  <c r="CP79" i="18" s="1"/>
  <c r="BG79" i="18"/>
  <c r="CQ79" i="18" s="1"/>
  <c r="BH79" i="18"/>
  <c r="CR79" i="18" s="1"/>
  <c r="BI79" i="18"/>
  <c r="CS79" i="18" s="1"/>
  <c r="BJ79" i="18"/>
  <c r="CT79" i="18" s="1"/>
  <c r="BK79" i="18"/>
  <c r="CU79" i="18" s="1"/>
  <c r="BL79" i="18"/>
  <c r="CV79" i="18" s="1"/>
  <c r="BM79" i="18"/>
  <c r="CW79" i="18" s="1"/>
  <c r="H80" i="18"/>
  <c r="I80" i="18"/>
  <c r="J80" i="18"/>
  <c r="K80" i="18"/>
  <c r="L80" i="18"/>
  <c r="M80" i="18"/>
  <c r="N80" i="18"/>
  <c r="O80" i="18"/>
  <c r="P80" i="18"/>
  <c r="Q80" i="18"/>
  <c r="R80" i="18"/>
  <c r="S80" i="18"/>
  <c r="T80" i="18"/>
  <c r="U80" i="18"/>
  <c r="V80" i="18"/>
  <c r="W80" i="18"/>
  <c r="X80" i="18"/>
  <c r="Y80" i="18"/>
  <c r="Z80" i="18"/>
  <c r="AA80" i="18"/>
  <c r="AB80" i="18"/>
  <c r="AC80" i="18"/>
  <c r="AR80" i="18"/>
  <c r="AS80" i="18"/>
  <c r="CC80" i="18" s="1"/>
  <c r="AT80" i="18"/>
  <c r="CD80" i="18" s="1"/>
  <c r="AU80" i="18"/>
  <c r="CE80" i="18" s="1"/>
  <c r="AV80" i="18"/>
  <c r="CF80" i="18" s="1"/>
  <c r="AW80" i="18"/>
  <c r="CG80" i="18" s="1"/>
  <c r="AX80" i="18"/>
  <c r="CH80" i="18" s="1"/>
  <c r="AY80" i="18"/>
  <c r="CI80" i="18" s="1"/>
  <c r="AZ80" i="18"/>
  <c r="CJ80" i="18" s="1"/>
  <c r="BA80" i="18"/>
  <c r="CK80" i="18" s="1"/>
  <c r="BB80" i="18"/>
  <c r="CL80" i="18" s="1"/>
  <c r="BC80" i="18"/>
  <c r="CM80" i="18" s="1"/>
  <c r="BD80" i="18"/>
  <c r="CN80" i="18" s="1"/>
  <c r="BE80" i="18"/>
  <c r="CO80" i="18" s="1"/>
  <c r="BF80" i="18"/>
  <c r="CP80" i="18" s="1"/>
  <c r="BG80" i="18"/>
  <c r="CQ80" i="18" s="1"/>
  <c r="BH80" i="18"/>
  <c r="CR80" i="18" s="1"/>
  <c r="BI80" i="18"/>
  <c r="CS80" i="18" s="1"/>
  <c r="BJ80" i="18"/>
  <c r="CT80" i="18" s="1"/>
  <c r="BK80" i="18"/>
  <c r="CU80" i="18" s="1"/>
  <c r="BL80" i="18"/>
  <c r="CV80" i="18" s="1"/>
  <c r="BM80" i="18"/>
  <c r="CW80" i="18" s="1"/>
  <c r="H81" i="18"/>
  <c r="I81" i="18"/>
  <c r="J81" i="18"/>
  <c r="K81" i="18"/>
  <c r="L81" i="18"/>
  <c r="M81" i="18"/>
  <c r="N81" i="18"/>
  <c r="O81" i="18"/>
  <c r="P81" i="18"/>
  <c r="Q81" i="18"/>
  <c r="R81" i="18"/>
  <c r="S81" i="18"/>
  <c r="T81" i="18"/>
  <c r="U81" i="18"/>
  <c r="V81" i="18"/>
  <c r="W81" i="18"/>
  <c r="X81" i="18"/>
  <c r="Y81" i="18"/>
  <c r="Z81" i="18"/>
  <c r="AA81" i="18"/>
  <c r="AB81" i="18"/>
  <c r="AC81" i="18"/>
  <c r="AR81" i="18"/>
  <c r="AS81" i="18"/>
  <c r="CC81" i="18" s="1"/>
  <c r="AT81" i="18"/>
  <c r="CD81" i="18" s="1"/>
  <c r="AU81" i="18"/>
  <c r="CE81" i="18" s="1"/>
  <c r="AV81" i="18"/>
  <c r="CF81" i="18" s="1"/>
  <c r="AW81" i="18"/>
  <c r="CG81" i="18" s="1"/>
  <c r="AX81" i="18"/>
  <c r="CH81" i="18" s="1"/>
  <c r="AY81" i="18"/>
  <c r="CI81" i="18" s="1"/>
  <c r="AZ81" i="18"/>
  <c r="CJ81" i="18" s="1"/>
  <c r="BA81" i="18"/>
  <c r="CK81" i="18" s="1"/>
  <c r="BB81" i="18"/>
  <c r="CL81" i="18" s="1"/>
  <c r="BC81" i="18"/>
  <c r="CM81" i="18" s="1"/>
  <c r="BD81" i="18"/>
  <c r="CN81" i="18" s="1"/>
  <c r="BE81" i="18"/>
  <c r="CO81" i="18" s="1"/>
  <c r="BF81" i="18"/>
  <c r="CP81" i="18" s="1"/>
  <c r="BG81" i="18"/>
  <c r="CQ81" i="18" s="1"/>
  <c r="BH81" i="18"/>
  <c r="CR81" i="18" s="1"/>
  <c r="BI81" i="18"/>
  <c r="CS81" i="18" s="1"/>
  <c r="BJ81" i="18"/>
  <c r="CT81" i="18" s="1"/>
  <c r="BK81" i="18"/>
  <c r="CU81" i="18" s="1"/>
  <c r="BL81" i="18"/>
  <c r="CV81" i="18" s="1"/>
  <c r="BM81" i="18"/>
  <c r="CW81" i="18" s="1"/>
  <c r="H82" i="18"/>
  <c r="I82" i="18"/>
  <c r="J82" i="18"/>
  <c r="K82" i="18"/>
  <c r="L82" i="18"/>
  <c r="M82" i="18"/>
  <c r="N82" i="18"/>
  <c r="O82" i="18"/>
  <c r="P82" i="18"/>
  <c r="Q82" i="18"/>
  <c r="R82" i="18"/>
  <c r="S82" i="18"/>
  <c r="T82" i="18"/>
  <c r="U82" i="18"/>
  <c r="V82" i="18"/>
  <c r="W82" i="18"/>
  <c r="X82" i="18"/>
  <c r="Y82" i="18"/>
  <c r="Z82" i="18"/>
  <c r="AA82" i="18"/>
  <c r="AB82" i="18"/>
  <c r="AC82" i="18"/>
  <c r="AR82" i="18"/>
  <c r="AS82" i="18"/>
  <c r="CC82" i="18" s="1"/>
  <c r="AT82" i="18"/>
  <c r="CD82" i="18" s="1"/>
  <c r="AU82" i="18"/>
  <c r="CE82" i="18" s="1"/>
  <c r="AV82" i="18"/>
  <c r="CF82" i="18" s="1"/>
  <c r="AW82" i="18"/>
  <c r="CG82" i="18" s="1"/>
  <c r="AX82" i="18"/>
  <c r="CH82" i="18" s="1"/>
  <c r="AY82" i="18"/>
  <c r="CI82" i="18" s="1"/>
  <c r="AZ82" i="18"/>
  <c r="CJ82" i="18" s="1"/>
  <c r="BA82" i="18"/>
  <c r="CK82" i="18" s="1"/>
  <c r="BB82" i="18"/>
  <c r="CL82" i="18" s="1"/>
  <c r="BC82" i="18"/>
  <c r="CM82" i="18" s="1"/>
  <c r="BD82" i="18"/>
  <c r="CN82" i="18" s="1"/>
  <c r="BE82" i="18"/>
  <c r="CO82" i="18" s="1"/>
  <c r="BF82" i="18"/>
  <c r="CP82" i="18" s="1"/>
  <c r="BG82" i="18"/>
  <c r="CQ82" i="18" s="1"/>
  <c r="BH82" i="18"/>
  <c r="CR82" i="18" s="1"/>
  <c r="BI82" i="18"/>
  <c r="CS82" i="18" s="1"/>
  <c r="BJ82" i="18"/>
  <c r="CT82" i="18" s="1"/>
  <c r="BK82" i="18"/>
  <c r="CU82" i="18" s="1"/>
  <c r="BL82" i="18"/>
  <c r="CV82" i="18" s="1"/>
  <c r="BM82" i="18"/>
  <c r="CW82" i="18" s="1"/>
  <c r="H83" i="18"/>
  <c r="I83" i="18"/>
  <c r="J83" i="18"/>
  <c r="K83" i="18"/>
  <c r="L83" i="18"/>
  <c r="M83" i="18"/>
  <c r="N83" i="18"/>
  <c r="O83" i="18"/>
  <c r="P83" i="18"/>
  <c r="Q83" i="18"/>
  <c r="R83" i="18"/>
  <c r="S83" i="18"/>
  <c r="T83" i="18"/>
  <c r="U83" i="18"/>
  <c r="V83" i="18"/>
  <c r="W83" i="18"/>
  <c r="X83" i="18"/>
  <c r="Y83" i="18"/>
  <c r="Z83" i="18"/>
  <c r="AA83" i="18"/>
  <c r="AB83" i="18"/>
  <c r="AC83" i="18"/>
  <c r="AR83" i="18"/>
  <c r="CB83" i="18" s="1"/>
  <c r="AS83" i="18"/>
  <c r="CC83" i="18" s="1"/>
  <c r="AT83" i="18"/>
  <c r="CD83" i="18" s="1"/>
  <c r="AU83" i="18"/>
  <c r="CE83" i="18" s="1"/>
  <c r="AV83" i="18"/>
  <c r="CF83" i="18" s="1"/>
  <c r="AW83" i="18"/>
  <c r="CG83" i="18" s="1"/>
  <c r="AX83" i="18"/>
  <c r="CH83" i="18" s="1"/>
  <c r="AY83" i="18"/>
  <c r="CI83" i="18" s="1"/>
  <c r="AZ83" i="18"/>
  <c r="CJ83" i="18" s="1"/>
  <c r="BA83" i="18"/>
  <c r="CK83" i="18" s="1"/>
  <c r="BB83" i="18"/>
  <c r="CL83" i="18" s="1"/>
  <c r="BC83" i="18"/>
  <c r="CM83" i="18" s="1"/>
  <c r="BD83" i="18"/>
  <c r="CN83" i="18" s="1"/>
  <c r="BE83" i="18"/>
  <c r="CO83" i="18" s="1"/>
  <c r="BF83" i="18"/>
  <c r="CP83" i="18" s="1"/>
  <c r="BG83" i="18"/>
  <c r="CQ83" i="18" s="1"/>
  <c r="BH83" i="18"/>
  <c r="CR83" i="18" s="1"/>
  <c r="BI83" i="18"/>
  <c r="CS83" i="18" s="1"/>
  <c r="BJ83" i="18"/>
  <c r="CT83" i="18" s="1"/>
  <c r="BK83" i="18"/>
  <c r="CU83" i="18" s="1"/>
  <c r="BL83" i="18"/>
  <c r="CV83" i="18" s="1"/>
  <c r="BM83" i="18"/>
  <c r="CW83" i="18" s="1"/>
  <c r="H84" i="18"/>
  <c r="I84" i="18"/>
  <c r="J84" i="18"/>
  <c r="K84" i="18"/>
  <c r="L84" i="18"/>
  <c r="M84" i="18"/>
  <c r="N84" i="18"/>
  <c r="O84" i="18"/>
  <c r="P84" i="18"/>
  <c r="Q84" i="18"/>
  <c r="R84" i="18"/>
  <c r="S84" i="18"/>
  <c r="T84" i="18"/>
  <c r="U84" i="18"/>
  <c r="V84" i="18"/>
  <c r="W84" i="18"/>
  <c r="X84" i="18"/>
  <c r="Y84" i="18"/>
  <c r="Z84" i="18"/>
  <c r="AA84" i="18"/>
  <c r="AB84" i="18"/>
  <c r="AC84" i="18"/>
  <c r="AR84" i="18"/>
  <c r="CB84" i="18" s="1"/>
  <c r="AS84" i="18"/>
  <c r="AT84" i="18"/>
  <c r="CD84" i="18" s="1"/>
  <c r="AU84" i="18"/>
  <c r="CE84" i="18" s="1"/>
  <c r="AV84" i="18"/>
  <c r="CF84" i="18" s="1"/>
  <c r="AW84" i="18"/>
  <c r="CG84" i="18" s="1"/>
  <c r="AX84" i="18"/>
  <c r="CH84" i="18" s="1"/>
  <c r="AY84" i="18"/>
  <c r="CI84" i="18" s="1"/>
  <c r="AZ84" i="18"/>
  <c r="CJ84" i="18" s="1"/>
  <c r="BA84" i="18"/>
  <c r="CK84" i="18" s="1"/>
  <c r="BB84" i="18"/>
  <c r="CL84" i="18" s="1"/>
  <c r="BC84" i="18"/>
  <c r="CM84" i="18" s="1"/>
  <c r="BD84" i="18"/>
  <c r="CN84" i="18" s="1"/>
  <c r="BE84" i="18"/>
  <c r="CO84" i="18" s="1"/>
  <c r="BF84" i="18"/>
  <c r="CP84" i="18" s="1"/>
  <c r="BG84" i="18"/>
  <c r="CQ84" i="18" s="1"/>
  <c r="BH84" i="18"/>
  <c r="CR84" i="18" s="1"/>
  <c r="BI84" i="18"/>
  <c r="CS84" i="18" s="1"/>
  <c r="BJ84" i="18"/>
  <c r="CT84" i="18" s="1"/>
  <c r="BK84" i="18"/>
  <c r="CU84" i="18" s="1"/>
  <c r="BL84" i="18"/>
  <c r="CV84" i="18" s="1"/>
  <c r="BM84" i="18"/>
  <c r="CW84" i="18" s="1"/>
  <c r="H85" i="18"/>
  <c r="I85" i="18"/>
  <c r="J85" i="18"/>
  <c r="K85" i="18"/>
  <c r="L85" i="18"/>
  <c r="M85" i="18"/>
  <c r="N85" i="18"/>
  <c r="O85" i="18"/>
  <c r="P85" i="18"/>
  <c r="Q85" i="18"/>
  <c r="R85" i="18"/>
  <c r="S85" i="18"/>
  <c r="T85" i="18"/>
  <c r="U85" i="18"/>
  <c r="V85" i="18"/>
  <c r="W85" i="18"/>
  <c r="X85" i="18"/>
  <c r="Y85" i="18"/>
  <c r="Z85" i="18"/>
  <c r="AA85" i="18"/>
  <c r="AB85" i="18"/>
  <c r="AC85" i="18"/>
  <c r="AR85" i="18"/>
  <c r="CB85" i="18" s="1"/>
  <c r="AS85" i="18"/>
  <c r="CC85" i="18" s="1"/>
  <c r="AT85" i="18"/>
  <c r="CD85" i="18" s="1"/>
  <c r="AU85" i="18"/>
  <c r="CE85" i="18" s="1"/>
  <c r="AV85" i="18"/>
  <c r="CF85" i="18" s="1"/>
  <c r="AW85" i="18"/>
  <c r="CG85" i="18" s="1"/>
  <c r="AX85" i="18"/>
  <c r="CH85" i="18" s="1"/>
  <c r="AY85" i="18"/>
  <c r="CI85" i="18" s="1"/>
  <c r="AZ85" i="18"/>
  <c r="CJ85" i="18" s="1"/>
  <c r="BA85" i="18"/>
  <c r="CK85" i="18" s="1"/>
  <c r="BB85" i="18"/>
  <c r="CL85" i="18" s="1"/>
  <c r="BC85" i="18"/>
  <c r="CM85" i="18" s="1"/>
  <c r="BD85" i="18"/>
  <c r="CN85" i="18" s="1"/>
  <c r="BE85" i="18"/>
  <c r="CO85" i="18" s="1"/>
  <c r="BF85" i="18"/>
  <c r="CP85" i="18" s="1"/>
  <c r="BG85" i="18"/>
  <c r="CQ85" i="18" s="1"/>
  <c r="BH85" i="18"/>
  <c r="CR85" i="18" s="1"/>
  <c r="BI85" i="18"/>
  <c r="CS85" i="18" s="1"/>
  <c r="BJ85" i="18"/>
  <c r="CT85" i="18" s="1"/>
  <c r="BK85" i="18"/>
  <c r="CU85" i="18" s="1"/>
  <c r="BL85" i="18"/>
  <c r="CV85" i="18" s="1"/>
  <c r="BM85" i="18"/>
  <c r="CW85" i="18" s="1"/>
  <c r="H86" i="18"/>
  <c r="I86" i="18"/>
  <c r="J86" i="18"/>
  <c r="K86" i="18"/>
  <c r="L86" i="18"/>
  <c r="M86" i="18"/>
  <c r="N86" i="18"/>
  <c r="O86" i="18"/>
  <c r="P86" i="18"/>
  <c r="Q86" i="18"/>
  <c r="R86" i="18"/>
  <c r="S86" i="18"/>
  <c r="T86" i="18"/>
  <c r="U86" i="18"/>
  <c r="V86" i="18"/>
  <c r="W86" i="18"/>
  <c r="X86" i="18"/>
  <c r="Y86" i="18"/>
  <c r="Z86" i="18"/>
  <c r="AA86" i="18"/>
  <c r="AB86" i="18"/>
  <c r="AC86" i="18"/>
  <c r="AR86" i="18"/>
  <c r="CB86" i="18" s="1"/>
  <c r="AS86" i="18"/>
  <c r="CC86" i="18" s="1"/>
  <c r="AT86" i="18"/>
  <c r="CD86" i="18" s="1"/>
  <c r="AU86" i="18"/>
  <c r="CE86" i="18" s="1"/>
  <c r="AV86" i="18"/>
  <c r="CF86" i="18" s="1"/>
  <c r="AW86" i="18"/>
  <c r="CG86" i="18" s="1"/>
  <c r="AX86" i="18"/>
  <c r="CH86" i="18" s="1"/>
  <c r="AY86" i="18"/>
  <c r="CI86" i="18" s="1"/>
  <c r="AZ86" i="18"/>
  <c r="CJ86" i="18" s="1"/>
  <c r="BA86" i="18"/>
  <c r="CK86" i="18" s="1"/>
  <c r="BB86" i="18"/>
  <c r="CL86" i="18" s="1"/>
  <c r="BC86" i="18"/>
  <c r="CM86" i="18" s="1"/>
  <c r="BD86" i="18"/>
  <c r="CN86" i="18" s="1"/>
  <c r="BE86" i="18"/>
  <c r="CO86" i="18" s="1"/>
  <c r="BF86" i="18"/>
  <c r="CP86" i="18" s="1"/>
  <c r="BG86" i="18"/>
  <c r="CQ86" i="18" s="1"/>
  <c r="BH86" i="18"/>
  <c r="CR86" i="18" s="1"/>
  <c r="BI86" i="18"/>
  <c r="CS86" i="18" s="1"/>
  <c r="BJ86" i="18"/>
  <c r="CT86" i="18" s="1"/>
  <c r="BK86" i="18"/>
  <c r="CU86" i="18" s="1"/>
  <c r="BL86" i="18"/>
  <c r="CV86" i="18" s="1"/>
  <c r="BM86" i="18"/>
  <c r="CW86" i="18" s="1"/>
  <c r="H87" i="18"/>
  <c r="I87" i="18"/>
  <c r="J87" i="18"/>
  <c r="K87" i="18"/>
  <c r="L87" i="18"/>
  <c r="M87" i="18"/>
  <c r="N87" i="18"/>
  <c r="O87" i="18"/>
  <c r="P87" i="18"/>
  <c r="Q87" i="18"/>
  <c r="R87" i="18"/>
  <c r="S87" i="18"/>
  <c r="T87" i="18"/>
  <c r="U87" i="18"/>
  <c r="V87" i="18"/>
  <c r="W87" i="18"/>
  <c r="X87" i="18"/>
  <c r="Y87" i="18"/>
  <c r="Z87" i="18"/>
  <c r="AA87" i="18"/>
  <c r="AB87" i="18"/>
  <c r="AC87" i="18"/>
  <c r="AR87" i="18"/>
  <c r="CB87" i="18" s="1"/>
  <c r="AS87" i="18"/>
  <c r="CC87" i="18" s="1"/>
  <c r="AT87" i="18"/>
  <c r="CD87" i="18" s="1"/>
  <c r="AU87" i="18"/>
  <c r="CE87" i="18" s="1"/>
  <c r="AV87" i="18"/>
  <c r="CF87" i="18" s="1"/>
  <c r="AW87" i="18"/>
  <c r="CG87" i="18" s="1"/>
  <c r="AX87" i="18"/>
  <c r="CH87" i="18" s="1"/>
  <c r="AY87" i="18"/>
  <c r="CI87" i="18" s="1"/>
  <c r="AZ87" i="18"/>
  <c r="CJ87" i="18" s="1"/>
  <c r="BA87" i="18"/>
  <c r="CK87" i="18" s="1"/>
  <c r="BB87" i="18"/>
  <c r="CL87" i="18" s="1"/>
  <c r="BC87" i="18"/>
  <c r="CM87" i="18" s="1"/>
  <c r="BD87" i="18"/>
  <c r="CN87" i="18" s="1"/>
  <c r="BE87" i="18"/>
  <c r="CO87" i="18" s="1"/>
  <c r="BF87" i="18"/>
  <c r="CP87" i="18" s="1"/>
  <c r="BG87" i="18"/>
  <c r="CQ87" i="18" s="1"/>
  <c r="BH87" i="18"/>
  <c r="CR87" i="18" s="1"/>
  <c r="BI87" i="18"/>
  <c r="CS87" i="18" s="1"/>
  <c r="BJ87" i="18"/>
  <c r="CT87" i="18" s="1"/>
  <c r="BK87" i="18"/>
  <c r="CU87" i="18" s="1"/>
  <c r="BL87" i="18"/>
  <c r="CV87" i="18" s="1"/>
  <c r="BM87" i="18"/>
  <c r="CW87" i="18" s="1"/>
  <c r="H88" i="18"/>
  <c r="I88" i="18"/>
  <c r="J88" i="18"/>
  <c r="K88" i="18"/>
  <c r="L88" i="18"/>
  <c r="M88" i="18"/>
  <c r="N88" i="18"/>
  <c r="O88" i="18"/>
  <c r="P88" i="18"/>
  <c r="Q88" i="18"/>
  <c r="R88" i="18"/>
  <c r="S88" i="18"/>
  <c r="T88" i="18"/>
  <c r="U88" i="18"/>
  <c r="V88" i="18"/>
  <c r="W88" i="18"/>
  <c r="X88" i="18"/>
  <c r="Y88" i="18"/>
  <c r="Z88" i="18"/>
  <c r="AA88" i="18"/>
  <c r="AB88" i="18"/>
  <c r="AC88" i="18"/>
  <c r="AR88" i="18"/>
  <c r="CB88" i="18" s="1"/>
  <c r="AS88" i="18"/>
  <c r="AT88" i="18"/>
  <c r="CD88" i="18" s="1"/>
  <c r="AU88" i="18"/>
  <c r="CE88" i="18" s="1"/>
  <c r="AV88" i="18"/>
  <c r="CF88" i="18" s="1"/>
  <c r="AW88" i="18"/>
  <c r="CG88" i="18" s="1"/>
  <c r="AX88" i="18"/>
  <c r="CH88" i="18" s="1"/>
  <c r="AY88" i="18"/>
  <c r="CI88" i="18" s="1"/>
  <c r="AZ88" i="18"/>
  <c r="CJ88" i="18" s="1"/>
  <c r="BA88" i="18"/>
  <c r="CK88" i="18" s="1"/>
  <c r="BB88" i="18"/>
  <c r="CL88" i="18" s="1"/>
  <c r="BC88" i="18"/>
  <c r="CM88" i="18" s="1"/>
  <c r="BD88" i="18"/>
  <c r="CN88" i="18" s="1"/>
  <c r="BE88" i="18"/>
  <c r="CO88" i="18" s="1"/>
  <c r="BF88" i="18"/>
  <c r="CP88" i="18" s="1"/>
  <c r="BG88" i="18"/>
  <c r="CQ88" i="18" s="1"/>
  <c r="BH88" i="18"/>
  <c r="CR88" i="18" s="1"/>
  <c r="BI88" i="18"/>
  <c r="CS88" i="18" s="1"/>
  <c r="BJ88" i="18"/>
  <c r="CT88" i="18" s="1"/>
  <c r="BK88" i="18"/>
  <c r="CU88" i="18" s="1"/>
  <c r="BL88" i="18"/>
  <c r="CV88" i="18" s="1"/>
  <c r="BM88" i="18"/>
  <c r="CW88" i="18" s="1"/>
  <c r="H89" i="18"/>
  <c r="I89" i="18"/>
  <c r="J89" i="18"/>
  <c r="K89" i="18"/>
  <c r="L89" i="18"/>
  <c r="M89" i="18"/>
  <c r="N89" i="18"/>
  <c r="O89" i="18"/>
  <c r="P89" i="18"/>
  <c r="Q89" i="18"/>
  <c r="R89" i="18"/>
  <c r="S89" i="18"/>
  <c r="T89" i="18"/>
  <c r="U89" i="18"/>
  <c r="V89" i="18"/>
  <c r="W89" i="18"/>
  <c r="X89" i="18"/>
  <c r="Y89" i="18"/>
  <c r="Z89" i="18"/>
  <c r="AA89" i="18"/>
  <c r="AB89" i="18"/>
  <c r="AC89" i="18"/>
  <c r="AR89" i="18"/>
  <c r="CB89" i="18" s="1"/>
  <c r="AS89" i="18"/>
  <c r="CC89" i="18" s="1"/>
  <c r="AT89" i="18"/>
  <c r="CD89" i="18" s="1"/>
  <c r="AU89" i="18"/>
  <c r="CE89" i="18" s="1"/>
  <c r="AV89" i="18"/>
  <c r="CF89" i="18" s="1"/>
  <c r="AW89" i="18"/>
  <c r="CG89" i="18" s="1"/>
  <c r="AX89" i="18"/>
  <c r="CH89" i="18" s="1"/>
  <c r="AY89" i="18"/>
  <c r="CI89" i="18" s="1"/>
  <c r="AZ89" i="18"/>
  <c r="CJ89" i="18" s="1"/>
  <c r="BA89" i="18"/>
  <c r="CK89" i="18" s="1"/>
  <c r="BB89" i="18"/>
  <c r="CL89" i="18" s="1"/>
  <c r="BC89" i="18"/>
  <c r="CM89" i="18" s="1"/>
  <c r="BD89" i="18"/>
  <c r="CN89" i="18" s="1"/>
  <c r="BE89" i="18"/>
  <c r="CO89" i="18" s="1"/>
  <c r="BF89" i="18"/>
  <c r="CP89" i="18" s="1"/>
  <c r="BG89" i="18"/>
  <c r="CQ89" i="18" s="1"/>
  <c r="BH89" i="18"/>
  <c r="CR89" i="18" s="1"/>
  <c r="BI89" i="18"/>
  <c r="CS89" i="18" s="1"/>
  <c r="BJ89" i="18"/>
  <c r="CT89" i="18" s="1"/>
  <c r="BK89" i="18"/>
  <c r="CU89" i="18" s="1"/>
  <c r="BL89" i="18"/>
  <c r="CV89" i="18" s="1"/>
  <c r="BM89" i="18"/>
  <c r="CW89" i="18" s="1"/>
  <c r="H90" i="18"/>
  <c r="I90" i="18"/>
  <c r="J90" i="18"/>
  <c r="K90" i="18"/>
  <c r="L90" i="18"/>
  <c r="M90" i="18"/>
  <c r="N90" i="18"/>
  <c r="O90" i="18"/>
  <c r="P90" i="18"/>
  <c r="Q90" i="18"/>
  <c r="R90" i="18"/>
  <c r="S90" i="18"/>
  <c r="T90" i="18"/>
  <c r="U90" i="18"/>
  <c r="V90" i="18"/>
  <c r="W90" i="18"/>
  <c r="X90" i="18"/>
  <c r="Y90" i="18"/>
  <c r="Z90" i="18"/>
  <c r="AA90" i="18"/>
  <c r="AB90" i="18"/>
  <c r="AC90" i="18"/>
  <c r="AR90" i="18"/>
  <c r="CB90" i="18" s="1"/>
  <c r="AS90" i="18"/>
  <c r="CC90" i="18" s="1"/>
  <c r="AT90" i="18"/>
  <c r="CD90" i="18" s="1"/>
  <c r="AU90" i="18"/>
  <c r="CE90" i="18" s="1"/>
  <c r="AV90" i="18"/>
  <c r="CF90" i="18" s="1"/>
  <c r="AW90" i="18"/>
  <c r="CG90" i="18" s="1"/>
  <c r="AX90" i="18"/>
  <c r="CH90" i="18" s="1"/>
  <c r="AY90" i="18"/>
  <c r="CI90" i="18" s="1"/>
  <c r="AZ90" i="18"/>
  <c r="CJ90" i="18" s="1"/>
  <c r="BA90" i="18"/>
  <c r="CK90" i="18" s="1"/>
  <c r="BB90" i="18"/>
  <c r="CL90" i="18" s="1"/>
  <c r="BC90" i="18"/>
  <c r="CM90" i="18" s="1"/>
  <c r="BD90" i="18"/>
  <c r="CN90" i="18" s="1"/>
  <c r="BE90" i="18"/>
  <c r="CO90" i="18" s="1"/>
  <c r="BF90" i="18"/>
  <c r="CP90" i="18" s="1"/>
  <c r="BG90" i="18"/>
  <c r="CQ90" i="18" s="1"/>
  <c r="BH90" i="18"/>
  <c r="CR90" i="18" s="1"/>
  <c r="BI90" i="18"/>
  <c r="CS90" i="18" s="1"/>
  <c r="BJ90" i="18"/>
  <c r="CT90" i="18" s="1"/>
  <c r="BK90" i="18"/>
  <c r="CU90" i="18" s="1"/>
  <c r="BL90" i="18"/>
  <c r="CV90" i="18" s="1"/>
  <c r="BM90" i="18"/>
  <c r="CW90" i="18" s="1"/>
  <c r="H91" i="18"/>
  <c r="I91" i="18"/>
  <c r="J91" i="18"/>
  <c r="K91" i="18"/>
  <c r="L91" i="18"/>
  <c r="M91" i="18"/>
  <c r="N91" i="18"/>
  <c r="O91" i="18"/>
  <c r="P91" i="18"/>
  <c r="Q91" i="18"/>
  <c r="R91" i="18"/>
  <c r="S91" i="18"/>
  <c r="T91" i="18"/>
  <c r="U91" i="18"/>
  <c r="V91" i="18"/>
  <c r="W91" i="18"/>
  <c r="X91" i="18"/>
  <c r="Y91" i="18"/>
  <c r="Z91" i="18"/>
  <c r="AA91" i="18"/>
  <c r="AB91" i="18"/>
  <c r="AC91" i="18"/>
  <c r="AR91" i="18"/>
  <c r="CB91" i="18" s="1"/>
  <c r="AS91" i="18"/>
  <c r="CC91" i="18" s="1"/>
  <c r="AT91" i="18"/>
  <c r="CD91" i="18" s="1"/>
  <c r="AU91" i="18"/>
  <c r="CE91" i="18" s="1"/>
  <c r="AV91" i="18"/>
  <c r="CF91" i="18" s="1"/>
  <c r="AW91" i="18"/>
  <c r="CG91" i="18" s="1"/>
  <c r="AX91" i="18"/>
  <c r="CH91" i="18" s="1"/>
  <c r="AY91" i="18"/>
  <c r="CI91" i="18" s="1"/>
  <c r="AZ91" i="18"/>
  <c r="CJ91" i="18" s="1"/>
  <c r="BA91" i="18"/>
  <c r="CK91" i="18" s="1"/>
  <c r="BB91" i="18"/>
  <c r="CL91" i="18" s="1"/>
  <c r="BC91" i="18"/>
  <c r="CM91" i="18" s="1"/>
  <c r="BD91" i="18"/>
  <c r="CN91" i="18" s="1"/>
  <c r="BE91" i="18"/>
  <c r="CO91" i="18" s="1"/>
  <c r="BF91" i="18"/>
  <c r="CP91" i="18" s="1"/>
  <c r="BG91" i="18"/>
  <c r="CQ91" i="18" s="1"/>
  <c r="BH91" i="18"/>
  <c r="CR91" i="18" s="1"/>
  <c r="BI91" i="18"/>
  <c r="CS91" i="18" s="1"/>
  <c r="BJ91" i="18"/>
  <c r="CT91" i="18" s="1"/>
  <c r="BK91" i="18"/>
  <c r="CU91" i="18" s="1"/>
  <c r="BL91" i="18"/>
  <c r="CV91" i="18" s="1"/>
  <c r="BM91" i="18"/>
  <c r="CW91" i="18" s="1"/>
  <c r="H92" i="18"/>
  <c r="I92" i="18"/>
  <c r="J92" i="18"/>
  <c r="K92" i="18"/>
  <c r="L92" i="18"/>
  <c r="M92" i="18"/>
  <c r="N92" i="18"/>
  <c r="O92" i="18"/>
  <c r="P92" i="18"/>
  <c r="Q92" i="18"/>
  <c r="R92" i="18"/>
  <c r="S92" i="18"/>
  <c r="T92" i="18"/>
  <c r="U92" i="18"/>
  <c r="V92" i="18"/>
  <c r="W92" i="18"/>
  <c r="X92" i="18"/>
  <c r="Y92" i="18"/>
  <c r="Z92" i="18"/>
  <c r="AA92" i="18"/>
  <c r="AB92" i="18"/>
  <c r="AC92" i="18"/>
  <c r="AR92" i="18"/>
  <c r="CB92" i="18" s="1"/>
  <c r="AS92" i="18"/>
  <c r="CC92" i="18" s="1"/>
  <c r="AT92" i="18"/>
  <c r="CD92" i="18" s="1"/>
  <c r="AU92" i="18"/>
  <c r="CE92" i="18" s="1"/>
  <c r="AV92" i="18"/>
  <c r="CF92" i="18" s="1"/>
  <c r="AW92" i="18"/>
  <c r="CG92" i="18" s="1"/>
  <c r="AX92" i="18"/>
  <c r="CH92" i="18" s="1"/>
  <c r="AY92" i="18"/>
  <c r="CI92" i="18" s="1"/>
  <c r="AZ92" i="18"/>
  <c r="CJ92" i="18" s="1"/>
  <c r="BA92" i="18"/>
  <c r="CK92" i="18" s="1"/>
  <c r="BB92" i="18"/>
  <c r="CL92" i="18" s="1"/>
  <c r="BC92" i="18"/>
  <c r="CM92" i="18" s="1"/>
  <c r="BD92" i="18"/>
  <c r="CN92" i="18" s="1"/>
  <c r="BE92" i="18"/>
  <c r="CO92" i="18" s="1"/>
  <c r="BF92" i="18"/>
  <c r="CP92" i="18" s="1"/>
  <c r="BG92" i="18"/>
  <c r="CQ92" i="18" s="1"/>
  <c r="BH92" i="18"/>
  <c r="CR92" i="18" s="1"/>
  <c r="BI92" i="18"/>
  <c r="CS92" i="18" s="1"/>
  <c r="BJ92" i="18"/>
  <c r="CT92" i="18" s="1"/>
  <c r="BK92" i="18"/>
  <c r="CU92" i="18" s="1"/>
  <c r="BL92" i="18"/>
  <c r="CV92" i="18" s="1"/>
  <c r="BM92" i="18"/>
  <c r="CW92" i="18" s="1"/>
  <c r="H93" i="18"/>
  <c r="I93" i="18"/>
  <c r="J93" i="18"/>
  <c r="K93" i="18"/>
  <c r="L93" i="18"/>
  <c r="M93" i="18"/>
  <c r="N93" i="18"/>
  <c r="O93" i="18"/>
  <c r="P93" i="18"/>
  <c r="Q93" i="18"/>
  <c r="R93" i="18"/>
  <c r="S93" i="18"/>
  <c r="T93" i="18"/>
  <c r="U93" i="18"/>
  <c r="V93" i="18"/>
  <c r="W93" i="18"/>
  <c r="X93" i="18"/>
  <c r="Y93" i="18"/>
  <c r="Z93" i="18"/>
  <c r="AA93" i="18"/>
  <c r="AB93" i="18"/>
  <c r="AC93" i="18"/>
  <c r="AR93" i="18"/>
  <c r="CB93" i="18" s="1"/>
  <c r="AS93" i="18"/>
  <c r="CC93" i="18" s="1"/>
  <c r="AT93" i="18"/>
  <c r="CD93" i="18" s="1"/>
  <c r="AU93" i="18"/>
  <c r="CE93" i="18" s="1"/>
  <c r="AV93" i="18"/>
  <c r="CF93" i="18" s="1"/>
  <c r="AW93" i="18"/>
  <c r="CG93" i="18" s="1"/>
  <c r="AX93" i="18"/>
  <c r="CH93" i="18" s="1"/>
  <c r="AY93" i="18"/>
  <c r="CI93" i="18" s="1"/>
  <c r="AZ93" i="18"/>
  <c r="CJ93" i="18" s="1"/>
  <c r="BA93" i="18"/>
  <c r="CK93" i="18" s="1"/>
  <c r="BB93" i="18"/>
  <c r="CL93" i="18" s="1"/>
  <c r="BC93" i="18"/>
  <c r="CM93" i="18" s="1"/>
  <c r="BD93" i="18"/>
  <c r="CN93" i="18" s="1"/>
  <c r="BE93" i="18"/>
  <c r="CO93" i="18" s="1"/>
  <c r="BF93" i="18"/>
  <c r="CP93" i="18" s="1"/>
  <c r="BG93" i="18"/>
  <c r="CQ93" i="18" s="1"/>
  <c r="BH93" i="18"/>
  <c r="CR93" i="18" s="1"/>
  <c r="BI93" i="18"/>
  <c r="CS93" i="18" s="1"/>
  <c r="BJ93" i="18"/>
  <c r="CT93" i="18" s="1"/>
  <c r="BK93" i="18"/>
  <c r="CU93" i="18" s="1"/>
  <c r="BL93" i="18"/>
  <c r="CV93" i="18" s="1"/>
  <c r="BM93" i="18"/>
  <c r="CW93" i="18" s="1"/>
  <c r="H94" i="18"/>
  <c r="I94" i="18"/>
  <c r="J94" i="18"/>
  <c r="K94" i="18"/>
  <c r="L94" i="18"/>
  <c r="M94" i="18"/>
  <c r="N94" i="18"/>
  <c r="O94" i="18"/>
  <c r="P94" i="18"/>
  <c r="Q94" i="18"/>
  <c r="R94" i="18"/>
  <c r="S94" i="18"/>
  <c r="T94" i="18"/>
  <c r="U94" i="18"/>
  <c r="V94" i="18"/>
  <c r="W94" i="18"/>
  <c r="X94" i="18"/>
  <c r="Y94" i="18"/>
  <c r="Z94" i="18"/>
  <c r="AA94" i="18"/>
  <c r="AB94" i="18"/>
  <c r="AC94" i="18"/>
  <c r="AR94" i="18"/>
  <c r="CB94" i="18" s="1"/>
  <c r="AS94" i="18"/>
  <c r="CC94" i="18" s="1"/>
  <c r="AT94" i="18"/>
  <c r="CD94" i="18" s="1"/>
  <c r="AU94" i="18"/>
  <c r="CE94" i="18" s="1"/>
  <c r="AV94" i="18"/>
  <c r="CF94" i="18" s="1"/>
  <c r="AW94" i="18"/>
  <c r="CG94" i="18" s="1"/>
  <c r="AX94" i="18"/>
  <c r="CH94" i="18" s="1"/>
  <c r="AY94" i="18"/>
  <c r="CI94" i="18" s="1"/>
  <c r="AZ94" i="18"/>
  <c r="CJ94" i="18" s="1"/>
  <c r="BA94" i="18"/>
  <c r="CK94" i="18" s="1"/>
  <c r="BB94" i="18"/>
  <c r="CL94" i="18" s="1"/>
  <c r="BC94" i="18"/>
  <c r="CM94" i="18" s="1"/>
  <c r="BD94" i="18"/>
  <c r="CN94" i="18" s="1"/>
  <c r="BE94" i="18"/>
  <c r="CO94" i="18" s="1"/>
  <c r="BF94" i="18"/>
  <c r="CP94" i="18" s="1"/>
  <c r="BG94" i="18"/>
  <c r="CQ94" i="18" s="1"/>
  <c r="BH94" i="18"/>
  <c r="CR94" i="18" s="1"/>
  <c r="BI94" i="18"/>
  <c r="CS94" i="18" s="1"/>
  <c r="BJ94" i="18"/>
  <c r="CT94" i="18" s="1"/>
  <c r="BK94" i="18"/>
  <c r="CU94" i="18" s="1"/>
  <c r="BL94" i="18"/>
  <c r="CV94" i="18" s="1"/>
  <c r="BM94" i="18"/>
  <c r="CW94" i="18" s="1"/>
  <c r="H95" i="18"/>
  <c r="I95" i="18"/>
  <c r="J95" i="18"/>
  <c r="K95" i="18"/>
  <c r="L95" i="18"/>
  <c r="M95" i="18"/>
  <c r="N95" i="18"/>
  <c r="O95" i="18"/>
  <c r="P95" i="18"/>
  <c r="Q95" i="18"/>
  <c r="R95" i="18"/>
  <c r="S95" i="18"/>
  <c r="T95" i="18"/>
  <c r="U95" i="18"/>
  <c r="V95" i="18"/>
  <c r="W95" i="18"/>
  <c r="X95" i="18"/>
  <c r="Y95" i="18"/>
  <c r="Z95" i="18"/>
  <c r="AA95" i="18"/>
  <c r="AB95" i="18"/>
  <c r="AC95" i="18"/>
  <c r="AR95" i="18"/>
  <c r="CB95" i="18" s="1"/>
  <c r="AS95" i="18"/>
  <c r="CC95" i="18" s="1"/>
  <c r="AT95" i="18"/>
  <c r="CD95" i="18" s="1"/>
  <c r="AU95" i="18"/>
  <c r="CE95" i="18" s="1"/>
  <c r="AV95" i="18"/>
  <c r="CF95" i="18" s="1"/>
  <c r="AW95" i="18"/>
  <c r="CG95" i="18" s="1"/>
  <c r="AX95" i="18"/>
  <c r="CH95" i="18" s="1"/>
  <c r="AY95" i="18"/>
  <c r="CI95" i="18" s="1"/>
  <c r="AZ95" i="18"/>
  <c r="CJ95" i="18" s="1"/>
  <c r="BA95" i="18"/>
  <c r="CK95" i="18" s="1"/>
  <c r="BB95" i="18"/>
  <c r="CL95" i="18" s="1"/>
  <c r="BC95" i="18"/>
  <c r="CM95" i="18" s="1"/>
  <c r="BD95" i="18"/>
  <c r="CN95" i="18" s="1"/>
  <c r="BE95" i="18"/>
  <c r="CO95" i="18" s="1"/>
  <c r="BF95" i="18"/>
  <c r="CP95" i="18" s="1"/>
  <c r="BG95" i="18"/>
  <c r="CQ95" i="18" s="1"/>
  <c r="BH95" i="18"/>
  <c r="CR95" i="18" s="1"/>
  <c r="BI95" i="18"/>
  <c r="CS95" i="18" s="1"/>
  <c r="BJ95" i="18"/>
  <c r="CT95" i="18" s="1"/>
  <c r="BK95" i="18"/>
  <c r="CU95" i="18" s="1"/>
  <c r="BL95" i="18"/>
  <c r="CV95" i="18" s="1"/>
  <c r="BM95" i="18"/>
  <c r="CW95" i="18" s="1"/>
  <c r="H96" i="18"/>
  <c r="I96" i="18"/>
  <c r="J96" i="18"/>
  <c r="K96" i="18"/>
  <c r="L96" i="18"/>
  <c r="M96" i="18"/>
  <c r="N96" i="18"/>
  <c r="O96" i="18"/>
  <c r="P96" i="18"/>
  <c r="Q96" i="18"/>
  <c r="R96" i="18"/>
  <c r="S96" i="18"/>
  <c r="T96" i="18"/>
  <c r="U96" i="18"/>
  <c r="V96" i="18"/>
  <c r="W96" i="18"/>
  <c r="X96" i="18"/>
  <c r="Y96" i="18"/>
  <c r="Z96" i="18"/>
  <c r="AA96" i="18"/>
  <c r="AB96" i="18"/>
  <c r="AC96" i="18"/>
  <c r="AR96" i="18"/>
  <c r="CB96" i="18" s="1"/>
  <c r="AS96" i="18"/>
  <c r="CC96" i="18" s="1"/>
  <c r="AT96" i="18"/>
  <c r="CD96" i="18" s="1"/>
  <c r="AU96" i="18"/>
  <c r="CE96" i="18" s="1"/>
  <c r="AV96" i="18"/>
  <c r="CF96" i="18" s="1"/>
  <c r="AW96" i="18"/>
  <c r="CG96" i="18" s="1"/>
  <c r="AX96" i="18"/>
  <c r="CH96" i="18" s="1"/>
  <c r="AY96" i="18"/>
  <c r="CI96" i="18" s="1"/>
  <c r="AZ96" i="18"/>
  <c r="CJ96" i="18" s="1"/>
  <c r="BA96" i="18"/>
  <c r="CK96" i="18" s="1"/>
  <c r="BB96" i="18"/>
  <c r="CL96" i="18" s="1"/>
  <c r="BC96" i="18"/>
  <c r="CM96" i="18" s="1"/>
  <c r="BD96" i="18"/>
  <c r="CN96" i="18" s="1"/>
  <c r="BE96" i="18"/>
  <c r="CO96" i="18" s="1"/>
  <c r="BF96" i="18"/>
  <c r="CP96" i="18" s="1"/>
  <c r="BG96" i="18"/>
  <c r="CQ96" i="18" s="1"/>
  <c r="BH96" i="18"/>
  <c r="CR96" i="18" s="1"/>
  <c r="BI96" i="18"/>
  <c r="CS96" i="18" s="1"/>
  <c r="BJ96" i="18"/>
  <c r="CT96" i="18" s="1"/>
  <c r="BK96" i="18"/>
  <c r="CU96" i="18" s="1"/>
  <c r="BL96" i="18"/>
  <c r="CV96" i="18" s="1"/>
  <c r="BM96" i="18"/>
  <c r="CW96" i="18" s="1"/>
  <c r="H97" i="18"/>
  <c r="I97" i="18"/>
  <c r="J97" i="18"/>
  <c r="K97" i="18"/>
  <c r="L97" i="18"/>
  <c r="M97" i="18"/>
  <c r="N97" i="18"/>
  <c r="O97" i="18"/>
  <c r="P97" i="18"/>
  <c r="Q97" i="18"/>
  <c r="R97" i="18"/>
  <c r="S97" i="18"/>
  <c r="T97" i="18"/>
  <c r="U97" i="18"/>
  <c r="V97" i="18"/>
  <c r="W97" i="18"/>
  <c r="X97" i="18"/>
  <c r="Y97" i="18"/>
  <c r="Z97" i="18"/>
  <c r="AA97" i="18"/>
  <c r="AB97" i="18"/>
  <c r="AC97" i="18"/>
  <c r="AR97" i="18"/>
  <c r="CB97" i="18" s="1"/>
  <c r="AS97" i="18"/>
  <c r="CC97" i="18" s="1"/>
  <c r="AT97" i="18"/>
  <c r="CD97" i="18" s="1"/>
  <c r="AU97" i="18"/>
  <c r="CE97" i="18" s="1"/>
  <c r="AV97" i="18"/>
  <c r="CF97" i="18" s="1"/>
  <c r="AW97" i="18"/>
  <c r="CG97" i="18" s="1"/>
  <c r="AX97" i="18"/>
  <c r="CH97" i="18" s="1"/>
  <c r="AY97" i="18"/>
  <c r="CI97" i="18" s="1"/>
  <c r="AZ97" i="18"/>
  <c r="CJ97" i="18" s="1"/>
  <c r="BA97" i="18"/>
  <c r="CK97" i="18" s="1"/>
  <c r="BB97" i="18"/>
  <c r="CL97" i="18" s="1"/>
  <c r="BC97" i="18"/>
  <c r="CM97" i="18" s="1"/>
  <c r="BD97" i="18"/>
  <c r="CN97" i="18" s="1"/>
  <c r="BE97" i="18"/>
  <c r="CO97" i="18" s="1"/>
  <c r="BF97" i="18"/>
  <c r="CP97" i="18" s="1"/>
  <c r="BG97" i="18"/>
  <c r="CQ97" i="18" s="1"/>
  <c r="BH97" i="18"/>
  <c r="CR97" i="18" s="1"/>
  <c r="BI97" i="18"/>
  <c r="CS97" i="18" s="1"/>
  <c r="BJ97" i="18"/>
  <c r="CT97" i="18" s="1"/>
  <c r="BK97" i="18"/>
  <c r="CU97" i="18" s="1"/>
  <c r="BL97" i="18"/>
  <c r="CV97" i="18" s="1"/>
  <c r="BM97" i="18"/>
  <c r="CW97" i="18" s="1"/>
  <c r="H98" i="18"/>
  <c r="I98" i="18"/>
  <c r="J98" i="18"/>
  <c r="K98" i="18"/>
  <c r="L98" i="18"/>
  <c r="M98" i="18"/>
  <c r="N98" i="18"/>
  <c r="O98" i="18"/>
  <c r="P98" i="18"/>
  <c r="Q98" i="18"/>
  <c r="R98" i="18"/>
  <c r="S98" i="18"/>
  <c r="T98" i="18"/>
  <c r="U98" i="18"/>
  <c r="V98" i="18"/>
  <c r="W98" i="18"/>
  <c r="X98" i="18"/>
  <c r="Y98" i="18"/>
  <c r="Z98" i="18"/>
  <c r="AA98" i="18"/>
  <c r="AB98" i="18"/>
  <c r="AC98" i="18"/>
  <c r="AR98" i="18"/>
  <c r="AS98" i="18"/>
  <c r="CC98" i="18" s="1"/>
  <c r="AT98" i="18"/>
  <c r="CD98" i="18" s="1"/>
  <c r="AU98" i="18"/>
  <c r="CE98" i="18" s="1"/>
  <c r="AV98" i="18"/>
  <c r="CF98" i="18" s="1"/>
  <c r="AW98" i="18"/>
  <c r="CG98" i="18" s="1"/>
  <c r="AX98" i="18"/>
  <c r="CH98" i="18" s="1"/>
  <c r="AY98" i="18"/>
  <c r="CI98" i="18" s="1"/>
  <c r="AZ98" i="18"/>
  <c r="CJ98" i="18" s="1"/>
  <c r="BA98" i="18"/>
  <c r="CK98" i="18" s="1"/>
  <c r="BB98" i="18"/>
  <c r="CL98" i="18" s="1"/>
  <c r="BC98" i="18"/>
  <c r="CM98" i="18" s="1"/>
  <c r="BD98" i="18"/>
  <c r="CN98" i="18" s="1"/>
  <c r="BE98" i="18"/>
  <c r="CO98" i="18" s="1"/>
  <c r="BF98" i="18"/>
  <c r="CP98" i="18" s="1"/>
  <c r="BG98" i="18"/>
  <c r="CQ98" i="18" s="1"/>
  <c r="BH98" i="18"/>
  <c r="CR98" i="18" s="1"/>
  <c r="BI98" i="18"/>
  <c r="CS98" i="18" s="1"/>
  <c r="BJ98" i="18"/>
  <c r="CT98" i="18" s="1"/>
  <c r="BK98" i="18"/>
  <c r="CU98" i="18" s="1"/>
  <c r="BL98" i="18"/>
  <c r="CV98" i="18" s="1"/>
  <c r="BM98" i="18"/>
  <c r="CW98" i="18" s="1"/>
  <c r="H99" i="18"/>
  <c r="I99" i="18"/>
  <c r="J99" i="18"/>
  <c r="K99" i="18"/>
  <c r="L99" i="18"/>
  <c r="M99" i="18"/>
  <c r="N99" i="18"/>
  <c r="O99" i="18"/>
  <c r="P99" i="18"/>
  <c r="Q99" i="18"/>
  <c r="R99" i="18"/>
  <c r="S99" i="18"/>
  <c r="T99" i="18"/>
  <c r="U99" i="18"/>
  <c r="V99" i="18"/>
  <c r="W99" i="18"/>
  <c r="X99" i="18"/>
  <c r="Y99" i="18"/>
  <c r="Z99" i="18"/>
  <c r="AA99" i="18"/>
  <c r="AB99" i="18"/>
  <c r="AC99" i="18"/>
  <c r="AR99" i="18"/>
  <c r="CB99" i="18" s="1"/>
  <c r="AS99" i="18"/>
  <c r="CC99" i="18" s="1"/>
  <c r="AT99" i="18"/>
  <c r="CD99" i="18" s="1"/>
  <c r="AU99" i="18"/>
  <c r="CE99" i="18" s="1"/>
  <c r="AV99" i="18"/>
  <c r="CF99" i="18" s="1"/>
  <c r="AW99" i="18"/>
  <c r="CG99" i="18" s="1"/>
  <c r="AX99" i="18"/>
  <c r="CH99" i="18" s="1"/>
  <c r="AY99" i="18"/>
  <c r="CI99" i="18" s="1"/>
  <c r="AZ99" i="18"/>
  <c r="CJ99" i="18" s="1"/>
  <c r="BA99" i="18"/>
  <c r="CK99" i="18" s="1"/>
  <c r="BB99" i="18"/>
  <c r="CL99" i="18" s="1"/>
  <c r="BC99" i="18"/>
  <c r="CM99" i="18" s="1"/>
  <c r="BD99" i="18"/>
  <c r="CN99" i="18" s="1"/>
  <c r="BE99" i="18"/>
  <c r="CO99" i="18" s="1"/>
  <c r="BF99" i="18"/>
  <c r="CP99" i="18" s="1"/>
  <c r="BG99" i="18"/>
  <c r="CQ99" i="18" s="1"/>
  <c r="BH99" i="18"/>
  <c r="CR99" i="18" s="1"/>
  <c r="BI99" i="18"/>
  <c r="CS99" i="18" s="1"/>
  <c r="BJ99" i="18"/>
  <c r="CT99" i="18" s="1"/>
  <c r="BK99" i="18"/>
  <c r="CU99" i="18" s="1"/>
  <c r="BL99" i="18"/>
  <c r="CV99" i="18" s="1"/>
  <c r="BM99" i="18"/>
  <c r="CW99" i="18" s="1"/>
  <c r="H100" i="18"/>
  <c r="I100" i="18"/>
  <c r="J100" i="18"/>
  <c r="K100" i="18"/>
  <c r="L100" i="18"/>
  <c r="M100" i="18"/>
  <c r="N100" i="18"/>
  <c r="O100" i="18"/>
  <c r="P100" i="18"/>
  <c r="Q100" i="18"/>
  <c r="R100" i="18"/>
  <c r="S100" i="18"/>
  <c r="T100" i="18"/>
  <c r="U100" i="18"/>
  <c r="V100" i="18"/>
  <c r="W100" i="18"/>
  <c r="X100" i="18"/>
  <c r="Y100" i="18"/>
  <c r="Z100" i="18"/>
  <c r="AA100" i="18"/>
  <c r="AB100" i="18"/>
  <c r="AC100" i="18"/>
  <c r="AR100" i="18"/>
  <c r="CB100" i="18" s="1"/>
  <c r="AS100" i="18"/>
  <c r="CC100" i="18" s="1"/>
  <c r="AT100" i="18"/>
  <c r="CD100" i="18" s="1"/>
  <c r="AU100" i="18"/>
  <c r="CE100" i="18" s="1"/>
  <c r="AV100" i="18"/>
  <c r="CF100" i="18" s="1"/>
  <c r="AW100" i="18"/>
  <c r="CG100" i="18" s="1"/>
  <c r="AX100" i="18"/>
  <c r="CH100" i="18" s="1"/>
  <c r="AY100" i="18"/>
  <c r="CI100" i="18" s="1"/>
  <c r="AZ100" i="18"/>
  <c r="CJ100" i="18" s="1"/>
  <c r="BA100" i="18"/>
  <c r="CK100" i="18" s="1"/>
  <c r="BB100" i="18"/>
  <c r="CL100" i="18" s="1"/>
  <c r="BC100" i="18"/>
  <c r="CM100" i="18" s="1"/>
  <c r="BD100" i="18"/>
  <c r="CN100" i="18" s="1"/>
  <c r="BE100" i="18"/>
  <c r="CO100" i="18" s="1"/>
  <c r="BF100" i="18"/>
  <c r="CP100" i="18" s="1"/>
  <c r="BG100" i="18"/>
  <c r="CQ100" i="18" s="1"/>
  <c r="BH100" i="18"/>
  <c r="CR100" i="18" s="1"/>
  <c r="BI100" i="18"/>
  <c r="CS100" i="18" s="1"/>
  <c r="BJ100" i="18"/>
  <c r="CT100" i="18" s="1"/>
  <c r="BK100" i="18"/>
  <c r="CU100" i="18" s="1"/>
  <c r="BL100" i="18"/>
  <c r="CV100" i="18" s="1"/>
  <c r="BM100" i="18"/>
  <c r="CW100" i="18" s="1"/>
  <c r="H101" i="18"/>
  <c r="I101" i="18"/>
  <c r="J101" i="18"/>
  <c r="K101" i="18"/>
  <c r="L101" i="18"/>
  <c r="M101" i="18"/>
  <c r="N101" i="18"/>
  <c r="O101" i="18"/>
  <c r="P101" i="18"/>
  <c r="Q101" i="18"/>
  <c r="R101" i="18"/>
  <c r="S101" i="18"/>
  <c r="T101" i="18"/>
  <c r="U101" i="18"/>
  <c r="V101" i="18"/>
  <c r="W101" i="18"/>
  <c r="X101" i="18"/>
  <c r="Y101" i="18"/>
  <c r="Z101" i="18"/>
  <c r="AA101" i="18"/>
  <c r="AB101" i="18"/>
  <c r="AC101" i="18"/>
  <c r="AR101" i="18"/>
  <c r="CB101" i="18" s="1"/>
  <c r="AS101" i="18"/>
  <c r="CC101" i="18" s="1"/>
  <c r="AT101" i="18"/>
  <c r="CD101" i="18" s="1"/>
  <c r="AU101" i="18"/>
  <c r="CE101" i="18" s="1"/>
  <c r="AV101" i="18"/>
  <c r="CF101" i="18" s="1"/>
  <c r="AW101" i="18"/>
  <c r="CG101" i="18" s="1"/>
  <c r="AX101" i="18"/>
  <c r="CH101" i="18" s="1"/>
  <c r="AY101" i="18"/>
  <c r="CI101" i="18" s="1"/>
  <c r="AZ101" i="18"/>
  <c r="CJ101" i="18" s="1"/>
  <c r="BA101" i="18"/>
  <c r="CK101" i="18" s="1"/>
  <c r="BB101" i="18"/>
  <c r="CL101" i="18" s="1"/>
  <c r="BC101" i="18"/>
  <c r="CM101" i="18" s="1"/>
  <c r="BD101" i="18"/>
  <c r="CN101" i="18" s="1"/>
  <c r="BE101" i="18"/>
  <c r="CO101" i="18" s="1"/>
  <c r="BF101" i="18"/>
  <c r="CP101" i="18" s="1"/>
  <c r="BG101" i="18"/>
  <c r="CQ101" i="18" s="1"/>
  <c r="BH101" i="18"/>
  <c r="CR101" i="18" s="1"/>
  <c r="BI101" i="18"/>
  <c r="CS101" i="18" s="1"/>
  <c r="BJ101" i="18"/>
  <c r="CT101" i="18" s="1"/>
  <c r="BK101" i="18"/>
  <c r="CU101" i="18" s="1"/>
  <c r="BL101" i="18"/>
  <c r="CV101" i="18" s="1"/>
  <c r="BM101" i="18"/>
  <c r="CW101" i="18" s="1"/>
  <c r="H102" i="18"/>
  <c r="I102" i="18"/>
  <c r="J102" i="18"/>
  <c r="K102" i="18"/>
  <c r="L102" i="18"/>
  <c r="M102" i="18"/>
  <c r="N102" i="18"/>
  <c r="O102" i="18"/>
  <c r="P102" i="18"/>
  <c r="Q102" i="18"/>
  <c r="R102" i="18"/>
  <c r="S102" i="18"/>
  <c r="T102" i="18"/>
  <c r="U102" i="18"/>
  <c r="V102" i="18"/>
  <c r="W102" i="18"/>
  <c r="X102" i="18"/>
  <c r="Y102" i="18"/>
  <c r="Z102" i="18"/>
  <c r="AA102" i="18"/>
  <c r="AB102" i="18"/>
  <c r="AC102" i="18"/>
  <c r="AR102" i="18"/>
  <c r="CB102" i="18" s="1"/>
  <c r="AS102" i="18"/>
  <c r="CC102" i="18" s="1"/>
  <c r="AT102" i="18"/>
  <c r="CD102" i="18" s="1"/>
  <c r="AU102" i="18"/>
  <c r="CE102" i="18" s="1"/>
  <c r="AV102" i="18"/>
  <c r="CF102" i="18" s="1"/>
  <c r="AW102" i="18"/>
  <c r="CG102" i="18" s="1"/>
  <c r="AX102" i="18"/>
  <c r="CH102" i="18" s="1"/>
  <c r="AY102" i="18"/>
  <c r="CI102" i="18" s="1"/>
  <c r="AZ102" i="18"/>
  <c r="CJ102" i="18" s="1"/>
  <c r="BA102" i="18"/>
  <c r="CK102" i="18" s="1"/>
  <c r="BB102" i="18"/>
  <c r="CL102" i="18" s="1"/>
  <c r="BC102" i="18"/>
  <c r="CM102" i="18" s="1"/>
  <c r="BD102" i="18"/>
  <c r="CN102" i="18" s="1"/>
  <c r="BE102" i="18"/>
  <c r="CO102" i="18" s="1"/>
  <c r="BF102" i="18"/>
  <c r="CP102" i="18" s="1"/>
  <c r="BG102" i="18"/>
  <c r="CQ102" i="18" s="1"/>
  <c r="BH102" i="18"/>
  <c r="CR102" i="18" s="1"/>
  <c r="BI102" i="18"/>
  <c r="CS102" i="18" s="1"/>
  <c r="BJ102" i="18"/>
  <c r="CT102" i="18" s="1"/>
  <c r="BK102" i="18"/>
  <c r="CU102" i="18" s="1"/>
  <c r="BL102" i="18"/>
  <c r="CV102" i="18" s="1"/>
  <c r="BM102" i="18"/>
  <c r="CW102" i="18" s="1"/>
  <c r="H103" i="18"/>
  <c r="I103" i="18"/>
  <c r="J103" i="18"/>
  <c r="K103" i="18"/>
  <c r="L103" i="18"/>
  <c r="M103" i="18"/>
  <c r="N103" i="18"/>
  <c r="O103" i="18"/>
  <c r="P103" i="18"/>
  <c r="Q103" i="18"/>
  <c r="R103" i="18"/>
  <c r="S103" i="18"/>
  <c r="T103" i="18"/>
  <c r="U103" i="18"/>
  <c r="V103" i="18"/>
  <c r="W103" i="18"/>
  <c r="X103" i="18"/>
  <c r="Y103" i="18"/>
  <c r="Z103" i="18"/>
  <c r="AA103" i="18"/>
  <c r="AB103" i="18"/>
  <c r="AC103" i="18"/>
  <c r="AR103" i="18"/>
  <c r="AS103" i="18"/>
  <c r="CC103" i="18" s="1"/>
  <c r="AT103" i="18"/>
  <c r="CD103" i="18" s="1"/>
  <c r="AU103" i="18"/>
  <c r="CE103" i="18" s="1"/>
  <c r="AV103" i="18"/>
  <c r="CF103" i="18" s="1"/>
  <c r="AW103" i="18"/>
  <c r="CG103" i="18" s="1"/>
  <c r="AX103" i="18"/>
  <c r="CH103" i="18" s="1"/>
  <c r="AY103" i="18"/>
  <c r="CI103" i="18" s="1"/>
  <c r="AZ103" i="18"/>
  <c r="CJ103" i="18" s="1"/>
  <c r="BA103" i="18"/>
  <c r="CK103" i="18" s="1"/>
  <c r="BB103" i="18"/>
  <c r="CL103" i="18" s="1"/>
  <c r="BC103" i="18"/>
  <c r="CM103" i="18" s="1"/>
  <c r="BD103" i="18"/>
  <c r="CN103" i="18" s="1"/>
  <c r="BE103" i="18"/>
  <c r="CO103" i="18" s="1"/>
  <c r="BF103" i="18"/>
  <c r="CP103" i="18" s="1"/>
  <c r="BG103" i="18"/>
  <c r="CQ103" i="18" s="1"/>
  <c r="BH103" i="18"/>
  <c r="CR103" i="18" s="1"/>
  <c r="BI103" i="18"/>
  <c r="CS103" i="18" s="1"/>
  <c r="BJ103" i="18"/>
  <c r="CT103" i="18" s="1"/>
  <c r="BK103" i="18"/>
  <c r="CU103" i="18" s="1"/>
  <c r="BL103" i="18"/>
  <c r="CV103" i="18" s="1"/>
  <c r="BM103" i="18"/>
  <c r="CW103" i="18" s="1"/>
  <c r="H104" i="18"/>
  <c r="I104" i="18"/>
  <c r="J104" i="18"/>
  <c r="K104" i="18"/>
  <c r="L104" i="18"/>
  <c r="M104" i="18"/>
  <c r="N104" i="18"/>
  <c r="O104" i="18"/>
  <c r="P104" i="18"/>
  <c r="Q104" i="18"/>
  <c r="R104" i="18"/>
  <c r="S104" i="18"/>
  <c r="T104" i="18"/>
  <c r="U104" i="18"/>
  <c r="V104" i="18"/>
  <c r="W104" i="18"/>
  <c r="X104" i="18"/>
  <c r="Y104" i="18"/>
  <c r="Z104" i="18"/>
  <c r="AA104" i="18"/>
  <c r="AB104" i="18"/>
  <c r="AC104" i="18"/>
  <c r="AR104" i="18"/>
  <c r="AS104" i="18"/>
  <c r="CC104" i="18" s="1"/>
  <c r="AT104" i="18"/>
  <c r="CD104" i="18" s="1"/>
  <c r="AU104" i="18"/>
  <c r="CE104" i="18" s="1"/>
  <c r="AV104" i="18"/>
  <c r="CF104" i="18" s="1"/>
  <c r="AW104" i="18"/>
  <c r="CG104" i="18" s="1"/>
  <c r="AX104" i="18"/>
  <c r="CH104" i="18" s="1"/>
  <c r="AY104" i="18"/>
  <c r="CI104" i="18" s="1"/>
  <c r="AZ104" i="18"/>
  <c r="CJ104" i="18" s="1"/>
  <c r="BA104" i="18"/>
  <c r="CK104" i="18" s="1"/>
  <c r="BB104" i="18"/>
  <c r="CL104" i="18" s="1"/>
  <c r="BC104" i="18"/>
  <c r="CM104" i="18" s="1"/>
  <c r="BD104" i="18"/>
  <c r="CN104" i="18" s="1"/>
  <c r="BE104" i="18"/>
  <c r="CO104" i="18" s="1"/>
  <c r="BF104" i="18"/>
  <c r="CP104" i="18" s="1"/>
  <c r="BG104" i="18"/>
  <c r="CQ104" i="18" s="1"/>
  <c r="BH104" i="18"/>
  <c r="CR104" i="18" s="1"/>
  <c r="BI104" i="18"/>
  <c r="CS104" i="18" s="1"/>
  <c r="BJ104" i="18"/>
  <c r="CT104" i="18" s="1"/>
  <c r="BK104" i="18"/>
  <c r="CU104" i="18" s="1"/>
  <c r="BL104" i="18"/>
  <c r="CV104" i="18" s="1"/>
  <c r="BM104" i="18"/>
  <c r="CW104" i="18" s="1"/>
  <c r="H105" i="18"/>
  <c r="I105" i="18"/>
  <c r="J105" i="18"/>
  <c r="K105" i="18"/>
  <c r="L105" i="18"/>
  <c r="M105" i="18"/>
  <c r="N105" i="18"/>
  <c r="O105" i="18"/>
  <c r="P105" i="18"/>
  <c r="Q105" i="18"/>
  <c r="R105" i="18"/>
  <c r="S105" i="18"/>
  <c r="T105" i="18"/>
  <c r="U105" i="18"/>
  <c r="V105" i="18"/>
  <c r="W105" i="18"/>
  <c r="X105" i="18"/>
  <c r="Y105" i="18"/>
  <c r="Z105" i="18"/>
  <c r="AA105" i="18"/>
  <c r="AB105" i="18"/>
  <c r="AC105" i="18"/>
  <c r="AR105" i="18"/>
  <c r="CB105" i="18" s="1"/>
  <c r="AS105" i="18"/>
  <c r="CC105" i="18" s="1"/>
  <c r="AT105" i="18"/>
  <c r="CD105" i="18" s="1"/>
  <c r="AU105" i="18"/>
  <c r="CE105" i="18" s="1"/>
  <c r="AV105" i="18"/>
  <c r="CF105" i="18" s="1"/>
  <c r="AW105" i="18"/>
  <c r="CG105" i="18" s="1"/>
  <c r="AX105" i="18"/>
  <c r="CH105" i="18" s="1"/>
  <c r="AY105" i="18"/>
  <c r="CI105" i="18" s="1"/>
  <c r="AZ105" i="18"/>
  <c r="CJ105" i="18" s="1"/>
  <c r="BA105" i="18"/>
  <c r="CK105" i="18" s="1"/>
  <c r="BB105" i="18"/>
  <c r="CL105" i="18" s="1"/>
  <c r="BC105" i="18"/>
  <c r="CM105" i="18" s="1"/>
  <c r="BD105" i="18"/>
  <c r="CN105" i="18" s="1"/>
  <c r="BE105" i="18"/>
  <c r="CO105" i="18" s="1"/>
  <c r="BF105" i="18"/>
  <c r="CP105" i="18" s="1"/>
  <c r="BG105" i="18"/>
  <c r="CQ105" i="18" s="1"/>
  <c r="BH105" i="18"/>
  <c r="CR105" i="18" s="1"/>
  <c r="BI105" i="18"/>
  <c r="CS105" i="18" s="1"/>
  <c r="BJ105" i="18"/>
  <c r="CT105" i="18" s="1"/>
  <c r="BK105" i="18"/>
  <c r="CU105" i="18" s="1"/>
  <c r="BL105" i="18"/>
  <c r="CV105" i="18" s="1"/>
  <c r="BM105" i="18"/>
  <c r="CW105" i="18" s="1"/>
  <c r="H106" i="18"/>
  <c r="I106" i="18"/>
  <c r="J106" i="18"/>
  <c r="K106" i="18"/>
  <c r="L106" i="18"/>
  <c r="M106" i="18"/>
  <c r="N106" i="18"/>
  <c r="O106" i="18"/>
  <c r="P106" i="18"/>
  <c r="Q106" i="18"/>
  <c r="R106" i="18"/>
  <c r="S106" i="18"/>
  <c r="T106" i="18"/>
  <c r="U106" i="18"/>
  <c r="V106" i="18"/>
  <c r="W106" i="18"/>
  <c r="X106" i="18"/>
  <c r="Y106" i="18"/>
  <c r="Z106" i="18"/>
  <c r="AA106" i="18"/>
  <c r="AB106" i="18"/>
  <c r="AC106" i="18"/>
  <c r="AR106" i="18"/>
  <c r="CB106" i="18" s="1"/>
  <c r="AS106" i="18"/>
  <c r="CC106" i="18" s="1"/>
  <c r="AT106" i="18"/>
  <c r="CD106" i="18" s="1"/>
  <c r="AU106" i="18"/>
  <c r="CE106" i="18" s="1"/>
  <c r="AV106" i="18"/>
  <c r="CF106" i="18" s="1"/>
  <c r="AW106" i="18"/>
  <c r="CG106" i="18" s="1"/>
  <c r="AX106" i="18"/>
  <c r="CH106" i="18" s="1"/>
  <c r="AY106" i="18"/>
  <c r="CI106" i="18" s="1"/>
  <c r="AZ106" i="18"/>
  <c r="CJ106" i="18" s="1"/>
  <c r="BA106" i="18"/>
  <c r="CK106" i="18" s="1"/>
  <c r="BB106" i="18"/>
  <c r="CL106" i="18" s="1"/>
  <c r="BC106" i="18"/>
  <c r="CM106" i="18" s="1"/>
  <c r="BD106" i="18"/>
  <c r="CN106" i="18" s="1"/>
  <c r="BE106" i="18"/>
  <c r="CO106" i="18" s="1"/>
  <c r="BF106" i="18"/>
  <c r="CP106" i="18" s="1"/>
  <c r="BG106" i="18"/>
  <c r="CQ106" i="18" s="1"/>
  <c r="BH106" i="18"/>
  <c r="CR106" i="18" s="1"/>
  <c r="BI106" i="18"/>
  <c r="CS106" i="18" s="1"/>
  <c r="BJ106" i="18"/>
  <c r="CT106" i="18" s="1"/>
  <c r="BK106" i="18"/>
  <c r="CU106" i="18" s="1"/>
  <c r="BL106" i="18"/>
  <c r="CV106" i="18" s="1"/>
  <c r="BM106" i="18"/>
  <c r="CW106" i="18" s="1"/>
  <c r="H107" i="18"/>
  <c r="I107" i="18"/>
  <c r="J107" i="18"/>
  <c r="K107" i="18"/>
  <c r="L107" i="18"/>
  <c r="M107" i="18"/>
  <c r="N107" i="18"/>
  <c r="O107" i="18"/>
  <c r="P107" i="18"/>
  <c r="Q107" i="18"/>
  <c r="R107" i="18"/>
  <c r="S107" i="18"/>
  <c r="T107" i="18"/>
  <c r="U107" i="18"/>
  <c r="V107" i="18"/>
  <c r="W107" i="18"/>
  <c r="X107" i="18"/>
  <c r="Y107" i="18"/>
  <c r="Z107" i="18"/>
  <c r="AA107" i="18"/>
  <c r="AB107" i="18"/>
  <c r="AC107" i="18"/>
  <c r="AR107" i="18"/>
  <c r="AS107" i="18"/>
  <c r="CC107" i="18" s="1"/>
  <c r="AT107" i="18"/>
  <c r="CD107" i="18" s="1"/>
  <c r="AU107" i="18"/>
  <c r="CE107" i="18" s="1"/>
  <c r="AV107" i="18"/>
  <c r="CF107" i="18" s="1"/>
  <c r="AW107" i="18"/>
  <c r="CG107" i="18" s="1"/>
  <c r="AX107" i="18"/>
  <c r="CH107" i="18" s="1"/>
  <c r="AY107" i="18"/>
  <c r="CI107" i="18" s="1"/>
  <c r="AZ107" i="18"/>
  <c r="CJ107" i="18" s="1"/>
  <c r="BA107" i="18"/>
  <c r="CK107" i="18" s="1"/>
  <c r="BB107" i="18"/>
  <c r="CL107" i="18" s="1"/>
  <c r="BC107" i="18"/>
  <c r="CM107" i="18" s="1"/>
  <c r="BD107" i="18"/>
  <c r="CN107" i="18" s="1"/>
  <c r="BE107" i="18"/>
  <c r="CO107" i="18" s="1"/>
  <c r="BF107" i="18"/>
  <c r="CP107" i="18" s="1"/>
  <c r="BG107" i="18"/>
  <c r="CQ107" i="18" s="1"/>
  <c r="BH107" i="18"/>
  <c r="CR107" i="18" s="1"/>
  <c r="BI107" i="18"/>
  <c r="CS107" i="18" s="1"/>
  <c r="BJ107" i="18"/>
  <c r="CT107" i="18" s="1"/>
  <c r="BK107" i="18"/>
  <c r="CU107" i="18" s="1"/>
  <c r="BL107" i="18"/>
  <c r="CV107" i="18" s="1"/>
  <c r="BM107" i="18"/>
  <c r="CW107" i="18" s="1"/>
  <c r="H108" i="18"/>
  <c r="I108" i="18"/>
  <c r="J108" i="18"/>
  <c r="K108" i="18"/>
  <c r="L108" i="18"/>
  <c r="M108" i="18"/>
  <c r="N108" i="18"/>
  <c r="O108" i="18"/>
  <c r="P108" i="18"/>
  <c r="Q108" i="18"/>
  <c r="R108" i="18"/>
  <c r="S108" i="18"/>
  <c r="T108" i="18"/>
  <c r="U108" i="18"/>
  <c r="V108" i="18"/>
  <c r="W108" i="18"/>
  <c r="X108" i="18"/>
  <c r="Y108" i="18"/>
  <c r="Z108" i="18"/>
  <c r="AA108" i="18"/>
  <c r="AB108" i="18"/>
  <c r="AC108" i="18"/>
  <c r="AR108" i="18"/>
  <c r="CB108" i="18" s="1"/>
  <c r="AS108" i="18"/>
  <c r="AT108" i="18"/>
  <c r="CD108" i="18" s="1"/>
  <c r="AU108" i="18"/>
  <c r="CE108" i="18" s="1"/>
  <c r="AV108" i="18"/>
  <c r="CF108" i="18" s="1"/>
  <c r="AW108" i="18"/>
  <c r="CG108" i="18" s="1"/>
  <c r="AX108" i="18"/>
  <c r="CH108" i="18" s="1"/>
  <c r="AY108" i="18"/>
  <c r="CI108" i="18" s="1"/>
  <c r="AZ108" i="18"/>
  <c r="CJ108" i="18" s="1"/>
  <c r="BA108" i="18"/>
  <c r="CK108" i="18" s="1"/>
  <c r="BB108" i="18"/>
  <c r="CL108" i="18" s="1"/>
  <c r="BC108" i="18"/>
  <c r="CM108" i="18" s="1"/>
  <c r="BD108" i="18"/>
  <c r="CN108" i="18" s="1"/>
  <c r="BE108" i="18"/>
  <c r="CO108" i="18" s="1"/>
  <c r="BF108" i="18"/>
  <c r="CP108" i="18" s="1"/>
  <c r="BG108" i="18"/>
  <c r="CQ108" i="18" s="1"/>
  <c r="BH108" i="18"/>
  <c r="CR108" i="18" s="1"/>
  <c r="BI108" i="18"/>
  <c r="CS108" i="18" s="1"/>
  <c r="BJ108" i="18"/>
  <c r="CT108" i="18" s="1"/>
  <c r="BK108" i="18"/>
  <c r="CU108" i="18" s="1"/>
  <c r="BL108" i="18"/>
  <c r="CV108" i="18" s="1"/>
  <c r="BM108" i="18"/>
  <c r="CW108" i="18" s="1"/>
  <c r="H109" i="18"/>
  <c r="I109" i="18"/>
  <c r="J109" i="18"/>
  <c r="K109" i="18"/>
  <c r="L109" i="18"/>
  <c r="M109" i="18"/>
  <c r="N109" i="18"/>
  <c r="O109" i="18"/>
  <c r="P109" i="18"/>
  <c r="Q109" i="18"/>
  <c r="R109" i="18"/>
  <c r="S109" i="18"/>
  <c r="T109" i="18"/>
  <c r="U109" i="18"/>
  <c r="V109" i="18"/>
  <c r="W109" i="18"/>
  <c r="X109" i="18"/>
  <c r="Y109" i="18"/>
  <c r="Z109" i="18"/>
  <c r="AA109" i="18"/>
  <c r="AB109" i="18"/>
  <c r="AC109" i="18"/>
  <c r="AR109" i="18"/>
  <c r="CB109" i="18" s="1"/>
  <c r="AS109" i="18"/>
  <c r="CC109" i="18" s="1"/>
  <c r="AT109" i="18"/>
  <c r="AU109" i="18"/>
  <c r="CE109" i="18" s="1"/>
  <c r="AV109" i="18"/>
  <c r="CF109" i="18" s="1"/>
  <c r="AW109" i="18"/>
  <c r="CG109" i="18" s="1"/>
  <c r="AX109" i="18"/>
  <c r="CH109" i="18" s="1"/>
  <c r="AY109" i="18"/>
  <c r="CI109" i="18" s="1"/>
  <c r="AZ109" i="18"/>
  <c r="CJ109" i="18" s="1"/>
  <c r="BA109" i="18"/>
  <c r="CK109" i="18" s="1"/>
  <c r="BB109" i="18"/>
  <c r="CL109" i="18" s="1"/>
  <c r="BC109" i="18"/>
  <c r="CM109" i="18" s="1"/>
  <c r="BD109" i="18"/>
  <c r="CN109" i="18" s="1"/>
  <c r="BE109" i="18"/>
  <c r="CO109" i="18" s="1"/>
  <c r="BF109" i="18"/>
  <c r="CP109" i="18" s="1"/>
  <c r="BG109" i="18"/>
  <c r="CQ109" i="18" s="1"/>
  <c r="BH109" i="18"/>
  <c r="CR109" i="18" s="1"/>
  <c r="BI109" i="18"/>
  <c r="CS109" i="18" s="1"/>
  <c r="BJ109" i="18"/>
  <c r="CT109" i="18" s="1"/>
  <c r="BK109" i="18"/>
  <c r="CU109" i="18" s="1"/>
  <c r="BL109" i="18"/>
  <c r="CV109" i="18" s="1"/>
  <c r="BM109" i="18"/>
  <c r="CW109" i="18" s="1"/>
  <c r="H110" i="18"/>
  <c r="I110" i="18"/>
  <c r="J110" i="18"/>
  <c r="K110" i="18"/>
  <c r="L110" i="18"/>
  <c r="M110" i="18"/>
  <c r="N110" i="18"/>
  <c r="O110" i="18"/>
  <c r="P110" i="18"/>
  <c r="Q110" i="18"/>
  <c r="R110" i="18"/>
  <c r="S110" i="18"/>
  <c r="T110" i="18"/>
  <c r="U110" i="18"/>
  <c r="V110" i="18"/>
  <c r="W110" i="18"/>
  <c r="X110" i="18"/>
  <c r="Y110" i="18"/>
  <c r="Z110" i="18"/>
  <c r="AA110" i="18"/>
  <c r="AB110" i="18"/>
  <c r="AC110" i="18"/>
  <c r="AR110" i="18"/>
  <c r="CB110" i="18" s="1"/>
  <c r="AS110" i="18"/>
  <c r="CC110" i="18" s="1"/>
  <c r="AT110" i="18"/>
  <c r="CD110" i="18" s="1"/>
  <c r="AU110" i="18"/>
  <c r="CE110" i="18" s="1"/>
  <c r="AV110" i="18"/>
  <c r="CF110" i="18" s="1"/>
  <c r="AW110" i="18"/>
  <c r="AX110" i="18"/>
  <c r="CH110" i="18" s="1"/>
  <c r="AY110" i="18"/>
  <c r="CI110" i="18" s="1"/>
  <c r="AZ110" i="18"/>
  <c r="CJ110" i="18" s="1"/>
  <c r="BA110" i="18"/>
  <c r="CK110" i="18" s="1"/>
  <c r="BB110" i="18"/>
  <c r="CL110" i="18" s="1"/>
  <c r="BC110" i="18"/>
  <c r="CM110" i="18" s="1"/>
  <c r="BD110" i="18"/>
  <c r="CN110" i="18" s="1"/>
  <c r="BE110" i="18"/>
  <c r="CO110" i="18" s="1"/>
  <c r="BF110" i="18"/>
  <c r="CP110" i="18" s="1"/>
  <c r="BG110" i="18"/>
  <c r="CQ110" i="18" s="1"/>
  <c r="BH110" i="18"/>
  <c r="CR110" i="18" s="1"/>
  <c r="BI110" i="18"/>
  <c r="CS110" i="18" s="1"/>
  <c r="BJ110" i="18"/>
  <c r="CT110" i="18" s="1"/>
  <c r="BK110" i="18"/>
  <c r="CU110" i="18" s="1"/>
  <c r="BL110" i="18"/>
  <c r="CV110" i="18" s="1"/>
  <c r="BM110" i="18"/>
  <c r="CW110" i="18" s="1"/>
  <c r="H111" i="18"/>
  <c r="I111" i="18"/>
  <c r="J111" i="18"/>
  <c r="K111" i="18"/>
  <c r="L111" i="18"/>
  <c r="M111" i="18"/>
  <c r="N111" i="18"/>
  <c r="O111" i="18"/>
  <c r="P111" i="18"/>
  <c r="Q111" i="18"/>
  <c r="R111" i="18"/>
  <c r="S111" i="18"/>
  <c r="T111" i="18"/>
  <c r="U111" i="18"/>
  <c r="V111" i="18"/>
  <c r="W111" i="18"/>
  <c r="X111" i="18"/>
  <c r="Y111" i="18"/>
  <c r="Z111" i="18"/>
  <c r="AA111" i="18"/>
  <c r="AB111" i="18"/>
  <c r="AC111" i="18"/>
  <c r="AR111" i="18"/>
  <c r="CB111" i="18" s="1"/>
  <c r="AS111" i="18"/>
  <c r="CC111" i="18" s="1"/>
  <c r="AT111" i="18"/>
  <c r="CD111" i="18" s="1"/>
  <c r="AU111" i="18"/>
  <c r="CE111" i="18" s="1"/>
  <c r="AV111" i="18"/>
  <c r="CF111" i="18" s="1"/>
  <c r="AW111" i="18"/>
  <c r="CG111" i="18" s="1"/>
  <c r="AX111" i="18"/>
  <c r="CH111" i="18" s="1"/>
  <c r="AY111" i="18"/>
  <c r="CI111" i="18" s="1"/>
  <c r="AZ111" i="18"/>
  <c r="CJ111" i="18" s="1"/>
  <c r="BA111" i="18"/>
  <c r="CK111" i="18" s="1"/>
  <c r="BB111" i="18"/>
  <c r="CL111" i="18" s="1"/>
  <c r="BC111" i="18"/>
  <c r="CM111" i="18" s="1"/>
  <c r="BD111" i="18"/>
  <c r="CN111" i="18" s="1"/>
  <c r="BE111" i="18"/>
  <c r="CO111" i="18" s="1"/>
  <c r="BF111" i="18"/>
  <c r="CP111" i="18" s="1"/>
  <c r="BG111" i="18"/>
  <c r="CQ111" i="18" s="1"/>
  <c r="BH111" i="18"/>
  <c r="CR111" i="18" s="1"/>
  <c r="BI111" i="18"/>
  <c r="CS111" i="18" s="1"/>
  <c r="BJ111" i="18"/>
  <c r="CT111" i="18" s="1"/>
  <c r="BK111" i="18"/>
  <c r="CU111" i="18" s="1"/>
  <c r="BL111" i="18"/>
  <c r="CV111" i="18" s="1"/>
  <c r="BM111" i="18"/>
  <c r="CW111" i="18" s="1"/>
  <c r="H112" i="18"/>
  <c r="I112" i="18"/>
  <c r="J112" i="18"/>
  <c r="K112" i="18"/>
  <c r="L112" i="18"/>
  <c r="M112" i="18"/>
  <c r="N112" i="18"/>
  <c r="O112" i="18"/>
  <c r="P112" i="18"/>
  <c r="Q112" i="18"/>
  <c r="R112" i="18"/>
  <c r="S112" i="18"/>
  <c r="T112" i="18"/>
  <c r="U112" i="18"/>
  <c r="V112" i="18"/>
  <c r="W112" i="18"/>
  <c r="X112" i="18"/>
  <c r="Y112" i="18"/>
  <c r="Z112" i="18"/>
  <c r="AA112" i="18"/>
  <c r="AB112" i="18"/>
  <c r="AC112" i="18"/>
  <c r="AR112" i="18"/>
  <c r="CB112" i="18" s="1"/>
  <c r="AS112" i="18"/>
  <c r="CC112" i="18" s="1"/>
  <c r="AT112" i="18"/>
  <c r="CD112" i="18" s="1"/>
  <c r="AU112" i="18"/>
  <c r="CE112" i="18" s="1"/>
  <c r="AV112" i="18"/>
  <c r="CF112" i="18" s="1"/>
  <c r="AW112" i="18"/>
  <c r="CG112" i="18" s="1"/>
  <c r="AX112" i="18"/>
  <c r="CH112" i="18" s="1"/>
  <c r="AY112" i="18"/>
  <c r="CI112" i="18" s="1"/>
  <c r="AZ112" i="18"/>
  <c r="CJ112" i="18" s="1"/>
  <c r="BA112" i="18"/>
  <c r="CK112" i="18" s="1"/>
  <c r="BB112" i="18"/>
  <c r="CL112" i="18" s="1"/>
  <c r="BC112" i="18"/>
  <c r="CM112" i="18" s="1"/>
  <c r="BD112" i="18"/>
  <c r="CN112" i="18" s="1"/>
  <c r="BE112" i="18"/>
  <c r="CO112" i="18" s="1"/>
  <c r="BF112" i="18"/>
  <c r="CP112" i="18" s="1"/>
  <c r="BG112" i="18"/>
  <c r="CQ112" i="18" s="1"/>
  <c r="BH112" i="18"/>
  <c r="CR112" i="18" s="1"/>
  <c r="BI112" i="18"/>
  <c r="CS112" i="18" s="1"/>
  <c r="BJ112" i="18"/>
  <c r="CT112" i="18" s="1"/>
  <c r="BK112" i="18"/>
  <c r="CU112" i="18" s="1"/>
  <c r="BL112" i="18"/>
  <c r="CV112" i="18" s="1"/>
  <c r="BM112" i="18"/>
  <c r="CW112" i="18" s="1"/>
  <c r="H113" i="18"/>
  <c r="I113" i="18"/>
  <c r="J113" i="18"/>
  <c r="K113" i="18"/>
  <c r="L113" i="18"/>
  <c r="M113" i="18"/>
  <c r="N113" i="18"/>
  <c r="O113" i="18"/>
  <c r="P113" i="18"/>
  <c r="Q113" i="18"/>
  <c r="R113" i="18"/>
  <c r="S113" i="18"/>
  <c r="T113" i="18"/>
  <c r="U113" i="18"/>
  <c r="V113" i="18"/>
  <c r="W113" i="18"/>
  <c r="X113" i="18"/>
  <c r="Y113" i="18"/>
  <c r="Z113" i="18"/>
  <c r="AA113" i="18"/>
  <c r="AB113" i="18"/>
  <c r="AC113" i="18"/>
  <c r="AR113" i="18"/>
  <c r="AS113" i="18"/>
  <c r="CC113" i="18" s="1"/>
  <c r="AT113" i="18"/>
  <c r="CD113" i="18" s="1"/>
  <c r="AU113" i="18"/>
  <c r="CE113" i="18" s="1"/>
  <c r="AV113" i="18"/>
  <c r="CF113" i="18" s="1"/>
  <c r="AW113" i="18"/>
  <c r="CG113" i="18" s="1"/>
  <c r="AX113" i="18"/>
  <c r="CH113" i="18" s="1"/>
  <c r="AY113" i="18"/>
  <c r="CI113" i="18" s="1"/>
  <c r="AZ113" i="18"/>
  <c r="CJ113" i="18" s="1"/>
  <c r="BA113" i="18"/>
  <c r="CK113" i="18" s="1"/>
  <c r="BB113" i="18"/>
  <c r="CL113" i="18" s="1"/>
  <c r="BC113" i="18"/>
  <c r="CM113" i="18" s="1"/>
  <c r="BD113" i="18"/>
  <c r="CN113" i="18" s="1"/>
  <c r="BE113" i="18"/>
  <c r="CO113" i="18" s="1"/>
  <c r="BF113" i="18"/>
  <c r="CP113" i="18" s="1"/>
  <c r="BG113" i="18"/>
  <c r="CQ113" i="18" s="1"/>
  <c r="BH113" i="18"/>
  <c r="CR113" i="18" s="1"/>
  <c r="BI113" i="18"/>
  <c r="CS113" i="18" s="1"/>
  <c r="BJ113" i="18"/>
  <c r="CT113" i="18" s="1"/>
  <c r="BK113" i="18"/>
  <c r="CU113" i="18" s="1"/>
  <c r="BL113" i="18"/>
  <c r="CV113" i="18" s="1"/>
  <c r="BM113" i="18"/>
  <c r="CW113" i="18" s="1"/>
  <c r="H114" i="18"/>
  <c r="I114" i="18"/>
  <c r="J114" i="18"/>
  <c r="K114" i="18"/>
  <c r="L114" i="18"/>
  <c r="M114" i="18"/>
  <c r="N114" i="18"/>
  <c r="O114" i="18"/>
  <c r="P114" i="18"/>
  <c r="Q114" i="18"/>
  <c r="R114" i="18"/>
  <c r="S114" i="18"/>
  <c r="T114" i="18"/>
  <c r="U114" i="18"/>
  <c r="V114" i="18"/>
  <c r="W114" i="18"/>
  <c r="X114" i="18"/>
  <c r="Y114" i="18"/>
  <c r="Z114" i="18"/>
  <c r="AA114" i="18"/>
  <c r="AB114" i="18"/>
  <c r="AC114" i="18"/>
  <c r="AR114" i="18"/>
  <c r="AS114" i="18"/>
  <c r="CC114" i="18" s="1"/>
  <c r="AT114" i="18"/>
  <c r="CD114" i="18" s="1"/>
  <c r="AU114" i="18"/>
  <c r="CE114" i="18" s="1"/>
  <c r="AV114" i="18"/>
  <c r="CF114" i="18" s="1"/>
  <c r="AW114" i="18"/>
  <c r="CG114" i="18" s="1"/>
  <c r="AX114" i="18"/>
  <c r="CH114" i="18" s="1"/>
  <c r="AY114" i="18"/>
  <c r="CI114" i="18" s="1"/>
  <c r="AZ114" i="18"/>
  <c r="CJ114" i="18" s="1"/>
  <c r="BA114" i="18"/>
  <c r="CK114" i="18" s="1"/>
  <c r="BB114" i="18"/>
  <c r="CL114" i="18" s="1"/>
  <c r="BC114" i="18"/>
  <c r="CM114" i="18" s="1"/>
  <c r="BD114" i="18"/>
  <c r="CN114" i="18" s="1"/>
  <c r="BE114" i="18"/>
  <c r="CO114" i="18" s="1"/>
  <c r="BF114" i="18"/>
  <c r="CP114" i="18" s="1"/>
  <c r="BG114" i="18"/>
  <c r="CQ114" i="18" s="1"/>
  <c r="BH114" i="18"/>
  <c r="CR114" i="18" s="1"/>
  <c r="BI114" i="18"/>
  <c r="CS114" i="18" s="1"/>
  <c r="BJ114" i="18"/>
  <c r="CT114" i="18" s="1"/>
  <c r="BK114" i="18"/>
  <c r="CU114" i="18" s="1"/>
  <c r="BL114" i="18"/>
  <c r="CV114" i="18" s="1"/>
  <c r="BM114" i="18"/>
  <c r="CW114" i="18" s="1"/>
  <c r="H115" i="18"/>
  <c r="I115" i="18"/>
  <c r="J115" i="18"/>
  <c r="K115" i="18"/>
  <c r="L115" i="18"/>
  <c r="M115" i="18"/>
  <c r="N115" i="18"/>
  <c r="O115" i="18"/>
  <c r="P115" i="18"/>
  <c r="Q115" i="18"/>
  <c r="R115" i="18"/>
  <c r="S115" i="18"/>
  <c r="T115" i="18"/>
  <c r="U115" i="18"/>
  <c r="V115" i="18"/>
  <c r="W115" i="18"/>
  <c r="X115" i="18"/>
  <c r="Y115" i="18"/>
  <c r="Z115" i="18"/>
  <c r="AA115" i="18"/>
  <c r="AB115" i="18"/>
  <c r="AC115" i="18"/>
  <c r="AR115" i="18"/>
  <c r="CB115" i="18" s="1"/>
  <c r="AS115" i="18"/>
  <c r="CC115" i="18" s="1"/>
  <c r="AT115" i="18"/>
  <c r="CD115" i="18" s="1"/>
  <c r="AU115" i="18"/>
  <c r="CE115" i="18" s="1"/>
  <c r="AV115" i="18"/>
  <c r="CF115" i="18" s="1"/>
  <c r="AW115" i="18"/>
  <c r="CG115" i="18" s="1"/>
  <c r="AX115" i="18"/>
  <c r="CH115" i="18" s="1"/>
  <c r="AY115" i="18"/>
  <c r="CI115" i="18" s="1"/>
  <c r="AZ115" i="18"/>
  <c r="CJ115" i="18" s="1"/>
  <c r="BA115" i="18"/>
  <c r="CK115" i="18" s="1"/>
  <c r="BB115" i="18"/>
  <c r="CL115" i="18" s="1"/>
  <c r="BC115" i="18"/>
  <c r="CM115" i="18" s="1"/>
  <c r="BD115" i="18"/>
  <c r="CN115" i="18" s="1"/>
  <c r="BE115" i="18"/>
  <c r="CO115" i="18" s="1"/>
  <c r="BF115" i="18"/>
  <c r="CP115" i="18" s="1"/>
  <c r="BG115" i="18"/>
  <c r="CQ115" i="18" s="1"/>
  <c r="BH115" i="18"/>
  <c r="CR115" i="18" s="1"/>
  <c r="BI115" i="18"/>
  <c r="CS115" i="18" s="1"/>
  <c r="BJ115" i="18"/>
  <c r="CT115" i="18" s="1"/>
  <c r="BK115" i="18"/>
  <c r="CU115" i="18" s="1"/>
  <c r="BL115" i="18"/>
  <c r="CV115" i="18" s="1"/>
  <c r="BM115" i="18"/>
  <c r="CW115" i="18" s="1"/>
  <c r="H116" i="18"/>
  <c r="I116" i="18"/>
  <c r="J116" i="18"/>
  <c r="K116" i="18"/>
  <c r="L116" i="18"/>
  <c r="M116" i="18"/>
  <c r="N116" i="18"/>
  <c r="O116" i="18"/>
  <c r="P116" i="18"/>
  <c r="Q116" i="18"/>
  <c r="R116" i="18"/>
  <c r="S116" i="18"/>
  <c r="T116" i="18"/>
  <c r="U116" i="18"/>
  <c r="V116" i="18"/>
  <c r="W116" i="18"/>
  <c r="X116" i="18"/>
  <c r="Y116" i="18"/>
  <c r="Z116" i="18"/>
  <c r="AA116" i="18"/>
  <c r="AB116" i="18"/>
  <c r="AC116" i="18"/>
  <c r="AR116" i="18"/>
  <c r="CB116" i="18" s="1"/>
  <c r="AS116" i="18"/>
  <c r="CC116" i="18" s="1"/>
  <c r="AT116" i="18"/>
  <c r="CD116" i="18" s="1"/>
  <c r="AU116" i="18"/>
  <c r="CE116" i="18" s="1"/>
  <c r="AV116" i="18"/>
  <c r="CF116" i="18" s="1"/>
  <c r="AW116" i="18"/>
  <c r="CG116" i="18" s="1"/>
  <c r="AX116" i="18"/>
  <c r="CH116" i="18" s="1"/>
  <c r="AY116" i="18"/>
  <c r="CI116" i="18" s="1"/>
  <c r="AZ116" i="18"/>
  <c r="CJ116" i="18" s="1"/>
  <c r="BA116" i="18"/>
  <c r="CK116" i="18" s="1"/>
  <c r="BB116" i="18"/>
  <c r="CL116" i="18" s="1"/>
  <c r="BC116" i="18"/>
  <c r="CM116" i="18" s="1"/>
  <c r="BD116" i="18"/>
  <c r="CN116" i="18" s="1"/>
  <c r="BE116" i="18"/>
  <c r="CO116" i="18" s="1"/>
  <c r="BF116" i="18"/>
  <c r="CP116" i="18" s="1"/>
  <c r="BG116" i="18"/>
  <c r="CQ116" i="18" s="1"/>
  <c r="BH116" i="18"/>
  <c r="CR116" i="18" s="1"/>
  <c r="BI116" i="18"/>
  <c r="CS116" i="18" s="1"/>
  <c r="BJ116" i="18"/>
  <c r="CT116" i="18" s="1"/>
  <c r="BK116" i="18"/>
  <c r="CU116" i="18" s="1"/>
  <c r="BL116" i="18"/>
  <c r="CV116" i="18" s="1"/>
  <c r="BM116" i="18"/>
  <c r="CW116" i="18" s="1"/>
  <c r="H117" i="18"/>
  <c r="I117" i="18"/>
  <c r="J117" i="18"/>
  <c r="K117" i="18"/>
  <c r="L117" i="18"/>
  <c r="M117" i="18"/>
  <c r="N117" i="18"/>
  <c r="O117" i="18"/>
  <c r="P117" i="18"/>
  <c r="Q117" i="18"/>
  <c r="R117" i="18"/>
  <c r="S117" i="18"/>
  <c r="T117" i="18"/>
  <c r="U117" i="18"/>
  <c r="V117" i="18"/>
  <c r="W117" i="18"/>
  <c r="X117" i="18"/>
  <c r="Y117" i="18"/>
  <c r="Z117" i="18"/>
  <c r="AA117" i="18"/>
  <c r="AB117" i="18"/>
  <c r="AC117" i="18"/>
  <c r="AR117" i="18"/>
  <c r="CB117" i="18" s="1"/>
  <c r="AS117" i="18"/>
  <c r="CC117" i="18" s="1"/>
  <c r="AT117" i="18"/>
  <c r="CD117" i="18" s="1"/>
  <c r="AU117" i="18"/>
  <c r="CE117" i="18" s="1"/>
  <c r="AV117" i="18"/>
  <c r="CF117" i="18" s="1"/>
  <c r="AW117" i="18"/>
  <c r="CG117" i="18" s="1"/>
  <c r="AX117" i="18"/>
  <c r="CH117" i="18" s="1"/>
  <c r="AY117" i="18"/>
  <c r="CI117" i="18" s="1"/>
  <c r="AZ117" i="18"/>
  <c r="CJ117" i="18" s="1"/>
  <c r="BA117" i="18"/>
  <c r="CK117" i="18" s="1"/>
  <c r="BB117" i="18"/>
  <c r="CL117" i="18" s="1"/>
  <c r="BC117" i="18"/>
  <c r="CM117" i="18" s="1"/>
  <c r="BD117" i="18"/>
  <c r="CN117" i="18" s="1"/>
  <c r="BE117" i="18"/>
  <c r="CO117" i="18" s="1"/>
  <c r="BF117" i="18"/>
  <c r="CP117" i="18" s="1"/>
  <c r="BG117" i="18"/>
  <c r="CQ117" i="18" s="1"/>
  <c r="BH117" i="18"/>
  <c r="CR117" i="18" s="1"/>
  <c r="BI117" i="18"/>
  <c r="CS117" i="18" s="1"/>
  <c r="BJ117" i="18"/>
  <c r="CT117" i="18" s="1"/>
  <c r="BK117" i="18"/>
  <c r="CU117" i="18" s="1"/>
  <c r="BL117" i="18"/>
  <c r="CV117" i="18" s="1"/>
  <c r="BM117" i="18"/>
  <c r="CW117" i="18" s="1"/>
  <c r="H118" i="18"/>
  <c r="I118" i="18"/>
  <c r="J118" i="18"/>
  <c r="K118" i="18"/>
  <c r="L118" i="18"/>
  <c r="M118" i="18"/>
  <c r="N118" i="18"/>
  <c r="O118" i="18"/>
  <c r="P118" i="18"/>
  <c r="Q118" i="18"/>
  <c r="R118" i="18"/>
  <c r="S118" i="18"/>
  <c r="T118" i="18"/>
  <c r="U118" i="18"/>
  <c r="V118" i="18"/>
  <c r="W118" i="18"/>
  <c r="X118" i="18"/>
  <c r="Y118" i="18"/>
  <c r="Z118" i="18"/>
  <c r="AA118" i="18"/>
  <c r="AB118" i="18"/>
  <c r="AC118" i="18"/>
  <c r="AR118" i="18"/>
  <c r="CB118" i="18" s="1"/>
  <c r="AS118" i="18"/>
  <c r="CC118" i="18" s="1"/>
  <c r="AT118" i="18"/>
  <c r="CD118" i="18" s="1"/>
  <c r="AU118" i="18"/>
  <c r="CE118" i="18" s="1"/>
  <c r="AV118" i="18"/>
  <c r="CF118" i="18" s="1"/>
  <c r="AW118" i="18"/>
  <c r="CG118" i="18" s="1"/>
  <c r="AX118" i="18"/>
  <c r="CH118" i="18" s="1"/>
  <c r="AY118" i="18"/>
  <c r="CI118" i="18" s="1"/>
  <c r="AZ118" i="18"/>
  <c r="CJ118" i="18" s="1"/>
  <c r="BA118" i="18"/>
  <c r="CK118" i="18" s="1"/>
  <c r="BB118" i="18"/>
  <c r="CL118" i="18" s="1"/>
  <c r="BC118" i="18"/>
  <c r="CM118" i="18" s="1"/>
  <c r="BD118" i="18"/>
  <c r="CN118" i="18" s="1"/>
  <c r="BE118" i="18"/>
  <c r="CO118" i="18" s="1"/>
  <c r="BF118" i="18"/>
  <c r="CP118" i="18" s="1"/>
  <c r="BG118" i="18"/>
  <c r="CQ118" i="18" s="1"/>
  <c r="BH118" i="18"/>
  <c r="CR118" i="18" s="1"/>
  <c r="BI118" i="18"/>
  <c r="CS118" i="18" s="1"/>
  <c r="BJ118" i="18"/>
  <c r="CT118" i="18" s="1"/>
  <c r="BK118" i="18"/>
  <c r="CU118" i="18" s="1"/>
  <c r="BL118" i="18"/>
  <c r="CV118" i="18" s="1"/>
  <c r="BM118" i="18"/>
  <c r="CW118" i="18" s="1"/>
  <c r="H119" i="18"/>
  <c r="I119" i="18"/>
  <c r="J119" i="18"/>
  <c r="K119" i="18"/>
  <c r="L119" i="18"/>
  <c r="M119" i="18"/>
  <c r="N119" i="18"/>
  <c r="O119" i="18"/>
  <c r="P119" i="18"/>
  <c r="Q119" i="18"/>
  <c r="R119" i="18"/>
  <c r="S119" i="18"/>
  <c r="T119" i="18"/>
  <c r="U119" i="18"/>
  <c r="V119" i="18"/>
  <c r="W119" i="18"/>
  <c r="X119" i="18"/>
  <c r="Y119" i="18"/>
  <c r="Z119" i="18"/>
  <c r="AA119" i="18"/>
  <c r="AB119" i="18"/>
  <c r="AC119" i="18"/>
  <c r="AR119" i="18"/>
  <c r="CB119" i="18" s="1"/>
  <c r="AS119" i="18"/>
  <c r="CC119" i="18" s="1"/>
  <c r="AT119" i="18"/>
  <c r="CD119" i="18" s="1"/>
  <c r="AU119" i="18"/>
  <c r="CE119" i="18" s="1"/>
  <c r="AV119" i="18"/>
  <c r="CF119" i="18" s="1"/>
  <c r="AW119" i="18"/>
  <c r="CG119" i="18" s="1"/>
  <c r="AX119" i="18"/>
  <c r="CH119" i="18" s="1"/>
  <c r="AY119" i="18"/>
  <c r="CI119" i="18" s="1"/>
  <c r="AZ119" i="18"/>
  <c r="CJ119" i="18" s="1"/>
  <c r="BA119" i="18"/>
  <c r="CK119" i="18" s="1"/>
  <c r="BB119" i="18"/>
  <c r="CL119" i="18" s="1"/>
  <c r="BC119" i="18"/>
  <c r="CM119" i="18" s="1"/>
  <c r="BD119" i="18"/>
  <c r="CN119" i="18" s="1"/>
  <c r="BE119" i="18"/>
  <c r="CO119" i="18" s="1"/>
  <c r="BF119" i="18"/>
  <c r="CP119" i="18" s="1"/>
  <c r="BG119" i="18"/>
  <c r="CQ119" i="18" s="1"/>
  <c r="BH119" i="18"/>
  <c r="CR119" i="18" s="1"/>
  <c r="BI119" i="18"/>
  <c r="CS119" i="18" s="1"/>
  <c r="BJ119" i="18"/>
  <c r="CT119" i="18" s="1"/>
  <c r="BK119" i="18"/>
  <c r="CU119" i="18" s="1"/>
  <c r="BL119" i="18"/>
  <c r="CV119" i="18" s="1"/>
  <c r="BM119" i="18"/>
  <c r="CW119" i="18" s="1"/>
  <c r="H120" i="18"/>
  <c r="I120" i="18"/>
  <c r="J120" i="18"/>
  <c r="K120" i="18"/>
  <c r="L120" i="18"/>
  <c r="M120" i="18"/>
  <c r="N120" i="18"/>
  <c r="O120" i="18"/>
  <c r="P120" i="18"/>
  <c r="Q120" i="18"/>
  <c r="R120" i="18"/>
  <c r="S120" i="18"/>
  <c r="T120" i="18"/>
  <c r="U120" i="18"/>
  <c r="V120" i="18"/>
  <c r="W120" i="18"/>
  <c r="X120" i="18"/>
  <c r="Y120" i="18"/>
  <c r="Z120" i="18"/>
  <c r="AA120" i="18"/>
  <c r="AB120" i="18"/>
  <c r="AC120" i="18"/>
  <c r="AR120" i="18"/>
  <c r="CB120" i="18" s="1"/>
  <c r="AS120" i="18"/>
  <c r="CC120" i="18" s="1"/>
  <c r="AT120" i="18"/>
  <c r="CD120" i="18" s="1"/>
  <c r="AU120" i="18"/>
  <c r="CE120" i="18" s="1"/>
  <c r="AV120" i="18"/>
  <c r="CF120" i="18" s="1"/>
  <c r="AW120" i="18"/>
  <c r="CG120" i="18" s="1"/>
  <c r="AX120" i="18"/>
  <c r="CH120" i="18" s="1"/>
  <c r="AY120" i="18"/>
  <c r="CI120" i="18" s="1"/>
  <c r="AZ120" i="18"/>
  <c r="CJ120" i="18" s="1"/>
  <c r="BA120" i="18"/>
  <c r="CK120" i="18" s="1"/>
  <c r="BB120" i="18"/>
  <c r="CL120" i="18" s="1"/>
  <c r="BC120" i="18"/>
  <c r="CM120" i="18" s="1"/>
  <c r="BD120" i="18"/>
  <c r="CN120" i="18" s="1"/>
  <c r="BE120" i="18"/>
  <c r="CO120" i="18" s="1"/>
  <c r="BF120" i="18"/>
  <c r="CP120" i="18" s="1"/>
  <c r="BG120" i="18"/>
  <c r="CQ120" i="18" s="1"/>
  <c r="BH120" i="18"/>
  <c r="CR120" i="18" s="1"/>
  <c r="BI120" i="18"/>
  <c r="CS120" i="18" s="1"/>
  <c r="BJ120" i="18"/>
  <c r="CT120" i="18" s="1"/>
  <c r="BK120" i="18"/>
  <c r="CU120" i="18" s="1"/>
  <c r="BL120" i="18"/>
  <c r="CV120" i="18" s="1"/>
  <c r="BM120" i="18"/>
  <c r="CW120" i="18" s="1"/>
  <c r="H121" i="18"/>
  <c r="I121" i="18"/>
  <c r="J121" i="18"/>
  <c r="K121" i="18"/>
  <c r="L121" i="18"/>
  <c r="M121" i="18"/>
  <c r="N121" i="18"/>
  <c r="O121" i="18"/>
  <c r="P121" i="18"/>
  <c r="Q121" i="18"/>
  <c r="R121" i="18"/>
  <c r="S121" i="18"/>
  <c r="T121" i="18"/>
  <c r="U121" i="18"/>
  <c r="V121" i="18"/>
  <c r="W121" i="18"/>
  <c r="X121" i="18"/>
  <c r="Y121" i="18"/>
  <c r="Z121" i="18"/>
  <c r="AA121" i="18"/>
  <c r="AB121" i="18"/>
  <c r="AC121" i="18"/>
  <c r="AR121" i="18"/>
  <c r="CB121" i="18" s="1"/>
  <c r="AS121" i="18"/>
  <c r="CC121" i="18" s="1"/>
  <c r="AT121" i="18"/>
  <c r="CD121" i="18" s="1"/>
  <c r="AU121" i="18"/>
  <c r="CE121" i="18" s="1"/>
  <c r="AV121" i="18"/>
  <c r="CF121" i="18" s="1"/>
  <c r="AW121" i="18"/>
  <c r="CG121" i="18" s="1"/>
  <c r="AX121" i="18"/>
  <c r="CH121" i="18" s="1"/>
  <c r="AY121" i="18"/>
  <c r="CI121" i="18" s="1"/>
  <c r="AZ121" i="18"/>
  <c r="CJ121" i="18" s="1"/>
  <c r="BA121" i="18"/>
  <c r="CK121" i="18" s="1"/>
  <c r="BB121" i="18"/>
  <c r="CL121" i="18" s="1"/>
  <c r="BC121" i="18"/>
  <c r="CM121" i="18" s="1"/>
  <c r="BD121" i="18"/>
  <c r="CN121" i="18" s="1"/>
  <c r="BE121" i="18"/>
  <c r="CO121" i="18" s="1"/>
  <c r="BF121" i="18"/>
  <c r="CP121" i="18" s="1"/>
  <c r="BG121" i="18"/>
  <c r="CQ121" i="18" s="1"/>
  <c r="BH121" i="18"/>
  <c r="CR121" i="18" s="1"/>
  <c r="BI121" i="18"/>
  <c r="CS121" i="18" s="1"/>
  <c r="BJ121" i="18"/>
  <c r="CT121" i="18" s="1"/>
  <c r="BK121" i="18"/>
  <c r="CU121" i="18" s="1"/>
  <c r="BL121" i="18"/>
  <c r="CV121" i="18" s="1"/>
  <c r="BM121" i="18"/>
  <c r="CW121" i="18" s="1"/>
  <c r="H122" i="18"/>
  <c r="I122" i="18"/>
  <c r="J122" i="18"/>
  <c r="K122" i="18"/>
  <c r="L122" i="18"/>
  <c r="M122" i="18"/>
  <c r="N122" i="18"/>
  <c r="O122" i="18"/>
  <c r="P122" i="18"/>
  <c r="Q122" i="18"/>
  <c r="R122" i="18"/>
  <c r="S122" i="18"/>
  <c r="T122" i="18"/>
  <c r="U122" i="18"/>
  <c r="V122" i="18"/>
  <c r="W122" i="18"/>
  <c r="X122" i="18"/>
  <c r="Y122" i="18"/>
  <c r="Z122" i="18"/>
  <c r="AA122" i="18"/>
  <c r="AB122" i="18"/>
  <c r="AC122" i="18"/>
  <c r="AR122" i="18"/>
  <c r="AS122" i="18"/>
  <c r="CC122" i="18" s="1"/>
  <c r="AT122" i="18"/>
  <c r="CD122" i="18" s="1"/>
  <c r="AU122" i="18"/>
  <c r="CE122" i="18" s="1"/>
  <c r="AV122" i="18"/>
  <c r="CF122" i="18" s="1"/>
  <c r="AW122" i="18"/>
  <c r="CG122" i="18" s="1"/>
  <c r="AX122" i="18"/>
  <c r="CH122" i="18" s="1"/>
  <c r="AY122" i="18"/>
  <c r="CI122" i="18" s="1"/>
  <c r="AZ122" i="18"/>
  <c r="CJ122" i="18" s="1"/>
  <c r="BA122" i="18"/>
  <c r="CK122" i="18" s="1"/>
  <c r="BB122" i="18"/>
  <c r="CL122" i="18" s="1"/>
  <c r="BC122" i="18"/>
  <c r="CM122" i="18" s="1"/>
  <c r="BD122" i="18"/>
  <c r="CN122" i="18" s="1"/>
  <c r="BE122" i="18"/>
  <c r="CO122" i="18" s="1"/>
  <c r="BF122" i="18"/>
  <c r="CP122" i="18" s="1"/>
  <c r="BG122" i="18"/>
  <c r="CQ122" i="18" s="1"/>
  <c r="BH122" i="18"/>
  <c r="CR122" i="18" s="1"/>
  <c r="BI122" i="18"/>
  <c r="CS122" i="18" s="1"/>
  <c r="BJ122" i="18"/>
  <c r="CT122" i="18" s="1"/>
  <c r="BK122" i="18"/>
  <c r="CU122" i="18" s="1"/>
  <c r="BL122" i="18"/>
  <c r="CV122" i="18" s="1"/>
  <c r="BM122" i="18"/>
  <c r="CW122" i="18" s="1"/>
  <c r="H123" i="18"/>
  <c r="I123" i="18"/>
  <c r="J123" i="18"/>
  <c r="K123" i="18"/>
  <c r="L123" i="18"/>
  <c r="M123" i="18"/>
  <c r="N123" i="18"/>
  <c r="O123" i="18"/>
  <c r="P123" i="18"/>
  <c r="Q123" i="18"/>
  <c r="R123" i="18"/>
  <c r="S123" i="18"/>
  <c r="T123" i="18"/>
  <c r="U123" i="18"/>
  <c r="V123" i="18"/>
  <c r="W123" i="18"/>
  <c r="X123" i="18"/>
  <c r="Y123" i="18"/>
  <c r="Z123" i="18"/>
  <c r="AA123" i="18"/>
  <c r="AB123" i="18"/>
  <c r="AC123" i="18"/>
  <c r="AR123" i="18"/>
  <c r="CB123" i="18" s="1"/>
  <c r="AS123" i="18"/>
  <c r="CC123" i="18" s="1"/>
  <c r="AT123" i="18"/>
  <c r="CD123" i="18" s="1"/>
  <c r="AU123" i="18"/>
  <c r="CE123" i="18" s="1"/>
  <c r="AV123" i="18"/>
  <c r="CF123" i="18" s="1"/>
  <c r="AW123" i="18"/>
  <c r="CG123" i="18" s="1"/>
  <c r="AX123" i="18"/>
  <c r="CH123" i="18" s="1"/>
  <c r="AY123" i="18"/>
  <c r="CI123" i="18" s="1"/>
  <c r="AZ123" i="18"/>
  <c r="CJ123" i="18" s="1"/>
  <c r="BA123" i="18"/>
  <c r="CK123" i="18" s="1"/>
  <c r="BB123" i="18"/>
  <c r="CL123" i="18" s="1"/>
  <c r="BC123" i="18"/>
  <c r="CM123" i="18" s="1"/>
  <c r="BD123" i="18"/>
  <c r="CN123" i="18" s="1"/>
  <c r="BE123" i="18"/>
  <c r="CO123" i="18" s="1"/>
  <c r="BF123" i="18"/>
  <c r="CP123" i="18" s="1"/>
  <c r="BG123" i="18"/>
  <c r="CQ123" i="18" s="1"/>
  <c r="BH123" i="18"/>
  <c r="CR123" i="18" s="1"/>
  <c r="BI123" i="18"/>
  <c r="CS123" i="18" s="1"/>
  <c r="BJ123" i="18"/>
  <c r="CT123" i="18" s="1"/>
  <c r="BK123" i="18"/>
  <c r="CU123" i="18" s="1"/>
  <c r="BL123" i="18"/>
  <c r="CV123" i="18" s="1"/>
  <c r="BM123" i="18"/>
  <c r="CW123" i="18" s="1"/>
  <c r="H124" i="18"/>
  <c r="I124" i="18"/>
  <c r="J124" i="18"/>
  <c r="K124" i="18"/>
  <c r="L124" i="18"/>
  <c r="M124" i="18"/>
  <c r="N124" i="18"/>
  <c r="O124" i="18"/>
  <c r="P124" i="18"/>
  <c r="Q124" i="18"/>
  <c r="R124" i="18"/>
  <c r="S124" i="18"/>
  <c r="T124" i="18"/>
  <c r="U124" i="18"/>
  <c r="V124" i="18"/>
  <c r="W124" i="18"/>
  <c r="X124" i="18"/>
  <c r="Y124" i="18"/>
  <c r="Z124" i="18"/>
  <c r="AA124" i="18"/>
  <c r="AB124" i="18"/>
  <c r="AC124" i="18"/>
  <c r="AR124" i="18"/>
  <c r="CB124" i="18" s="1"/>
  <c r="AS124" i="18"/>
  <c r="CC124" i="18" s="1"/>
  <c r="AT124" i="18"/>
  <c r="CD124" i="18" s="1"/>
  <c r="AU124" i="18"/>
  <c r="CE124" i="18" s="1"/>
  <c r="AV124" i="18"/>
  <c r="CF124" i="18" s="1"/>
  <c r="AW124" i="18"/>
  <c r="CG124" i="18" s="1"/>
  <c r="AX124" i="18"/>
  <c r="CH124" i="18" s="1"/>
  <c r="AY124" i="18"/>
  <c r="CI124" i="18" s="1"/>
  <c r="AZ124" i="18"/>
  <c r="CJ124" i="18" s="1"/>
  <c r="BA124" i="18"/>
  <c r="CK124" i="18" s="1"/>
  <c r="BB124" i="18"/>
  <c r="CL124" i="18" s="1"/>
  <c r="BC124" i="18"/>
  <c r="CM124" i="18" s="1"/>
  <c r="BD124" i="18"/>
  <c r="CN124" i="18" s="1"/>
  <c r="BE124" i="18"/>
  <c r="CO124" i="18" s="1"/>
  <c r="BF124" i="18"/>
  <c r="CP124" i="18" s="1"/>
  <c r="BG124" i="18"/>
  <c r="CQ124" i="18" s="1"/>
  <c r="BH124" i="18"/>
  <c r="CR124" i="18" s="1"/>
  <c r="BI124" i="18"/>
  <c r="CS124" i="18" s="1"/>
  <c r="BJ124" i="18"/>
  <c r="CT124" i="18" s="1"/>
  <c r="BK124" i="18"/>
  <c r="CU124" i="18" s="1"/>
  <c r="BL124" i="18"/>
  <c r="CV124" i="18" s="1"/>
  <c r="BM124" i="18"/>
  <c r="CW124" i="18" s="1"/>
  <c r="H125" i="18"/>
  <c r="I125" i="18"/>
  <c r="J125" i="18"/>
  <c r="K125" i="18"/>
  <c r="L125" i="18"/>
  <c r="M125" i="18"/>
  <c r="N125" i="18"/>
  <c r="O125" i="18"/>
  <c r="P125" i="18"/>
  <c r="Q125" i="18"/>
  <c r="R125" i="18"/>
  <c r="S125" i="18"/>
  <c r="T125" i="18"/>
  <c r="U125" i="18"/>
  <c r="V125" i="18"/>
  <c r="W125" i="18"/>
  <c r="X125" i="18"/>
  <c r="Y125" i="18"/>
  <c r="Z125" i="18"/>
  <c r="AA125" i="18"/>
  <c r="AB125" i="18"/>
  <c r="AC125" i="18"/>
  <c r="AR125" i="18"/>
  <c r="CB125" i="18" s="1"/>
  <c r="AS125" i="18"/>
  <c r="CC125" i="18" s="1"/>
  <c r="AT125" i="18"/>
  <c r="CD125" i="18" s="1"/>
  <c r="AU125" i="18"/>
  <c r="CE125" i="18" s="1"/>
  <c r="AV125" i="18"/>
  <c r="CF125" i="18" s="1"/>
  <c r="AW125" i="18"/>
  <c r="CG125" i="18" s="1"/>
  <c r="AX125" i="18"/>
  <c r="CH125" i="18" s="1"/>
  <c r="AY125" i="18"/>
  <c r="CI125" i="18" s="1"/>
  <c r="AZ125" i="18"/>
  <c r="CJ125" i="18" s="1"/>
  <c r="BA125" i="18"/>
  <c r="CK125" i="18" s="1"/>
  <c r="BB125" i="18"/>
  <c r="CL125" i="18" s="1"/>
  <c r="BC125" i="18"/>
  <c r="CM125" i="18" s="1"/>
  <c r="BD125" i="18"/>
  <c r="CN125" i="18" s="1"/>
  <c r="BE125" i="18"/>
  <c r="CO125" i="18" s="1"/>
  <c r="BF125" i="18"/>
  <c r="CP125" i="18" s="1"/>
  <c r="BG125" i="18"/>
  <c r="CQ125" i="18" s="1"/>
  <c r="BH125" i="18"/>
  <c r="CR125" i="18" s="1"/>
  <c r="BI125" i="18"/>
  <c r="CS125" i="18" s="1"/>
  <c r="BJ125" i="18"/>
  <c r="CT125" i="18" s="1"/>
  <c r="BK125" i="18"/>
  <c r="CU125" i="18" s="1"/>
  <c r="BL125" i="18"/>
  <c r="CV125" i="18" s="1"/>
  <c r="BM125" i="18"/>
  <c r="CW125" i="18" s="1"/>
  <c r="H126" i="18"/>
  <c r="I126" i="18"/>
  <c r="J126" i="18"/>
  <c r="K126" i="18"/>
  <c r="L126" i="18"/>
  <c r="M126" i="18"/>
  <c r="N126" i="18"/>
  <c r="O126" i="18"/>
  <c r="P126" i="18"/>
  <c r="Q126" i="18"/>
  <c r="R126" i="18"/>
  <c r="S126" i="18"/>
  <c r="T126" i="18"/>
  <c r="U126" i="18"/>
  <c r="V126" i="18"/>
  <c r="W126" i="18"/>
  <c r="X126" i="18"/>
  <c r="Y126" i="18"/>
  <c r="Z126" i="18"/>
  <c r="AA126" i="18"/>
  <c r="AB126" i="18"/>
  <c r="AC126" i="18"/>
  <c r="AR126" i="18"/>
  <c r="CB126" i="18" s="1"/>
  <c r="AS126" i="18"/>
  <c r="CC126" i="18" s="1"/>
  <c r="AT126" i="18"/>
  <c r="CD126" i="18" s="1"/>
  <c r="AU126" i="18"/>
  <c r="CE126" i="18" s="1"/>
  <c r="AV126" i="18"/>
  <c r="CF126" i="18" s="1"/>
  <c r="AW126" i="18"/>
  <c r="CG126" i="18" s="1"/>
  <c r="AX126" i="18"/>
  <c r="CH126" i="18" s="1"/>
  <c r="AY126" i="18"/>
  <c r="CI126" i="18" s="1"/>
  <c r="AZ126" i="18"/>
  <c r="CJ126" i="18" s="1"/>
  <c r="BA126" i="18"/>
  <c r="CK126" i="18" s="1"/>
  <c r="BB126" i="18"/>
  <c r="CL126" i="18" s="1"/>
  <c r="BC126" i="18"/>
  <c r="CM126" i="18" s="1"/>
  <c r="BD126" i="18"/>
  <c r="CN126" i="18" s="1"/>
  <c r="BE126" i="18"/>
  <c r="CO126" i="18" s="1"/>
  <c r="BF126" i="18"/>
  <c r="CP126" i="18" s="1"/>
  <c r="BG126" i="18"/>
  <c r="CQ126" i="18" s="1"/>
  <c r="BH126" i="18"/>
  <c r="CR126" i="18" s="1"/>
  <c r="BI126" i="18"/>
  <c r="CS126" i="18" s="1"/>
  <c r="BJ126" i="18"/>
  <c r="CT126" i="18" s="1"/>
  <c r="BK126" i="18"/>
  <c r="CU126" i="18" s="1"/>
  <c r="BL126" i="18"/>
  <c r="CV126" i="18" s="1"/>
  <c r="BM126" i="18"/>
  <c r="CW126" i="18" s="1"/>
  <c r="H127" i="18"/>
  <c r="I127" i="18"/>
  <c r="J127" i="18"/>
  <c r="K127" i="18"/>
  <c r="L127" i="18"/>
  <c r="M127" i="18"/>
  <c r="N127" i="18"/>
  <c r="O127" i="18"/>
  <c r="P127" i="18"/>
  <c r="Q127" i="18"/>
  <c r="R127" i="18"/>
  <c r="S127" i="18"/>
  <c r="T127" i="18"/>
  <c r="U127" i="18"/>
  <c r="V127" i="18"/>
  <c r="W127" i="18"/>
  <c r="X127" i="18"/>
  <c r="Y127" i="18"/>
  <c r="Z127" i="18"/>
  <c r="AA127" i="18"/>
  <c r="AB127" i="18"/>
  <c r="AC127" i="18"/>
  <c r="AR127" i="18"/>
  <c r="CB127" i="18" s="1"/>
  <c r="AS127" i="18"/>
  <c r="CC127" i="18" s="1"/>
  <c r="AT127" i="18"/>
  <c r="CD127" i="18" s="1"/>
  <c r="AU127" i="18"/>
  <c r="CE127" i="18" s="1"/>
  <c r="AV127" i="18"/>
  <c r="CF127" i="18" s="1"/>
  <c r="AW127" i="18"/>
  <c r="CG127" i="18" s="1"/>
  <c r="AX127" i="18"/>
  <c r="CH127" i="18" s="1"/>
  <c r="AY127" i="18"/>
  <c r="CI127" i="18" s="1"/>
  <c r="AZ127" i="18"/>
  <c r="CJ127" i="18" s="1"/>
  <c r="BA127" i="18"/>
  <c r="CK127" i="18" s="1"/>
  <c r="BB127" i="18"/>
  <c r="CL127" i="18" s="1"/>
  <c r="BC127" i="18"/>
  <c r="CM127" i="18" s="1"/>
  <c r="BD127" i="18"/>
  <c r="CN127" i="18" s="1"/>
  <c r="BE127" i="18"/>
  <c r="CO127" i="18" s="1"/>
  <c r="BF127" i="18"/>
  <c r="CP127" i="18" s="1"/>
  <c r="BG127" i="18"/>
  <c r="CQ127" i="18" s="1"/>
  <c r="BH127" i="18"/>
  <c r="CR127" i="18" s="1"/>
  <c r="BI127" i="18"/>
  <c r="CS127" i="18" s="1"/>
  <c r="BJ127" i="18"/>
  <c r="CT127" i="18" s="1"/>
  <c r="BK127" i="18"/>
  <c r="CU127" i="18" s="1"/>
  <c r="BL127" i="18"/>
  <c r="CV127" i="18" s="1"/>
  <c r="BM127" i="18"/>
  <c r="CW127" i="18" s="1"/>
  <c r="H128" i="18"/>
  <c r="I128" i="18"/>
  <c r="J128" i="18"/>
  <c r="K128" i="18"/>
  <c r="L128" i="18"/>
  <c r="M128" i="18"/>
  <c r="N128" i="18"/>
  <c r="O128" i="18"/>
  <c r="P128" i="18"/>
  <c r="Q128" i="18"/>
  <c r="R128" i="18"/>
  <c r="S128" i="18"/>
  <c r="T128" i="18"/>
  <c r="U128" i="18"/>
  <c r="V128" i="18"/>
  <c r="W128" i="18"/>
  <c r="X128" i="18"/>
  <c r="Y128" i="18"/>
  <c r="Z128" i="18"/>
  <c r="AA128" i="18"/>
  <c r="AB128" i="18"/>
  <c r="AC128" i="18"/>
  <c r="AR128" i="18"/>
  <c r="AS128" i="18"/>
  <c r="CC128" i="18" s="1"/>
  <c r="AT128" i="18"/>
  <c r="CD128" i="18" s="1"/>
  <c r="AU128" i="18"/>
  <c r="CE128" i="18" s="1"/>
  <c r="AV128" i="18"/>
  <c r="CF128" i="18" s="1"/>
  <c r="AW128" i="18"/>
  <c r="CG128" i="18" s="1"/>
  <c r="AX128" i="18"/>
  <c r="CH128" i="18" s="1"/>
  <c r="AY128" i="18"/>
  <c r="CI128" i="18" s="1"/>
  <c r="AZ128" i="18"/>
  <c r="CJ128" i="18" s="1"/>
  <c r="BA128" i="18"/>
  <c r="CK128" i="18" s="1"/>
  <c r="BB128" i="18"/>
  <c r="CL128" i="18" s="1"/>
  <c r="BC128" i="18"/>
  <c r="CM128" i="18" s="1"/>
  <c r="BD128" i="18"/>
  <c r="CN128" i="18" s="1"/>
  <c r="BE128" i="18"/>
  <c r="CO128" i="18" s="1"/>
  <c r="BF128" i="18"/>
  <c r="CP128" i="18" s="1"/>
  <c r="BG128" i="18"/>
  <c r="CQ128" i="18" s="1"/>
  <c r="BH128" i="18"/>
  <c r="CR128" i="18" s="1"/>
  <c r="BI128" i="18"/>
  <c r="CS128" i="18" s="1"/>
  <c r="BJ128" i="18"/>
  <c r="CT128" i="18" s="1"/>
  <c r="BK128" i="18"/>
  <c r="CU128" i="18" s="1"/>
  <c r="BL128" i="18"/>
  <c r="CV128" i="18" s="1"/>
  <c r="BM128" i="18"/>
  <c r="CW128" i="18" s="1"/>
  <c r="H129" i="18"/>
  <c r="I129" i="18"/>
  <c r="J129" i="18"/>
  <c r="K129" i="18"/>
  <c r="L129" i="18"/>
  <c r="M129" i="18"/>
  <c r="N129" i="18"/>
  <c r="O129" i="18"/>
  <c r="P129" i="18"/>
  <c r="Q129" i="18"/>
  <c r="R129" i="18"/>
  <c r="S129" i="18"/>
  <c r="T129" i="18"/>
  <c r="U129" i="18"/>
  <c r="V129" i="18"/>
  <c r="W129" i="18"/>
  <c r="X129" i="18"/>
  <c r="Y129" i="18"/>
  <c r="Z129" i="18"/>
  <c r="AA129" i="18"/>
  <c r="AB129" i="18"/>
  <c r="AC129" i="18"/>
  <c r="AR129" i="18"/>
  <c r="CB129" i="18" s="1"/>
  <c r="AS129" i="18"/>
  <c r="CC129" i="18" s="1"/>
  <c r="AT129" i="18"/>
  <c r="CD129" i="18" s="1"/>
  <c r="AU129" i="18"/>
  <c r="CE129" i="18" s="1"/>
  <c r="AV129" i="18"/>
  <c r="CF129" i="18" s="1"/>
  <c r="AW129" i="18"/>
  <c r="CG129" i="18" s="1"/>
  <c r="AX129" i="18"/>
  <c r="CH129" i="18" s="1"/>
  <c r="AY129" i="18"/>
  <c r="CI129" i="18" s="1"/>
  <c r="AZ129" i="18"/>
  <c r="CJ129" i="18" s="1"/>
  <c r="BA129" i="18"/>
  <c r="CK129" i="18" s="1"/>
  <c r="BB129" i="18"/>
  <c r="CL129" i="18" s="1"/>
  <c r="BC129" i="18"/>
  <c r="CM129" i="18" s="1"/>
  <c r="BD129" i="18"/>
  <c r="CN129" i="18" s="1"/>
  <c r="BE129" i="18"/>
  <c r="CO129" i="18" s="1"/>
  <c r="BF129" i="18"/>
  <c r="CP129" i="18" s="1"/>
  <c r="BG129" i="18"/>
  <c r="CQ129" i="18" s="1"/>
  <c r="BH129" i="18"/>
  <c r="CR129" i="18" s="1"/>
  <c r="BI129" i="18"/>
  <c r="CS129" i="18" s="1"/>
  <c r="BJ129" i="18"/>
  <c r="CT129" i="18" s="1"/>
  <c r="BK129" i="18"/>
  <c r="CU129" i="18" s="1"/>
  <c r="BL129" i="18"/>
  <c r="CV129" i="18" s="1"/>
  <c r="BM129" i="18"/>
  <c r="CW129" i="18" s="1"/>
  <c r="H130" i="18"/>
  <c r="I130" i="18"/>
  <c r="J130" i="18"/>
  <c r="K130" i="18"/>
  <c r="L130" i="18"/>
  <c r="M130" i="18"/>
  <c r="N130" i="18"/>
  <c r="O130" i="18"/>
  <c r="P130" i="18"/>
  <c r="Q130" i="18"/>
  <c r="R130" i="18"/>
  <c r="S130" i="18"/>
  <c r="T130" i="18"/>
  <c r="U130" i="18"/>
  <c r="V130" i="18"/>
  <c r="W130" i="18"/>
  <c r="X130" i="18"/>
  <c r="Y130" i="18"/>
  <c r="Z130" i="18"/>
  <c r="AA130" i="18"/>
  <c r="AB130" i="18"/>
  <c r="AC130" i="18"/>
  <c r="AR130" i="18"/>
  <c r="CB130" i="18" s="1"/>
  <c r="AS130" i="18"/>
  <c r="CC130" i="18" s="1"/>
  <c r="AT130" i="18"/>
  <c r="CD130" i="18" s="1"/>
  <c r="AU130" i="18"/>
  <c r="CE130" i="18" s="1"/>
  <c r="AV130" i="18"/>
  <c r="CF130" i="18" s="1"/>
  <c r="AW130" i="18"/>
  <c r="CG130" i="18" s="1"/>
  <c r="AX130" i="18"/>
  <c r="CH130" i="18" s="1"/>
  <c r="AY130" i="18"/>
  <c r="CI130" i="18" s="1"/>
  <c r="AZ130" i="18"/>
  <c r="CJ130" i="18" s="1"/>
  <c r="BA130" i="18"/>
  <c r="CK130" i="18" s="1"/>
  <c r="BB130" i="18"/>
  <c r="CL130" i="18" s="1"/>
  <c r="BC130" i="18"/>
  <c r="CM130" i="18" s="1"/>
  <c r="BD130" i="18"/>
  <c r="CN130" i="18" s="1"/>
  <c r="BE130" i="18"/>
  <c r="CO130" i="18" s="1"/>
  <c r="BF130" i="18"/>
  <c r="CP130" i="18" s="1"/>
  <c r="BG130" i="18"/>
  <c r="CQ130" i="18" s="1"/>
  <c r="BH130" i="18"/>
  <c r="CR130" i="18" s="1"/>
  <c r="BI130" i="18"/>
  <c r="CS130" i="18" s="1"/>
  <c r="BJ130" i="18"/>
  <c r="CT130" i="18" s="1"/>
  <c r="BK130" i="18"/>
  <c r="CU130" i="18" s="1"/>
  <c r="BL130" i="18"/>
  <c r="CV130" i="18" s="1"/>
  <c r="BM130" i="18"/>
  <c r="CW130" i="18" s="1"/>
  <c r="H131" i="18"/>
  <c r="I131" i="18"/>
  <c r="J131" i="18"/>
  <c r="K131" i="18"/>
  <c r="L131" i="18"/>
  <c r="M131" i="18"/>
  <c r="N131" i="18"/>
  <c r="O131" i="18"/>
  <c r="P131" i="18"/>
  <c r="Q131" i="18"/>
  <c r="R131" i="18"/>
  <c r="S131" i="18"/>
  <c r="T131" i="18"/>
  <c r="U131" i="18"/>
  <c r="V131" i="18"/>
  <c r="W131" i="18"/>
  <c r="X131" i="18"/>
  <c r="Y131" i="18"/>
  <c r="Z131" i="18"/>
  <c r="AA131" i="18"/>
  <c r="AB131" i="18"/>
  <c r="AC131" i="18"/>
  <c r="AR131" i="18"/>
  <c r="CB131" i="18" s="1"/>
  <c r="AS131" i="18"/>
  <c r="CC131" i="18" s="1"/>
  <c r="AT131" i="18"/>
  <c r="CD131" i="18" s="1"/>
  <c r="AU131" i="18"/>
  <c r="CE131" i="18" s="1"/>
  <c r="AV131" i="18"/>
  <c r="CF131" i="18" s="1"/>
  <c r="AW131" i="18"/>
  <c r="CG131" i="18" s="1"/>
  <c r="AX131" i="18"/>
  <c r="CH131" i="18" s="1"/>
  <c r="AY131" i="18"/>
  <c r="CI131" i="18" s="1"/>
  <c r="AZ131" i="18"/>
  <c r="CJ131" i="18" s="1"/>
  <c r="BA131" i="18"/>
  <c r="CK131" i="18" s="1"/>
  <c r="BB131" i="18"/>
  <c r="CL131" i="18" s="1"/>
  <c r="BC131" i="18"/>
  <c r="CM131" i="18" s="1"/>
  <c r="BD131" i="18"/>
  <c r="CN131" i="18" s="1"/>
  <c r="BE131" i="18"/>
  <c r="CO131" i="18" s="1"/>
  <c r="BF131" i="18"/>
  <c r="CP131" i="18" s="1"/>
  <c r="BG131" i="18"/>
  <c r="CQ131" i="18" s="1"/>
  <c r="BH131" i="18"/>
  <c r="CR131" i="18" s="1"/>
  <c r="BI131" i="18"/>
  <c r="CS131" i="18" s="1"/>
  <c r="BJ131" i="18"/>
  <c r="CT131" i="18" s="1"/>
  <c r="BK131" i="18"/>
  <c r="CU131" i="18" s="1"/>
  <c r="BL131" i="18"/>
  <c r="CV131" i="18" s="1"/>
  <c r="BM131" i="18"/>
  <c r="CW131" i="18" s="1"/>
  <c r="H132" i="18"/>
  <c r="I132" i="18"/>
  <c r="J132" i="18"/>
  <c r="K132" i="18"/>
  <c r="L132" i="18"/>
  <c r="M132" i="18"/>
  <c r="N132" i="18"/>
  <c r="O132" i="18"/>
  <c r="P132" i="18"/>
  <c r="Q132" i="18"/>
  <c r="R132" i="18"/>
  <c r="S132" i="18"/>
  <c r="T132" i="18"/>
  <c r="U132" i="18"/>
  <c r="V132" i="18"/>
  <c r="W132" i="18"/>
  <c r="X132" i="18"/>
  <c r="Y132" i="18"/>
  <c r="Z132" i="18"/>
  <c r="AA132" i="18"/>
  <c r="AB132" i="18"/>
  <c r="AC132" i="18"/>
  <c r="AR132" i="18"/>
  <c r="CB132" i="18" s="1"/>
  <c r="AS132" i="18"/>
  <c r="AT132" i="18"/>
  <c r="CD132" i="18" s="1"/>
  <c r="AU132" i="18"/>
  <c r="CE132" i="18" s="1"/>
  <c r="AV132" i="18"/>
  <c r="CF132" i="18" s="1"/>
  <c r="AW132" i="18"/>
  <c r="CG132" i="18" s="1"/>
  <c r="AX132" i="18"/>
  <c r="CH132" i="18" s="1"/>
  <c r="AY132" i="18"/>
  <c r="CI132" i="18" s="1"/>
  <c r="AZ132" i="18"/>
  <c r="CJ132" i="18" s="1"/>
  <c r="BA132" i="18"/>
  <c r="CK132" i="18" s="1"/>
  <c r="BB132" i="18"/>
  <c r="CL132" i="18" s="1"/>
  <c r="BC132" i="18"/>
  <c r="CM132" i="18" s="1"/>
  <c r="BD132" i="18"/>
  <c r="CN132" i="18" s="1"/>
  <c r="BE132" i="18"/>
  <c r="CO132" i="18" s="1"/>
  <c r="BF132" i="18"/>
  <c r="CP132" i="18" s="1"/>
  <c r="BG132" i="18"/>
  <c r="CQ132" i="18" s="1"/>
  <c r="BH132" i="18"/>
  <c r="CR132" i="18" s="1"/>
  <c r="BI132" i="18"/>
  <c r="CS132" i="18" s="1"/>
  <c r="BJ132" i="18"/>
  <c r="CT132" i="18" s="1"/>
  <c r="BK132" i="18"/>
  <c r="CU132" i="18" s="1"/>
  <c r="BL132" i="18"/>
  <c r="CV132" i="18" s="1"/>
  <c r="BM132" i="18"/>
  <c r="CW132" i="18" s="1"/>
  <c r="H133" i="18"/>
  <c r="I133" i="18"/>
  <c r="J133" i="18"/>
  <c r="K133" i="18"/>
  <c r="L133" i="18"/>
  <c r="M133" i="18"/>
  <c r="N133" i="18"/>
  <c r="O133" i="18"/>
  <c r="P133" i="18"/>
  <c r="Q133" i="18"/>
  <c r="R133" i="18"/>
  <c r="S133" i="18"/>
  <c r="T133" i="18"/>
  <c r="U133" i="18"/>
  <c r="V133" i="18"/>
  <c r="W133" i="18"/>
  <c r="X133" i="18"/>
  <c r="Y133" i="18"/>
  <c r="Z133" i="18"/>
  <c r="AA133" i="18"/>
  <c r="AB133" i="18"/>
  <c r="AC133" i="18"/>
  <c r="AR133" i="18"/>
  <c r="CB133" i="18" s="1"/>
  <c r="AS133" i="18"/>
  <c r="CC133" i="18" s="1"/>
  <c r="AT133" i="18"/>
  <c r="CD133" i="18" s="1"/>
  <c r="AU133" i="18"/>
  <c r="CE133" i="18" s="1"/>
  <c r="AV133" i="18"/>
  <c r="CF133" i="18" s="1"/>
  <c r="AW133" i="18"/>
  <c r="CG133" i="18" s="1"/>
  <c r="AX133" i="18"/>
  <c r="CH133" i="18" s="1"/>
  <c r="AY133" i="18"/>
  <c r="CI133" i="18" s="1"/>
  <c r="AZ133" i="18"/>
  <c r="CJ133" i="18" s="1"/>
  <c r="BA133" i="18"/>
  <c r="CK133" i="18" s="1"/>
  <c r="BB133" i="18"/>
  <c r="CL133" i="18" s="1"/>
  <c r="BC133" i="18"/>
  <c r="CM133" i="18" s="1"/>
  <c r="BD133" i="18"/>
  <c r="CN133" i="18" s="1"/>
  <c r="BE133" i="18"/>
  <c r="CO133" i="18" s="1"/>
  <c r="BF133" i="18"/>
  <c r="CP133" i="18" s="1"/>
  <c r="BG133" i="18"/>
  <c r="CQ133" i="18" s="1"/>
  <c r="BH133" i="18"/>
  <c r="CR133" i="18" s="1"/>
  <c r="BI133" i="18"/>
  <c r="CS133" i="18" s="1"/>
  <c r="BJ133" i="18"/>
  <c r="CT133" i="18" s="1"/>
  <c r="BK133" i="18"/>
  <c r="CU133" i="18" s="1"/>
  <c r="BL133" i="18"/>
  <c r="CV133" i="18" s="1"/>
  <c r="BM133" i="18"/>
  <c r="CW133" i="18" s="1"/>
  <c r="H134" i="18"/>
  <c r="I134" i="18"/>
  <c r="J134" i="18"/>
  <c r="K134" i="18"/>
  <c r="L134" i="18"/>
  <c r="M134" i="18"/>
  <c r="N134" i="18"/>
  <c r="O134" i="18"/>
  <c r="P134" i="18"/>
  <c r="Q134" i="18"/>
  <c r="R134" i="18"/>
  <c r="S134" i="18"/>
  <c r="T134" i="18"/>
  <c r="U134" i="18"/>
  <c r="V134" i="18"/>
  <c r="W134" i="18"/>
  <c r="X134" i="18"/>
  <c r="Y134" i="18"/>
  <c r="Z134" i="18"/>
  <c r="AA134" i="18"/>
  <c r="AB134" i="18"/>
  <c r="AC134" i="18"/>
  <c r="AR134" i="18"/>
  <c r="AS134" i="18"/>
  <c r="CC134" i="18" s="1"/>
  <c r="AT134" i="18"/>
  <c r="CD134" i="18" s="1"/>
  <c r="AU134" i="18"/>
  <c r="CE134" i="18" s="1"/>
  <c r="AV134" i="18"/>
  <c r="CF134" i="18" s="1"/>
  <c r="AW134" i="18"/>
  <c r="CG134" i="18" s="1"/>
  <c r="AX134" i="18"/>
  <c r="CH134" i="18" s="1"/>
  <c r="AY134" i="18"/>
  <c r="CI134" i="18" s="1"/>
  <c r="AZ134" i="18"/>
  <c r="CJ134" i="18" s="1"/>
  <c r="BA134" i="18"/>
  <c r="CK134" i="18" s="1"/>
  <c r="BB134" i="18"/>
  <c r="CL134" i="18" s="1"/>
  <c r="BC134" i="18"/>
  <c r="CM134" i="18" s="1"/>
  <c r="BD134" i="18"/>
  <c r="CN134" i="18" s="1"/>
  <c r="BE134" i="18"/>
  <c r="CO134" i="18" s="1"/>
  <c r="BF134" i="18"/>
  <c r="CP134" i="18" s="1"/>
  <c r="BG134" i="18"/>
  <c r="CQ134" i="18" s="1"/>
  <c r="BH134" i="18"/>
  <c r="CR134" i="18" s="1"/>
  <c r="BI134" i="18"/>
  <c r="CS134" i="18" s="1"/>
  <c r="BJ134" i="18"/>
  <c r="CT134" i="18" s="1"/>
  <c r="BK134" i="18"/>
  <c r="CU134" i="18" s="1"/>
  <c r="BL134" i="18"/>
  <c r="CV134" i="18" s="1"/>
  <c r="BM134" i="18"/>
  <c r="CW134" i="18" s="1"/>
  <c r="H135" i="18"/>
  <c r="I135" i="18"/>
  <c r="J135" i="18"/>
  <c r="K135" i="18"/>
  <c r="L135" i="18"/>
  <c r="M135" i="18"/>
  <c r="N135" i="18"/>
  <c r="O135" i="18"/>
  <c r="P135" i="18"/>
  <c r="Q135" i="18"/>
  <c r="R135" i="18"/>
  <c r="S135" i="18"/>
  <c r="T135" i="18"/>
  <c r="U135" i="18"/>
  <c r="V135" i="18"/>
  <c r="W135" i="18"/>
  <c r="X135" i="18"/>
  <c r="Y135" i="18"/>
  <c r="Z135" i="18"/>
  <c r="AA135" i="18"/>
  <c r="AB135" i="18"/>
  <c r="AC135" i="18"/>
  <c r="AR135" i="18"/>
  <c r="CB135" i="18" s="1"/>
  <c r="AS135" i="18"/>
  <c r="CC135" i="18" s="1"/>
  <c r="AT135" i="18"/>
  <c r="CD135" i="18" s="1"/>
  <c r="AU135" i="18"/>
  <c r="CE135" i="18" s="1"/>
  <c r="AV135" i="18"/>
  <c r="CF135" i="18" s="1"/>
  <c r="AW135" i="18"/>
  <c r="CG135" i="18" s="1"/>
  <c r="AX135" i="18"/>
  <c r="CH135" i="18" s="1"/>
  <c r="AY135" i="18"/>
  <c r="CI135" i="18" s="1"/>
  <c r="AZ135" i="18"/>
  <c r="CJ135" i="18" s="1"/>
  <c r="BA135" i="18"/>
  <c r="CK135" i="18" s="1"/>
  <c r="BB135" i="18"/>
  <c r="CL135" i="18" s="1"/>
  <c r="BC135" i="18"/>
  <c r="CM135" i="18" s="1"/>
  <c r="BD135" i="18"/>
  <c r="CN135" i="18" s="1"/>
  <c r="BE135" i="18"/>
  <c r="CO135" i="18" s="1"/>
  <c r="BF135" i="18"/>
  <c r="CP135" i="18" s="1"/>
  <c r="BG135" i="18"/>
  <c r="CQ135" i="18" s="1"/>
  <c r="BH135" i="18"/>
  <c r="CR135" i="18" s="1"/>
  <c r="BI135" i="18"/>
  <c r="CS135" i="18" s="1"/>
  <c r="BJ135" i="18"/>
  <c r="CT135" i="18" s="1"/>
  <c r="BK135" i="18"/>
  <c r="CU135" i="18" s="1"/>
  <c r="BL135" i="18"/>
  <c r="CV135" i="18" s="1"/>
  <c r="BM135" i="18"/>
  <c r="CW135" i="18" s="1"/>
  <c r="H136" i="18"/>
  <c r="I136" i="18"/>
  <c r="J136" i="18"/>
  <c r="K136" i="18"/>
  <c r="L136" i="18"/>
  <c r="M136" i="18"/>
  <c r="N136" i="18"/>
  <c r="O136" i="18"/>
  <c r="P136" i="18"/>
  <c r="Q136" i="18"/>
  <c r="R136" i="18"/>
  <c r="S136" i="18"/>
  <c r="T136" i="18"/>
  <c r="U136" i="18"/>
  <c r="V136" i="18"/>
  <c r="W136" i="18"/>
  <c r="X136" i="18"/>
  <c r="Y136" i="18"/>
  <c r="Z136" i="18"/>
  <c r="AA136" i="18"/>
  <c r="AB136" i="18"/>
  <c r="AC136" i="18"/>
  <c r="AR136" i="18"/>
  <c r="CB136" i="18" s="1"/>
  <c r="AS136" i="18"/>
  <c r="CC136" i="18" s="1"/>
  <c r="AT136" i="18"/>
  <c r="CD136" i="18" s="1"/>
  <c r="AU136" i="18"/>
  <c r="CE136" i="18" s="1"/>
  <c r="AV136" i="18"/>
  <c r="CF136" i="18" s="1"/>
  <c r="AW136" i="18"/>
  <c r="CG136" i="18" s="1"/>
  <c r="AX136" i="18"/>
  <c r="CH136" i="18" s="1"/>
  <c r="AY136" i="18"/>
  <c r="CI136" i="18" s="1"/>
  <c r="AZ136" i="18"/>
  <c r="CJ136" i="18" s="1"/>
  <c r="BA136" i="18"/>
  <c r="CK136" i="18" s="1"/>
  <c r="BB136" i="18"/>
  <c r="CL136" i="18" s="1"/>
  <c r="BC136" i="18"/>
  <c r="CM136" i="18" s="1"/>
  <c r="BD136" i="18"/>
  <c r="CN136" i="18" s="1"/>
  <c r="BE136" i="18"/>
  <c r="CO136" i="18" s="1"/>
  <c r="BF136" i="18"/>
  <c r="CP136" i="18" s="1"/>
  <c r="BG136" i="18"/>
  <c r="CQ136" i="18" s="1"/>
  <c r="BH136" i="18"/>
  <c r="CR136" i="18" s="1"/>
  <c r="BI136" i="18"/>
  <c r="CS136" i="18" s="1"/>
  <c r="BJ136" i="18"/>
  <c r="CT136" i="18" s="1"/>
  <c r="BK136" i="18"/>
  <c r="CU136" i="18" s="1"/>
  <c r="BL136" i="18"/>
  <c r="CV136" i="18" s="1"/>
  <c r="BM136" i="18"/>
  <c r="CW136" i="18" s="1"/>
  <c r="H137" i="18"/>
  <c r="I137" i="18"/>
  <c r="J137" i="18"/>
  <c r="K137" i="18"/>
  <c r="L137" i="18"/>
  <c r="M137" i="18"/>
  <c r="N137" i="18"/>
  <c r="O137" i="18"/>
  <c r="P137" i="18"/>
  <c r="Q137" i="18"/>
  <c r="R137" i="18"/>
  <c r="S137" i="18"/>
  <c r="T137" i="18"/>
  <c r="U137" i="18"/>
  <c r="V137" i="18"/>
  <c r="W137" i="18"/>
  <c r="X137" i="18"/>
  <c r="Y137" i="18"/>
  <c r="Z137" i="18"/>
  <c r="AA137" i="18"/>
  <c r="AB137" i="18"/>
  <c r="AC137" i="18"/>
  <c r="AR137" i="18"/>
  <c r="CB137" i="18" s="1"/>
  <c r="AS137" i="18"/>
  <c r="CC137" i="18" s="1"/>
  <c r="AT137" i="18"/>
  <c r="CD137" i="18" s="1"/>
  <c r="AU137" i="18"/>
  <c r="CE137" i="18" s="1"/>
  <c r="AV137" i="18"/>
  <c r="CF137" i="18" s="1"/>
  <c r="AW137" i="18"/>
  <c r="CG137" i="18" s="1"/>
  <c r="AX137" i="18"/>
  <c r="CH137" i="18" s="1"/>
  <c r="AY137" i="18"/>
  <c r="CI137" i="18" s="1"/>
  <c r="AZ137" i="18"/>
  <c r="CJ137" i="18" s="1"/>
  <c r="BA137" i="18"/>
  <c r="CK137" i="18" s="1"/>
  <c r="BB137" i="18"/>
  <c r="CL137" i="18" s="1"/>
  <c r="BC137" i="18"/>
  <c r="CM137" i="18" s="1"/>
  <c r="BD137" i="18"/>
  <c r="CN137" i="18" s="1"/>
  <c r="BE137" i="18"/>
  <c r="CO137" i="18" s="1"/>
  <c r="BF137" i="18"/>
  <c r="CP137" i="18" s="1"/>
  <c r="BG137" i="18"/>
  <c r="CQ137" i="18" s="1"/>
  <c r="BH137" i="18"/>
  <c r="CR137" i="18" s="1"/>
  <c r="BI137" i="18"/>
  <c r="CS137" i="18" s="1"/>
  <c r="BJ137" i="18"/>
  <c r="CT137" i="18" s="1"/>
  <c r="BK137" i="18"/>
  <c r="CU137" i="18" s="1"/>
  <c r="BL137" i="18"/>
  <c r="CV137" i="18" s="1"/>
  <c r="BM137" i="18"/>
  <c r="CW137" i="18" s="1"/>
  <c r="H138" i="18"/>
  <c r="I138" i="18"/>
  <c r="J138" i="18"/>
  <c r="K138" i="18"/>
  <c r="L138" i="18"/>
  <c r="M138" i="18"/>
  <c r="N138" i="18"/>
  <c r="O138" i="18"/>
  <c r="P138" i="18"/>
  <c r="Q138" i="18"/>
  <c r="R138" i="18"/>
  <c r="S138" i="18"/>
  <c r="T138" i="18"/>
  <c r="U138" i="18"/>
  <c r="V138" i="18"/>
  <c r="W138" i="18"/>
  <c r="X138" i="18"/>
  <c r="Y138" i="18"/>
  <c r="Z138" i="18"/>
  <c r="AA138" i="18"/>
  <c r="AB138" i="18"/>
  <c r="AC138" i="18"/>
  <c r="AR138" i="18"/>
  <c r="CB138" i="18" s="1"/>
  <c r="AS138" i="18"/>
  <c r="CC138" i="18" s="1"/>
  <c r="AT138" i="18"/>
  <c r="CD138" i="18" s="1"/>
  <c r="AU138" i="18"/>
  <c r="CE138" i="18" s="1"/>
  <c r="AV138" i="18"/>
  <c r="CF138" i="18" s="1"/>
  <c r="AW138" i="18"/>
  <c r="CG138" i="18" s="1"/>
  <c r="AX138" i="18"/>
  <c r="CH138" i="18" s="1"/>
  <c r="AY138" i="18"/>
  <c r="CI138" i="18" s="1"/>
  <c r="AZ138" i="18"/>
  <c r="CJ138" i="18" s="1"/>
  <c r="BA138" i="18"/>
  <c r="CK138" i="18" s="1"/>
  <c r="BB138" i="18"/>
  <c r="CL138" i="18" s="1"/>
  <c r="BC138" i="18"/>
  <c r="CM138" i="18" s="1"/>
  <c r="BD138" i="18"/>
  <c r="CN138" i="18" s="1"/>
  <c r="BE138" i="18"/>
  <c r="CO138" i="18" s="1"/>
  <c r="BF138" i="18"/>
  <c r="CP138" i="18" s="1"/>
  <c r="BG138" i="18"/>
  <c r="CQ138" i="18" s="1"/>
  <c r="BH138" i="18"/>
  <c r="CR138" i="18" s="1"/>
  <c r="BI138" i="18"/>
  <c r="CS138" i="18" s="1"/>
  <c r="BJ138" i="18"/>
  <c r="CT138" i="18" s="1"/>
  <c r="BK138" i="18"/>
  <c r="CU138" i="18" s="1"/>
  <c r="BL138" i="18"/>
  <c r="CV138" i="18" s="1"/>
  <c r="BM138" i="18"/>
  <c r="CW138" i="18" s="1"/>
  <c r="H139" i="18"/>
  <c r="I139" i="18"/>
  <c r="J139" i="18"/>
  <c r="K139" i="18"/>
  <c r="L139" i="18"/>
  <c r="M139" i="18"/>
  <c r="N139" i="18"/>
  <c r="O139" i="18"/>
  <c r="P139" i="18"/>
  <c r="Q139" i="18"/>
  <c r="R139" i="18"/>
  <c r="S139" i="18"/>
  <c r="T139" i="18"/>
  <c r="U139" i="18"/>
  <c r="V139" i="18"/>
  <c r="W139" i="18"/>
  <c r="X139" i="18"/>
  <c r="Y139" i="18"/>
  <c r="Z139" i="18"/>
  <c r="AA139" i="18"/>
  <c r="AB139" i="18"/>
  <c r="AC139" i="18"/>
  <c r="AR139" i="18"/>
  <c r="CB139" i="18" s="1"/>
  <c r="AS139" i="18"/>
  <c r="CC139" i="18" s="1"/>
  <c r="AT139" i="18"/>
  <c r="CD139" i="18" s="1"/>
  <c r="AU139" i="18"/>
  <c r="CE139" i="18" s="1"/>
  <c r="AV139" i="18"/>
  <c r="CF139" i="18" s="1"/>
  <c r="AW139" i="18"/>
  <c r="CG139" i="18" s="1"/>
  <c r="AX139" i="18"/>
  <c r="CH139" i="18" s="1"/>
  <c r="AY139" i="18"/>
  <c r="CI139" i="18" s="1"/>
  <c r="AZ139" i="18"/>
  <c r="CJ139" i="18" s="1"/>
  <c r="BA139" i="18"/>
  <c r="CK139" i="18" s="1"/>
  <c r="BB139" i="18"/>
  <c r="CL139" i="18" s="1"/>
  <c r="BC139" i="18"/>
  <c r="CM139" i="18" s="1"/>
  <c r="BD139" i="18"/>
  <c r="CN139" i="18" s="1"/>
  <c r="BE139" i="18"/>
  <c r="CO139" i="18" s="1"/>
  <c r="BF139" i="18"/>
  <c r="CP139" i="18" s="1"/>
  <c r="BG139" i="18"/>
  <c r="CQ139" i="18" s="1"/>
  <c r="BH139" i="18"/>
  <c r="CR139" i="18" s="1"/>
  <c r="BI139" i="18"/>
  <c r="CS139" i="18" s="1"/>
  <c r="BJ139" i="18"/>
  <c r="CT139" i="18" s="1"/>
  <c r="BK139" i="18"/>
  <c r="CU139" i="18" s="1"/>
  <c r="BL139" i="18"/>
  <c r="CV139" i="18" s="1"/>
  <c r="BM139" i="18"/>
  <c r="CW139" i="18" s="1"/>
  <c r="H140" i="18"/>
  <c r="I140" i="18"/>
  <c r="J140" i="18"/>
  <c r="K140" i="18"/>
  <c r="L140" i="18"/>
  <c r="M140" i="18"/>
  <c r="N140" i="18"/>
  <c r="O140" i="18"/>
  <c r="P140" i="18"/>
  <c r="Q140" i="18"/>
  <c r="R140" i="18"/>
  <c r="S140" i="18"/>
  <c r="T140" i="18"/>
  <c r="U140" i="18"/>
  <c r="V140" i="18"/>
  <c r="W140" i="18"/>
  <c r="X140" i="18"/>
  <c r="Y140" i="18"/>
  <c r="Z140" i="18"/>
  <c r="AA140" i="18"/>
  <c r="AB140" i="18"/>
  <c r="AC140" i="18"/>
  <c r="AR140" i="18"/>
  <c r="CB140" i="18" s="1"/>
  <c r="AS140" i="18"/>
  <c r="CC140" i="18" s="1"/>
  <c r="AT140" i="18"/>
  <c r="CD140" i="18" s="1"/>
  <c r="AU140" i="18"/>
  <c r="CE140" i="18" s="1"/>
  <c r="AV140" i="18"/>
  <c r="CF140" i="18" s="1"/>
  <c r="AW140" i="18"/>
  <c r="CG140" i="18" s="1"/>
  <c r="AX140" i="18"/>
  <c r="CH140" i="18" s="1"/>
  <c r="AY140" i="18"/>
  <c r="CI140" i="18" s="1"/>
  <c r="AZ140" i="18"/>
  <c r="CJ140" i="18" s="1"/>
  <c r="BA140" i="18"/>
  <c r="CK140" i="18" s="1"/>
  <c r="BB140" i="18"/>
  <c r="CL140" i="18" s="1"/>
  <c r="BC140" i="18"/>
  <c r="CM140" i="18" s="1"/>
  <c r="BD140" i="18"/>
  <c r="CN140" i="18" s="1"/>
  <c r="BE140" i="18"/>
  <c r="CO140" i="18" s="1"/>
  <c r="BF140" i="18"/>
  <c r="CP140" i="18" s="1"/>
  <c r="BG140" i="18"/>
  <c r="CQ140" i="18" s="1"/>
  <c r="BH140" i="18"/>
  <c r="CR140" i="18" s="1"/>
  <c r="BI140" i="18"/>
  <c r="CS140" i="18" s="1"/>
  <c r="BJ140" i="18"/>
  <c r="CT140" i="18" s="1"/>
  <c r="BK140" i="18"/>
  <c r="CU140" i="18" s="1"/>
  <c r="BL140" i="18"/>
  <c r="CV140" i="18" s="1"/>
  <c r="BM140" i="18"/>
  <c r="CW140" i="18" s="1"/>
  <c r="H141" i="18"/>
  <c r="I141" i="18"/>
  <c r="J141" i="18"/>
  <c r="K141" i="18"/>
  <c r="L141" i="18"/>
  <c r="M141" i="18"/>
  <c r="N141" i="18"/>
  <c r="O141" i="18"/>
  <c r="P141" i="18"/>
  <c r="Q141" i="18"/>
  <c r="R141" i="18"/>
  <c r="S141" i="18"/>
  <c r="T141" i="18"/>
  <c r="U141" i="18"/>
  <c r="V141" i="18"/>
  <c r="W141" i="18"/>
  <c r="X141" i="18"/>
  <c r="Y141" i="18"/>
  <c r="Z141" i="18"/>
  <c r="AA141" i="18"/>
  <c r="AB141" i="18"/>
  <c r="AC141" i="18"/>
  <c r="AR141" i="18"/>
  <c r="CB141" i="18" s="1"/>
  <c r="AS141" i="18"/>
  <c r="CC141" i="18" s="1"/>
  <c r="AT141" i="18"/>
  <c r="CD141" i="18" s="1"/>
  <c r="AU141" i="18"/>
  <c r="CE141" i="18" s="1"/>
  <c r="AV141" i="18"/>
  <c r="CF141" i="18" s="1"/>
  <c r="AW141" i="18"/>
  <c r="CG141" i="18" s="1"/>
  <c r="AX141" i="18"/>
  <c r="CH141" i="18" s="1"/>
  <c r="AY141" i="18"/>
  <c r="CI141" i="18" s="1"/>
  <c r="AZ141" i="18"/>
  <c r="CJ141" i="18" s="1"/>
  <c r="BA141" i="18"/>
  <c r="CK141" i="18" s="1"/>
  <c r="BB141" i="18"/>
  <c r="CL141" i="18" s="1"/>
  <c r="BC141" i="18"/>
  <c r="CM141" i="18" s="1"/>
  <c r="BD141" i="18"/>
  <c r="CN141" i="18" s="1"/>
  <c r="BE141" i="18"/>
  <c r="CO141" i="18" s="1"/>
  <c r="BF141" i="18"/>
  <c r="CP141" i="18" s="1"/>
  <c r="BG141" i="18"/>
  <c r="CQ141" i="18" s="1"/>
  <c r="BH141" i="18"/>
  <c r="CR141" i="18" s="1"/>
  <c r="BI141" i="18"/>
  <c r="CS141" i="18" s="1"/>
  <c r="BJ141" i="18"/>
  <c r="CT141" i="18" s="1"/>
  <c r="BK141" i="18"/>
  <c r="CU141" i="18" s="1"/>
  <c r="BL141" i="18"/>
  <c r="CV141" i="18" s="1"/>
  <c r="BM141" i="18"/>
  <c r="CW141" i="18" s="1"/>
  <c r="H142" i="18"/>
  <c r="I142" i="18"/>
  <c r="J142" i="18"/>
  <c r="K142" i="18"/>
  <c r="L142" i="18"/>
  <c r="M142" i="18"/>
  <c r="N142" i="18"/>
  <c r="O142" i="18"/>
  <c r="P142" i="18"/>
  <c r="Q142" i="18"/>
  <c r="R142" i="18"/>
  <c r="S142" i="18"/>
  <c r="T142" i="18"/>
  <c r="U142" i="18"/>
  <c r="V142" i="18"/>
  <c r="W142" i="18"/>
  <c r="X142" i="18"/>
  <c r="Y142" i="18"/>
  <c r="Z142" i="18"/>
  <c r="AA142" i="18"/>
  <c r="AB142" i="18"/>
  <c r="AC142" i="18"/>
  <c r="AR142" i="18"/>
  <c r="CB142" i="18" s="1"/>
  <c r="AS142" i="18"/>
  <c r="CC142" i="18" s="1"/>
  <c r="AT142" i="18"/>
  <c r="CD142" i="18" s="1"/>
  <c r="AU142" i="18"/>
  <c r="CE142" i="18" s="1"/>
  <c r="AV142" i="18"/>
  <c r="CF142" i="18" s="1"/>
  <c r="AW142" i="18"/>
  <c r="CG142" i="18" s="1"/>
  <c r="AX142" i="18"/>
  <c r="CH142" i="18" s="1"/>
  <c r="AY142" i="18"/>
  <c r="CI142" i="18" s="1"/>
  <c r="AZ142" i="18"/>
  <c r="CJ142" i="18" s="1"/>
  <c r="BA142" i="18"/>
  <c r="CK142" i="18" s="1"/>
  <c r="BB142" i="18"/>
  <c r="CL142" i="18" s="1"/>
  <c r="BC142" i="18"/>
  <c r="CM142" i="18" s="1"/>
  <c r="BD142" i="18"/>
  <c r="CN142" i="18" s="1"/>
  <c r="BE142" i="18"/>
  <c r="CO142" i="18" s="1"/>
  <c r="BF142" i="18"/>
  <c r="CP142" i="18" s="1"/>
  <c r="BG142" i="18"/>
  <c r="CQ142" i="18" s="1"/>
  <c r="BH142" i="18"/>
  <c r="CR142" i="18" s="1"/>
  <c r="BI142" i="18"/>
  <c r="CS142" i="18" s="1"/>
  <c r="BJ142" i="18"/>
  <c r="CT142" i="18" s="1"/>
  <c r="BK142" i="18"/>
  <c r="CU142" i="18" s="1"/>
  <c r="BL142" i="18"/>
  <c r="CV142" i="18" s="1"/>
  <c r="BM142" i="18"/>
  <c r="CW142" i="18" s="1"/>
  <c r="H143" i="18"/>
  <c r="I143" i="18"/>
  <c r="J143" i="18"/>
  <c r="K143" i="18"/>
  <c r="L143" i="18"/>
  <c r="M143" i="18"/>
  <c r="N143" i="18"/>
  <c r="O143" i="18"/>
  <c r="P143" i="18"/>
  <c r="Q143" i="18"/>
  <c r="R143" i="18"/>
  <c r="S143" i="18"/>
  <c r="T143" i="18"/>
  <c r="U143" i="18"/>
  <c r="V143" i="18"/>
  <c r="W143" i="18"/>
  <c r="X143" i="18"/>
  <c r="Y143" i="18"/>
  <c r="Z143" i="18"/>
  <c r="AA143" i="18"/>
  <c r="AB143" i="18"/>
  <c r="AC143" i="18"/>
  <c r="AR143" i="18"/>
  <c r="CB143" i="18" s="1"/>
  <c r="AS143" i="18"/>
  <c r="CC143" i="18" s="1"/>
  <c r="AT143" i="18"/>
  <c r="CD143" i="18" s="1"/>
  <c r="AU143" i="18"/>
  <c r="CE143" i="18" s="1"/>
  <c r="AV143" i="18"/>
  <c r="CF143" i="18" s="1"/>
  <c r="AW143" i="18"/>
  <c r="CG143" i="18" s="1"/>
  <c r="AX143" i="18"/>
  <c r="CH143" i="18" s="1"/>
  <c r="AY143" i="18"/>
  <c r="CI143" i="18" s="1"/>
  <c r="AZ143" i="18"/>
  <c r="CJ143" i="18" s="1"/>
  <c r="BA143" i="18"/>
  <c r="CK143" i="18" s="1"/>
  <c r="BB143" i="18"/>
  <c r="CL143" i="18" s="1"/>
  <c r="BC143" i="18"/>
  <c r="CM143" i="18" s="1"/>
  <c r="BD143" i="18"/>
  <c r="CN143" i="18" s="1"/>
  <c r="BE143" i="18"/>
  <c r="CO143" i="18" s="1"/>
  <c r="BF143" i="18"/>
  <c r="CP143" i="18" s="1"/>
  <c r="BG143" i="18"/>
  <c r="CQ143" i="18" s="1"/>
  <c r="BH143" i="18"/>
  <c r="CR143" i="18" s="1"/>
  <c r="BI143" i="18"/>
  <c r="CS143" i="18" s="1"/>
  <c r="BJ143" i="18"/>
  <c r="CT143" i="18" s="1"/>
  <c r="BK143" i="18"/>
  <c r="CU143" i="18" s="1"/>
  <c r="BL143" i="18"/>
  <c r="CV143" i="18" s="1"/>
  <c r="BM143" i="18"/>
  <c r="CW143" i="18" s="1"/>
  <c r="H144" i="18"/>
  <c r="I144" i="18"/>
  <c r="J144" i="18"/>
  <c r="K144" i="18"/>
  <c r="L144" i="18"/>
  <c r="M144" i="18"/>
  <c r="N144" i="18"/>
  <c r="O144" i="18"/>
  <c r="P144" i="18"/>
  <c r="Q144" i="18"/>
  <c r="R144" i="18"/>
  <c r="S144" i="18"/>
  <c r="T144" i="18"/>
  <c r="U144" i="18"/>
  <c r="V144" i="18"/>
  <c r="W144" i="18"/>
  <c r="X144" i="18"/>
  <c r="Y144" i="18"/>
  <c r="Z144" i="18"/>
  <c r="AA144" i="18"/>
  <c r="AB144" i="18"/>
  <c r="AC144" i="18"/>
  <c r="AR144" i="18"/>
  <c r="CB144" i="18" s="1"/>
  <c r="AS144" i="18"/>
  <c r="CC144" i="18" s="1"/>
  <c r="AT144" i="18"/>
  <c r="CD144" i="18" s="1"/>
  <c r="AU144" i="18"/>
  <c r="CE144" i="18" s="1"/>
  <c r="AV144" i="18"/>
  <c r="CF144" i="18" s="1"/>
  <c r="AW144" i="18"/>
  <c r="CG144" i="18" s="1"/>
  <c r="AX144" i="18"/>
  <c r="CH144" i="18" s="1"/>
  <c r="AY144" i="18"/>
  <c r="CI144" i="18" s="1"/>
  <c r="AZ144" i="18"/>
  <c r="CJ144" i="18" s="1"/>
  <c r="BA144" i="18"/>
  <c r="CK144" i="18" s="1"/>
  <c r="BB144" i="18"/>
  <c r="CL144" i="18" s="1"/>
  <c r="BC144" i="18"/>
  <c r="CM144" i="18" s="1"/>
  <c r="BD144" i="18"/>
  <c r="CN144" i="18" s="1"/>
  <c r="BE144" i="18"/>
  <c r="CO144" i="18" s="1"/>
  <c r="BF144" i="18"/>
  <c r="CP144" i="18" s="1"/>
  <c r="BG144" i="18"/>
  <c r="CQ144" i="18" s="1"/>
  <c r="BH144" i="18"/>
  <c r="CR144" i="18" s="1"/>
  <c r="BI144" i="18"/>
  <c r="CS144" i="18" s="1"/>
  <c r="BJ144" i="18"/>
  <c r="CT144" i="18" s="1"/>
  <c r="BK144" i="18"/>
  <c r="CU144" i="18" s="1"/>
  <c r="BL144" i="18"/>
  <c r="CV144" i="18" s="1"/>
  <c r="BM144" i="18"/>
  <c r="CW144" i="18" s="1"/>
  <c r="H145" i="18"/>
  <c r="I145" i="18"/>
  <c r="J145" i="18"/>
  <c r="K145" i="18"/>
  <c r="L145" i="18"/>
  <c r="M145" i="18"/>
  <c r="N145" i="18"/>
  <c r="O145" i="18"/>
  <c r="P145" i="18"/>
  <c r="Q145" i="18"/>
  <c r="R145" i="18"/>
  <c r="S145" i="18"/>
  <c r="T145" i="18"/>
  <c r="U145" i="18"/>
  <c r="V145" i="18"/>
  <c r="W145" i="18"/>
  <c r="X145" i="18"/>
  <c r="Y145" i="18"/>
  <c r="Z145" i="18"/>
  <c r="AA145" i="18"/>
  <c r="AB145" i="18"/>
  <c r="AC145" i="18"/>
  <c r="AR145" i="18"/>
  <c r="CB145" i="18" s="1"/>
  <c r="AS145" i="18"/>
  <c r="CC145" i="18" s="1"/>
  <c r="AT145" i="18"/>
  <c r="AU145" i="18"/>
  <c r="CE145" i="18" s="1"/>
  <c r="AV145" i="18"/>
  <c r="CF145" i="18" s="1"/>
  <c r="AW145" i="18"/>
  <c r="CG145" i="18" s="1"/>
  <c r="AX145" i="18"/>
  <c r="CH145" i="18" s="1"/>
  <c r="AY145" i="18"/>
  <c r="CI145" i="18" s="1"/>
  <c r="AZ145" i="18"/>
  <c r="CJ145" i="18" s="1"/>
  <c r="BA145" i="18"/>
  <c r="CK145" i="18" s="1"/>
  <c r="BB145" i="18"/>
  <c r="CL145" i="18" s="1"/>
  <c r="BC145" i="18"/>
  <c r="CM145" i="18" s="1"/>
  <c r="BD145" i="18"/>
  <c r="CN145" i="18" s="1"/>
  <c r="BE145" i="18"/>
  <c r="CO145" i="18" s="1"/>
  <c r="BF145" i="18"/>
  <c r="CP145" i="18" s="1"/>
  <c r="BG145" i="18"/>
  <c r="CQ145" i="18" s="1"/>
  <c r="BH145" i="18"/>
  <c r="CR145" i="18" s="1"/>
  <c r="BI145" i="18"/>
  <c r="CS145" i="18" s="1"/>
  <c r="BJ145" i="18"/>
  <c r="CT145" i="18" s="1"/>
  <c r="BK145" i="18"/>
  <c r="CU145" i="18" s="1"/>
  <c r="BL145" i="18"/>
  <c r="CV145" i="18" s="1"/>
  <c r="BM145" i="18"/>
  <c r="CW145" i="18" s="1"/>
  <c r="H146" i="18"/>
  <c r="I146" i="18"/>
  <c r="J146" i="18"/>
  <c r="K146" i="18"/>
  <c r="L146" i="18"/>
  <c r="M146" i="18"/>
  <c r="N146" i="18"/>
  <c r="O146" i="18"/>
  <c r="P146" i="18"/>
  <c r="Q146" i="18"/>
  <c r="R146" i="18"/>
  <c r="S146" i="18"/>
  <c r="T146" i="18"/>
  <c r="U146" i="18"/>
  <c r="V146" i="18"/>
  <c r="W146" i="18"/>
  <c r="X146" i="18"/>
  <c r="Y146" i="18"/>
  <c r="Z146" i="18"/>
  <c r="AA146" i="18"/>
  <c r="AB146" i="18"/>
  <c r="AC146" i="18"/>
  <c r="AR146" i="18"/>
  <c r="CB146" i="18" s="1"/>
  <c r="AS146" i="18"/>
  <c r="CC146" i="18" s="1"/>
  <c r="AT146" i="18"/>
  <c r="CD146" i="18" s="1"/>
  <c r="AU146" i="18"/>
  <c r="CE146" i="18" s="1"/>
  <c r="AV146" i="18"/>
  <c r="CF146" i="18" s="1"/>
  <c r="AW146" i="18"/>
  <c r="CG146" i="18" s="1"/>
  <c r="AX146" i="18"/>
  <c r="CH146" i="18" s="1"/>
  <c r="AY146" i="18"/>
  <c r="CI146" i="18" s="1"/>
  <c r="AZ146" i="18"/>
  <c r="CJ146" i="18" s="1"/>
  <c r="BA146" i="18"/>
  <c r="CK146" i="18" s="1"/>
  <c r="BB146" i="18"/>
  <c r="CL146" i="18" s="1"/>
  <c r="BC146" i="18"/>
  <c r="CM146" i="18" s="1"/>
  <c r="BD146" i="18"/>
  <c r="CN146" i="18" s="1"/>
  <c r="BE146" i="18"/>
  <c r="CO146" i="18" s="1"/>
  <c r="BF146" i="18"/>
  <c r="CP146" i="18" s="1"/>
  <c r="BG146" i="18"/>
  <c r="CQ146" i="18" s="1"/>
  <c r="BH146" i="18"/>
  <c r="CR146" i="18" s="1"/>
  <c r="BI146" i="18"/>
  <c r="CS146" i="18" s="1"/>
  <c r="BJ146" i="18"/>
  <c r="CT146" i="18" s="1"/>
  <c r="BK146" i="18"/>
  <c r="CU146" i="18" s="1"/>
  <c r="BL146" i="18"/>
  <c r="CV146" i="18" s="1"/>
  <c r="BM146" i="18"/>
  <c r="CW146" i="18" s="1"/>
  <c r="H147" i="18"/>
  <c r="I147" i="18"/>
  <c r="J147" i="18"/>
  <c r="K147" i="18"/>
  <c r="L147" i="18"/>
  <c r="M147" i="18"/>
  <c r="N147" i="18"/>
  <c r="O147" i="18"/>
  <c r="P147" i="18"/>
  <c r="Q147" i="18"/>
  <c r="R147" i="18"/>
  <c r="S147" i="18"/>
  <c r="T147" i="18"/>
  <c r="U147" i="18"/>
  <c r="V147" i="18"/>
  <c r="W147" i="18"/>
  <c r="X147" i="18"/>
  <c r="Y147" i="18"/>
  <c r="Z147" i="18"/>
  <c r="AA147" i="18"/>
  <c r="AB147" i="18"/>
  <c r="AC147" i="18"/>
  <c r="AR147" i="18"/>
  <c r="CB147" i="18" s="1"/>
  <c r="AS147" i="18"/>
  <c r="CC147" i="18" s="1"/>
  <c r="AT147" i="18"/>
  <c r="CD147" i="18" s="1"/>
  <c r="AU147" i="18"/>
  <c r="CE147" i="18" s="1"/>
  <c r="AV147" i="18"/>
  <c r="CF147" i="18" s="1"/>
  <c r="AW147" i="18"/>
  <c r="CG147" i="18" s="1"/>
  <c r="AX147" i="18"/>
  <c r="CH147" i="18" s="1"/>
  <c r="AY147" i="18"/>
  <c r="CI147" i="18" s="1"/>
  <c r="AZ147" i="18"/>
  <c r="CJ147" i="18" s="1"/>
  <c r="BA147" i="18"/>
  <c r="CK147" i="18" s="1"/>
  <c r="BB147" i="18"/>
  <c r="CL147" i="18" s="1"/>
  <c r="BC147" i="18"/>
  <c r="CM147" i="18" s="1"/>
  <c r="BD147" i="18"/>
  <c r="CN147" i="18" s="1"/>
  <c r="BE147" i="18"/>
  <c r="CO147" i="18" s="1"/>
  <c r="BF147" i="18"/>
  <c r="CP147" i="18" s="1"/>
  <c r="BG147" i="18"/>
  <c r="CQ147" i="18" s="1"/>
  <c r="BH147" i="18"/>
  <c r="CR147" i="18" s="1"/>
  <c r="BI147" i="18"/>
  <c r="CS147" i="18" s="1"/>
  <c r="BJ147" i="18"/>
  <c r="CT147" i="18" s="1"/>
  <c r="BK147" i="18"/>
  <c r="CU147" i="18" s="1"/>
  <c r="BL147" i="18"/>
  <c r="CV147" i="18" s="1"/>
  <c r="BM147" i="18"/>
  <c r="CW147" i="18" s="1"/>
  <c r="H148" i="18"/>
  <c r="I148" i="18"/>
  <c r="J148" i="18"/>
  <c r="K148" i="18"/>
  <c r="L148" i="18"/>
  <c r="M148" i="18"/>
  <c r="N148" i="18"/>
  <c r="O148" i="18"/>
  <c r="P148" i="18"/>
  <c r="Q148" i="18"/>
  <c r="R148" i="18"/>
  <c r="S148" i="18"/>
  <c r="T148" i="18"/>
  <c r="U148" i="18"/>
  <c r="V148" i="18"/>
  <c r="W148" i="18"/>
  <c r="X148" i="18"/>
  <c r="Y148" i="18"/>
  <c r="Z148" i="18"/>
  <c r="AA148" i="18"/>
  <c r="AB148" i="18"/>
  <c r="AC148" i="18"/>
  <c r="AR148" i="18"/>
  <c r="CB148" i="18" s="1"/>
  <c r="AS148" i="18"/>
  <c r="CC148" i="18" s="1"/>
  <c r="AT148" i="18"/>
  <c r="CD148" i="18" s="1"/>
  <c r="AU148" i="18"/>
  <c r="CE148" i="18" s="1"/>
  <c r="AV148" i="18"/>
  <c r="CF148" i="18" s="1"/>
  <c r="AW148" i="18"/>
  <c r="CG148" i="18" s="1"/>
  <c r="AX148" i="18"/>
  <c r="CH148" i="18" s="1"/>
  <c r="AY148" i="18"/>
  <c r="CI148" i="18" s="1"/>
  <c r="AZ148" i="18"/>
  <c r="CJ148" i="18" s="1"/>
  <c r="BA148" i="18"/>
  <c r="CK148" i="18" s="1"/>
  <c r="BB148" i="18"/>
  <c r="CL148" i="18" s="1"/>
  <c r="BC148" i="18"/>
  <c r="CM148" i="18" s="1"/>
  <c r="BD148" i="18"/>
  <c r="CN148" i="18" s="1"/>
  <c r="BE148" i="18"/>
  <c r="CO148" i="18" s="1"/>
  <c r="BF148" i="18"/>
  <c r="CP148" i="18" s="1"/>
  <c r="BG148" i="18"/>
  <c r="CQ148" i="18" s="1"/>
  <c r="BH148" i="18"/>
  <c r="CR148" i="18" s="1"/>
  <c r="BI148" i="18"/>
  <c r="CS148" i="18" s="1"/>
  <c r="BJ148" i="18"/>
  <c r="CT148" i="18" s="1"/>
  <c r="BK148" i="18"/>
  <c r="CU148" i="18" s="1"/>
  <c r="BL148" i="18"/>
  <c r="CV148" i="18" s="1"/>
  <c r="BM148" i="18"/>
  <c r="CW148" i="18" s="1"/>
  <c r="H149" i="18"/>
  <c r="I149" i="18"/>
  <c r="J149" i="18"/>
  <c r="K149" i="18"/>
  <c r="L149" i="18"/>
  <c r="M149" i="18"/>
  <c r="N149" i="18"/>
  <c r="O149" i="18"/>
  <c r="P149" i="18"/>
  <c r="Q149" i="18"/>
  <c r="R149" i="18"/>
  <c r="S149" i="18"/>
  <c r="T149" i="18"/>
  <c r="U149" i="18"/>
  <c r="V149" i="18"/>
  <c r="W149" i="18"/>
  <c r="X149" i="18"/>
  <c r="Y149" i="18"/>
  <c r="Z149" i="18"/>
  <c r="AA149" i="18"/>
  <c r="AB149" i="18"/>
  <c r="AC149" i="18"/>
  <c r="AR149" i="18"/>
  <c r="CB149" i="18" s="1"/>
  <c r="AS149" i="18"/>
  <c r="CC149" i="18" s="1"/>
  <c r="AT149" i="18"/>
  <c r="CD149" i="18" s="1"/>
  <c r="AU149" i="18"/>
  <c r="CE149" i="18" s="1"/>
  <c r="AV149" i="18"/>
  <c r="CF149" i="18" s="1"/>
  <c r="AW149" i="18"/>
  <c r="CG149" i="18" s="1"/>
  <c r="AX149" i="18"/>
  <c r="CH149" i="18" s="1"/>
  <c r="AY149" i="18"/>
  <c r="CI149" i="18" s="1"/>
  <c r="AZ149" i="18"/>
  <c r="CJ149" i="18" s="1"/>
  <c r="BA149" i="18"/>
  <c r="CK149" i="18" s="1"/>
  <c r="BB149" i="18"/>
  <c r="CL149" i="18" s="1"/>
  <c r="BC149" i="18"/>
  <c r="CM149" i="18" s="1"/>
  <c r="BD149" i="18"/>
  <c r="CN149" i="18" s="1"/>
  <c r="BE149" i="18"/>
  <c r="CO149" i="18" s="1"/>
  <c r="BF149" i="18"/>
  <c r="CP149" i="18" s="1"/>
  <c r="BG149" i="18"/>
  <c r="CQ149" i="18" s="1"/>
  <c r="BH149" i="18"/>
  <c r="CR149" i="18" s="1"/>
  <c r="BI149" i="18"/>
  <c r="CS149" i="18" s="1"/>
  <c r="BJ149" i="18"/>
  <c r="CT149" i="18" s="1"/>
  <c r="BK149" i="18"/>
  <c r="CU149" i="18" s="1"/>
  <c r="BL149" i="18"/>
  <c r="CV149" i="18" s="1"/>
  <c r="BM149" i="18"/>
  <c r="CW149" i="18" s="1"/>
  <c r="H150" i="18"/>
  <c r="I150" i="18"/>
  <c r="J150" i="18"/>
  <c r="K150" i="18"/>
  <c r="L150" i="18"/>
  <c r="M150" i="18"/>
  <c r="N150" i="18"/>
  <c r="O150" i="18"/>
  <c r="P150" i="18"/>
  <c r="Q150" i="18"/>
  <c r="R150" i="18"/>
  <c r="S150" i="18"/>
  <c r="T150" i="18"/>
  <c r="U150" i="18"/>
  <c r="V150" i="18"/>
  <c r="W150" i="18"/>
  <c r="X150" i="18"/>
  <c r="Y150" i="18"/>
  <c r="Z150" i="18"/>
  <c r="AA150" i="18"/>
  <c r="AB150" i="18"/>
  <c r="AC150" i="18"/>
  <c r="AR150" i="18"/>
  <c r="CB150" i="18" s="1"/>
  <c r="AS150" i="18"/>
  <c r="CC150" i="18" s="1"/>
  <c r="AT150" i="18"/>
  <c r="CD150" i="18" s="1"/>
  <c r="AU150" i="18"/>
  <c r="CE150" i="18" s="1"/>
  <c r="AV150" i="18"/>
  <c r="CF150" i="18" s="1"/>
  <c r="AW150" i="18"/>
  <c r="CG150" i="18" s="1"/>
  <c r="AX150" i="18"/>
  <c r="CH150" i="18" s="1"/>
  <c r="AY150" i="18"/>
  <c r="CI150" i="18" s="1"/>
  <c r="AZ150" i="18"/>
  <c r="CJ150" i="18" s="1"/>
  <c r="BA150" i="18"/>
  <c r="CK150" i="18" s="1"/>
  <c r="BB150" i="18"/>
  <c r="CL150" i="18" s="1"/>
  <c r="BC150" i="18"/>
  <c r="CM150" i="18" s="1"/>
  <c r="BD150" i="18"/>
  <c r="CN150" i="18" s="1"/>
  <c r="BE150" i="18"/>
  <c r="CO150" i="18" s="1"/>
  <c r="BF150" i="18"/>
  <c r="CP150" i="18" s="1"/>
  <c r="BG150" i="18"/>
  <c r="CQ150" i="18" s="1"/>
  <c r="BH150" i="18"/>
  <c r="CR150" i="18" s="1"/>
  <c r="BI150" i="18"/>
  <c r="CS150" i="18" s="1"/>
  <c r="BJ150" i="18"/>
  <c r="CT150" i="18" s="1"/>
  <c r="BK150" i="18"/>
  <c r="CU150" i="18" s="1"/>
  <c r="BL150" i="18"/>
  <c r="CV150" i="18" s="1"/>
  <c r="BM150" i="18"/>
  <c r="CW150" i="18" s="1"/>
  <c r="H151" i="18"/>
  <c r="I151" i="18"/>
  <c r="J151" i="18"/>
  <c r="K151" i="18"/>
  <c r="L151" i="18"/>
  <c r="M151" i="18"/>
  <c r="N151" i="18"/>
  <c r="O151" i="18"/>
  <c r="P151" i="18"/>
  <c r="Q151" i="18"/>
  <c r="R151" i="18"/>
  <c r="S151" i="18"/>
  <c r="T151" i="18"/>
  <c r="U151" i="18"/>
  <c r="V151" i="18"/>
  <c r="W151" i="18"/>
  <c r="X151" i="18"/>
  <c r="Y151" i="18"/>
  <c r="Z151" i="18"/>
  <c r="AA151" i="18"/>
  <c r="AB151" i="18"/>
  <c r="AC151" i="18"/>
  <c r="AR151" i="18"/>
  <c r="CB151" i="18" s="1"/>
  <c r="AS151" i="18"/>
  <c r="CC151" i="18" s="1"/>
  <c r="AT151" i="18"/>
  <c r="CD151" i="18" s="1"/>
  <c r="AU151" i="18"/>
  <c r="CE151" i="18" s="1"/>
  <c r="AV151" i="18"/>
  <c r="CF151" i="18" s="1"/>
  <c r="AW151" i="18"/>
  <c r="CG151" i="18" s="1"/>
  <c r="AX151" i="18"/>
  <c r="CH151" i="18" s="1"/>
  <c r="AY151" i="18"/>
  <c r="CI151" i="18" s="1"/>
  <c r="AZ151" i="18"/>
  <c r="CJ151" i="18" s="1"/>
  <c r="BA151" i="18"/>
  <c r="CK151" i="18" s="1"/>
  <c r="BB151" i="18"/>
  <c r="CL151" i="18" s="1"/>
  <c r="BC151" i="18"/>
  <c r="CM151" i="18" s="1"/>
  <c r="BD151" i="18"/>
  <c r="CN151" i="18" s="1"/>
  <c r="BE151" i="18"/>
  <c r="CO151" i="18" s="1"/>
  <c r="BF151" i="18"/>
  <c r="CP151" i="18" s="1"/>
  <c r="BG151" i="18"/>
  <c r="CQ151" i="18" s="1"/>
  <c r="BH151" i="18"/>
  <c r="CR151" i="18" s="1"/>
  <c r="BI151" i="18"/>
  <c r="CS151" i="18" s="1"/>
  <c r="BJ151" i="18"/>
  <c r="CT151" i="18" s="1"/>
  <c r="BK151" i="18"/>
  <c r="CU151" i="18" s="1"/>
  <c r="BL151" i="18"/>
  <c r="CV151" i="18" s="1"/>
  <c r="BM151" i="18"/>
  <c r="CW151" i="18" s="1"/>
  <c r="H152" i="18"/>
  <c r="I152" i="18"/>
  <c r="J152" i="18"/>
  <c r="K152" i="18"/>
  <c r="L152" i="18"/>
  <c r="M152" i="18"/>
  <c r="N152" i="18"/>
  <c r="O152" i="18"/>
  <c r="P152" i="18"/>
  <c r="Q152" i="18"/>
  <c r="R152" i="18"/>
  <c r="S152" i="18"/>
  <c r="T152" i="18"/>
  <c r="U152" i="18"/>
  <c r="V152" i="18"/>
  <c r="W152" i="18"/>
  <c r="X152" i="18"/>
  <c r="Y152" i="18"/>
  <c r="Z152" i="18"/>
  <c r="AA152" i="18"/>
  <c r="AB152" i="18"/>
  <c r="AC152" i="18"/>
  <c r="AR152" i="18"/>
  <c r="AS152" i="18"/>
  <c r="CC152" i="18" s="1"/>
  <c r="AT152" i="18"/>
  <c r="CD152" i="18" s="1"/>
  <c r="AU152" i="18"/>
  <c r="CE152" i="18" s="1"/>
  <c r="AV152" i="18"/>
  <c r="CF152" i="18" s="1"/>
  <c r="AW152" i="18"/>
  <c r="CG152" i="18" s="1"/>
  <c r="AX152" i="18"/>
  <c r="CH152" i="18" s="1"/>
  <c r="AY152" i="18"/>
  <c r="CI152" i="18" s="1"/>
  <c r="AZ152" i="18"/>
  <c r="CJ152" i="18" s="1"/>
  <c r="BA152" i="18"/>
  <c r="CK152" i="18" s="1"/>
  <c r="BB152" i="18"/>
  <c r="CL152" i="18" s="1"/>
  <c r="BC152" i="18"/>
  <c r="CM152" i="18" s="1"/>
  <c r="BD152" i="18"/>
  <c r="CN152" i="18" s="1"/>
  <c r="BE152" i="18"/>
  <c r="CO152" i="18" s="1"/>
  <c r="BF152" i="18"/>
  <c r="CP152" i="18" s="1"/>
  <c r="BG152" i="18"/>
  <c r="CQ152" i="18" s="1"/>
  <c r="BH152" i="18"/>
  <c r="CR152" i="18" s="1"/>
  <c r="BI152" i="18"/>
  <c r="CS152" i="18" s="1"/>
  <c r="BJ152" i="18"/>
  <c r="CT152" i="18" s="1"/>
  <c r="BK152" i="18"/>
  <c r="CU152" i="18" s="1"/>
  <c r="BL152" i="18"/>
  <c r="CV152" i="18" s="1"/>
  <c r="BM152" i="18"/>
  <c r="CW152" i="18" s="1"/>
  <c r="H153" i="18"/>
  <c r="I153" i="18"/>
  <c r="J153" i="18"/>
  <c r="K153" i="18"/>
  <c r="L153" i="18"/>
  <c r="M153" i="18"/>
  <c r="N153" i="18"/>
  <c r="O153" i="18"/>
  <c r="P153" i="18"/>
  <c r="Q153" i="18"/>
  <c r="R153" i="18"/>
  <c r="S153" i="18"/>
  <c r="T153" i="18"/>
  <c r="U153" i="18"/>
  <c r="V153" i="18"/>
  <c r="W153" i="18"/>
  <c r="X153" i="18"/>
  <c r="Y153" i="18"/>
  <c r="Z153" i="18"/>
  <c r="AA153" i="18"/>
  <c r="AB153" i="18"/>
  <c r="AC153" i="18"/>
  <c r="AR153" i="18"/>
  <c r="CB153" i="18" s="1"/>
  <c r="AS153" i="18"/>
  <c r="CC153" i="18" s="1"/>
  <c r="AT153" i="18"/>
  <c r="CD153" i="18" s="1"/>
  <c r="AU153" i="18"/>
  <c r="CE153" i="18" s="1"/>
  <c r="AV153" i="18"/>
  <c r="CF153" i="18" s="1"/>
  <c r="AW153" i="18"/>
  <c r="CG153" i="18" s="1"/>
  <c r="AX153" i="18"/>
  <c r="CH153" i="18" s="1"/>
  <c r="AY153" i="18"/>
  <c r="CI153" i="18" s="1"/>
  <c r="AZ153" i="18"/>
  <c r="CJ153" i="18" s="1"/>
  <c r="BA153" i="18"/>
  <c r="CK153" i="18" s="1"/>
  <c r="BB153" i="18"/>
  <c r="CL153" i="18" s="1"/>
  <c r="BC153" i="18"/>
  <c r="CM153" i="18" s="1"/>
  <c r="BD153" i="18"/>
  <c r="CN153" i="18" s="1"/>
  <c r="BE153" i="18"/>
  <c r="CO153" i="18" s="1"/>
  <c r="BF153" i="18"/>
  <c r="CP153" i="18" s="1"/>
  <c r="BG153" i="18"/>
  <c r="CQ153" i="18" s="1"/>
  <c r="BH153" i="18"/>
  <c r="CR153" i="18" s="1"/>
  <c r="BI153" i="18"/>
  <c r="CS153" i="18" s="1"/>
  <c r="BJ153" i="18"/>
  <c r="CT153" i="18" s="1"/>
  <c r="BK153" i="18"/>
  <c r="CU153" i="18" s="1"/>
  <c r="BL153" i="18"/>
  <c r="CV153" i="18" s="1"/>
  <c r="BM153" i="18"/>
  <c r="CW153" i="18" s="1"/>
  <c r="H154" i="18"/>
  <c r="I154" i="18"/>
  <c r="J154" i="18"/>
  <c r="K154" i="18"/>
  <c r="L154" i="18"/>
  <c r="M154" i="18"/>
  <c r="N154" i="18"/>
  <c r="O154" i="18"/>
  <c r="P154" i="18"/>
  <c r="Q154" i="18"/>
  <c r="R154" i="18"/>
  <c r="S154" i="18"/>
  <c r="T154" i="18"/>
  <c r="U154" i="18"/>
  <c r="V154" i="18"/>
  <c r="W154" i="18"/>
  <c r="X154" i="18"/>
  <c r="Y154" i="18"/>
  <c r="Z154" i="18"/>
  <c r="AA154" i="18"/>
  <c r="AB154" i="18"/>
  <c r="AC154" i="18"/>
  <c r="AR154" i="18"/>
  <c r="CB154" i="18" s="1"/>
  <c r="AS154" i="18"/>
  <c r="CC154" i="18" s="1"/>
  <c r="AT154" i="18"/>
  <c r="CD154" i="18" s="1"/>
  <c r="AU154" i="18"/>
  <c r="CE154" i="18" s="1"/>
  <c r="AV154" i="18"/>
  <c r="CF154" i="18" s="1"/>
  <c r="AW154" i="18"/>
  <c r="CG154" i="18" s="1"/>
  <c r="AX154" i="18"/>
  <c r="CH154" i="18" s="1"/>
  <c r="AY154" i="18"/>
  <c r="CI154" i="18" s="1"/>
  <c r="AZ154" i="18"/>
  <c r="CJ154" i="18" s="1"/>
  <c r="BA154" i="18"/>
  <c r="CK154" i="18" s="1"/>
  <c r="BB154" i="18"/>
  <c r="CL154" i="18" s="1"/>
  <c r="BC154" i="18"/>
  <c r="CM154" i="18" s="1"/>
  <c r="BD154" i="18"/>
  <c r="CN154" i="18" s="1"/>
  <c r="BE154" i="18"/>
  <c r="CO154" i="18" s="1"/>
  <c r="BF154" i="18"/>
  <c r="CP154" i="18" s="1"/>
  <c r="BG154" i="18"/>
  <c r="CQ154" i="18" s="1"/>
  <c r="BH154" i="18"/>
  <c r="CR154" i="18" s="1"/>
  <c r="BI154" i="18"/>
  <c r="CS154" i="18" s="1"/>
  <c r="BJ154" i="18"/>
  <c r="CT154" i="18" s="1"/>
  <c r="BK154" i="18"/>
  <c r="CU154" i="18" s="1"/>
  <c r="BL154" i="18"/>
  <c r="CV154" i="18" s="1"/>
  <c r="BM154" i="18"/>
  <c r="CW154" i="18" s="1"/>
  <c r="H155" i="18"/>
  <c r="I155" i="18"/>
  <c r="J155" i="18"/>
  <c r="K155" i="18"/>
  <c r="L155" i="18"/>
  <c r="M155" i="18"/>
  <c r="N155" i="18"/>
  <c r="O155" i="18"/>
  <c r="P155" i="18"/>
  <c r="Q155" i="18"/>
  <c r="R155" i="18"/>
  <c r="S155" i="18"/>
  <c r="T155" i="18"/>
  <c r="U155" i="18"/>
  <c r="V155" i="18"/>
  <c r="W155" i="18"/>
  <c r="X155" i="18"/>
  <c r="Y155" i="18"/>
  <c r="Z155" i="18"/>
  <c r="AA155" i="18"/>
  <c r="AB155" i="18"/>
  <c r="AC155" i="18"/>
  <c r="AR155" i="18"/>
  <c r="CB155" i="18" s="1"/>
  <c r="AS155" i="18"/>
  <c r="CC155" i="18" s="1"/>
  <c r="AT155" i="18"/>
  <c r="CD155" i="18" s="1"/>
  <c r="AU155" i="18"/>
  <c r="CE155" i="18" s="1"/>
  <c r="AV155" i="18"/>
  <c r="CF155" i="18" s="1"/>
  <c r="AW155" i="18"/>
  <c r="CG155" i="18" s="1"/>
  <c r="AX155" i="18"/>
  <c r="CH155" i="18" s="1"/>
  <c r="AY155" i="18"/>
  <c r="CI155" i="18" s="1"/>
  <c r="AZ155" i="18"/>
  <c r="CJ155" i="18" s="1"/>
  <c r="BA155" i="18"/>
  <c r="CK155" i="18" s="1"/>
  <c r="BB155" i="18"/>
  <c r="CL155" i="18" s="1"/>
  <c r="BC155" i="18"/>
  <c r="CM155" i="18" s="1"/>
  <c r="BD155" i="18"/>
  <c r="CN155" i="18" s="1"/>
  <c r="BE155" i="18"/>
  <c r="CO155" i="18" s="1"/>
  <c r="BF155" i="18"/>
  <c r="CP155" i="18" s="1"/>
  <c r="BG155" i="18"/>
  <c r="CQ155" i="18" s="1"/>
  <c r="BH155" i="18"/>
  <c r="CR155" i="18" s="1"/>
  <c r="BI155" i="18"/>
  <c r="CS155" i="18" s="1"/>
  <c r="BJ155" i="18"/>
  <c r="CT155" i="18" s="1"/>
  <c r="BK155" i="18"/>
  <c r="CU155" i="18" s="1"/>
  <c r="BL155" i="18"/>
  <c r="CV155" i="18" s="1"/>
  <c r="BM155" i="18"/>
  <c r="CW155" i="18" s="1"/>
  <c r="H156" i="18"/>
  <c r="I156" i="18"/>
  <c r="J156" i="18"/>
  <c r="K156" i="18"/>
  <c r="L156" i="18"/>
  <c r="M156" i="18"/>
  <c r="N156" i="18"/>
  <c r="O156" i="18"/>
  <c r="P156" i="18"/>
  <c r="Q156" i="18"/>
  <c r="R156" i="18"/>
  <c r="S156" i="18"/>
  <c r="T156" i="18"/>
  <c r="U156" i="18"/>
  <c r="V156" i="18"/>
  <c r="W156" i="18"/>
  <c r="X156" i="18"/>
  <c r="Y156" i="18"/>
  <c r="Z156" i="18"/>
  <c r="AA156" i="18"/>
  <c r="AB156" i="18"/>
  <c r="AC156" i="18"/>
  <c r="AR156" i="18"/>
  <c r="CB156" i="18" s="1"/>
  <c r="AS156" i="18"/>
  <c r="AT156" i="18"/>
  <c r="CD156" i="18" s="1"/>
  <c r="AU156" i="18"/>
  <c r="CE156" i="18" s="1"/>
  <c r="AV156" i="18"/>
  <c r="CF156" i="18" s="1"/>
  <c r="AW156" i="18"/>
  <c r="CG156" i="18" s="1"/>
  <c r="AX156" i="18"/>
  <c r="CH156" i="18" s="1"/>
  <c r="AY156" i="18"/>
  <c r="CI156" i="18" s="1"/>
  <c r="AZ156" i="18"/>
  <c r="CJ156" i="18" s="1"/>
  <c r="BA156" i="18"/>
  <c r="CK156" i="18" s="1"/>
  <c r="BB156" i="18"/>
  <c r="CL156" i="18" s="1"/>
  <c r="BC156" i="18"/>
  <c r="CM156" i="18" s="1"/>
  <c r="BD156" i="18"/>
  <c r="CN156" i="18" s="1"/>
  <c r="BE156" i="18"/>
  <c r="CO156" i="18" s="1"/>
  <c r="BF156" i="18"/>
  <c r="CP156" i="18" s="1"/>
  <c r="BG156" i="18"/>
  <c r="CQ156" i="18" s="1"/>
  <c r="BH156" i="18"/>
  <c r="CR156" i="18" s="1"/>
  <c r="BI156" i="18"/>
  <c r="CS156" i="18" s="1"/>
  <c r="BJ156" i="18"/>
  <c r="CT156" i="18" s="1"/>
  <c r="BK156" i="18"/>
  <c r="CU156" i="18" s="1"/>
  <c r="BL156" i="18"/>
  <c r="CV156" i="18" s="1"/>
  <c r="BM156" i="18"/>
  <c r="CW156" i="18" s="1"/>
  <c r="H157" i="18"/>
  <c r="I157" i="18"/>
  <c r="J157" i="18"/>
  <c r="K157" i="18"/>
  <c r="L157" i="18"/>
  <c r="M157" i="18"/>
  <c r="N157" i="18"/>
  <c r="O157" i="18"/>
  <c r="P157" i="18"/>
  <c r="Q157" i="18"/>
  <c r="R157" i="18"/>
  <c r="S157" i="18"/>
  <c r="T157" i="18"/>
  <c r="U157" i="18"/>
  <c r="V157" i="18"/>
  <c r="W157" i="18"/>
  <c r="X157" i="18"/>
  <c r="Y157" i="18"/>
  <c r="Z157" i="18"/>
  <c r="AA157" i="18"/>
  <c r="AB157" i="18"/>
  <c r="AC157" i="18"/>
  <c r="AR157" i="18"/>
  <c r="CB157" i="18" s="1"/>
  <c r="AS157" i="18"/>
  <c r="CC157" i="18" s="1"/>
  <c r="AT157" i="18"/>
  <c r="CD157" i="18" s="1"/>
  <c r="AU157" i="18"/>
  <c r="CE157" i="18" s="1"/>
  <c r="AV157" i="18"/>
  <c r="CF157" i="18" s="1"/>
  <c r="AW157" i="18"/>
  <c r="CG157" i="18" s="1"/>
  <c r="AX157" i="18"/>
  <c r="CH157" i="18" s="1"/>
  <c r="AY157" i="18"/>
  <c r="CI157" i="18" s="1"/>
  <c r="AZ157" i="18"/>
  <c r="CJ157" i="18" s="1"/>
  <c r="BA157" i="18"/>
  <c r="CK157" i="18" s="1"/>
  <c r="BB157" i="18"/>
  <c r="CL157" i="18" s="1"/>
  <c r="BC157" i="18"/>
  <c r="CM157" i="18" s="1"/>
  <c r="BD157" i="18"/>
  <c r="CN157" i="18" s="1"/>
  <c r="BE157" i="18"/>
  <c r="CO157" i="18" s="1"/>
  <c r="BF157" i="18"/>
  <c r="CP157" i="18" s="1"/>
  <c r="BG157" i="18"/>
  <c r="CQ157" i="18" s="1"/>
  <c r="BH157" i="18"/>
  <c r="CR157" i="18" s="1"/>
  <c r="BI157" i="18"/>
  <c r="CS157" i="18" s="1"/>
  <c r="BJ157" i="18"/>
  <c r="CT157" i="18" s="1"/>
  <c r="BK157" i="18"/>
  <c r="CU157" i="18" s="1"/>
  <c r="BL157" i="18"/>
  <c r="CV157" i="18" s="1"/>
  <c r="BM157" i="18"/>
  <c r="CW157" i="18" s="1"/>
  <c r="H158" i="18"/>
  <c r="I158" i="18"/>
  <c r="J158" i="18"/>
  <c r="K158" i="18"/>
  <c r="L158" i="18"/>
  <c r="M158" i="18"/>
  <c r="N158" i="18"/>
  <c r="O158" i="18"/>
  <c r="P158" i="18"/>
  <c r="Q158" i="18"/>
  <c r="R158" i="18"/>
  <c r="S158" i="18"/>
  <c r="T158" i="18"/>
  <c r="U158" i="18"/>
  <c r="V158" i="18"/>
  <c r="W158" i="18"/>
  <c r="X158" i="18"/>
  <c r="Y158" i="18"/>
  <c r="Z158" i="18"/>
  <c r="AA158" i="18"/>
  <c r="AB158" i="18"/>
  <c r="AC158" i="18"/>
  <c r="AR158" i="18"/>
  <c r="CB158" i="18" s="1"/>
  <c r="AS158" i="18"/>
  <c r="CC158" i="18" s="1"/>
  <c r="AT158" i="18"/>
  <c r="CD158" i="18" s="1"/>
  <c r="AU158" i="18"/>
  <c r="CE158" i="18" s="1"/>
  <c r="AV158" i="18"/>
  <c r="CF158" i="18" s="1"/>
  <c r="AW158" i="18"/>
  <c r="CG158" i="18" s="1"/>
  <c r="AX158" i="18"/>
  <c r="CH158" i="18" s="1"/>
  <c r="AY158" i="18"/>
  <c r="CI158" i="18" s="1"/>
  <c r="AZ158" i="18"/>
  <c r="CJ158" i="18" s="1"/>
  <c r="BA158" i="18"/>
  <c r="CK158" i="18" s="1"/>
  <c r="BB158" i="18"/>
  <c r="CL158" i="18" s="1"/>
  <c r="BC158" i="18"/>
  <c r="CM158" i="18" s="1"/>
  <c r="BD158" i="18"/>
  <c r="CN158" i="18" s="1"/>
  <c r="BE158" i="18"/>
  <c r="CO158" i="18" s="1"/>
  <c r="BF158" i="18"/>
  <c r="CP158" i="18" s="1"/>
  <c r="BG158" i="18"/>
  <c r="CQ158" i="18" s="1"/>
  <c r="BH158" i="18"/>
  <c r="CR158" i="18" s="1"/>
  <c r="BI158" i="18"/>
  <c r="CS158" i="18" s="1"/>
  <c r="BJ158" i="18"/>
  <c r="CT158" i="18" s="1"/>
  <c r="BK158" i="18"/>
  <c r="CU158" i="18" s="1"/>
  <c r="BL158" i="18"/>
  <c r="CV158" i="18" s="1"/>
  <c r="BM158" i="18"/>
  <c r="CW158" i="18" s="1"/>
  <c r="H159" i="18"/>
  <c r="I159" i="18"/>
  <c r="J159" i="18"/>
  <c r="K159" i="18"/>
  <c r="L159" i="18"/>
  <c r="M159" i="18"/>
  <c r="N159" i="18"/>
  <c r="O159" i="18"/>
  <c r="P159" i="18"/>
  <c r="Q159" i="18"/>
  <c r="R159" i="18"/>
  <c r="S159" i="18"/>
  <c r="T159" i="18"/>
  <c r="U159" i="18"/>
  <c r="V159" i="18"/>
  <c r="W159" i="18"/>
  <c r="X159" i="18"/>
  <c r="Y159" i="18"/>
  <c r="Z159" i="18"/>
  <c r="AA159" i="18"/>
  <c r="AB159" i="18"/>
  <c r="AC159" i="18"/>
  <c r="AR159" i="18"/>
  <c r="CB159" i="18" s="1"/>
  <c r="AS159" i="18"/>
  <c r="CC159" i="18" s="1"/>
  <c r="AT159" i="18"/>
  <c r="CD159" i="18" s="1"/>
  <c r="AU159" i="18"/>
  <c r="CE159" i="18" s="1"/>
  <c r="AV159" i="18"/>
  <c r="CF159" i="18" s="1"/>
  <c r="AW159" i="18"/>
  <c r="CG159" i="18" s="1"/>
  <c r="AX159" i="18"/>
  <c r="CH159" i="18" s="1"/>
  <c r="AY159" i="18"/>
  <c r="CI159" i="18" s="1"/>
  <c r="AZ159" i="18"/>
  <c r="CJ159" i="18" s="1"/>
  <c r="BA159" i="18"/>
  <c r="CK159" i="18" s="1"/>
  <c r="BB159" i="18"/>
  <c r="CL159" i="18" s="1"/>
  <c r="BC159" i="18"/>
  <c r="CM159" i="18" s="1"/>
  <c r="BD159" i="18"/>
  <c r="CN159" i="18" s="1"/>
  <c r="BE159" i="18"/>
  <c r="CO159" i="18" s="1"/>
  <c r="BF159" i="18"/>
  <c r="CP159" i="18" s="1"/>
  <c r="BG159" i="18"/>
  <c r="CQ159" i="18" s="1"/>
  <c r="BH159" i="18"/>
  <c r="CR159" i="18" s="1"/>
  <c r="BI159" i="18"/>
  <c r="CS159" i="18" s="1"/>
  <c r="BJ159" i="18"/>
  <c r="CT159" i="18" s="1"/>
  <c r="BK159" i="18"/>
  <c r="CU159" i="18" s="1"/>
  <c r="BL159" i="18"/>
  <c r="CV159" i="18" s="1"/>
  <c r="BM159" i="18"/>
  <c r="CW159" i="18" s="1"/>
  <c r="H160" i="18"/>
  <c r="I160" i="18"/>
  <c r="J160" i="18"/>
  <c r="K160" i="18"/>
  <c r="L160" i="18"/>
  <c r="M160" i="18"/>
  <c r="N160" i="18"/>
  <c r="O160" i="18"/>
  <c r="P160" i="18"/>
  <c r="Q160" i="18"/>
  <c r="R160" i="18"/>
  <c r="S160" i="18"/>
  <c r="T160" i="18"/>
  <c r="U160" i="18"/>
  <c r="V160" i="18"/>
  <c r="W160" i="18"/>
  <c r="X160" i="18"/>
  <c r="Y160" i="18"/>
  <c r="Z160" i="18"/>
  <c r="AA160" i="18"/>
  <c r="AB160" i="18"/>
  <c r="AC160" i="18"/>
  <c r="AR160" i="18"/>
  <c r="CB160" i="18" s="1"/>
  <c r="AS160" i="18"/>
  <c r="CC160" i="18" s="1"/>
  <c r="AT160" i="18"/>
  <c r="CD160" i="18" s="1"/>
  <c r="AU160" i="18"/>
  <c r="CE160" i="18" s="1"/>
  <c r="AV160" i="18"/>
  <c r="CF160" i="18" s="1"/>
  <c r="AW160" i="18"/>
  <c r="CG160" i="18" s="1"/>
  <c r="AX160" i="18"/>
  <c r="CH160" i="18" s="1"/>
  <c r="AY160" i="18"/>
  <c r="CI160" i="18" s="1"/>
  <c r="AZ160" i="18"/>
  <c r="CJ160" i="18" s="1"/>
  <c r="BA160" i="18"/>
  <c r="CK160" i="18" s="1"/>
  <c r="BB160" i="18"/>
  <c r="CL160" i="18" s="1"/>
  <c r="BC160" i="18"/>
  <c r="CM160" i="18" s="1"/>
  <c r="BD160" i="18"/>
  <c r="CN160" i="18" s="1"/>
  <c r="BE160" i="18"/>
  <c r="CO160" i="18" s="1"/>
  <c r="BF160" i="18"/>
  <c r="CP160" i="18" s="1"/>
  <c r="BG160" i="18"/>
  <c r="CQ160" i="18" s="1"/>
  <c r="BH160" i="18"/>
  <c r="CR160" i="18" s="1"/>
  <c r="BI160" i="18"/>
  <c r="CS160" i="18" s="1"/>
  <c r="BJ160" i="18"/>
  <c r="CT160" i="18" s="1"/>
  <c r="BK160" i="18"/>
  <c r="CU160" i="18" s="1"/>
  <c r="BL160" i="18"/>
  <c r="CV160" i="18" s="1"/>
  <c r="BM160" i="18"/>
  <c r="CW160" i="18" s="1"/>
  <c r="AT9" i="18"/>
  <c r="CD9" i="18" s="1"/>
  <c r="AU9" i="18"/>
  <c r="CE9" i="18" s="1"/>
  <c r="AV9" i="18"/>
  <c r="CF9" i="18" s="1"/>
  <c r="AW9" i="18"/>
  <c r="CG9" i="18" s="1"/>
  <c r="AX9" i="18"/>
  <c r="CH9" i="18" s="1"/>
  <c r="AY9" i="18"/>
  <c r="AZ9" i="18"/>
  <c r="CJ9" i="18" s="1"/>
  <c r="BA9" i="18"/>
  <c r="CK9" i="18" s="1"/>
  <c r="BB9" i="18"/>
  <c r="BC9" i="18"/>
  <c r="CM9" i="18" s="1"/>
  <c r="BD9" i="18"/>
  <c r="CN9" i="18" s="1"/>
  <c r="BE9" i="18"/>
  <c r="CO9" i="18" s="1"/>
  <c r="BF9" i="18"/>
  <c r="CP9" i="18" s="1"/>
  <c r="BG9" i="18"/>
  <c r="CQ9" i="18" s="1"/>
  <c r="BH9" i="18"/>
  <c r="CR9" i="18" s="1"/>
  <c r="BI9" i="18"/>
  <c r="CS9" i="18" s="1"/>
  <c r="BJ9" i="18"/>
  <c r="CT9" i="18" s="1"/>
  <c r="BK9" i="18"/>
  <c r="CU9" i="18" s="1"/>
  <c r="BL9" i="18"/>
  <c r="BM9" i="18"/>
  <c r="CW9" i="18" s="1"/>
  <c r="AS9" i="18"/>
  <c r="CC9" i="18" s="1"/>
  <c r="AR9" i="18"/>
  <c r="CB9" i="18" s="1"/>
  <c r="J9" i="18"/>
  <c r="K9" i="18"/>
  <c r="L9" i="18"/>
  <c r="M9" i="18"/>
  <c r="N9" i="18"/>
  <c r="O9" i="18"/>
  <c r="P9" i="18"/>
  <c r="Q9" i="18"/>
  <c r="R9" i="18"/>
  <c r="S9" i="18"/>
  <c r="T9" i="18"/>
  <c r="U9" i="18"/>
  <c r="V9" i="18"/>
  <c r="W9" i="18"/>
  <c r="X9" i="18"/>
  <c r="Y9" i="18"/>
  <c r="Z9" i="18"/>
  <c r="AA9" i="18"/>
  <c r="AB9" i="18"/>
  <c r="AC9" i="18"/>
  <c r="I9" i="18"/>
  <c r="AS279" i="1"/>
  <c r="AT279" i="1"/>
  <c r="AU279" i="1"/>
  <c r="AV279" i="1"/>
  <c r="AW279" i="1"/>
  <c r="AX279" i="1"/>
  <c r="AY279" i="1"/>
  <c r="AZ279" i="1"/>
  <c r="BB279" i="1"/>
  <c r="BD279" i="1"/>
  <c r="BE279" i="1"/>
  <c r="BF279" i="1"/>
  <c r="BG279" i="1"/>
  <c r="BH279" i="1"/>
  <c r="BI279" i="1"/>
  <c r="BJ279" i="1"/>
  <c r="BK279" i="1"/>
  <c r="BL279" i="1"/>
  <c r="BM279" i="1"/>
  <c r="I279" i="1"/>
  <c r="J279" i="1"/>
  <c r="K279" i="1"/>
  <c r="L279" i="1"/>
  <c r="M279" i="1"/>
  <c r="N279" i="1"/>
  <c r="O279" i="1"/>
  <c r="P279" i="1"/>
  <c r="R279" i="1"/>
  <c r="T279" i="1"/>
  <c r="U279" i="1"/>
  <c r="V279" i="1"/>
  <c r="W279" i="1"/>
  <c r="X279" i="1"/>
  <c r="Y279" i="1"/>
  <c r="Z279" i="1"/>
  <c r="AB279" i="1"/>
  <c r="AC279" i="1"/>
  <c r="S248" i="1"/>
  <c r="S254" i="1" s="1"/>
  <c r="S279" i="1" s="1"/>
  <c r="Q248" i="1"/>
  <c r="H248" i="1"/>
  <c r="H254" i="1" s="1"/>
  <c r="AM117" i="15"/>
  <c r="W116" i="15"/>
  <c r="AM112" i="15"/>
  <c r="AM107" i="15"/>
  <c r="AM102" i="15"/>
  <c r="AM97" i="15"/>
  <c r="AM92" i="15"/>
  <c r="AM87" i="15"/>
  <c r="AM82" i="15"/>
  <c r="AM77" i="15"/>
  <c r="AM72" i="15"/>
  <c r="AM67" i="15"/>
  <c r="AM62" i="15"/>
  <c r="AM57" i="15"/>
  <c r="AM52" i="15"/>
  <c r="AM47" i="15"/>
  <c r="AM42" i="15"/>
  <c r="AM37" i="15"/>
  <c r="AM32" i="15"/>
  <c r="AM27" i="15"/>
  <c r="AM22" i="15"/>
  <c r="AI20" i="15"/>
  <c r="AI25" i="15" s="1"/>
  <c r="AI30" i="15" s="1"/>
  <c r="AI35" i="15" s="1"/>
  <c r="AI40" i="15" s="1"/>
  <c r="AI45" i="15" s="1"/>
  <c r="AI50" i="15" s="1"/>
  <c r="AI55" i="15" s="1"/>
  <c r="AI60" i="15" s="1"/>
  <c r="AI65" i="15" s="1"/>
  <c r="AI70" i="15" s="1"/>
  <c r="AI75" i="15" s="1"/>
  <c r="AI80" i="15" s="1"/>
  <c r="AI85" i="15" s="1"/>
  <c r="AI90" i="15" s="1"/>
  <c r="AI95" i="15" s="1"/>
  <c r="AI100" i="15" s="1"/>
  <c r="AI105" i="15" s="1"/>
  <c r="AI110" i="15" s="1"/>
  <c r="AI115" i="15" s="1"/>
  <c r="AI120" i="15" s="1"/>
  <c r="AI125" i="15" s="1"/>
  <c r="AI130" i="15" s="1"/>
  <c r="AI135" i="15" s="1"/>
  <c r="AI140" i="15" s="1"/>
  <c r="AI145" i="15" s="1"/>
  <c r="AI150" i="15" s="1"/>
  <c r="AI155" i="15" s="1"/>
  <c r="AI160" i="15" s="1"/>
  <c r="AI165" i="15" s="1"/>
  <c r="AI170" i="15" s="1"/>
  <c r="AI175" i="15" s="1"/>
  <c r="AF20" i="15"/>
  <c r="AF25" i="15" s="1"/>
  <c r="AF30" i="15" s="1"/>
  <c r="AF35" i="15" s="1"/>
  <c r="AF40" i="15" s="1"/>
  <c r="AF45" i="15" s="1"/>
  <c r="AF50" i="15" s="1"/>
  <c r="AF55" i="15" s="1"/>
  <c r="AF60" i="15" s="1"/>
  <c r="AF65" i="15" s="1"/>
  <c r="AF70" i="15" s="1"/>
  <c r="AF75" i="15" s="1"/>
  <c r="AF80" i="15" s="1"/>
  <c r="AF85" i="15" s="1"/>
  <c r="AF90" i="15" s="1"/>
  <c r="AF95" i="15" s="1"/>
  <c r="AF100" i="15" s="1"/>
  <c r="AF105" i="15" s="1"/>
  <c r="AF110" i="15" s="1"/>
  <c r="AF115" i="15" s="1"/>
  <c r="AF120" i="15" s="1"/>
  <c r="AF125" i="15" s="1"/>
  <c r="AF130" i="15" s="1"/>
  <c r="AF135" i="15" s="1"/>
  <c r="AF140" i="15" s="1"/>
  <c r="AF145" i="15" s="1"/>
  <c r="AF150" i="15" s="1"/>
  <c r="AF155" i="15" s="1"/>
  <c r="AF160" i="15" s="1"/>
  <c r="AF165" i="15" s="1"/>
  <c r="AF170" i="15" s="1"/>
  <c r="AF175" i="15" s="1"/>
  <c r="AM17" i="15"/>
  <c r="Y16" i="15"/>
  <c r="Y21" i="15" s="1"/>
  <c r="Y26" i="15" s="1"/>
  <c r="Y31" i="15" s="1"/>
  <c r="Y36" i="15" s="1"/>
  <c r="Y41" i="15" s="1"/>
  <c r="Y46" i="15" s="1"/>
  <c r="Y51" i="15" s="1"/>
  <c r="Y56" i="15" s="1"/>
  <c r="Y61" i="15" s="1"/>
  <c r="Y66" i="15" s="1"/>
  <c r="Y71" i="15" s="1"/>
  <c r="Y76" i="15" s="1"/>
  <c r="Y81" i="15" s="1"/>
  <c r="Y86" i="15" s="1"/>
  <c r="Y91" i="15" s="1"/>
  <c r="Y96" i="15" s="1"/>
  <c r="Y101" i="15" s="1"/>
  <c r="Y106" i="15" s="1"/>
  <c r="Y111" i="15" s="1"/>
  <c r="X16" i="15"/>
  <c r="X21" i="15" s="1"/>
  <c r="X26" i="15" s="1"/>
  <c r="X31" i="15" s="1"/>
  <c r="X36" i="15" s="1"/>
  <c r="X41" i="15" s="1"/>
  <c r="X46" i="15" s="1"/>
  <c r="X51" i="15" s="1"/>
  <c r="X61" i="15" s="1"/>
  <c r="X66" i="15" s="1"/>
  <c r="X71" i="15" s="1"/>
  <c r="X76" i="15" s="1"/>
  <c r="X81" i="15" s="1"/>
  <c r="X86" i="15" s="1"/>
  <c r="X91" i="15" s="1"/>
  <c r="X96" i="15" s="1"/>
  <c r="X101" i="15" s="1"/>
  <c r="X106" i="15" s="1"/>
  <c r="X111" i="15" s="1"/>
  <c r="X116" i="15" s="1"/>
  <c r="X121" i="15" s="1"/>
  <c r="X126" i="15" s="1"/>
  <c r="X131" i="15" s="1"/>
  <c r="X136" i="15" s="1"/>
  <c r="X141" i="15" s="1"/>
  <c r="X146" i="15" s="1"/>
  <c r="X151" i="15" s="1"/>
  <c r="X156" i="15" s="1"/>
  <c r="X161" i="15" s="1"/>
  <c r="X166" i="15" s="1"/>
  <c r="X171" i="15" s="1"/>
  <c r="X176" i="15" s="1"/>
  <c r="W16" i="15"/>
  <c r="W21" i="15" s="1"/>
  <c r="AH20" i="15"/>
  <c r="AH25" i="15" s="1"/>
  <c r="AH30" i="15" s="1"/>
  <c r="AH35" i="15" s="1"/>
  <c r="AH40" i="15" s="1"/>
  <c r="AH45" i="15" s="1"/>
  <c r="AH50" i="15" s="1"/>
  <c r="AH55" i="15" s="1"/>
  <c r="AH60" i="15" s="1"/>
  <c r="AH65" i="15" s="1"/>
  <c r="AH70" i="15" s="1"/>
  <c r="AH75" i="15" s="1"/>
  <c r="AH80" i="15" s="1"/>
  <c r="AH85" i="15" s="1"/>
  <c r="AH90" i="15" s="1"/>
  <c r="AH95" i="15" s="1"/>
  <c r="AH100" i="15" s="1"/>
  <c r="AH105" i="15" s="1"/>
  <c r="AH110" i="15" s="1"/>
  <c r="AH115" i="15" s="1"/>
  <c r="AH120" i="15" s="1"/>
  <c r="AH125" i="15" s="1"/>
  <c r="AH130" i="15" s="1"/>
  <c r="AH135" i="15" s="1"/>
  <c r="AH140" i="15" s="1"/>
  <c r="AH145" i="15" s="1"/>
  <c r="AH150" i="15" s="1"/>
  <c r="AH155" i="15" s="1"/>
  <c r="AH160" i="15" s="1"/>
  <c r="AH165" i="15" s="1"/>
  <c r="AH170" i="15" s="1"/>
  <c r="AH175" i="15" s="1"/>
  <c r="AE20" i="15"/>
  <c r="AE25" i="15" s="1"/>
  <c r="AE30" i="15" s="1"/>
  <c r="AE35" i="15" s="1"/>
  <c r="AE40" i="15" s="1"/>
  <c r="AE45" i="15" s="1"/>
  <c r="AE50" i="15" s="1"/>
  <c r="AE55" i="15" s="1"/>
  <c r="AE60" i="15" s="1"/>
  <c r="AE65" i="15" s="1"/>
  <c r="AE70" i="15" s="1"/>
  <c r="AE75" i="15" s="1"/>
  <c r="AE80" i="15" s="1"/>
  <c r="AE85" i="15" s="1"/>
  <c r="AE90" i="15" s="1"/>
  <c r="AE95" i="15" s="1"/>
  <c r="AE100" i="15" s="1"/>
  <c r="AE105" i="15" s="1"/>
  <c r="AE110" i="15" s="1"/>
  <c r="AE115" i="15" s="1"/>
  <c r="AE120" i="15" s="1"/>
  <c r="AE125" i="15" s="1"/>
  <c r="AE130" i="15" s="1"/>
  <c r="AE135" i="15" s="1"/>
  <c r="AE140" i="15" s="1"/>
  <c r="AE145" i="15" s="1"/>
  <c r="AE150" i="15" s="1"/>
  <c r="AE155" i="15" s="1"/>
  <c r="AE160" i="15" s="1"/>
  <c r="AE165" i="15" s="1"/>
  <c r="AE170" i="15" s="1"/>
  <c r="AE175" i="15" s="1"/>
  <c r="V15" i="15"/>
  <c r="V20" i="15" s="1"/>
  <c r="V25" i="15" s="1"/>
  <c r="V14" i="15"/>
  <c r="AM14" i="15" s="1"/>
  <c r="AM12" i="15"/>
  <c r="AM11" i="15"/>
  <c r="AM10" i="15"/>
  <c r="AM9" i="15"/>
  <c r="AM124" i="14"/>
  <c r="AM119" i="14"/>
  <c r="X118" i="14"/>
  <c r="X123" i="14" s="1"/>
  <c r="X128" i="14" s="1"/>
  <c r="AM114" i="14"/>
  <c r="AM109" i="14"/>
  <c r="AM104" i="14"/>
  <c r="AM99" i="14"/>
  <c r="AM94" i="14"/>
  <c r="AM89" i="14"/>
  <c r="AM84" i="14"/>
  <c r="AM79" i="14"/>
  <c r="AM74" i="14"/>
  <c r="AM69" i="14"/>
  <c r="AM64" i="14"/>
  <c r="AM59" i="14"/>
  <c r="AM54" i="14"/>
  <c r="AM49" i="14"/>
  <c r="AM44" i="14"/>
  <c r="AM39" i="14"/>
  <c r="AM34" i="14"/>
  <c r="AM29" i="14"/>
  <c r="AM24" i="14"/>
  <c r="Y23" i="14"/>
  <c r="Y28" i="14" s="1"/>
  <c r="Y33" i="14" s="1"/>
  <c r="Y38" i="14" s="1"/>
  <c r="Y43" i="14" s="1"/>
  <c r="Y48" i="14" s="1"/>
  <c r="Y53" i="14" s="1"/>
  <c r="Y58" i="14" s="1"/>
  <c r="Y63" i="14" s="1"/>
  <c r="Y68" i="14" s="1"/>
  <c r="Y73" i="14" s="1"/>
  <c r="Y78" i="14" s="1"/>
  <c r="Y83" i="14" s="1"/>
  <c r="Y88" i="14" s="1"/>
  <c r="Y93" i="14" s="1"/>
  <c r="Y98" i="14" s="1"/>
  <c r="Y103" i="14" s="1"/>
  <c r="Y108" i="14" s="1"/>
  <c r="Y113" i="14" s="1"/>
  <c r="W23" i="14"/>
  <c r="W28" i="14" s="1"/>
  <c r="W33" i="14" s="1"/>
  <c r="AF22" i="14"/>
  <c r="AF27" i="14" s="1"/>
  <c r="AF32" i="14" s="1"/>
  <c r="AF37" i="14" s="1"/>
  <c r="AF42" i="14" s="1"/>
  <c r="AF47" i="14" s="1"/>
  <c r="AF52" i="14" s="1"/>
  <c r="AF57" i="14" s="1"/>
  <c r="AF62" i="14" s="1"/>
  <c r="AF67" i="14" s="1"/>
  <c r="AF72" i="14" s="1"/>
  <c r="AF77" i="14" s="1"/>
  <c r="AF82" i="14" s="1"/>
  <c r="AF87" i="14" s="1"/>
  <c r="AF92" i="14" s="1"/>
  <c r="AF97" i="14" s="1"/>
  <c r="AF102" i="14" s="1"/>
  <c r="AF107" i="14" s="1"/>
  <c r="AF112" i="14" s="1"/>
  <c r="AF117" i="14" s="1"/>
  <c r="AF122" i="14" s="1"/>
  <c r="AF127" i="14" s="1"/>
  <c r="AF132" i="14" s="1"/>
  <c r="AF137" i="14" s="1"/>
  <c r="AF142" i="14" s="1"/>
  <c r="AF147" i="14" s="1"/>
  <c r="AF152" i="14" s="1"/>
  <c r="AF157" i="14" s="1"/>
  <c r="AF162" i="14" s="1"/>
  <c r="AF167" i="14" s="1"/>
  <c r="AF172" i="14" s="1"/>
  <c r="AF177" i="14" s="1"/>
  <c r="AF182" i="14" s="1"/>
  <c r="V22" i="14"/>
  <c r="V27" i="14" s="1"/>
  <c r="V21" i="14"/>
  <c r="AM21" i="14" s="1"/>
  <c r="AM19" i="14"/>
  <c r="AM18" i="14"/>
  <c r="AI17" i="14"/>
  <c r="AI22" i="14" s="1"/>
  <c r="AI27" i="14" s="1"/>
  <c r="AI32" i="14" s="1"/>
  <c r="AI37" i="14" s="1"/>
  <c r="AI42" i="14" s="1"/>
  <c r="AI47" i="14" s="1"/>
  <c r="AI52" i="14" s="1"/>
  <c r="AI57" i="14" s="1"/>
  <c r="AI62" i="14" s="1"/>
  <c r="AI67" i="14" s="1"/>
  <c r="AI72" i="14" s="1"/>
  <c r="AI77" i="14" s="1"/>
  <c r="AI82" i="14" s="1"/>
  <c r="AI87" i="14" s="1"/>
  <c r="AI92" i="14" s="1"/>
  <c r="AI97" i="14" s="1"/>
  <c r="AI102" i="14" s="1"/>
  <c r="AI107" i="14" s="1"/>
  <c r="AI112" i="14" s="1"/>
  <c r="AI117" i="14" s="1"/>
  <c r="AI122" i="14" s="1"/>
  <c r="AI127" i="14" s="1"/>
  <c r="AI132" i="14" s="1"/>
  <c r="AI137" i="14" s="1"/>
  <c r="AI142" i="14" s="1"/>
  <c r="AI147" i="14" s="1"/>
  <c r="AI152" i="14" s="1"/>
  <c r="AI157" i="14" s="1"/>
  <c r="AI162" i="14" s="1"/>
  <c r="AI167" i="14" s="1"/>
  <c r="AI172" i="14" s="1"/>
  <c r="AI177" i="14" s="1"/>
  <c r="AI182" i="14" s="1"/>
  <c r="AM16" i="14"/>
  <c r="AM14" i="14"/>
  <c r="AM13" i="14"/>
  <c r="AM12" i="14"/>
  <c r="AM11" i="14"/>
  <c r="AM10" i="14"/>
  <c r="AI20" i="13"/>
  <c r="AI25" i="13" s="1"/>
  <c r="AI30" i="13" s="1"/>
  <c r="AI35" i="13" s="1"/>
  <c r="AI40" i="13" s="1"/>
  <c r="AI45" i="13" s="1"/>
  <c r="AI50" i="13" s="1"/>
  <c r="AI55" i="13" s="1"/>
  <c r="AI60" i="13" s="1"/>
  <c r="AI65" i="13" s="1"/>
  <c r="AI70" i="13" s="1"/>
  <c r="AI75" i="13" s="1"/>
  <c r="AI80" i="13" s="1"/>
  <c r="AI85" i="13" s="1"/>
  <c r="AI90" i="13" s="1"/>
  <c r="AI95" i="13" s="1"/>
  <c r="AI100" i="13" s="1"/>
  <c r="AI105" i="13" s="1"/>
  <c r="AI110" i="13" s="1"/>
  <c r="AI115" i="13" s="1"/>
  <c r="AI120" i="13" s="1"/>
  <c r="AI125" i="13" s="1"/>
  <c r="AI130" i="13" s="1"/>
  <c r="AI135" i="13" s="1"/>
  <c r="AI140" i="13" s="1"/>
  <c r="AI145" i="13" s="1"/>
  <c r="AI150" i="13" s="1"/>
  <c r="AI155" i="13" s="1"/>
  <c r="AI160" i="13" s="1"/>
  <c r="AI165" i="13" s="1"/>
  <c r="AI170" i="13" s="1"/>
  <c r="AI175" i="13" s="1"/>
  <c r="AF20" i="13"/>
  <c r="AF25" i="13" s="1"/>
  <c r="AF30" i="13" s="1"/>
  <c r="AF35" i="13" s="1"/>
  <c r="AF40" i="13" s="1"/>
  <c r="AF45" i="13" s="1"/>
  <c r="AF50" i="13" s="1"/>
  <c r="AF55" i="13" s="1"/>
  <c r="AF60" i="13" s="1"/>
  <c r="AF65" i="13" s="1"/>
  <c r="AF70" i="13" s="1"/>
  <c r="AF75" i="13" s="1"/>
  <c r="AF80" i="13" s="1"/>
  <c r="AF85" i="13" s="1"/>
  <c r="AF90" i="13" s="1"/>
  <c r="AF95" i="13" s="1"/>
  <c r="AF100" i="13" s="1"/>
  <c r="AF105" i="13" s="1"/>
  <c r="AF110" i="13" s="1"/>
  <c r="AF115" i="13" s="1"/>
  <c r="AF120" i="13" s="1"/>
  <c r="AF125" i="13" s="1"/>
  <c r="AF130" i="13" s="1"/>
  <c r="AF135" i="13" s="1"/>
  <c r="AF140" i="13" s="1"/>
  <c r="AF145" i="13" s="1"/>
  <c r="AF150" i="13" s="1"/>
  <c r="AF155" i="13" s="1"/>
  <c r="AF160" i="13" s="1"/>
  <c r="AF165" i="13" s="1"/>
  <c r="AF170" i="13" s="1"/>
  <c r="AF175" i="13" s="1"/>
  <c r="Y16" i="13"/>
  <c r="Y21" i="13" s="1"/>
  <c r="Y26" i="13" s="1"/>
  <c r="Y31" i="13" s="1"/>
  <c r="Y36" i="13" s="1"/>
  <c r="Y41" i="13" s="1"/>
  <c r="Y46" i="13" s="1"/>
  <c r="Y51" i="13" s="1"/>
  <c r="Y56" i="13" s="1"/>
  <c r="Y61" i="13" s="1"/>
  <c r="Y66" i="13" s="1"/>
  <c r="Y71" i="13" s="1"/>
  <c r="Y76" i="13" s="1"/>
  <c r="Y81" i="13" s="1"/>
  <c r="Y86" i="13" s="1"/>
  <c r="Y91" i="13" s="1"/>
  <c r="Y96" i="13" s="1"/>
  <c r="Y101" i="13" s="1"/>
  <c r="Y106" i="13" s="1"/>
  <c r="Y111" i="13" s="1"/>
  <c r="AM117" i="13"/>
  <c r="W116" i="13"/>
  <c r="AM112" i="13"/>
  <c r="AM107" i="13"/>
  <c r="AM102" i="13"/>
  <c r="AM97" i="13"/>
  <c r="AM92" i="13"/>
  <c r="AM87" i="13"/>
  <c r="AM82" i="13"/>
  <c r="AM77" i="13"/>
  <c r="AM72" i="13"/>
  <c r="AM67" i="13"/>
  <c r="AM62" i="13"/>
  <c r="AM57" i="13"/>
  <c r="AM52" i="13"/>
  <c r="AM47" i="13"/>
  <c r="AM42" i="13"/>
  <c r="AM37" i="13"/>
  <c r="AM32" i="13"/>
  <c r="AM27" i="13"/>
  <c r="AM22" i="13"/>
  <c r="AM17" i="13"/>
  <c r="X16" i="13"/>
  <c r="X21" i="13" s="1"/>
  <c r="X26" i="13" s="1"/>
  <c r="X31" i="13" s="1"/>
  <c r="X36" i="13" s="1"/>
  <c r="X41" i="13" s="1"/>
  <c r="X46" i="13" s="1"/>
  <c r="X51" i="13" s="1"/>
  <c r="X61" i="13" s="1"/>
  <c r="X66" i="13" s="1"/>
  <c r="X71" i="13" s="1"/>
  <c r="X76" i="13" s="1"/>
  <c r="X81" i="13" s="1"/>
  <c r="X86" i="13" s="1"/>
  <c r="X91" i="13" s="1"/>
  <c r="X96" i="13" s="1"/>
  <c r="X101" i="13" s="1"/>
  <c r="X106" i="13" s="1"/>
  <c r="X111" i="13" s="1"/>
  <c r="X116" i="13" s="1"/>
  <c r="X121" i="13" s="1"/>
  <c r="X126" i="13" s="1"/>
  <c r="X131" i="13" s="1"/>
  <c r="X136" i="13" s="1"/>
  <c r="X141" i="13" s="1"/>
  <c r="X146" i="13" s="1"/>
  <c r="X151" i="13" s="1"/>
  <c r="X156" i="13" s="1"/>
  <c r="X161" i="13" s="1"/>
  <c r="X166" i="13" s="1"/>
  <c r="X171" i="13" s="1"/>
  <c r="X176" i="13" s="1"/>
  <c r="W16" i="13"/>
  <c r="AH20" i="13"/>
  <c r="AH25" i="13" s="1"/>
  <c r="AH30" i="13" s="1"/>
  <c r="AH35" i="13" s="1"/>
  <c r="AH40" i="13" s="1"/>
  <c r="AH45" i="13" s="1"/>
  <c r="AH50" i="13" s="1"/>
  <c r="AH55" i="13" s="1"/>
  <c r="AH60" i="13" s="1"/>
  <c r="AH65" i="13" s="1"/>
  <c r="AH70" i="13" s="1"/>
  <c r="AH75" i="13" s="1"/>
  <c r="AH80" i="13" s="1"/>
  <c r="AH85" i="13" s="1"/>
  <c r="AH90" i="13" s="1"/>
  <c r="AH95" i="13" s="1"/>
  <c r="AH100" i="13" s="1"/>
  <c r="AH105" i="13" s="1"/>
  <c r="AH110" i="13" s="1"/>
  <c r="AH115" i="13" s="1"/>
  <c r="AH120" i="13" s="1"/>
  <c r="AH125" i="13" s="1"/>
  <c r="AH130" i="13" s="1"/>
  <c r="AH135" i="13" s="1"/>
  <c r="AH140" i="13" s="1"/>
  <c r="AH145" i="13" s="1"/>
  <c r="AH150" i="13" s="1"/>
  <c r="AH155" i="13" s="1"/>
  <c r="AH160" i="13" s="1"/>
  <c r="AH165" i="13" s="1"/>
  <c r="AH170" i="13" s="1"/>
  <c r="AH175" i="13" s="1"/>
  <c r="V15" i="13"/>
  <c r="V20" i="13" s="1"/>
  <c r="V25" i="13" s="1"/>
  <c r="V14" i="13"/>
  <c r="AM12" i="13"/>
  <c r="AM11" i="13"/>
  <c r="AM10" i="13"/>
  <c r="AM9" i="13"/>
  <c r="Y23" i="12"/>
  <c r="Y28" i="12" s="1"/>
  <c r="Y33" i="12" s="1"/>
  <c r="Y38" i="12" s="1"/>
  <c r="Y43" i="12" s="1"/>
  <c r="Y48" i="12" s="1"/>
  <c r="Y53" i="12" s="1"/>
  <c r="Y58" i="12" s="1"/>
  <c r="Y63" i="12" s="1"/>
  <c r="Y68" i="12" s="1"/>
  <c r="Y73" i="12" s="1"/>
  <c r="Y78" i="12" s="1"/>
  <c r="Y83" i="12" s="1"/>
  <c r="Y88" i="12" s="1"/>
  <c r="Y93" i="12" s="1"/>
  <c r="Y98" i="12" s="1"/>
  <c r="Y103" i="12" s="1"/>
  <c r="Y108" i="12" s="1"/>
  <c r="Y113" i="12" s="1"/>
  <c r="AI22" i="12"/>
  <c r="AI27" i="12" s="1"/>
  <c r="AI32" i="12" s="1"/>
  <c r="AI37" i="12" s="1"/>
  <c r="AI42" i="12" s="1"/>
  <c r="AI47" i="12" s="1"/>
  <c r="AI52" i="12" s="1"/>
  <c r="AI57" i="12" s="1"/>
  <c r="AI62" i="12" s="1"/>
  <c r="AI67" i="12" s="1"/>
  <c r="AI72" i="12" s="1"/>
  <c r="AI77" i="12" s="1"/>
  <c r="AI82" i="12" s="1"/>
  <c r="AI87" i="12" s="1"/>
  <c r="AI92" i="12" s="1"/>
  <c r="AI97" i="12" s="1"/>
  <c r="AI102" i="12" s="1"/>
  <c r="AI107" i="12" s="1"/>
  <c r="AI112" i="12" s="1"/>
  <c r="AI117" i="12" s="1"/>
  <c r="AI122" i="12" s="1"/>
  <c r="AI127" i="12" s="1"/>
  <c r="AI132" i="12" s="1"/>
  <c r="AI137" i="12" s="1"/>
  <c r="AI142" i="12" s="1"/>
  <c r="AI147" i="12" s="1"/>
  <c r="AI152" i="12" s="1"/>
  <c r="AI157" i="12" s="1"/>
  <c r="AI162" i="12" s="1"/>
  <c r="AI167" i="12" s="1"/>
  <c r="AI172" i="12" s="1"/>
  <c r="AI177" i="12" s="1"/>
  <c r="AI182" i="12" s="1"/>
  <c r="AF22" i="12"/>
  <c r="AF27" i="12" s="1"/>
  <c r="AF32" i="12" s="1"/>
  <c r="AF37" i="12" s="1"/>
  <c r="AF42" i="12" s="1"/>
  <c r="AF47" i="12" s="1"/>
  <c r="AF52" i="12" s="1"/>
  <c r="AF57" i="12" s="1"/>
  <c r="AF62" i="12" s="1"/>
  <c r="AF67" i="12" s="1"/>
  <c r="AF72" i="12" s="1"/>
  <c r="AF77" i="12" s="1"/>
  <c r="AF82" i="12" s="1"/>
  <c r="AF87" i="12" s="1"/>
  <c r="AF92" i="12" s="1"/>
  <c r="AF97" i="12" s="1"/>
  <c r="AF102" i="12" s="1"/>
  <c r="AF107" i="12" s="1"/>
  <c r="AF112" i="12" s="1"/>
  <c r="AF117" i="12" s="1"/>
  <c r="AF122" i="12" s="1"/>
  <c r="AF127" i="12" s="1"/>
  <c r="AF132" i="12" s="1"/>
  <c r="AF137" i="12" s="1"/>
  <c r="AF142" i="12" s="1"/>
  <c r="AF147" i="12" s="1"/>
  <c r="AF152" i="12" s="1"/>
  <c r="AF157" i="12" s="1"/>
  <c r="AF162" i="12" s="1"/>
  <c r="AF167" i="12" s="1"/>
  <c r="AF172" i="12" s="1"/>
  <c r="AF177" i="12" s="1"/>
  <c r="AF182" i="12" s="1"/>
  <c r="AM124" i="12"/>
  <c r="AM119" i="12"/>
  <c r="X118" i="12"/>
  <c r="X123" i="12" s="1"/>
  <c r="X128" i="12" s="1"/>
  <c r="AM114" i="12"/>
  <c r="AM109" i="12"/>
  <c r="AM104" i="12"/>
  <c r="AM99" i="12"/>
  <c r="AM94" i="12"/>
  <c r="AM89" i="12"/>
  <c r="AM84" i="12"/>
  <c r="AM79" i="12"/>
  <c r="AM74" i="12"/>
  <c r="AM69" i="12"/>
  <c r="AM64" i="12"/>
  <c r="AM59" i="12"/>
  <c r="AM54" i="12"/>
  <c r="AM49" i="12"/>
  <c r="AM44" i="12"/>
  <c r="AM39" i="12"/>
  <c r="AM34" i="12"/>
  <c r="AM29" i="12"/>
  <c r="AM24" i="12"/>
  <c r="W23" i="12"/>
  <c r="W28" i="12" s="1"/>
  <c r="V22" i="12"/>
  <c r="V27" i="12" s="1"/>
  <c r="V21" i="12"/>
  <c r="V26" i="12" s="1"/>
  <c r="AM19" i="12"/>
  <c r="AM18" i="12"/>
  <c r="AM16" i="12"/>
  <c r="AM14" i="12"/>
  <c r="AM13" i="12"/>
  <c r="AM12" i="12"/>
  <c r="AM11" i="12"/>
  <c r="AM10" i="12"/>
  <c r="AF22" i="11"/>
  <c r="AF27" i="11" s="1"/>
  <c r="AF32" i="11" s="1"/>
  <c r="AF37" i="11" s="1"/>
  <c r="AF42" i="11" s="1"/>
  <c r="AF47" i="11" s="1"/>
  <c r="AF52" i="11" s="1"/>
  <c r="AF57" i="11" s="1"/>
  <c r="AF62" i="11" s="1"/>
  <c r="AF67" i="11" s="1"/>
  <c r="AF72" i="11" s="1"/>
  <c r="AF77" i="11" s="1"/>
  <c r="AF82" i="11" s="1"/>
  <c r="AF87" i="11" s="1"/>
  <c r="AF92" i="11" s="1"/>
  <c r="AF97" i="11" s="1"/>
  <c r="AF102" i="11" s="1"/>
  <c r="AF107" i="11" s="1"/>
  <c r="AF112" i="11" s="1"/>
  <c r="AF117" i="11" s="1"/>
  <c r="AF122" i="11" s="1"/>
  <c r="AF127" i="11" s="1"/>
  <c r="AF132" i="11" s="1"/>
  <c r="AF137" i="11" s="1"/>
  <c r="AF142" i="11" s="1"/>
  <c r="AF147" i="11" s="1"/>
  <c r="AF152" i="11" s="1"/>
  <c r="AF157" i="11" s="1"/>
  <c r="AF162" i="11" s="1"/>
  <c r="AF167" i="11" s="1"/>
  <c r="AF172" i="11" s="1"/>
  <c r="AF177" i="11" s="1"/>
  <c r="AF182" i="11" s="1"/>
  <c r="AI17" i="11"/>
  <c r="AI22" i="11" s="1"/>
  <c r="AI27" i="11" s="1"/>
  <c r="AI32" i="11" s="1"/>
  <c r="AI37" i="11" s="1"/>
  <c r="AI42" i="11" s="1"/>
  <c r="AI47" i="11" s="1"/>
  <c r="AI52" i="11" s="1"/>
  <c r="AI57" i="11" s="1"/>
  <c r="AI62" i="11" s="1"/>
  <c r="AI67" i="11" s="1"/>
  <c r="AI72" i="11" s="1"/>
  <c r="AI77" i="11" s="1"/>
  <c r="AI82" i="11" s="1"/>
  <c r="AI87" i="11" s="1"/>
  <c r="AI92" i="11" s="1"/>
  <c r="AI97" i="11" s="1"/>
  <c r="AI102" i="11" s="1"/>
  <c r="AI107" i="11" s="1"/>
  <c r="AI112" i="11" s="1"/>
  <c r="AI117" i="11" s="1"/>
  <c r="AI122" i="11" s="1"/>
  <c r="AI127" i="11" s="1"/>
  <c r="AI132" i="11" s="1"/>
  <c r="AI137" i="11" s="1"/>
  <c r="AI142" i="11" s="1"/>
  <c r="AI147" i="11" s="1"/>
  <c r="AI152" i="11" s="1"/>
  <c r="AI157" i="11" s="1"/>
  <c r="AI162" i="11" s="1"/>
  <c r="AI167" i="11" s="1"/>
  <c r="AI172" i="11" s="1"/>
  <c r="AI177" i="11" s="1"/>
  <c r="AI182" i="11" s="1"/>
  <c r="AM18" i="11"/>
  <c r="AM124" i="11"/>
  <c r="AM119" i="11"/>
  <c r="X118" i="11"/>
  <c r="X123" i="11" s="1"/>
  <c r="X128" i="11" s="1"/>
  <c r="AM114" i="11"/>
  <c r="AM109" i="11"/>
  <c r="AM104" i="11"/>
  <c r="AM99" i="11"/>
  <c r="AM94" i="11"/>
  <c r="AM89" i="11"/>
  <c r="AM84" i="11"/>
  <c r="AM79" i="11"/>
  <c r="AM74" i="11"/>
  <c r="AM69" i="11"/>
  <c r="AM64" i="11"/>
  <c r="AM59" i="11"/>
  <c r="AM54" i="11"/>
  <c r="AM49" i="11"/>
  <c r="AM44" i="11"/>
  <c r="AM39" i="11"/>
  <c r="AM34" i="11"/>
  <c r="AM29" i="11"/>
  <c r="AM24" i="11"/>
  <c r="W23" i="11"/>
  <c r="W28" i="11" s="1"/>
  <c r="V22" i="11"/>
  <c r="V27" i="11" s="1"/>
  <c r="V21" i="11"/>
  <c r="AM21" i="11" s="1"/>
  <c r="AM19" i="11"/>
  <c r="AM16" i="11"/>
  <c r="AM14" i="11"/>
  <c r="AM13" i="11"/>
  <c r="AM12" i="11"/>
  <c r="AM11" i="11"/>
  <c r="AM10" i="11"/>
  <c r="Y17" i="10"/>
  <c r="Y22" i="10" s="1"/>
  <c r="Y27" i="10" s="1"/>
  <c r="Y32" i="10" s="1"/>
  <c r="Y37" i="10" s="1"/>
  <c r="Y42" i="10" s="1"/>
  <c r="Y47" i="10" s="1"/>
  <c r="Y52" i="10" s="1"/>
  <c r="Y57" i="10" s="1"/>
  <c r="Y62" i="10" s="1"/>
  <c r="Y67" i="10" s="1"/>
  <c r="Y72" i="10" s="1"/>
  <c r="Y77" i="10" s="1"/>
  <c r="Y82" i="10" s="1"/>
  <c r="Y87" i="10" s="1"/>
  <c r="Y92" i="10" s="1"/>
  <c r="Y97" i="10" s="1"/>
  <c r="Y102" i="10" s="1"/>
  <c r="Y107" i="10" s="1"/>
  <c r="Y112" i="10" s="1"/>
  <c r="AI16" i="10"/>
  <c r="AI21" i="10" s="1"/>
  <c r="AI26" i="10" s="1"/>
  <c r="AI31" i="10" s="1"/>
  <c r="AI36" i="10" s="1"/>
  <c r="AI41" i="10" s="1"/>
  <c r="AI46" i="10" s="1"/>
  <c r="AI51" i="10" s="1"/>
  <c r="AI56" i="10" s="1"/>
  <c r="AI61" i="10" s="1"/>
  <c r="AI66" i="10" s="1"/>
  <c r="AI71" i="10" s="1"/>
  <c r="AI76" i="10" s="1"/>
  <c r="AI81" i="10" s="1"/>
  <c r="AI86" i="10" s="1"/>
  <c r="AI91" i="10" s="1"/>
  <c r="AI96" i="10" s="1"/>
  <c r="AI101" i="10" s="1"/>
  <c r="AI106" i="10" s="1"/>
  <c r="AI111" i="10" s="1"/>
  <c r="AI116" i="10" s="1"/>
  <c r="AI121" i="10" s="1"/>
  <c r="AI126" i="10" s="1"/>
  <c r="AI131" i="10" s="1"/>
  <c r="AI136" i="10" s="1"/>
  <c r="AI141" i="10" s="1"/>
  <c r="AI146" i="10" s="1"/>
  <c r="AI151" i="10" s="1"/>
  <c r="AI156" i="10" s="1"/>
  <c r="AI161" i="10" s="1"/>
  <c r="AI166" i="10" s="1"/>
  <c r="AI171" i="10" s="1"/>
  <c r="AI176" i="10" s="1"/>
  <c r="AF16" i="10"/>
  <c r="AF21" i="10" s="1"/>
  <c r="AF26" i="10" s="1"/>
  <c r="AF31" i="10" s="1"/>
  <c r="AF36" i="10" s="1"/>
  <c r="AF41" i="10" s="1"/>
  <c r="AF46" i="10" s="1"/>
  <c r="AF51" i="10" s="1"/>
  <c r="AF56" i="10" s="1"/>
  <c r="AF61" i="10" s="1"/>
  <c r="AF66" i="10" s="1"/>
  <c r="AF71" i="10" s="1"/>
  <c r="AF76" i="10" s="1"/>
  <c r="AF81" i="10" s="1"/>
  <c r="AF86" i="10" s="1"/>
  <c r="AF91" i="10" s="1"/>
  <c r="AF96" i="10" s="1"/>
  <c r="AF101" i="10" s="1"/>
  <c r="AF106" i="10" s="1"/>
  <c r="AF111" i="10" s="1"/>
  <c r="AF116" i="10" s="1"/>
  <c r="AF121" i="10" s="1"/>
  <c r="AF126" i="10" s="1"/>
  <c r="AF131" i="10" s="1"/>
  <c r="AF136" i="10" s="1"/>
  <c r="AF141" i="10" s="1"/>
  <c r="AF146" i="10" s="1"/>
  <c r="AF151" i="10" s="1"/>
  <c r="AF156" i="10" s="1"/>
  <c r="AF161" i="10" s="1"/>
  <c r="AF166" i="10" s="1"/>
  <c r="AF171" i="10" s="1"/>
  <c r="AF176" i="10" s="1"/>
  <c r="W117" i="10"/>
  <c r="X17" i="10"/>
  <c r="X22" i="10" s="1"/>
  <c r="X27" i="10" s="1"/>
  <c r="X32" i="10" s="1"/>
  <c r="X37" i="10" s="1"/>
  <c r="X42" i="10" s="1"/>
  <c r="X47" i="10" s="1"/>
  <c r="X52" i="10" s="1"/>
  <c r="X62" i="10" s="1"/>
  <c r="X67" i="10" s="1"/>
  <c r="X72" i="10" s="1"/>
  <c r="X77" i="10" s="1"/>
  <c r="X82" i="10" s="1"/>
  <c r="X87" i="10" s="1"/>
  <c r="X92" i="10" s="1"/>
  <c r="X97" i="10" s="1"/>
  <c r="X102" i="10" s="1"/>
  <c r="X107" i="10" s="1"/>
  <c r="X112" i="10" s="1"/>
  <c r="X117" i="10" s="1"/>
  <c r="X122" i="10" s="1"/>
  <c r="X127" i="10" s="1"/>
  <c r="X132" i="10" s="1"/>
  <c r="X137" i="10" s="1"/>
  <c r="X142" i="10" s="1"/>
  <c r="X147" i="10" s="1"/>
  <c r="X152" i="10" s="1"/>
  <c r="X157" i="10" s="1"/>
  <c r="X162" i="10" s="1"/>
  <c r="X167" i="10" s="1"/>
  <c r="X172" i="10" s="1"/>
  <c r="X177" i="10" s="1"/>
  <c r="W17" i="10"/>
  <c r="AM17" i="10" s="1"/>
  <c r="AH21" i="10"/>
  <c r="AH26" i="10" s="1"/>
  <c r="AH31" i="10" s="1"/>
  <c r="AH36" i="10" s="1"/>
  <c r="AH41" i="10" s="1"/>
  <c r="AH46" i="10" s="1"/>
  <c r="AH51" i="10" s="1"/>
  <c r="AH56" i="10" s="1"/>
  <c r="AH61" i="10" s="1"/>
  <c r="AH66" i="10" s="1"/>
  <c r="AH71" i="10" s="1"/>
  <c r="AH76" i="10" s="1"/>
  <c r="AH81" i="10" s="1"/>
  <c r="AH86" i="10" s="1"/>
  <c r="AH91" i="10" s="1"/>
  <c r="AH96" i="10" s="1"/>
  <c r="AH101" i="10" s="1"/>
  <c r="AH106" i="10" s="1"/>
  <c r="AH111" i="10" s="1"/>
  <c r="AH116" i="10" s="1"/>
  <c r="AH121" i="10" s="1"/>
  <c r="AH126" i="10" s="1"/>
  <c r="AH131" i="10" s="1"/>
  <c r="AH136" i="10" s="1"/>
  <c r="AH141" i="10" s="1"/>
  <c r="AH146" i="10" s="1"/>
  <c r="AH151" i="10" s="1"/>
  <c r="AH156" i="10" s="1"/>
  <c r="AH161" i="10" s="1"/>
  <c r="AH166" i="10" s="1"/>
  <c r="AH171" i="10" s="1"/>
  <c r="AH176" i="10" s="1"/>
  <c r="AE21" i="10"/>
  <c r="AE26" i="10" s="1"/>
  <c r="AE31" i="10" s="1"/>
  <c r="AE36" i="10" s="1"/>
  <c r="AE41" i="10" s="1"/>
  <c r="AE46" i="10" s="1"/>
  <c r="AE51" i="10" s="1"/>
  <c r="AE56" i="10" s="1"/>
  <c r="AE61" i="10" s="1"/>
  <c r="AE66" i="10" s="1"/>
  <c r="AE71" i="10" s="1"/>
  <c r="AE76" i="10" s="1"/>
  <c r="AE81" i="10" s="1"/>
  <c r="AE86" i="10" s="1"/>
  <c r="AE91" i="10" s="1"/>
  <c r="AE96" i="10" s="1"/>
  <c r="AE101" i="10" s="1"/>
  <c r="AE106" i="10" s="1"/>
  <c r="AE111" i="10" s="1"/>
  <c r="AE116" i="10" s="1"/>
  <c r="AE121" i="10" s="1"/>
  <c r="AE126" i="10" s="1"/>
  <c r="AE131" i="10" s="1"/>
  <c r="AE136" i="10" s="1"/>
  <c r="AE141" i="10" s="1"/>
  <c r="AE146" i="10" s="1"/>
  <c r="AE151" i="10" s="1"/>
  <c r="AE156" i="10" s="1"/>
  <c r="AE161" i="10" s="1"/>
  <c r="AE166" i="10" s="1"/>
  <c r="AE171" i="10" s="1"/>
  <c r="AE176" i="10" s="1"/>
  <c r="V16" i="10"/>
  <c r="V15" i="10"/>
  <c r="AM15" i="10" s="1"/>
  <c r="AH20" i="5"/>
  <c r="AH25" i="5" s="1"/>
  <c r="AH30" i="5" s="1"/>
  <c r="AH35" i="5" s="1"/>
  <c r="AH40" i="5" s="1"/>
  <c r="AH45" i="5" s="1"/>
  <c r="AH50" i="5" s="1"/>
  <c r="AH55" i="5" s="1"/>
  <c r="AH60" i="5" s="1"/>
  <c r="AH65" i="5" s="1"/>
  <c r="AH70" i="5" s="1"/>
  <c r="AH75" i="5" s="1"/>
  <c r="AH80" i="5" s="1"/>
  <c r="AH85" i="5" s="1"/>
  <c r="AH90" i="5" s="1"/>
  <c r="AH95" i="5" s="1"/>
  <c r="AH100" i="5" s="1"/>
  <c r="AH105" i="5" s="1"/>
  <c r="AH110" i="5" s="1"/>
  <c r="AH115" i="5" s="1"/>
  <c r="AH120" i="5" s="1"/>
  <c r="AH125" i="5" s="1"/>
  <c r="AH130" i="5" s="1"/>
  <c r="AH135" i="5" s="1"/>
  <c r="AH140" i="5" s="1"/>
  <c r="AH145" i="5" s="1"/>
  <c r="AH150" i="5" s="1"/>
  <c r="AH155" i="5" s="1"/>
  <c r="AH160" i="5" s="1"/>
  <c r="AH165" i="5" s="1"/>
  <c r="AH170" i="5" s="1"/>
  <c r="AH175" i="5" s="1"/>
  <c r="AE20" i="5"/>
  <c r="AE25" i="5" s="1"/>
  <c r="AE30" i="5" s="1"/>
  <c r="AE35" i="5" s="1"/>
  <c r="AE40" i="5" s="1"/>
  <c r="AE45" i="5" s="1"/>
  <c r="AE50" i="5" s="1"/>
  <c r="AE55" i="5" s="1"/>
  <c r="AE60" i="5" s="1"/>
  <c r="AE65" i="5" s="1"/>
  <c r="AE70" i="5" s="1"/>
  <c r="AE75" i="5" s="1"/>
  <c r="AE80" i="5" s="1"/>
  <c r="AE85" i="5" s="1"/>
  <c r="AE90" i="5" s="1"/>
  <c r="AE95" i="5" s="1"/>
  <c r="AE100" i="5" s="1"/>
  <c r="AE105" i="5" s="1"/>
  <c r="AE110" i="5" s="1"/>
  <c r="AE115" i="5" s="1"/>
  <c r="AE120" i="5" s="1"/>
  <c r="AE125" i="5" s="1"/>
  <c r="AE130" i="5" s="1"/>
  <c r="AE135" i="5" s="1"/>
  <c r="AE140" i="5" s="1"/>
  <c r="AE145" i="5" s="1"/>
  <c r="AE150" i="5" s="1"/>
  <c r="AE155" i="5" s="1"/>
  <c r="AE160" i="5" s="1"/>
  <c r="AE165" i="5" s="1"/>
  <c r="AE170" i="5" s="1"/>
  <c r="AE175" i="5" s="1"/>
  <c r="AM19" i="4"/>
  <c r="AM12" i="5"/>
  <c r="AM52" i="5"/>
  <c r="AM57" i="5"/>
  <c r="AM62" i="5"/>
  <c r="AM67" i="5"/>
  <c r="AM72" i="5"/>
  <c r="AM77" i="5"/>
  <c r="AM82" i="5"/>
  <c r="AM87" i="5"/>
  <c r="AM92" i="5"/>
  <c r="AM97" i="5"/>
  <c r="AM102" i="5"/>
  <c r="AM107" i="5"/>
  <c r="AM112" i="5"/>
  <c r="AM117" i="5"/>
  <c r="AM47" i="5"/>
  <c r="AM32" i="5"/>
  <c r="AM37" i="5"/>
  <c r="AM42" i="5"/>
  <c r="AM27" i="5"/>
  <c r="AM11" i="5"/>
  <c r="X16" i="5"/>
  <c r="X21" i="5" s="1"/>
  <c r="X26" i="5" s="1"/>
  <c r="X31" i="5" s="1"/>
  <c r="X36" i="5" s="1"/>
  <c r="X41" i="5" s="1"/>
  <c r="X46" i="5" s="1"/>
  <c r="X51" i="5" s="1"/>
  <c r="X61" i="5" s="1"/>
  <c r="X66" i="5" s="1"/>
  <c r="X71" i="5" s="1"/>
  <c r="X76" i="5" s="1"/>
  <c r="X81" i="5" s="1"/>
  <c r="X86" i="5" s="1"/>
  <c r="X91" i="5" s="1"/>
  <c r="X96" i="5" s="1"/>
  <c r="X101" i="5" s="1"/>
  <c r="X106" i="5" s="1"/>
  <c r="X111" i="5" s="1"/>
  <c r="X116" i="5" s="1"/>
  <c r="X121" i="5" s="1"/>
  <c r="X126" i="5" s="1"/>
  <c r="W16" i="5"/>
  <c r="W21" i="5" s="1"/>
  <c r="W26" i="5" s="1"/>
  <c r="W31" i="5" s="1"/>
  <c r="AM22" i="5"/>
  <c r="AM17" i="5"/>
  <c r="V15" i="5"/>
  <c r="V20" i="5" s="1"/>
  <c r="V25" i="5" s="1"/>
  <c r="V14" i="5"/>
  <c r="AM14" i="5" s="1"/>
  <c r="AM10" i="5"/>
  <c r="AM9" i="5"/>
  <c r="AM113" i="4"/>
  <c r="X118" i="4"/>
  <c r="AM118" i="4" s="1"/>
  <c r="AM39" i="4"/>
  <c r="AM44" i="4"/>
  <c r="AM49" i="4"/>
  <c r="AM54" i="4"/>
  <c r="AM59" i="4"/>
  <c r="AM64" i="4"/>
  <c r="AM69" i="4"/>
  <c r="AM74" i="4"/>
  <c r="AM79" i="4"/>
  <c r="AM84" i="4"/>
  <c r="AM89" i="4"/>
  <c r="AM94" i="4"/>
  <c r="AM99" i="4"/>
  <c r="AM104" i="4"/>
  <c r="AM109" i="4"/>
  <c r="AM114" i="4"/>
  <c r="AM119" i="4"/>
  <c r="AM124" i="4"/>
  <c r="AM34" i="4"/>
  <c r="AM29" i="4"/>
  <c r="AM24" i="4"/>
  <c r="V21" i="4"/>
  <c r="AM21" i="4" s="1"/>
  <c r="AM14" i="4"/>
  <c r="AM13" i="4"/>
  <c r="AM12" i="4"/>
  <c r="AM16" i="4"/>
  <c r="AM11" i="4"/>
  <c r="V22" i="4"/>
  <c r="AM22" i="4" s="1"/>
  <c r="W23" i="4"/>
  <c r="AM23" i="4" s="1"/>
  <c r="AM17" i="4"/>
  <c r="AM18" i="4"/>
  <c r="AM10" i="4"/>
  <c r="AM57" i="10" l="1"/>
  <c r="AM112" i="10"/>
  <c r="AM16" i="10"/>
  <c r="P44" i="22"/>
  <c r="Q44" i="22"/>
  <c r="I46" i="22"/>
  <c r="AS68" i="18"/>
  <c r="CC68" i="18" s="1"/>
  <c r="BS207" i="18"/>
  <c r="AR68" i="18"/>
  <c r="CB68" i="18" s="1"/>
  <c r="AP233" i="18"/>
  <c r="BT207" i="18"/>
  <c r="BT213" i="18"/>
  <c r="DD213" i="18" s="1"/>
  <c r="DD207" i="18"/>
  <c r="Q249" i="1"/>
  <c r="AP153" i="18"/>
  <c r="AP147" i="18"/>
  <c r="AP141" i="18"/>
  <c r="AP129" i="18"/>
  <c r="AP123" i="18"/>
  <c r="AP117" i="18"/>
  <c r="AP105" i="18"/>
  <c r="AP99" i="18"/>
  <c r="AP93" i="18"/>
  <c r="AP81" i="18"/>
  <c r="AP75" i="18"/>
  <c r="AP69" i="18"/>
  <c r="AP57" i="18"/>
  <c r="AP51" i="18"/>
  <c r="AP45" i="18"/>
  <c r="AP33" i="18"/>
  <c r="AP27" i="18"/>
  <c r="AP21" i="18"/>
  <c r="AP204" i="18"/>
  <c r="BC208" i="1"/>
  <c r="AP180" i="18"/>
  <c r="AP205" i="18"/>
  <c r="AP181" i="18"/>
  <c r="AP154" i="18"/>
  <c r="AP71" i="18"/>
  <c r="AP52" i="18"/>
  <c r="Y45" i="22"/>
  <c r="BU207" i="18"/>
  <c r="DE207" i="18" s="1"/>
  <c r="DD175" i="18"/>
  <c r="AP155" i="18"/>
  <c r="AP35" i="18"/>
  <c r="AP79" i="18"/>
  <c r="AP36" i="18"/>
  <c r="DC175" i="18"/>
  <c r="AP269" i="18"/>
  <c r="AP246" i="18"/>
  <c r="AP234" i="18"/>
  <c r="AP238" i="18"/>
  <c r="AP226" i="18"/>
  <c r="AP87" i="18"/>
  <c r="AP121" i="18"/>
  <c r="AP92" i="18"/>
  <c r="AP157" i="18"/>
  <c r="AP111" i="18"/>
  <c r="AP39" i="18"/>
  <c r="AP156" i="18"/>
  <c r="AP128" i="18"/>
  <c r="AP120" i="18"/>
  <c r="AP84" i="18"/>
  <c r="AP159" i="18"/>
  <c r="AP135" i="18"/>
  <c r="AP63" i="18"/>
  <c r="AP15" i="18"/>
  <c r="AP80" i="18"/>
  <c r="AP195" i="18"/>
  <c r="AP70" i="18"/>
  <c r="AP239" i="18"/>
  <c r="AP229" i="18"/>
  <c r="AP150" i="18"/>
  <c r="AP30" i="18"/>
  <c r="AP266" i="18"/>
  <c r="AP202" i="18"/>
  <c r="AP186" i="18"/>
  <c r="AP174" i="18"/>
  <c r="AP245" i="18"/>
  <c r="AP151" i="18"/>
  <c r="AP145" i="18"/>
  <c r="AP133" i="18"/>
  <c r="AP127" i="18"/>
  <c r="AP115" i="18"/>
  <c r="AP103" i="18"/>
  <c r="AP97" i="18"/>
  <c r="AP91" i="18"/>
  <c r="AP85" i="18"/>
  <c r="AP73" i="18"/>
  <c r="AP67" i="18"/>
  <c r="AP61" i="18"/>
  <c r="AP55" i="18"/>
  <c r="AP49" i="18"/>
  <c r="AP43" i="18"/>
  <c r="AP37" i="18"/>
  <c r="AP32" i="18"/>
  <c r="AP31" i="18"/>
  <c r="AP25" i="18"/>
  <c r="AP20" i="18"/>
  <c r="AP13" i="18"/>
  <c r="AP203" i="18"/>
  <c r="AP187" i="18"/>
  <c r="AP179" i="18"/>
  <c r="AP225" i="18"/>
  <c r="AP273" i="18"/>
  <c r="AP267" i="18"/>
  <c r="AP152" i="18"/>
  <c r="AP116" i="18"/>
  <c r="AP178" i="18"/>
  <c r="AP274" i="18"/>
  <c r="AP143" i="18"/>
  <c r="AP130" i="18"/>
  <c r="AP119" i="18"/>
  <c r="AP118" i="18"/>
  <c r="AP100" i="18"/>
  <c r="AP95" i="18"/>
  <c r="AP94" i="18"/>
  <c r="AP201" i="18"/>
  <c r="AP230" i="18"/>
  <c r="AP72" i="18"/>
  <c r="AP18" i="18"/>
  <c r="AP12" i="18"/>
  <c r="AP109" i="18"/>
  <c r="AP19" i="18"/>
  <c r="BW276" i="18"/>
  <c r="DG276" i="18" s="1"/>
  <c r="DG264" i="18"/>
  <c r="BW248" i="18"/>
  <c r="DG248" i="18" s="1"/>
  <c r="DG226" i="18"/>
  <c r="CZ175" i="18"/>
  <c r="BP207" i="18"/>
  <c r="CZ207" i="18" s="1"/>
  <c r="BP162" i="18"/>
  <c r="CZ162" i="18" s="1"/>
  <c r="CZ10" i="18"/>
  <c r="AP131" i="18"/>
  <c r="AP59" i="18"/>
  <c r="AP58" i="18"/>
  <c r="AP53" i="18"/>
  <c r="AP34" i="18"/>
  <c r="AP198" i="18"/>
  <c r="AP185" i="18"/>
  <c r="AP241" i="18"/>
  <c r="AP228" i="18"/>
  <c r="BQ207" i="18"/>
  <c r="DA207" i="18" s="1"/>
  <c r="DA174" i="18"/>
  <c r="AP144" i="18"/>
  <c r="AP138" i="18"/>
  <c r="AP132" i="18"/>
  <c r="AP126" i="18"/>
  <c r="AP114" i="18"/>
  <c r="AP60" i="18"/>
  <c r="AP54" i="18"/>
  <c r="AP48" i="18"/>
  <c r="AP42" i="18"/>
  <c r="AP183" i="18"/>
  <c r="AP244" i="18"/>
  <c r="AP182" i="18"/>
  <c r="AP139" i="18"/>
  <c r="BV276" i="18"/>
  <c r="DF276" i="18" s="1"/>
  <c r="DF264" i="18"/>
  <c r="BV248" i="18"/>
  <c r="DF248" i="18" s="1"/>
  <c r="DF226" i="18"/>
  <c r="DH211" i="18"/>
  <c r="BX213" i="18"/>
  <c r="DH213" i="18" s="1"/>
  <c r="CY175" i="18"/>
  <c r="BO207" i="18"/>
  <c r="CY207" i="18" s="1"/>
  <c r="BO162" i="18"/>
  <c r="CY162" i="18" s="1"/>
  <c r="CY10" i="18"/>
  <c r="AP200" i="18"/>
  <c r="AP194" i="18"/>
  <c r="AP240" i="18"/>
  <c r="AP227" i="18"/>
  <c r="AP264" i="18"/>
  <c r="AP108" i="18"/>
  <c r="AP102" i="18"/>
  <c r="AP96" i="18"/>
  <c r="AP90" i="18"/>
  <c r="AP78" i="18"/>
  <c r="AP66" i="18"/>
  <c r="AP24" i="18"/>
  <c r="AP232" i="18"/>
  <c r="AP272" i="18"/>
  <c r="CX175" i="18"/>
  <c r="BN207" i="18"/>
  <c r="BN162" i="18"/>
  <c r="CX162" i="18" s="1"/>
  <c r="CX10" i="18"/>
  <c r="AP158" i="18"/>
  <c r="AP86" i="18"/>
  <c r="AP68" i="18"/>
  <c r="AP62" i="18"/>
  <c r="AP38" i="18"/>
  <c r="AP189" i="18"/>
  <c r="AP188" i="18"/>
  <c r="AP177" i="18"/>
  <c r="AP237" i="18"/>
  <c r="AP236" i="18"/>
  <c r="AP235" i="18"/>
  <c r="DE211" i="18"/>
  <c r="DI174" i="18"/>
  <c r="BY207" i="18"/>
  <c r="BO276" i="18"/>
  <c r="CY276" i="18" s="1"/>
  <c r="BO248" i="18"/>
  <c r="CY248" i="18" s="1"/>
  <c r="CY226" i="18"/>
  <c r="BN276" i="18"/>
  <c r="CX276" i="18" s="1"/>
  <c r="BN248" i="18"/>
  <c r="CX248" i="18" s="1"/>
  <c r="CX226" i="18"/>
  <c r="AP197" i="18"/>
  <c r="AP196" i="18"/>
  <c r="AP252" i="18"/>
  <c r="AP148" i="18"/>
  <c r="AP175" i="18"/>
  <c r="AP211" i="18"/>
  <c r="AP265" i="18"/>
  <c r="AD207" i="18"/>
  <c r="AD213" i="18" s="1"/>
  <c r="BY162" i="18"/>
  <c r="DI162" i="18" s="1"/>
  <c r="DI10" i="18"/>
  <c r="AD276" i="18"/>
  <c r="BX162" i="18"/>
  <c r="DH162" i="18" s="1"/>
  <c r="DH10" i="18"/>
  <c r="BW162" i="18"/>
  <c r="DG162" i="18" s="1"/>
  <c r="DG10" i="18"/>
  <c r="BV162" i="18"/>
  <c r="DF162" i="18" s="1"/>
  <c r="DF10" i="18"/>
  <c r="AP124" i="18"/>
  <c r="AP22" i="18"/>
  <c r="AP125" i="18"/>
  <c r="AP176" i="18"/>
  <c r="AP271" i="18"/>
  <c r="AD248" i="18"/>
  <c r="AD254" i="18" s="1"/>
  <c r="AP193" i="18"/>
  <c r="AP243" i="18"/>
  <c r="AP231" i="18"/>
  <c r="AO207" i="18"/>
  <c r="AO213" i="18" s="1"/>
  <c r="BY276" i="18"/>
  <c r="DI276" i="18" s="1"/>
  <c r="DI264" i="18"/>
  <c r="BY248" i="18"/>
  <c r="DI248" i="18" s="1"/>
  <c r="DC207" i="18"/>
  <c r="BS213" i="18"/>
  <c r="DC213" i="18" s="1"/>
  <c r="AP89" i="18"/>
  <c r="AP41" i="18"/>
  <c r="AP149" i="18"/>
  <c r="AP113" i="18"/>
  <c r="AP101" i="18"/>
  <c r="AP65" i="18"/>
  <c r="AP23" i="18"/>
  <c r="AP184" i="18"/>
  <c r="BX276" i="18"/>
  <c r="DH276" i="18" s="1"/>
  <c r="DH264" i="18"/>
  <c r="BX248" i="18"/>
  <c r="DH248" i="18" s="1"/>
  <c r="DH226" i="18"/>
  <c r="BU276" i="18"/>
  <c r="DE276" i="18" s="1"/>
  <c r="BU248" i="18"/>
  <c r="DE248" i="18" s="1"/>
  <c r="DE226" i="18"/>
  <c r="BU162" i="18"/>
  <c r="DE162" i="18" s="1"/>
  <c r="DE10" i="18"/>
  <c r="BT276" i="18"/>
  <c r="DD276" i="18" s="1"/>
  <c r="DD264" i="18"/>
  <c r="BT248" i="18"/>
  <c r="DD248" i="18" s="1"/>
  <c r="DD226" i="18"/>
  <c r="AP14" i="18"/>
  <c r="BS276" i="18"/>
  <c r="DC276" i="18" s="1"/>
  <c r="DC264" i="18"/>
  <c r="BS248" i="18"/>
  <c r="DC248" i="18" s="1"/>
  <c r="DC226" i="18"/>
  <c r="AP140" i="18"/>
  <c r="AP134" i="18"/>
  <c r="AP104" i="18"/>
  <c r="AP44" i="18"/>
  <c r="BR207" i="18"/>
  <c r="DB207" i="18" s="1"/>
  <c r="BR162" i="18"/>
  <c r="DB162" i="18" s="1"/>
  <c r="DB10" i="18"/>
  <c r="BQ162" i="18"/>
  <c r="DA162" i="18" s="1"/>
  <c r="DA10" i="18"/>
  <c r="BX207" i="18"/>
  <c r="DH207" i="18" s="1"/>
  <c r="AP142" i="18"/>
  <c r="AP136" i="18"/>
  <c r="AP112" i="18"/>
  <c r="AP88" i="18"/>
  <c r="AP82" i="18"/>
  <c r="AP46" i="18"/>
  <c r="AP10" i="18"/>
  <c r="AP191" i="18"/>
  <c r="BX254" i="18"/>
  <c r="DH254" i="18" s="1"/>
  <c r="BW207" i="18"/>
  <c r="AP160" i="18"/>
  <c r="AP106" i="18"/>
  <c r="AP76" i="18"/>
  <c r="AP64" i="18"/>
  <c r="AP40" i="18"/>
  <c r="AP28" i="18"/>
  <c r="AP16" i="18"/>
  <c r="AP199" i="18"/>
  <c r="AP270" i="18"/>
  <c r="AP192" i="18"/>
  <c r="AO276" i="18"/>
  <c r="DB211" i="18"/>
  <c r="BV207" i="18"/>
  <c r="DF207" i="18" s="1"/>
  <c r="AP190" i="18"/>
  <c r="AO248" i="18"/>
  <c r="AO254" i="18" s="1"/>
  <c r="DA211" i="18"/>
  <c r="AP107" i="18"/>
  <c r="AP77" i="18"/>
  <c r="AP47" i="18"/>
  <c r="AP17" i="18"/>
  <c r="AP11" i="18"/>
  <c r="CZ211" i="18"/>
  <c r="BP213" i="18"/>
  <c r="CZ213" i="18" s="1"/>
  <c r="AP137" i="18"/>
  <c r="AP83" i="18"/>
  <c r="AP29" i="18"/>
  <c r="CY211" i="18"/>
  <c r="DB252" i="18"/>
  <c r="AP74" i="18"/>
  <c r="AP26" i="18"/>
  <c r="AP268" i="18"/>
  <c r="DA252" i="18"/>
  <c r="CZ252" i="18"/>
  <c r="AP122" i="18"/>
  <c r="AP98" i="18"/>
  <c r="AP56" i="18"/>
  <c r="AP50" i="18"/>
  <c r="CY252" i="18"/>
  <c r="AP146" i="18"/>
  <c r="AP110" i="18"/>
  <c r="AP9" i="18"/>
  <c r="AP242" i="18"/>
  <c r="BQ276" i="18"/>
  <c r="DA276" i="18" s="1"/>
  <c r="BQ248" i="18"/>
  <c r="DA248" i="18" s="1"/>
  <c r="BP276" i="18"/>
  <c r="CZ276" i="18" s="1"/>
  <c r="BP248" i="18"/>
  <c r="CZ248" i="18" s="1"/>
  <c r="AO162" i="18"/>
  <c r="AO279" i="18" s="1"/>
  <c r="BR276" i="18"/>
  <c r="DB276" i="18" s="1"/>
  <c r="BR248" i="18"/>
  <c r="DB248" i="18" s="1"/>
  <c r="DB226" i="18"/>
  <c r="AD162" i="18"/>
  <c r="BT162" i="18"/>
  <c r="DD162" i="18" s="1"/>
  <c r="BS162" i="18"/>
  <c r="DC162" i="18" s="1"/>
  <c r="DC10" i="18"/>
  <c r="X131" i="5"/>
  <c r="AM126" i="5"/>
  <c r="AM121" i="5"/>
  <c r="X133" i="14"/>
  <c r="X133" i="12"/>
  <c r="X138" i="12" s="1"/>
  <c r="X133" i="11"/>
  <c r="AM17" i="11"/>
  <c r="Q46" i="22"/>
  <c r="AH207" i="18"/>
  <c r="AH213" i="18" s="1"/>
  <c r="AL248" i="18"/>
  <c r="AL254" i="18" s="1"/>
  <c r="AK276" i="18"/>
  <c r="AI248" i="18"/>
  <c r="AI254" i="18" s="1"/>
  <c r="AI276" i="18"/>
  <c r="AL207" i="18"/>
  <c r="AL213" i="18" s="1"/>
  <c r="AK207" i="18"/>
  <c r="AK213" i="18" s="1"/>
  <c r="AK162" i="18"/>
  <c r="AN207" i="18"/>
  <c r="AN213" i="18" s="1"/>
  <c r="AJ207" i="18"/>
  <c r="AJ213" i="18" s="1"/>
  <c r="AG248" i="18"/>
  <c r="AG254" i="18" s="1"/>
  <c r="AI207" i="18"/>
  <c r="AI213" i="18" s="1"/>
  <c r="AM276" i="18"/>
  <c r="AN162" i="18"/>
  <c r="AK248" i="18"/>
  <c r="AK254" i="18" s="1"/>
  <c r="AG207" i="18"/>
  <c r="AG213" i="18" s="1"/>
  <c r="AM162" i="18"/>
  <c r="AI162" i="18"/>
  <c r="AG162" i="18"/>
  <c r="AG276" i="18"/>
  <c r="AN248" i="18"/>
  <c r="AN254" i="18" s="1"/>
  <c r="AH162" i="18"/>
  <c r="AF248" i="18"/>
  <c r="AF254" i="18" s="1"/>
  <c r="AH248" i="18"/>
  <c r="AH254" i="18" s="1"/>
  <c r="AJ248" i="18"/>
  <c r="AJ254" i="18" s="1"/>
  <c r="AF162" i="18"/>
  <c r="AJ162" i="18"/>
  <c r="AL276" i="18"/>
  <c r="AN276" i="18"/>
  <c r="AL162" i="18"/>
  <c r="AF276" i="18"/>
  <c r="AM248" i="18"/>
  <c r="AM254" i="18" s="1"/>
  <c r="AH276" i="18"/>
  <c r="AJ276" i="18"/>
  <c r="AM207" i="18"/>
  <c r="AM213" i="18" s="1"/>
  <c r="AF207" i="18"/>
  <c r="AF213" i="18" s="1"/>
  <c r="AE162" i="18"/>
  <c r="AE276" i="18"/>
  <c r="AE248" i="18"/>
  <c r="AE254" i="18" s="1"/>
  <c r="AE207" i="18"/>
  <c r="AE213" i="18" s="1"/>
  <c r="S208" i="1"/>
  <c r="H208" i="1"/>
  <c r="Q254" i="1"/>
  <c r="Q279" i="1" s="1"/>
  <c r="BA279" i="1"/>
  <c r="BC279" i="1"/>
  <c r="M46" i="22"/>
  <c r="P46" i="22"/>
  <c r="Q6" i="21"/>
  <c r="AR279" i="1"/>
  <c r="AY162" i="18"/>
  <c r="CI162" i="18" s="1"/>
  <c r="BM276" i="18"/>
  <c r="CW276" i="18" s="1"/>
  <c r="CW265" i="18"/>
  <c r="BL276" i="18"/>
  <c r="CV276" i="18" s="1"/>
  <c r="BK276" i="18"/>
  <c r="CU276" i="18" s="1"/>
  <c r="BJ276" i="18"/>
  <c r="CT276" i="18" s="1"/>
  <c r="BD276" i="18"/>
  <c r="CN276" i="18" s="1"/>
  <c r="BE276" i="18"/>
  <c r="CO276" i="18" s="1"/>
  <c r="CN265" i="18"/>
  <c r="BB276" i="18"/>
  <c r="CL276" i="18" s="1"/>
  <c r="BC276" i="18"/>
  <c r="CM276" i="18" s="1"/>
  <c r="CL265" i="18"/>
  <c r="BA276" i="18"/>
  <c r="CK276" i="18" s="1"/>
  <c r="AZ276" i="18"/>
  <c r="CJ276" i="18" s="1"/>
  <c r="AY276" i="18"/>
  <c r="CI276" i="18" s="1"/>
  <c r="CI267" i="18"/>
  <c r="AX276" i="18"/>
  <c r="CH276" i="18" s="1"/>
  <c r="CC270" i="18"/>
  <c r="AA276" i="18"/>
  <c r="Z276" i="18"/>
  <c r="X276" i="18"/>
  <c r="W276" i="18"/>
  <c r="V276" i="18"/>
  <c r="U276" i="18"/>
  <c r="T276" i="18"/>
  <c r="S276" i="18"/>
  <c r="R276" i="18"/>
  <c r="Q276" i="18"/>
  <c r="P276" i="18"/>
  <c r="O276" i="18"/>
  <c r="M276" i="18"/>
  <c r="L276" i="18"/>
  <c r="Y248" i="18"/>
  <c r="Y254" i="18" s="1"/>
  <c r="X248" i="18"/>
  <c r="X254" i="18" s="1"/>
  <c r="V248" i="18"/>
  <c r="V254" i="18" s="1"/>
  <c r="S249" i="1"/>
  <c r="M248" i="18"/>
  <c r="M254" i="18" s="1"/>
  <c r="H249" i="1"/>
  <c r="CV252" i="18"/>
  <c r="BK248" i="18"/>
  <c r="CU248" i="18" s="1"/>
  <c r="CU252" i="18"/>
  <c r="CU225" i="18"/>
  <c r="BJ248" i="18"/>
  <c r="CT248" i="18" s="1"/>
  <c r="CT225" i="18"/>
  <c r="CR252" i="18"/>
  <c r="BG248" i="18"/>
  <c r="BF248" i="18"/>
  <c r="CP226" i="18"/>
  <c r="BE248" i="18"/>
  <c r="CO248" i="18" s="1"/>
  <c r="CN252" i="18"/>
  <c r="BD248" i="18"/>
  <c r="CN248" i="18" s="1"/>
  <c r="BC248" i="18"/>
  <c r="BB248" i="18"/>
  <c r="CL248" i="18" s="1"/>
  <c r="CL252" i="18"/>
  <c r="CL226" i="18"/>
  <c r="BA248" i="18"/>
  <c r="AZ248" i="18"/>
  <c r="AY248" i="18"/>
  <c r="CI248" i="18" s="1"/>
  <c r="AX248" i="18"/>
  <c r="CH230" i="18"/>
  <c r="AW248" i="18"/>
  <c r="AV248" i="18"/>
  <c r="CF229" i="18"/>
  <c r="AU248" i="18"/>
  <c r="CE248" i="18" s="1"/>
  <c r="CE228" i="18"/>
  <c r="CD240" i="18"/>
  <c r="CC228" i="18"/>
  <c r="CC252" i="18"/>
  <c r="AT248" i="18"/>
  <c r="CD248" i="18" s="1"/>
  <c r="CB237" i="18"/>
  <c r="CB234" i="18"/>
  <c r="AS248" i="18"/>
  <c r="AR248" i="18"/>
  <c r="CB244" i="18"/>
  <c r="CB246" i="18"/>
  <c r="AC248" i="18"/>
  <c r="AC254" i="18" s="1"/>
  <c r="AB248" i="18"/>
  <c r="AB254" i="18" s="1"/>
  <c r="AA248" i="18"/>
  <c r="AA254" i="18" s="1"/>
  <c r="Z248" i="18"/>
  <c r="Z254" i="18" s="1"/>
  <c r="W248" i="18"/>
  <c r="W254" i="18" s="1"/>
  <c r="R248" i="18"/>
  <c r="R254" i="18" s="1"/>
  <c r="Q248" i="18"/>
  <c r="Q254" i="18" s="1"/>
  <c r="O248" i="18"/>
  <c r="O254" i="18" s="1"/>
  <c r="N248" i="18"/>
  <c r="N254" i="18" s="1"/>
  <c r="K248" i="18"/>
  <c r="K254" i="18" s="1"/>
  <c r="I248" i="18"/>
  <c r="I254" i="18" s="1"/>
  <c r="H248" i="18"/>
  <c r="H279" i="1"/>
  <c r="BJ207" i="18"/>
  <c r="CT207" i="18" s="1"/>
  <c r="CT178" i="18"/>
  <c r="BI207" i="18"/>
  <c r="CS178" i="18"/>
  <c r="BH207" i="18"/>
  <c r="CR207" i="18" s="1"/>
  <c r="BG207" i="18"/>
  <c r="BF207" i="18"/>
  <c r="CP207" i="18" s="1"/>
  <c r="AX207" i="18"/>
  <c r="CH179" i="18"/>
  <c r="AW207" i="18"/>
  <c r="CG207" i="18" s="1"/>
  <c r="AV207" i="18"/>
  <c r="AU207" i="18"/>
  <c r="AT207" i="18"/>
  <c r="CD176" i="18"/>
  <c r="CC177" i="18"/>
  <c r="CD211" i="18"/>
  <c r="CC201" i="18"/>
  <c r="CB204" i="18"/>
  <c r="CB180" i="18"/>
  <c r="CB198" i="18"/>
  <c r="CB195" i="18"/>
  <c r="CB192" i="18"/>
  <c r="CB188" i="18"/>
  <c r="CB193" i="18"/>
  <c r="AS207" i="18"/>
  <c r="AR207" i="18"/>
  <c r="AB207" i="18"/>
  <c r="AB213" i="18" s="1"/>
  <c r="AC207" i="18"/>
  <c r="AC213" i="18" s="1"/>
  <c r="AA207" i="18"/>
  <c r="AA213" i="18" s="1"/>
  <c r="Z207" i="18"/>
  <c r="Z213" i="18" s="1"/>
  <c r="Y207" i="18"/>
  <c r="Y213" i="18" s="1"/>
  <c r="X207" i="18"/>
  <c r="X213" i="18" s="1"/>
  <c r="W207" i="18"/>
  <c r="W213" i="18" s="1"/>
  <c r="V207" i="18"/>
  <c r="V213" i="18" s="1"/>
  <c r="U207" i="18"/>
  <c r="U213" i="18" s="1"/>
  <c r="S207" i="18"/>
  <c r="S213" i="18" s="1"/>
  <c r="R207" i="18"/>
  <c r="R213" i="18" s="1"/>
  <c r="P207" i="18"/>
  <c r="P213" i="18" s="1"/>
  <c r="Q207" i="18"/>
  <c r="Q213" i="18" s="1"/>
  <c r="O207" i="18"/>
  <c r="O213" i="18" s="1"/>
  <c r="N207" i="18"/>
  <c r="N213" i="18" s="1"/>
  <c r="M207" i="18"/>
  <c r="M213" i="18" s="1"/>
  <c r="L207" i="18"/>
  <c r="L213" i="18" s="1"/>
  <c r="K207" i="18"/>
  <c r="K213" i="18" s="1"/>
  <c r="J207" i="18"/>
  <c r="J213" i="18" s="1"/>
  <c r="I207" i="18"/>
  <c r="I213" i="18" s="1"/>
  <c r="H207" i="18"/>
  <c r="BM162" i="18"/>
  <c r="CW162" i="18" s="1"/>
  <c r="BL162" i="18"/>
  <c r="CV162" i="18" s="1"/>
  <c r="CV9" i="18"/>
  <c r="BK162" i="18"/>
  <c r="CU162" i="18" s="1"/>
  <c r="BJ162" i="18"/>
  <c r="CT162" i="18" s="1"/>
  <c r="BI162" i="18"/>
  <c r="CS162" i="18" s="1"/>
  <c r="BH162" i="18"/>
  <c r="CR162" i="18" s="1"/>
  <c r="BG162" i="18"/>
  <c r="CQ162" i="18" s="1"/>
  <c r="BF162" i="18"/>
  <c r="CP162" i="18" s="1"/>
  <c r="BD162" i="18"/>
  <c r="CN162" i="18" s="1"/>
  <c r="BE162" i="18"/>
  <c r="CO162" i="18" s="1"/>
  <c r="CN10" i="18"/>
  <c r="BC162" i="18"/>
  <c r="CM162" i="18" s="1"/>
  <c r="BB162" i="18"/>
  <c r="CL162" i="18" s="1"/>
  <c r="BA162" i="18"/>
  <c r="CK162" i="18" s="1"/>
  <c r="CL9" i="18"/>
  <c r="CK12" i="18"/>
  <c r="CI9" i="18"/>
  <c r="AZ162" i="18"/>
  <c r="CJ162" i="18" s="1"/>
  <c r="AX162" i="18"/>
  <c r="CH162" i="18" s="1"/>
  <c r="CG110" i="18"/>
  <c r="AW162" i="18"/>
  <c r="CG162" i="18" s="1"/>
  <c r="AV162" i="18"/>
  <c r="CF162" i="18" s="1"/>
  <c r="CF49" i="18"/>
  <c r="AU162" i="18"/>
  <c r="CE162" i="18" s="1"/>
  <c r="CD15" i="18"/>
  <c r="CD145" i="18"/>
  <c r="CD109" i="18"/>
  <c r="AT162" i="18"/>
  <c r="CD162" i="18" s="1"/>
  <c r="CC88" i="18"/>
  <c r="CC16" i="18"/>
  <c r="CC25" i="18"/>
  <c r="CC73" i="18"/>
  <c r="CC84" i="18"/>
  <c r="CC12" i="18"/>
  <c r="CC108" i="18"/>
  <c r="CC36" i="18"/>
  <c r="CC156" i="18"/>
  <c r="CC132" i="18"/>
  <c r="CC60" i="18"/>
  <c r="CB61" i="18"/>
  <c r="CB113" i="18"/>
  <c r="CB114" i="18"/>
  <c r="CB17" i="18"/>
  <c r="CB103" i="18"/>
  <c r="CB18" i="18"/>
  <c r="CB64" i="18"/>
  <c r="CB31" i="18"/>
  <c r="V162" i="18"/>
  <c r="S162" i="18"/>
  <c r="CB122" i="18"/>
  <c r="CB62" i="18"/>
  <c r="CB32" i="18"/>
  <c r="CB152" i="18"/>
  <c r="CB98" i="18"/>
  <c r="CB80" i="18"/>
  <c r="CB26" i="18"/>
  <c r="CB104" i="18"/>
  <c r="CB134" i="18"/>
  <c r="CB56" i="18"/>
  <c r="CB38" i="18"/>
  <c r="CB128" i="18"/>
  <c r="CB63" i="18"/>
  <c r="CB57" i="18"/>
  <c r="CB82" i="18"/>
  <c r="CB81" i="18"/>
  <c r="CB107" i="18"/>
  <c r="AC162" i="18"/>
  <c r="AB162" i="18"/>
  <c r="AA162" i="18"/>
  <c r="Z162" i="18"/>
  <c r="Y162" i="18"/>
  <c r="X162" i="18"/>
  <c r="W162" i="18"/>
  <c r="U162" i="18"/>
  <c r="T162" i="18"/>
  <c r="R162" i="18"/>
  <c r="Q162" i="18"/>
  <c r="P162" i="18"/>
  <c r="O162" i="18"/>
  <c r="N162" i="18"/>
  <c r="M162" i="18"/>
  <c r="L162" i="18"/>
  <c r="K162" i="18"/>
  <c r="J162" i="18"/>
  <c r="H162" i="18"/>
  <c r="I162" i="18"/>
  <c r="Y6" i="20"/>
  <c r="AH268" i="20" s="1"/>
  <c r="Y6" i="21"/>
  <c r="BF276" i="18"/>
  <c r="CP276" i="18" s="1"/>
  <c r="BG276" i="18"/>
  <c r="CQ276" i="18" s="1"/>
  <c r="BH276" i="18"/>
  <c r="CR276" i="18" s="1"/>
  <c r="BI276" i="18"/>
  <c r="CS276" i="18" s="1"/>
  <c r="N276" i="18"/>
  <c r="Y276" i="18"/>
  <c r="AB276" i="18"/>
  <c r="AC276" i="18"/>
  <c r="AR276" i="18"/>
  <c r="AS276" i="18"/>
  <c r="CC276" i="18" s="1"/>
  <c r="H276" i="18"/>
  <c r="AT276" i="18"/>
  <c r="CD276" i="18" s="1"/>
  <c r="I276" i="18"/>
  <c r="AU276" i="18"/>
  <c r="CE276" i="18" s="1"/>
  <c r="J276" i="18"/>
  <c r="AV276" i="18"/>
  <c r="CF276" i="18" s="1"/>
  <c r="K276" i="18"/>
  <c r="AW276" i="18"/>
  <c r="CG276" i="18" s="1"/>
  <c r="BH248" i="18"/>
  <c r="CR248" i="18" s="1"/>
  <c r="BI248" i="18"/>
  <c r="CS248" i="18" s="1"/>
  <c r="BM248" i="18"/>
  <c r="CW248" i="18" s="1"/>
  <c r="BL248" i="18"/>
  <c r="CV248" i="18" s="1"/>
  <c r="U248" i="18"/>
  <c r="U254" i="18" s="1"/>
  <c r="T248" i="18"/>
  <c r="T254" i="18" s="1"/>
  <c r="S248" i="18"/>
  <c r="S254" i="18" s="1"/>
  <c r="P248" i="18"/>
  <c r="P254" i="18" s="1"/>
  <c r="L248" i="18"/>
  <c r="L254" i="18" s="1"/>
  <c r="J248" i="18"/>
  <c r="J254" i="18" s="1"/>
  <c r="BE207" i="18"/>
  <c r="BD207" i="18"/>
  <c r="BC207" i="18"/>
  <c r="BB207" i="18"/>
  <c r="BA207" i="18"/>
  <c r="AZ207" i="18"/>
  <c r="AY207" i="18"/>
  <c r="BM207" i="18"/>
  <c r="BL207" i="18"/>
  <c r="BK207" i="18"/>
  <c r="T207" i="18"/>
  <c r="T213" i="18" s="1"/>
  <c r="AM15" i="15"/>
  <c r="V19" i="15"/>
  <c r="V24" i="15" s="1"/>
  <c r="V29" i="15" s="1"/>
  <c r="AM23" i="14"/>
  <c r="V26" i="14"/>
  <c r="AM26" i="14" s="1"/>
  <c r="W26" i="15"/>
  <c r="AM21" i="15"/>
  <c r="Y116" i="15"/>
  <c r="AM111" i="15"/>
  <c r="V30" i="15"/>
  <c r="AM25" i="15"/>
  <c r="AM16" i="15"/>
  <c r="AM20" i="15"/>
  <c r="W38" i="14"/>
  <c r="AM33" i="14"/>
  <c r="AM22" i="14"/>
  <c r="AM27" i="14"/>
  <c r="Y118" i="14"/>
  <c r="Y123" i="14" s="1"/>
  <c r="AM113" i="14"/>
  <c r="AM28" i="14"/>
  <c r="AM17" i="14"/>
  <c r="V32" i="14"/>
  <c r="AM16" i="13"/>
  <c r="W21" i="13"/>
  <c r="W26" i="13" s="1"/>
  <c r="W31" i="13" s="1"/>
  <c r="W36" i="13" s="1"/>
  <c r="W41" i="13" s="1"/>
  <c r="W46" i="13" s="1"/>
  <c r="W51" i="13" s="1"/>
  <c r="AM111" i="13"/>
  <c r="Y116" i="13"/>
  <c r="V30" i="13"/>
  <c r="V19" i="13"/>
  <c r="AM14" i="13"/>
  <c r="AE20" i="13"/>
  <c r="AE25" i="13" s="1"/>
  <c r="AE30" i="13" s="1"/>
  <c r="AE35" i="13" s="1"/>
  <c r="AE40" i="13" s="1"/>
  <c r="AE45" i="13" s="1"/>
  <c r="AE50" i="13" s="1"/>
  <c r="AE55" i="13" s="1"/>
  <c r="AE60" i="13" s="1"/>
  <c r="AE65" i="13" s="1"/>
  <c r="AE70" i="13" s="1"/>
  <c r="AE75" i="13" s="1"/>
  <c r="AE80" i="13" s="1"/>
  <c r="AE85" i="13" s="1"/>
  <c r="AE90" i="13" s="1"/>
  <c r="AE95" i="13" s="1"/>
  <c r="AE100" i="13" s="1"/>
  <c r="AE105" i="13" s="1"/>
  <c r="AE110" i="13" s="1"/>
  <c r="AE115" i="13" s="1"/>
  <c r="AE120" i="13" s="1"/>
  <c r="AE125" i="13" s="1"/>
  <c r="AE130" i="13" s="1"/>
  <c r="AE135" i="13" s="1"/>
  <c r="AE140" i="13" s="1"/>
  <c r="AE145" i="13" s="1"/>
  <c r="AE150" i="13" s="1"/>
  <c r="AE155" i="13" s="1"/>
  <c r="AE160" i="13" s="1"/>
  <c r="AE165" i="13" s="1"/>
  <c r="AE170" i="13" s="1"/>
  <c r="AE175" i="13" s="1"/>
  <c r="AM15" i="13"/>
  <c r="AM17" i="12"/>
  <c r="Y118" i="12"/>
  <c r="Y123" i="12" s="1"/>
  <c r="Y128" i="12" s="1"/>
  <c r="Y133" i="12" s="1"/>
  <c r="Y138" i="12" s="1"/>
  <c r="Y143" i="12" s="1"/>
  <c r="Y148" i="12" s="1"/>
  <c r="Y153" i="12" s="1"/>
  <c r="Y158" i="12" s="1"/>
  <c r="Y163" i="12" s="1"/>
  <c r="Y168" i="12" s="1"/>
  <c r="Y173" i="12" s="1"/>
  <c r="Y178" i="12" s="1"/>
  <c r="Y183" i="12" s="1"/>
  <c r="AM113" i="12"/>
  <c r="AM28" i="12"/>
  <c r="AM27" i="12"/>
  <c r="V31" i="12"/>
  <c r="AM26" i="12"/>
  <c r="V32" i="12"/>
  <c r="W33" i="12"/>
  <c r="AM21" i="12"/>
  <c r="AM22" i="12"/>
  <c r="AM23" i="12"/>
  <c r="Y23" i="11"/>
  <c r="Y28" i="11" s="1"/>
  <c r="Y33" i="11" s="1"/>
  <c r="Y38" i="11" s="1"/>
  <c r="Y43" i="11" s="1"/>
  <c r="Y48" i="11" s="1"/>
  <c r="Y53" i="11" s="1"/>
  <c r="Y58" i="11" s="1"/>
  <c r="Y63" i="11" s="1"/>
  <c r="Y68" i="11" s="1"/>
  <c r="Y73" i="11" s="1"/>
  <c r="Y78" i="11" s="1"/>
  <c r="Y83" i="11" s="1"/>
  <c r="Y88" i="11" s="1"/>
  <c r="Y93" i="11" s="1"/>
  <c r="Y98" i="11" s="1"/>
  <c r="Y103" i="11" s="1"/>
  <c r="Y108" i="11" s="1"/>
  <c r="Y113" i="11" s="1"/>
  <c r="V26" i="11"/>
  <c r="AM27" i="11"/>
  <c r="V32" i="11"/>
  <c r="W33" i="11"/>
  <c r="AM22" i="11"/>
  <c r="V20" i="10"/>
  <c r="V21" i="10"/>
  <c r="V26" i="10" s="1"/>
  <c r="AM26" i="10" s="1"/>
  <c r="Y117" i="10"/>
  <c r="AM117" i="10" s="1"/>
  <c r="W22" i="10"/>
  <c r="AM22" i="10" s="1"/>
  <c r="AM25" i="5"/>
  <c r="X123" i="4"/>
  <c r="V30" i="5"/>
  <c r="AM30" i="5" s="1"/>
  <c r="AM31" i="5"/>
  <c r="W36" i="5"/>
  <c r="AM36" i="5" s="1"/>
  <c r="AM26" i="5"/>
  <c r="V35" i="5"/>
  <c r="AM16" i="5"/>
  <c r="AM21" i="5"/>
  <c r="V19" i="5"/>
  <c r="AM20" i="5"/>
  <c r="AM15" i="5"/>
  <c r="V27" i="4"/>
  <c r="V32" i="4" s="1"/>
  <c r="V37" i="4" s="1"/>
  <c r="V26" i="4"/>
  <c r="W28" i="4"/>
  <c r="W33" i="4" s="1"/>
  <c r="W38" i="4" s="1"/>
  <c r="V25" i="10" l="1"/>
  <c r="AM25" i="10" s="1"/>
  <c r="AM20" i="10"/>
  <c r="AM21" i="10"/>
  <c r="AM31" i="13"/>
  <c r="AH235" i="20"/>
  <c r="AH241" i="20"/>
  <c r="AH265" i="20"/>
  <c r="AH271" i="20"/>
  <c r="AG271" i="20"/>
  <c r="AG264" i="20"/>
  <c r="AH237" i="20"/>
  <c r="AH252" i="20"/>
  <c r="AH243" i="20"/>
  <c r="AH267" i="20"/>
  <c r="AI252" i="20"/>
  <c r="AJ226" i="20"/>
  <c r="AJ248" i="20"/>
  <c r="AG273" i="20"/>
  <c r="AI226" i="20"/>
  <c r="AJ264" i="20"/>
  <c r="AE268" i="20"/>
  <c r="AE270" i="20"/>
  <c r="AN228" i="20"/>
  <c r="AJ231" i="20"/>
  <c r="AL273" i="20"/>
  <c r="AE272" i="20"/>
  <c r="AI267" i="20"/>
  <c r="AI269" i="20"/>
  <c r="AJ227" i="20"/>
  <c r="AJ237" i="20"/>
  <c r="AJ239" i="20"/>
  <c r="AJ265" i="20"/>
  <c r="AM225" i="20"/>
  <c r="AM231" i="20"/>
  <c r="AH269" i="20"/>
  <c r="AJ245" i="20"/>
  <c r="AN225" i="20"/>
  <c r="AN231" i="20"/>
  <c r="AM241" i="20"/>
  <c r="AN235" i="20"/>
  <c r="AM243" i="20"/>
  <c r="AN243" i="20"/>
  <c r="AM269" i="20"/>
  <c r="AN245" i="20"/>
  <c r="AE236" i="20"/>
  <c r="AK228" i="20"/>
  <c r="AE238" i="20"/>
  <c r="AE274" i="20"/>
  <c r="AM235" i="20"/>
  <c r="AM271" i="20"/>
  <c r="AE240" i="20"/>
  <c r="AH226" i="20"/>
  <c r="AE242" i="20"/>
  <c r="AH238" i="20"/>
  <c r="AH273" i="20"/>
  <c r="AN265" i="20"/>
  <c r="AN230" i="20"/>
  <c r="AJ267" i="20"/>
  <c r="AM273" i="20"/>
  <c r="AE227" i="20"/>
  <c r="AN269" i="20"/>
  <c r="AN232" i="20"/>
  <c r="AJ269" i="20"/>
  <c r="AJ228" i="20"/>
  <c r="AE229" i="20"/>
  <c r="AO231" i="20"/>
  <c r="AN234" i="20"/>
  <c r="AK225" i="20"/>
  <c r="AK242" i="20"/>
  <c r="AG276" i="20"/>
  <c r="AK264" i="20"/>
  <c r="AM248" i="20"/>
  <c r="AE233" i="20"/>
  <c r="AO233" i="20"/>
  <c r="AN236" i="20"/>
  <c r="AK229" i="20"/>
  <c r="AK266" i="20"/>
  <c r="AH248" i="20"/>
  <c r="AK276" i="20"/>
  <c r="AM264" i="20"/>
  <c r="AE243" i="20"/>
  <c r="AO235" i="20"/>
  <c r="AN242" i="20"/>
  <c r="AK241" i="20"/>
  <c r="AK270" i="20"/>
  <c r="AH276" i="20"/>
  <c r="AM276" i="20"/>
  <c r="AE252" i="20"/>
  <c r="AO239" i="20"/>
  <c r="AN244" i="20"/>
  <c r="AK245" i="20"/>
  <c r="AL228" i="20"/>
  <c r="AE226" i="20"/>
  <c r="AE265" i="20"/>
  <c r="AO241" i="20"/>
  <c r="AN246" i="20"/>
  <c r="AK265" i="20"/>
  <c r="AL230" i="20"/>
  <c r="AL226" i="20"/>
  <c r="AE248" i="20"/>
  <c r="AE267" i="20"/>
  <c r="AO243" i="20"/>
  <c r="AN270" i="20"/>
  <c r="AK269" i="20"/>
  <c r="AL232" i="20"/>
  <c r="AL248" i="20"/>
  <c r="AE276" i="20"/>
  <c r="AG227" i="20"/>
  <c r="AO245" i="20"/>
  <c r="AN274" i="20"/>
  <c r="AL231" i="20"/>
  <c r="AL242" i="20"/>
  <c r="AL276" i="20"/>
  <c r="AF226" i="20"/>
  <c r="AG233" i="20"/>
  <c r="AO252" i="20"/>
  <c r="AO228" i="20"/>
  <c r="AL235" i="20"/>
  <c r="AL266" i="20"/>
  <c r="AF252" i="20"/>
  <c r="AO226" i="20"/>
  <c r="AF248" i="20"/>
  <c r="AN226" i="20"/>
  <c r="AG235" i="20"/>
  <c r="AO265" i="20"/>
  <c r="AO236" i="20"/>
  <c r="AL239" i="20"/>
  <c r="AL272" i="20"/>
  <c r="AO248" i="20"/>
  <c r="AF276" i="20"/>
  <c r="AN248" i="20"/>
  <c r="AG237" i="20"/>
  <c r="AO267" i="20"/>
  <c r="AO242" i="20"/>
  <c r="AL241" i="20"/>
  <c r="AM228" i="20"/>
  <c r="AO264" i="20"/>
  <c r="AN264" i="20"/>
  <c r="AG241" i="20"/>
  <c r="AO269" i="20"/>
  <c r="AO244" i="20"/>
  <c r="AL245" i="20"/>
  <c r="AM230" i="20"/>
  <c r="AO276" i="20"/>
  <c r="AN276" i="20"/>
  <c r="AF235" i="20"/>
  <c r="AG243" i="20"/>
  <c r="AO273" i="20"/>
  <c r="AO246" i="20"/>
  <c r="AL265" i="20"/>
  <c r="AM232" i="20"/>
  <c r="AH229" i="20"/>
  <c r="AG265" i="20"/>
  <c r="AO270" i="20"/>
  <c r="AI239" i="20"/>
  <c r="AL269" i="20"/>
  <c r="AM236" i="20"/>
  <c r="AG252" i="20"/>
  <c r="AH233" i="20"/>
  <c r="AG269" i="20"/>
  <c r="AE230" i="20"/>
  <c r="AI265" i="20"/>
  <c r="AL271" i="20"/>
  <c r="AM242" i="20"/>
  <c r="AE235" i="20"/>
  <c r="AN239" i="20"/>
  <c r="AE232" i="20"/>
  <c r="AO230" i="20"/>
  <c r="AK231" i="20"/>
  <c r="AM245" i="20"/>
  <c r="AM246" i="20"/>
  <c r="AE237" i="20"/>
  <c r="AN241" i="20"/>
  <c r="AE234" i="20"/>
  <c r="AO232" i="20"/>
  <c r="AK239" i="20"/>
  <c r="AM265" i="20"/>
  <c r="AM272" i="20"/>
  <c r="AI248" i="20"/>
  <c r="AJ276" i="20"/>
  <c r="AG229" i="20"/>
  <c r="AE271" i="20"/>
  <c r="AN271" i="20"/>
  <c r="AE244" i="20"/>
  <c r="AO274" i="20"/>
  <c r="AK271" i="20"/>
  <c r="AJ240" i="20"/>
  <c r="J184" i="20"/>
  <c r="AJ268" i="20"/>
  <c r="AN272" i="20"/>
  <c r="AK227" i="20"/>
  <c r="AF232" i="20"/>
  <c r="AK235" i="20"/>
  <c r="AG239" i="20"/>
  <c r="AL243" i="20"/>
  <c r="AL268" i="20"/>
  <c r="AM227" i="20"/>
  <c r="AH232" i="20"/>
  <c r="AM239" i="20"/>
  <c r="AG244" i="20"/>
  <c r="AN268" i="20"/>
  <c r="AJ273" i="20"/>
  <c r="AO227" i="20"/>
  <c r="AJ232" i="20"/>
  <c r="AI236" i="20"/>
  <c r="AG240" i="20"/>
  <c r="AI244" i="20"/>
  <c r="AK268" i="20"/>
  <c r="AO272" i="20"/>
  <c r="AL227" i="20"/>
  <c r="AG232" i="20"/>
  <c r="AF236" i="20"/>
  <c r="AH239" i="20"/>
  <c r="AF244" i="20"/>
  <c r="AF273" i="20"/>
  <c r="AG236" i="20"/>
  <c r="AM268" i="20"/>
  <c r="AI273" i="20"/>
  <c r="AN227" i="20"/>
  <c r="AI232" i="20"/>
  <c r="AH236" i="20"/>
  <c r="AF240" i="20"/>
  <c r="AH244" i="20"/>
  <c r="AF266" i="20"/>
  <c r="AH270" i="20"/>
  <c r="AK274" i="20"/>
  <c r="AI229" i="20"/>
  <c r="AL233" i="20"/>
  <c r="AL237" i="20"/>
  <c r="AO240" i="20"/>
  <c r="AF245" i="20"/>
  <c r="AG266" i="20"/>
  <c r="AI270" i="20"/>
  <c r="AL274" i="20"/>
  <c r="AJ229" i="20"/>
  <c r="AM233" i="20"/>
  <c r="AM237" i="20"/>
  <c r="AE241" i="20"/>
  <c r="AG245" i="20"/>
  <c r="AH266" i="20"/>
  <c r="AL270" i="20"/>
  <c r="AM274" i="20"/>
  <c r="AM229" i="20"/>
  <c r="AN233" i="20"/>
  <c r="AN237" i="20"/>
  <c r="AF241" i="20"/>
  <c r="AH245" i="20"/>
  <c r="AI266" i="20"/>
  <c r="AM270" i="20"/>
  <c r="AJ252" i="20"/>
  <c r="AN229" i="20"/>
  <c r="AF234" i="20"/>
  <c r="AO237" i="20"/>
  <c r="AI241" i="20"/>
  <c r="AI245" i="20"/>
  <c r="AJ271" i="20"/>
  <c r="AF228" i="20"/>
  <c r="AL234" i="20"/>
  <c r="AN240" i="20"/>
  <c r="AO271" i="20"/>
  <c r="AG228" i="20"/>
  <c r="AM234" i="20"/>
  <c r="AJ241" i="20"/>
  <c r="AF272" i="20"/>
  <c r="AH228" i="20"/>
  <c r="AO234" i="20"/>
  <c r="AF242" i="20"/>
  <c r="AF264" i="20"/>
  <c r="AG272" i="20"/>
  <c r="AF229" i="20"/>
  <c r="AI235" i="20"/>
  <c r="AG242" i="20"/>
  <c r="AH264" i="20"/>
  <c r="AH272" i="20"/>
  <c r="AF230" i="20"/>
  <c r="AJ235" i="20"/>
  <c r="AH242" i="20"/>
  <c r="AI264" i="20"/>
  <c r="AI272" i="20"/>
  <c r="AG230" i="20"/>
  <c r="AJ236" i="20"/>
  <c r="AI242" i="20"/>
  <c r="AL264" i="20"/>
  <c r="AJ272" i="20"/>
  <c r="AH230" i="20"/>
  <c r="AK236" i="20"/>
  <c r="AJ242" i="20"/>
  <c r="AM266" i="20"/>
  <c r="AK272" i="20"/>
  <c r="AI230" i="20"/>
  <c r="AL236" i="20"/>
  <c r="AF243" i="20"/>
  <c r="AN266" i="20"/>
  <c r="AF274" i="20"/>
  <c r="AJ230" i="20"/>
  <c r="AF237" i="20"/>
  <c r="AI243" i="20"/>
  <c r="AO266" i="20"/>
  <c r="AG274" i="20"/>
  <c r="AK230" i="20"/>
  <c r="AK237" i="20"/>
  <c r="AJ243" i="20"/>
  <c r="AF267" i="20"/>
  <c r="AH274" i="20"/>
  <c r="AE231" i="20"/>
  <c r="AF238" i="20"/>
  <c r="AK243" i="20"/>
  <c r="AE225" i="20"/>
  <c r="AM238" i="20"/>
  <c r="AK267" i="20"/>
  <c r="AF227" i="20"/>
  <c r="AH240" i="20"/>
  <c r="AL267" i="20"/>
  <c r="AE228" i="20"/>
  <c r="AI240" i="20"/>
  <c r="AF225" i="20"/>
  <c r="AN238" i="20"/>
  <c r="AM267" i="20"/>
  <c r="AF231" i="20"/>
  <c r="AL240" i="20"/>
  <c r="AN267" i="20"/>
  <c r="AG231" i="20"/>
  <c r="AM240" i="20"/>
  <c r="AF268" i="20"/>
  <c r="AH231" i="20"/>
  <c r="AJ244" i="20"/>
  <c r="AG268" i="20"/>
  <c r="AK232" i="20"/>
  <c r="AK244" i="20"/>
  <c r="AO268" i="20"/>
  <c r="AF233" i="20"/>
  <c r="AL244" i="20"/>
  <c r="AJ234" i="20"/>
  <c r="AJ246" i="20"/>
  <c r="AJ274" i="20"/>
  <c r="AK234" i="20"/>
  <c r="AK246" i="20"/>
  <c r="AK252" i="20"/>
  <c r="AG238" i="20"/>
  <c r="AL246" i="20"/>
  <c r="AL252" i="20"/>
  <c r="AJ238" i="20"/>
  <c r="AM252" i="20"/>
  <c r="AK238" i="20"/>
  <c r="AN252" i="20"/>
  <c r="AL238" i="20"/>
  <c r="AI225" i="20"/>
  <c r="AO238" i="20"/>
  <c r="AJ225" i="20"/>
  <c r="AE239" i="20"/>
  <c r="AG226" i="20"/>
  <c r="AF239" i="20"/>
  <c r="AI274" i="20"/>
  <c r="AE269" i="20"/>
  <c r="AI233" i="20"/>
  <c r="AM244" i="20"/>
  <c r="AF269" i="20"/>
  <c r="AJ233" i="20"/>
  <c r="AE245" i="20"/>
  <c r="AF270" i="20"/>
  <c r="AK233" i="20"/>
  <c r="AF246" i="20"/>
  <c r="AG270" i="20"/>
  <c r="AG234" i="20"/>
  <c r="AG246" i="20"/>
  <c r="AF271" i="20"/>
  <c r="AH234" i="20"/>
  <c r="AH246" i="20"/>
  <c r="AI271" i="20"/>
  <c r="AI234" i="20"/>
  <c r="AI246" i="20"/>
  <c r="AI276" i="20"/>
  <c r="AG267" i="20"/>
  <c r="AE273" i="20"/>
  <c r="AN273" i="20"/>
  <c r="AE246" i="20"/>
  <c r="AI227" i="20"/>
  <c r="AK273" i="20"/>
  <c r="AJ266" i="20"/>
  <c r="AI228" i="20"/>
  <c r="AO254" i="20"/>
  <c r="AK226" i="20"/>
  <c r="AH225" i="20"/>
  <c r="AF265" i="20"/>
  <c r="AO225" i="20"/>
  <c r="AE264" i="20"/>
  <c r="AI231" i="20"/>
  <c r="AL225" i="20"/>
  <c r="AJ270" i="20"/>
  <c r="AI238" i="20"/>
  <c r="AG248" i="20"/>
  <c r="AK248" i="20"/>
  <c r="AM226" i="20"/>
  <c r="AH227" i="20"/>
  <c r="AG225" i="20"/>
  <c r="AO229" i="20"/>
  <c r="AE266" i="20"/>
  <c r="AI237" i="20"/>
  <c r="AL229" i="20"/>
  <c r="AK240" i="20"/>
  <c r="AI268" i="20"/>
  <c r="BV213" i="18"/>
  <c r="DF213" i="18" s="1"/>
  <c r="BO254" i="18"/>
  <c r="CY254" i="18" s="1"/>
  <c r="AF254" i="20" s="1"/>
  <c r="BW254" i="18"/>
  <c r="DG254" i="18" s="1"/>
  <c r="AN254" i="20" s="1"/>
  <c r="BR254" i="18"/>
  <c r="DB254" i="18" s="1"/>
  <c r="AI254" i="20" s="1"/>
  <c r="BO213" i="18"/>
  <c r="CY213" i="18" s="1"/>
  <c r="AF213" i="21" s="1"/>
  <c r="AS162" i="18"/>
  <c r="CC162" i="18" s="1"/>
  <c r="J162" i="20" s="1"/>
  <c r="AR162" i="18"/>
  <c r="CB162" i="18" s="1"/>
  <c r="I162" i="21" s="1"/>
  <c r="BU254" i="18"/>
  <c r="DE254" i="18" s="1"/>
  <c r="BU213" i="18"/>
  <c r="DE213" i="18" s="1"/>
  <c r="AU254" i="18"/>
  <c r="CE254" i="18" s="1"/>
  <c r="L254" i="20" s="1"/>
  <c r="BY254" i="18"/>
  <c r="DI254" i="18" s="1"/>
  <c r="AP254" i="21" s="1"/>
  <c r="BQ213" i="18"/>
  <c r="DA213" i="18" s="1"/>
  <c r="AH213" i="20" s="1"/>
  <c r="BV254" i="18"/>
  <c r="DF254" i="18" s="1"/>
  <c r="AD279" i="18"/>
  <c r="AD21" i="20"/>
  <c r="AF10" i="20"/>
  <c r="AH12" i="20"/>
  <c r="AJ14" i="20"/>
  <c r="AL16" i="20"/>
  <c r="AN18" i="20"/>
  <c r="AE21" i="20"/>
  <c r="AG23" i="20"/>
  <c r="AI25" i="20"/>
  <c r="AK27" i="20"/>
  <c r="AM29" i="20"/>
  <c r="AO31" i="20"/>
  <c r="AF34" i="20"/>
  <c r="AH36" i="20"/>
  <c r="AJ38" i="20"/>
  <c r="AL40" i="20"/>
  <c r="AN42" i="20"/>
  <c r="AE45" i="20"/>
  <c r="AG47" i="20"/>
  <c r="AI49" i="20"/>
  <c r="AK51" i="20"/>
  <c r="AM53" i="20"/>
  <c r="AO55" i="20"/>
  <c r="AF58" i="20"/>
  <c r="AH60" i="20"/>
  <c r="AJ62" i="20"/>
  <c r="AL64" i="20"/>
  <c r="AN66" i="20"/>
  <c r="AE69" i="20"/>
  <c r="AG71" i="20"/>
  <c r="AI73" i="20"/>
  <c r="AK75" i="20"/>
  <c r="AM77" i="20"/>
  <c r="AO79" i="20"/>
  <c r="AF82" i="20"/>
  <c r="AH84" i="20"/>
  <c r="AJ86" i="20"/>
  <c r="AL88" i="20"/>
  <c r="AN90" i="20"/>
  <c r="AE93" i="20"/>
  <c r="AG95" i="20"/>
  <c r="AI97" i="20"/>
  <c r="AK99" i="20"/>
  <c r="AM101" i="20"/>
  <c r="AO103" i="20"/>
  <c r="AF106" i="20"/>
  <c r="AH108" i="20"/>
  <c r="AJ110" i="20"/>
  <c r="AL112" i="20"/>
  <c r="AN114" i="20"/>
  <c r="AE117" i="20"/>
  <c r="AG119" i="20"/>
  <c r="AI121" i="20"/>
  <c r="AK123" i="20"/>
  <c r="AM125" i="20"/>
  <c r="AO127" i="20"/>
  <c r="AF130" i="20"/>
  <c r="AH132" i="20"/>
  <c r="AJ134" i="20"/>
  <c r="AL136" i="20"/>
  <c r="AN138" i="20"/>
  <c r="AE141" i="20"/>
  <c r="AG143" i="20"/>
  <c r="AI145" i="20"/>
  <c r="AK147" i="20"/>
  <c r="AM149" i="20"/>
  <c r="AO151" i="20"/>
  <c r="AF154" i="20"/>
  <c r="AG10" i="20"/>
  <c r="AI12" i="20"/>
  <c r="AK14" i="20"/>
  <c r="AM16" i="20"/>
  <c r="AO18" i="20"/>
  <c r="AF21" i="20"/>
  <c r="AH23" i="20"/>
  <c r="AJ25" i="20"/>
  <c r="AL27" i="20"/>
  <c r="AN29" i="20"/>
  <c r="AE32" i="20"/>
  <c r="AG34" i="20"/>
  <c r="AI36" i="20"/>
  <c r="AK38" i="20"/>
  <c r="AM40" i="20"/>
  <c r="AO42" i="20"/>
  <c r="AF45" i="20"/>
  <c r="AH47" i="20"/>
  <c r="AJ49" i="20"/>
  <c r="AL51" i="20"/>
  <c r="AN53" i="20"/>
  <c r="AE56" i="20"/>
  <c r="AG58" i="20"/>
  <c r="AI60" i="20"/>
  <c r="AK62" i="20"/>
  <c r="AM64" i="20"/>
  <c r="AO66" i="20"/>
  <c r="AF69" i="20"/>
  <c r="AH71" i="20"/>
  <c r="AJ73" i="20"/>
  <c r="AL75" i="20"/>
  <c r="AN77" i="20"/>
  <c r="AE80" i="20"/>
  <c r="AG82" i="20"/>
  <c r="AI84" i="20"/>
  <c r="AK86" i="20"/>
  <c r="AM88" i="20"/>
  <c r="AO90" i="20"/>
  <c r="AF93" i="20"/>
  <c r="AH95" i="20"/>
  <c r="AJ97" i="20"/>
  <c r="AL99" i="20"/>
  <c r="AN101" i="20"/>
  <c r="AE104" i="20"/>
  <c r="AG106" i="20"/>
  <c r="AI108" i="20"/>
  <c r="AK110" i="20"/>
  <c r="AM112" i="20"/>
  <c r="AO114" i="20"/>
  <c r="AF117" i="20"/>
  <c r="AH119" i="20"/>
  <c r="AJ121" i="20"/>
  <c r="AL123" i="20"/>
  <c r="AN125" i="20"/>
  <c r="AE128" i="20"/>
  <c r="AG130" i="20"/>
  <c r="AI132" i="20"/>
  <c r="AK134" i="20"/>
  <c r="AM136" i="20"/>
  <c r="AO138" i="20"/>
  <c r="AF141" i="20"/>
  <c r="AH143" i="20"/>
  <c r="AJ145" i="20"/>
  <c r="AL147" i="20"/>
  <c r="AN149" i="20"/>
  <c r="AE152" i="20"/>
  <c r="AG154" i="20"/>
  <c r="AI156" i="20"/>
  <c r="AK158" i="20"/>
  <c r="AM160" i="20"/>
  <c r="AO174" i="20"/>
  <c r="AF177" i="20"/>
  <c r="AH179" i="20"/>
  <c r="AJ181" i="20"/>
  <c r="AL183" i="20"/>
  <c r="AN185" i="20"/>
  <c r="AE188" i="20"/>
  <c r="AG190" i="20"/>
  <c r="AI192" i="20"/>
  <c r="AK194" i="20"/>
  <c r="AM196" i="20"/>
  <c r="AO198" i="20"/>
  <c r="AF201" i="20"/>
  <c r="AH203" i="20"/>
  <c r="AJ205" i="20"/>
  <c r="AL211" i="20"/>
  <c r="AE11" i="20"/>
  <c r="AG13" i="20"/>
  <c r="AI15" i="20"/>
  <c r="AK17" i="20"/>
  <c r="AM19" i="20"/>
  <c r="AO21" i="20"/>
  <c r="AF24" i="20"/>
  <c r="AH26" i="20"/>
  <c r="AJ28" i="20"/>
  <c r="AL30" i="20"/>
  <c r="AN32" i="20"/>
  <c r="AE35" i="20"/>
  <c r="AG37" i="20"/>
  <c r="AI39" i="20"/>
  <c r="AK41" i="20"/>
  <c r="AM43" i="20"/>
  <c r="AO45" i="20"/>
  <c r="AF48" i="20"/>
  <c r="AH50" i="20"/>
  <c r="AJ52" i="20"/>
  <c r="AL54" i="20"/>
  <c r="AN56" i="20"/>
  <c r="AE59" i="20"/>
  <c r="AG61" i="20"/>
  <c r="AI63" i="20"/>
  <c r="AK65" i="20"/>
  <c r="AM67" i="20"/>
  <c r="AO69" i="20"/>
  <c r="AF72" i="20"/>
  <c r="AH74" i="20"/>
  <c r="AJ76" i="20"/>
  <c r="AL78" i="20"/>
  <c r="AN80" i="20"/>
  <c r="AE83" i="20"/>
  <c r="AG85" i="20"/>
  <c r="AI87" i="20"/>
  <c r="AK89" i="20"/>
  <c r="AM91" i="20"/>
  <c r="AO93" i="20"/>
  <c r="AF96" i="20"/>
  <c r="AH98" i="20"/>
  <c r="AJ100" i="20"/>
  <c r="AL102" i="20"/>
  <c r="AN104" i="20"/>
  <c r="AE107" i="20"/>
  <c r="AG109" i="20"/>
  <c r="AI111" i="20"/>
  <c r="AK113" i="20"/>
  <c r="AM115" i="20"/>
  <c r="AO117" i="20"/>
  <c r="AF120" i="20"/>
  <c r="AH122" i="20"/>
  <c r="AJ124" i="20"/>
  <c r="AL126" i="20"/>
  <c r="AN128" i="20"/>
  <c r="AE131" i="20"/>
  <c r="AG133" i="20"/>
  <c r="AI135" i="20"/>
  <c r="AK137" i="20"/>
  <c r="AM139" i="20"/>
  <c r="AO141" i="20"/>
  <c r="AF144" i="20"/>
  <c r="AH146" i="20"/>
  <c r="AJ148" i="20"/>
  <c r="AL150" i="20"/>
  <c r="AN152" i="20"/>
  <c r="AE155" i="20"/>
  <c r="AG157" i="20"/>
  <c r="AI159" i="20"/>
  <c r="AK162" i="20"/>
  <c r="AM175" i="20"/>
  <c r="AO177" i="20"/>
  <c r="AF180" i="20"/>
  <c r="AH182" i="20"/>
  <c r="AJ184" i="20"/>
  <c r="AL186" i="20"/>
  <c r="AN188" i="20"/>
  <c r="AE191" i="20"/>
  <c r="AG193" i="20"/>
  <c r="AI195" i="20"/>
  <c r="AK197" i="20"/>
  <c r="AM199" i="20"/>
  <c r="AO201" i="20"/>
  <c r="AF204" i="20"/>
  <c r="AH207" i="20"/>
  <c r="AJ213" i="20"/>
  <c r="AE9" i="20"/>
  <c r="AJ11" i="20"/>
  <c r="AO13" i="20"/>
  <c r="AI16" i="20"/>
  <c r="AE19" i="20"/>
  <c r="AJ21" i="20"/>
  <c r="AO23" i="20"/>
  <c r="AJ26" i="20"/>
  <c r="AO28" i="20"/>
  <c r="AI31" i="20"/>
  <c r="AN33" i="20"/>
  <c r="AJ36" i="20"/>
  <c r="AO38" i="20"/>
  <c r="AI41" i="20"/>
  <c r="AO43" i="20"/>
  <c r="AI46" i="20"/>
  <c r="AN48" i="20"/>
  <c r="AH51" i="20"/>
  <c r="AO53" i="20"/>
  <c r="AI56" i="20"/>
  <c r="AN58" i="20"/>
  <c r="AI61" i="20"/>
  <c r="AN63" i="20"/>
  <c r="AH66" i="20"/>
  <c r="AM68" i="20"/>
  <c r="AI71" i="20"/>
  <c r="AN73" i="20"/>
  <c r="AH76" i="20"/>
  <c r="AN78" i="20"/>
  <c r="AH81" i="20"/>
  <c r="AM83" i="20"/>
  <c r="AG86" i="20"/>
  <c r="AN88" i="20"/>
  <c r="AH91" i="20"/>
  <c r="AM93" i="20"/>
  <c r="AH96" i="20"/>
  <c r="AM98" i="20"/>
  <c r="AG101" i="20"/>
  <c r="AL103" i="20"/>
  <c r="AH106" i="20"/>
  <c r="AM108" i="20"/>
  <c r="AG111" i="20"/>
  <c r="AM113" i="20"/>
  <c r="AG116" i="20"/>
  <c r="AL118" i="20"/>
  <c r="AF121" i="20"/>
  <c r="AM123" i="20"/>
  <c r="AG126" i="20"/>
  <c r="AL128" i="20"/>
  <c r="AG131" i="20"/>
  <c r="AL133" i="20"/>
  <c r="AF136" i="20"/>
  <c r="AK138" i="20"/>
  <c r="AG141" i="20"/>
  <c r="AL143" i="20"/>
  <c r="AF146" i="20"/>
  <c r="AL148" i="20"/>
  <c r="AF151" i="20"/>
  <c r="AK153" i="20"/>
  <c r="AE156" i="20"/>
  <c r="AI158" i="20"/>
  <c r="AN160" i="20"/>
  <c r="AG175" i="20"/>
  <c r="AK177" i="20"/>
  <c r="AO179" i="20"/>
  <c r="AI182" i="20"/>
  <c r="AM184" i="20"/>
  <c r="AF187" i="20"/>
  <c r="AJ189" i="20"/>
  <c r="AN191" i="20"/>
  <c r="AG194" i="20"/>
  <c r="AK196" i="20"/>
  <c r="AE199" i="20"/>
  <c r="AI201" i="20"/>
  <c r="AM203" i="20"/>
  <c r="AF207" i="20"/>
  <c r="AK213" i="20"/>
  <c r="AF9" i="20"/>
  <c r="AK11" i="20"/>
  <c r="AE14" i="20"/>
  <c r="AJ16" i="20"/>
  <c r="AF19" i="20"/>
  <c r="AK21" i="20"/>
  <c r="AE24" i="20"/>
  <c r="AK26" i="20"/>
  <c r="AE29" i="20"/>
  <c r="AJ31" i="20"/>
  <c r="AO33" i="20"/>
  <c r="AK36" i="20"/>
  <c r="AE39" i="20"/>
  <c r="AJ41" i="20"/>
  <c r="AE44" i="20"/>
  <c r="AJ46" i="20"/>
  <c r="AO48" i="20"/>
  <c r="AI51" i="20"/>
  <c r="AE54" i="20"/>
  <c r="AJ56" i="20"/>
  <c r="AO58" i="20"/>
  <c r="AJ61" i="20"/>
  <c r="AO63" i="20"/>
  <c r="AI66" i="20"/>
  <c r="AN68" i="20"/>
  <c r="AJ71" i="20"/>
  <c r="AO73" i="20"/>
  <c r="AI76" i="20"/>
  <c r="AO78" i="20"/>
  <c r="AI81" i="20"/>
  <c r="AN83" i="20"/>
  <c r="AH86" i="20"/>
  <c r="AO88" i="20"/>
  <c r="AI91" i="20"/>
  <c r="AN93" i="20"/>
  <c r="AI96" i="20"/>
  <c r="AN98" i="20"/>
  <c r="AH101" i="20"/>
  <c r="AM103" i="20"/>
  <c r="AI106" i="20"/>
  <c r="AN108" i="20"/>
  <c r="AH111" i="20"/>
  <c r="AN113" i="20"/>
  <c r="AH116" i="20"/>
  <c r="AM118" i="20"/>
  <c r="AG121" i="20"/>
  <c r="AN123" i="20"/>
  <c r="AH126" i="20"/>
  <c r="AM128" i="20"/>
  <c r="AH131" i="20"/>
  <c r="AM133" i="20"/>
  <c r="AG136" i="20"/>
  <c r="AL138" i="20"/>
  <c r="AH141" i="20"/>
  <c r="AM143" i="20"/>
  <c r="AG146" i="20"/>
  <c r="AM148" i="20"/>
  <c r="AG151" i="20"/>
  <c r="AL153" i="20"/>
  <c r="AF156" i="20"/>
  <c r="AJ158" i="20"/>
  <c r="AO160" i="20"/>
  <c r="AH175" i="20"/>
  <c r="AL177" i="20"/>
  <c r="AE180" i="20"/>
  <c r="AJ182" i="20"/>
  <c r="AN184" i="20"/>
  <c r="AG187" i="20"/>
  <c r="AK189" i="20"/>
  <c r="AO191" i="20"/>
  <c r="AH194" i="20"/>
  <c r="AL196" i="20"/>
  <c r="AF199" i="20"/>
  <c r="AJ201" i="20"/>
  <c r="AN203" i="20"/>
  <c r="AG207" i="20"/>
  <c r="AL213" i="20"/>
  <c r="AG9" i="20"/>
  <c r="AL11" i="20"/>
  <c r="AF14" i="20"/>
  <c r="AK16" i="20"/>
  <c r="AG19" i="20"/>
  <c r="AL21" i="20"/>
  <c r="AG24" i="20"/>
  <c r="AL26" i="20"/>
  <c r="AF29" i="20"/>
  <c r="AK31" i="20"/>
  <c r="AE34" i="20"/>
  <c r="AL36" i="20"/>
  <c r="AO9" i="20"/>
  <c r="AK12" i="20"/>
  <c r="AE15" i="20"/>
  <c r="AJ17" i="20"/>
  <c r="AE20" i="20"/>
  <c r="AJ22" i="20"/>
  <c r="AO24" i="20"/>
  <c r="AI27" i="20"/>
  <c r="AE30" i="20"/>
  <c r="AJ32" i="20"/>
  <c r="AO34" i="20"/>
  <c r="AJ37" i="20"/>
  <c r="AO39" i="20"/>
  <c r="AI42" i="20"/>
  <c r="AN44" i="20"/>
  <c r="AJ47" i="20"/>
  <c r="AO49" i="20"/>
  <c r="AI52" i="20"/>
  <c r="AO54" i="20"/>
  <c r="AI57" i="20"/>
  <c r="AN59" i="20"/>
  <c r="AH62" i="20"/>
  <c r="AO64" i="20"/>
  <c r="AI67" i="20"/>
  <c r="AN69" i="20"/>
  <c r="AI72" i="20"/>
  <c r="AN74" i="20"/>
  <c r="AH77" i="20"/>
  <c r="AM79" i="20"/>
  <c r="AI82" i="20"/>
  <c r="AN84" i="20"/>
  <c r="AH87" i="20"/>
  <c r="AN89" i="20"/>
  <c r="AH92" i="20"/>
  <c r="AM94" i="20"/>
  <c r="AG97" i="20"/>
  <c r="AN99" i="20"/>
  <c r="AH102" i="20"/>
  <c r="AM104" i="20"/>
  <c r="AH107" i="20"/>
  <c r="AM109" i="20"/>
  <c r="AG112" i="20"/>
  <c r="AL114" i="20"/>
  <c r="AH117" i="20"/>
  <c r="AM119" i="20"/>
  <c r="AG122" i="20"/>
  <c r="AM124" i="20"/>
  <c r="AG127" i="20"/>
  <c r="AL129" i="20"/>
  <c r="AF132" i="20"/>
  <c r="AM134" i="20"/>
  <c r="AG137" i="20"/>
  <c r="AL139" i="20"/>
  <c r="AG142" i="20"/>
  <c r="AL144" i="20"/>
  <c r="AF147" i="20"/>
  <c r="AK149" i="20"/>
  <c r="AG152" i="20"/>
  <c r="AL154" i="20"/>
  <c r="AE157" i="20"/>
  <c r="AJ159" i="20"/>
  <c r="AN162" i="20"/>
  <c r="AG176" i="20"/>
  <c r="AK178" i="20"/>
  <c r="AO180" i="20"/>
  <c r="AH183" i="20"/>
  <c r="AL185" i="20"/>
  <c r="AF188" i="20"/>
  <c r="AJ190" i="20"/>
  <c r="AN192" i="20"/>
  <c r="AG195" i="20"/>
  <c r="AL197" i="20"/>
  <c r="AE200" i="20"/>
  <c r="AI202" i="20"/>
  <c r="AM204" i="20"/>
  <c r="AF211" i="20"/>
  <c r="AL9" i="20"/>
  <c r="AM12" i="20"/>
  <c r="AL15" i="20"/>
  <c r="AJ18" i="20"/>
  <c r="AM21" i="20"/>
  <c r="AL24" i="20"/>
  <c r="AM27" i="20"/>
  <c r="AK30" i="20"/>
  <c r="AJ33" i="20"/>
  <c r="AM36" i="20"/>
  <c r="AK39" i="20"/>
  <c r="AH42" i="20"/>
  <c r="AH45" i="20"/>
  <c r="AE48" i="20"/>
  <c r="AN50" i="20"/>
  <c r="AK53" i="20"/>
  <c r="AL56" i="20"/>
  <c r="AJ59" i="20"/>
  <c r="AG62" i="20"/>
  <c r="AG65" i="20"/>
  <c r="AE68" i="20"/>
  <c r="AM70" i="20"/>
  <c r="AL73" i="20"/>
  <c r="AL76" i="20"/>
  <c r="AI79" i="20"/>
  <c r="AH82" i="20"/>
  <c r="AF85" i="20"/>
  <c r="AO87" i="20"/>
  <c r="AL90" i="20"/>
  <c r="AK93" i="20"/>
  <c r="AK96" i="20"/>
  <c r="AH99" i="20"/>
  <c r="AG102" i="20"/>
  <c r="AF105" i="20"/>
  <c r="AN107" i="20"/>
  <c r="AM110" i="20"/>
  <c r="AJ113" i="20"/>
  <c r="AJ116" i="20"/>
  <c r="AI119" i="20"/>
  <c r="AF122" i="20"/>
  <c r="AE125" i="20"/>
  <c r="AM127" i="20"/>
  <c r="AL130" i="20"/>
  <c r="AJ133" i="20"/>
  <c r="AI136" i="20"/>
  <c r="AH139" i="20"/>
  <c r="AF142" i="20"/>
  <c r="AO144" i="20"/>
  <c r="AN147" i="20"/>
  <c r="AK150" i="20"/>
  <c r="AI153" i="20"/>
  <c r="AH156" i="20"/>
  <c r="AE159" i="20"/>
  <c r="AM162" i="20"/>
  <c r="AJ176" i="20"/>
  <c r="AF179" i="20"/>
  <c r="AN181" i="20"/>
  <c r="AK184" i="20"/>
  <c r="AI187" i="20"/>
  <c r="AE190" i="20"/>
  <c r="AM192" i="20"/>
  <c r="AK195" i="20"/>
  <c r="AG198" i="20"/>
  <c r="AN200" i="20"/>
  <c r="AK203" i="20"/>
  <c r="AJ207" i="20"/>
  <c r="AE13" i="20"/>
  <c r="AM18" i="20"/>
  <c r="AE28" i="20"/>
  <c r="AM33" i="20"/>
  <c r="AM9" i="20"/>
  <c r="AN12" i="20"/>
  <c r="AM15" i="20"/>
  <c r="AK18" i="20"/>
  <c r="AN21" i="20"/>
  <c r="AM24" i="20"/>
  <c r="AN27" i="20"/>
  <c r="AM30" i="20"/>
  <c r="AK33" i="20"/>
  <c r="AN36" i="20"/>
  <c r="AL39" i="20"/>
  <c r="AJ42" i="20"/>
  <c r="AI45" i="20"/>
  <c r="AG48" i="20"/>
  <c r="AO50" i="20"/>
  <c r="AL53" i="20"/>
  <c r="AM56" i="20"/>
  <c r="AK59" i="20"/>
  <c r="AI62" i="20"/>
  <c r="AH65" i="20"/>
  <c r="AF68" i="20"/>
  <c r="AN70" i="20"/>
  <c r="AM73" i="20"/>
  <c r="AM76" i="20"/>
  <c r="AJ79" i="20"/>
  <c r="AJ82" i="20"/>
  <c r="AH85" i="20"/>
  <c r="AE88" i="20"/>
  <c r="AM90" i="20"/>
  <c r="AL93" i="20"/>
  <c r="AL96" i="20"/>
  <c r="AI99" i="20"/>
  <c r="AI102" i="20"/>
  <c r="AG105" i="20"/>
  <c r="AO107" i="20"/>
  <c r="AN110" i="20"/>
  <c r="AL113" i="20"/>
  <c r="AK116" i="20"/>
  <c r="AJ119" i="20"/>
  <c r="AI122" i="20"/>
  <c r="AF125" i="20"/>
  <c r="AN127" i="20"/>
  <c r="AM130" i="20"/>
  <c r="AK133" i="20"/>
  <c r="AJ136" i="20"/>
  <c r="AI139" i="20"/>
  <c r="AH142" i="20"/>
  <c r="AE145" i="20"/>
  <c r="AO147" i="20"/>
  <c r="AM150" i="20"/>
  <c r="AJ153" i="20"/>
  <c r="AJ156" i="20"/>
  <c r="AF159" i="20"/>
  <c r="AO162" i="20"/>
  <c r="AK176" i="20"/>
  <c r="AG179" i="20"/>
  <c r="AO181" i="20"/>
  <c r="AL184" i="20"/>
  <c r="AJ187" i="20"/>
  <c r="AF190" i="20"/>
  <c r="AO192" i="20"/>
  <c r="AL195" i="20"/>
  <c r="AH198" i="20"/>
  <c r="AO200" i="20"/>
  <c r="AL203" i="20"/>
  <c r="AK207" i="20"/>
  <c r="AO15" i="20"/>
  <c r="AE25" i="20"/>
  <c r="AO30" i="20"/>
  <c r="AN9" i="20"/>
  <c r="AO12" i="20"/>
  <c r="AN15" i="20"/>
  <c r="AL18" i="20"/>
  <c r="AE22" i="20"/>
  <c r="AN24" i="20"/>
  <c r="AO27" i="20"/>
  <c r="AN30" i="20"/>
  <c r="AL33" i="20"/>
  <c r="AO36" i="20"/>
  <c r="AM39" i="20"/>
  <c r="AK42" i="20"/>
  <c r="AJ45" i="20"/>
  <c r="AH48" i="20"/>
  <c r="AE51" i="20"/>
  <c r="AF54" i="20"/>
  <c r="AO56" i="20"/>
  <c r="AL59" i="20"/>
  <c r="AL62" i="20"/>
  <c r="AI65" i="20"/>
  <c r="AG68" i="20"/>
  <c r="AO70" i="20"/>
  <c r="AE74" i="20"/>
  <c r="AN76" i="20"/>
  <c r="AK79" i="20"/>
  <c r="AK82" i="20"/>
  <c r="AI85" i="20"/>
  <c r="AF88" i="20"/>
  <c r="AE91" i="20"/>
  <c r="AE94" i="20"/>
  <c r="AM96" i="20"/>
  <c r="AJ99" i="20"/>
  <c r="AJ102" i="20"/>
  <c r="AH105" i="20"/>
  <c r="AE108" i="20"/>
  <c r="AO110" i="20"/>
  <c r="AO113" i="20"/>
  <c r="AL116" i="20"/>
  <c r="AK119" i="20"/>
  <c r="AJ122" i="20"/>
  <c r="AG125" i="20"/>
  <c r="AF128" i="20"/>
  <c r="AN130" i="20"/>
  <c r="AN133" i="20"/>
  <c r="AK136" i="20"/>
  <c r="AJ139" i="20"/>
  <c r="AI142" i="20"/>
  <c r="AF145" i="20"/>
  <c r="AE148" i="20"/>
  <c r="AN150" i="20"/>
  <c r="AM153" i="20"/>
  <c r="AK156" i="20"/>
  <c r="AG159" i="20"/>
  <c r="AE174" i="20"/>
  <c r="AL176" i="20"/>
  <c r="AI179" i="20"/>
  <c r="AE182" i="20"/>
  <c r="AO184" i="20"/>
  <c r="AK187" i="20"/>
  <c r="AH190" i="20"/>
  <c r="AE193" i="20"/>
  <c r="AM195" i="20"/>
  <c r="AI198" i="20"/>
  <c r="AE201" i="20"/>
  <c r="AO203" i="20"/>
  <c r="AL207" i="20"/>
  <c r="AE10" i="20"/>
  <c r="AF22" i="20"/>
  <c r="AN10" i="20"/>
  <c r="AM13" i="20"/>
  <c r="AE17" i="20"/>
  <c r="AO19" i="20"/>
  <c r="AN22" i="20"/>
  <c r="AN25" i="20"/>
  <c r="AM28" i="20"/>
  <c r="AN31" i="20"/>
  <c r="AN34" i="20"/>
  <c r="AN37" i="20"/>
  <c r="AK40" i="20"/>
  <c r="AJ43" i="20"/>
  <c r="AH46" i="20"/>
  <c r="AG49" i="20"/>
  <c r="AF52" i="20"/>
  <c r="AE55" i="20"/>
  <c r="AM57" i="20"/>
  <c r="AL60" i="20"/>
  <c r="AJ63" i="20"/>
  <c r="AG66" i="20"/>
  <c r="AH69" i="20"/>
  <c r="AE72" i="20"/>
  <c r="AO74" i="20"/>
  <c r="AL77" i="20"/>
  <c r="AK80" i="20"/>
  <c r="AI83" i="20"/>
  <c r="AF86" i="20"/>
  <c r="AG89" i="20"/>
  <c r="AE92" i="20"/>
  <c r="AN94" i="20"/>
  <c r="AM97" i="20"/>
  <c r="AK100" i="20"/>
  <c r="AH103" i="20"/>
  <c r="AE106" i="20"/>
  <c r="AF109" i="20"/>
  <c r="AO111" i="20"/>
  <c r="AM114" i="20"/>
  <c r="AL117" i="20"/>
  <c r="AJ120" i="20"/>
  <c r="AG123" i="20"/>
  <c r="AF126" i="20"/>
  <c r="AF129" i="20"/>
  <c r="AN131" i="20"/>
  <c r="AN134" i="20"/>
  <c r="AL137" i="20"/>
  <c r="AI140" i="20"/>
  <c r="AF143" i="20"/>
  <c r="AE146" i="20"/>
  <c r="AE149" i="20"/>
  <c r="AM151" i="20"/>
  <c r="AM154" i="20"/>
  <c r="AJ157" i="20"/>
  <c r="AF160" i="20"/>
  <c r="AM174" i="20"/>
  <c r="AJ177" i="20"/>
  <c r="AI180" i="20"/>
  <c r="AE183" i="20"/>
  <c r="AM185" i="20"/>
  <c r="AJ188" i="20"/>
  <c r="AG191" i="20"/>
  <c r="AN193" i="20"/>
  <c r="AJ196" i="20"/>
  <c r="AI199" i="20"/>
  <c r="AF202" i="20"/>
  <c r="AN204" i="20"/>
  <c r="AJ211" i="20"/>
  <c r="AN11" i="20"/>
  <c r="AJ15" i="20"/>
  <c r="AK19" i="20"/>
  <c r="AF23" i="20"/>
  <c r="AO26" i="20"/>
  <c r="AJ30" i="20"/>
  <c r="AL34" i="20"/>
  <c r="AF38" i="20"/>
  <c r="AL41" i="20"/>
  <c r="AM44" i="20"/>
  <c r="AJ48" i="20"/>
  <c r="AO51" i="20"/>
  <c r="AH55" i="20"/>
  <c r="AK58" i="20"/>
  <c r="AO61" i="20"/>
  <c r="AL65" i="20"/>
  <c r="AO68" i="20"/>
  <c r="AJ72" i="20"/>
  <c r="AM75" i="20"/>
  <c r="AF79" i="20"/>
  <c r="AM82" i="20"/>
  <c r="AO85" i="20"/>
  <c r="AJ89" i="20"/>
  <c r="AM92" i="20"/>
  <c r="AE96" i="20"/>
  <c r="AO99" i="20"/>
  <c r="AF103" i="20"/>
  <c r="AL106" i="20"/>
  <c r="AO109" i="20"/>
  <c r="AG113" i="20"/>
  <c r="AN116" i="20"/>
  <c r="AH120" i="20"/>
  <c r="AJ123" i="20"/>
  <c r="AE127" i="20"/>
  <c r="AI130" i="20"/>
  <c r="AE134" i="20"/>
  <c r="AI137" i="20"/>
  <c r="AL140" i="20"/>
  <c r="AG144" i="20"/>
  <c r="AO11" i="20"/>
  <c r="AK15" i="20"/>
  <c r="AL19" i="20"/>
  <c r="AI23" i="20"/>
  <c r="AE27" i="20"/>
  <c r="AE31" i="20"/>
  <c r="AM34" i="20"/>
  <c r="AG38" i="20"/>
  <c r="AM41" i="20"/>
  <c r="AO44" i="20"/>
  <c r="AK48" i="20"/>
  <c r="AE52" i="20"/>
  <c r="AI55" i="20"/>
  <c r="AL58" i="20"/>
  <c r="AE62" i="20"/>
  <c r="AM65" i="20"/>
  <c r="AG69" i="20"/>
  <c r="AK72" i="20"/>
  <c r="AN75" i="20"/>
  <c r="AG79" i="20"/>
  <c r="AN82" i="20"/>
  <c r="AE86" i="20"/>
  <c r="AL89" i="20"/>
  <c r="AN92" i="20"/>
  <c r="AG96" i="20"/>
  <c r="AE100" i="20"/>
  <c r="AG103" i="20"/>
  <c r="AM106" i="20"/>
  <c r="AE110" i="20"/>
  <c r="AH113" i="20"/>
  <c r="AO116" i="20"/>
  <c r="AI120" i="20"/>
  <c r="AO123" i="20"/>
  <c r="AF127" i="20"/>
  <c r="AJ130" i="20"/>
  <c r="AF134" i="20"/>
  <c r="AJ137" i="20"/>
  <c r="AM140" i="20"/>
  <c r="AH144" i="20"/>
  <c r="AE12" i="20"/>
  <c r="AE16" i="20"/>
  <c r="AN19" i="20"/>
  <c r="AJ23" i="20"/>
  <c r="AF27" i="20"/>
  <c r="AF31" i="20"/>
  <c r="AF35" i="20"/>
  <c r="AH38" i="20"/>
  <c r="AN41" i="20"/>
  <c r="AG45" i="20"/>
  <c r="AL48" i="20"/>
  <c r="AG52" i="20"/>
  <c r="AJ55" i="20"/>
  <c r="AM58" i="20"/>
  <c r="AF62" i="20"/>
  <c r="AN65" i="20"/>
  <c r="AI69" i="20"/>
  <c r="AL72" i="20"/>
  <c r="AO75" i="20"/>
  <c r="AH79" i="20"/>
  <c r="AO82" i="20"/>
  <c r="AI86" i="20"/>
  <c r="AM89" i="20"/>
  <c r="AO92" i="20"/>
  <c r="AJ96" i="20"/>
  <c r="AF100" i="20"/>
  <c r="AI103" i="20"/>
  <c r="AN106" i="20"/>
  <c r="AF110" i="20"/>
  <c r="AI113" i="20"/>
  <c r="AG117" i="20"/>
  <c r="AJ10" i="20"/>
  <c r="AG14" i="20"/>
  <c r="AN17" i="20"/>
  <c r="AH21" i="20"/>
  <c r="AK25" i="20"/>
  <c r="AH29" i="20"/>
  <c r="AO32" i="20"/>
  <c r="AG36" i="20"/>
  <c r="AG40" i="20"/>
  <c r="AK43" i="20"/>
  <c r="AO46" i="20"/>
  <c r="AI50" i="20"/>
  <c r="AJ53" i="20"/>
  <c r="AH57" i="20"/>
  <c r="AM60" i="20"/>
  <c r="AF64" i="20"/>
  <c r="AJ67" i="20"/>
  <c r="AL70" i="20"/>
  <c r="AJ74" i="20"/>
  <c r="AO77" i="20"/>
  <c r="AF81" i="20"/>
  <c r="AK84" i="20"/>
  <c r="AN87" i="20"/>
  <c r="AK91" i="20"/>
  <c r="AO94" i="20"/>
  <c r="AG98" i="20"/>
  <c r="AK101" i="20"/>
  <c r="AE105" i="20"/>
  <c r="AK108" i="20"/>
  <c r="AE112" i="20"/>
  <c r="AI115" i="20"/>
  <c r="AK118" i="20"/>
  <c r="AE122" i="20"/>
  <c r="AK125" i="20"/>
  <c r="AG129" i="20"/>
  <c r="AK132" i="20"/>
  <c r="AM135" i="20"/>
  <c r="AG139" i="20"/>
  <c r="AM142" i="20"/>
  <c r="AG11" i="20"/>
  <c r="AF16" i="20"/>
  <c r="AJ20" i="20"/>
  <c r="AF25" i="20"/>
  <c r="AJ29" i="20"/>
  <c r="AH34" i="20"/>
  <c r="AI38" i="20"/>
  <c r="AL42" i="20"/>
  <c r="AL46" i="20"/>
  <c r="AK50" i="20"/>
  <c r="AM54" i="20"/>
  <c r="AF59" i="20"/>
  <c r="AF63" i="20"/>
  <c r="AF67" i="20"/>
  <c r="AF71" i="20"/>
  <c r="AG75" i="20"/>
  <c r="AL79" i="20"/>
  <c r="AK83" i="20"/>
  <c r="AK87" i="20"/>
  <c r="AN91" i="20"/>
  <c r="AL95" i="20"/>
  <c r="AG100" i="20"/>
  <c r="AG104" i="20"/>
  <c r="AF108" i="20"/>
  <c r="AH112" i="20"/>
  <c r="AE116" i="20"/>
  <c r="AK120" i="20"/>
  <c r="AH124" i="20"/>
  <c r="AH128" i="20"/>
  <c r="AE132" i="20"/>
  <c r="AN135" i="20"/>
  <c r="AE140" i="20"/>
  <c r="AN143" i="20"/>
  <c r="AH147" i="20"/>
  <c r="AO150" i="20"/>
  <c r="AI154" i="20"/>
  <c r="AL157" i="20"/>
  <c r="AL160" i="20"/>
  <c r="AE176" i="20"/>
  <c r="AJ179" i="20"/>
  <c r="AM182" i="20"/>
  <c r="AE186" i="20"/>
  <c r="AF189" i="20"/>
  <c r="AH192" i="20"/>
  <c r="AN195" i="20"/>
  <c r="AN198" i="20"/>
  <c r="AH202" i="20"/>
  <c r="AI205" i="20"/>
  <c r="AM213" i="20"/>
  <c r="AM11" i="20"/>
  <c r="AL25" i="20"/>
  <c r="AN38" i="20"/>
  <c r="AG55" i="20"/>
  <c r="AK63" i="20"/>
  <c r="AJ75" i="20"/>
  <c r="AG88" i="20"/>
  <c r="AO95" i="20"/>
  <c r="AJ104" i="20"/>
  <c r="AK112" i="20"/>
  <c r="AK128" i="20"/>
  <c r="AH140" i="20"/>
  <c r="AN154" i="20"/>
  <c r="AI176" i="20"/>
  <c r="AH186" i="20"/>
  <c r="AL192" i="20"/>
  <c r="AL202" i="20"/>
  <c r="AF12" i="20"/>
  <c r="AN20" i="20"/>
  <c r="AM25" i="20"/>
  <c r="AF30" i="20"/>
  <c r="AF39" i="20"/>
  <c r="AF47" i="20"/>
  <c r="AK55" i="20"/>
  <c r="AH11" i="20"/>
  <c r="AG16" i="20"/>
  <c r="AK20" i="20"/>
  <c r="AG25" i="20"/>
  <c r="AK29" i="20"/>
  <c r="AI34" i="20"/>
  <c r="AL38" i="20"/>
  <c r="AM42" i="20"/>
  <c r="AM46" i="20"/>
  <c r="AL50" i="20"/>
  <c r="AN54" i="20"/>
  <c r="AG59" i="20"/>
  <c r="AG63" i="20"/>
  <c r="AG67" i="20"/>
  <c r="AK71" i="20"/>
  <c r="AH75" i="20"/>
  <c r="AN79" i="20"/>
  <c r="AL83" i="20"/>
  <c r="AL87" i="20"/>
  <c r="AO91" i="20"/>
  <c r="AM95" i="20"/>
  <c r="AH100" i="20"/>
  <c r="AH104" i="20"/>
  <c r="AG108" i="20"/>
  <c r="AI112" i="20"/>
  <c r="AF116" i="20"/>
  <c r="AL120" i="20"/>
  <c r="AI124" i="20"/>
  <c r="AI128" i="20"/>
  <c r="AG132" i="20"/>
  <c r="AO135" i="20"/>
  <c r="AF140" i="20"/>
  <c r="AO143" i="20"/>
  <c r="AI147" i="20"/>
  <c r="AE151" i="20"/>
  <c r="AJ154" i="20"/>
  <c r="AM157" i="20"/>
  <c r="AE162" i="20"/>
  <c r="AF176" i="20"/>
  <c r="AK179" i="20"/>
  <c r="AN182" i="20"/>
  <c r="AF186" i="20"/>
  <c r="AG189" i="20"/>
  <c r="AJ192" i="20"/>
  <c r="AO195" i="20"/>
  <c r="AG199" i="20"/>
  <c r="AJ202" i="20"/>
  <c r="AK205" i="20"/>
  <c r="AN16" i="20"/>
  <c r="AM20" i="20"/>
  <c r="AO29" i="20"/>
  <c r="AK34" i="20"/>
  <c r="AF43" i="20"/>
  <c r="AF51" i="20"/>
  <c r="AI59" i="20"/>
  <c r="AK67" i="20"/>
  <c r="AM71" i="20"/>
  <c r="AG80" i="20"/>
  <c r="AG92" i="20"/>
  <c r="AL100" i="20"/>
  <c r="AL108" i="20"/>
  <c r="AM116" i="20"/>
  <c r="AL124" i="20"/>
  <c r="AL132" i="20"/>
  <c r="AH136" i="20"/>
  <c r="AI144" i="20"/>
  <c r="AI151" i="20"/>
  <c r="AO157" i="20"/>
  <c r="AG162" i="20"/>
  <c r="AF183" i="20"/>
  <c r="AI189" i="20"/>
  <c r="AJ199" i="20"/>
  <c r="AM205" i="20"/>
  <c r="AO16" i="20"/>
  <c r="AG35" i="20"/>
  <c r="AG51" i="20"/>
  <c r="AI11" i="20"/>
  <c r="AH16" i="20"/>
  <c r="AL20" i="20"/>
  <c r="AH25" i="20"/>
  <c r="AL29" i="20"/>
  <c r="AJ34" i="20"/>
  <c r="AM38" i="20"/>
  <c r="AE43" i="20"/>
  <c r="AN46" i="20"/>
  <c r="AM50" i="20"/>
  <c r="AF55" i="20"/>
  <c r="AH59" i="20"/>
  <c r="AH63" i="20"/>
  <c r="AH67" i="20"/>
  <c r="AL71" i="20"/>
  <c r="AI75" i="20"/>
  <c r="AF80" i="20"/>
  <c r="AO83" i="20"/>
  <c r="AM87" i="20"/>
  <c r="AF92" i="20"/>
  <c r="AN95" i="20"/>
  <c r="AI100" i="20"/>
  <c r="AI104" i="20"/>
  <c r="AJ108" i="20"/>
  <c r="AJ112" i="20"/>
  <c r="AI116" i="20"/>
  <c r="AM120" i="20"/>
  <c r="AK124" i="20"/>
  <c r="AJ128" i="20"/>
  <c r="AJ132" i="20"/>
  <c r="AE136" i="20"/>
  <c r="AG140" i="20"/>
  <c r="AE144" i="20"/>
  <c r="AJ147" i="20"/>
  <c r="AH151" i="20"/>
  <c r="AK154" i="20"/>
  <c r="AN157" i="20"/>
  <c r="AF162" i="20"/>
  <c r="AH176" i="20"/>
  <c r="AL179" i="20"/>
  <c r="AO182" i="20"/>
  <c r="AG186" i="20"/>
  <c r="AH189" i="20"/>
  <c r="AK192" i="20"/>
  <c r="AE196" i="20"/>
  <c r="AH199" i="20"/>
  <c r="AK202" i="20"/>
  <c r="AL205" i="20"/>
  <c r="AO213" i="20"/>
  <c r="AE47" i="20"/>
  <c r="AE84" i="20"/>
  <c r="AN120" i="20"/>
  <c r="AM147" i="20"/>
  <c r="AM179" i="20"/>
  <c r="AF196" i="20"/>
  <c r="AG43" i="20"/>
  <c r="AI13" i="20"/>
  <c r="AM17" i="20"/>
  <c r="AI22" i="20"/>
  <c r="AM26" i="20"/>
  <c r="AL31" i="20"/>
  <c r="AM35" i="20"/>
  <c r="AF40" i="20"/>
  <c r="AG44" i="20"/>
  <c r="AO47" i="20"/>
  <c r="AL52" i="20"/>
  <c r="AH56" i="20"/>
  <c r="AK60" i="20"/>
  <c r="AJ64" i="20"/>
  <c r="AK68" i="20"/>
  <c r="AO72" i="20"/>
  <c r="AF77" i="20"/>
  <c r="AE81" i="20"/>
  <c r="AE85" i="20"/>
  <c r="AH89" i="20"/>
  <c r="AI93" i="20"/>
  <c r="AL97" i="20"/>
  <c r="AJ101" i="20"/>
  <c r="AL105" i="20"/>
  <c r="AL109" i="20"/>
  <c r="AG114" i="20"/>
  <c r="AF118" i="20"/>
  <c r="AN121" i="20"/>
  <c r="AO125" i="20"/>
  <c r="AM129" i="20"/>
  <c r="AI133" i="20"/>
  <c r="AN137" i="20"/>
  <c r="AK141" i="20"/>
  <c r="AK145" i="20"/>
  <c r="AO148" i="20"/>
  <c r="AI152" i="20"/>
  <c r="AK155" i="20"/>
  <c r="AN158" i="20"/>
  <c r="AH174" i="20"/>
  <c r="AI177" i="20"/>
  <c r="AM180" i="20"/>
  <c r="AO183" i="20"/>
  <c r="AE187" i="20"/>
  <c r="AL190" i="20"/>
  <c r="AM193" i="20"/>
  <c r="AF197" i="20"/>
  <c r="AH200" i="20"/>
  <c r="AI203" i="20"/>
  <c r="AO207" i="20"/>
  <c r="AJ13" i="20"/>
  <c r="AO17" i="20"/>
  <c r="AK22" i="20"/>
  <c r="AN26" i="20"/>
  <c r="AM31" i="20"/>
  <c r="AN35" i="20"/>
  <c r="AH40" i="20"/>
  <c r="AH44" i="20"/>
  <c r="AI48" i="20"/>
  <c r="AM52" i="20"/>
  <c r="AK56" i="20"/>
  <c r="AN60" i="20"/>
  <c r="AK64" i="20"/>
  <c r="AL68" i="20"/>
  <c r="AE73" i="20"/>
  <c r="AG77" i="20"/>
  <c r="AG81" i="20"/>
  <c r="AJ85" i="20"/>
  <c r="AI89" i="20"/>
  <c r="AJ93" i="20"/>
  <c r="AN97" i="20"/>
  <c r="AL101" i="20"/>
  <c r="AM105" i="20"/>
  <c r="AN109" i="20"/>
  <c r="AH114" i="20"/>
  <c r="AG118" i="20"/>
  <c r="AO121" i="20"/>
  <c r="AE126" i="20"/>
  <c r="AN129" i="20"/>
  <c r="AO133" i="20"/>
  <c r="AO137" i="20"/>
  <c r="AL141" i="20"/>
  <c r="AL145" i="20"/>
  <c r="AF149" i="20"/>
  <c r="AJ152" i="20"/>
  <c r="AL155" i="20"/>
  <c r="AO158" i="20"/>
  <c r="AI174" i="20"/>
  <c r="AM177" i="20"/>
  <c r="AN180" i="20"/>
  <c r="AE184" i="20"/>
  <c r="AH187" i="20"/>
  <c r="AM190" i="20"/>
  <c r="AO193" i="20"/>
  <c r="AG197" i="20"/>
  <c r="AI200" i="20"/>
  <c r="AJ203" i="20"/>
  <c r="AE211" i="20"/>
  <c r="AI14" i="20"/>
  <c r="AI20" i="20"/>
  <c r="AH27" i="20"/>
  <c r="AF33" i="20"/>
  <c r="AN39" i="20"/>
  <c r="AL45" i="20"/>
  <c r="AJ51" i="20"/>
  <c r="AG57" i="20"/>
  <c r="AM62" i="20"/>
  <c r="AO67" i="20"/>
  <c r="AH73" i="20"/>
  <c r="AJ78" i="20"/>
  <c r="AJ84" i="20"/>
  <c r="AF90" i="20"/>
  <c r="AF95" i="20"/>
  <c r="AO100" i="20"/>
  <c r="AJ106" i="20"/>
  <c r="AL111" i="20"/>
  <c r="AK117" i="20"/>
  <c r="AM122" i="20"/>
  <c r="AJ127" i="20"/>
  <c r="AO132" i="20"/>
  <c r="AG138" i="20"/>
  <c r="AE143" i="20"/>
  <c r="AH148" i="20"/>
  <c r="AM152" i="20"/>
  <c r="AF157" i="20"/>
  <c r="AJ162" i="20"/>
  <c r="AF178" i="20"/>
  <c r="AF182" i="20"/>
  <c r="AK186" i="20"/>
  <c r="AF191" i="20"/>
  <c r="AE195" i="20"/>
  <c r="AN199" i="20"/>
  <c r="AH204" i="20"/>
  <c r="AF213" i="20"/>
  <c r="AI33" i="20"/>
  <c r="AE63" i="20"/>
  <c r="AO84" i="20"/>
  <c r="AK95" i="20"/>
  <c r="AF112" i="20"/>
  <c r="AE123" i="20"/>
  <c r="AJ138" i="20"/>
  <c r="AN148" i="20"/>
  <c r="AK157" i="20"/>
  <c r="AI178" i="20"/>
  <c r="AO186" i="20"/>
  <c r="AJ195" i="20"/>
  <c r="AK204" i="20"/>
  <c r="AO14" i="20"/>
  <c r="AH35" i="20"/>
  <c r="AF46" i="20"/>
  <c r="AL63" i="20"/>
  <c r="AH80" i="20"/>
  <c r="AO101" i="20"/>
  <c r="AG134" i="20"/>
  <c r="AE158" i="20"/>
  <c r="AK191" i="20"/>
  <c r="AF15" i="20"/>
  <c r="AI28" i="20"/>
  <c r="AO40" i="20"/>
  <c r="AG46" i="20"/>
  <c r="AN52" i="20"/>
  <c r="AM63" i="20"/>
  <c r="AK74" i="20"/>
  <c r="AL85" i="20"/>
  <c r="AK90" i="20"/>
  <c r="AI107" i="20"/>
  <c r="AO112" i="20"/>
  <c r="AI118" i="20"/>
  <c r="AH134" i="20"/>
  <c r="AE139" i="20"/>
  <c r="AH153" i="20"/>
  <c r="AF158" i="20"/>
  <c r="AI183" i="20"/>
  <c r="AM187" i="20"/>
  <c r="AH196" i="20"/>
  <c r="AO204" i="20"/>
  <c r="AJ9" i="20"/>
  <c r="AG15" i="20"/>
  <c r="AK28" i="20"/>
  <c r="AJ35" i="20"/>
  <c r="AE41" i="20"/>
  <c r="AO52" i="20"/>
  <c r="AE58" i="20"/>
  <c r="AL69" i="20"/>
  <c r="AL74" i="20"/>
  <c r="AJ80" i="20"/>
  <c r="AE97" i="20"/>
  <c r="AF102" i="20"/>
  <c r="AJ107" i="20"/>
  <c r="AI123" i="20"/>
  <c r="AH129" i="20"/>
  <c r="AF139" i="20"/>
  <c r="AI149" i="20"/>
  <c r="AG158" i="20"/>
  <c r="AM178" i="20"/>
  <c r="AN187" i="20"/>
  <c r="AI196" i="20"/>
  <c r="AE205" i="20"/>
  <c r="AH15" i="20"/>
  <c r="AL28" i="20"/>
  <c r="AF41" i="20"/>
  <c r="AI47" i="20"/>
  <c r="AH58" i="20"/>
  <c r="AM69" i="20"/>
  <c r="AM74" i="20"/>
  <c r="AN85" i="20"/>
  <c r="AF97" i="20"/>
  <c r="AK107" i="20"/>
  <c r="AN118" i="20"/>
  <c r="AI129" i="20"/>
  <c r="AK139" i="20"/>
  <c r="AJ149" i="20"/>
  <c r="AH158" i="20"/>
  <c r="AK183" i="20"/>
  <c r="AE192" i="20"/>
  <c r="AL14" i="20"/>
  <c r="AO20" i="20"/>
  <c r="AJ27" i="20"/>
  <c r="AG33" i="20"/>
  <c r="AE40" i="20"/>
  <c r="AM45" i="20"/>
  <c r="AM51" i="20"/>
  <c r="AJ57" i="20"/>
  <c r="AN62" i="20"/>
  <c r="AH68" i="20"/>
  <c r="AK73" i="20"/>
  <c r="AK78" i="20"/>
  <c r="AL84" i="20"/>
  <c r="AG90" i="20"/>
  <c r="AI95" i="20"/>
  <c r="AE101" i="20"/>
  <c r="AK106" i="20"/>
  <c r="AM111" i="20"/>
  <c r="AM117" i="20"/>
  <c r="AN122" i="20"/>
  <c r="AK127" i="20"/>
  <c r="AE133" i="20"/>
  <c r="AH138" i="20"/>
  <c r="AI143" i="20"/>
  <c r="AI148" i="20"/>
  <c r="AO152" i="20"/>
  <c r="AH157" i="20"/>
  <c r="AL162" i="20"/>
  <c r="AG178" i="20"/>
  <c r="AG182" i="20"/>
  <c r="AM186" i="20"/>
  <c r="AH191" i="20"/>
  <c r="AF195" i="20"/>
  <c r="AO199" i="20"/>
  <c r="AI204" i="20"/>
  <c r="AG213" i="20"/>
  <c r="AI21" i="20"/>
  <c r="AH52" i="20"/>
  <c r="AG74" i="20"/>
  <c r="AF107" i="20"/>
  <c r="AG128" i="20"/>
  <c r="AK143" i="20"/>
  <c r="AG174" i="20"/>
  <c r="AJ191" i="20"/>
  <c r="AH28" i="20"/>
  <c r="AK52" i="20"/>
  <c r="AI74" i="20"/>
  <c r="AJ90" i="20"/>
  <c r="AN112" i="20"/>
  <c r="AO128" i="20"/>
  <c r="AJ144" i="20"/>
  <c r="AG153" i="20"/>
  <c r="AJ178" i="20"/>
  <c r="AG196" i="20"/>
  <c r="AL204" i="20"/>
  <c r="AH22" i="20"/>
  <c r="AK69" i="20"/>
  <c r="AO96" i="20"/>
  <c r="AE129" i="20"/>
  <c r="AH149" i="20"/>
  <c r="AL178" i="20"/>
  <c r="AK200" i="20"/>
  <c r="AK46" i="20"/>
  <c r="AM85" i="20"/>
  <c r="AJ118" i="20"/>
  <c r="AM144" i="20"/>
  <c r="AL174" i="20"/>
  <c r="AM191" i="20"/>
  <c r="AM22" i="20"/>
  <c r="AE53" i="20"/>
  <c r="AL80" i="20"/>
  <c r="AK102" i="20"/>
  <c r="AL134" i="20"/>
  <c r="AN174" i="20"/>
  <c r="AM14" i="20"/>
  <c r="AG21" i="20"/>
  <c r="AF28" i="20"/>
  <c r="AH33" i="20"/>
  <c r="AI40" i="20"/>
  <c r="AN45" i="20"/>
  <c r="AN51" i="20"/>
  <c r="AK57" i="20"/>
  <c r="AO62" i="20"/>
  <c r="AI68" i="20"/>
  <c r="AF74" i="20"/>
  <c r="AM78" i="20"/>
  <c r="AM84" i="20"/>
  <c r="AH90" i="20"/>
  <c r="AJ95" i="20"/>
  <c r="AF101" i="20"/>
  <c r="AO106" i="20"/>
  <c r="AN111" i="20"/>
  <c r="AN117" i="20"/>
  <c r="AO122" i="20"/>
  <c r="AL127" i="20"/>
  <c r="AF133" i="20"/>
  <c r="AI138" i="20"/>
  <c r="AJ143" i="20"/>
  <c r="AK148" i="20"/>
  <c r="AE153" i="20"/>
  <c r="AI157" i="20"/>
  <c r="AF174" i="20"/>
  <c r="AH178" i="20"/>
  <c r="AK182" i="20"/>
  <c r="AN186" i="20"/>
  <c r="AI191" i="20"/>
  <c r="AH195" i="20"/>
  <c r="AF200" i="20"/>
  <c r="AJ204" i="20"/>
  <c r="AN14" i="20"/>
  <c r="AG28" i="20"/>
  <c r="AJ40" i="20"/>
  <c r="AE46" i="20"/>
  <c r="AL57" i="20"/>
  <c r="AJ68" i="20"/>
  <c r="AE79" i="20"/>
  <c r="AI90" i="20"/>
  <c r="AI101" i="20"/>
  <c r="AE118" i="20"/>
  <c r="AH133" i="20"/>
  <c r="AF153" i="20"/>
  <c r="AL182" i="20"/>
  <c r="AG200" i="20"/>
  <c r="AH9" i="20"/>
  <c r="AG22" i="20"/>
  <c r="AN40" i="20"/>
  <c r="AN57" i="20"/>
  <c r="AJ69" i="20"/>
  <c r="AK85" i="20"/>
  <c r="AN96" i="20"/>
  <c r="AG107" i="20"/>
  <c r="AH118" i="20"/>
  <c r="AF123" i="20"/>
  <c r="AM138" i="20"/>
  <c r="AG149" i="20"/>
  <c r="AJ174" i="20"/>
  <c r="AG183" i="20"/>
  <c r="AL187" i="20"/>
  <c r="AJ200" i="20"/>
  <c r="AI9" i="20"/>
  <c r="AI35" i="20"/>
  <c r="AO57" i="20"/>
  <c r="AI80" i="20"/>
  <c r="AE102" i="20"/>
  <c r="AH123" i="20"/>
  <c r="AK144" i="20"/>
  <c r="AK174" i="20"/>
  <c r="AL191" i="20"/>
  <c r="AL22" i="20"/>
  <c r="AE64" i="20"/>
  <c r="AF91" i="20"/>
  <c r="AE113" i="20"/>
  <c r="AI134" i="20"/>
  <c r="AN153" i="20"/>
  <c r="AJ183" i="20"/>
  <c r="AL200" i="20"/>
  <c r="AK9" i="20"/>
  <c r="AK35" i="20"/>
  <c r="AG64" i="20"/>
  <c r="AG91" i="20"/>
  <c r="AF113" i="20"/>
  <c r="AE124" i="20"/>
  <c r="AN144" i="20"/>
  <c r="AO153" i="20"/>
  <c r="AN178" i="20"/>
  <c r="AO187" i="20"/>
  <c r="AK10" i="20"/>
  <c r="AH17" i="20"/>
  <c r="AK23" i="20"/>
  <c r="AI29" i="20"/>
  <c r="AE36" i="20"/>
  <c r="AO41" i="20"/>
  <c r="AM47" i="20"/>
  <c r="AH53" i="20"/>
  <c r="AM59" i="20"/>
  <c r="AN64" i="20"/>
  <c r="AG70" i="20"/>
  <c r="AE76" i="20"/>
  <c r="AJ81" i="20"/>
  <c r="AN86" i="20"/>
  <c r="AI92" i="20"/>
  <c r="AO97" i="20"/>
  <c r="AO102" i="20"/>
  <c r="AO108" i="20"/>
  <c r="AI114" i="20"/>
  <c r="AF119" i="20"/>
  <c r="AN124" i="20"/>
  <c r="AO129" i="20"/>
  <c r="AF135" i="20"/>
  <c r="AJ140" i="20"/>
  <c r="AM145" i="20"/>
  <c r="AE150" i="20"/>
  <c r="AO154" i="20"/>
  <c r="AH159" i="20"/>
  <c r="AI175" i="20"/>
  <c r="AN179" i="20"/>
  <c r="AF184" i="20"/>
  <c r="AI188" i="20"/>
  <c r="AF193" i="20"/>
  <c r="AH197" i="20"/>
  <c r="AK201" i="20"/>
  <c r="AN205" i="20"/>
  <c r="AL10" i="20"/>
  <c r="AI17" i="20"/>
  <c r="AL23" i="20"/>
  <c r="AG30" i="20"/>
  <c r="AF36" i="20"/>
  <c r="AE42" i="20"/>
  <c r="AN47" i="20"/>
  <c r="AI53" i="20"/>
  <c r="AO59" i="20"/>
  <c r="AE65" i="20"/>
  <c r="AH70" i="20"/>
  <c r="AF76" i="20"/>
  <c r="AK81" i="20"/>
  <c r="AO86" i="20"/>
  <c r="AJ92" i="20"/>
  <c r="AE98" i="20"/>
  <c r="AE103" i="20"/>
  <c r="AE109" i="20"/>
  <c r="AJ114" i="20"/>
  <c r="AL119" i="20"/>
  <c r="AO124" i="20"/>
  <c r="AE130" i="20"/>
  <c r="AG135" i="20"/>
  <c r="AK140" i="20"/>
  <c r="AN145" i="20"/>
  <c r="AF150" i="20"/>
  <c r="AF155" i="20"/>
  <c r="AK159" i="20"/>
  <c r="AJ175" i="20"/>
  <c r="AG180" i="20"/>
  <c r="AG184" i="20"/>
  <c r="AK188" i="20"/>
  <c r="AH193" i="20"/>
  <c r="AI197" i="20"/>
  <c r="AL201" i="20"/>
  <c r="AO205" i="20"/>
  <c r="AM10" i="20"/>
  <c r="AL17" i="20"/>
  <c r="AM23" i="20"/>
  <c r="AH30" i="20"/>
  <c r="AE37" i="20"/>
  <c r="AF42" i="20"/>
  <c r="AM48" i="20"/>
  <c r="AG54" i="20"/>
  <c r="AE60" i="20"/>
  <c r="AF65" i="20"/>
  <c r="AI70" i="20"/>
  <c r="AG76" i="20"/>
  <c r="AL81" i="20"/>
  <c r="AE87" i="20"/>
  <c r="AK92" i="20"/>
  <c r="AF98" i="20"/>
  <c r="AJ103" i="20"/>
  <c r="AH109" i="20"/>
  <c r="AK114" i="20"/>
  <c r="AN119" i="20"/>
  <c r="AH125" i="20"/>
  <c r="AH130" i="20"/>
  <c r="AH135" i="20"/>
  <c r="AN140" i="20"/>
  <c r="AO145" i="20"/>
  <c r="AG150" i="20"/>
  <c r="AG155" i="20"/>
  <c r="AL159" i="20"/>
  <c r="AK175" i="20"/>
  <c r="AH180" i="20"/>
  <c r="AH184" i="20"/>
  <c r="AL188" i="20"/>
  <c r="AI193" i="20"/>
  <c r="AJ197" i="20"/>
  <c r="AM201" i="20"/>
  <c r="AO10" i="20"/>
  <c r="AE18" i="20"/>
  <c r="AN23" i="20"/>
  <c r="AI30" i="20"/>
  <c r="AF37" i="20"/>
  <c r="AG42" i="20"/>
  <c r="AE49" i="20"/>
  <c r="AH54" i="20"/>
  <c r="AF60" i="20"/>
  <c r="AJ65" i="20"/>
  <c r="AJ70" i="20"/>
  <c r="AK76" i="20"/>
  <c r="AM81" i="20"/>
  <c r="AF87" i="20"/>
  <c r="AL92" i="20"/>
  <c r="AI98" i="20"/>
  <c r="AK103" i="20"/>
  <c r="AI109" i="20"/>
  <c r="AE115" i="20"/>
  <c r="AO119" i="20"/>
  <c r="AI125" i="20"/>
  <c r="AK130" i="20"/>
  <c r="AJ135" i="20"/>
  <c r="AO140" i="20"/>
  <c r="AI146" i="20"/>
  <c r="AH150" i="20"/>
  <c r="AH155" i="20"/>
  <c r="AM159" i="20"/>
  <c r="AL175" i="20"/>
  <c r="AJ180" i="20"/>
  <c r="AI184" i="20"/>
  <c r="AM188" i="20"/>
  <c r="AJ193" i="20"/>
  <c r="AM197" i="20"/>
  <c r="AN201" i="20"/>
  <c r="AI207" i="20"/>
  <c r="AF11" i="20"/>
  <c r="AF18" i="20"/>
  <c r="AH24" i="20"/>
  <c r="AG31" i="20"/>
  <c r="AH37" i="20"/>
  <c r="AH43" i="20"/>
  <c r="AF49" i="20"/>
  <c r="AI54" i="20"/>
  <c r="AG60" i="20"/>
  <c r="AO65" i="20"/>
  <c r="AK70" i="20"/>
  <c r="AO76" i="20"/>
  <c r="AN81" i="20"/>
  <c r="AG87" i="20"/>
  <c r="AG93" i="20"/>
  <c r="AJ98" i="20"/>
  <c r="AN103" i="20"/>
  <c r="AJ109" i="20"/>
  <c r="AF115" i="20"/>
  <c r="AE120" i="20"/>
  <c r="AJ125" i="20"/>
  <c r="AO130" i="20"/>
  <c r="AK135" i="20"/>
  <c r="AI141" i="20"/>
  <c r="AJ146" i="20"/>
  <c r="AI150" i="20"/>
  <c r="AI155" i="20"/>
  <c r="AN159" i="20"/>
  <c r="AN175" i="20"/>
  <c r="AK180" i="20"/>
  <c r="AE185" i="20"/>
  <c r="AO188" i="20"/>
  <c r="AK193" i="20"/>
  <c r="AN197" i="20"/>
  <c r="AE202" i="20"/>
  <c r="AM207" i="20"/>
  <c r="AI18" i="20"/>
  <c r="AI32" i="20"/>
  <c r="AK44" i="20"/>
  <c r="AF57" i="20"/>
  <c r="AF70" i="20"/>
  <c r="AE82" i="20"/>
  <c r="AH94" i="20"/>
  <c r="AJ105" i="20"/>
  <c r="AI117" i="20"/>
  <c r="AJ129" i="20"/>
  <c r="AJ141" i="20"/>
  <c r="AK151" i="20"/>
  <c r="AI160" i="20"/>
  <c r="AK181" i="20"/>
  <c r="AO190" i="20"/>
  <c r="AM200" i="20"/>
  <c r="AH19" i="20"/>
  <c r="AK32" i="20"/>
  <c r="AL44" i="20"/>
  <c r="AI58" i="20"/>
  <c r="AE71" i="20"/>
  <c r="AL82" i="20"/>
  <c r="AI94" i="20"/>
  <c r="AK105" i="20"/>
  <c r="AJ117" i="20"/>
  <c r="AK129" i="20"/>
  <c r="AM141" i="20"/>
  <c r="AL151" i="20"/>
  <c r="AJ160" i="20"/>
  <c r="AL181" i="20"/>
  <c r="AF192" i="20"/>
  <c r="AG201" i="20"/>
  <c r="AI19" i="20"/>
  <c r="AL32" i="20"/>
  <c r="AK45" i="20"/>
  <c r="AJ58" i="20"/>
  <c r="AN71" i="20"/>
  <c r="AF83" i="20"/>
  <c r="AJ94" i="20"/>
  <c r="AN105" i="20"/>
  <c r="AO118" i="20"/>
  <c r="AF131" i="20"/>
  <c r="AN141" i="20"/>
  <c r="AN151" i="20"/>
  <c r="AK160" i="20"/>
  <c r="AM181" i="20"/>
  <c r="AG192" i="20"/>
  <c r="AH201" i="20"/>
  <c r="AJ19" i="20"/>
  <c r="AM32" i="20"/>
  <c r="AK47" i="20"/>
  <c r="AJ60" i="20"/>
  <c r="AO71" i="20"/>
  <c r="AG83" i="20"/>
  <c r="AK94" i="20"/>
  <c r="AO105" i="20"/>
  <c r="AE119" i="20"/>
  <c r="AI131" i="20"/>
  <c r="AE142" i="20"/>
  <c r="AF152" i="20"/>
  <c r="AH162" i="20"/>
  <c r="AM183" i="20"/>
  <c r="AL193" i="20"/>
  <c r="AG202" i="20"/>
  <c r="AF20" i="20"/>
  <c r="AE33" i="20"/>
  <c r="AL47" i="20"/>
  <c r="AO60" i="20"/>
  <c r="AG72" i="20"/>
  <c r="AH83" i="20"/>
  <c r="AL94" i="20"/>
  <c r="AL107" i="20"/>
  <c r="AG120" i="20"/>
  <c r="AJ131" i="20"/>
  <c r="AJ142" i="20"/>
  <c r="AH152" i="20"/>
  <c r="AI162" i="20"/>
  <c r="AN183" i="20"/>
  <c r="AE194" i="20"/>
  <c r="AM202" i="20"/>
  <c r="AG12" i="20"/>
  <c r="AK24" i="20"/>
  <c r="AO37" i="20"/>
  <c r="AF50" i="20"/>
  <c r="AN61" i="20"/>
  <c r="AF75" i="20"/>
  <c r="AH88" i="20"/>
  <c r="AE99" i="20"/>
  <c r="AE111" i="20"/>
  <c r="AK122" i="20"/>
  <c r="AO134" i="20"/>
  <c r="AK146" i="20"/>
  <c r="AN155" i="20"/>
  <c r="AE177" i="20"/>
  <c r="AO185" i="20"/>
  <c r="AO194" i="20"/>
  <c r="AG204" i="20"/>
  <c r="AJ12" i="20"/>
  <c r="AO25" i="20"/>
  <c r="AE38" i="20"/>
  <c r="AG50" i="20"/>
  <c r="AH64" i="20"/>
  <c r="AE77" i="20"/>
  <c r="AI88" i="20"/>
  <c r="AF99" i="20"/>
  <c r="AF111" i="20"/>
  <c r="AL122" i="20"/>
  <c r="AE135" i="20"/>
  <c r="AL146" i="20"/>
  <c r="AO155" i="20"/>
  <c r="AG177" i="20"/>
  <c r="AI186" i="20"/>
  <c r="AN196" i="20"/>
  <c r="AF205" i="20"/>
  <c r="AL12" i="20"/>
  <c r="AE26" i="20"/>
  <c r="AG39" i="20"/>
  <c r="AJ50" i="20"/>
  <c r="AI64" i="20"/>
  <c r="AI77" i="20"/>
  <c r="AJ88" i="20"/>
  <c r="AG99" i="20"/>
  <c r="AJ111" i="20"/>
  <c r="AF124" i="20"/>
  <c r="AL135" i="20"/>
  <c r="AM146" i="20"/>
  <c r="AG156" i="20"/>
  <c r="AH177" i="20"/>
  <c r="AJ186" i="20"/>
  <c r="AI26" i="20"/>
  <c r="AH49" i="20"/>
  <c r="AJ66" i="20"/>
  <c r="AJ83" i="20"/>
  <c r="AN100" i="20"/>
  <c r="AO120" i="20"/>
  <c r="AE137" i="20"/>
  <c r="AK152" i="20"/>
  <c r="AO178" i="20"/>
  <c r="AF194" i="20"/>
  <c r="AH205" i="20"/>
  <c r="AH10" i="20"/>
  <c r="AN49" i="20"/>
  <c r="AE67" i="20"/>
  <c r="AM86" i="20"/>
  <c r="AL121" i="20"/>
  <c r="AE138" i="20"/>
  <c r="AJ155" i="20"/>
  <c r="AM194" i="20"/>
  <c r="AI211" i="20"/>
  <c r="AI10" i="20"/>
  <c r="AF32" i="20"/>
  <c r="AE50" i="20"/>
  <c r="AL67" i="20"/>
  <c r="AJ87" i="20"/>
  <c r="AL104" i="20"/>
  <c r="AF138" i="20"/>
  <c r="AM155" i="20"/>
  <c r="AN194" i="20"/>
  <c r="AK211" i="20"/>
  <c r="AG32" i="20"/>
  <c r="AG124" i="20"/>
  <c r="AM211" i="20"/>
  <c r="AH13" i="20"/>
  <c r="AG53" i="20"/>
  <c r="AE89" i="20"/>
  <c r="AL125" i="20"/>
  <c r="AO139" i="20"/>
  <c r="AN211" i="20"/>
  <c r="AK13" i="20"/>
  <c r="AH72" i="20"/>
  <c r="AI126" i="20"/>
  <c r="AN156" i="20"/>
  <c r="AL13" i="20"/>
  <c r="AM72" i="20"/>
  <c r="AJ126" i="20"/>
  <c r="AG185" i="20"/>
  <c r="AG27" i="20"/>
  <c r="AK49" i="20"/>
  <c r="AK66" i="20"/>
  <c r="AF84" i="20"/>
  <c r="AM102" i="20"/>
  <c r="AE121" i="20"/>
  <c r="AF137" i="20"/>
  <c r="AL152" i="20"/>
  <c r="AE179" i="20"/>
  <c r="AI194" i="20"/>
  <c r="AH31" i="20"/>
  <c r="AK104" i="20"/>
  <c r="AF181" i="20"/>
  <c r="AM121" i="20"/>
  <c r="AF13" i="20"/>
  <c r="AF53" i="20"/>
  <c r="AN67" i="20"/>
  <c r="AK88" i="20"/>
  <c r="AO104" i="20"/>
  <c r="AN139" i="20"/>
  <c r="AH181" i="20"/>
  <c r="AE70" i="20"/>
  <c r="AM156" i="20"/>
  <c r="AL35" i="20"/>
  <c r="AM107" i="20"/>
  <c r="AK142" i="20"/>
  <c r="AO211" i="20"/>
  <c r="AO35" i="20"/>
  <c r="AK109" i="20"/>
  <c r="AO156" i="20"/>
  <c r="AN28" i="20"/>
  <c r="AL49" i="20"/>
  <c r="AL66" i="20"/>
  <c r="AG84" i="20"/>
  <c r="AN102" i="20"/>
  <c r="AH121" i="20"/>
  <c r="AH137" i="20"/>
  <c r="AE154" i="20"/>
  <c r="AL180" i="20"/>
  <c r="AJ194" i="20"/>
  <c r="AG211" i="20"/>
  <c r="AO196" i="20"/>
  <c r="AE197" i="20"/>
  <c r="AF89" i="20"/>
  <c r="AO197" i="20"/>
  <c r="AO89" i="20"/>
  <c r="AE198" i="20"/>
  <c r="AG29" i="20"/>
  <c r="AM49" i="20"/>
  <c r="AM66" i="20"/>
  <c r="AL86" i="20"/>
  <c r="AF104" i="20"/>
  <c r="AK121" i="20"/>
  <c r="AM137" i="20"/>
  <c r="AH154" i="20"/>
  <c r="AE181" i="20"/>
  <c r="AL194" i="20"/>
  <c r="AH211" i="20"/>
  <c r="AG181" i="20"/>
  <c r="AL156" i="20"/>
  <c r="AH32" i="20"/>
  <c r="AI105" i="20"/>
  <c r="AI181" i="20"/>
  <c r="AJ54" i="20"/>
  <c r="AF185" i="20"/>
  <c r="AK54" i="20"/>
  <c r="AL142" i="20"/>
  <c r="AN13" i="20"/>
  <c r="AI37" i="20"/>
  <c r="AL55" i="20"/>
  <c r="AN72" i="20"/>
  <c r="AE90" i="20"/>
  <c r="AG110" i="20"/>
  <c r="AK126" i="20"/>
  <c r="AN142" i="20"/>
  <c r="AL158" i="20"/>
  <c r="AH185" i="20"/>
  <c r="AF198" i="20"/>
  <c r="AH14" i="20"/>
  <c r="AK37" i="20"/>
  <c r="AM55" i="20"/>
  <c r="AF73" i="20"/>
  <c r="AJ91" i="20"/>
  <c r="AH110" i="20"/>
  <c r="AM126" i="20"/>
  <c r="AO142" i="20"/>
  <c r="AM158" i="20"/>
  <c r="AI185" i="20"/>
  <c r="AJ198" i="20"/>
  <c r="AF17" i="20"/>
  <c r="AL37" i="20"/>
  <c r="AN55" i="20"/>
  <c r="AG73" i="20"/>
  <c r="AL91" i="20"/>
  <c r="AI110" i="20"/>
  <c r="AN126" i="20"/>
  <c r="AG145" i="20"/>
  <c r="AO159" i="20"/>
  <c r="AJ185" i="20"/>
  <c r="AK198" i="20"/>
  <c r="AG17" i="20"/>
  <c r="AM37" i="20"/>
  <c r="AF56" i="20"/>
  <c r="AE75" i="20"/>
  <c r="AH93" i="20"/>
  <c r="AL110" i="20"/>
  <c r="AO126" i="20"/>
  <c r="AH145" i="20"/>
  <c r="AE160" i="20"/>
  <c r="AK185" i="20"/>
  <c r="AL198" i="20"/>
  <c r="AG18" i="20"/>
  <c r="AH39" i="20"/>
  <c r="AG56" i="20"/>
  <c r="AJ77" i="20"/>
  <c r="AF94" i="20"/>
  <c r="AK111" i="20"/>
  <c r="AH127" i="20"/>
  <c r="AN146" i="20"/>
  <c r="AG160" i="20"/>
  <c r="AG188" i="20"/>
  <c r="AM198" i="20"/>
  <c r="AH18" i="20"/>
  <c r="AJ39" i="20"/>
  <c r="AE57" i="20"/>
  <c r="AK77" i="20"/>
  <c r="AG94" i="20"/>
  <c r="AE114" i="20"/>
  <c r="AI127" i="20"/>
  <c r="AO146" i="20"/>
  <c r="AH160" i="20"/>
  <c r="AH188" i="20"/>
  <c r="AK199" i="20"/>
  <c r="AG20" i="20"/>
  <c r="AG41" i="20"/>
  <c r="AE61" i="20"/>
  <c r="AE78" i="20"/>
  <c r="AE95" i="20"/>
  <c r="AF114" i="20"/>
  <c r="AK131" i="20"/>
  <c r="AE147" i="20"/>
  <c r="AE175" i="20"/>
  <c r="AE189" i="20"/>
  <c r="AL199" i="20"/>
  <c r="AH20" i="20"/>
  <c r="AH41" i="20"/>
  <c r="AF61" i="20"/>
  <c r="AF78" i="20"/>
  <c r="AH97" i="20"/>
  <c r="AG115" i="20"/>
  <c r="AL131" i="20"/>
  <c r="AG147" i="20"/>
  <c r="AF175" i="20"/>
  <c r="AL189" i="20"/>
  <c r="AN202" i="20"/>
  <c r="AO22" i="20"/>
  <c r="AI43" i="20"/>
  <c r="AH61" i="20"/>
  <c r="AG78" i="20"/>
  <c r="AK97" i="20"/>
  <c r="AH115" i="20"/>
  <c r="AM131" i="20"/>
  <c r="AF148" i="20"/>
  <c r="AO175" i="20"/>
  <c r="AM189" i="20"/>
  <c r="AO202" i="20"/>
  <c r="AE23" i="20"/>
  <c r="AL43" i="20"/>
  <c r="AK61" i="20"/>
  <c r="AH78" i="20"/>
  <c r="AK98" i="20"/>
  <c r="AJ115" i="20"/>
  <c r="AO131" i="20"/>
  <c r="AG148" i="20"/>
  <c r="AM176" i="20"/>
  <c r="AN189" i="20"/>
  <c r="AE203" i="20"/>
  <c r="AI24" i="20"/>
  <c r="AN43" i="20"/>
  <c r="AL61" i="20"/>
  <c r="AI78" i="20"/>
  <c r="AL98" i="20"/>
  <c r="AK115" i="20"/>
  <c r="AM132" i="20"/>
  <c r="AL149" i="20"/>
  <c r="AN176" i="20"/>
  <c r="AO189" i="20"/>
  <c r="AF203" i="20"/>
  <c r="AJ24" i="20"/>
  <c r="AF44" i="20"/>
  <c r="AM61" i="20"/>
  <c r="AM80" i="20"/>
  <c r="AO98" i="20"/>
  <c r="AL115" i="20"/>
  <c r="AN132" i="20"/>
  <c r="AO149" i="20"/>
  <c r="AO176" i="20"/>
  <c r="AI190" i="20"/>
  <c r="AG203" i="20"/>
  <c r="AF26" i="20"/>
  <c r="AI44" i="20"/>
  <c r="AE66" i="20"/>
  <c r="AO80" i="20"/>
  <c r="AM99" i="20"/>
  <c r="AN115" i="20"/>
  <c r="AN136" i="20"/>
  <c r="AJ150" i="20"/>
  <c r="AN177" i="20"/>
  <c r="AK190" i="20"/>
  <c r="AE204" i="20"/>
  <c r="AG26" i="20"/>
  <c r="AJ44" i="20"/>
  <c r="AF66" i="20"/>
  <c r="AO81" i="20"/>
  <c r="AM100" i="20"/>
  <c r="AO115" i="20"/>
  <c r="AO136" i="20"/>
  <c r="AJ151" i="20"/>
  <c r="AE178" i="20"/>
  <c r="AN190" i="20"/>
  <c r="AG205" i="20"/>
  <c r="Y131" i="21"/>
  <c r="AP9" i="21"/>
  <c r="AP33" i="21"/>
  <c r="AP57" i="21"/>
  <c r="AP81" i="21"/>
  <c r="AP105" i="21"/>
  <c r="AP129" i="21"/>
  <c r="AP153" i="21"/>
  <c r="AP189" i="21"/>
  <c r="AP229" i="21"/>
  <c r="AP267" i="21"/>
  <c r="AH10" i="21"/>
  <c r="AJ12" i="21"/>
  <c r="AL14" i="21"/>
  <c r="AN16" i="21"/>
  <c r="AE19" i="21"/>
  <c r="AG21" i="21"/>
  <c r="AI23" i="21"/>
  <c r="AK25" i="21"/>
  <c r="AM27" i="21"/>
  <c r="AO29" i="21"/>
  <c r="AF32" i="21"/>
  <c r="AH34" i="21"/>
  <c r="AJ36" i="21"/>
  <c r="AL38" i="21"/>
  <c r="AN40" i="21"/>
  <c r="AE43" i="21"/>
  <c r="AG45" i="21"/>
  <c r="AI47" i="21"/>
  <c r="AK49" i="21"/>
  <c r="AM51" i="21"/>
  <c r="AO53" i="21"/>
  <c r="AF56" i="21"/>
  <c r="AH58" i="21"/>
  <c r="AJ60" i="21"/>
  <c r="AL62" i="21"/>
  <c r="AN64" i="21"/>
  <c r="AE67" i="21"/>
  <c r="AG69" i="21"/>
  <c r="AI71" i="21"/>
  <c r="AK73" i="21"/>
  <c r="AM75" i="21"/>
  <c r="AO77" i="21"/>
  <c r="AF80" i="21"/>
  <c r="AH82" i="21"/>
  <c r="AJ84" i="21"/>
  <c r="AL86" i="21"/>
  <c r="AN88" i="21"/>
  <c r="AE91" i="21"/>
  <c r="AG93" i="21"/>
  <c r="AI95" i="21"/>
  <c r="AK97" i="21"/>
  <c r="AM99" i="21"/>
  <c r="AO101" i="21"/>
  <c r="AF104" i="21"/>
  <c r="AH106" i="21"/>
  <c r="AJ108" i="21"/>
  <c r="AL110" i="21"/>
  <c r="AN112" i="21"/>
  <c r="AE115" i="21"/>
  <c r="AG117" i="21"/>
  <c r="AI119" i="21"/>
  <c r="AK121" i="21"/>
  <c r="AM123" i="21"/>
  <c r="AO125" i="21"/>
  <c r="AF128" i="21"/>
  <c r="AH130" i="21"/>
  <c r="AJ132" i="21"/>
  <c r="AL134" i="21"/>
  <c r="AN136" i="21"/>
  <c r="AE139" i="21"/>
  <c r="AG141" i="21"/>
  <c r="AI143" i="21"/>
  <c r="AK145" i="21"/>
  <c r="AM147" i="21"/>
  <c r="AO149" i="21"/>
  <c r="AF152" i="21"/>
  <c r="AH154" i="21"/>
  <c r="AJ156" i="21"/>
  <c r="AL158" i="21"/>
  <c r="AN160" i="21"/>
  <c r="AE175" i="21"/>
  <c r="AG177" i="21"/>
  <c r="AI179" i="21"/>
  <c r="AK181" i="21"/>
  <c r="AM183" i="21"/>
  <c r="AP10" i="21"/>
  <c r="AP34" i="21"/>
  <c r="AP58" i="21"/>
  <c r="AP82" i="21"/>
  <c r="AP106" i="21"/>
  <c r="AP130" i="21"/>
  <c r="AP154" i="21"/>
  <c r="AP190" i="21"/>
  <c r="AP230" i="21"/>
  <c r="AP268" i="21"/>
  <c r="AI10" i="21"/>
  <c r="AK12" i="21"/>
  <c r="AM14" i="21"/>
  <c r="AO16" i="21"/>
  <c r="AF19" i="21"/>
  <c r="AH21" i="21"/>
  <c r="AJ23" i="21"/>
  <c r="AL25" i="21"/>
  <c r="AN27" i="21"/>
  <c r="AE30" i="21"/>
  <c r="AG32" i="21"/>
  <c r="AI34" i="21"/>
  <c r="AK36" i="21"/>
  <c r="AM38" i="21"/>
  <c r="AO40" i="21"/>
  <c r="AF43" i="21"/>
  <c r="AH45" i="21"/>
  <c r="AJ47" i="21"/>
  <c r="AL49" i="21"/>
  <c r="AN51" i="21"/>
  <c r="AE54" i="21"/>
  <c r="AG56" i="21"/>
  <c r="AI58" i="21"/>
  <c r="AK60" i="21"/>
  <c r="AP11" i="21"/>
  <c r="AP35" i="21"/>
  <c r="AP59" i="21"/>
  <c r="AP83" i="21"/>
  <c r="AP107" i="21"/>
  <c r="AP131" i="21"/>
  <c r="AP12" i="21"/>
  <c r="AP36" i="21"/>
  <c r="AP60" i="21"/>
  <c r="AP84" i="21"/>
  <c r="AP108" i="21"/>
  <c r="AP132" i="21"/>
  <c r="AP156" i="21"/>
  <c r="AP192" i="21"/>
  <c r="AP232" i="21"/>
  <c r="AP270" i="21"/>
  <c r="AK10" i="21"/>
  <c r="AM12" i="21"/>
  <c r="AO14" i="21"/>
  <c r="AF17" i="21"/>
  <c r="AH19" i="21"/>
  <c r="AJ21" i="21"/>
  <c r="AL23" i="21"/>
  <c r="AN25" i="21"/>
  <c r="AE28" i="21"/>
  <c r="AG30" i="21"/>
  <c r="AI32" i="21"/>
  <c r="AK34" i="21"/>
  <c r="AM36" i="21"/>
  <c r="AO38" i="21"/>
  <c r="AF41" i="21"/>
  <c r="AH43" i="21"/>
  <c r="AJ45" i="21"/>
  <c r="AL47" i="21"/>
  <c r="AN49" i="21"/>
  <c r="AE52" i="21"/>
  <c r="AG54" i="21"/>
  <c r="AI56" i="21"/>
  <c r="AK58" i="21"/>
  <c r="AM60" i="21"/>
  <c r="AO62" i="21"/>
  <c r="AF65" i="21"/>
  <c r="AH67" i="21"/>
  <c r="AJ69" i="21"/>
  <c r="AL71" i="21"/>
  <c r="AN73" i="21"/>
  <c r="AE76" i="21"/>
  <c r="AG78" i="21"/>
  <c r="AI80" i="21"/>
  <c r="AK82" i="21"/>
  <c r="AM84" i="21"/>
  <c r="AO86" i="21"/>
  <c r="AF89" i="21"/>
  <c r="AH91" i="21"/>
  <c r="AJ93" i="21"/>
  <c r="AL95" i="21"/>
  <c r="AN97" i="21"/>
  <c r="AE100" i="21"/>
  <c r="AG102" i="21"/>
  <c r="AI104" i="21"/>
  <c r="AK106" i="21"/>
  <c r="AM108" i="21"/>
  <c r="AO110" i="21"/>
  <c r="AF113" i="21"/>
  <c r="AH115" i="21"/>
  <c r="AJ117" i="21"/>
  <c r="AL119" i="21"/>
  <c r="AN121" i="21"/>
  <c r="AE124" i="21"/>
  <c r="AG126" i="21"/>
  <c r="AI128" i="21"/>
  <c r="AK130" i="21"/>
  <c r="AM132" i="21"/>
  <c r="AO134" i="21"/>
  <c r="AF137" i="21"/>
  <c r="AH139" i="21"/>
  <c r="AJ141" i="21"/>
  <c r="AL143" i="21"/>
  <c r="AN145" i="21"/>
  <c r="AE148" i="21"/>
  <c r="AG150" i="21"/>
  <c r="AI152" i="21"/>
  <c r="AK154" i="21"/>
  <c r="AM156" i="21"/>
  <c r="AO158" i="21"/>
  <c r="AF162" i="21"/>
  <c r="AP13" i="21"/>
  <c r="AP14" i="21"/>
  <c r="AP21" i="21"/>
  <c r="AP45" i="21"/>
  <c r="AP69" i="21"/>
  <c r="AP93" i="21"/>
  <c r="AP117" i="21"/>
  <c r="AP141" i="21"/>
  <c r="AP177" i="21"/>
  <c r="AP201" i="21"/>
  <c r="AP241" i="21"/>
  <c r="AG9" i="21"/>
  <c r="AI11" i="21"/>
  <c r="AK13" i="21"/>
  <c r="AM15" i="21"/>
  <c r="AO17" i="21"/>
  <c r="AF20" i="21"/>
  <c r="AH22" i="21"/>
  <c r="AJ24" i="21"/>
  <c r="AL26" i="21"/>
  <c r="AN28" i="21"/>
  <c r="AE31" i="21"/>
  <c r="AG33" i="21"/>
  <c r="AI35" i="21"/>
  <c r="AK37" i="21"/>
  <c r="AM39" i="21"/>
  <c r="AO41" i="21"/>
  <c r="AP15" i="21"/>
  <c r="AP44" i="21"/>
  <c r="AP74" i="21"/>
  <c r="AP103" i="21"/>
  <c r="AP136" i="21"/>
  <c r="AP176" i="21"/>
  <c r="AP205" i="21"/>
  <c r="AJ10" i="21"/>
  <c r="AF13" i="21"/>
  <c r="AL15" i="21"/>
  <c r="AH18" i="21"/>
  <c r="AN20" i="21"/>
  <c r="AK23" i="21"/>
  <c r="AG26" i="21"/>
  <c r="AM28" i="21"/>
  <c r="AI31" i="21"/>
  <c r="AO33" i="21"/>
  <c r="AL36" i="21"/>
  <c r="AH39" i="21"/>
  <c r="AN41" i="21"/>
  <c r="AI44" i="21"/>
  <c r="AN46" i="21"/>
  <c r="AH49" i="21"/>
  <c r="AO51" i="21"/>
  <c r="AJ54" i="21"/>
  <c r="AO56" i="21"/>
  <c r="AI59" i="21"/>
  <c r="AN61" i="21"/>
  <c r="AG64" i="21"/>
  <c r="AK66" i="21"/>
  <c r="AO68" i="21"/>
  <c r="AH71" i="21"/>
  <c r="AM73" i="21"/>
  <c r="AG76" i="21"/>
  <c r="AK78" i="21"/>
  <c r="AO80" i="21"/>
  <c r="AH83" i="21"/>
  <c r="AL85" i="21"/>
  <c r="AE88" i="21"/>
  <c r="AI90" i="21"/>
  <c r="AM92" i="21"/>
  <c r="AF95" i="21"/>
  <c r="AJ97" i="21"/>
  <c r="AO99" i="21"/>
  <c r="AI102" i="21"/>
  <c r="AM104" i="21"/>
  <c r="AF107" i="21"/>
  <c r="AJ109" i="21"/>
  <c r="AN111" i="21"/>
  <c r="AG114" i="21"/>
  <c r="AK116" i="21"/>
  <c r="AO118" i="21"/>
  <c r="AH121" i="21"/>
  <c r="AL123" i="21"/>
  <c r="AF126" i="21"/>
  <c r="AK128" i="21"/>
  <c r="AO130" i="21"/>
  <c r="AH133" i="21"/>
  <c r="AL135" i="21"/>
  <c r="AE138" i="21"/>
  <c r="AI140" i="21"/>
  <c r="AM142" i="21"/>
  <c r="AF145" i="21"/>
  <c r="AJ147" i="21"/>
  <c r="AN149" i="21"/>
  <c r="AH152" i="21"/>
  <c r="AM154" i="21"/>
  <c r="AF157" i="21"/>
  <c r="AJ159" i="21"/>
  <c r="AN162" i="21"/>
  <c r="AF176" i="21"/>
  <c r="AI178" i="21"/>
  <c r="AL180" i="21"/>
  <c r="AO182" i="21"/>
  <c r="AG185" i="21"/>
  <c r="AI187" i="21"/>
  <c r="AK189" i="21"/>
  <c r="AM191" i="21"/>
  <c r="AO193" i="21"/>
  <c r="AF196" i="21"/>
  <c r="AH198" i="21"/>
  <c r="AJ200" i="21"/>
  <c r="AL202" i="21"/>
  <c r="AN204" i="21"/>
  <c r="AE211" i="21"/>
  <c r="AP16" i="21"/>
  <c r="AP46" i="21"/>
  <c r="AP75" i="21"/>
  <c r="AP104" i="21"/>
  <c r="AP137" i="21"/>
  <c r="AP178" i="21"/>
  <c r="AP264" i="21"/>
  <c r="AL10" i="21"/>
  <c r="AG13" i="21"/>
  <c r="AN15" i="21"/>
  <c r="AI18" i="21"/>
  <c r="AO20" i="21"/>
  <c r="AM23" i="21"/>
  <c r="AH26" i="21"/>
  <c r="AO28" i="21"/>
  <c r="AJ31" i="21"/>
  <c r="AE34" i="21"/>
  <c r="AN36" i="21"/>
  <c r="AI39" i="21"/>
  <c r="AE42" i="21"/>
  <c r="AJ44" i="21"/>
  <c r="AO46" i="21"/>
  <c r="AI49" i="21"/>
  <c r="AF52" i="21"/>
  <c r="AK54" i="21"/>
  <c r="AE57" i="21"/>
  <c r="AJ59" i="21"/>
  <c r="AO61" i="21"/>
  <c r="AH64" i="21"/>
  <c r="AL66" i="21"/>
  <c r="AE69" i="21"/>
  <c r="AJ71" i="21"/>
  <c r="AO73" i="21"/>
  <c r="AH76" i="21"/>
  <c r="AL78" i="21"/>
  <c r="AE81" i="21"/>
  <c r="AI83" i="21"/>
  <c r="AM85" i="21"/>
  <c r="AF88" i="21"/>
  <c r="AJ90" i="21"/>
  <c r="AN92" i="21"/>
  <c r="AG95" i="21"/>
  <c r="AL97" i="21"/>
  <c r="AF100" i="21"/>
  <c r="AJ102" i="21"/>
  <c r="AN104" i="21"/>
  <c r="AG107" i="21"/>
  <c r="AK109" i="21"/>
  <c r="AO111" i="21"/>
  <c r="AH114" i="21"/>
  <c r="AL116" i="21"/>
  <c r="AE119" i="21"/>
  <c r="AI121" i="21"/>
  <c r="AN123" i="21"/>
  <c r="AH126" i="21"/>
  <c r="AL128" i="21"/>
  <c r="AE131" i="21"/>
  <c r="AI133" i="21"/>
  <c r="AM135" i="21"/>
  <c r="AF138" i="21"/>
  <c r="AJ140" i="21"/>
  <c r="AN142" i="21"/>
  <c r="AG145" i="21"/>
  <c r="AK147" i="21"/>
  <c r="AE150" i="21"/>
  <c r="AJ152" i="21"/>
  <c r="AN154" i="21"/>
  <c r="AG157" i="21"/>
  <c r="AK159" i="21"/>
  <c r="AO162" i="21"/>
  <c r="AG176" i="21"/>
  <c r="AJ178" i="21"/>
  <c r="AM180" i="21"/>
  <c r="AE183" i="21"/>
  <c r="AH185" i="21"/>
  <c r="AJ187" i="21"/>
  <c r="AL189" i="21"/>
  <c r="AN191" i="21"/>
  <c r="AE194" i="21"/>
  <c r="AG196" i="21"/>
  <c r="AI198" i="21"/>
  <c r="AK200" i="21"/>
  <c r="AM202" i="21"/>
  <c r="AO204" i="21"/>
  <c r="AP27" i="21"/>
  <c r="AP56" i="21"/>
  <c r="AP89" i="21"/>
  <c r="AP119" i="21"/>
  <c r="AP148" i="21"/>
  <c r="AP188" i="21"/>
  <c r="AP235" i="21"/>
  <c r="AE9" i="21"/>
  <c r="AL11" i="21"/>
  <c r="AG14" i="21"/>
  <c r="AM16" i="21"/>
  <c r="AK19" i="21"/>
  <c r="AF22" i="21"/>
  <c r="AM24" i="21"/>
  <c r="AH27" i="21"/>
  <c r="AN29" i="21"/>
  <c r="AL32" i="21"/>
  <c r="AG35" i="21"/>
  <c r="AN37" i="21"/>
  <c r="AI40" i="21"/>
  <c r="AO42" i="21"/>
  <c r="AL45" i="21"/>
  <c r="AF48" i="21"/>
  <c r="AK50" i="21"/>
  <c r="AE53" i="21"/>
  <c r="AJ55" i="21"/>
  <c r="AO57" i="21"/>
  <c r="AI60" i="21"/>
  <c r="AE63" i="21"/>
  <c r="AI65" i="21"/>
  <c r="AM67" i="21"/>
  <c r="AF70" i="21"/>
  <c r="AJ72" i="21"/>
  <c r="AN74" i="21"/>
  <c r="AG77" i="21"/>
  <c r="AK79" i="21"/>
  <c r="AO81" i="21"/>
  <c r="AH84" i="21"/>
  <c r="AM86" i="21"/>
  <c r="AG89" i="21"/>
  <c r="AK91" i="21"/>
  <c r="AO93" i="21"/>
  <c r="AH96" i="21"/>
  <c r="AL98" i="21"/>
  <c r="AE101" i="21"/>
  <c r="AI103" i="21"/>
  <c r="AM105" i="21"/>
  <c r="AF108" i="21"/>
  <c r="AP17" i="21"/>
  <c r="AP50" i="21"/>
  <c r="AP86" i="21"/>
  <c r="AP120" i="21"/>
  <c r="AP152" i="21"/>
  <c r="AP198" i="21"/>
  <c r="AP246" i="21"/>
  <c r="AM10" i="21"/>
  <c r="AL13" i="21"/>
  <c r="AJ16" i="21"/>
  <c r="AL19" i="21"/>
  <c r="AK22" i="21"/>
  <c r="AI25" i="21"/>
  <c r="AJ28" i="21"/>
  <c r="AK31" i="21"/>
  <c r="AL34" i="21"/>
  <c r="AJ37" i="21"/>
  <c r="AJ40" i="21"/>
  <c r="AK43" i="21"/>
  <c r="AH46" i="21"/>
  <c r="AE49" i="21"/>
  <c r="AG52" i="21"/>
  <c r="AO54" i="21"/>
  <c r="AL57" i="21"/>
  <c r="AL60" i="21"/>
  <c r="AI63" i="21"/>
  <c r="AE66" i="21"/>
  <c r="AL68" i="21"/>
  <c r="AK71" i="21"/>
  <c r="AH74" i="21"/>
  <c r="AO76" i="21"/>
  <c r="AL79" i="21"/>
  <c r="AI82" i="21"/>
  <c r="AF85" i="21"/>
  <c r="AM87" i="21"/>
  <c r="AK90" i="21"/>
  <c r="AH93" i="21"/>
  <c r="AE96" i="21"/>
  <c r="AM98" i="21"/>
  <c r="AI101" i="21"/>
  <c r="AE104" i="21"/>
  <c r="AN106" i="21"/>
  <c r="AL109" i="21"/>
  <c r="AG112" i="21"/>
  <c r="AM114" i="21"/>
  <c r="AI117" i="21"/>
  <c r="AE120" i="21"/>
  <c r="AK122" i="21"/>
  <c r="AF125" i="21"/>
  <c r="AL127" i="21"/>
  <c r="AG130" i="21"/>
  <c r="AO132" i="21"/>
  <c r="AJ135" i="21"/>
  <c r="AG138" i="21"/>
  <c r="AM140" i="21"/>
  <c r="AH143" i="21"/>
  <c r="AE146" i="21"/>
  <c r="AK148" i="21"/>
  <c r="AF151" i="21"/>
  <c r="AL153" i="21"/>
  <c r="AG156" i="21"/>
  <c r="AN158" i="21"/>
  <c r="AJ162" i="21"/>
  <c r="AO175" i="21"/>
  <c r="AK178" i="21"/>
  <c r="AE181" i="21"/>
  <c r="AJ183" i="21"/>
  <c r="AO185" i="21"/>
  <c r="AH188" i="21"/>
  <c r="AL190" i="21"/>
  <c r="AE193" i="21"/>
  <c r="AI195" i="21"/>
  <c r="AM197" i="21"/>
  <c r="AF200" i="21"/>
  <c r="AJ202" i="21"/>
  <c r="AE205" i="21"/>
  <c r="AH211" i="21"/>
  <c r="AJ225" i="21"/>
  <c r="AL227" i="21"/>
  <c r="AN229" i="21"/>
  <c r="AE232" i="21"/>
  <c r="AG234" i="21"/>
  <c r="AI236" i="21"/>
  <c r="AK238" i="21"/>
  <c r="AM240" i="21"/>
  <c r="AO242" i="21"/>
  <c r="AP18" i="21"/>
  <c r="AP51" i="21"/>
  <c r="AP87" i="21"/>
  <c r="AP121" i="21"/>
  <c r="AP155" i="21"/>
  <c r="AP199" i="21"/>
  <c r="AP248" i="21"/>
  <c r="AN10" i="21"/>
  <c r="AM13" i="21"/>
  <c r="AK16" i="21"/>
  <c r="AM19" i="21"/>
  <c r="AL22" i="21"/>
  <c r="AJ25" i="21"/>
  <c r="AK28" i="21"/>
  <c r="AL31" i="21"/>
  <c r="AM34" i="21"/>
  <c r="AL37" i="21"/>
  <c r="AK40" i="21"/>
  <c r="AL43" i="21"/>
  <c r="AI46" i="21"/>
  <c r="AF49" i="21"/>
  <c r="AH52" i="21"/>
  <c r="AE55" i="21"/>
  <c r="AM57" i="21"/>
  <c r="AN60" i="21"/>
  <c r="AJ63" i="21"/>
  <c r="AF66" i="21"/>
  <c r="AM68" i="21"/>
  <c r="AM71" i="21"/>
  <c r="AI74" i="21"/>
  <c r="AE77" i="21"/>
  <c r="AM79" i="21"/>
  <c r="AJ82" i="21"/>
  <c r="AG85" i="21"/>
  <c r="AN87" i="21"/>
  <c r="AL90" i="21"/>
  <c r="AI93" i="21"/>
  <c r="AF96" i="21"/>
  <c r="AN98" i="21"/>
  <c r="AJ101" i="21"/>
  <c r="AG104" i="21"/>
  <c r="AO106" i="21"/>
  <c r="AM109" i="21"/>
  <c r="AH112" i="21"/>
  <c r="AN114" i="21"/>
  <c r="AK117" i="21"/>
  <c r="AF120" i="21"/>
  <c r="AL122" i="21"/>
  <c r="AG125" i="21"/>
  <c r="AM127" i="21"/>
  <c r="AI130" i="21"/>
  <c r="AE133" i="21"/>
  <c r="AK135" i="21"/>
  <c r="AH138" i="21"/>
  <c r="AN140" i="21"/>
  <c r="AJ143" i="21"/>
  <c r="AF146" i="21"/>
  <c r="AL148" i="21"/>
  <c r="AG151" i="21"/>
  <c r="AM153" i="21"/>
  <c r="AH156" i="21"/>
  <c r="AE159" i="21"/>
  <c r="AK162" i="21"/>
  <c r="AE176" i="21"/>
  <c r="AL178" i="21"/>
  <c r="AF181" i="21"/>
  <c r="AK183" i="21"/>
  <c r="AE186" i="21"/>
  <c r="AI188" i="21"/>
  <c r="AM190" i="21"/>
  <c r="AF193" i="21"/>
  <c r="AJ195" i="21"/>
  <c r="AN197" i="21"/>
  <c r="AG200" i="21"/>
  <c r="AK202" i="21"/>
  <c r="AF205" i="21"/>
  <c r="AI211" i="21"/>
  <c r="AK225" i="21"/>
  <c r="AM227" i="21"/>
  <c r="AO229" i="21"/>
  <c r="AF232" i="21"/>
  <c r="AH234" i="21"/>
  <c r="AJ236" i="21"/>
  <c r="AL238" i="21"/>
  <c r="AN240" i="21"/>
  <c r="AE243" i="21"/>
  <c r="AP29" i="21"/>
  <c r="AP65" i="21"/>
  <c r="AP98" i="21"/>
  <c r="AP134" i="21"/>
  <c r="AP180" i="21"/>
  <c r="AP227" i="21"/>
  <c r="AP276" i="21"/>
  <c r="AN11" i="21"/>
  <c r="AN14" i="21"/>
  <c r="AM17" i="21"/>
  <c r="AL20" i="21"/>
  <c r="AO23" i="21"/>
  <c r="AN26" i="21"/>
  <c r="AL29" i="21"/>
  <c r="AN32" i="21"/>
  <c r="AM35" i="21"/>
  <c r="AK38" i="21"/>
  <c r="AL41" i="21"/>
  <c r="AL44" i="21"/>
  <c r="AK47" i="21"/>
  <c r="AI50" i="21"/>
  <c r="AG53" i="21"/>
  <c r="AO55" i="21"/>
  <c r="AO58" i="21"/>
  <c r="AL61" i="21"/>
  <c r="AJ64" i="21"/>
  <c r="AG67" i="21"/>
  <c r="AO69" i="21"/>
  <c r="AL72" i="21"/>
  <c r="AH75" i="21"/>
  <c r="AE78" i="21"/>
  <c r="AM80" i="21"/>
  <c r="AK83" i="21"/>
  <c r="AG86" i="21"/>
  <c r="AO88" i="21"/>
  <c r="AM91" i="21"/>
  <c r="AI94" i="21"/>
  <c r="AE97" i="21"/>
  <c r="AL99" i="21"/>
  <c r="AL102" i="21"/>
  <c r="AH105" i="21"/>
  <c r="AO107" i="21"/>
  <c r="AK110" i="21"/>
  <c r="AH113" i="21"/>
  <c r="AN115" i="21"/>
  <c r="AI118" i="21"/>
  <c r="AO120" i="21"/>
  <c r="AJ123" i="21"/>
  <c r="AI126" i="21"/>
  <c r="AO128" i="21"/>
  <c r="AJ131" i="21"/>
  <c r="AE134" i="21"/>
  <c r="AK136" i="21"/>
  <c r="AG139" i="21"/>
  <c r="AN141" i="21"/>
  <c r="AI144" i="21"/>
  <c r="AO146" i="21"/>
  <c r="AJ149" i="21"/>
  <c r="AE152" i="21"/>
  <c r="AO154" i="21"/>
  <c r="AJ157" i="21"/>
  <c r="AE160" i="21"/>
  <c r="AK174" i="21"/>
  <c r="AE177" i="21"/>
  <c r="AK179" i="21"/>
  <c r="AE182" i="21"/>
  <c r="AJ184" i="21"/>
  <c r="AN186" i="21"/>
  <c r="AG189" i="21"/>
  <c r="AK191" i="21"/>
  <c r="AF194" i="21"/>
  <c r="AJ196" i="21"/>
  <c r="AN198" i="21"/>
  <c r="AG201" i="21"/>
  <c r="AK203" i="21"/>
  <c r="AO205" i="21"/>
  <c r="AG213" i="21"/>
  <c r="AI226" i="21"/>
  <c r="AK228" i="21"/>
  <c r="AM230" i="21"/>
  <c r="AO232" i="21"/>
  <c r="AF235" i="21"/>
  <c r="AH237" i="21"/>
  <c r="AJ239" i="21"/>
  <c r="AL241" i="21"/>
  <c r="AP19" i="21"/>
  <c r="AP55" i="21"/>
  <c r="AP96" i="21"/>
  <c r="AP138" i="21"/>
  <c r="AP185" i="21"/>
  <c r="AP239" i="21"/>
  <c r="AE10" i="21"/>
  <c r="AN13" i="21"/>
  <c r="AH17" i="21"/>
  <c r="AJ20" i="21"/>
  <c r="AF24" i="21"/>
  <c r="AI27" i="21"/>
  <c r="AM30" i="21"/>
  <c r="AF34" i="21"/>
  <c r="AM37" i="21"/>
  <c r="AG41" i="21"/>
  <c r="AH44" i="21"/>
  <c r="AN47" i="21"/>
  <c r="AO50" i="21"/>
  <c r="AF54" i="21"/>
  <c r="AI57" i="21"/>
  <c r="AO60" i="21"/>
  <c r="AN63" i="21"/>
  <c r="AO66" i="21"/>
  <c r="AG70" i="21"/>
  <c r="AF73" i="21"/>
  <c r="AI76" i="21"/>
  <c r="AH79" i="21"/>
  <c r="AL82" i="21"/>
  <c r="AK85" i="21"/>
  <c r="AL88" i="21"/>
  <c r="AO91" i="21"/>
  <c r="AN94" i="21"/>
  <c r="AF98" i="21"/>
  <c r="AF101" i="21"/>
  <c r="AH104" i="21"/>
  <c r="AJ107" i="21"/>
  <c r="AI110" i="21"/>
  <c r="AJ113" i="21"/>
  <c r="AH116" i="21"/>
  <c r="AH119" i="21"/>
  <c r="AH122" i="21"/>
  <c r="AH125" i="21"/>
  <c r="AG128" i="21"/>
  <c r="AH131" i="21"/>
  <c r="AG134" i="21"/>
  <c r="AG137" i="21"/>
  <c r="AE140" i="21"/>
  <c r="AE143" i="21"/>
  <c r="AG146" i="21"/>
  <c r="AE149" i="21"/>
  <c r="AN151" i="21"/>
  <c r="AF155" i="21"/>
  <c r="AO157" i="21"/>
  <c r="AM160" i="21"/>
  <c r="AL175" i="21"/>
  <c r="AM178" i="21"/>
  <c r="AJ181" i="21"/>
  <c r="AH184" i="21"/>
  <c r="AE187" i="21"/>
  <c r="AN189" i="21"/>
  <c r="AJ192" i="21"/>
  <c r="AF195" i="21"/>
  <c r="AO197" i="21"/>
  <c r="AM200" i="21"/>
  <c r="AI203" i="21"/>
  <c r="AF207" i="21"/>
  <c r="AL213" i="21"/>
  <c r="AF227" i="21"/>
  <c r="AK229" i="21"/>
  <c r="AG232" i="21"/>
  <c r="AL234" i="21"/>
  <c r="AF237" i="21"/>
  <c r="AL239" i="21"/>
  <c r="AF242" i="21"/>
  <c r="AJ244" i="21"/>
  <c r="AL246" i="21"/>
  <c r="AN252" i="21"/>
  <c r="AE265" i="21"/>
  <c r="AG267" i="21"/>
  <c r="AI269" i="21"/>
  <c r="AK271" i="21"/>
  <c r="AM273" i="21"/>
  <c r="AO276" i="21"/>
  <c r="AP20" i="21"/>
  <c r="AP61" i="21"/>
  <c r="AP97" i="21"/>
  <c r="AP139" i="21"/>
  <c r="AP186" i="21"/>
  <c r="AP240" i="21"/>
  <c r="AF10" i="21"/>
  <c r="AO13" i="21"/>
  <c r="AI17" i="21"/>
  <c r="AK20" i="21"/>
  <c r="AG24" i="21"/>
  <c r="AJ27" i="21"/>
  <c r="AN30" i="21"/>
  <c r="AG34" i="21"/>
  <c r="AO37" i="21"/>
  <c r="AH41" i="21"/>
  <c r="AK44" i="21"/>
  <c r="AO47" i="21"/>
  <c r="AE51" i="21"/>
  <c r="AH54" i="21"/>
  <c r="AJ57" i="21"/>
  <c r="AE61" i="21"/>
  <c r="AO63" i="21"/>
  <c r="AF67" i="21"/>
  <c r="AH70" i="21"/>
  <c r="AG73" i="21"/>
  <c r="AJ76" i="21"/>
  <c r="AI79" i="21"/>
  <c r="AM82" i="21"/>
  <c r="AN85" i="21"/>
  <c r="AM88" i="21"/>
  <c r="AE92" i="21"/>
  <c r="AO94" i="21"/>
  <c r="AG98" i="21"/>
  <c r="AG101" i="21"/>
  <c r="AJ104" i="21"/>
  <c r="AK107" i="21"/>
  <c r="AJ110" i="21"/>
  <c r="AK113" i="21"/>
  <c r="AI116" i="21"/>
  <c r="AJ119" i="21"/>
  <c r="AI122" i="21"/>
  <c r="AI125" i="21"/>
  <c r="AH128" i="21"/>
  <c r="AI131" i="21"/>
  <c r="AH134" i="21"/>
  <c r="AH137" i="21"/>
  <c r="AF140" i="21"/>
  <c r="AF143" i="21"/>
  <c r="AH146" i="21"/>
  <c r="AF149" i="21"/>
  <c r="AO151" i="21"/>
  <c r="AG155" i="21"/>
  <c r="AE158" i="21"/>
  <c r="AO160" i="21"/>
  <c r="AM175" i="21"/>
  <c r="AN178" i="21"/>
  <c r="AL181" i="21"/>
  <c r="AI184" i="21"/>
  <c r="AF187" i="21"/>
  <c r="AO189" i="21"/>
  <c r="AK192" i="21"/>
  <c r="AG195" i="21"/>
  <c r="AE198" i="21"/>
  <c r="AN200" i="21"/>
  <c r="AJ203" i="21"/>
  <c r="AG207" i="21"/>
  <c r="AM213" i="21"/>
  <c r="AG227" i="21"/>
  <c r="AL229" i="21"/>
  <c r="AH232" i="21"/>
  <c r="AM234" i="21"/>
  <c r="AG237" i="21"/>
  <c r="AM239" i="21"/>
  <c r="AG242" i="21"/>
  <c r="AK244" i="21"/>
  <c r="AM246" i="21"/>
  <c r="AO252" i="21"/>
  <c r="AF265" i="21"/>
  <c r="AH267" i="21"/>
  <c r="AJ269" i="21"/>
  <c r="AL271" i="21"/>
  <c r="AN273" i="21"/>
  <c r="AP32" i="21"/>
  <c r="AP72" i="21"/>
  <c r="AP113" i="21"/>
  <c r="AP150" i="21"/>
  <c r="AP202" i="21"/>
  <c r="AP271" i="21"/>
  <c r="AM11" i="21"/>
  <c r="AG15" i="21"/>
  <c r="AK18" i="21"/>
  <c r="AO21" i="21"/>
  <c r="AG25" i="21"/>
  <c r="AE29" i="21"/>
  <c r="AH32" i="21"/>
  <c r="AL35" i="21"/>
  <c r="AF39" i="21"/>
  <c r="AJ42" i="21"/>
  <c r="AN45" i="21"/>
  <c r="AN48" i="21"/>
  <c r="AJ52" i="21"/>
  <c r="AK55" i="21"/>
  <c r="AN58" i="21"/>
  <c r="AF62" i="21"/>
  <c r="AG65" i="21"/>
  <c r="AG68" i="21"/>
  <c r="AF71" i="21"/>
  <c r="AK74" i="21"/>
  <c r="AK77" i="21"/>
  <c r="AL80" i="21"/>
  <c r="AN83" i="21"/>
  <c r="AE87" i="21"/>
  <c r="AO89" i="21"/>
  <c r="AE93" i="21"/>
  <c r="AI96" i="21"/>
  <c r="AH99" i="21"/>
  <c r="AK102" i="21"/>
  <c r="AK105" i="21"/>
  <c r="AL108" i="21"/>
  <c r="AK111" i="21"/>
  <c r="AK114" i="21"/>
  <c r="AM117" i="21"/>
  <c r="AK120" i="21"/>
  <c r="AI123" i="21"/>
  <c r="AL126" i="21"/>
  <c r="AJ129" i="21"/>
  <c r="AH132" i="21"/>
  <c r="AH135" i="21"/>
  <c r="AJ138" i="21"/>
  <c r="AI141" i="21"/>
  <c r="AH144" i="21"/>
  <c r="AG147" i="21"/>
  <c r="AI150" i="21"/>
  <c r="AG153" i="21"/>
  <c r="AE156" i="21"/>
  <c r="AG159" i="21"/>
  <c r="AG174" i="21"/>
  <c r="AO176" i="21"/>
  <c r="AN179" i="21"/>
  <c r="AK182" i="21"/>
  <c r="AJ185" i="21"/>
  <c r="AF188" i="21"/>
  <c r="AO190" i="21"/>
  <c r="AK193" i="21"/>
  <c r="AI196" i="21"/>
  <c r="AF199" i="21"/>
  <c r="AM201" i="21"/>
  <c r="AI204" i="21"/>
  <c r="AF211" i="21"/>
  <c r="AM225" i="21"/>
  <c r="AG228" i="21"/>
  <c r="AL230" i="21"/>
  <c r="AG233" i="21"/>
  <c r="AL235" i="21"/>
  <c r="AF238" i="21"/>
  <c r="AK240" i="21"/>
  <c r="AG243" i="21"/>
  <c r="AI245" i="21"/>
  <c r="AK248" i="21"/>
  <c r="AO265" i="21"/>
  <c r="AF268" i="21"/>
  <c r="AH270" i="21"/>
  <c r="AJ272" i="21"/>
  <c r="AL274" i="21"/>
  <c r="AP22" i="21"/>
  <c r="AP66" i="21"/>
  <c r="AP111" i="21"/>
  <c r="AP157" i="21"/>
  <c r="AP225" i="21"/>
  <c r="AJ9" i="21"/>
  <c r="AH13" i="21"/>
  <c r="AJ17" i="21"/>
  <c r="AI21" i="21"/>
  <c r="AE25" i="21"/>
  <c r="AG29" i="21"/>
  <c r="AE33" i="21"/>
  <c r="AO36" i="21"/>
  <c r="AL40" i="21"/>
  <c r="AM44" i="21"/>
  <c r="AI48" i="21"/>
  <c r="AL51" i="21"/>
  <c r="AM55" i="21"/>
  <c r="AK59" i="21"/>
  <c r="AF63" i="21"/>
  <c r="AJ66" i="21"/>
  <c r="AI70" i="21"/>
  <c r="AL73" i="21"/>
  <c r="AI77" i="21"/>
  <c r="AF81" i="21"/>
  <c r="AI84" i="21"/>
  <c r="AO87" i="21"/>
  <c r="AJ91" i="21"/>
  <c r="AE95" i="21"/>
  <c r="AK98" i="21"/>
  <c r="AF102" i="21"/>
  <c r="AN105" i="21"/>
  <c r="AG109" i="21"/>
  <c r="AL112" i="21"/>
  <c r="AE116" i="21"/>
  <c r="AK119" i="21"/>
  <c r="AO122" i="21"/>
  <c r="AJ126" i="21"/>
  <c r="AL129" i="21"/>
  <c r="AF133" i="21"/>
  <c r="AI136" i="21"/>
  <c r="AM139" i="21"/>
  <c r="AG143" i="21"/>
  <c r="AL146" i="21"/>
  <c r="AF150" i="21"/>
  <c r="AI153" i="21"/>
  <c r="AN156" i="21"/>
  <c r="AG160" i="21"/>
  <c r="AI175" i="21"/>
  <c r="AO178" i="21"/>
  <c r="AF182" i="21"/>
  <c r="AF185" i="21"/>
  <c r="AJ188" i="21"/>
  <c r="AI191" i="21"/>
  <c r="AK194" i="21"/>
  <c r="AJ197" i="21"/>
  <c r="AO200" i="21"/>
  <c r="AO203" i="21"/>
  <c r="AN207" i="21"/>
  <c r="AO225" i="21"/>
  <c r="AM228" i="21"/>
  <c r="AJ231" i="21"/>
  <c r="AI234" i="21"/>
  <c r="AI237" i="21"/>
  <c r="AF240" i="21"/>
  <c r="AN242" i="21"/>
  <c r="AK245" i="21"/>
  <c r="AE252" i="21"/>
  <c r="AJ264" i="21"/>
  <c r="AO266" i="21"/>
  <c r="AK269" i="21"/>
  <c r="AE272" i="21"/>
  <c r="AJ274" i="21"/>
  <c r="AP23" i="21"/>
  <c r="AP67" i="21"/>
  <c r="AP112" i="21"/>
  <c r="AP158" i="21"/>
  <c r="AP226" i="21"/>
  <c r="AK9" i="21"/>
  <c r="AI13" i="21"/>
  <c r="AK17" i="21"/>
  <c r="AK21" i="21"/>
  <c r="AF25" i="21"/>
  <c r="AH29" i="21"/>
  <c r="AF33" i="21"/>
  <c r="AE37" i="21"/>
  <c r="AM40" i="21"/>
  <c r="AN44" i="21"/>
  <c r="AJ48" i="21"/>
  <c r="AI52" i="21"/>
  <c r="AN55" i="21"/>
  <c r="AL59" i="21"/>
  <c r="AG63" i="21"/>
  <c r="AM66" i="21"/>
  <c r="AJ70" i="21"/>
  <c r="AE74" i="21"/>
  <c r="AJ77" i="21"/>
  <c r="AG81" i="21"/>
  <c r="AK84" i="21"/>
  <c r="AG88" i="21"/>
  <c r="AL91" i="21"/>
  <c r="AH95" i="21"/>
  <c r="AO98" i="21"/>
  <c r="AH102" i="21"/>
  <c r="AO105" i="21"/>
  <c r="AH109" i="21"/>
  <c r="AM112" i="21"/>
  <c r="AF116" i="21"/>
  <c r="AM119" i="21"/>
  <c r="AE123" i="21"/>
  <c r="AK126" i="21"/>
  <c r="AM129" i="21"/>
  <c r="AG133" i="21"/>
  <c r="AJ136" i="21"/>
  <c r="AN139" i="21"/>
  <c r="AK143" i="21"/>
  <c r="AM146" i="21"/>
  <c r="AH150" i="21"/>
  <c r="AJ153" i="21"/>
  <c r="AO156" i="21"/>
  <c r="AH160" i="21"/>
  <c r="AJ175" i="21"/>
  <c r="AE179" i="21"/>
  <c r="AG182" i="21"/>
  <c r="AI185" i="21"/>
  <c r="AK188" i="21"/>
  <c r="AJ191" i="21"/>
  <c r="AL194" i="21"/>
  <c r="AK197" i="21"/>
  <c r="AE201" i="21"/>
  <c r="AE204" i="21"/>
  <c r="AO207" i="21"/>
  <c r="AE226" i="21"/>
  <c r="AN228" i="21"/>
  <c r="AK231" i="21"/>
  <c r="AJ234" i="21"/>
  <c r="AJ237" i="21"/>
  <c r="AG240" i="21"/>
  <c r="AF243" i="21"/>
  <c r="AL245" i="21"/>
  <c r="AF252" i="21"/>
  <c r="AK264" i="21"/>
  <c r="AE267" i="21"/>
  <c r="AL269" i="21"/>
  <c r="AF272" i="21"/>
  <c r="AK274" i="21"/>
  <c r="AP24" i="21"/>
  <c r="AP68" i="21"/>
  <c r="AP114" i="21"/>
  <c r="AP159" i="21"/>
  <c r="AP228" i="21"/>
  <c r="AL9" i="21"/>
  <c r="AJ13" i="21"/>
  <c r="AL17" i="21"/>
  <c r="AL21" i="21"/>
  <c r="AH25" i="21"/>
  <c r="AI29" i="21"/>
  <c r="AH33" i="21"/>
  <c r="AF37" i="21"/>
  <c r="AE41" i="21"/>
  <c r="AO44" i="21"/>
  <c r="AK48" i="21"/>
  <c r="AK52" i="21"/>
  <c r="AE56" i="21"/>
  <c r="AM59" i="21"/>
  <c r="AH63" i="21"/>
  <c r="AN66" i="21"/>
  <c r="AK70" i="21"/>
  <c r="AF74" i="21"/>
  <c r="AL77" i="21"/>
  <c r="AH81" i="21"/>
  <c r="AL84" i="21"/>
  <c r="AH88" i="21"/>
  <c r="AN91" i="21"/>
  <c r="AJ95" i="21"/>
  <c r="AE99" i="21"/>
  <c r="AM102" i="21"/>
  <c r="AE106" i="21"/>
  <c r="AI109" i="21"/>
  <c r="AO112" i="21"/>
  <c r="AG116" i="21"/>
  <c r="AN119" i="21"/>
  <c r="AF123" i="21"/>
  <c r="AM126" i="21"/>
  <c r="AN129" i="21"/>
  <c r="AJ133" i="21"/>
  <c r="AL136" i="21"/>
  <c r="AO139" i="21"/>
  <c r="AM143" i="21"/>
  <c r="AN146" i="21"/>
  <c r="AJ150" i="21"/>
  <c r="AK153" i="21"/>
  <c r="AE157" i="21"/>
  <c r="AI160" i="21"/>
  <c r="AK175" i="21"/>
  <c r="AF179" i="21"/>
  <c r="AH182" i="21"/>
  <c r="AK185" i="21"/>
  <c r="AL188" i="21"/>
  <c r="AL191" i="21"/>
  <c r="AM194" i="21"/>
  <c r="AL197" i="21"/>
  <c r="AF201" i="21"/>
  <c r="AF204" i="21"/>
  <c r="AG211" i="21"/>
  <c r="AF226" i="21"/>
  <c r="AO228" i="21"/>
  <c r="AL231" i="21"/>
  <c r="AK234" i="21"/>
  <c r="AK237" i="21"/>
  <c r="AH240" i="21"/>
  <c r="AH243" i="21"/>
  <c r="AM245" i="21"/>
  <c r="AG252" i="21"/>
  <c r="AL264" i="21"/>
  <c r="AF267" i="21"/>
  <c r="AM269" i="21"/>
  <c r="AG272" i="21"/>
  <c r="AM274" i="21"/>
  <c r="AP39" i="21"/>
  <c r="AP80" i="21"/>
  <c r="AP126" i="21"/>
  <c r="AP183" i="21"/>
  <c r="AP243" i="21"/>
  <c r="AG11" i="21"/>
  <c r="AF15" i="21"/>
  <c r="AN18" i="21"/>
  <c r="AN22" i="21"/>
  <c r="AM26" i="21"/>
  <c r="AK30" i="21"/>
  <c r="AN34" i="21"/>
  <c r="AI38" i="21"/>
  <c r="AI42" i="21"/>
  <c r="AF46" i="21"/>
  <c r="AE50" i="21"/>
  <c r="AJ53" i="21"/>
  <c r="AG57" i="21"/>
  <c r="AG61" i="21"/>
  <c r="AL64" i="21"/>
  <c r="AF68" i="21"/>
  <c r="AO71" i="21"/>
  <c r="AG75" i="21"/>
  <c r="AN78" i="21"/>
  <c r="AF82" i="21"/>
  <c r="AE86" i="21"/>
  <c r="AK89" i="21"/>
  <c r="AO92" i="21"/>
  <c r="AL96" i="21"/>
  <c r="AH100" i="21"/>
  <c r="AK103" i="21"/>
  <c r="AH107" i="21"/>
  <c r="AN110" i="21"/>
  <c r="AE114" i="21"/>
  <c r="AL117" i="21"/>
  <c r="AN120" i="21"/>
  <c r="AI124" i="21"/>
  <c r="AJ127" i="21"/>
  <c r="AF131" i="21"/>
  <c r="AJ134" i="21"/>
  <c r="AM137" i="21"/>
  <c r="AH141" i="21"/>
  <c r="AL144" i="21"/>
  <c r="AF148" i="21"/>
  <c r="AI151" i="21"/>
  <c r="AL154" i="21"/>
  <c r="AG158" i="21"/>
  <c r="AL162" i="21"/>
  <c r="AN176" i="21"/>
  <c r="AF180" i="21"/>
  <c r="AH183" i="21"/>
  <c r="AJ186" i="21"/>
  <c r="AJ189" i="21"/>
  <c r="AM192" i="21"/>
  <c r="AN195" i="21"/>
  <c r="AE199" i="21"/>
  <c r="AE202" i="21"/>
  <c r="AH205" i="21"/>
  <c r="AO226" i="21"/>
  <c r="AE230" i="21"/>
  <c r="AM232" i="21"/>
  <c r="AK235" i="21"/>
  <c r="AI238" i="21"/>
  <c r="AH241" i="21"/>
  <c r="AE244" i="21"/>
  <c r="AJ246" i="21"/>
  <c r="AF254" i="21"/>
  <c r="AK265" i="21"/>
  <c r="AE268" i="21"/>
  <c r="AK270" i="21"/>
  <c r="AE273" i="21"/>
  <c r="AJ276" i="21"/>
  <c r="AP25" i="21"/>
  <c r="AP77" i="21"/>
  <c r="AP128" i="21"/>
  <c r="AP195" i="21"/>
  <c r="AE14" i="21"/>
  <c r="AJ18" i="21"/>
  <c r="AE23" i="21"/>
  <c r="AL27" i="21"/>
  <c r="AJ32" i="21"/>
  <c r="AG37" i="21"/>
  <c r="AF42" i="21"/>
  <c r="AJ46" i="21"/>
  <c r="AM50" i="21"/>
  <c r="AG55" i="21"/>
  <c r="AN59" i="21"/>
  <c r="AF64" i="21"/>
  <c r="AI68" i="21"/>
  <c r="AK72" i="21"/>
  <c r="AM76" i="21"/>
  <c r="AI81" i="21"/>
  <c r="AI85" i="21"/>
  <c r="AM89" i="21"/>
  <c r="AE94" i="21"/>
  <c r="AE98" i="21"/>
  <c r="AN102" i="21"/>
  <c r="AL106" i="21"/>
  <c r="AF111" i="21"/>
  <c r="AF115" i="21"/>
  <c r="AM118" i="21"/>
  <c r="AG123" i="21"/>
  <c r="AG127" i="21"/>
  <c r="AK131" i="21"/>
  <c r="AG135" i="21"/>
  <c r="AI139" i="21"/>
  <c r="AN143" i="21"/>
  <c r="AL147" i="21"/>
  <c r="AK151" i="21"/>
  <c r="AL155" i="21"/>
  <c r="AM159" i="21"/>
  <c r="AN175" i="21"/>
  <c r="AM179" i="21"/>
  <c r="AL183" i="21"/>
  <c r="AH187" i="21"/>
  <c r="AE191" i="21"/>
  <c r="AN194" i="21"/>
  <c r="AL198" i="21"/>
  <c r="AG202" i="21"/>
  <c r="AN205" i="21"/>
  <c r="AH225" i="21"/>
  <c r="AE229" i="21"/>
  <c r="AJ232" i="21"/>
  <c r="AN235" i="21"/>
  <c r="AF239" i="21"/>
  <c r="AJ242" i="21"/>
  <c r="AN245" i="21"/>
  <c r="AL252" i="21"/>
  <c r="AM265" i="21"/>
  <c r="AL268" i="21"/>
  <c r="AJ271" i="21"/>
  <c r="AN274" i="21"/>
  <c r="AP140" i="21"/>
  <c r="AJ98" i="21"/>
  <c r="AO135" i="21"/>
  <c r="AF160" i="21"/>
  <c r="AH191" i="21"/>
  <c r="AI207" i="21"/>
  <c r="AF236" i="21"/>
  <c r="AM242" i="21"/>
  <c r="AF266" i="21"/>
  <c r="AO271" i="21"/>
  <c r="AP26" i="21"/>
  <c r="AP78" i="21"/>
  <c r="AP133" i="21"/>
  <c r="AP196" i="21"/>
  <c r="AF9" i="21"/>
  <c r="AF14" i="21"/>
  <c r="AL18" i="21"/>
  <c r="AF23" i="21"/>
  <c r="AO27" i="21"/>
  <c r="AK32" i="21"/>
  <c r="AH37" i="21"/>
  <c r="AG42" i="21"/>
  <c r="AK46" i="21"/>
  <c r="AN50" i="21"/>
  <c r="AH55" i="21"/>
  <c r="AO59" i="21"/>
  <c r="AI64" i="21"/>
  <c r="AJ68" i="21"/>
  <c r="AM72" i="21"/>
  <c r="AN76" i="21"/>
  <c r="AJ81" i="21"/>
  <c r="AJ85" i="21"/>
  <c r="AN89" i="21"/>
  <c r="AF94" i="21"/>
  <c r="AH98" i="21"/>
  <c r="AO102" i="21"/>
  <c r="AM106" i="21"/>
  <c r="AG111" i="21"/>
  <c r="AG115" i="21"/>
  <c r="AN118" i="21"/>
  <c r="AH123" i="21"/>
  <c r="AH127" i="21"/>
  <c r="AL131" i="21"/>
  <c r="AI135" i="21"/>
  <c r="AJ139" i="21"/>
  <c r="AO143" i="21"/>
  <c r="AN147" i="21"/>
  <c r="AL151" i="21"/>
  <c r="AM155" i="21"/>
  <c r="AN159" i="21"/>
  <c r="AH176" i="21"/>
  <c r="AO179" i="21"/>
  <c r="AN183" i="21"/>
  <c r="AK187" i="21"/>
  <c r="AF191" i="21"/>
  <c r="AO194" i="21"/>
  <c r="AM198" i="21"/>
  <c r="AH202" i="21"/>
  <c r="AI225" i="21"/>
  <c r="AF229" i="21"/>
  <c r="AK232" i="21"/>
  <c r="AO235" i="21"/>
  <c r="AG239" i="21"/>
  <c r="AK242" i="21"/>
  <c r="AO245" i="21"/>
  <c r="AM252" i="21"/>
  <c r="AN265" i="21"/>
  <c r="AM268" i="21"/>
  <c r="AM271" i="21"/>
  <c r="AO274" i="21"/>
  <c r="AP85" i="21"/>
  <c r="AP200" i="21"/>
  <c r="AI9" i="21"/>
  <c r="AI14" i="21"/>
  <c r="AO18" i="21"/>
  <c r="AH23" i="21"/>
  <c r="AG28" i="21"/>
  <c r="AO32" i="21"/>
  <c r="AE38" i="21"/>
  <c r="AK42" i="21"/>
  <c r="AM46" i="21"/>
  <c r="AG51" i="21"/>
  <c r="AL55" i="21"/>
  <c r="AF60" i="21"/>
  <c r="AM64" i="21"/>
  <c r="AN68" i="21"/>
  <c r="AO72" i="21"/>
  <c r="AH77" i="21"/>
  <c r="AL81" i="21"/>
  <c r="AF86" i="21"/>
  <c r="AF90" i="21"/>
  <c r="AH94" i="21"/>
  <c r="AF103" i="21"/>
  <c r="AI107" i="21"/>
  <c r="AJ115" i="21"/>
  <c r="AG119" i="21"/>
  <c r="AO123" i="21"/>
  <c r="AK127" i="21"/>
  <c r="AN131" i="21"/>
  <c r="AL139" i="21"/>
  <c r="AF144" i="21"/>
  <c r="AG148" i="21"/>
  <c r="AG152" i="21"/>
  <c r="AO155" i="21"/>
  <c r="AG180" i="21"/>
  <c r="AE184" i="21"/>
  <c r="AM187" i="21"/>
  <c r="AH195" i="21"/>
  <c r="AG199" i="21"/>
  <c r="AN202" i="21"/>
  <c r="AH229" i="21"/>
  <c r="AN232" i="21"/>
  <c r="AI239" i="21"/>
  <c r="AF246" i="21"/>
  <c r="AO268" i="21"/>
  <c r="AF276" i="21"/>
  <c r="AP28" i="21"/>
  <c r="AP79" i="21"/>
  <c r="AP135" i="21"/>
  <c r="AP197" i="21"/>
  <c r="AH9" i="21"/>
  <c r="AH14" i="21"/>
  <c r="AM18" i="21"/>
  <c r="AG23" i="21"/>
  <c r="AF28" i="21"/>
  <c r="AM32" i="21"/>
  <c r="AI37" i="21"/>
  <c r="AH42" i="21"/>
  <c r="AL46" i="21"/>
  <c r="AF51" i="21"/>
  <c r="AI55" i="21"/>
  <c r="AE60" i="21"/>
  <c r="AK64" i="21"/>
  <c r="AK68" i="21"/>
  <c r="AN72" i="21"/>
  <c r="AF77" i="21"/>
  <c r="AK81" i="21"/>
  <c r="AO85" i="21"/>
  <c r="AE90" i="21"/>
  <c r="AG94" i="21"/>
  <c r="AI98" i="21"/>
  <c r="AE103" i="21"/>
  <c r="AE107" i="21"/>
  <c r="AH111" i="21"/>
  <c r="AI115" i="21"/>
  <c r="AF119" i="21"/>
  <c r="AK123" i="21"/>
  <c r="AI127" i="21"/>
  <c r="AM131" i="21"/>
  <c r="AN135" i="21"/>
  <c r="AK139" i="21"/>
  <c r="AE144" i="21"/>
  <c r="AO147" i="21"/>
  <c r="AM151" i="21"/>
  <c r="AN155" i="21"/>
  <c r="AO159" i="21"/>
  <c r="AI176" i="21"/>
  <c r="AE180" i="21"/>
  <c r="AO183" i="21"/>
  <c r="AL187" i="21"/>
  <c r="AG191" i="21"/>
  <c r="AE195" i="21"/>
  <c r="AO198" i="21"/>
  <c r="AI202" i="21"/>
  <c r="AH207" i="21"/>
  <c r="AL225" i="21"/>
  <c r="AG229" i="21"/>
  <c r="AL232" i="21"/>
  <c r="AE236" i="21"/>
  <c r="AH239" i="21"/>
  <c r="AL242" i="21"/>
  <c r="AE246" i="21"/>
  <c r="AE266" i="21"/>
  <c r="AN268" i="21"/>
  <c r="AN271" i="21"/>
  <c r="AE276" i="21"/>
  <c r="AP30" i="21"/>
  <c r="AI111" i="21"/>
  <c r="AJ176" i="21"/>
  <c r="AN225" i="21"/>
  <c r="AP43" i="21"/>
  <c r="AP99" i="21"/>
  <c r="AP149" i="21"/>
  <c r="AP234" i="21"/>
  <c r="AF11" i="21"/>
  <c r="AK15" i="21"/>
  <c r="AG20" i="21"/>
  <c r="AN24" i="21"/>
  <c r="AM29" i="21"/>
  <c r="AJ34" i="21"/>
  <c r="AG39" i="21"/>
  <c r="AM43" i="21"/>
  <c r="AG48" i="21"/>
  <c r="AN52" i="21"/>
  <c r="AF57" i="21"/>
  <c r="AK61" i="21"/>
  <c r="AM65" i="21"/>
  <c r="AN69" i="21"/>
  <c r="AL74" i="21"/>
  <c r="AM78" i="21"/>
  <c r="AE83" i="21"/>
  <c r="AG87" i="21"/>
  <c r="AG91" i="21"/>
  <c r="AN95" i="21"/>
  <c r="AG100" i="21"/>
  <c r="AO103" i="21"/>
  <c r="AI108" i="21"/>
  <c r="AJ112" i="21"/>
  <c r="AN116" i="21"/>
  <c r="AM120" i="21"/>
  <c r="AM124" i="21"/>
  <c r="AE129" i="21"/>
  <c r="AL132" i="21"/>
  <c r="AE137" i="21"/>
  <c r="AF141" i="21"/>
  <c r="AE145" i="21"/>
  <c r="AG149" i="21"/>
  <c r="AF153" i="21"/>
  <c r="AK157" i="21"/>
  <c r="AI162" i="21"/>
  <c r="AJ177" i="21"/>
  <c r="AG181" i="21"/>
  <c r="AO184" i="21"/>
  <c r="AO188" i="21"/>
  <c r="AL192" i="21"/>
  <c r="AK196" i="21"/>
  <c r="AN199" i="21"/>
  <c r="AM203" i="21"/>
  <c r="AL211" i="21"/>
  <c r="AN226" i="21"/>
  <c r="AI230" i="21"/>
  <c r="AL233" i="21"/>
  <c r="AO236" i="21"/>
  <c r="AL240" i="21"/>
  <c r="AO243" i="21"/>
  <c r="AE248" i="21"/>
  <c r="AO254" i="21"/>
  <c r="AM266" i="21"/>
  <c r="AE270" i="21"/>
  <c r="AO272" i="21"/>
  <c r="AN276" i="21"/>
  <c r="AP47" i="21"/>
  <c r="AP100" i="21"/>
  <c r="AP151" i="21"/>
  <c r="AP236" i="21"/>
  <c r="AH11" i="21"/>
  <c r="AO15" i="21"/>
  <c r="AH20" i="21"/>
  <c r="AO24" i="21"/>
  <c r="AF30" i="21"/>
  <c r="AO34" i="21"/>
  <c r="AJ39" i="21"/>
  <c r="AN43" i="21"/>
  <c r="AH48" i="21"/>
  <c r="AO52" i="21"/>
  <c r="AH57" i="21"/>
  <c r="AM61" i="21"/>
  <c r="AN65" i="21"/>
  <c r="AE70" i="21"/>
  <c r="AM74" i="21"/>
  <c r="AO78" i="21"/>
  <c r="AF83" i="21"/>
  <c r="AH87" i="21"/>
  <c r="AI91" i="21"/>
  <c r="AO95" i="21"/>
  <c r="AI100" i="21"/>
  <c r="AK104" i="21"/>
  <c r="AK108" i="21"/>
  <c r="AK112" i="21"/>
  <c r="AO116" i="21"/>
  <c r="AE121" i="21"/>
  <c r="AN124" i="21"/>
  <c r="AF129" i="21"/>
  <c r="AN132" i="21"/>
  <c r="AI137" i="21"/>
  <c r="AK141" i="21"/>
  <c r="AH145" i="21"/>
  <c r="AH149" i="21"/>
  <c r="AH153" i="21"/>
  <c r="AL157" i="21"/>
  <c r="AM162" i="21"/>
  <c r="AK177" i="21"/>
  <c r="AH181" i="21"/>
  <c r="AE185" i="21"/>
  <c r="AP31" i="21"/>
  <c r="AP101" i="21"/>
  <c r="AP182" i="21"/>
  <c r="AM9" i="21"/>
  <c r="AE16" i="21"/>
  <c r="AE22" i="21"/>
  <c r="AH28" i="21"/>
  <c r="AE35" i="21"/>
  <c r="AG40" i="21"/>
  <c r="AE47" i="21"/>
  <c r="AF53" i="21"/>
  <c r="AL58" i="21"/>
  <c r="AO64" i="21"/>
  <c r="AL70" i="21"/>
  <c r="AL75" i="21"/>
  <c r="AM81" i="21"/>
  <c r="AI87" i="21"/>
  <c r="AL92" i="21"/>
  <c r="AF99" i="21"/>
  <c r="AL104" i="21"/>
  <c r="AE110" i="21"/>
  <c r="AK115" i="21"/>
  <c r="AF121" i="21"/>
  <c r="AN125" i="21"/>
  <c r="AO131" i="21"/>
  <c r="AJ137" i="21"/>
  <c r="AH142" i="21"/>
  <c r="AH148" i="21"/>
  <c r="AN153" i="21"/>
  <c r="AK158" i="21"/>
  <c r="AK176" i="21"/>
  <c r="AI181" i="21"/>
  <c r="AI186" i="21"/>
  <c r="AN190" i="21"/>
  <c r="AE196" i="21"/>
  <c r="AI200" i="21"/>
  <c r="AI205" i="21"/>
  <c r="AG226" i="21"/>
  <c r="AH230" i="21"/>
  <c r="AF234" i="21"/>
  <c r="AM238" i="21"/>
  <c r="AJ243" i="21"/>
  <c r="AF248" i="21"/>
  <c r="AM264" i="21"/>
  <c r="AI268" i="21"/>
  <c r="AK272" i="21"/>
  <c r="AP37" i="21"/>
  <c r="AP102" i="21"/>
  <c r="AP184" i="21"/>
  <c r="AN9" i="21"/>
  <c r="AF16" i="21"/>
  <c r="AG22" i="21"/>
  <c r="AI28" i="21"/>
  <c r="AF35" i="21"/>
  <c r="AH40" i="21"/>
  <c r="AF47" i="21"/>
  <c r="AH53" i="21"/>
  <c r="AM58" i="21"/>
  <c r="AE65" i="21"/>
  <c r="AM70" i="21"/>
  <c r="AN75" i="21"/>
  <c r="AN81" i="21"/>
  <c r="AJ87" i="21"/>
  <c r="AF93" i="21"/>
  <c r="AG99" i="21"/>
  <c r="AO104" i="21"/>
  <c r="AF110" i="21"/>
  <c r="AL115" i="21"/>
  <c r="AG121" i="21"/>
  <c r="AE126" i="21"/>
  <c r="AE132" i="21"/>
  <c r="AK137" i="21"/>
  <c r="AI142" i="21"/>
  <c r="AI148" i="21"/>
  <c r="AO153" i="21"/>
  <c r="AM158" i="21"/>
  <c r="AL176" i="21"/>
  <c r="AM181" i="21"/>
  <c r="AK186" i="21"/>
  <c r="AO191" i="21"/>
  <c r="AH196" i="21"/>
  <c r="AL200" i="21"/>
  <c r="AJ205" i="21"/>
  <c r="AH226" i="21"/>
  <c r="AJ230" i="21"/>
  <c r="AN234" i="21"/>
  <c r="AN238" i="21"/>
  <c r="AK243" i="21"/>
  <c r="AG248" i="21"/>
  <c r="AN264" i="21"/>
  <c r="AJ268" i="21"/>
  <c r="AL272" i="21"/>
  <c r="AP38" i="21"/>
  <c r="AP109" i="21"/>
  <c r="AP187" i="21"/>
  <c r="AO9" i="21"/>
  <c r="AG16" i="21"/>
  <c r="AI22" i="21"/>
  <c r="AL28" i="21"/>
  <c r="AH35" i="21"/>
  <c r="AI41" i="21"/>
  <c r="AG47" i="21"/>
  <c r="AI53" i="21"/>
  <c r="AE59" i="21"/>
  <c r="AH65" i="21"/>
  <c r="AN70" i="21"/>
  <c r="AO75" i="21"/>
  <c r="AE82" i="21"/>
  <c r="AK87" i="21"/>
  <c r="AK93" i="21"/>
  <c r="AI99" i="21"/>
  <c r="AE105" i="21"/>
  <c r="AG110" i="21"/>
  <c r="AM115" i="21"/>
  <c r="AJ121" i="21"/>
  <c r="AN126" i="21"/>
  <c r="AF132" i="21"/>
  <c r="AL137" i="21"/>
  <c r="AJ142" i="21"/>
  <c r="AJ148" i="21"/>
  <c r="AE154" i="21"/>
  <c r="AF159" i="21"/>
  <c r="AM176" i="21"/>
  <c r="AN181" i="21"/>
  <c r="AL186" i="21"/>
  <c r="AE192" i="21"/>
  <c r="AL196" i="21"/>
  <c r="AH201" i="21"/>
  <c r="AK205" i="21"/>
  <c r="AJ226" i="21"/>
  <c r="AK230" i="21"/>
  <c r="AO234" i="21"/>
  <c r="AO238" i="21"/>
  <c r="AL243" i="21"/>
  <c r="AH248" i="21"/>
  <c r="AO264" i="21"/>
  <c r="AK268" i="21"/>
  <c r="AM272" i="21"/>
  <c r="AP70" i="21"/>
  <c r="AP144" i="21"/>
  <c r="AP242" i="21"/>
  <c r="AL12" i="21"/>
  <c r="AJ19" i="21"/>
  <c r="AE26" i="21"/>
  <c r="AM31" i="21"/>
  <c r="AH38" i="21"/>
  <c r="AF44" i="21"/>
  <c r="AG50" i="21"/>
  <c r="AK56" i="21"/>
  <c r="AH62" i="21"/>
  <c r="AN67" i="21"/>
  <c r="AI73" i="21"/>
  <c r="AG79" i="21"/>
  <c r="AN84" i="21"/>
  <c r="AM90" i="21"/>
  <c r="AK96" i="21"/>
  <c r="AL101" i="21"/>
  <c r="AN107" i="21"/>
  <c r="AI113" i="21"/>
  <c r="AH118" i="21"/>
  <c r="AH124" i="21"/>
  <c r="AI129" i="21"/>
  <c r="AM134" i="21"/>
  <c r="AK140" i="21"/>
  <c r="AL145" i="21"/>
  <c r="AO150" i="21"/>
  <c r="AK156" i="21"/>
  <c r="AH174" i="21"/>
  <c r="AG179" i="21"/>
  <c r="AK184" i="21"/>
  <c r="AH189" i="21"/>
  <c r="AM193" i="21"/>
  <c r="AK198" i="21"/>
  <c r="AH203" i="21"/>
  <c r="AF228" i="21"/>
  <c r="AE233" i="21"/>
  <c r="AN236" i="21"/>
  <c r="AI241" i="21"/>
  <c r="AF245" i="21"/>
  <c r="AI254" i="21"/>
  <c r="AN266" i="21"/>
  <c r="AM270" i="21"/>
  <c r="AG274" i="21"/>
  <c r="AP40" i="21"/>
  <c r="AP122" i="21"/>
  <c r="AP233" i="21"/>
  <c r="AO12" i="21"/>
  <c r="AE21" i="21"/>
  <c r="AF29" i="21"/>
  <c r="AE36" i="21"/>
  <c r="AJ43" i="21"/>
  <c r="AJ50" i="21"/>
  <c r="AE58" i="21"/>
  <c r="AJ65" i="21"/>
  <c r="AE72" i="21"/>
  <c r="AJ78" i="21"/>
  <c r="AE85" i="21"/>
  <c r="AH92" i="21"/>
  <c r="AJ99" i="21"/>
  <c r="AL105" i="21"/>
  <c r="AI112" i="21"/>
  <c r="AK118" i="21"/>
  <c r="AJ125" i="21"/>
  <c r="AG132" i="21"/>
  <c r="AL138" i="21"/>
  <c r="AO144" i="21"/>
  <c r="AH151" i="21"/>
  <c r="AF158" i="21"/>
  <c r="AF177" i="21"/>
  <c r="AM182" i="21"/>
  <c r="AN188" i="21"/>
  <c r="AG194" i="21"/>
  <c r="AM199" i="21"/>
  <c r="AL205" i="21"/>
  <c r="AH227" i="21"/>
  <c r="AN231" i="21"/>
  <c r="AL237" i="21"/>
  <c r="AE242" i="21"/>
  <c r="AI248" i="21"/>
  <c r="AL265" i="21"/>
  <c r="AI270" i="21"/>
  <c r="AI274" i="21"/>
  <c r="AP48" i="21"/>
  <c r="AK14" i="21"/>
  <c r="AN21" i="21"/>
  <c r="AH30" i="21"/>
  <c r="AH36" i="21"/>
  <c r="AG44" i="21"/>
  <c r="AI51" i="21"/>
  <c r="AJ58" i="21"/>
  <c r="AO65" i="21"/>
  <c r="AH72" i="21"/>
  <c r="AJ79" i="21"/>
  <c r="AI86" i="21"/>
  <c r="AK92" i="21"/>
  <c r="AJ100" i="21"/>
  <c r="AL113" i="21"/>
  <c r="AG120" i="21"/>
  <c r="AM125" i="21"/>
  <c r="AK133" i="21"/>
  <c r="AM145" i="21"/>
  <c r="AL152" i="21"/>
  <c r="AJ158" i="21"/>
  <c r="AG183" i="21"/>
  <c r="AJ194" i="21"/>
  <c r="AK207" i="21"/>
  <c r="AF233" i="21"/>
  <c r="AI266" i="21"/>
  <c r="AP127" i="21"/>
  <c r="AE15" i="21"/>
  <c r="AJ22" i="21"/>
  <c r="AI30" i="21"/>
  <c r="AI36" i="21"/>
  <c r="AE45" i="21"/>
  <c r="AJ51" i="21"/>
  <c r="AF59" i="21"/>
  <c r="AG66" i="21"/>
  <c r="AI72" i="21"/>
  <c r="AN79" i="21"/>
  <c r="AJ86" i="21"/>
  <c r="AL93" i="21"/>
  <c r="AK100" i="21"/>
  <c r="AJ106" i="21"/>
  <c r="AM113" i="21"/>
  <c r="AH120" i="21"/>
  <c r="AO126" i="21"/>
  <c r="AL133" i="21"/>
  <c r="AO145" i="21"/>
  <c r="AM152" i="21"/>
  <c r="AH159" i="21"/>
  <c r="AM177" i="21"/>
  <c r="AI183" i="21"/>
  <c r="AM189" i="21"/>
  <c r="AI201" i="21"/>
  <c r="AN227" i="21"/>
  <c r="AH233" i="21"/>
  <c r="AE238" i="21"/>
  <c r="AM243" i="21"/>
  <c r="AJ266" i="21"/>
  <c r="AO270" i="21"/>
  <c r="AP41" i="21"/>
  <c r="AP123" i="21"/>
  <c r="AP237" i="21"/>
  <c r="AE13" i="21"/>
  <c r="AF21" i="21"/>
  <c r="AJ29" i="21"/>
  <c r="AF36" i="21"/>
  <c r="AO43" i="21"/>
  <c r="AL50" i="21"/>
  <c r="AF58" i="21"/>
  <c r="AK65" i="21"/>
  <c r="AF72" i="21"/>
  <c r="AE79" i="21"/>
  <c r="AH85" i="21"/>
  <c r="AI92" i="21"/>
  <c r="AK99" i="21"/>
  <c r="AF106" i="21"/>
  <c r="AE113" i="21"/>
  <c r="AL118" i="21"/>
  <c r="AK125" i="21"/>
  <c r="AI132" i="21"/>
  <c r="AM138" i="21"/>
  <c r="AI145" i="21"/>
  <c r="AJ151" i="21"/>
  <c r="AH158" i="21"/>
  <c r="AH177" i="21"/>
  <c r="AN182" i="21"/>
  <c r="AE189" i="21"/>
  <c r="AH194" i="21"/>
  <c r="AO199" i="21"/>
  <c r="AM205" i="21"/>
  <c r="AI227" i="21"/>
  <c r="AO231" i="21"/>
  <c r="AM237" i="21"/>
  <c r="AH242" i="21"/>
  <c r="AJ248" i="21"/>
  <c r="AG266" i="21"/>
  <c r="AJ270" i="21"/>
  <c r="AG276" i="21"/>
  <c r="AP125" i="21"/>
  <c r="AI106" i="21"/>
  <c r="AO138" i="21"/>
  <c r="AL177" i="21"/>
  <c r="AI189" i="21"/>
  <c r="AH200" i="21"/>
  <c r="AK227" i="21"/>
  <c r="AO237" i="21"/>
  <c r="AM248" i="21"/>
  <c r="AN270" i="21"/>
  <c r="AI276" i="21"/>
  <c r="AP49" i="21"/>
  <c r="AF139" i="21"/>
  <c r="AL207" i="21"/>
  <c r="AN248" i="21"/>
  <c r="AP42" i="21"/>
  <c r="AP124" i="21"/>
  <c r="AP238" i="21"/>
  <c r="AJ14" i="21"/>
  <c r="AM21" i="21"/>
  <c r="AK29" i="21"/>
  <c r="AG36" i="21"/>
  <c r="AE44" i="21"/>
  <c r="AH51" i="21"/>
  <c r="AG58" i="21"/>
  <c r="AL65" i="21"/>
  <c r="AG72" i="21"/>
  <c r="AF79" i="21"/>
  <c r="AH86" i="21"/>
  <c r="AJ92" i="21"/>
  <c r="AN99" i="21"/>
  <c r="AG106" i="21"/>
  <c r="AG113" i="21"/>
  <c r="AO119" i="21"/>
  <c r="AL125" i="21"/>
  <c r="AK132" i="21"/>
  <c r="AN138" i="21"/>
  <c r="AJ145" i="21"/>
  <c r="AK152" i="21"/>
  <c r="AI158" i="21"/>
  <c r="AI177" i="21"/>
  <c r="AF183" i="21"/>
  <c r="AF189" i="21"/>
  <c r="AI194" i="21"/>
  <c r="AE200" i="21"/>
  <c r="AJ207" i="21"/>
  <c r="AJ227" i="21"/>
  <c r="AI232" i="21"/>
  <c r="AN237" i="21"/>
  <c r="AI242" i="21"/>
  <c r="AL248" i="21"/>
  <c r="AH266" i="21"/>
  <c r="AL270" i="21"/>
  <c r="AH276" i="21"/>
  <c r="AP244" i="21"/>
  <c r="AI243" i="21"/>
  <c r="AP245" i="21"/>
  <c r="AK195" i="21"/>
  <c r="AK276" i="21"/>
  <c r="AP64" i="21"/>
  <c r="AP160" i="21"/>
  <c r="AP273" i="21"/>
  <c r="AL16" i="21"/>
  <c r="AI24" i="21"/>
  <c r="AH31" i="21"/>
  <c r="AK39" i="21"/>
  <c r="AE46" i="21"/>
  <c r="AM53" i="21"/>
  <c r="AH61" i="21"/>
  <c r="AL67" i="21"/>
  <c r="AO74" i="21"/>
  <c r="AK80" i="21"/>
  <c r="AJ88" i="21"/>
  <c r="AM94" i="21"/>
  <c r="AK101" i="21"/>
  <c r="AN108" i="21"/>
  <c r="AL114" i="21"/>
  <c r="AO121" i="21"/>
  <c r="AJ128" i="21"/>
  <c r="AK134" i="21"/>
  <c r="AL141" i="21"/>
  <c r="AH147" i="21"/>
  <c r="AI154" i="21"/>
  <c r="AE162" i="21"/>
  <c r="AH178" i="21"/>
  <c r="AL185" i="21"/>
  <c r="AJ190" i="21"/>
  <c r="AO196" i="21"/>
  <c r="AF202" i="21"/>
  <c r="AO211" i="21"/>
  <c r="AL228" i="21"/>
  <c r="AO233" i="21"/>
  <c r="AN239" i="21"/>
  <c r="AL244" i="21"/>
  <c r="AL267" i="21"/>
  <c r="AH272" i="21"/>
  <c r="AP71" i="21"/>
  <c r="AP162" i="21"/>
  <c r="AP274" i="21"/>
  <c r="AE17" i="21"/>
  <c r="AK24" i="21"/>
  <c r="AN31" i="21"/>
  <c r="AL39" i="21"/>
  <c r="AG46" i="21"/>
  <c r="AN53" i="21"/>
  <c r="AI61" i="21"/>
  <c r="AO67" i="21"/>
  <c r="AE75" i="21"/>
  <c r="AN80" i="21"/>
  <c r="AK88" i="21"/>
  <c r="AK95" i="21"/>
  <c r="AM101" i="21"/>
  <c r="AO108" i="21"/>
  <c r="AO114" i="21"/>
  <c r="AE122" i="21"/>
  <c r="AM128" i="21"/>
  <c r="AN134" i="21"/>
  <c r="AM141" i="21"/>
  <c r="AI147" i="21"/>
  <c r="AJ154" i="21"/>
  <c r="AG162" i="21"/>
  <c r="AH179" i="21"/>
  <c r="AM185" i="21"/>
  <c r="AK190" i="21"/>
  <c r="AE197" i="21"/>
  <c r="AO202" i="21"/>
  <c r="AI229" i="21"/>
  <c r="AE234" i="21"/>
  <c r="AO239" i="21"/>
  <c r="AM244" i="21"/>
  <c r="AM267" i="21"/>
  <c r="AI272" i="21"/>
  <c r="AP52" i="21"/>
  <c r="AP179" i="21"/>
  <c r="AH12" i="21"/>
  <c r="AH24" i="21"/>
  <c r="AM33" i="21"/>
  <c r="AI45" i="21"/>
  <c r="AN54" i="21"/>
  <c r="AM63" i="21"/>
  <c r="AF75" i="21"/>
  <c r="AO83" i="21"/>
  <c r="AJ94" i="21"/>
  <c r="AJ103" i="21"/>
  <c r="AF112" i="21"/>
  <c r="AG122" i="21"/>
  <c r="AL130" i="21"/>
  <c r="AO140" i="21"/>
  <c r="AL149" i="21"/>
  <c r="AI159" i="21"/>
  <c r="AH180" i="21"/>
  <c r="AE188" i="21"/>
  <c r="AN196" i="21"/>
  <c r="AH204" i="21"/>
  <c r="AE228" i="21"/>
  <c r="AI235" i="21"/>
  <c r="AN241" i="21"/>
  <c r="AH269" i="21"/>
  <c r="AP62" i="21"/>
  <c r="AK180" i="21"/>
  <c r="AF270" i="21"/>
  <c r="AP63" i="21"/>
  <c r="AF26" i="21"/>
  <c r="AN35" i="21"/>
  <c r="AH47" i="21"/>
  <c r="AL56" i="21"/>
  <c r="AI67" i="21"/>
  <c r="AO84" i="21"/>
  <c r="AG96" i="21"/>
  <c r="AF105" i="21"/>
  <c r="AF124" i="21"/>
  <c r="AM133" i="21"/>
  <c r="AM150" i="21"/>
  <c r="AF190" i="21"/>
  <c r="AM204" i="21"/>
  <c r="AH236" i="21"/>
  <c r="AG270" i="21"/>
  <c r="AP203" i="21"/>
  <c r="AM56" i="21"/>
  <c r="AK86" i="21"/>
  <c r="AG105" i="21"/>
  <c r="AG124" i="21"/>
  <c r="AN150" i="21"/>
  <c r="AO180" i="21"/>
  <c r="AG190" i="21"/>
  <c r="AG205" i="21"/>
  <c r="AK236" i="21"/>
  <c r="AG264" i="21"/>
  <c r="AE271" i="21"/>
  <c r="AP76" i="21"/>
  <c r="AJ26" i="21"/>
  <c r="AF38" i="21"/>
  <c r="AE48" i="21"/>
  <c r="AN56" i="21"/>
  <c r="AK67" i="21"/>
  <c r="AL76" i="21"/>
  <c r="AN86" i="21"/>
  <c r="AM96" i="21"/>
  <c r="AI105" i="21"/>
  <c r="AO115" i="21"/>
  <c r="AJ124" i="21"/>
  <c r="AO133" i="21"/>
  <c r="AK142" i="21"/>
  <c r="AE151" i="21"/>
  <c r="AE174" i="21"/>
  <c r="AO181" i="21"/>
  <c r="AH190" i="21"/>
  <c r="AG198" i="21"/>
  <c r="AF230" i="21"/>
  <c r="AL236" i="21"/>
  <c r="AH264" i="21"/>
  <c r="AF271" i="21"/>
  <c r="AP88" i="21"/>
  <c r="AK26" i="21"/>
  <c r="AG38" i="21"/>
  <c r="AL48" i="21"/>
  <c r="AK57" i="21"/>
  <c r="AE68" i="21"/>
  <c r="AM77" i="21"/>
  <c r="AF87" i="21"/>
  <c r="AN96" i="21"/>
  <c r="AJ105" i="21"/>
  <c r="AJ116" i="21"/>
  <c r="AL142" i="21"/>
  <c r="AN152" i="21"/>
  <c r="AF174" i="21"/>
  <c r="AI182" i="21"/>
  <c r="AJ198" i="21"/>
  <c r="AG230" i="21"/>
  <c r="AN244" i="21"/>
  <c r="AG271" i="21"/>
  <c r="AP53" i="21"/>
  <c r="AP181" i="21"/>
  <c r="AI12" i="21"/>
  <c r="AL24" i="21"/>
  <c r="AN33" i="21"/>
  <c r="AK45" i="21"/>
  <c r="AF55" i="21"/>
  <c r="AE64" i="21"/>
  <c r="AI75" i="21"/>
  <c r="AE84" i="21"/>
  <c r="AK94" i="21"/>
  <c r="AL103" i="21"/>
  <c r="AN113" i="21"/>
  <c r="AJ122" i="21"/>
  <c r="AM130" i="21"/>
  <c r="AE141" i="21"/>
  <c r="AM149" i="21"/>
  <c r="AL159" i="21"/>
  <c r="AI180" i="21"/>
  <c r="AG188" i="21"/>
  <c r="AF197" i="21"/>
  <c r="AJ204" i="21"/>
  <c r="AH228" i="21"/>
  <c r="AJ235" i="21"/>
  <c r="AO241" i="21"/>
  <c r="AN269" i="21"/>
  <c r="AH15" i="21"/>
  <c r="AL204" i="21"/>
  <c r="AI15" i="21"/>
  <c r="AN180" i="21"/>
  <c r="AF264" i="21"/>
  <c r="AJ15" i="21"/>
  <c r="AN133" i="21"/>
  <c r="AM229" i="21"/>
  <c r="AH16" i="21"/>
  <c r="AI244" i="21"/>
  <c r="AI16" i="21"/>
  <c r="AF134" i="21"/>
  <c r="AJ211" i="21"/>
  <c r="AI264" i="21"/>
  <c r="AP54" i="21"/>
  <c r="AP191" i="21"/>
  <c r="AN12" i="21"/>
  <c r="AM25" i="21"/>
  <c r="AJ35" i="21"/>
  <c r="AM45" i="21"/>
  <c r="AH56" i="21"/>
  <c r="AH66" i="21"/>
  <c r="AJ75" i="21"/>
  <c r="AF84" i="21"/>
  <c r="AL94" i="21"/>
  <c r="AM103" i="21"/>
  <c r="AO113" i="21"/>
  <c r="AM122" i="21"/>
  <c r="AN130" i="21"/>
  <c r="AO141" i="21"/>
  <c r="AK150" i="21"/>
  <c r="AJ160" i="21"/>
  <c r="AJ180" i="21"/>
  <c r="AM188" i="21"/>
  <c r="AG197" i="21"/>
  <c r="AK204" i="21"/>
  <c r="AI228" i="21"/>
  <c r="AM235" i="21"/>
  <c r="AN243" i="21"/>
  <c r="AO269" i="21"/>
  <c r="AP193" i="21"/>
  <c r="AO25" i="21"/>
  <c r="AK35" i="21"/>
  <c r="AO45" i="21"/>
  <c r="AJ56" i="21"/>
  <c r="AI66" i="21"/>
  <c r="AK75" i="21"/>
  <c r="AG84" i="21"/>
  <c r="AM95" i="21"/>
  <c r="AN103" i="21"/>
  <c r="AF114" i="21"/>
  <c r="AN122" i="21"/>
  <c r="AG131" i="21"/>
  <c r="AE142" i="21"/>
  <c r="AL150" i="21"/>
  <c r="AK160" i="21"/>
  <c r="AE190" i="21"/>
  <c r="AH197" i="21"/>
  <c r="AJ228" i="21"/>
  <c r="AG236" i="21"/>
  <c r="AF244" i="21"/>
  <c r="AE264" i="21"/>
  <c r="AP194" i="21"/>
  <c r="AF76" i="21"/>
  <c r="AI114" i="21"/>
  <c r="AF142" i="21"/>
  <c r="AL160" i="21"/>
  <c r="AI197" i="21"/>
  <c r="AJ229" i="21"/>
  <c r="AG244" i="21"/>
  <c r="AP73" i="21"/>
  <c r="AI26" i="21"/>
  <c r="AO35" i="21"/>
  <c r="AM47" i="21"/>
  <c r="AJ67" i="21"/>
  <c r="AK76" i="21"/>
  <c r="AJ96" i="21"/>
  <c r="AJ114" i="21"/>
  <c r="AG142" i="21"/>
  <c r="AH162" i="21"/>
  <c r="AF198" i="21"/>
  <c r="AH244" i="21"/>
  <c r="AP204" i="21"/>
  <c r="AM207" i="21"/>
  <c r="AP211" i="21"/>
  <c r="AK124" i="21"/>
  <c r="AI190" i="21"/>
  <c r="AM236" i="21"/>
  <c r="AP92" i="21"/>
  <c r="AP252" i="21"/>
  <c r="AE18" i="21"/>
  <c r="AF27" i="21"/>
  <c r="AE39" i="21"/>
  <c r="AG49" i="21"/>
  <c r="AH59" i="21"/>
  <c r="AH69" i="21"/>
  <c r="AH78" i="21"/>
  <c r="AE89" i="21"/>
  <c r="AG97" i="21"/>
  <c r="AE108" i="21"/>
  <c r="AF117" i="21"/>
  <c r="AE125" i="21"/>
  <c r="AF135" i="21"/>
  <c r="AJ144" i="21"/>
  <c r="AF154" i="21"/>
  <c r="AL174" i="21"/>
  <c r="AF184" i="21"/>
  <c r="AH192" i="21"/>
  <c r="AJ199" i="21"/>
  <c r="AN211" i="21"/>
  <c r="AE231" i="21"/>
  <c r="AH238" i="21"/>
  <c r="AG245" i="21"/>
  <c r="AI265" i="21"/>
  <c r="AN272" i="21"/>
  <c r="AP94" i="21"/>
  <c r="AP265" i="21"/>
  <c r="AF18" i="21"/>
  <c r="AG27" i="21"/>
  <c r="AN39" i="21"/>
  <c r="AJ49" i="21"/>
  <c r="AG60" i="21"/>
  <c r="AI69" i="21"/>
  <c r="AI78" i="21"/>
  <c r="AH89" i="21"/>
  <c r="AH97" i="21"/>
  <c r="AG108" i="21"/>
  <c r="AH117" i="21"/>
  <c r="AE127" i="21"/>
  <c r="AE136" i="21"/>
  <c r="AK144" i="21"/>
  <c r="AG154" i="21"/>
  <c r="AM174" i="21"/>
  <c r="AG184" i="21"/>
  <c r="AI192" i="21"/>
  <c r="AK199" i="21"/>
  <c r="AF231" i="21"/>
  <c r="AJ238" i="21"/>
  <c r="AH245" i="21"/>
  <c r="AJ265" i="21"/>
  <c r="AF273" i="21"/>
  <c r="AP95" i="21"/>
  <c r="AP266" i="21"/>
  <c r="AG18" i="21"/>
  <c r="AK27" i="21"/>
  <c r="AO39" i="21"/>
  <c r="AM49" i="21"/>
  <c r="AH60" i="21"/>
  <c r="AK69" i="21"/>
  <c r="AO79" i="21"/>
  <c r="AI89" i="21"/>
  <c r="AI97" i="21"/>
  <c r="AH108" i="21"/>
  <c r="AN117" i="21"/>
  <c r="AF127" i="21"/>
  <c r="AF136" i="21"/>
  <c r="AM144" i="21"/>
  <c r="AE155" i="21"/>
  <c r="AN174" i="21"/>
  <c r="AL184" i="21"/>
  <c r="AN192" i="21"/>
  <c r="AL199" i="21"/>
  <c r="AJ213" i="21"/>
  <c r="AG231" i="21"/>
  <c r="AE239" i="21"/>
  <c r="AJ245" i="21"/>
  <c r="AK266" i="21"/>
  <c r="AG273" i="21"/>
  <c r="AP110" i="21"/>
  <c r="AP269" i="21"/>
  <c r="AG19" i="21"/>
  <c r="AJ30" i="21"/>
  <c r="AE40" i="21"/>
  <c r="AO49" i="21"/>
  <c r="AF61" i="21"/>
  <c r="AL69" i="21"/>
  <c r="AE80" i="21"/>
  <c r="AJ89" i="21"/>
  <c r="AM97" i="21"/>
  <c r="AE109" i="21"/>
  <c r="AO117" i="21"/>
  <c r="AN127" i="21"/>
  <c r="AG136" i="21"/>
  <c r="AN144" i="21"/>
  <c r="AH155" i="21"/>
  <c r="AO174" i="21"/>
  <c r="AM184" i="21"/>
  <c r="AO192" i="21"/>
  <c r="AJ201" i="21"/>
  <c r="AK213" i="21"/>
  <c r="AH231" i="21"/>
  <c r="AK239" i="21"/>
  <c r="AG246" i="21"/>
  <c r="AL266" i="21"/>
  <c r="AH273" i="21"/>
  <c r="AP115" i="21"/>
  <c r="AP272" i="21"/>
  <c r="AI19" i="21"/>
  <c r="AL30" i="21"/>
  <c r="AF40" i="21"/>
  <c r="AF50" i="21"/>
  <c r="AJ61" i="21"/>
  <c r="AM69" i="21"/>
  <c r="AG80" i="21"/>
  <c r="AL89" i="21"/>
  <c r="AO97" i="21"/>
  <c r="AF109" i="21"/>
  <c r="AE118" i="21"/>
  <c r="AO127" i="21"/>
  <c r="AH136" i="21"/>
  <c r="AI146" i="21"/>
  <c r="AI155" i="21"/>
  <c r="AF175" i="21"/>
  <c r="AN184" i="21"/>
  <c r="AG193" i="21"/>
  <c r="AK201" i="21"/>
  <c r="AI231" i="21"/>
  <c r="AE240" i="21"/>
  <c r="AH246" i="21"/>
  <c r="AI267" i="21"/>
  <c r="AI273" i="21"/>
  <c r="AP90" i="21"/>
  <c r="AN19" i="21"/>
  <c r="AM41" i="21"/>
  <c r="AK62" i="21"/>
  <c r="AJ83" i="21"/>
  <c r="AH103" i="21"/>
  <c r="AO124" i="21"/>
  <c r="AK146" i="21"/>
  <c r="AO177" i="21"/>
  <c r="AL195" i="21"/>
  <c r="AE227" i="21"/>
  <c r="AO244" i="21"/>
  <c r="AJ273" i="21"/>
  <c r="AP91" i="21"/>
  <c r="AO19" i="21"/>
  <c r="AL42" i="21"/>
  <c r="AM62" i="21"/>
  <c r="AL83" i="21"/>
  <c r="AL107" i="21"/>
  <c r="AE128" i="21"/>
  <c r="AE147" i="21"/>
  <c r="AE178" i="21"/>
  <c r="AM195" i="21"/>
  <c r="AO227" i="21"/>
  <c r="AE245" i="21"/>
  <c r="AK273" i="21"/>
  <c r="AP116" i="21"/>
  <c r="AE20" i="21"/>
  <c r="AM42" i="21"/>
  <c r="AN62" i="21"/>
  <c r="AM83" i="21"/>
  <c r="AM107" i="21"/>
  <c r="AN128" i="21"/>
  <c r="AF147" i="21"/>
  <c r="AF178" i="21"/>
  <c r="AO195" i="21"/>
  <c r="AN230" i="21"/>
  <c r="AI246" i="21"/>
  <c r="AL273" i="21"/>
  <c r="AP118" i="21"/>
  <c r="AI20" i="21"/>
  <c r="AN42" i="21"/>
  <c r="AK63" i="21"/>
  <c r="AL87" i="21"/>
  <c r="AN109" i="21"/>
  <c r="AG129" i="21"/>
  <c r="AM148" i="21"/>
  <c r="AG178" i="21"/>
  <c r="AM196" i="21"/>
  <c r="AO230" i="21"/>
  <c r="AK246" i="21"/>
  <c r="AO273" i="21"/>
  <c r="AP142" i="21"/>
  <c r="AM20" i="21"/>
  <c r="AG43" i="21"/>
  <c r="AL63" i="21"/>
  <c r="AI88" i="21"/>
  <c r="AO109" i="21"/>
  <c r="AH129" i="21"/>
  <c r="AN148" i="21"/>
  <c r="AJ179" i="21"/>
  <c r="AH199" i="21"/>
  <c r="AM231" i="21"/>
  <c r="AN246" i="21"/>
  <c r="AE274" i="21"/>
  <c r="AO30" i="21"/>
  <c r="AL52" i="21"/>
  <c r="AE73" i="21"/>
  <c r="AG92" i="21"/>
  <c r="AE112" i="21"/>
  <c r="AE135" i="21"/>
  <c r="AK155" i="21"/>
  <c r="AH186" i="21"/>
  <c r="AG203" i="21"/>
  <c r="AG235" i="21"/>
  <c r="AG265" i="21"/>
  <c r="AP231" i="21"/>
  <c r="AF31" i="21"/>
  <c r="AM52" i="21"/>
  <c r="AH73" i="21"/>
  <c r="AM93" i="21"/>
  <c r="AM116" i="21"/>
  <c r="AM136" i="21"/>
  <c r="AF156" i="21"/>
  <c r="AM186" i="21"/>
  <c r="AL203" i="21"/>
  <c r="AH235" i="21"/>
  <c r="AH265" i="21"/>
  <c r="AG10" i="21"/>
  <c r="AG31" i="21"/>
  <c r="AK53" i="21"/>
  <c r="AJ73" i="21"/>
  <c r="AN93" i="21"/>
  <c r="AE117" i="21"/>
  <c r="AO136" i="21"/>
  <c r="AI156" i="21"/>
  <c r="AO186" i="21"/>
  <c r="AN203" i="21"/>
  <c r="AE237" i="21"/>
  <c r="AJ267" i="21"/>
  <c r="AP143" i="21"/>
  <c r="AI33" i="21"/>
  <c r="AH68" i="21"/>
  <c r="AL100" i="21"/>
  <c r="AK129" i="21"/>
  <c r="AI157" i="21"/>
  <c r="AI199" i="21"/>
  <c r="AJ240" i="21"/>
  <c r="AF274" i="21"/>
  <c r="AJ38" i="21"/>
  <c r="AJ130" i="21"/>
  <c r="AJ174" i="21"/>
  <c r="AE203" i="21"/>
  <c r="AG241" i="21"/>
  <c r="AP175" i="21"/>
  <c r="AI134" i="21"/>
  <c r="AG175" i="21"/>
  <c r="AF203" i="21"/>
  <c r="AJ241" i="21"/>
  <c r="AJ41" i="21"/>
  <c r="AK41" i="21"/>
  <c r="AO137" i="21"/>
  <c r="AN177" i="21"/>
  <c r="AK211" i="21"/>
  <c r="AM241" i="21"/>
  <c r="AI43" i="21"/>
  <c r="AM211" i="21"/>
  <c r="AF45" i="21"/>
  <c r="AK138" i="21"/>
  <c r="AO213" i="21"/>
  <c r="AI149" i="21"/>
  <c r="AN57" i="21"/>
  <c r="AO90" i="21"/>
  <c r="AL121" i="21"/>
  <c r="AG62" i="21"/>
  <c r="AO96" i="21"/>
  <c r="AL124" i="21"/>
  <c r="AP145" i="21"/>
  <c r="AJ33" i="21"/>
  <c r="AF69" i="21"/>
  <c r="AM100" i="21"/>
  <c r="AO129" i="21"/>
  <c r="AM157" i="21"/>
  <c r="AL201" i="21"/>
  <c r="AO240" i="21"/>
  <c r="AH274" i="21"/>
  <c r="AP174" i="21"/>
  <c r="AN38" i="21"/>
  <c r="AO10" i="21"/>
  <c r="AN137" i="21"/>
  <c r="AH175" i="21"/>
  <c r="AG204" i="21"/>
  <c r="AK241" i="21"/>
  <c r="AG103" i="21"/>
  <c r="AN77" i="21"/>
  <c r="AI138" i="21"/>
  <c r="AL179" i="21"/>
  <c r="AO246" i="21"/>
  <c r="AK11" i="21"/>
  <c r="AJ182" i="21"/>
  <c r="AH90" i="21"/>
  <c r="AN90" i="21"/>
  <c r="AG59" i="21"/>
  <c r="AE62" i="21"/>
  <c r="AF92" i="21"/>
  <c r="AF122" i="21"/>
  <c r="AF97" i="21"/>
  <c r="AP146" i="21"/>
  <c r="AK33" i="21"/>
  <c r="AO70" i="21"/>
  <c r="AN100" i="21"/>
  <c r="AE130" i="21"/>
  <c r="AN157" i="21"/>
  <c r="AN201" i="21"/>
  <c r="AE241" i="21"/>
  <c r="AL276" i="21"/>
  <c r="AH101" i="21"/>
  <c r="AN101" i="21"/>
  <c r="AE102" i="21"/>
  <c r="AE11" i="21"/>
  <c r="AH110" i="21"/>
  <c r="AF78" i="21"/>
  <c r="AI120" i="21"/>
  <c r="AJ120" i="21"/>
  <c r="AO152" i="21"/>
  <c r="AE153" i="21"/>
  <c r="AJ155" i="21"/>
  <c r="AL156" i="21"/>
  <c r="AH157" i="21"/>
  <c r="AP147" i="21"/>
  <c r="AL33" i="21"/>
  <c r="AE71" i="21"/>
  <c r="AO100" i="21"/>
  <c r="AF130" i="21"/>
  <c r="AI174" i="21"/>
  <c r="AO201" i="21"/>
  <c r="AF241" i="21"/>
  <c r="AM276" i="21"/>
  <c r="AG71" i="21"/>
  <c r="AN71" i="21"/>
  <c r="AG74" i="21"/>
  <c r="AJ74" i="21"/>
  <c r="AJ11" i="21"/>
  <c r="AM110" i="21"/>
  <c r="AO248" i="21"/>
  <c r="AF192" i="21"/>
  <c r="AG192" i="21"/>
  <c r="AH193" i="21"/>
  <c r="AI193" i="21"/>
  <c r="AJ193" i="21"/>
  <c r="AL193" i="21"/>
  <c r="AN193" i="21"/>
  <c r="AO11" i="21"/>
  <c r="AM48" i="21"/>
  <c r="AH80" i="21"/>
  <c r="AE111" i="21"/>
  <c r="AG140" i="21"/>
  <c r="AL182" i="21"/>
  <c r="AE225" i="21"/>
  <c r="AH252" i="21"/>
  <c r="AE12" i="21"/>
  <c r="AO48" i="21"/>
  <c r="AJ80" i="21"/>
  <c r="AJ111" i="21"/>
  <c r="AH140" i="21"/>
  <c r="AN185" i="21"/>
  <c r="AF225" i="21"/>
  <c r="AI252" i="21"/>
  <c r="AF12" i="21"/>
  <c r="AH50" i="21"/>
  <c r="AG82" i="21"/>
  <c r="AL111" i="21"/>
  <c r="AL140" i="21"/>
  <c r="AF186" i="21"/>
  <c r="AG225" i="21"/>
  <c r="AJ252" i="21"/>
  <c r="AG12" i="21"/>
  <c r="AK51" i="21"/>
  <c r="AN82" i="21"/>
  <c r="AM111" i="21"/>
  <c r="AO142" i="21"/>
  <c r="AG186" i="21"/>
  <c r="AK226" i="21"/>
  <c r="AK252" i="21"/>
  <c r="AG17" i="21"/>
  <c r="AL53" i="21"/>
  <c r="AO82" i="21"/>
  <c r="AF118" i="21"/>
  <c r="AG144" i="21"/>
  <c r="AG187" i="21"/>
  <c r="AL226" i="21"/>
  <c r="AK267" i="21"/>
  <c r="AN17" i="21"/>
  <c r="AI54" i="21"/>
  <c r="AG83" i="21"/>
  <c r="AG118" i="21"/>
  <c r="AJ146" i="21"/>
  <c r="AN187" i="21"/>
  <c r="AM226" i="21"/>
  <c r="AN267" i="21"/>
  <c r="AM22" i="21"/>
  <c r="AG90" i="21"/>
  <c r="AJ118" i="21"/>
  <c r="AO148" i="21"/>
  <c r="AO187" i="21"/>
  <c r="AI233" i="21"/>
  <c r="AO267" i="21"/>
  <c r="AO22" i="21"/>
  <c r="AJ233" i="21"/>
  <c r="AG268" i="21"/>
  <c r="AN23" i="21"/>
  <c r="AK233" i="21"/>
  <c r="AH268" i="21"/>
  <c r="AE24" i="21"/>
  <c r="AM233" i="21"/>
  <c r="AE269" i="21"/>
  <c r="AO26" i="21"/>
  <c r="AN233" i="21"/>
  <c r="AF269" i="21"/>
  <c r="AE27" i="21"/>
  <c r="AE235" i="21"/>
  <c r="AG269" i="21"/>
  <c r="AO31" i="21"/>
  <c r="AG238" i="21"/>
  <c r="AH271" i="21"/>
  <c r="AE32" i="21"/>
  <c r="AI240" i="21"/>
  <c r="AI271" i="21"/>
  <c r="AL54" i="21"/>
  <c r="AM54" i="21"/>
  <c r="AK149" i="21"/>
  <c r="AL120" i="21"/>
  <c r="AF91" i="21"/>
  <c r="AM121" i="21"/>
  <c r="AI62" i="21"/>
  <c r="AJ62" i="21"/>
  <c r="AW213" i="18"/>
  <c r="CG213" i="18" s="1"/>
  <c r="N213" i="20" s="1"/>
  <c r="BN213" i="18"/>
  <c r="CX213" i="18" s="1"/>
  <c r="AE213" i="20" s="1"/>
  <c r="CX207" i="18"/>
  <c r="AE207" i="21" s="1"/>
  <c r="BS254" i="18"/>
  <c r="BP254" i="18"/>
  <c r="CZ254" i="18" s="1"/>
  <c r="AP162" i="18"/>
  <c r="AP248" i="18"/>
  <c r="AP207" i="18"/>
  <c r="BX279" i="18"/>
  <c r="DH279" i="18" s="1"/>
  <c r="BT254" i="18"/>
  <c r="DD254" i="18" s="1"/>
  <c r="BQ254" i="18"/>
  <c r="DA254" i="18" s="1"/>
  <c r="BR213" i="18"/>
  <c r="DB213" i="18" s="1"/>
  <c r="AI213" i="20" s="1"/>
  <c r="BY213" i="18"/>
  <c r="DI213" i="18" s="1"/>
  <c r="AP213" i="21" s="1"/>
  <c r="DI207" i="18"/>
  <c r="AP207" i="21" s="1"/>
  <c r="AP276" i="18"/>
  <c r="BN254" i="18"/>
  <c r="DG207" i="18"/>
  <c r="AN207" i="20" s="1"/>
  <c r="BW213" i="18"/>
  <c r="DG213" i="18" s="1"/>
  <c r="AN213" i="21" s="1"/>
  <c r="X136" i="5"/>
  <c r="AM131" i="5"/>
  <c r="AM24" i="15"/>
  <c r="AM116" i="15"/>
  <c r="Y121" i="15"/>
  <c r="AM123" i="14"/>
  <c r="Y128" i="14"/>
  <c r="X138" i="14"/>
  <c r="AM116" i="13"/>
  <c r="Y121" i="13"/>
  <c r="AM123" i="12"/>
  <c r="AM128" i="12"/>
  <c r="AM133" i="12"/>
  <c r="AM138" i="12"/>
  <c r="X143" i="12"/>
  <c r="Y122" i="10"/>
  <c r="AM122" i="10" s="1"/>
  <c r="X138" i="11"/>
  <c r="AM123" i="4"/>
  <c r="X128" i="4"/>
  <c r="AG279" i="18"/>
  <c r="AN279" i="18"/>
  <c r="AL279" i="18"/>
  <c r="AH279" i="18"/>
  <c r="AK279" i="18"/>
  <c r="AI279" i="18"/>
  <c r="AJ279" i="18"/>
  <c r="AM279" i="18"/>
  <c r="AF279" i="18"/>
  <c r="BJ254" i="18"/>
  <c r="CT254" i="18" s="1"/>
  <c r="AA254" i="20" s="1"/>
  <c r="AE279" i="18"/>
  <c r="BF213" i="18"/>
  <c r="CP213" i="18" s="1"/>
  <c r="W213" i="21" s="1"/>
  <c r="V279" i="18"/>
  <c r="M279" i="18"/>
  <c r="L279" i="18"/>
  <c r="Z55" i="20"/>
  <c r="Z57" i="20"/>
  <c r="R246" i="20"/>
  <c r="Q60" i="20"/>
  <c r="V252" i="20"/>
  <c r="Q180" i="20"/>
  <c r="Q225" i="20"/>
  <c r="V271" i="20"/>
  <c r="W271" i="20"/>
  <c r="Y103" i="20"/>
  <c r="AA193" i="20"/>
  <c r="Q40" i="20"/>
  <c r="Y201" i="20"/>
  <c r="Q241" i="20"/>
  <c r="T153" i="20"/>
  <c r="AC42" i="20"/>
  <c r="S150" i="20"/>
  <c r="V243" i="20"/>
  <c r="Z23" i="20"/>
  <c r="U146" i="20"/>
  <c r="N211" i="20"/>
  <c r="AD225" i="20"/>
  <c r="AD149" i="20"/>
  <c r="P177" i="20"/>
  <c r="V139" i="20"/>
  <c r="V182" i="20"/>
  <c r="I111" i="20"/>
  <c r="K154" i="20"/>
  <c r="AC120" i="20"/>
  <c r="P232" i="20"/>
  <c r="S265" i="20"/>
  <c r="Y190" i="20"/>
  <c r="J85" i="20"/>
  <c r="AC109" i="20"/>
  <c r="AA104" i="20"/>
  <c r="O41" i="20"/>
  <c r="O279" i="18"/>
  <c r="BH213" i="18"/>
  <c r="CR213" i="18" s="1"/>
  <c r="Y213" i="21" s="1"/>
  <c r="P279" i="18"/>
  <c r="BJ213" i="18"/>
  <c r="CT213" i="18" s="1"/>
  <c r="AA213" i="21" s="1"/>
  <c r="N279" i="18"/>
  <c r="CB276" i="18"/>
  <c r="I276" i="21" s="1"/>
  <c r="V31" i="14"/>
  <c r="V36" i="14" s="1"/>
  <c r="K279" i="18"/>
  <c r="BM254" i="18"/>
  <c r="CW254" i="18" s="1"/>
  <c r="AD254" i="20" s="1"/>
  <c r="BL254" i="18"/>
  <c r="CV254" i="18" s="1"/>
  <c r="AC254" i="20" s="1"/>
  <c r="BK254" i="18"/>
  <c r="CU254" i="18" s="1"/>
  <c r="AB254" i="21" s="1"/>
  <c r="BI254" i="18"/>
  <c r="CS254" i="18" s="1"/>
  <c r="Z254" i="20" s="1"/>
  <c r="BH254" i="18"/>
  <c r="CR254" i="18" s="1"/>
  <c r="Y254" i="21" s="1"/>
  <c r="CQ248" i="18"/>
  <c r="X248" i="21" s="1"/>
  <c r="BG254" i="18"/>
  <c r="CQ254" i="18" s="1"/>
  <c r="X254" i="21" s="1"/>
  <c r="BF254" i="18"/>
  <c r="CP254" i="18" s="1"/>
  <c r="W254" i="20" s="1"/>
  <c r="CP248" i="18"/>
  <c r="W248" i="20" s="1"/>
  <c r="BE254" i="18"/>
  <c r="CO254" i="18" s="1"/>
  <c r="V254" i="21" s="1"/>
  <c r="BD254" i="18"/>
  <c r="CN254" i="18" s="1"/>
  <c r="U254" i="21" s="1"/>
  <c r="BC254" i="18"/>
  <c r="CM254" i="18" s="1"/>
  <c r="T254" i="20" s="1"/>
  <c r="CM248" i="18"/>
  <c r="T248" i="20" s="1"/>
  <c r="BB254" i="18"/>
  <c r="CL254" i="18" s="1"/>
  <c r="S254" i="21" s="1"/>
  <c r="CK248" i="18"/>
  <c r="R248" i="20" s="1"/>
  <c r="BA254" i="18"/>
  <c r="CK254" i="18" s="1"/>
  <c r="R254" i="20" s="1"/>
  <c r="AY254" i="18"/>
  <c r="CI254" i="18" s="1"/>
  <c r="P254" i="21" s="1"/>
  <c r="CJ248" i="18"/>
  <c r="Q248" i="20" s="1"/>
  <c r="AZ254" i="18"/>
  <c r="CJ254" i="18" s="1"/>
  <c r="Q254" i="21" s="1"/>
  <c r="CH248" i="18"/>
  <c r="O248" i="20" s="1"/>
  <c r="AX254" i="18"/>
  <c r="CH254" i="18" s="1"/>
  <c r="O254" i="20" s="1"/>
  <c r="AW254" i="18"/>
  <c r="CG254" i="18" s="1"/>
  <c r="N254" i="21" s="1"/>
  <c r="CG248" i="18"/>
  <c r="N248" i="21" s="1"/>
  <c r="AV254" i="18"/>
  <c r="CF254" i="18" s="1"/>
  <c r="M254" i="20" s="1"/>
  <c r="CF248" i="18"/>
  <c r="M248" i="20" s="1"/>
  <c r="AT254" i="18"/>
  <c r="CD254" i="18" s="1"/>
  <c r="K254" i="21" s="1"/>
  <c r="CC248" i="18"/>
  <c r="J248" i="21" s="1"/>
  <c r="AS254" i="18"/>
  <c r="CC254" i="18" s="1"/>
  <c r="J254" i="21" s="1"/>
  <c r="AR254" i="18"/>
  <c r="CB248" i="18"/>
  <c r="I248" i="21" s="1"/>
  <c r="AA279" i="18"/>
  <c r="U279" i="18"/>
  <c r="T279" i="18"/>
  <c r="R279" i="18"/>
  <c r="S279" i="18"/>
  <c r="Q279" i="18"/>
  <c r="H254" i="18"/>
  <c r="AP254" i="18" s="1"/>
  <c r="AM21" i="13"/>
  <c r="BM213" i="18"/>
  <c r="CW207" i="18"/>
  <c r="AD207" i="21" s="1"/>
  <c r="BL213" i="18"/>
  <c r="CV207" i="18"/>
  <c r="AC207" i="21" s="1"/>
  <c r="BK213" i="18"/>
  <c r="CU207" i="18"/>
  <c r="AB207" i="20" s="1"/>
  <c r="BI213" i="18"/>
  <c r="CS207" i="18"/>
  <c r="Z207" i="20" s="1"/>
  <c r="BG213" i="18"/>
  <c r="CQ213" i="18" s="1"/>
  <c r="X213" i="20" s="1"/>
  <c r="CQ207" i="18"/>
  <c r="X207" i="21" s="1"/>
  <c r="BE213" i="18"/>
  <c r="CO207" i="18"/>
  <c r="V207" i="20" s="1"/>
  <c r="BD213" i="18"/>
  <c r="CN207" i="18"/>
  <c r="U207" i="20" s="1"/>
  <c r="BC213" i="18"/>
  <c r="CM207" i="18"/>
  <c r="T207" i="20" s="1"/>
  <c r="BB213" i="18"/>
  <c r="CL207" i="18"/>
  <c r="S207" i="20" s="1"/>
  <c r="BA213" i="18"/>
  <c r="CK207" i="18"/>
  <c r="R207" i="21" s="1"/>
  <c r="AZ213" i="18"/>
  <c r="CJ207" i="18"/>
  <c r="Q207" i="20" s="1"/>
  <c r="AY213" i="18"/>
  <c r="CI207" i="18"/>
  <c r="P207" i="20" s="1"/>
  <c r="AX213" i="18"/>
  <c r="CH207" i="18"/>
  <c r="O207" i="20" s="1"/>
  <c r="AV213" i="18"/>
  <c r="CF207" i="18"/>
  <c r="M207" i="21" s="1"/>
  <c r="AU213" i="18"/>
  <c r="CE207" i="18"/>
  <c r="L207" i="20" s="1"/>
  <c r="AT213" i="18"/>
  <c r="CD207" i="18"/>
  <c r="K207" i="21" s="1"/>
  <c r="AR213" i="18"/>
  <c r="CB207" i="18"/>
  <c r="I207" i="21" s="1"/>
  <c r="AS213" i="18"/>
  <c r="CC213" i="18" s="1"/>
  <c r="J213" i="20" s="1"/>
  <c r="CC207" i="18"/>
  <c r="J207" i="20" s="1"/>
  <c r="Z279" i="18"/>
  <c r="Y279" i="18"/>
  <c r="X279" i="18"/>
  <c r="W279" i="18"/>
  <c r="H213" i="18"/>
  <c r="AP213" i="18" s="1"/>
  <c r="AC279" i="18"/>
  <c r="AB279" i="18"/>
  <c r="J279" i="18"/>
  <c r="I279" i="18"/>
  <c r="J57" i="21"/>
  <c r="O18" i="21"/>
  <c r="Y135" i="21"/>
  <c r="W196" i="21"/>
  <c r="N198" i="21"/>
  <c r="AA202" i="21"/>
  <c r="AD12" i="21"/>
  <c r="M264" i="21"/>
  <c r="T243" i="21"/>
  <c r="V19" i="21"/>
  <c r="U61" i="21"/>
  <c r="L265" i="21"/>
  <c r="I137" i="21"/>
  <c r="AA199" i="21"/>
  <c r="AD238" i="21"/>
  <c r="W240" i="21"/>
  <c r="J238" i="21"/>
  <c r="P236" i="21"/>
  <c r="AC18" i="21"/>
  <c r="I229" i="21"/>
  <c r="AA147" i="21"/>
  <c r="N158" i="21"/>
  <c r="Y183" i="21"/>
  <c r="Q267" i="21"/>
  <c r="V144" i="21"/>
  <c r="K136" i="21"/>
  <c r="I150" i="21"/>
  <c r="R124" i="21"/>
  <c r="S244" i="21"/>
  <c r="AB80" i="21"/>
  <c r="AB199" i="21"/>
  <c r="V61" i="21"/>
  <c r="Z244" i="21"/>
  <c r="W109" i="21"/>
  <c r="AD37" i="21"/>
  <c r="K187" i="21"/>
  <c r="S113" i="21"/>
  <c r="O78" i="21"/>
  <c r="AD182" i="21"/>
  <c r="AC264" i="21"/>
  <c r="I53" i="21"/>
  <c r="AA144" i="21"/>
  <c r="L37" i="21"/>
  <c r="AD69" i="21"/>
  <c r="Z157" i="21"/>
  <c r="U43" i="21"/>
  <c r="P68" i="21"/>
  <c r="O199" i="21"/>
  <c r="Q52" i="21"/>
  <c r="AA32" i="21"/>
  <c r="Z32" i="21"/>
  <c r="AA93" i="21"/>
  <c r="W28" i="21"/>
  <c r="V49" i="21"/>
  <c r="X61" i="21"/>
  <c r="N27" i="21"/>
  <c r="AB55" i="21"/>
  <c r="M112" i="21"/>
  <c r="Z50" i="21"/>
  <c r="T71" i="21"/>
  <c r="J128" i="21"/>
  <c r="M198" i="21"/>
  <c r="AB79" i="21"/>
  <c r="J79" i="21"/>
  <c r="AC64" i="21"/>
  <c r="AC80" i="21"/>
  <c r="W108" i="21"/>
  <c r="K76" i="21"/>
  <c r="T95" i="21"/>
  <c r="X150" i="21"/>
  <c r="P117" i="21"/>
  <c r="Y238" i="21"/>
  <c r="AD244" i="21"/>
  <c r="AD119" i="21"/>
  <c r="AD143" i="21"/>
  <c r="U87" i="21"/>
  <c r="T24" i="21"/>
  <c r="K177" i="21"/>
  <c r="X27" i="21"/>
  <c r="Y26" i="21"/>
  <c r="Y55" i="21"/>
  <c r="K238" i="21"/>
  <c r="L57" i="21"/>
  <c r="K268" i="21"/>
  <c r="AA33" i="21"/>
  <c r="AB242" i="21"/>
  <c r="AA48" i="21"/>
  <c r="AD231" i="21"/>
  <c r="AC22" i="21"/>
  <c r="AA240" i="20"/>
  <c r="X31" i="20"/>
  <c r="AD141" i="20"/>
  <c r="S103" i="20"/>
  <c r="Z156" i="20"/>
  <c r="AC139" i="20"/>
  <c r="AD199" i="20"/>
  <c r="K117" i="20"/>
  <c r="W227" i="20"/>
  <c r="AC114" i="20"/>
  <c r="S72" i="20"/>
  <c r="U44" i="20"/>
  <c r="Y179" i="21"/>
  <c r="U270" i="21"/>
  <c r="Q32" i="21"/>
  <c r="X41" i="21"/>
  <c r="AC12" i="21"/>
  <c r="AD74" i="21"/>
  <c r="P125" i="21"/>
  <c r="Y48" i="21"/>
  <c r="L100" i="21"/>
  <c r="AA265" i="21"/>
  <c r="S49" i="21"/>
  <c r="I91" i="21"/>
  <c r="T136" i="21"/>
  <c r="I231" i="21"/>
  <c r="M125" i="21"/>
  <c r="K73" i="21"/>
  <c r="N184" i="21"/>
  <c r="O174" i="21"/>
  <c r="V80" i="21"/>
  <c r="J116" i="21"/>
  <c r="AC62" i="21"/>
  <c r="P88" i="21"/>
  <c r="K87" i="21"/>
  <c r="J154" i="21"/>
  <c r="AC138" i="21"/>
  <c r="P114" i="21"/>
  <c r="N93" i="21"/>
  <c r="K16" i="21"/>
  <c r="J121" i="21"/>
  <c r="Y114" i="21"/>
  <c r="V17" i="21"/>
  <c r="AA95" i="21"/>
  <c r="L226" i="21"/>
  <c r="N54" i="21"/>
  <c r="AD83" i="21"/>
  <c r="AD145" i="21"/>
  <c r="W155" i="21"/>
  <c r="AD156" i="21"/>
  <c r="L49" i="21"/>
  <c r="V102" i="21"/>
  <c r="N235" i="21"/>
  <c r="T14" i="21"/>
  <c r="O158" i="21"/>
  <c r="AC17" i="21"/>
  <c r="AD50" i="21"/>
  <c r="N244" i="21"/>
  <c r="K41" i="21"/>
  <c r="K129" i="21"/>
  <c r="O241" i="21"/>
  <c r="AC187" i="21"/>
  <c r="R22" i="21"/>
  <c r="AB58" i="21"/>
  <c r="AA246" i="21"/>
  <c r="AC157" i="21"/>
  <c r="S21" i="21"/>
  <c r="L131" i="21"/>
  <c r="S106" i="21"/>
  <c r="V189" i="21"/>
  <c r="X24" i="21"/>
  <c r="T80" i="21"/>
  <c r="L114" i="21"/>
  <c r="X143" i="21"/>
  <c r="W91" i="21"/>
  <c r="P86" i="21"/>
  <c r="R79" i="21"/>
  <c r="O228" i="21"/>
  <c r="Q57" i="21"/>
  <c r="AA114" i="21"/>
  <c r="K137" i="21"/>
  <c r="L64" i="21"/>
  <c r="O27" i="21"/>
  <c r="J11" i="21"/>
  <c r="S64" i="21"/>
  <c r="L235" i="21"/>
  <c r="AC178" i="21"/>
  <c r="U119" i="21"/>
  <c r="P225" i="21"/>
  <c r="R190" i="21"/>
  <c r="M32" i="21"/>
  <c r="J39" i="21"/>
  <c r="AD62" i="21"/>
  <c r="X12" i="21"/>
  <c r="N193" i="21"/>
  <c r="Y120" i="21"/>
  <c r="S143" i="21"/>
  <c r="Y14" i="21"/>
  <c r="Z65" i="21"/>
  <c r="Y105" i="21"/>
  <c r="X94" i="21"/>
  <c r="AA13" i="21"/>
  <c r="J272" i="21"/>
  <c r="I265" i="21"/>
  <c r="P85" i="21"/>
  <c r="R90" i="21"/>
  <c r="AB193" i="21"/>
  <c r="R201" i="21"/>
  <c r="Z41" i="21"/>
  <c r="L240" i="21"/>
  <c r="J187" i="21"/>
  <c r="AB50" i="21"/>
  <c r="AC68" i="21"/>
  <c r="T67" i="21"/>
  <c r="Y101" i="21"/>
  <c r="AC112" i="21"/>
  <c r="N100" i="21"/>
  <c r="T153" i="21"/>
  <c r="AD202" i="21"/>
  <c r="AA58" i="21"/>
  <c r="R244" i="21"/>
  <c r="L188" i="21"/>
  <c r="S39" i="21"/>
  <c r="T55" i="21"/>
  <c r="AA88" i="21"/>
  <c r="AA80" i="21"/>
  <c r="X156" i="21"/>
  <c r="K157" i="21"/>
  <c r="R63" i="21"/>
  <c r="Y51" i="21"/>
  <c r="P190" i="21"/>
  <c r="T32" i="21"/>
  <c r="AC237" i="21"/>
  <c r="O128" i="21"/>
  <c r="AB101" i="21"/>
  <c r="J189" i="21"/>
  <c r="Y226" i="21"/>
  <c r="AD274" i="21"/>
  <c r="N157" i="21"/>
  <c r="AA54" i="21"/>
  <c r="AD265" i="21"/>
  <c r="R21" i="21"/>
  <c r="V84" i="21"/>
  <c r="I99" i="21"/>
  <c r="U116" i="21"/>
  <c r="Z134" i="21"/>
  <c r="N104" i="21"/>
  <c r="M60" i="21"/>
  <c r="I58" i="21"/>
  <c r="AB100" i="21"/>
  <c r="J20" i="21"/>
  <c r="T105" i="21"/>
  <c r="U96" i="21"/>
  <c r="X242" i="21"/>
  <c r="O211" i="21"/>
  <c r="Y58" i="21"/>
  <c r="AC267" i="21"/>
  <c r="V228" i="21"/>
  <c r="AA10" i="21"/>
  <c r="AD25" i="21"/>
  <c r="V47" i="21"/>
  <c r="J102" i="21"/>
  <c r="W203" i="21"/>
  <c r="J36" i="21"/>
  <c r="T143" i="21"/>
  <c r="R137" i="21"/>
  <c r="O49" i="21"/>
  <c r="X42" i="21"/>
  <c r="O143" i="21"/>
  <c r="Y80" i="21"/>
  <c r="J103" i="21"/>
  <c r="P145" i="21"/>
  <c r="J23" i="21"/>
  <c r="N61" i="21"/>
  <c r="J190" i="21"/>
  <c r="M19" i="21"/>
  <c r="L62" i="21"/>
  <c r="R56" i="21"/>
  <c r="U89" i="21"/>
  <c r="M90" i="21"/>
  <c r="AD49" i="21"/>
  <c r="L131" i="20"/>
  <c r="W111" i="20"/>
  <c r="AC87" i="20"/>
  <c r="X174" i="21"/>
  <c r="Z73" i="21"/>
  <c r="M228" i="21"/>
  <c r="R105" i="21"/>
  <c r="AD94" i="21"/>
  <c r="Q27" i="21"/>
  <c r="AB122" i="21"/>
  <c r="K196" i="21"/>
  <c r="K57" i="21"/>
  <c r="T30" i="21"/>
  <c r="O11" i="21"/>
  <c r="Z14" i="21"/>
  <c r="J146" i="21"/>
  <c r="AA59" i="21"/>
  <c r="AB235" i="21"/>
  <c r="P54" i="21"/>
  <c r="M134" i="21"/>
  <c r="R176" i="21"/>
  <c r="N204" i="21"/>
  <c r="J45" i="21"/>
  <c r="Z29" i="21"/>
  <c r="X233" i="21"/>
  <c r="Q235" i="21"/>
  <c r="S107" i="21"/>
  <c r="M194" i="21"/>
  <c r="X198" i="21"/>
  <c r="V55" i="21"/>
  <c r="J29" i="21"/>
  <c r="P12" i="21"/>
  <c r="V32" i="21"/>
  <c r="J174" i="21"/>
  <c r="AC95" i="21"/>
  <c r="AD245" i="21"/>
  <c r="V56" i="21"/>
  <c r="AD190" i="21"/>
  <c r="U182" i="21"/>
  <c r="U241" i="21"/>
  <c r="U41" i="21"/>
  <c r="Q20" i="21"/>
  <c r="AA160" i="21"/>
  <c r="W228" i="21"/>
  <c r="S116" i="21"/>
  <c r="V192" i="21"/>
  <c r="L25" i="21"/>
  <c r="K54" i="21"/>
  <c r="R9" i="21"/>
  <c r="N26" i="22" s="1"/>
  <c r="Y27" i="21"/>
  <c r="T78" i="21"/>
  <c r="P185" i="21"/>
  <c r="U99" i="21"/>
  <c r="Y57" i="21"/>
  <c r="X231" i="21"/>
  <c r="Z193" i="21"/>
  <c r="Y242" i="21"/>
  <c r="AA91" i="21"/>
  <c r="W17" i="21"/>
  <c r="L55" i="21"/>
  <c r="Y16" i="21"/>
  <c r="Y119" i="21"/>
  <c r="P229" i="21"/>
  <c r="K159" i="21"/>
  <c r="Q112" i="21"/>
  <c r="AC93" i="21"/>
  <c r="Q158" i="21"/>
  <c r="R140" i="21"/>
  <c r="R243" i="21"/>
  <c r="U159" i="21"/>
  <c r="Y156" i="21"/>
  <c r="P84" i="21"/>
  <c r="AC274" i="21"/>
  <c r="U64" i="21"/>
  <c r="M135" i="21"/>
  <c r="Z52" i="21"/>
  <c r="AA142" i="21"/>
  <c r="Y194" i="21"/>
  <c r="R117" i="21"/>
  <c r="S188" i="21"/>
  <c r="K116" i="21"/>
  <c r="Q127" i="21"/>
  <c r="X162" i="21"/>
  <c r="O154" i="21"/>
  <c r="W110" i="21"/>
  <c r="P241" i="21"/>
  <c r="S151" i="21"/>
  <c r="T148" i="21"/>
  <c r="M89" i="21"/>
  <c r="J239" i="21"/>
  <c r="I234" i="21"/>
  <c r="X10" i="21"/>
  <c r="P79" i="21"/>
  <c r="AA194" i="21"/>
  <c r="J60" i="21"/>
  <c r="V185" i="21"/>
  <c r="N201" i="21"/>
  <c r="Z143" i="21"/>
  <c r="L148" i="21"/>
  <c r="T178" i="21"/>
  <c r="I13" i="21"/>
  <c r="O231" i="21"/>
  <c r="X102" i="21"/>
  <c r="K22" i="21"/>
  <c r="AC195" i="21"/>
  <c r="T149" i="21"/>
  <c r="V146" i="21"/>
  <c r="W111" i="21"/>
  <c r="X245" i="21"/>
  <c r="AA235" i="21"/>
  <c r="Y11" i="21"/>
  <c r="S80" i="21"/>
  <c r="P196" i="21"/>
  <c r="K61" i="21"/>
  <c r="I188" i="21"/>
  <c r="K228" i="21"/>
  <c r="AD126" i="21"/>
  <c r="N203" i="21"/>
  <c r="R19" i="21"/>
  <c r="X14" i="21"/>
  <c r="T85" i="21"/>
  <c r="S149" i="21"/>
  <c r="S191" i="21"/>
  <c r="T134" i="21"/>
  <c r="Q143" i="21"/>
  <c r="K122" i="21"/>
  <c r="AC125" i="21"/>
  <c r="AD136" i="21"/>
  <c r="AC33" i="21"/>
  <c r="V113" i="21"/>
  <c r="U236" i="21"/>
  <c r="S93" i="21"/>
  <c r="V252" i="21"/>
  <c r="Y248" i="21"/>
  <c r="K27" i="21"/>
  <c r="M154" i="21"/>
  <c r="R17" i="21"/>
  <c r="L58" i="21"/>
  <c r="U134" i="21"/>
  <c r="T272" i="21"/>
  <c r="AA72" i="21"/>
  <c r="P129" i="21"/>
  <c r="AD130" i="21"/>
  <c r="Y96" i="21"/>
  <c r="Z129" i="21"/>
  <c r="V37" i="21"/>
  <c r="AD153" i="21"/>
  <c r="I55" i="21"/>
  <c r="Q136" i="21"/>
  <c r="X239" i="21"/>
  <c r="Y99" i="21"/>
  <c r="N265" i="21"/>
  <c r="Q188" i="21"/>
  <c r="AC23" i="21"/>
  <c r="AC75" i="21"/>
  <c r="Y68" i="21"/>
  <c r="Y60" i="21"/>
  <c r="AC179" i="21"/>
  <c r="AA9" i="21"/>
  <c r="Q179" i="21"/>
  <c r="Z127" i="21"/>
  <c r="O129" i="21"/>
  <c r="Z87" i="21"/>
  <c r="K131" i="21"/>
  <c r="P41" i="21"/>
  <c r="R155" i="21"/>
  <c r="AC69" i="21"/>
  <c r="S144" i="21"/>
  <c r="Z245" i="21"/>
  <c r="J122" i="21"/>
  <c r="U266" i="21"/>
  <c r="V193" i="21"/>
  <c r="Z182" i="21"/>
  <c r="Z70" i="21"/>
  <c r="V75" i="21"/>
  <c r="I66" i="21"/>
  <c r="Q199" i="21"/>
  <c r="X105" i="21"/>
  <c r="M66" i="21"/>
  <c r="AB84" i="20"/>
  <c r="AB156" i="20"/>
  <c r="Z94" i="20"/>
  <c r="Z77" i="20"/>
  <c r="O9" i="20"/>
  <c r="R77" i="20"/>
  <c r="T9" i="20"/>
  <c r="Y125" i="20"/>
  <c r="Q50" i="20"/>
  <c r="N15" i="20"/>
  <c r="AD90" i="20"/>
  <c r="N71" i="20"/>
  <c r="AC9" i="20"/>
  <c r="AA141" i="20"/>
  <c r="S271" i="20"/>
  <c r="L14" i="20"/>
  <c r="P124" i="20"/>
  <c r="P204" i="20"/>
  <c r="Q66" i="20"/>
  <c r="AA85" i="20"/>
  <c r="M158" i="20"/>
  <c r="Q45" i="20"/>
  <c r="L35" i="20"/>
  <c r="S84" i="20"/>
  <c r="O113" i="21"/>
  <c r="R193" i="21"/>
  <c r="O42" i="21"/>
  <c r="M63" i="21"/>
  <c r="M138" i="21"/>
  <c r="U264" i="21"/>
  <c r="W69" i="21"/>
  <c r="I243" i="21"/>
  <c r="K181" i="21"/>
  <c r="U194" i="21"/>
  <c r="AA106" i="21"/>
  <c r="T183" i="21"/>
  <c r="X184" i="21"/>
  <c r="I62" i="21"/>
  <c r="J197" i="20"/>
  <c r="AB230" i="20"/>
  <c r="I96" i="20"/>
  <c r="S252" i="20"/>
  <c r="N36" i="20"/>
  <c r="V49" i="20"/>
  <c r="L143" i="20"/>
  <c r="R199" i="20"/>
  <c r="U152" i="20"/>
  <c r="T70" i="20"/>
  <c r="I52" i="20"/>
  <c r="I84" i="20"/>
  <c r="X200" i="20"/>
  <c r="AB44" i="20"/>
  <c r="V68" i="20"/>
  <c r="Q183" i="20"/>
  <c r="M57" i="20"/>
  <c r="N96" i="20"/>
  <c r="V229" i="20"/>
  <c r="R273" i="20"/>
  <c r="AA66" i="20"/>
  <c r="X106" i="20"/>
  <c r="O244" i="20"/>
  <c r="P21" i="20"/>
  <c r="I115" i="20"/>
  <c r="J78" i="20"/>
  <c r="AA198" i="20"/>
  <c r="M239" i="20"/>
  <c r="Q83" i="20"/>
  <c r="O116" i="20"/>
  <c r="R76" i="20"/>
  <c r="R57" i="20"/>
  <c r="U199" i="20"/>
  <c r="AB90" i="20"/>
  <c r="I124" i="20"/>
  <c r="N74" i="20"/>
  <c r="P176" i="20"/>
  <c r="X74" i="20"/>
  <c r="M40" i="20"/>
  <c r="Z153" i="21"/>
  <c r="S197" i="21"/>
  <c r="L70" i="21"/>
  <c r="P60" i="21"/>
  <c r="O69" i="21"/>
  <c r="Z35" i="21"/>
  <c r="N142" i="21"/>
  <c r="K13" i="21"/>
  <c r="O26" i="21"/>
  <c r="N90" i="21"/>
  <c r="Q53" i="21"/>
  <c r="N199" i="21"/>
  <c r="U204" i="21"/>
  <c r="M188" i="21"/>
  <c r="P193" i="21"/>
  <c r="AA197" i="21"/>
  <c r="J234" i="21"/>
  <c r="Q242" i="21"/>
  <c r="O160" i="21"/>
  <c r="I116" i="21"/>
  <c r="N82" i="21"/>
  <c r="R110" i="21"/>
  <c r="R65" i="21"/>
  <c r="AC31" i="21"/>
  <c r="P243" i="21"/>
  <c r="V149" i="21"/>
  <c r="J98" i="21"/>
  <c r="M243" i="21"/>
  <c r="L50" i="21"/>
  <c r="AD248" i="21"/>
  <c r="W33" i="21"/>
  <c r="W103" i="21"/>
  <c r="X238" i="21"/>
  <c r="AB144" i="21"/>
  <c r="P99" i="21"/>
  <c r="K10" i="21"/>
  <c r="I118" i="21"/>
  <c r="W268" i="21"/>
  <c r="I198" i="21"/>
  <c r="R196" i="21"/>
  <c r="R177" i="21"/>
  <c r="AD191" i="21"/>
  <c r="L196" i="21"/>
  <c r="W225" i="21"/>
  <c r="X230" i="21"/>
  <c r="AA158" i="21"/>
  <c r="X114" i="21"/>
  <c r="I81" i="21"/>
  <c r="W101" i="21"/>
  <c r="AC66" i="21"/>
  <c r="K42" i="21"/>
  <c r="Q245" i="21"/>
  <c r="W157" i="21"/>
  <c r="AD9" i="21"/>
  <c r="Z26" i="22" s="1"/>
  <c r="R202" i="21"/>
  <c r="S38" i="21"/>
  <c r="U244" i="21"/>
  <c r="V31" i="21"/>
  <c r="S87" i="21"/>
  <c r="Y227" i="21"/>
  <c r="W25" i="21"/>
  <c r="U14" i="21"/>
  <c r="S12" i="21"/>
  <c r="Y274" i="21"/>
  <c r="S267" i="21"/>
  <c r="Z196" i="21"/>
  <c r="T102" i="21"/>
  <c r="AC26" i="21"/>
  <c r="N115" i="21"/>
  <c r="L134" i="21"/>
  <c r="M180" i="21"/>
  <c r="M49" i="21"/>
  <c r="X100" i="21"/>
  <c r="Y270" i="21"/>
  <c r="X76" i="21"/>
  <c r="P96" i="21"/>
  <c r="Z197" i="21"/>
  <c r="J186" i="21"/>
  <c r="X141" i="21"/>
  <c r="Q135" i="21"/>
  <c r="T115" i="21"/>
  <c r="L102" i="21"/>
  <c r="AC133" i="21"/>
  <c r="Z135" i="21"/>
  <c r="P134" i="21"/>
  <c r="AB115" i="21"/>
  <c r="R67" i="21"/>
  <c r="V10" i="21"/>
  <c r="AD66" i="21"/>
  <c r="V110" i="21"/>
  <c r="AD71" i="21"/>
  <c r="K29" i="21"/>
  <c r="J198" i="21"/>
  <c r="Y157" i="21"/>
  <c r="P17" i="21"/>
  <c r="W112" i="21"/>
  <c r="J83" i="21"/>
  <c r="U110" i="21"/>
  <c r="R46" i="21"/>
  <c r="L132" i="21"/>
  <c r="AA11" i="21"/>
  <c r="J197" i="21"/>
  <c r="R111" i="21"/>
  <c r="W194" i="21"/>
  <c r="Q180" i="21"/>
  <c r="U140" i="21"/>
  <c r="N134" i="21"/>
  <c r="V97" i="21"/>
  <c r="Z98" i="21"/>
  <c r="Z114" i="21"/>
  <c r="R134" i="21"/>
  <c r="AA119" i="21"/>
  <c r="K66" i="21"/>
  <c r="X123" i="21"/>
  <c r="K63" i="21"/>
  <c r="I117" i="21"/>
  <c r="AC77" i="21"/>
  <c r="U30" i="21"/>
  <c r="P239" i="21"/>
  <c r="J194" i="21"/>
  <c r="O239" i="21"/>
  <c r="P238" i="21"/>
  <c r="Q13" i="21"/>
  <c r="J240" i="21"/>
  <c r="J81" i="21"/>
  <c r="V204" i="21"/>
  <c r="I45" i="21"/>
  <c r="S72" i="21"/>
  <c r="I93" i="21"/>
  <c r="P135" i="21"/>
  <c r="AC201" i="21"/>
  <c r="P269" i="21"/>
  <c r="AA143" i="21"/>
  <c r="U125" i="21"/>
  <c r="T239" i="21"/>
  <c r="O200" i="21"/>
  <c r="J242" i="21"/>
  <c r="L137" i="21"/>
  <c r="R75" i="21"/>
  <c r="AB41" i="21"/>
  <c r="I225" i="20"/>
  <c r="L48" i="20"/>
  <c r="AB142" i="20"/>
  <c r="J192" i="21"/>
  <c r="J202" i="21"/>
  <c r="L201" i="21"/>
  <c r="S15" i="21"/>
  <c r="S252" i="21"/>
  <c r="T83" i="21"/>
  <c r="S225" i="21"/>
  <c r="W47" i="21"/>
  <c r="X73" i="21"/>
  <c r="L94" i="21"/>
  <c r="V154" i="21"/>
  <c r="AD266" i="21"/>
  <c r="J203" i="21"/>
  <c r="R270" i="21"/>
  <c r="K111" i="21"/>
  <c r="V119" i="21"/>
  <c r="M265" i="21"/>
  <c r="L225" i="21"/>
  <c r="T25" i="21"/>
  <c r="Z139" i="21"/>
  <c r="T77" i="21"/>
  <c r="AB17" i="21"/>
  <c r="AC265" i="20"/>
  <c r="V46" i="20"/>
  <c r="Q116" i="20"/>
  <c r="W162" i="21"/>
  <c r="AD197" i="21"/>
  <c r="J191" i="21"/>
  <c r="V26" i="21"/>
  <c r="AC270" i="21"/>
  <c r="V99" i="21"/>
  <c r="N237" i="21"/>
  <c r="Y53" i="21"/>
  <c r="AA74" i="21"/>
  <c r="U97" i="21"/>
  <c r="J176" i="21"/>
  <c r="Z137" i="21"/>
  <c r="M204" i="21"/>
  <c r="AD177" i="21"/>
  <c r="U91" i="21"/>
  <c r="X54" i="21"/>
  <c r="I104" i="21"/>
  <c r="AA243" i="21"/>
  <c r="K79" i="21"/>
  <c r="L146" i="21"/>
  <c r="R81" i="21"/>
  <c r="N91" i="21"/>
  <c r="U243" i="20"/>
  <c r="M45" i="20"/>
  <c r="AA64" i="20"/>
  <c r="T160" i="21"/>
  <c r="K117" i="21"/>
  <c r="AC91" i="21"/>
  <c r="Y52" i="21"/>
  <c r="AA245" i="21"/>
  <c r="AD228" i="21"/>
  <c r="O189" i="21"/>
  <c r="Z183" i="21"/>
  <c r="R153" i="21"/>
  <c r="M158" i="21"/>
  <c r="Y229" i="21"/>
  <c r="AD43" i="21"/>
  <c r="Q80" i="21"/>
  <c r="J13" i="21"/>
  <c r="Z204" i="21"/>
  <c r="S185" i="21"/>
  <c r="Q246" i="21"/>
  <c r="X87" i="21"/>
  <c r="N197" i="21"/>
  <c r="X23" i="21"/>
  <c r="O50" i="21"/>
  <c r="AA85" i="21"/>
  <c r="L136" i="20"/>
  <c r="N267" i="20"/>
  <c r="AB127" i="20"/>
  <c r="P145" i="20"/>
  <c r="V153" i="20"/>
  <c r="R196" i="20"/>
  <c r="N56" i="21"/>
  <c r="Q38" i="21"/>
  <c r="M202" i="21"/>
  <c r="AD133" i="21"/>
  <c r="R114" i="21"/>
  <c r="W97" i="21"/>
  <c r="AC183" i="21"/>
  <c r="W145" i="21"/>
  <c r="X273" i="21"/>
  <c r="O106" i="21"/>
  <c r="AA55" i="21"/>
  <c r="P154" i="21"/>
  <c r="S97" i="21"/>
  <c r="AB21" i="21"/>
  <c r="I78" i="21"/>
  <c r="AB116" i="21"/>
  <c r="U187" i="21"/>
  <c r="N110" i="21"/>
  <c r="K46" i="21"/>
  <c r="V91" i="21"/>
  <c r="R16" i="21"/>
  <c r="P72" i="21"/>
  <c r="AC42" i="21"/>
  <c r="K205" i="21"/>
  <c r="V175" i="21"/>
  <c r="X117" i="21"/>
  <c r="Z100" i="21"/>
  <c r="M196" i="21"/>
  <c r="I186" i="21"/>
  <c r="W265" i="21"/>
  <c r="X91" i="21"/>
  <c r="K12" i="21"/>
  <c r="L47" i="21"/>
  <c r="AC116" i="21"/>
  <c r="R86" i="21"/>
  <c r="J97" i="21"/>
  <c r="R199" i="21"/>
  <c r="N38" i="21"/>
  <c r="AD146" i="21"/>
  <c r="S123" i="21"/>
  <c r="S129" i="21"/>
  <c r="W201" i="21"/>
  <c r="AB116" i="20"/>
  <c r="Z232" i="20"/>
  <c r="M76" i="20"/>
  <c r="W93" i="20"/>
  <c r="U73" i="21"/>
  <c r="I44" i="21"/>
  <c r="W207" i="21"/>
  <c r="L177" i="21"/>
  <c r="AB119" i="21"/>
  <c r="S114" i="21"/>
  <c r="Y198" i="21"/>
  <c r="L187" i="21"/>
  <c r="P274" i="21"/>
  <c r="AD122" i="21"/>
  <c r="AC273" i="21"/>
  <c r="Y9" i="21"/>
  <c r="AB43" i="21"/>
  <c r="AD205" i="21"/>
  <c r="T89" i="21"/>
  <c r="K100" i="21"/>
  <c r="K230" i="21"/>
  <c r="R40" i="21"/>
  <c r="P11" i="21"/>
  <c r="U137" i="21"/>
  <c r="Y180" i="21"/>
  <c r="T140" i="20"/>
  <c r="W229" i="20"/>
  <c r="K111" i="20"/>
  <c r="Y32" i="20"/>
  <c r="AC246" i="21"/>
  <c r="AB146" i="21"/>
  <c r="V265" i="21"/>
  <c r="AB204" i="21"/>
  <c r="S77" i="21"/>
  <c r="W100" i="21"/>
  <c r="N98" i="21"/>
  <c r="M197" i="21"/>
  <c r="T36" i="21"/>
  <c r="U113" i="21"/>
  <c r="I18" i="21"/>
  <c r="M155" i="21"/>
  <c r="Z104" i="21"/>
  <c r="I32" i="21"/>
  <c r="W238" i="21"/>
  <c r="Q49" i="21"/>
  <c r="R80" i="21"/>
  <c r="Q29" i="21"/>
  <c r="N175" i="21"/>
  <c r="V15" i="21"/>
  <c r="AD101" i="21"/>
  <c r="P265" i="21"/>
  <c r="T192" i="21"/>
  <c r="O196" i="21"/>
  <c r="O151" i="21"/>
  <c r="J136" i="21"/>
  <c r="U265" i="21"/>
  <c r="U95" i="21"/>
  <c r="AB186" i="21"/>
  <c r="Q68" i="21"/>
  <c r="M159" i="21"/>
  <c r="AA41" i="21"/>
  <c r="K143" i="21"/>
  <c r="W40" i="21"/>
  <c r="X131" i="21"/>
  <c r="AD16" i="21"/>
  <c r="R88" i="21"/>
  <c r="AA139" i="21"/>
  <c r="Q144" i="21"/>
  <c r="I40" i="21"/>
  <c r="P30" i="21"/>
  <c r="R145" i="21"/>
  <c r="AA45" i="21"/>
  <c r="AA75" i="21"/>
  <c r="S240" i="21"/>
  <c r="T103" i="21"/>
  <c r="I12" i="21"/>
  <c r="U103" i="21"/>
  <c r="Q64" i="21"/>
  <c r="AB160" i="21"/>
  <c r="K148" i="21"/>
  <c r="Q182" i="21"/>
  <c r="X77" i="21"/>
  <c r="P106" i="21"/>
  <c r="R191" i="21"/>
  <c r="P188" i="21"/>
  <c r="I149" i="21"/>
  <c r="W125" i="21"/>
  <c r="Z252" i="21"/>
  <c r="T185" i="21"/>
  <c r="AC56" i="21"/>
  <c r="R136" i="21"/>
  <c r="X40" i="21"/>
  <c r="S140" i="21"/>
  <c r="T39" i="21"/>
  <c r="P130" i="21"/>
  <c r="AB14" i="21"/>
  <c r="R138" i="21"/>
  <c r="AD142" i="21"/>
  <c r="AA38" i="21"/>
  <c r="AB16" i="21"/>
  <c r="R132" i="21"/>
  <c r="O43" i="21"/>
  <c r="O80" i="21"/>
  <c r="U242" i="21"/>
  <c r="I105" i="21"/>
  <c r="N13" i="21"/>
  <c r="L193" i="21"/>
  <c r="AC38" i="21"/>
  <c r="AD272" i="21"/>
  <c r="I72" i="21"/>
  <c r="J91" i="21"/>
  <c r="N178" i="21"/>
  <c r="R32" i="21"/>
  <c r="T110" i="21"/>
  <c r="AB12" i="21"/>
  <c r="I151" i="21"/>
  <c r="M101" i="21"/>
  <c r="S19" i="21"/>
  <c r="V46" i="21"/>
  <c r="U32" i="21"/>
  <c r="O264" i="21"/>
  <c r="T94" i="21"/>
  <c r="AB64" i="21"/>
  <c r="Y149" i="21"/>
  <c r="Y268" i="21"/>
  <c r="AC205" i="21"/>
  <c r="U191" i="21"/>
  <c r="R73" i="21"/>
  <c r="J46" i="21"/>
  <c r="W117" i="21"/>
  <c r="AD198" i="21"/>
  <c r="M38" i="21"/>
  <c r="Z202" i="21"/>
  <c r="S84" i="21"/>
  <c r="U82" i="21"/>
  <c r="W178" i="21"/>
  <c r="K65" i="21"/>
  <c r="K68" i="21"/>
  <c r="R39" i="21"/>
  <c r="I95" i="21"/>
  <c r="I10" i="21"/>
  <c r="L122" i="21"/>
  <c r="S65" i="21"/>
  <c r="P227" i="21"/>
  <c r="AC184" i="21"/>
  <c r="AA175" i="21"/>
  <c r="AB267" i="21"/>
  <c r="AB205" i="21"/>
  <c r="V72" i="21"/>
  <c r="L153" i="21"/>
  <c r="X51" i="21"/>
  <c r="AC121" i="21"/>
  <c r="R24" i="21"/>
  <c r="AD115" i="21"/>
  <c r="M20" i="21"/>
  <c r="K112" i="21"/>
  <c r="W9" i="21"/>
  <c r="J28" i="21"/>
  <c r="Y110" i="21"/>
  <c r="V118" i="21"/>
  <c r="V23" i="21"/>
  <c r="U183" i="21"/>
  <c r="P119" i="21"/>
  <c r="N24" i="21"/>
  <c r="Z99" i="21"/>
  <c r="AC20" i="21"/>
  <c r="Y122" i="21"/>
  <c r="AA27" i="21"/>
  <c r="V132" i="21"/>
  <c r="R95" i="21"/>
  <c r="T157" i="21"/>
  <c r="X116" i="21"/>
  <c r="R118" i="21"/>
  <c r="J135" i="21"/>
  <c r="AD174" i="21"/>
  <c r="W87" i="21"/>
  <c r="I264" i="21"/>
  <c r="J120" i="21"/>
  <c r="Y20" i="21"/>
  <c r="AD229" i="21"/>
  <c r="Z61" i="21"/>
  <c r="AA28" i="21"/>
  <c r="AC123" i="21"/>
  <c r="S119" i="21"/>
  <c r="L26" i="21"/>
  <c r="AA149" i="21"/>
  <c r="I87" i="21"/>
  <c r="N152" i="21"/>
  <c r="U192" i="21"/>
  <c r="AA267" i="21"/>
  <c r="Z269" i="21"/>
  <c r="X203" i="21"/>
  <c r="L180" i="21"/>
  <c r="AA53" i="21"/>
  <c r="U128" i="21"/>
  <c r="W242" i="21"/>
  <c r="AC99" i="21"/>
  <c r="Y245" i="21"/>
  <c r="AB99" i="21"/>
  <c r="T237" i="21"/>
  <c r="U83" i="21"/>
  <c r="AC194" i="21"/>
  <c r="W245" i="21"/>
  <c r="AB264" i="21"/>
  <c r="M102" i="21"/>
  <c r="P232" i="21"/>
  <c r="N264" i="21"/>
  <c r="T90" i="21"/>
  <c r="Z21" i="21"/>
  <c r="Q120" i="21"/>
  <c r="Y37" i="21"/>
  <c r="N147" i="21"/>
  <c r="K51" i="21"/>
  <c r="V159" i="21"/>
  <c r="N123" i="21"/>
  <c r="M232" i="21"/>
  <c r="AC126" i="21"/>
  <c r="N105" i="21"/>
  <c r="T43" i="21"/>
  <c r="K49" i="21"/>
  <c r="J58" i="21"/>
  <c r="Q176" i="21"/>
  <c r="U145" i="21"/>
  <c r="Q19" i="21"/>
  <c r="L40" i="21"/>
  <c r="N59" i="21"/>
  <c r="L81" i="21"/>
  <c r="AD116" i="21"/>
  <c r="U69" i="21"/>
  <c r="X235" i="21"/>
  <c r="J271" i="21"/>
  <c r="R174" i="21"/>
  <c r="X136" i="21"/>
  <c r="R92" i="21"/>
  <c r="AD131" i="21"/>
  <c r="I235" i="21"/>
  <c r="K77" i="21"/>
  <c r="O156" i="21"/>
  <c r="S26" i="21"/>
  <c r="AA89" i="21"/>
  <c r="U188" i="21"/>
  <c r="Y199" i="21"/>
  <c r="S160" i="21"/>
  <c r="Q36" i="21"/>
  <c r="O269" i="21"/>
  <c r="K83" i="21"/>
  <c r="J43" i="21"/>
  <c r="Z229" i="21"/>
  <c r="K108" i="21"/>
  <c r="N39" i="21"/>
  <c r="AC175" i="21"/>
  <c r="Z149" i="21"/>
  <c r="V229" i="21"/>
  <c r="T120" i="21"/>
  <c r="O56" i="21"/>
  <c r="W22" i="21"/>
  <c r="Z44" i="21"/>
  <c r="AD47" i="21"/>
  <c r="W156" i="21"/>
  <c r="V203" i="21"/>
  <c r="U112" i="21"/>
  <c r="N17" i="21"/>
  <c r="Z78" i="21"/>
  <c r="AB114" i="21"/>
  <c r="W85" i="21"/>
  <c r="AD121" i="21"/>
  <c r="AB77" i="21"/>
  <c r="S230" i="21"/>
  <c r="AC268" i="21"/>
  <c r="AB243" i="21"/>
  <c r="L145" i="21"/>
  <c r="W135" i="21"/>
  <c r="AC79" i="21"/>
  <c r="Z130" i="21"/>
  <c r="T233" i="21"/>
  <c r="P62" i="21"/>
  <c r="Q147" i="21"/>
  <c r="R25" i="21"/>
  <c r="V88" i="21"/>
  <c r="O185" i="21"/>
  <c r="M193" i="21"/>
  <c r="AC158" i="21"/>
  <c r="Y24" i="21"/>
  <c r="X267" i="21"/>
  <c r="AA81" i="21"/>
  <c r="X47" i="21"/>
  <c r="M236" i="21"/>
  <c r="O119" i="21"/>
  <c r="K48" i="21"/>
  <c r="AB189" i="21"/>
  <c r="O180" i="21"/>
  <c r="U203" i="21"/>
  <c r="J114" i="21"/>
  <c r="M50" i="21"/>
  <c r="N19" i="21"/>
  <c r="O38" i="21"/>
  <c r="X33" i="21"/>
  <c r="O12" i="21"/>
  <c r="Y49" i="21"/>
  <c r="Q60" i="21"/>
  <c r="P264" i="21"/>
  <c r="W186" i="21"/>
  <c r="AA122" i="21"/>
  <c r="AA131" i="21"/>
  <c r="W128" i="21"/>
  <c r="R50" i="21"/>
  <c r="J230" i="21"/>
  <c r="S184" i="21"/>
  <c r="L52" i="21"/>
  <c r="J89" i="21"/>
  <c r="Q109" i="21"/>
  <c r="T59" i="21"/>
  <c r="J117" i="21"/>
  <c r="P83" i="21"/>
  <c r="V272" i="21"/>
  <c r="N266" i="21"/>
  <c r="V182" i="21"/>
  <c r="X264" i="21"/>
  <c r="U181" i="21"/>
  <c r="I35" i="21"/>
  <c r="P91" i="21"/>
  <c r="M174" i="21"/>
  <c r="T26" i="21"/>
  <c r="K102" i="21"/>
  <c r="X196" i="21"/>
  <c r="J50" i="21"/>
  <c r="Q93" i="21"/>
  <c r="AD111" i="21"/>
  <c r="R103" i="21"/>
  <c r="AC128" i="21"/>
  <c r="R186" i="21"/>
  <c r="N48" i="21"/>
  <c r="L98" i="21"/>
  <c r="M33" i="21"/>
  <c r="AB183" i="21"/>
  <c r="R85" i="21"/>
  <c r="AB248" i="21"/>
  <c r="W61" i="21"/>
  <c r="S236" i="21"/>
  <c r="U58" i="21"/>
  <c r="AC238" i="21"/>
  <c r="P107" i="21"/>
  <c r="V112" i="21"/>
  <c r="S85" i="21"/>
  <c r="P122" i="21"/>
  <c r="AC35" i="21"/>
  <c r="Z156" i="21"/>
  <c r="T145" i="21"/>
  <c r="AB177" i="21"/>
  <c r="R94" i="21"/>
  <c r="AD114" i="21"/>
  <c r="Y67" i="21"/>
  <c r="I138" i="21"/>
  <c r="L231" i="21"/>
  <c r="T271" i="21"/>
  <c r="AC243" i="21"/>
  <c r="S181" i="21"/>
  <c r="J252" i="21"/>
  <c r="Z178" i="21"/>
  <c r="L271" i="21"/>
  <c r="M88" i="21"/>
  <c r="Z160" i="21"/>
  <c r="N20" i="21"/>
  <c r="Y98" i="21"/>
  <c r="M195" i="21"/>
  <c r="AB48" i="21"/>
  <c r="AD90" i="21"/>
  <c r="O108" i="21"/>
  <c r="AC100" i="21"/>
  <c r="L121" i="21"/>
  <c r="Y184" i="21"/>
  <c r="I47" i="21"/>
  <c r="O101" i="21"/>
  <c r="K39" i="21"/>
  <c r="AB195" i="21"/>
  <c r="AB86" i="21"/>
  <c r="I42" i="21"/>
  <c r="Q58" i="21"/>
  <c r="M226" i="21"/>
  <c r="I126" i="21"/>
  <c r="L48" i="21"/>
  <c r="P231" i="21"/>
  <c r="AD73" i="21"/>
  <c r="AB84" i="21"/>
  <c r="AD189" i="21"/>
  <c r="X88" i="21"/>
  <c r="M65" i="21"/>
  <c r="Q100" i="21"/>
  <c r="K188" i="21"/>
  <c r="O271" i="21"/>
  <c r="S265" i="21"/>
  <c r="L10" i="21"/>
  <c r="L34" i="21"/>
  <c r="J266" i="21"/>
  <c r="M239" i="21"/>
  <c r="R142" i="21"/>
  <c r="R227" i="21"/>
  <c r="L140" i="21"/>
  <c r="J243" i="21"/>
  <c r="Z77" i="21"/>
  <c r="T131" i="21"/>
  <c r="L276" i="21"/>
  <c r="M78" i="21"/>
  <c r="AD158" i="21"/>
  <c r="R36" i="21"/>
  <c r="L56" i="21"/>
  <c r="M273" i="21"/>
  <c r="O82" i="21"/>
  <c r="Y89" i="21"/>
  <c r="K155" i="21"/>
  <c r="Q25" i="21"/>
  <c r="AC118" i="21"/>
  <c r="L60" i="21"/>
  <c r="V230" i="21"/>
  <c r="AC98" i="21"/>
  <c r="Z189" i="21"/>
  <c r="X243" i="21"/>
  <c r="I113" i="21"/>
  <c r="AB248" i="20"/>
  <c r="Q240" i="20"/>
  <c r="I175" i="20"/>
  <c r="X124" i="20"/>
  <c r="Q64" i="20"/>
  <c r="W126" i="20"/>
  <c r="T149" i="20"/>
  <c r="AC55" i="20"/>
  <c r="AD9" i="20"/>
  <c r="N64" i="20"/>
  <c r="K205" i="20"/>
  <c r="AD127" i="20"/>
  <c r="W71" i="20"/>
  <c r="U148" i="20"/>
  <c r="U50" i="20"/>
  <c r="Q48" i="20"/>
  <c r="R117" i="20"/>
  <c r="T128" i="20"/>
  <c r="R193" i="20"/>
  <c r="P20" i="20"/>
  <c r="W202" i="20"/>
  <c r="M26" i="20"/>
  <c r="Y248" i="20"/>
  <c r="L242" i="20"/>
  <c r="W240" i="20"/>
  <c r="AB13" i="20"/>
  <c r="R148" i="20"/>
  <c r="AC33" i="20"/>
  <c r="AA232" i="20"/>
  <c r="Z27" i="20"/>
  <c r="X243" i="20"/>
  <c r="AB76" i="20"/>
  <c r="Y132" i="20"/>
  <c r="AA72" i="20"/>
  <c r="I116" i="20"/>
  <c r="M29" i="20"/>
  <c r="P134" i="20"/>
  <c r="AB119" i="20"/>
  <c r="Q106" i="20"/>
  <c r="W243" i="20"/>
  <c r="J133" i="20"/>
  <c r="AC147" i="20"/>
  <c r="V55" i="20"/>
  <c r="L184" i="20"/>
  <c r="T85" i="20"/>
  <c r="Z109" i="21"/>
  <c r="AD193" i="21"/>
  <c r="X15" i="21"/>
  <c r="S56" i="21"/>
  <c r="AD102" i="21"/>
  <c r="Y33" i="21"/>
  <c r="Y84" i="21"/>
  <c r="M126" i="21"/>
  <c r="N126" i="21"/>
  <c r="M97" i="21"/>
  <c r="O54" i="21"/>
  <c r="V239" i="21"/>
  <c r="AA137" i="21"/>
  <c r="J109" i="21"/>
  <c r="X74" i="21"/>
  <c r="I140" i="21"/>
  <c r="U239" i="21"/>
  <c r="Q205" i="21"/>
  <c r="V157" i="21"/>
  <c r="AA30" i="21"/>
  <c r="L106" i="21"/>
  <c r="S235" i="21"/>
  <c r="M59" i="21"/>
  <c r="Y243" i="21"/>
  <c r="AC21" i="21"/>
  <c r="L155" i="21"/>
  <c r="AC198" i="21"/>
  <c r="I241" i="21"/>
  <c r="Y111" i="21"/>
  <c r="X64" i="21"/>
  <c r="W105" i="21"/>
  <c r="I15" i="21"/>
  <c r="AD144" i="20"/>
  <c r="AB92" i="20"/>
  <c r="J42" i="20"/>
  <c r="X226" i="20"/>
  <c r="Z29" i="20"/>
  <c r="AB123" i="20"/>
  <c r="W266" i="20"/>
  <c r="N36" i="21"/>
  <c r="O97" i="21"/>
  <c r="AA140" i="21"/>
  <c r="N32" i="21"/>
  <c r="Z192" i="21"/>
  <c r="K20" i="21"/>
  <c r="P177" i="21"/>
  <c r="I27" i="21"/>
  <c r="AC199" i="21"/>
  <c r="T119" i="21"/>
  <c r="T72" i="21"/>
  <c r="L39" i="21"/>
  <c r="Q200" i="21"/>
  <c r="J160" i="21"/>
  <c r="N116" i="21"/>
  <c r="J226" i="21"/>
  <c r="V156" i="21"/>
  <c r="AA177" i="21"/>
  <c r="P24" i="21"/>
  <c r="AB136" i="21"/>
  <c r="I26" i="21"/>
  <c r="J124" i="21"/>
  <c r="N128" i="21"/>
  <c r="AC32" i="21"/>
  <c r="I271" i="21"/>
  <c r="R271" i="21"/>
  <c r="AC58" i="21"/>
  <c r="Q244" i="21"/>
  <c r="S135" i="21"/>
  <c r="Q139" i="21"/>
  <c r="Q146" i="21"/>
  <c r="O264" i="20"/>
  <c r="J124" i="20"/>
  <c r="AA134" i="20"/>
  <c r="S28" i="20"/>
  <c r="AD243" i="20"/>
  <c r="K202" i="21"/>
  <c r="T106" i="21"/>
  <c r="X34" i="21"/>
  <c r="Z187" i="21"/>
  <c r="AA86" i="21"/>
  <c r="M13" i="21"/>
  <c r="Q125" i="21"/>
  <c r="S50" i="21"/>
  <c r="V34" i="21"/>
  <c r="V106" i="21"/>
  <c r="Q211" i="21"/>
  <c r="Z38" i="21"/>
  <c r="P21" i="21"/>
  <c r="Y94" i="21"/>
  <c r="AD178" i="21"/>
  <c r="O134" i="21"/>
  <c r="W11" i="21"/>
  <c r="L130" i="21"/>
  <c r="L28" i="21"/>
  <c r="M107" i="21"/>
  <c r="S201" i="21"/>
  <c r="U56" i="21"/>
  <c r="R131" i="21"/>
  <c r="V242" i="21"/>
  <c r="Y73" i="21"/>
  <c r="AB141" i="21"/>
  <c r="M40" i="21"/>
  <c r="N112" i="21"/>
  <c r="Y201" i="21"/>
  <c r="AA77" i="21"/>
  <c r="Q162" i="21"/>
  <c r="O142" i="21"/>
  <c r="R120" i="21"/>
  <c r="Y244" i="21"/>
  <c r="AA230" i="21"/>
  <c r="Y211" i="21"/>
  <c r="Z158" i="21"/>
  <c r="X159" i="21"/>
  <c r="I139" i="21"/>
  <c r="K237" i="21"/>
  <c r="W15" i="21"/>
  <c r="R48" i="21"/>
  <c r="T99" i="21"/>
  <c r="O148" i="21"/>
  <c r="AC11" i="21"/>
  <c r="Y50" i="21"/>
  <c r="U26" i="21"/>
  <c r="S274" i="21"/>
  <c r="Z155" i="21"/>
  <c r="W26" i="21"/>
  <c r="AC37" i="21"/>
  <c r="L185" i="21"/>
  <c r="T276" i="21"/>
  <c r="Q187" i="21"/>
  <c r="N234" i="21"/>
  <c r="AB26" i="21"/>
  <c r="AA21" i="21"/>
  <c r="V95" i="21"/>
  <c r="U65" i="21"/>
  <c r="T116" i="21"/>
  <c r="N74" i="21"/>
  <c r="S137" i="21"/>
  <c r="T61" i="21"/>
  <c r="AB67" i="21"/>
  <c r="Z83" i="21"/>
  <c r="P201" i="20"/>
  <c r="K54" i="20"/>
  <c r="AD125" i="20"/>
  <c r="AC80" i="20"/>
  <c r="AB30" i="20"/>
  <c r="J130" i="20"/>
  <c r="W197" i="20"/>
  <c r="I27" i="20"/>
  <c r="R30" i="20"/>
  <c r="W75" i="20"/>
  <c r="R264" i="20"/>
  <c r="Y267" i="20"/>
  <c r="U143" i="20"/>
  <c r="K91" i="20"/>
  <c r="Z43" i="20"/>
  <c r="S236" i="20"/>
  <c r="Z34" i="20"/>
  <c r="U128" i="20"/>
  <c r="AC234" i="21"/>
  <c r="Z37" i="21"/>
  <c r="AB98" i="21"/>
  <c r="V142" i="21"/>
  <c r="K31" i="21"/>
  <c r="L191" i="21"/>
  <c r="AD17" i="21"/>
  <c r="X175" i="21"/>
  <c r="U248" i="21"/>
  <c r="Q21" i="21"/>
  <c r="O198" i="21"/>
  <c r="O118" i="21"/>
  <c r="S63" i="21"/>
  <c r="I36" i="21"/>
  <c r="I199" i="21"/>
  <c r="O149" i="21"/>
  <c r="M115" i="21"/>
  <c r="M152" i="21"/>
  <c r="AD192" i="21"/>
  <c r="S30" i="21"/>
  <c r="W149" i="21"/>
  <c r="P29" i="21"/>
  <c r="S89" i="21"/>
  <c r="P120" i="21"/>
  <c r="AA23" i="21"/>
  <c r="L252" i="21"/>
  <c r="X202" i="21"/>
  <c r="AD264" i="21"/>
  <c r="T56" i="21"/>
  <c r="Q241" i="21"/>
  <c r="R133" i="21"/>
  <c r="R102" i="21"/>
  <c r="N26" i="21"/>
  <c r="O246" i="20"/>
  <c r="Z131" i="20"/>
  <c r="Y146" i="20"/>
  <c r="AD49" i="20"/>
  <c r="T75" i="20"/>
  <c r="L108" i="21"/>
  <c r="AA189" i="21"/>
  <c r="S14" i="21"/>
  <c r="S53" i="21"/>
  <c r="L104" i="21"/>
  <c r="U37" i="21"/>
  <c r="AD85" i="21"/>
  <c r="U131" i="21"/>
  <c r="V127" i="21"/>
  <c r="R98" i="21"/>
  <c r="R55" i="21"/>
  <c r="K241" i="21"/>
  <c r="K139" i="21"/>
  <c r="L111" i="21"/>
  <c r="Y75" i="21"/>
  <c r="L141" i="21"/>
  <c r="S243" i="21"/>
  <c r="W158" i="21"/>
  <c r="R13" i="21"/>
  <c r="S60" i="21"/>
  <c r="AD226" i="21"/>
  <c r="U54" i="21"/>
  <c r="L24" i="21"/>
  <c r="Q159" i="21"/>
  <c r="R183" i="21"/>
  <c r="M25" i="21"/>
  <c r="T268" i="21"/>
  <c r="K114" i="21"/>
  <c r="U66" i="21"/>
  <c r="V70" i="21"/>
  <c r="AD55" i="21"/>
  <c r="AC199" i="20"/>
  <c r="T118" i="20"/>
  <c r="Q32" i="20"/>
  <c r="Y198" i="20"/>
  <c r="AD37" i="20"/>
  <c r="V111" i="20"/>
  <c r="O273" i="20"/>
  <c r="K200" i="21"/>
  <c r="J105" i="21"/>
  <c r="AD31" i="21"/>
  <c r="Z185" i="21"/>
  <c r="R82" i="21"/>
  <c r="Z10" i="21"/>
  <c r="W123" i="21"/>
  <c r="J49" i="21"/>
  <c r="J42" i="21"/>
  <c r="M109" i="21"/>
  <c r="J225" i="21"/>
  <c r="O67" i="21"/>
  <c r="S22" i="21"/>
  <c r="Q98" i="21"/>
  <c r="V180" i="21"/>
  <c r="V135" i="21"/>
  <c r="AA15" i="21"/>
  <c r="V131" i="21"/>
  <c r="X32" i="21"/>
  <c r="R108" i="21"/>
  <c r="X57" i="21"/>
  <c r="X132" i="21"/>
  <c r="M244" i="21"/>
  <c r="AB74" i="21"/>
  <c r="P156" i="21"/>
  <c r="N41" i="21"/>
  <c r="P113" i="21"/>
  <c r="AC228" i="21"/>
  <c r="AB78" i="21"/>
  <c r="K176" i="21"/>
  <c r="U149" i="21"/>
  <c r="U123" i="21"/>
  <c r="P248" i="21"/>
  <c r="T241" i="21"/>
  <c r="AB159" i="21"/>
  <c r="AC176" i="21"/>
  <c r="V133" i="21"/>
  <c r="X185" i="21"/>
  <c r="T12" i="21"/>
  <c r="X44" i="21"/>
  <c r="R72" i="21"/>
  <c r="K120" i="21"/>
  <c r="O203" i="21"/>
  <c r="K47" i="21"/>
  <c r="T34" i="21"/>
  <c r="T10" i="21"/>
  <c r="N162" i="21"/>
  <c r="I29" i="21"/>
  <c r="X43" i="21"/>
  <c r="V198" i="21"/>
  <c r="T9" i="21"/>
  <c r="P26" i="22" s="1"/>
  <c r="Z198" i="21"/>
  <c r="N238" i="21"/>
  <c r="V30" i="21"/>
  <c r="Z28" i="21"/>
  <c r="AC97" i="21"/>
  <c r="K91" i="21"/>
  <c r="R123" i="21"/>
  <c r="W71" i="21"/>
  <c r="O76" i="21"/>
  <c r="L178" i="21"/>
  <c r="AD41" i="21"/>
  <c r="AA57" i="21"/>
  <c r="AA202" i="20"/>
  <c r="Y70" i="20"/>
  <c r="L139" i="20"/>
  <c r="O79" i="20"/>
  <c r="S243" i="20"/>
  <c r="AB87" i="20"/>
  <c r="Y186" i="20"/>
  <c r="Z89" i="20"/>
  <c r="P29" i="20"/>
  <c r="S71" i="20"/>
  <c r="M135" i="20"/>
  <c r="O120" i="20"/>
  <c r="R63" i="20"/>
  <c r="J268" i="20"/>
  <c r="U79" i="20"/>
  <c r="U151" i="20"/>
  <c r="Z56" i="20"/>
  <c r="K144" i="20"/>
  <c r="K61" i="20"/>
  <c r="Q147" i="20"/>
  <c r="AB268" i="20"/>
  <c r="AB89" i="20"/>
  <c r="M86" i="20"/>
  <c r="K72" i="20"/>
  <c r="I98" i="20"/>
  <c r="T187" i="20"/>
  <c r="U72" i="20"/>
  <c r="L230" i="20"/>
  <c r="V20" i="20"/>
  <c r="K39" i="20"/>
  <c r="L39" i="20"/>
  <c r="AD59" i="20"/>
  <c r="Q51" i="20"/>
  <c r="AC56" i="20"/>
  <c r="AD140" i="20"/>
  <c r="W21" i="20"/>
  <c r="AA113" i="20"/>
  <c r="M204" i="20"/>
  <c r="I82" i="20"/>
  <c r="T158" i="20"/>
  <c r="M14" i="20"/>
  <c r="Z108" i="20"/>
  <c r="U189" i="20"/>
  <c r="P32" i="20"/>
  <c r="P112" i="20"/>
  <c r="J202" i="20"/>
  <c r="L34" i="20"/>
  <c r="Q121" i="20"/>
  <c r="Y200" i="20"/>
  <c r="X14" i="20"/>
  <c r="T90" i="20"/>
  <c r="N160" i="20"/>
  <c r="V264" i="20"/>
  <c r="O235" i="20"/>
  <c r="V146" i="20"/>
  <c r="K78" i="20"/>
  <c r="P264" i="20"/>
  <c r="N162" i="20"/>
  <c r="AA92" i="20"/>
  <c r="N18" i="20"/>
  <c r="AC193" i="20"/>
  <c r="T112" i="20"/>
  <c r="U33" i="20"/>
  <c r="Y205" i="20"/>
  <c r="K133" i="20"/>
  <c r="J65" i="20"/>
  <c r="L231" i="20"/>
  <c r="W242" i="20"/>
  <c r="Z40" i="20"/>
  <c r="J234" i="20"/>
  <c r="AB204" i="20"/>
  <c r="I59" i="20"/>
  <c r="Y142" i="20"/>
  <c r="AD229" i="20"/>
  <c r="W36" i="20"/>
  <c r="Y107" i="20"/>
  <c r="S44" i="20"/>
  <c r="W139" i="20"/>
  <c r="W47" i="20"/>
  <c r="AD111" i="20"/>
  <c r="AB138" i="20"/>
  <c r="V70" i="20"/>
  <c r="AC86" i="20"/>
  <c r="V94" i="20"/>
  <c r="S98" i="20"/>
  <c r="I91" i="20"/>
  <c r="M101" i="20"/>
  <c r="R195" i="20"/>
  <c r="O62" i="20"/>
  <c r="U147" i="20"/>
  <c r="AD22" i="20"/>
  <c r="R119" i="20"/>
  <c r="P211" i="20"/>
  <c r="Z65" i="20"/>
  <c r="AC141" i="20"/>
  <c r="I234" i="20"/>
  <c r="AB75" i="20"/>
  <c r="N147" i="20"/>
  <c r="L268" i="20"/>
  <c r="P74" i="20"/>
  <c r="M151" i="20"/>
  <c r="T243" i="20"/>
  <c r="T53" i="20"/>
  <c r="R125" i="20"/>
  <c r="N198" i="20"/>
  <c r="V24" i="20"/>
  <c r="M188" i="20"/>
  <c r="V112" i="20"/>
  <c r="S37" i="20"/>
  <c r="U211" i="20"/>
  <c r="W131" i="20"/>
  <c r="O52" i="20"/>
  <c r="K238" i="20"/>
  <c r="R149" i="20"/>
  <c r="I78" i="20"/>
  <c r="K272" i="20"/>
  <c r="L162" i="20"/>
  <c r="V104" i="20"/>
  <c r="J22" i="20"/>
  <c r="V205" i="20"/>
  <c r="R52" i="20"/>
  <c r="K15" i="20"/>
  <c r="I264" i="20"/>
  <c r="AC228" i="20"/>
  <c r="AD102" i="20"/>
  <c r="T177" i="20"/>
  <c r="U235" i="20"/>
  <c r="W13" i="20"/>
  <c r="R120" i="20"/>
  <c r="R51" i="20"/>
  <c r="Y145" i="20"/>
  <c r="AA83" i="20"/>
  <c r="Y129" i="20"/>
  <c r="AC133" i="20"/>
  <c r="Z72" i="20"/>
  <c r="I88" i="20"/>
  <c r="X95" i="20"/>
  <c r="U99" i="20"/>
  <c r="AA94" i="20"/>
  <c r="Q102" i="20"/>
  <c r="T196" i="20"/>
  <c r="R70" i="20"/>
  <c r="W148" i="20"/>
  <c r="AB25" i="20"/>
  <c r="V120" i="20"/>
  <c r="M67" i="20"/>
  <c r="K143" i="20"/>
  <c r="W237" i="20"/>
  <c r="AA80" i="20"/>
  <c r="R152" i="20"/>
  <c r="N269" i="20"/>
  <c r="AC75" i="20"/>
  <c r="S152" i="20"/>
  <c r="X244" i="20"/>
  <c r="K55" i="20"/>
  <c r="X126" i="20"/>
  <c r="L202" i="20"/>
  <c r="S29" i="20"/>
  <c r="Z186" i="20"/>
  <c r="N111" i="20"/>
  <c r="X35" i="20"/>
  <c r="AA205" i="20"/>
  <c r="O130" i="20"/>
  <c r="T50" i="20"/>
  <c r="X236" i="20"/>
  <c r="I145" i="20"/>
  <c r="Q76" i="20"/>
  <c r="AB270" i="20"/>
  <c r="W159" i="20"/>
  <c r="K103" i="20"/>
  <c r="J20" i="20"/>
  <c r="I143" i="20"/>
  <c r="U155" i="20"/>
  <c r="T267" i="20"/>
  <c r="Z63" i="20"/>
  <c r="X176" i="20"/>
  <c r="AC242" i="20"/>
  <c r="AC274" i="20"/>
  <c r="S127" i="20"/>
  <c r="O69" i="20"/>
  <c r="Z179" i="20"/>
  <c r="P86" i="20"/>
  <c r="J132" i="20"/>
  <c r="T131" i="20"/>
  <c r="J76" i="20"/>
  <c r="K89" i="20"/>
  <c r="O10" i="20"/>
  <c r="Y101" i="20"/>
  <c r="AB102" i="20"/>
  <c r="Y104" i="20"/>
  <c r="V197" i="20"/>
  <c r="M73" i="20"/>
  <c r="Y149" i="20"/>
  <c r="AB31" i="20"/>
  <c r="L137" i="20"/>
  <c r="Z225" i="20"/>
  <c r="N70" i="20"/>
  <c r="Q144" i="20"/>
  <c r="Z238" i="20"/>
  <c r="M87" i="20"/>
  <c r="R162" i="20"/>
  <c r="P270" i="20"/>
  <c r="W77" i="20"/>
  <c r="Q156" i="20"/>
  <c r="AB245" i="20"/>
  <c r="Y56" i="20"/>
  <c r="U130" i="20"/>
  <c r="R203" i="20"/>
  <c r="AD30" i="20"/>
  <c r="L182" i="20"/>
  <c r="V109" i="20"/>
  <c r="W33" i="20"/>
  <c r="AC202" i="20"/>
  <c r="Y128" i="20"/>
  <c r="R48" i="20"/>
  <c r="K235" i="20"/>
  <c r="V143" i="20"/>
  <c r="M74" i="20"/>
  <c r="W269" i="20"/>
  <c r="L158" i="20"/>
  <c r="T101" i="20"/>
  <c r="AD15" i="20"/>
  <c r="V190" i="20"/>
  <c r="T87" i="20"/>
  <c r="AB273" i="20"/>
  <c r="AD228" i="20"/>
  <c r="Q245" i="20"/>
  <c r="M269" i="20"/>
  <c r="I149" i="20"/>
  <c r="K138" i="20"/>
  <c r="Z143" i="20"/>
  <c r="V67" i="20"/>
  <c r="W16" i="20"/>
  <c r="AA186" i="20"/>
  <c r="R80" i="20"/>
  <c r="P28" i="20"/>
  <c r="Z58" i="20"/>
  <c r="R72" i="20"/>
  <c r="V86" i="20"/>
  <c r="J203" i="20"/>
  <c r="W86" i="20"/>
  <c r="K203" i="20"/>
  <c r="P95" i="20"/>
  <c r="N200" i="20"/>
  <c r="O73" i="20"/>
  <c r="S182" i="20"/>
  <c r="AA30" i="20"/>
  <c r="V126" i="20"/>
  <c r="AA245" i="20"/>
  <c r="AB80" i="20"/>
  <c r="AC183" i="20"/>
  <c r="M13" i="20"/>
  <c r="AA109" i="20"/>
  <c r="R194" i="20"/>
  <c r="N272" i="20"/>
  <c r="S155" i="20"/>
  <c r="U83" i="20"/>
  <c r="I245" i="20"/>
  <c r="I142" i="20"/>
  <c r="AD42" i="20"/>
  <c r="Q204" i="20"/>
  <c r="I114" i="20"/>
  <c r="K22" i="20"/>
  <c r="J188" i="20"/>
  <c r="J87" i="20"/>
  <c r="V239" i="20"/>
  <c r="AC235" i="20"/>
  <c r="V154" i="20"/>
  <c r="I51" i="20"/>
  <c r="S17" i="20"/>
  <c r="K128" i="20"/>
  <c r="AC182" i="20"/>
  <c r="L69" i="20"/>
  <c r="Z157" i="20"/>
  <c r="U133" i="20"/>
  <c r="L105" i="20"/>
  <c r="AA207" i="20"/>
  <c r="N28" i="20"/>
  <c r="Y46" i="20"/>
  <c r="V81" i="20"/>
  <c r="O25" i="20"/>
  <c r="K31" i="20"/>
  <c r="J142" i="20"/>
  <c r="AB37" i="20"/>
  <c r="Q145" i="20"/>
  <c r="T49" i="20"/>
  <c r="AB147" i="20"/>
  <c r="AD19" i="20"/>
  <c r="M124" i="20"/>
  <c r="W231" i="20"/>
  <c r="AC91" i="20"/>
  <c r="V191" i="20"/>
  <c r="V35" i="20"/>
  <c r="T130" i="20"/>
  <c r="O232" i="20"/>
  <c r="W69" i="20"/>
  <c r="X148" i="20"/>
  <c r="AB265" i="20"/>
  <c r="V211" i="20"/>
  <c r="AC116" i="20"/>
  <c r="R14" i="20"/>
  <c r="K182" i="20"/>
  <c r="J91" i="20"/>
  <c r="AC270" i="20"/>
  <c r="AD153" i="20"/>
  <c r="AB66" i="20"/>
  <c r="J235" i="20"/>
  <c r="N127" i="20"/>
  <c r="Q39" i="20"/>
  <c r="K101" i="20"/>
  <c r="AB77" i="20"/>
  <c r="V248" i="20"/>
  <c r="V245" i="20"/>
  <c r="J127" i="20"/>
  <c r="P187" i="20"/>
  <c r="P23" i="20"/>
  <c r="M182" i="20"/>
  <c r="Z41" i="20"/>
  <c r="V235" i="20"/>
  <c r="Z188" i="20"/>
  <c r="X84" i="20"/>
  <c r="AA34" i="20"/>
  <c r="Y89" i="20"/>
  <c r="U17" i="20"/>
  <c r="X137" i="20"/>
  <c r="N35" i="20"/>
  <c r="K155" i="20"/>
  <c r="Y65" i="20"/>
  <c r="Z184" i="20"/>
  <c r="U55" i="20"/>
  <c r="K174" i="20"/>
  <c r="U35" i="20"/>
  <c r="R143" i="20"/>
  <c r="X157" i="20"/>
  <c r="AA118" i="20"/>
  <c r="Q228" i="20"/>
  <c r="I68" i="20"/>
  <c r="R156" i="20"/>
  <c r="X273" i="20"/>
  <c r="Y180" i="20"/>
  <c r="M89" i="20"/>
  <c r="P246" i="20"/>
  <c r="M133" i="20"/>
  <c r="I28" i="20"/>
  <c r="Y177" i="20"/>
  <c r="AD88" i="20"/>
  <c r="Y240" i="20"/>
  <c r="T137" i="20"/>
  <c r="R35" i="20"/>
  <c r="AB144" i="20"/>
  <c r="AD81" i="20"/>
  <c r="X239" i="20"/>
  <c r="AA67" i="20"/>
  <c r="J229" i="20"/>
  <c r="V240" i="20"/>
  <c r="Z42" i="20"/>
  <c r="I58" i="20"/>
  <c r="N10" i="20"/>
  <c r="K19" i="20"/>
  <c r="AD151" i="20"/>
  <c r="T19" i="20"/>
  <c r="Q67" i="20"/>
  <c r="L30" i="20"/>
  <c r="Z48" i="20"/>
  <c r="L73" i="20"/>
  <c r="AD201" i="20"/>
  <c r="U97" i="20"/>
  <c r="I231" i="20"/>
  <c r="AD116" i="20"/>
  <c r="S248" i="20"/>
  <c r="I117" i="20"/>
  <c r="S230" i="20"/>
  <c r="AD96" i="20"/>
  <c r="P203" i="20"/>
  <c r="AD67" i="20"/>
  <c r="Q177" i="20"/>
  <c r="U11" i="20"/>
  <c r="P116" i="20"/>
  <c r="AD205" i="20"/>
  <c r="J245" i="20"/>
  <c r="N136" i="20"/>
  <c r="T39" i="20"/>
  <c r="X183" i="20"/>
  <c r="Q85" i="20"/>
  <c r="AD244" i="20"/>
  <c r="O127" i="20"/>
  <c r="Z31" i="20"/>
  <c r="O195" i="20"/>
  <c r="Y79" i="20"/>
  <c r="U181" i="20"/>
  <c r="P205" i="20"/>
  <c r="L43" i="20"/>
  <c r="L264" i="20"/>
  <c r="O99" i="20"/>
  <c r="P268" i="20"/>
  <c r="U64" i="20"/>
  <c r="J113" i="20"/>
  <c r="K123" i="20"/>
  <c r="W201" i="20"/>
  <c r="U82" i="20"/>
  <c r="T68" i="20"/>
  <c r="N97" i="20"/>
  <c r="P47" i="20"/>
  <c r="V185" i="20"/>
  <c r="P85" i="20"/>
  <c r="K232" i="20"/>
  <c r="AB141" i="20"/>
  <c r="AB28" i="20"/>
  <c r="M137" i="20"/>
  <c r="K13" i="20"/>
  <c r="L142" i="20"/>
  <c r="AD17" i="20"/>
  <c r="O129" i="20"/>
  <c r="Y265" i="20"/>
  <c r="K92" i="20"/>
  <c r="AD196" i="20"/>
  <c r="M238" i="20"/>
  <c r="S124" i="20"/>
  <c r="S9" i="20"/>
  <c r="S149" i="20"/>
  <c r="K41" i="20"/>
  <c r="I191" i="20"/>
  <c r="Z79" i="20"/>
  <c r="AB110" i="20"/>
  <c r="AD52" i="20"/>
  <c r="J237" i="20"/>
  <c r="T182" i="20"/>
  <c r="R84" i="20"/>
  <c r="O103" i="20"/>
  <c r="AA241" i="20"/>
  <c r="AD39" i="20"/>
  <c r="AB105" i="20"/>
  <c r="T141" i="20"/>
  <c r="R107" i="20"/>
  <c r="J9" i="20"/>
  <c r="Y71" i="20"/>
  <c r="AD33" i="20"/>
  <c r="L81" i="20"/>
  <c r="AD115" i="20"/>
  <c r="R24" i="20"/>
  <c r="S146" i="20"/>
  <c r="W74" i="20"/>
  <c r="J199" i="20"/>
  <c r="T89" i="20"/>
  <c r="Y196" i="20"/>
  <c r="R90" i="20"/>
  <c r="P228" i="20"/>
  <c r="X72" i="20"/>
  <c r="AC192" i="20"/>
  <c r="AC43" i="20"/>
  <c r="AB140" i="20"/>
  <c r="V272" i="20"/>
  <c r="AA177" i="20"/>
  <c r="AB57" i="20"/>
  <c r="S106" i="20"/>
  <c r="AB125" i="20"/>
  <c r="K20" i="20"/>
  <c r="O152" i="20"/>
  <c r="N63" i="20"/>
  <c r="J196" i="20"/>
  <c r="M112" i="20"/>
  <c r="W96" i="20"/>
  <c r="M139" i="20"/>
  <c r="Y271" i="20"/>
  <c r="S42" i="20"/>
  <c r="L147" i="20"/>
  <c r="AC15" i="20"/>
  <c r="W272" i="20"/>
  <c r="J51" i="20"/>
  <c r="N40" i="20"/>
  <c r="J24" i="20"/>
  <c r="AD64" i="20"/>
  <c r="AC126" i="20"/>
  <c r="P64" i="20"/>
  <c r="R201" i="20"/>
  <c r="T103" i="20"/>
  <c r="N244" i="20"/>
  <c r="X122" i="20"/>
  <c r="V273" i="20"/>
  <c r="AC127" i="20"/>
  <c r="W273" i="20"/>
  <c r="V117" i="20"/>
  <c r="Y244" i="20"/>
  <c r="U201" i="20"/>
  <c r="R85" i="20"/>
  <c r="T201" i="20"/>
  <c r="L87" i="20"/>
  <c r="R106" i="20"/>
  <c r="J238" i="20"/>
  <c r="AD113" i="20"/>
  <c r="X9" i="20"/>
  <c r="AD139" i="20"/>
  <c r="O182" i="20"/>
  <c r="P137" i="20"/>
  <c r="Y162" i="20"/>
  <c r="N265" i="20"/>
  <c r="Q44" i="20"/>
  <c r="Y152" i="20"/>
  <c r="N22" i="20"/>
  <c r="AB264" i="20"/>
  <c r="T69" i="20"/>
  <c r="V69" i="20"/>
  <c r="T26" i="20"/>
  <c r="R66" i="20"/>
  <c r="R211" i="20"/>
  <c r="Y137" i="20"/>
  <c r="L67" i="20"/>
  <c r="V202" i="20"/>
  <c r="AB104" i="20"/>
  <c r="P245" i="20"/>
  <c r="AD123" i="20"/>
  <c r="K100" i="20"/>
  <c r="Y131" i="20"/>
  <c r="X274" i="20"/>
  <c r="AB118" i="20"/>
  <c r="AC245" i="20"/>
  <c r="J200" i="20"/>
  <c r="T72" i="20"/>
  <c r="I200" i="20"/>
  <c r="P83" i="20"/>
  <c r="T211" i="20"/>
  <c r="U101" i="20"/>
  <c r="W236" i="20"/>
  <c r="Q109" i="20"/>
  <c r="X87" i="20"/>
  <c r="R157" i="20"/>
  <c r="AB243" i="20"/>
  <c r="I93" i="20"/>
  <c r="I138" i="20"/>
  <c r="I104" i="20"/>
  <c r="V18" i="20"/>
  <c r="U13" i="20"/>
  <c r="I69" i="20"/>
  <c r="W45" i="20"/>
  <c r="P36" i="20"/>
  <c r="K86" i="20"/>
  <c r="Z138" i="20"/>
  <c r="AD60" i="20"/>
  <c r="X140" i="20"/>
  <c r="M36" i="20"/>
  <c r="S151" i="20"/>
  <c r="O50" i="20"/>
  <c r="AB183" i="20"/>
  <c r="S69" i="20"/>
  <c r="M194" i="20"/>
  <c r="AB51" i="20"/>
  <c r="AB174" i="20"/>
  <c r="I271" i="20"/>
  <c r="W137" i="20"/>
  <c r="U10" i="20"/>
  <c r="J145" i="20"/>
  <c r="AA23" i="20"/>
  <c r="Q155" i="20"/>
  <c r="J41" i="20"/>
  <c r="Y156" i="20"/>
  <c r="AC53" i="20"/>
  <c r="Z270" i="20"/>
  <c r="AA128" i="20"/>
  <c r="W245" i="20"/>
  <c r="P111" i="20"/>
  <c r="S60" i="20"/>
  <c r="S237" i="20"/>
  <c r="J140" i="20"/>
  <c r="T23" i="20"/>
  <c r="I39" i="20"/>
  <c r="AC65" i="20"/>
  <c r="I63" i="20"/>
  <c r="O46" i="20"/>
  <c r="P87" i="20"/>
  <c r="AB139" i="20"/>
  <c r="AA75" i="20"/>
  <c r="W225" i="20"/>
  <c r="J143" i="20"/>
  <c r="X37" i="20"/>
  <c r="W183" i="20"/>
  <c r="Z51" i="20"/>
  <c r="AB196" i="20"/>
  <c r="K71" i="20"/>
  <c r="K202" i="20"/>
  <c r="T66" i="20"/>
  <c r="R177" i="20"/>
  <c r="Z269" i="20"/>
  <c r="Y134" i="20"/>
  <c r="AC276" i="20"/>
  <c r="W143" i="20"/>
  <c r="L22" i="20"/>
  <c r="AC150" i="20"/>
  <c r="R39" i="20"/>
  <c r="AC153" i="20"/>
  <c r="J52" i="20"/>
  <c r="M153" i="20"/>
  <c r="M200" i="20"/>
  <c r="N184" i="20"/>
  <c r="L70" i="20"/>
  <c r="R20" i="20"/>
  <c r="W15" i="20"/>
  <c r="AA50" i="20"/>
  <c r="J25" i="20"/>
  <c r="AC103" i="20"/>
  <c r="I100" i="20"/>
  <c r="W40" i="20"/>
  <c r="O234" i="20"/>
  <c r="X159" i="20"/>
  <c r="U92" i="20"/>
  <c r="I268" i="20"/>
  <c r="V178" i="20"/>
  <c r="S90" i="20"/>
  <c r="AC230" i="20"/>
  <c r="M111" i="20"/>
  <c r="P269" i="20"/>
  <c r="K148" i="20"/>
  <c r="T268" i="20"/>
  <c r="AD110" i="20"/>
  <c r="O226" i="20"/>
  <c r="U70" i="20"/>
  <c r="I197" i="20"/>
  <c r="P37" i="20"/>
  <c r="R192" i="20"/>
  <c r="S202" i="20"/>
  <c r="AC187" i="20"/>
  <c r="Y119" i="20"/>
  <c r="U84" i="20"/>
  <c r="AB69" i="20"/>
  <c r="S228" i="20"/>
  <c r="R18" i="20"/>
  <c r="N27" i="20"/>
  <c r="Z32" i="20"/>
  <c r="U110" i="20"/>
  <c r="AD41" i="20"/>
  <c r="Q235" i="20"/>
  <c r="AB160" i="20"/>
  <c r="AA115" i="20"/>
  <c r="Q11" i="20"/>
  <c r="P181" i="20"/>
  <c r="AD91" i="20"/>
  <c r="P242" i="20"/>
  <c r="L120" i="20"/>
  <c r="Y274" i="20"/>
  <c r="U140" i="20"/>
  <c r="W265" i="20"/>
  <c r="U109" i="20"/>
  <c r="Z205" i="20"/>
  <c r="W68" i="20"/>
  <c r="U186" i="20"/>
  <c r="T33" i="20"/>
  <c r="AB70" i="20"/>
  <c r="X130" i="20"/>
  <c r="Y178" i="20"/>
  <c r="R123" i="20"/>
  <c r="K234" i="20"/>
  <c r="Y143" i="20"/>
  <c r="M75" i="20"/>
  <c r="W235" i="20"/>
  <c r="W20" i="20"/>
  <c r="T16" i="20"/>
  <c r="K16" i="20"/>
  <c r="X186" i="20"/>
  <c r="Q120" i="20"/>
  <c r="T92" i="20"/>
  <c r="L11" i="20"/>
  <c r="M187" i="20"/>
  <c r="U98" i="20"/>
  <c r="T272" i="20"/>
  <c r="AC149" i="20"/>
  <c r="M42" i="20"/>
  <c r="T186" i="20"/>
  <c r="AA227" i="20"/>
  <c r="R87" i="20"/>
  <c r="X180" i="20"/>
  <c r="S39" i="20"/>
  <c r="S140" i="20"/>
  <c r="S10" i="20"/>
  <c r="Z119" i="20"/>
  <c r="N9" i="20"/>
  <c r="N88" i="20"/>
  <c r="U159" i="20"/>
  <c r="I144" i="20"/>
  <c r="J252" i="20"/>
  <c r="I187" i="20"/>
  <c r="AA176" i="20"/>
  <c r="AA149" i="20"/>
  <c r="Y21" i="20"/>
  <c r="Q31" i="20"/>
  <c r="J23" i="20"/>
  <c r="AB188" i="20"/>
  <c r="AA138" i="20"/>
  <c r="M102" i="20"/>
  <c r="U12" i="20"/>
  <c r="Q188" i="20"/>
  <c r="AC106" i="20"/>
  <c r="L227" i="20"/>
  <c r="S162" i="20"/>
  <c r="R45" i="20"/>
  <c r="X191" i="20"/>
  <c r="Q226" i="20"/>
  <c r="I56" i="20"/>
  <c r="O176" i="20"/>
  <c r="V33" i="20"/>
  <c r="J139" i="20"/>
  <c r="P273" i="20"/>
  <c r="AB107" i="20"/>
  <c r="I150" i="20"/>
  <c r="W107" i="20"/>
  <c r="O135" i="20"/>
  <c r="AB186" i="20"/>
  <c r="P189" i="20"/>
  <c r="M64" i="20"/>
  <c r="L77" i="20"/>
  <c r="I55" i="20"/>
  <c r="M58" i="20"/>
  <c r="P39" i="20"/>
  <c r="U46" i="20"/>
  <c r="M244" i="20"/>
  <c r="O194" i="20"/>
  <c r="Z140" i="20"/>
  <c r="N79" i="20"/>
  <c r="Y276" i="20"/>
  <c r="AD158" i="20"/>
  <c r="S204" i="20"/>
  <c r="I43" i="20"/>
  <c r="U112" i="20"/>
  <c r="P195" i="20"/>
  <c r="I16" i="20"/>
  <c r="AC88" i="20"/>
  <c r="Z80" i="20"/>
  <c r="X110" i="20"/>
  <c r="Q139" i="20"/>
  <c r="U114" i="20"/>
  <c r="N72" i="20"/>
  <c r="AB91" i="20"/>
  <c r="R93" i="20"/>
  <c r="X68" i="20"/>
  <c r="U63" i="20"/>
  <c r="N58" i="20"/>
  <c r="K48" i="20"/>
  <c r="Z265" i="20"/>
  <c r="U195" i="20"/>
  <c r="X144" i="20"/>
  <c r="J111" i="20"/>
  <c r="I10" i="20"/>
  <c r="T162" i="20"/>
  <c r="AD202" i="20"/>
  <c r="AD31" i="20"/>
  <c r="AD107" i="20"/>
  <c r="V174" i="20"/>
  <c r="P14" i="20"/>
  <c r="X81" i="20"/>
  <c r="Z100" i="20"/>
  <c r="L114" i="20"/>
  <c r="X154" i="20"/>
  <c r="V87" i="20"/>
  <c r="AA110" i="20"/>
  <c r="W138" i="20"/>
  <c r="U19" i="20"/>
  <c r="L71" i="20"/>
  <c r="S74" i="20"/>
  <c r="O77" i="20"/>
  <c r="S52" i="20"/>
  <c r="AD267" i="20"/>
  <c r="AC197" i="20"/>
  <c r="AD145" i="20"/>
  <c r="Q112" i="20"/>
  <c r="L21" i="20"/>
  <c r="R181" i="20"/>
  <c r="I194" i="20"/>
  <c r="AD29" i="20"/>
  <c r="R96" i="20"/>
  <c r="M162" i="20"/>
  <c r="P12" i="20"/>
  <c r="AD77" i="20"/>
  <c r="N241" i="20"/>
  <c r="R150" i="20"/>
  <c r="U273" i="20"/>
  <c r="O75" i="20"/>
  <c r="P117" i="20"/>
  <c r="J141" i="20"/>
  <c r="U31" i="20"/>
  <c r="Q72" i="20"/>
  <c r="U78" i="20"/>
  <c r="P81" i="20"/>
  <c r="Z62" i="20"/>
  <c r="X34" i="20"/>
  <c r="K199" i="20"/>
  <c r="J176" i="20"/>
  <c r="W113" i="20"/>
  <c r="U24" i="20"/>
  <c r="AD192" i="20"/>
  <c r="P179" i="20"/>
  <c r="R12" i="20"/>
  <c r="S94" i="20"/>
  <c r="Z159" i="20"/>
  <c r="AC244" i="20"/>
  <c r="I76" i="20"/>
  <c r="I9" i="20"/>
  <c r="E19" i="22" s="1"/>
  <c r="AC264" i="20"/>
  <c r="AA273" i="20"/>
  <c r="J44" i="20"/>
  <c r="K178" i="20"/>
  <c r="T62" i="20"/>
  <c r="AB175" i="20"/>
  <c r="L146" i="20"/>
  <c r="AD23" i="20"/>
  <c r="L50" i="20"/>
  <c r="AD152" i="20"/>
  <c r="M156" i="20"/>
  <c r="T145" i="20"/>
  <c r="AC90" i="20"/>
  <c r="I42" i="20"/>
  <c r="W244" i="20"/>
  <c r="Q181" i="20"/>
  <c r="S82" i="20"/>
  <c r="N268" i="20"/>
  <c r="K114" i="20"/>
  <c r="T198" i="20"/>
  <c r="L20" i="20"/>
  <c r="R109" i="20"/>
  <c r="R198" i="20"/>
  <c r="O12" i="20"/>
  <c r="M9" i="20"/>
  <c r="J273" i="20"/>
  <c r="J101" i="20"/>
  <c r="Y88" i="20"/>
  <c r="W110" i="20"/>
  <c r="I67" i="20"/>
  <c r="R13" i="20"/>
  <c r="N81" i="20"/>
  <c r="R29" i="20"/>
  <c r="S62" i="20"/>
  <c r="I154" i="20"/>
  <c r="O157" i="20"/>
  <c r="X146" i="20"/>
  <c r="O118" i="20"/>
  <c r="S48" i="20"/>
  <c r="W182" i="20"/>
  <c r="L84" i="20"/>
  <c r="Z276" i="20"/>
  <c r="L100" i="20"/>
  <c r="K197" i="20"/>
  <c r="J16" i="20"/>
  <c r="AC107" i="20"/>
  <c r="U174" i="20"/>
  <c r="R10" i="20"/>
  <c r="K153" i="20"/>
  <c r="U125" i="20"/>
  <c r="AD138" i="20"/>
  <c r="S92" i="20"/>
  <c r="W141" i="20"/>
  <c r="S33" i="20"/>
  <c r="S78" i="20"/>
  <c r="T30" i="20"/>
  <c r="AC64" i="20"/>
  <c r="R183" i="20"/>
  <c r="Q158" i="20"/>
  <c r="J149" i="20"/>
  <c r="S119" i="20"/>
  <c r="R53" i="20"/>
  <c r="AD266" i="20"/>
  <c r="M185" i="20"/>
  <c r="AB88" i="20"/>
  <c r="J10" i="20"/>
  <c r="N98" i="20"/>
  <c r="W189" i="20"/>
  <c r="R9" i="20"/>
  <c r="Z92" i="20"/>
  <c r="AB150" i="20"/>
  <c r="J276" i="20"/>
  <c r="O149" i="20"/>
  <c r="L150" i="20"/>
  <c r="AA77" i="20"/>
  <c r="T178" i="20"/>
  <c r="Y94" i="20"/>
  <c r="N75" i="20"/>
  <c r="V31" i="20"/>
  <c r="AD69" i="20"/>
  <c r="AD189" i="20"/>
  <c r="U184" i="20"/>
  <c r="N150" i="20"/>
  <c r="Y127" i="20"/>
  <c r="W56" i="20"/>
  <c r="S19" i="20"/>
  <c r="S186" i="20"/>
  <c r="I107" i="20"/>
  <c r="M21" i="20"/>
  <c r="S96" i="20"/>
  <c r="W174" i="20"/>
  <c r="AB276" i="20"/>
  <c r="AA90" i="20"/>
  <c r="AD147" i="20"/>
  <c r="U142" i="20"/>
  <c r="AD237" i="20"/>
  <c r="R180" i="20"/>
  <c r="Y99" i="20"/>
  <c r="X70" i="20"/>
  <c r="L204" i="20"/>
  <c r="V152" i="20"/>
  <c r="W72" i="20"/>
  <c r="Q203" i="20"/>
  <c r="AC22" i="20"/>
  <c r="AA156" i="20"/>
  <c r="Y81" i="20"/>
  <c r="O272" i="20"/>
  <c r="AB56" i="20"/>
  <c r="T83" i="20"/>
  <c r="W185" i="20"/>
  <c r="AC128" i="20"/>
  <c r="K21" i="20"/>
  <c r="U108" i="20"/>
  <c r="W94" i="20"/>
  <c r="L272" i="20"/>
  <c r="Q146" i="20"/>
  <c r="Q68" i="20"/>
  <c r="O38" i="20"/>
  <c r="V107" i="20"/>
  <c r="V13" i="20"/>
  <c r="N182" i="20"/>
  <c r="K56" i="20"/>
  <c r="P42" i="20"/>
  <c r="O15" i="20"/>
  <c r="R32" i="20"/>
  <c r="AA29" i="20"/>
  <c r="T12" i="20"/>
  <c r="I242" i="20"/>
  <c r="AA184" i="20"/>
  <c r="N125" i="20"/>
  <c r="T61" i="20"/>
  <c r="N252" i="20"/>
  <c r="N142" i="20"/>
  <c r="Q232" i="20"/>
  <c r="AA46" i="20"/>
  <c r="S118" i="20"/>
  <c r="S198" i="20"/>
  <c r="Z25" i="20"/>
  <c r="AA122" i="20"/>
  <c r="Z211" i="20"/>
  <c r="Q65" i="20"/>
  <c r="R137" i="20"/>
  <c r="T31" i="20"/>
  <c r="J40" i="20"/>
  <c r="X111" i="20"/>
  <c r="V237" i="20"/>
  <c r="Z88" i="20"/>
  <c r="I133" i="20"/>
  <c r="X195" i="20"/>
  <c r="N54" i="20"/>
  <c r="AA44" i="20"/>
  <c r="W233" i="20"/>
  <c r="Q269" i="20"/>
  <c r="S135" i="20"/>
  <c r="AB195" i="20"/>
  <c r="V32" i="20"/>
  <c r="AB43" i="20"/>
  <c r="Y112" i="20"/>
  <c r="K243" i="20"/>
  <c r="Y93" i="20"/>
  <c r="AA140" i="20"/>
  <c r="X204" i="20"/>
  <c r="P52" i="20"/>
  <c r="AA25" i="20"/>
  <c r="O211" i="20"/>
  <c r="L196" i="20"/>
  <c r="S25" i="20"/>
  <c r="Z105" i="20"/>
  <c r="M237" i="20"/>
  <c r="AB72" i="20"/>
  <c r="J129" i="20"/>
  <c r="W80" i="20"/>
  <c r="U145" i="20"/>
  <c r="Z234" i="20"/>
  <c r="O29" i="20"/>
  <c r="Z236" i="20"/>
  <c r="Q152" i="20"/>
  <c r="Q124" i="20"/>
  <c r="L74" i="20"/>
  <c r="U9" i="20"/>
  <c r="O14" i="20"/>
  <c r="K65" i="20"/>
  <c r="AD150" i="20"/>
  <c r="U268" i="20"/>
  <c r="Y109" i="20"/>
  <c r="X196" i="20"/>
  <c r="T237" i="20"/>
  <c r="X83" i="20"/>
  <c r="X61" i="20"/>
  <c r="AA188" i="20"/>
  <c r="AB107" i="21"/>
  <c r="S196" i="21"/>
  <c r="U228" i="21"/>
  <c r="P179" i="21"/>
  <c r="S44" i="21"/>
  <c r="I38" i="21"/>
  <c r="L88" i="21"/>
  <c r="W88" i="21"/>
  <c r="I39" i="21"/>
  <c r="O236" i="21"/>
  <c r="M91" i="21"/>
  <c r="W232" i="21"/>
  <c r="Q81" i="21"/>
  <c r="Y153" i="21"/>
  <c r="L237" i="21"/>
  <c r="K134" i="21"/>
  <c r="J80" i="21"/>
  <c r="T211" i="21"/>
  <c r="P127" i="21"/>
  <c r="T75" i="21"/>
  <c r="I205" i="21"/>
  <c r="AA124" i="21"/>
  <c r="Q70" i="21"/>
  <c r="R20" i="21"/>
  <c r="S193" i="21"/>
  <c r="P115" i="21"/>
  <c r="Z59" i="21"/>
  <c r="U195" i="21"/>
  <c r="Z111" i="21"/>
  <c r="I54" i="21"/>
  <c r="I211" i="21"/>
  <c r="P121" i="21"/>
  <c r="Q62" i="21"/>
  <c r="I134" i="21"/>
  <c r="U84" i="21"/>
  <c r="P95" i="21"/>
  <c r="S42" i="21"/>
  <c r="AD27" i="21"/>
  <c r="Z36" i="21"/>
  <c r="S66" i="21"/>
  <c r="R78" i="21"/>
  <c r="R10" i="21"/>
  <c r="Y113" i="21"/>
  <c r="AA24" i="21"/>
  <c r="V115" i="21"/>
  <c r="K25" i="21"/>
  <c r="V129" i="21"/>
  <c r="O181" i="21"/>
  <c r="AC106" i="21"/>
  <c r="S276" i="21"/>
  <c r="T158" i="21"/>
  <c r="S102" i="21"/>
  <c r="J162" i="21"/>
  <c r="S99" i="21"/>
  <c r="AC45" i="21"/>
  <c r="Z248" i="21"/>
  <c r="W146" i="21"/>
  <c r="I89" i="21"/>
  <c r="P270" i="21"/>
  <c r="S148" i="21"/>
  <c r="Y85" i="21"/>
  <c r="X29" i="21"/>
  <c r="AC156" i="21"/>
  <c r="I92" i="21"/>
  <c r="P137" i="21"/>
  <c r="AD118" i="21"/>
  <c r="Y129" i="21"/>
  <c r="R180" i="21"/>
  <c r="R53" i="21"/>
  <c r="N66" i="21"/>
  <c r="N77" i="21"/>
  <c r="AB88" i="21"/>
  <c r="M23" i="21"/>
  <c r="V126" i="21"/>
  <c r="K32" i="21"/>
  <c r="R129" i="21"/>
  <c r="L33" i="21"/>
  <c r="V143" i="21"/>
  <c r="O179" i="21"/>
  <c r="M105" i="21"/>
  <c r="S270" i="21"/>
  <c r="Q156" i="21"/>
  <c r="T100" i="21"/>
  <c r="Z273" i="21"/>
  <c r="P158" i="21"/>
  <c r="Y97" i="21"/>
  <c r="N44" i="21"/>
  <c r="X244" i="21"/>
  <c r="J144" i="21"/>
  <c r="J87" i="21"/>
  <c r="O267" i="21"/>
  <c r="Z145" i="21"/>
  <c r="X83" i="21"/>
  <c r="AC27" i="21"/>
  <c r="N154" i="21"/>
  <c r="J90" i="21"/>
  <c r="Z26" i="21"/>
  <c r="J153" i="21"/>
  <c r="Q175" i="21"/>
  <c r="X246" i="21"/>
  <c r="T74" i="21"/>
  <c r="W86" i="21"/>
  <c r="Q88" i="21"/>
  <c r="AD99" i="21"/>
  <c r="I31" i="21"/>
  <c r="U139" i="21"/>
  <c r="I41" i="21"/>
  <c r="K141" i="21"/>
  <c r="U50" i="21"/>
  <c r="V176" i="21"/>
  <c r="K103" i="21"/>
  <c r="Z267" i="21"/>
  <c r="AC153" i="21"/>
  <c r="AC96" i="21"/>
  <c r="AA270" i="21"/>
  <c r="AA155" i="21"/>
  <c r="X95" i="21"/>
  <c r="T40" i="21"/>
  <c r="I242" i="21"/>
  <c r="Z141" i="21"/>
  <c r="N83" i="21"/>
  <c r="Q264" i="21"/>
  <c r="M143" i="21"/>
  <c r="U81" i="21"/>
  <c r="J273" i="21"/>
  <c r="R151" i="21"/>
  <c r="Y87" i="21"/>
  <c r="W51" i="21"/>
  <c r="O175" i="21"/>
  <c r="O131" i="21"/>
  <c r="Y107" i="21"/>
  <c r="L22" i="21"/>
  <c r="T66" i="21"/>
  <c r="I100" i="21"/>
  <c r="I68" i="21"/>
  <c r="K50" i="21"/>
  <c r="AC24" i="21"/>
  <c r="T240" i="21"/>
  <c r="Y118" i="21"/>
  <c r="Q265" i="21"/>
  <c r="V139" i="21"/>
  <c r="M81" i="21"/>
  <c r="K197" i="21"/>
  <c r="W107" i="21"/>
  <c r="Y38" i="21"/>
  <c r="L228" i="21"/>
  <c r="X119" i="21"/>
  <c r="O52" i="21"/>
  <c r="M160" i="21"/>
  <c r="M77" i="21"/>
  <c r="P244" i="21"/>
  <c r="Z125" i="21"/>
  <c r="AD53" i="21"/>
  <c r="T200" i="21"/>
  <c r="O110" i="21"/>
  <c r="AB51" i="21"/>
  <c r="AD276" i="21"/>
  <c r="S156" i="21"/>
  <c r="M93" i="21"/>
  <c r="I196" i="21"/>
  <c r="I114" i="21"/>
  <c r="Z57" i="21"/>
  <c r="M12" i="21"/>
  <c r="X176" i="21"/>
  <c r="N99" i="21"/>
  <c r="Y44" i="21"/>
  <c r="N195" i="21"/>
  <c r="S101" i="21"/>
  <c r="AB35" i="21"/>
  <c r="O107" i="21"/>
  <c r="V53" i="21"/>
  <c r="R35" i="21"/>
  <c r="K88" i="21"/>
  <c r="I30" i="21"/>
  <c r="M139" i="21"/>
  <c r="AD88" i="21"/>
  <c r="Z69" i="21"/>
  <c r="L32" i="21"/>
  <c r="R240" i="21"/>
  <c r="AD273" i="21"/>
  <c r="AC149" i="21"/>
  <c r="Y81" i="21"/>
  <c r="V197" i="21"/>
  <c r="AD107" i="21"/>
  <c r="R265" i="21"/>
  <c r="T135" i="21"/>
  <c r="Q72" i="21"/>
  <c r="N14" i="21"/>
  <c r="R154" i="21"/>
  <c r="T79" i="21"/>
  <c r="T232" i="21"/>
  <c r="N114" i="21"/>
  <c r="P44" i="21"/>
  <c r="AB180" i="21"/>
  <c r="W83" i="21"/>
  <c r="AB272" i="21"/>
  <c r="K144" i="21"/>
  <c r="I77" i="21"/>
  <c r="J26" i="21"/>
  <c r="S203" i="21"/>
  <c r="N120" i="21"/>
  <c r="I252" i="21"/>
  <c r="Z142" i="21"/>
  <c r="L83" i="21"/>
  <c r="Y30" i="21"/>
  <c r="AD227" i="21"/>
  <c r="AA126" i="21"/>
  <c r="N69" i="21"/>
  <c r="I268" i="21"/>
  <c r="AB27" i="21"/>
  <c r="J35" i="21"/>
  <c r="U121" i="21"/>
  <c r="K193" i="21"/>
  <c r="AC29" i="21"/>
  <c r="AD112" i="21"/>
  <c r="X182" i="21"/>
  <c r="AD268" i="21"/>
  <c r="M269" i="21"/>
  <c r="O187" i="21"/>
  <c r="P271" i="21"/>
  <c r="Q138" i="21"/>
  <c r="M69" i="21"/>
  <c r="U151" i="21"/>
  <c r="T84" i="21"/>
  <c r="R194" i="21"/>
  <c r="T101" i="21"/>
  <c r="L30" i="21"/>
  <c r="AD187" i="21"/>
  <c r="AC94" i="21"/>
  <c r="M238" i="21"/>
  <c r="S109" i="21"/>
  <c r="T38" i="21"/>
  <c r="J143" i="21"/>
  <c r="V66" i="21"/>
  <c r="V107" i="21"/>
  <c r="W45" i="21"/>
  <c r="V245" i="21"/>
  <c r="U135" i="21"/>
  <c r="X274" i="21"/>
  <c r="AC148" i="21"/>
  <c r="Z80" i="21"/>
  <c r="N25" i="21"/>
  <c r="Y195" i="21"/>
  <c r="AA108" i="21"/>
  <c r="I49" i="21"/>
  <c r="P191" i="21"/>
  <c r="K96" i="21"/>
  <c r="S29" i="21"/>
  <c r="X194" i="21"/>
  <c r="R101" i="21"/>
  <c r="J38" i="21"/>
  <c r="T226" i="21"/>
  <c r="Y187" i="21"/>
  <c r="L96" i="21"/>
  <c r="I34" i="21"/>
  <c r="P100" i="21"/>
  <c r="AB29" i="21"/>
  <c r="Z180" i="21"/>
  <c r="O81" i="21"/>
  <c r="S139" i="21"/>
  <c r="Z60" i="21"/>
  <c r="Z205" i="21"/>
  <c r="U86" i="21"/>
  <c r="M15" i="21"/>
  <c r="S120" i="21"/>
  <c r="R34" i="21"/>
  <c r="S150" i="21"/>
  <c r="J24" i="21"/>
  <c r="I124" i="21"/>
  <c r="N34" i="21"/>
  <c r="V140" i="21"/>
  <c r="J151" i="21"/>
  <c r="L59" i="21"/>
  <c r="P104" i="21"/>
  <c r="K14" i="21"/>
  <c r="N109" i="21"/>
  <c r="Y22" i="21"/>
  <c r="K125" i="21"/>
  <c r="S32" i="21"/>
  <c r="K142" i="21"/>
  <c r="AC43" i="21"/>
  <c r="S174" i="21"/>
  <c r="Y54" i="21"/>
  <c r="I197" i="21"/>
  <c r="X67" i="21"/>
  <c r="AC235" i="21"/>
  <c r="N81" i="21"/>
  <c r="Q272" i="21"/>
  <c r="Y95" i="21"/>
  <c r="U15" i="21"/>
  <c r="I111" i="21"/>
  <c r="AD23" i="21"/>
  <c r="I127" i="21"/>
  <c r="V33" i="21"/>
  <c r="M144" i="21"/>
  <c r="AC44" i="21"/>
  <c r="J177" i="21"/>
  <c r="M57" i="21"/>
  <c r="U199" i="21"/>
  <c r="Y69" i="21"/>
  <c r="U237" i="21"/>
  <c r="AC240" i="21"/>
  <c r="AA198" i="21"/>
  <c r="Y160" i="21"/>
  <c r="Z211" i="21"/>
  <c r="S179" i="21"/>
  <c r="R276" i="21"/>
  <c r="K233" i="21"/>
  <c r="P246" i="21"/>
  <c r="AA200" i="21"/>
  <c r="R160" i="21"/>
  <c r="T274" i="21"/>
  <c r="W229" i="21"/>
  <c r="AB184" i="21"/>
  <c r="U144" i="21"/>
  <c r="I237" i="21"/>
  <c r="U190" i="21"/>
  <c r="P146" i="21"/>
  <c r="P118" i="21"/>
  <c r="O240" i="21"/>
  <c r="AA188" i="21"/>
  <c r="AC145" i="21"/>
  <c r="L264" i="21"/>
  <c r="R200" i="21"/>
  <c r="W154" i="21"/>
  <c r="N124" i="21"/>
  <c r="V96" i="21"/>
  <c r="T70" i="21"/>
  <c r="R44" i="21"/>
  <c r="V241" i="21"/>
  <c r="W189" i="21"/>
  <c r="AC143" i="21"/>
  <c r="V116" i="21"/>
  <c r="O90" i="21"/>
  <c r="M64" i="21"/>
  <c r="AC53" i="21"/>
  <c r="I64" i="21"/>
  <c r="X72" i="21"/>
  <c r="P56" i="21"/>
  <c r="X38" i="21"/>
  <c r="AA233" i="21"/>
  <c r="AA268" i="21"/>
  <c r="AC239" i="21"/>
  <c r="I240" i="21"/>
  <c r="I273" i="21"/>
  <c r="K201" i="21"/>
  <c r="Z97" i="21"/>
  <c r="M231" i="21"/>
  <c r="Z115" i="21"/>
  <c r="Q54" i="21"/>
  <c r="P133" i="21"/>
  <c r="Y62" i="21"/>
  <c r="V269" i="21"/>
  <c r="L128" i="21"/>
  <c r="K56" i="21"/>
  <c r="R157" i="21"/>
  <c r="AA68" i="21"/>
  <c r="N226" i="21"/>
  <c r="L105" i="21"/>
  <c r="Y34" i="21"/>
  <c r="N150" i="21"/>
  <c r="Y74" i="21"/>
  <c r="Z20" i="21"/>
  <c r="W187" i="21"/>
  <c r="U102" i="21"/>
  <c r="Q202" i="21"/>
  <c r="U111" i="21"/>
  <c r="L51" i="21"/>
  <c r="R268" i="21"/>
  <c r="Y142" i="21"/>
  <c r="S78" i="21"/>
  <c r="AB276" i="21"/>
  <c r="AA134" i="21"/>
  <c r="O63" i="21"/>
  <c r="W276" i="21"/>
  <c r="J138" i="21"/>
  <c r="N68" i="21"/>
  <c r="V14" i="21"/>
  <c r="T264" i="21"/>
  <c r="I132" i="21"/>
  <c r="Q63" i="21"/>
  <c r="M11" i="21"/>
  <c r="Q142" i="21"/>
  <c r="AA62" i="21"/>
  <c r="R266" i="21"/>
  <c r="AA120" i="21"/>
  <c r="AA204" i="21"/>
  <c r="I98" i="21"/>
  <c r="M28" i="21"/>
  <c r="U177" i="21"/>
  <c r="S132" i="21"/>
  <c r="U46" i="21"/>
  <c r="M189" i="21"/>
  <c r="S75" i="21"/>
  <c r="AB244" i="21"/>
  <c r="V93" i="21"/>
  <c r="S194" i="21"/>
  <c r="P75" i="21"/>
  <c r="V237" i="21"/>
  <c r="M245" i="21"/>
  <c r="L101" i="21"/>
  <c r="O24" i="21"/>
  <c r="K15" i="21"/>
  <c r="S54" i="21"/>
  <c r="T196" i="21"/>
  <c r="L67" i="21"/>
  <c r="AA234" i="21"/>
  <c r="U80" i="21"/>
  <c r="K271" i="21"/>
  <c r="AB94" i="21"/>
  <c r="P14" i="21"/>
  <c r="X109" i="21"/>
  <c r="AD22" i="21"/>
  <c r="K126" i="21"/>
  <c r="AD32" i="21"/>
  <c r="N143" i="21"/>
  <c r="W44" i="21"/>
  <c r="T176" i="21"/>
  <c r="W56" i="21"/>
  <c r="K198" i="21"/>
  <c r="P69" i="21"/>
  <c r="X236" i="21"/>
  <c r="V82" i="21"/>
  <c r="J274" i="21"/>
  <c r="S96" i="21"/>
  <c r="I16" i="21"/>
  <c r="X111" i="21"/>
  <c r="V24" i="21"/>
  <c r="N127" i="21"/>
  <c r="S268" i="21"/>
  <c r="Q228" i="21"/>
  <c r="O186" i="21"/>
  <c r="M148" i="21"/>
  <c r="AB236" i="21"/>
  <c r="W193" i="21"/>
  <c r="Q154" i="21"/>
  <c r="Y276" i="21"/>
  <c r="J232" i="21"/>
  <c r="M187" i="21"/>
  <c r="AA146" i="21"/>
  <c r="O246" i="21"/>
  <c r="W199" i="21"/>
  <c r="N159" i="21"/>
  <c r="K269" i="21"/>
  <c r="S205" i="21"/>
  <c r="W175" i="21"/>
  <c r="AB130" i="21"/>
  <c r="AC269" i="21"/>
  <c r="AD162" i="21"/>
  <c r="T132" i="21"/>
  <c r="L233" i="21"/>
  <c r="AC182" i="21"/>
  <c r="AD138" i="21"/>
  <c r="L110" i="21"/>
  <c r="J84" i="21"/>
  <c r="AD56" i="21"/>
  <c r="U272" i="21"/>
  <c r="AA205" i="21"/>
  <c r="P162" i="21"/>
  <c r="W129" i="21"/>
  <c r="AA102" i="21"/>
  <c r="Y76" i="21"/>
  <c r="W50" i="21"/>
  <c r="U53" i="21"/>
  <c r="K232" i="21"/>
  <c r="Y190" i="21"/>
  <c r="N180" i="21"/>
  <c r="M16" i="21"/>
  <c r="J113" i="21"/>
  <c r="L186" i="21"/>
  <c r="R11" i="21"/>
  <c r="V11" i="21"/>
  <c r="AA244" i="21"/>
  <c r="V122" i="21"/>
  <c r="N241" i="21"/>
  <c r="I120" i="21"/>
  <c r="T252" i="21"/>
  <c r="X122" i="21"/>
  <c r="R51" i="21"/>
  <c r="T201" i="21"/>
  <c r="AA98" i="21"/>
  <c r="P235" i="21"/>
  <c r="U100" i="21"/>
  <c r="M267" i="21"/>
  <c r="I119" i="21"/>
  <c r="P40" i="21"/>
  <c r="X153" i="21"/>
  <c r="K70" i="21"/>
  <c r="Q14" i="21"/>
  <c r="K153" i="21"/>
  <c r="AC81" i="21"/>
  <c r="O155" i="21"/>
  <c r="W78" i="21"/>
  <c r="I20" i="21"/>
  <c r="Z179" i="21"/>
  <c r="L90" i="21"/>
  <c r="Y28" i="21"/>
  <c r="K138" i="21"/>
  <c r="O55" i="21"/>
  <c r="K242" i="21"/>
  <c r="W119" i="21"/>
  <c r="AC47" i="21"/>
  <c r="L234" i="21"/>
  <c r="P184" i="21"/>
  <c r="AC87" i="21"/>
  <c r="T23" i="21"/>
  <c r="S176" i="21"/>
  <c r="AB71" i="21"/>
  <c r="AB270" i="21"/>
  <c r="Z113" i="21"/>
  <c r="U186" i="21"/>
  <c r="AD78" i="21"/>
  <c r="U11" i="21"/>
  <c r="P233" i="21"/>
  <c r="AC82" i="21"/>
  <c r="J101" i="21"/>
  <c r="L15" i="21"/>
  <c r="U108" i="21"/>
  <c r="M200" i="21"/>
  <c r="J68" i="21"/>
  <c r="I200" i="21"/>
  <c r="V195" i="21"/>
  <c r="L72" i="21"/>
  <c r="W269" i="21"/>
  <c r="X16" i="21"/>
  <c r="AC124" i="21"/>
  <c r="P39" i="21"/>
  <c r="L181" i="21"/>
  <c r="M67" i="21"/>
  <c r="U252" i="21"/>
  <c r="AA103" i="21"/>
  <c r="K26" i="21"/>
  <c r="M142" i="21"/>
  <c r="S51" i="21"/>
  <c r="AC203" i="21"/>
  <c r="Z85" i="21"/>
  <c r="T15" i="21"/>
  <c r="V121" i="21"/>
  <c r="AB36" i="21"/>
  <c r="U176" i="21"/>
  <c r="P64" i="21"/>
  <c r="Z266" i="21"/>
  <c r="AC101" i="21"/>
  <c r="S24" i="21"/>
  <c r="Z138" i="21"/>
  <c r="AD48" i="21"/>
  <c r="V211" i="21"/>
  <c r="Q83" i="21"/>
  <c r="Z276" i="21"/>
  <c r="V233" i="21"/>
  <c r="R189" i="21"/>
  <c r="N149" i="21"/>
  <c r="X234" i="21"/>
  <c r="N189" i="21"/>
  <c r="AB147" i="21"/>
  <c r="S237" i="21"/>
  <c r="X252" i="21"/>
  <c r="X199" i="21"/>
  <c r="I157" i="21"/>
  <c r="V268" i="21"/>
  <c r="P205" i="21"/>
  <c r="W174" i="21"/>
  <c r="Q270" i="21"/>
  <c r="AC202" i="21"/>
  <c r="S157" i="21"/>
  <c r="V124" i="21"/>
  <c r="T245" i="21"/>
  <c r="N191" i="21"/>
  <c r="Y144" i="21"/>
  <c r="AB245" i="21"/>
  <c r="X193" i="21"/>
  <c r="N145" i="21"/>
  <c r="Q113" i="21"/>
  <c r="K85" i="21"/>
  <c r="AB54" i="21"/>
  <c r="AC266" i="21"/>
  <c r="X197" i="21"/>
  <c r="M149" i="21"/>
  <c r="Z118" i="21"/>
  <c r="N89" i="21"/>
  <c r="J61" i="21"/>
  <c r="Y207" i="21"/>
  <c r="AA157" i="21"/>
  <c r="T125" i="21"/>
  <c r="R96" i="21"/>
  <c r="AB66" i="21"/>
  <c r="R38" i="21"/>
  <c r="I269" i="21"/>
  <c r="X200" i="21"/>
  <c r="P153" i="21"/>
  <c r="X120" i="21"/>
  <c r="Y90" i="21"/>
  <c r="O62" i="21"/>
  <c r="AC34" i="21"/>
  <c r="L190" i="21"/>
  <c r="J137" i="21"/>
  <c r="S103" i="21"/>
  <c r="K71" i="21"/>
  <c r="Q41" i="21"/>
  <c r="Z12" i="21"/>
  <c r="Q201" i="21"/>
  <c r="R122" i="21"/>
  <c r="N72" i="21"/>
  <c r="Y13" i="21"/>
  <c r="O152" i="21"/>
  <c r="V114" i="21"/>
  <c r="AD106" i="21"/>
  <c r="U13" i="21"/>
  <c r="K19" i="21"/>
  <c r="AC248" i="21"/>
  <c r="AC110" i="21"/>
  <c r="T57" i="21"/>
  <c r="U126" i="21"/>
  <c r="L202" i="21"/>
  <c r="K33" i="21"/>
  <c r="O33" i="21"/>
  <c r="Z159" i="21"/>
  <c r="L78" i="21"/>
  <c r="AD175" i="21"/>
  <c r="AA82" i="21"/>
  <c r="I184" i="21"/>
  <c r="L82" i="21"/>
  <c r="Z15" i="21"/>
  <c r="AA136" i="21"/>
  <c r="AA61" i="21"/>
  <c r="V151" i="21"/>
  <c r="R60" i="21"/>
  <c r="Y189" i="21"/>
  <c r="M75" i="21"/>
  <c r="AB232" i="21"/>
  <c r="P105" i="21"/>
  <c r="Q39" i="21"/>
  <c r="T229" i="21"/>
  <c r="L115" i="21"/>
  <c r="I228" i="21"/>
  <c r="Z116" i="21"/>
  <c r="AB46" i="21"/>
  <c r="AD240" i="21"/>
  <c r="L124" i="21"/>
  <c r="W57" i="21"/>
  <c r="Y202" i="21"/>
  <c r="L93" i="21"/>
  <c r="R23" i="21"/>
  <c r="O176" i="21"/>
  <c r="M82" i="21"/>
  <c r="X19" i="21"/>
  <c r="X268" i="21"/>
  <c r="AB125" i="21"/>
  <c r="AC52" i="21"/>
  <c r="X266" i="21"/>
  <c r="AA113" i="21"/>
  <c r="U34" i="21"/>
  <c r="L176" i="21"/>
  <c r="AA71" i="21"/>
  <c r="AA121" i="21"/>
  <c r="AD40" i="21"/>
  <c r="AA190" i="21"/>
  <c r="W136" i="21"/>
  <c r="AD39" i="21"/>
  <c r="AD155" i="21"/>
  <c r="N52" i="21"/>
  <c r="R184" i="21"/>
  <c r="O34" i="21"/>
  <c r="M120" i="21"/>
  <c r="I24" i="21"/>
  <c r="Y115" i="21"/>
  <c r="Z120" i="21"/>
  <c r="J32" i="21"/>
  <c r="Y21" i="21"/>
  <c r="AB62" i="21"/>
  <c r="R241" i="21"/>
  <c r="U94" i="21"/>
  <c r="AD19" i="21"/>
  <c r="AD129" i="21"/>
  <c r="M47" i="21"/>
  <c r="AD196" i="21"/>
  <c r="T76" i="21"/>
  <c r="O9" i="21"/>
  <c r="AA109" i="21"/>
  <c r="AA29" i="21"/>
  <c r="AB156" i="21"/>
  <c r="O60" i="21"/>
  <c r="V236" i="21"/>
  <c r="T91" i="21"/>
  <c r="P18" i="21"/>
  <c r="O133" i="21"/>
  <c r="AB44" i="21"/>
  <c r="P192" i="21"/>
  <c r="O73" i="21"/>
  <c r="K274" i="21"/>
  <c r="Q106" i="21"/>
  <c r="AB30" i="21"/>
  <c r="X152" i="21"/>
  <c r="M252" i="21"/>
  <c r="I204" i="21"/>
  <c r="AA174" i="21"/>
  <c r="AA252" i="21"/>
  <c r="T204" i="21"/>
  <c r="I174" i="21"/>
  <c r="Y266" i="21"/>
  <c r="P211" i="21"/>
  <c r="N233" i="21"/>
  <c r="AD184" i="21"/>
  <c r="S142" i="21"/>
  <c r="L239" i="21"/>
  <c r="S189" i="21"/>
  <c r="Y146" i="21"/>
  <c r="Y235" i="21"/>
  <c r="AA186" i="21"/>
  <c r="R139" i="21"/>
  <c r="I226" i="21"/>
  <c r="M175" i="21"/>
  <c r="R130" i="21"/>
  <c r="U227" i="21"/>
  <c r="Z174" i="21"/>
  <c r="V128" i="21"/>
  <c r="X98" i="21"/>
  <c r="S69" i="21"/>
  <c r="O41" i="21"/>
  <c r="J233" i="21"/>
  <c r="J180" i="21"/>
  <c r="J133" i="21"/>
  <c r="AB103" i="21"/>
  <c r="W74" i="21"/>
  <c r="S46" i="21"/>
  <c r="L241" i="21"/>
  <c r="AD188" i="21"/>
  <c r="T140" i="21"/>
  <c r="J110" i="21"/>
  <c r="Z82" i="21"/>
  <c r="J52" i="21"/>
  <c r="S25" i="21"/>
  <c r="T236" i="21"/>
  <c r="I183" i="21"/>
  <c r="L135" i="21"/>
  <c r="W106" i="21"/>
  <c r="AD75" i="21"/>
  <c r="W48" i="21"/>
  <c r="X118" i="21"/>
  <c r="L243" i="21"/>
  <c r="AC13" i="21"/>
  <c r="Z46" i="21"/>
  <c r="AB47" i="21"/>
  <c r="AB201" i="21"/>
  <c r="W59" i="21"/>
  <c r="W115" i="21"/>
  <c r="AB268" i="21"/>
  <c r="T126" i="21"/>
  <c r="T238" i="21"/>
  <c r="AD109" i="21"/>
  <c r="L232" i="21"/>
  <c r="Y103" i="21"/>
  <c r="AD21" i="21"/>
  <c r="L139" i="21"/>
  <c r="T50" i="21"/>
  <c r="V130" i="21"/>
  <c r="Q42" i="21"/>
  <c r="Z132" i="21"/>
  <c r="O44" i="21"/>
  <c r="I147" i="21"/>
  <c r="P63" i="21"/>
  <c r="R269" i="21"/>
  <c r="I130" i="21"/>
  <c r="AA237" i="21"/>
  <c r="N119" i="21"/>
  <c r="Y42" i="21"/>
  <c r="R106" i="21"/>
  <c r="S36" i="21"/>
  <c r="I145" i="21"/>
  <c r="AB52" i="21"/>
  <c r="L230" i="21"/>
  <c r="S104" i="21"/>
  <c r="R29" i="21"/>
  <c r="U179" i="21"/>
  <c r="Y128" i="21"/>
  <c r="I48" i="21"/>
  <c r="W233" i="21"/>
  <c r="AB90" i="21"/>
  <c r="AD14" i="21"/>
  <c r="K124" i="21"/>
  <c r="O182" i="21"/>
  <c r="X69" i="21"/>
  <c r="Z239" i="21"/>
  <c r="R162" i="21"/>
  <c r="P52" i="21"/>
  <c r="O162" i="21"/>
  <c r="Q46" i="21"/>
  <c r="S145" i="21"/>
  <c r="J86" i="21"/>
  <c r="V227" i="21"/>
  <c r="M190" i="21"/>
  <c r="AD61" i="21"/>
  <c r="Y61" i="21"/>
  <c r="O39" i="21"/>
  <c r="U202" i="21"/>
  <c r="K89" i="21"/>
  <c r="Y25" i="21"/>
  <c r="Q174" i="21"/>
  <c r="O71" i="21"/>
  <c r="AD11" i="21"/>
  <c r="X130" i="21"/>
  <c r="Z54" i="21"/>
  <c r="O265" i="21"/>
  <c r="AC109" i="21"/>
  <c r="AA36" i="21"/>
  <c r="AC197" i="21"/>
  <c r="Y86" i="21"/>
  <c r="L27" i="21"/>
  <c r="I158" i="21"/>
  <c r="T69" i="21"/>
  <c r="P13" i="21"/>
  <c r="K127" i="21"/>
  <c r="P53" i="21"/>
  <c r="U246" i="21"/>
  <c r="Y106" i="21"/>
  <c r="R267" i="21"/>
  <c r="L211" i="21"/>
  <c r="AB175" i="21"/>
  <c r="W246" i="21"/>
  <c r="L200" i="21"/>
  <c r="S155" i="21"/>
  <c r="AA241" i="21"/>
  <c r="J265" i="21"/>
  <c r="U198" i="21"/>
  <c r="W153" i="21"/>
  <c r="W252" i="21"/>
  <c r="N196" i="21"/>
  <c r="L150" i="21"/>
  <c r="O238" i="21"/>
  <c r="Q184" i="21"/>
  <c r="I135" i="21"/>
  <c r="N267" i="21"/>
  <c r="T197" i="21"/>
  <c r="P148" i="21"/>
  <c r="T244" i="21"/>
  <c r="N188" i="21"/>
  <c r="X137" i="21"/>
  <c r="AC103" i="21"/>
  <c r="W73" i="21"/>
  <c r="P42" i="21"/>
  <c r="N230" i="21"/>
  <c r="Y174" i="21"/>
  <c r="O125" i="21"/>
  <c r="S94" i="21"/>
  <c r="L63" i="21"/>
  <c r="M276" i="21"/>
  <c r="N202" i="21"/>
  <c r="R150" i="21"/>
  <c r="L117" i="21"/>
  <c r="N86" i="21"/>
  <c r="M53" i="21"/>
  <c r="Q23" i="21"/>
  <c r="AA228" i="21"/>
  <c r="L174" i="21"/>
  <c r="S125" i="21"/>
  <c r="K94" i="21"/>
  <c r="L61" i="21"/>
  <c r="X31" i="21"/>
  <c r="AA240" i="21"/>
  <c r="W180" i="21"/>
  <c r="X127" i="21"/>
  <c r="U93" i="21"/>
  <c r="O61" i="21"/>
  <c r="R30" i="21"/>
  <c r="T175" i="21"/>
  <c r="K97" i="21"/>
  <c r="L46" i="21"/>
  <c r="P242" i="21"/>
  <c r="AA178" i="21"/>
  <c r="U127" i="21"/>
  <c r="K244" i="21"/>
  <c r="V188" i="21"/>
  <c r="T138" i="21"/>
  <c r="AB105" i="21"/>
  <c r="AC74" i="21"/>
  <c r="U42" i="21"/>
  <c r="Y12" i="21"/>
  <c r="AC132" i="21"/>
  <c r="AD44" i="21"/>
  <c r="N113" i="21"/>
  <c r="W231" i="21"/>
  <c r="J175" i="21"/>
  <c r="W124" i="21"/>
  <c r="Y91" i="21"/>
  <c r="X60" i="21"/>
  <c r="AB28" i="21"/>
  <c r="Y17" i="21"/>
  <c r="J55" i="21"/>
  <c r="X90" i="21"/>
  <c r="Q130" i="21"/>
  <c r="I193" i="21"/>
  <c r="U273" i="21"/>
  <c r="V40" i="21"/>
  <c r="R76" i="21"/>
  <c r="AA112" i="21"/>
  <c r="P155" i="21"/>
  <c r="AB234" i="21"/>
  <c r="Z23" i="21"/>
  <c r="T58" i="21"/>
  <c r="O100" i="21"/>
  <c r="U143" i="21"/>
  <c r="J204" i="21"/>
  <c r="AA34" i="21"/>
  <c r="T121" i="21"/>
  <c r="AD93" i="21"/>
  <c r="R66" i="21"/>
  <c r="Z66" i="21"/>
  <c r="S10" i="21"/>
  <c r="I70" i="21"/>
  <c r="T129" i="21"/>
  <c r="P266" i="21"/>
  <c r="U124" i="21"/>
  <c r="L236" i="21"/>
  <c r="N106" i="21"/>
  <c r="U226" i="21"/>
  <c r="Z91" i="21"/>
  <c r="Y18" i="21"/>
  <c r="P132" i="21"/>
  <c r="AC48" i="21"/>
  <c r="M128" i="21"/>
  <c r="Q40" i="21"/>
  <c r="U130" i="21"/>
  <c r="N42" i="21"/>
  <c r="J141" i="21"/>
  <c r="AC60" i="21"/>
  <c r="L266" i="21"/>
  <c r="AA127" i="21"/>
  <c r="T234" i="21"/>
  <c r="L109" i="21"/>
  <c r="S40" i="21"/>
  <c r="R205" i="21"/>
  <c r="J104" i="21"/>
  <c r="P34" i="21"/>
  <c r="AC141" i="21"/>
  <c r="Q50" i="21"/>
  <c r="X226" i="21"/>
  <c r="U98" i="21"/>
  <c r="P27" i="21"/>
  <c r="N176" i="21"/>
  <c r="AC122" i="21"/>
  <c r="X45" i="21"/>
  <c r="Y228" i="21"/>
  <c r="T87" i="21"/>
  <c r="V12" i="21"/>
  <c r="S117" i="21"/>
  <c r="V177" i="21"/>
  <c r="Y66" i="21"/>
  <c r="M235" i="21"/>
  <c r="J156" i="21"/>
  <c r="P49" i="21"/>
  <c r="T150" i="21"/>
  <c r="N43" i="21"/>
  <c r="Y140" i="21"/>
  <c r="Z243" i="21"/>
  <c r="W82" i="21"/>
  <c r="N205" i="21"/>
  <c r="Z184" i="21"/>
  <c r="Z55" i="21"/>
  <c r="M55" i="21"/>
  <c r="W42" i="21"/>
  <c r="Z225" i="21"/>
  <c r="J99" i="21"/>
  <c r="X28" i="21"/>
  <c r="Y181" i="21"/>
  <c r="Q76" i="21"/>
  <c r="T17" i="21"/>
  <c r="AD135" i="21"/>
  <c r="Q59" i="21"/>
  <c r="AB271" i="21"/>
  <c r="O115" i="21"/>
  <c r="J41" i="21"/>
  <c r="M205" i="21"/>
  <c r="AB95" i="21"/>
  <c r="N30" i="21"/>
  <c r="AA176" i="21"/>
  <c r="N73" i="21"/>
  <c r="AD15" i="21"/>
  <c r="S133" i="21"/>
  <c r="P61" i="21"/>
  <c r="J267" i="21"/>
  <c r="AC111" i="21"/>
  <c r="Q266" i="21"/>
  <c r="Z162" i="21"/>
  <c r="U245" i="21"/>
  <c r="J199" i="21"/>
  <c r="O153" i="21"/>
  <c r="Y240" i="21"/>
  <c r="R197" i="21"/>
  <c r="T152" i="21"/>
  <c r="P25" i="21"/>
  <c r="AC159" i="21"/>
  <c r="AB13" i="21"/>
  <c r="W46" i="21"/>
  <c r="X265" i="21"/>
  <c r="S126" i="21"/>
  <c r="W16" i="21"/>
  <c r="J70" i="21"/>
  <c r="J188" i="21"/>
  <c r="AC193" i="21"/>
  <c r="R83" i="21"/>
  <c r="Y148" i="21"/>
  <c r="S68" i="21"/>
  <c r="I148" i="21"/>
  <c r="AD58" i="21"/>
  <c r="AA207" i="21"/>
  <c r="AA96" i="21"/>
  <c r="U201" i="21"/>
  <c r="K90" i="21"/>
  <c r="K204" i="21"/>
  <c r="X85" i="21"/>
  <c r="Q239" i="21"/>
  <c r="AD97" i="21"/>
  <c r="Q31" i="21"/>
  <c r="AB190" i="21"/>
  <c r="AC90" i="21"/>
  <c r="Y162" i="21"/>
  <c r="N76" i="21"/>
  <c r="P15" i="21"/>
  <c r="X148" i="21"/>
  <c r="V71" i="21"/>
  <c r="M230" i="21"/>
  <c r="AD98" i="21"/>
  <c r="Z19" i="21"/>
  <c r="V148" i="21"/>
  <c r="N63" i="21"/>
  <c r="O195" i="21"/>
  <c r="AD84" i="21"/>
  <c r="K18" i="21"/>
  <c r="Y138" i="21"/>
  <c r="Q48" i="21"/>
  <c r="N194" i="21"/>
  <c r="K75" i="21"/>
  <c r="J115" i="21"/>
  <c r="O30" i="21"/>
  <c r="Y147" i="21"/>
  <c r="K101" i="21"/>
  <c r="L13" i="21"/>
  <c r="Q97" i="21"/>
  <c r="Z274" i="21"/>
  <c r="Q75" i="21"/>
  <c r="AC144" i="21"/>
  <c r="AD36" i="21"/>
  <c r="L120" i="21"/>
  <c r="Y112" i="21"/>
  <c r="T19" i="21"/>
  <c r="U12" i="21"/>
  <c r="T98" i="21"/>
  <c r="P32" i="21"/>
  <c r="R188" i="21"/>
  <c r="L85" i="21"/>
  <c r="O20" i="21"/>
  <c r="L142" i="21"/>
  <c r="U63" i="21"/>
  <c r="AA271" i="21"/>
  <c r="AC120" i="21"/>
  <c r="P47" i="21"/>
  <c r="N228" i="21"/>
  <c r="J100" i="21"/>
  <c r="M30" i="21"/>
  <c r="AA184" i="21"/>
  <c r="K82" i="21"/>
  <c r="Q18" i="21"/>
  <c r="W138" i="21"/>
  <c r="AD60" i="21"/>
  <c r="AB266" i="21"/>
  <c r="O122" i="21"/>
  <c r="O45" i="21"/>
  <c r="AA211" i="21"/>
  <c r="Z237" i="21"/>
  <c r="T191" i="21"/>
  <c r="L147" i="21"/>
  <c r="Q231" i="21"/>
  <c r="Y182" i="21"/>
  <c r="N273" i="21"/>
  <c r="V226" i="21"/>
  <c r="R234" i="21"/>
  <c r="W182" i="21"/>
  <c r="O138" i="21"/>
  <c r="S228" i="21"/>
  <c r="M179" i="21"/>
  <c r="N274" i="21"/>
  <c r="X201" i="21"/>
  <c r="AA153" i="21"/>
  <c r="Q119" i="21"/>
  <c r="AB233" i="21"/>
  <c r="AB178" i="21"/>
  <c r="S131" i="21"/>
  <c r="P157" i="21"/>
  <c r="AC119" i="21"/>
  <c r="O89" i="21"/>
  <c r="I59" i="21"/>
  <c r="T265" i="21"/>
  <c r="U193" i="21"/>
  <c r="P141" i="21"/>
  <c r="K110" i="21"/>
  <c r="AA78" i="21"/>
  <c r="T47" i="21"/>
  <c r="L238" i="21"/>
  <c r="J183" i="21"/>
  <c r="Y132" i="21"/>
  <c r="I101" i="21"/>
  <c r="N70" i="21"/>
  <c r="O37" i="21"/>
  <c r="R264" i="21"/>
  <c r="O193" i="21"/>
  <c r="AA141" i="21"/>
  <c r="I110" i="21"/>
  <c r="J77" i="21"/>
  <c r="O46" i="21"/>
  <c r="L19" i="21"/>
  <c r="I203" i="21"/>
  <c r="Q149" i="21"/>
  <c r="AB110" i="21"/>
  <c r="Q77" i="21"/>
  <c r="N46" i="21"/>
  <c r="AC15" i="21"/>
  <c r="W204" i="21"/>
  <c r="Y123" i="21"/>
  <c r="AA69" i="21"/>
  <c r="U9" i="21"/>
  <c r="Q26" i="22" s="1"/>
  <c r="P201" i="21"/>
  <c r="AB145" i="21"/>
  <c r="I102" i="21"/>
  <c r="AD211" i="21"/>
  <c r="M157" i="21"/>
  <c r="M121" i="21"/>
  <c r="Z89" i="21"/>
  <c r="AB59" i="21"/>
  <c r="K28" i="21"/>
  <c r="Z186" i="21"/>
  <c r="X84" i="21"/>
  <c r="M21" i="21"/>
  <c r="AB265" i="21"/>
  <c r="Q194" i="21"/>
  <c r="P142" i="21"/>
  <c r="AC107" i="21"/>
  <c r="U75" i="21"/>
  <c r="V44" i="21"/>
  <c r="R14" i="21"/>
  <c r="M34" i="21"/>
  <c r="AC72" i="21"/>
  <c r="I109" i="21"/>
  <c r="X154" i="21"/>
  <c r="K234" i="21"/>
  <c r="Y23" i="21"/>
  <c r="S58" i="21"/>
  <c r="O94" i="21"/>
  <c r="U132" i="21"/>
  <c r="I192" i="21"/>
  <c r="Y40" i="21"/>
  <c r="S82" i="21"/>
  <c r="R119" i="21"/>
  <c r="X179" i="21"/>
  <c r="R245" i="21"/>
  <c r="Y108" i="21"/>
  <c r="M123" i="21"/>
  <c r="W62" i="21"/>
  <c r="O75" i="21"/>
  <c r="AB9" i="21"/>
  <c r="N139" i="21"/>
  <c r="W24" i="21"/>
  <c r="P80" i="21"/>
  <c r="O191" i="21"/>
  <c r="S74" i="21"/>
  <c r="L144" i="21"/>
  <c r="W66" i="21"/>
  <c r="U142" i="21"/>
  <c r="AB56" i="21"/>
  <c r="AB203" i="21"/>
  <c r="AC92" i="21"/>
  <c r="S198" i="21"/>
  <c r="AA87" i="21"/>
  <c r="O201" i="21"/>
  <c r="N79" i="21"/>
  <c r="U229" i="21"/>
  <c r="W95" i="21"/>
  <c r="T29" i="21"/>
  <c r="W184" i="21"/>
  <c r="Y88" i="21"/>
  <c r="R158" i="21"/>
  <c r="I74" i="21"/>
  <c r="X13" i="21"/>
  <c r="AA145" i="21"/>
  <c r="I67" i="21"/>
  <c r="Z226" i="21"/>
  <c r="S90" i="21"/>
  <c r="J18" i="21"/>
  <c r="AD144" i="21"/>
  <c r="U60" i="21"/>
  <c r="N246" i="21"/>
  <c r="Q191" i="21"/>
  <c r="T82" i="21"/>
  <c r="Q16" i="21"/>
  <c r="Y134" i="21"/>
  <c r="T45" i="21"/>
  <c r="AC189" i="21"/>
  <c r="Y272" i="21"/>
  <c r="S111" i="21"/>
  <c r="Z25" i="21"/>
  <c r="K276" i="21"/>
  <c r="R97" i="21"/>
  <c r="AD10" i="21"/>
  <c r="W93" i="21"/>
  <c r="Z71" i="21"/>
  <c r="W140" i="21"/>
  <c r="P31" i="21"/>
  <c r="L112" i="21"/>
  <c r="X108" i="21"/>
  <c r="S17" i="21"/>
  <c r="Q269" i="21"/>
  <c r="M103" i="21"/>
  <c r="W35" i="21"/>
  <c r="AA196" i="21"/>
  <c r="P89" i="21"/>
  <c r="AA22" i="21"/>
  <c r="N148" i="21"/>
  <c r="W67" i="21"/>
  <c r="J12" i="21"/>
  <c r="Y130" i="21"/>
  <c r="T51" i="21"/>
  <c r="K236" i="21"/>
  <c r="K106" i="21"/>
  <c r="S33" i="21"/>
  <c r="L192" i="21"/>
  <c r="AC86" i="21"/>
  <c r="J21" i="21"/>
  <c r="W151" i="21"/>
  <c r="J65" i="21"/>
  <c r="P10" i="21"/>
  <c r="M127" i="21"/>
  <c r="X49" i="21"/>
  <c r="R231" i="21"/>
  <c r="Y236" i="21"/>
  <c r="S190" i="21"/>
  <c r="AC276" i="21"/>
  <c r="O230" i="21"/>
  <c r="W181" i="21"/>
  <c r="L272" i="21"/>
  <c r="T225" i="21"/>
  <c r="AB230" i="21"/>
  <c r="T181" i="21"/>
  <c r="N137" i="21"/>
  <c r="N227" i="21"/>
  <c r="J178" i="21"/>
  <c r="Y271" i="21"/>
  <c r="S200" i="21"/>
  <c r="V152" i="21"/>
  <c r="O117" i="21"/>
  <c r="V232" i="21"/>
  <c r="W177" i="21"/>
  <c r="N211" i="21"/>
  <c r="I156" i="21"/>
  <c r="AA118" i="21"/>
  <c r="N88" i="21"/>
  <c r="AC55" i="21"/>
  <c r="K264" i="21"/>
  <c r="N192" i="21"/>
  <c r="Q45" i="21"/>
  <c r="J64" i="21"/>
  <c r="K248" i="21"/>
  <c r="L16" i="21"/>
  <c r="AC88" i="21"/>
  <c r="L129" i="21"/>
  <c r="N60" i="21"/>
  <c r="S92" i="21"/>
  <c r="L162" i="21"/>
  <c r="U59" i="21"/>
  <c r="AB111" i="21"/>
  <c r="W12" i="21"/>
  <c r="L113" i="21"/>
  <c r="J211" i="21"/>
  <c r="W64" i="21"/>
  <c r="V145" i="21"/>
  <c r="W36" i="21"/>
  <c r="O120" i="21"/>
  <c r="P33" i="21"/>
  <c r="W159" i="21"/>
  <c r="K265" i="21"/>
  <c r="K104" i="21"/>
  <c r="J27" i="21"/>
  <c r="K152" i="21"/>
  <c r="P55" i="21"/>
  <c r="R156" i="21"/>
  <c r="V45" i="21"/>
  <c r="S183" i="21"/>
  <c r="AB65" i="21"/>
  <c r="AD141" i="21"/>
  <c r="AC40" i="21"/>
  <c r="AA180" i="21"/>
  <c r="P51" i="21"/>
  <c r="AD150" i="21"/>
  <c r="U200" i="21"/>
  <c r="U57" i="21"/>
  <c r="M186" i="21"/>
  <c r="K105" i="21"/>
  <c r="O233" i="21"/>
  <c r="J59" i="21"/>
  <c r="P136" i="21"/>
  <c r="AB188" i="21"/>
  <c r="AB42" i="21"/>
  <c r="AB92" i="21"/>
  <c r="AD79" i="21"/>
  <c r="N49" i="21"/>
  <c r="Y70" i="21"/>
  <c r="X25" i="21"/>
  <c r="S241" i="21"/>
  <c r="R125" i="21"/>
  <c r="W80" i="21"/>
  <c r="AD35" i="21"/>
  <c r="AB241" i="21"/>
  <c r="Q148" i="21"/>
  <c r="W90" i="21"/>
  <c r="P48" i="21"/>
  <c r="J10" i="21"/>
  <c r="L151" i="21"/>
  <c r="Q101" i="21"/>
  <c r="AD52" i="21"/>
  <c r="R18" i="21"/>
  <c r="Q192" i="21"/>
  <c r="O102" i="21"/>
  <c r="Q61" i="21"/>
  <c r="W272" i="21"/>
  <c r="J205" i="21"/>
  <c r="T155" i="21"/>
  <c r="U233" i="21"/>
  <c r="O177" i="21"/>
  <c r="Q252" i="21"/>
  <c r="Z191" i="21"/>
  <c r="Q140" i="21"/>
  <c r="K158" i="21"/>
  <c r="L242" i="21"/>
  <c r="K183" i="21"/>
  <c r="Z128" i="21"/>
  <c r="AD242" i="21"/>
  <c r="P181" i="21"/>
  <c r="I274" i="21"/>
  <c r="K199" i="21"/>
  <c r="X142" i="21"/>
  <c r="AB102" i="21"/>
  <c r="Q67" i="21"/>
  <c r="Q196" i="21"/>
  <c r="AB138" i="21"/>
  <c r="AC104" i="21"/>
  <c r="S70" i="21"/>
  <c r="K38" i="21"/>
  <c r="L205" i="21"/>
  <c r="AB148" i="21"/>
  <c r="S112" i="21"/>
  <c r="Q79" i="21"/>
  <c r="J44" i="21"/>
  <c r="V270" i="21"/>
  <c r="Z194" i="21"/>
  <c r="J139" i="21"/>
  <c r="Q104" i="21"/>
  <c r="J69" i="21"/>
  <c r="N37" i="21"/>
  <c r="L244" i="21"/>
  <c r="I179" i="21"/>
  <c r="AA123" i="21"/>
  <c r="O87" i="21"/>
  <c r="T52" i="21"/>
  <c r="L20" i="21"/>
  <c r="AC211" i="21"/>
  <c r="U118" i="21"/>
  <c r="R62" i="21"/>
  <c r="S266" i="21"/>
  <c r="Y186" i="21"/>
  <c r="K130" i="21"/>
  <c r="R242" i="21"/>
  <c r="W183" i="21"/>
  <c r="O130" i="21"/>
  <c r="L97" i="21"/>
  <c r="X63" i="21"/>
  <c r="N29" i="21"/>
  <c r="N177" i="21"/>
  <c r="Z74" i="21"/>
  <c r="AB274" i="21"/>
  <c r="S238" i="21"/>
  <c r="O178" i="21"/>
  <c r="P123" i="21"/>
  <c r="Z86" i="21"/>
  <c r="T54" i="21"/>
  <c r="Y19" i="21"/>
  <c r="AD29" i="21"/>
  <c r="R71" i="21"/>
  <c r="P112" i="21"/>
  <c r="AC174" i="21"/>
  <c r="Y246" i="21"/>
  <c r="W34" i="21"/>
  <c r="P73" i="21"/>
  <c r="Q114" i="21"/>
  <c r="V162" i="21"/>
  <c r="AA248" i="21"/>
  <c r="N33" i="21"/>
  <c r="AD77" i="21"/>
  <c r="AB117" i="21"/>
  <c r="AD183" i="21"/>
  <c r="N270" i="21"/>
  <c r="Y45" i="21"/>
  <c r="Q95" i="21"/>
  <c r="T193" i="21"/>
  <c r="Q22" i="21"/>
  <c r="AB153" i="21"/>
  <c r="J140" i="21"/>
  <c r="O70" i="21"/>
  <c r="M242" i="21"/>
  <c r="U90" i="21"/>
  <c r="J142" i="21"/>
  <c r="AB57" i="21"/>
  <c r="AB109" i="21"/>
  <c r="N11" i="21"/>
  <c r="AB108" i="21"/>
  <c r="W192" i="21"/>
  <c r="V62" i="21"/>
  <c r="O140" i="21"/>
  <c r="M31" i="21"/>
  <c r="Z117" i="21"/>
  <c r="W27" i="21"/>
  <c r="J150" i="21"/>
  <c r="V244" i="21"/>
  <c r="V101" i="21"/>
  <c r="S23" i="21"/>
  <c r="Y139" i="21"/>
  <c r="K53" i="21"/>
  <c r="AA152" i="21"/>
  <c r="L43" i="21"/>
  <c r="V179" i="21"/>
  <c r="AC57" i="21"/>
  <c r="W202" i="21"/>
  <c r="V138" i="21"/>
  <c r="U38" i="21"/>
  <c r="R159" i="21"/>
  <c r="Z42" i="21"/>
  <c r="R146" i="21"/>
  <c r="J196" i="21"/>
  <c r="W54" i="21"/>
  <c r="N182" i="21"/>
  <c r="X93" i="21"/>
  <c r="Z227" i="21"/>
  <c r="W55" i="21"/>
  <c r="M132" i="21"/>
  <c r="Q183" i="21"/>
  <c r="Z39" i="21"/>
  <c r="T270" i="21"/>
  <c r="W75" i="21"/>
  <c r="I43" i="21"/>
  <c r="AB75" i="21"/>
  <c r="S28" i="21"/>
  <c r="R252" i="21"/>
  <c r="AB135" i="21"/>
  <c r="M85" i="21"/>
  <c r="V39" i="21"/>
  <c r="AA156" i="21"/>
  <c r="M95" i="21"/>
  <c r="AA51" i="21"/>
  <c r="R12" i="21"/>
  <c r="AD157" i="21"/>
  <c r="M106" i="21"/>
  <c r="Y56" i="21"/>
  <c r="K21" i="21"/>
  <c r="T199" i="21"/>
  <c r="AD117" i="21"/>
  <c r="T65" i="21"/>
  <c r="V271" i="21"/>
  <c r="AD201" i="21"/>
  <c r="S154" i="21"/>
  <c r="S232" i="21"/>
  <c r="M176" i="21"/>
  <c r="M246" i="21"/>
  <c r="L245" i="21"/>
  <c r="W190" i="21"/>
  <c r="P139" i="21"/>
  <c r="X211" i="21"/>
  <c r="AB155" i="21"/>
  <c r="AB240" i="21"/>
  <c r="AC181" i="21"/>
  <c r="Y127" i="21"/>
  <c r="W241" i="21"/>
  <c r="K180" i="21"/>
  <c r="X272" i="21"/>
  <c r="Y197" i="21"/>
  <c r="S141" i="21"/>
  <c r="AA101" i="21"/>
  <c r="P66" i="21"/>
  <c r="P276" i="21"/>
  <c r="AD194" i="21"/>
  <c r="W137" i="21"/>
  <c r="Z101" i="21"/>
  <c r="R69" i="21"/>
  <c r="J37" i="21"/>
  <c r="Y203" i="21"/>
  <c r="R147" i="21"/>
  <c r="O111" i="21"/>
  <c r="N78" i="21"/>
  <c r="AD42" i="21"/>
  <c r="U267" i="21"/>
  <c r="AC191" i="21"/>
  <c r="Y137" i="21"/>
  <c r="N103" i="21"/>
  <c r="AD67" i="21"/>
  <c r="K36" i="21"/>
  <c r="S242" i="21"/>
  <c r="Q177" i="21"/>
  <c r="U122" i="21"/>
  <c r="Z84" i="21"/>
  <c r="O51" i="21"/>
  <c r="I19" i="21"/>
  <c r="AB202" i="21"/>
  <c r="AC115" i="21"/>
  <c r="I61" i="21"/>
  <c r="Z264" i="21"/>
  <c r="M185" i="21"/>
  <c r="AB128" i="21"/>
  <c r="Z240" i="21"/>
  <c r="L182" i="21"/>
  <c r="AD128" i="21"/>
  <c r="AD95" i="21"/>
  <c r="S62" i="21"/>
  <c r="AB25" i="21"/>
  <c r="P160" i="21"/>
  <c r="I71" i="21"/>
  <c r="AB211" i="21"/>
  <c r="AC236" i="21"/>
  <c r="W176" i="21"/>
  <c r="W120" i="21"/>
  <c r="U85" i="21"/>
  <c r="O53" i="21"/>
  <c r="V18" i="21"/>
  <c r="O31" i="21"/>
  <c r="O74" i="21"/>
  <c r="AC113" i="21"/>
  <c r="Y176" i="21"/>
  <c r="AC252" i="21"/>
  <c r="M36" i="21"/>
  <c r="I75" i="21"/>
  <c r="N28" i="21"/>
  <c r="W19" i="21"/>
  <c r="O252" i="21"/>
  <c r="V22" i="21"/>
  <c r="N23" i="21"/>
  <c r="AD239" i="21"/>
  <c r="P143" i="21"/>
  <c r="W152" i="21"/>
  <c r="AB252" i="21"/>
  <c r="K95" i="21"/>
  <c r="I181" i="21"/>
  <c r="W60" i="21"/>
  <c r="R185" i="21"/>
  <c r="Z67" i="21"/>
  <c r="Q121" i="21"/>
  <c r="AD246" i="21"/>
  <c r="J94" i="21"/>
  <c r="AC190" i="21"/>
  <c r="W72" i="21"/>
  <c r="T242" i="21"/>
  <c r="U107" i="21"/>
  <c r="Z176" i="21"/>
  <c r="Z64" i="21"/>
  <c r="Y237" i="21"/>
  <c r="AD96" i="21"/>
  <c r="J264" i="21"/>
  <c r="T104" i="21"/>
  <c r="L11" i="21"/>
  <c r="T113" i="21"/>
  <c r="O23" i="21"/>
  <c r="U230" i="21"/>
  <c r="V90" i="21"/>
  <c r="V60" i="21"/>
  <c r="X103" i="21"/>
  <c r="O276" i="21"/>
  <c r="AB93" i="21"/>
  <c r="N118" i="21"/>
  <c r="Q17" i="21"/>
  <c r="P189" i="21"/>
  <c r="R37" i="21"/>
  <c r="X124" i="21"/>
  <c r="AB10" i="21"/>
  <c r="M52" i="21"/>
  <c r="M104" i="21"/>
  <c r="K194" i="21"/>
  <c r="AD140" i="21"/>
  <c r="X26" i="21"/>
  <c r="S108" i="21"/>
  <c r="L154" i="21"/>
  <c r="V103" i="21"/>
  <c r="AA50" i="21"/>
  <c r="O14" i="21"/>
  <c r="X188" i="21"/>
  <c r="AD103" i="21"/>
  <c r="V63" i="21"/>
  <c r="T20" i="21"/>
  <c r="O197" i="21"/>
  <c r="Z126" i="21"/>
  <c r="L69" i="21"/>
  <c r="U33" i="21"/>
  <c r="AC229" i="21"/>
  <c r="J127" i="21"/>
  <c r="M83" i="21"/>
  <c r="K34" i="21"/>
  <c r="L274" i="21"/>
  <c r="Z144" i="21"/>
  <c r="AB239" i="21"/>
  <c r="N185" i="21"/>
  <c r="N268" i="21"/>
  <c r="AC196" i="21"/>
  <c r="Z146" i="21"/>
  <c r="Z228" i="21"/>
  <c r="O227" i="21"/>
  <c r="O159" i="21"/>
  <c r="S248" i="21"/>
  <c r="V190" i="21"/>
  <c r="P140" i="21"/>
  <c r="Z148" i="21"/>
  <c r="J112" i="21"/>
  <c r="S202" i="21"/>
  <c r="J147" i="21"/>
  <c r="Z238" i="21"/>
  <c r="S177" i="21"/>
  <c r="L123" i="21"/>
  <c r="L86" i="21"/>
  <c r="W49" i="21"/>
  <c r="P237" i="21"/>
  <c r="I160" i="21"/>
  <c r="I122" i="21"/>
  <c r="L87" i="21"/>
  <c r="Z53" i="21"/>
  <c r="O244" i="21"/>
  <c r="U184" i="21"/>
  <c r="N130" i="21"/>
  <c r="O95" i="21"/>
  <c r="M61" i="21"/>
  <c r="V28" i="21"/>
  <c r="AC231" i="21"/>
  <c r="W160" i="21"/>
  <c r="AB121" i="21"/>
  <c r="M86" i="21"/>
  <c r="L53" i="21"/>
  <c r="O22" i="21"/>
  <c r="Y204" i="21"/>
  <c r="K146" i="21"/>
  <c r="AC105" i="21"/>
  <c r="X68" i="21"/>
  <c r="M35" i="21"/>
  <c r="T266" i="21"/>
  <c r="AB158" i="21"/>
  <c r="L92" i="21"/>
  <c r="AA25" i="21"/>
  <c r="W230" i="21"/>
  <c r="Y150" i="21"/>
  <c r="Z105" i="21"/>
  <c r="X204" i="21"/>
  <c r="AB150" i="21"/>
  <c r="R113" i="21"/>
  <c r="Z79" i="21"/>
  <c r="M46" i="21"/>
  <c r="X11" i="21"/>
  <c r="N117" i="21"/>
  <c r="P36" i="21"/>
  <c r="Q274" i="21"/>
  <c r="M199" i="21"/>
  <c r="AB143" i="21"/>
  <c r="Q105" i="21"/>
  <c r="X70" i="21"/>
  <c r="I37" i="21"/>
  <c r="AA12" i="21"/>
  <c r="AD51" i="21"/>
  <c r="O92" i="21"/>
  <c r="R135" i="21"/>
  <c r="Q203" i="21"/>
  <c r="I17" i="21"/>
  <c r="J54" i="21"/>
  <c r="Z92" i="21"/>
  <c r="I136" i="21"/>
  <c r="J200" i="21"/>
  <c r="Y15" i="21"/>
  <c r="W52" i="21"/>
  <c r="P97" i="21"/>
  <c r="Q145" i="21"/>
  <c r="S226" i="21"/>
  <c r="O28" i="21"/>
  <c r="X62" i="21"/>
  <c r="J22" i="21"/>
  <c r="AC30" i="21"/>
  <c r="O40" i="21"/>
  <c r="AA17" i="21"/>
  <c r="L12" i="21"/>
  <c r="K145" i="21"/>
  <c r="R246" i="21"/>
  <c r="O93" i="21"/>
  <c r="R178" i="21"/>
  <c r="AC54" i="21"/>
  <c r="T182" i="21"/>
  <c r="AA65" i="21"/>
  <c r="J119" i="21"/>
  <c r="J241" i="21"/>
  <c r="L77" i="21"/>
  <c r="X187" i="21"/>
  <c r="AC67" i="21"/>
  <c r="AB238" i="21"/>
  <c r="O105" i="21"/>
  <c r="L152" i="21"/>
  <c r="N62" i="21"/>
  <c r="S234" i="21"/>
  <c r="W94" i="21"/>
  <c r="S246" i="21"/>
  <c r="V87" i="21"/>
  <c r="Q9" i="21"/>
  <c r="M26" i="22" s="1"/>
  <c r="S110" i="21"/>
  <c r="V21" i="21"/>
  <c r="AA226" i="21"/>
  <c r="X79" i="21"/>
  <c r="AC271" i="21"/>
  <c r="N97" i="21"/>
  <c r="K252" i="21"/>
  <c r="AA90" i="21"/>
  <c r="N108" i="21"/>
  <c r="Q15" i="21"/>
  <c r="V184" i="21"/>
  <c r="S34" i="21"/>
  <c r="L116" i="21"/>
  <c r="V264" i="21"/>
  <c r="I46" i="21"/>
  <c r="V100" i="21"/>
  <c r="Z188" i="21"/>
  <c r="Y136" i="21"/>
  <c r="I22" i="21"/>
  <c r="Z11" i="21"/>
  <c r="N174" i="21"/>
  <c r="O109" i="21"/>
  <c r="V54" i="21"/>
  <c r="L17" i="21"/>
  <c r="P203" i="21"/>
  <c r="I115" i="21"/>
  <c r="M72" i="21"/>
  <c r="I23" i="21"/>
  <c r="P204" i="21"/>
  <c r="Q131" i="21"/>
  <c r="L73" i="21"/>
  <c r="T37" i="21"/>
  <c r="P245" i="21"/>
  <c r="Q133" i="21"/>
  <c r="R87" i="21"/>
  <c r="AB37" i="21"/>
  <c r="Q10" i="21"/>
  <c r="I159" i="21"/>
  <c r="AA238" i="21"/>
  <c r="M184" i="21"/>
  <c r="L267" i="21"/>
  <c r="AA195" i="21"/>
  <c r="Y145" i="21"/>
  <c r="X227" i="21"/>
  <c r="K226" i="21"/>
  <c r="L158" i="21"/>
  <c r="I245" i="21"/>
  <c r="O188" i="21"/>
  <c r="O139" i="21"/>
  <c r="L204" i="21"/>
  <c r="U147" i="21"/>
  <c r="J276" i="21"/>
  <c r="M201" i="21"/>
  <c r="R143" i="21"/>
  <c r="Q237" i="21"/>
  <c r="M74" i="21"/>
  <c r="Q94" i="21"/>
  <c r="U74" i="21"/>
  <c r="Y47" i="21"/>
  <c r="V16" i="21"/>
  <c r="P92" i="21"/>
  <c r="L118" i="21"/>
  <c r="AD86" i="21"/>
  <c r="X125" i="21"/>
  <c r="L189" i="21"/>
  <c r="P35" i="21"/>
  <c r="AD123" i="21"/>
  <c r="X186" i="21"/>
  <c r="X36" i="21"/>
  <c r="N96" i="21"/>
  <c r="Y159" i="21"/>
  <c r="R41" i="21"/>
  <c r="I144" i="21"/>
  <c r="AA192" i="21"/>
  <c r="J67" i="21"/>
  <c r="X192" i="21"/>
  <c r="Y64" i="21"/>
  <c r="Z131" i="21"/>
  <c r="U25" i="21"/>
  <c r="R116" i="21"/>
  <c r="K11" i="21"/>
  <c r="AB152" i="21"/>
  <c r="Z31" i="21"/>
  <c r="T124" i="21"/>
  <c r="AC10" i="21"/>
  <c r="W267" i="21"/>
  <c r="Z75" i="21"/>
  <c r="L156" i="21"/>
  <c r="P65" i="21"/>
  <c r="P128" i="21"/>
  <c r="W205" i="21"/>
  <c r="AC232" i="21"/>
  <c r="U21" i="21"/>
  <c r="I201" i="21"/>
  <c r="L29" i="21"/>
  <c r="R28" i="21"/>
  <c r="L14" i="21"/>
  <c r="K9" i="21"/>
  <c r="Q226" i="21"/>
  <c r="AB181" i="21"/>
  <c r="AA154" i="21"/>
  <c r="K115" i="21"/>
  <c r="V105" i="21"/>
  <c r="AB81" i="21"/>
  <c r="O64" i="21"/>
  <c r="X52" i="21"/>
  <c r="X37" i="21"/>
  <c r="Z30" i="21"/>
  <c r="T18" i="21"/>
  <c r="M237" i="21"/>
  <c r="AD199" i="21"/>
  <c r="O226" i="21"/>
  <c r="Q152" i="21"/>
  <c r="AD148" i="21"/>
  <c r="U274" i="21"/>
  <c r="L195" i="21"/>
  <c r="X276" i="21"/>
  <c r="T198" i="21"/>
  <c r="Q141" i="21"/>
  <c r="T195" i="21"/>
  <c r="AD132" i="21"/>
  <c r="R236" i="21"/>
  <c r="Y155" i="21"/>
  <c r="M240" i="21"/>
  <c r="X158" i="21"/>
  <c r="M111" i="21"/>
  <c r="U71" i="21"/>
  <c r="X269" i="21"/>
  <c r="L184" i="21"/>
  <c r="Q126" i="21"/>
  <c r="K86" i="21"/>
  <c r="U48" i="21"/>
  <c r="R230" i="21"/>
  <c r="Q153" i="21"/>
  <c r="AA107" i="21"/>
  <c r="Q71" i="21"/>
  <c r="Y31" i="21"/>
  <c r="Q230" i="21"/>
  <c r="AB154" i="21"/>
  <c r="R112" i="21"/>
  <c r="P71" i="21"/>
  <c r="Y32" i="21"/>
  <c r="R232" i="21"/>
  <c r="U152" i="21"/>
  <c r="X104" i="21"/>
  <c r="Y63" i="21"/>
  <c r="AC25" i="21"/>
  <c r="K227" i="21"/>
  <c r="Z110" i="21"/>
  <c r="R52" i="21"/>
  <c r="T235" i="21"/>
  <c r="K149" i="21"/>
  <c r="W271" i="21"/>
  <c r="Q193" i="21"/>
  <c r="Q134" i="21"/>
  <c r="T93" i="21"/>
  <c r="X53" i="21"/>
  <c r="AB15" i="21"/>
  <c r="W114" i="21"/>
  <c r="M29" i="21"/>
  <c r="AB246" i="21"/>
  <c r="Q181" i="21"/>
  <c r="J118" i="21"/>
  <c r="O79" i="21"/>
  <c r="AB40" i="21"/>
  <c r="I14" i="21"/>
  <c r="R59" i="21"/>
  <c r="Y102" i="21"/>
  <c r="U158" i="21"/>
  <c r="K267" i="21"/>
  <c r="K45" i="21"/>
  <c r="O88" i="21"/>
  <c r="S134" i="21"/>
  <c r="AD203" i="21"/>
  <c r="AD20" i="21"/>
  <c r="T64" i="21"/>
  <c r="Q111" i="21"/>
  <c r="Z177" i="21"/>
  <c r="P272" i="21"/>
  <c r="Q74" i="21"/>
  <c r="P175" i="21"/>
  <c r="M110" i="21"/>
  <c r="U77" i="21"/>
  <c r="AB49" i="21"/>
  <c r="I103" i="21"/>
  <c r="U240" i="21"/>
  <c r="O85" i="21"/>
  <c r="X121" i="21"/>
  <c r="I176" i="21"/>
  <c r="T33" i="21"/>
  <c r="Y121" i="21"/>
  <c r="K184" i="21"/>
  <c r="Z34" i="21"/>
  <c r="AD72" i="21"/>
  <c r="T156" i="21"/>
  <c r="P37" i="21"/>
  <c r="I141" i="21"/>
  <c r="U189" i="21"/>
  <c r="K60" i="21"/>
  <c r="Q189" i="21"/>
  <c r="M62" i="21"/>
  <c r="X128" i="21"/>
  <c r="W21" i="21"/>
  <c r="R107" i="21"/>
  <c r="P9" i="21"/>
  <c r="L26" i="22" s="1"/>
  <c r="R149" i="21"/>
  <c r="Y29" i="21"/>
  <c r="AB120" i="21"/>
  <c r="N243" i="21"/>
  <c r="Y72" i="21"/>
  <c r="AD151" i="21"/>
  <c r="AB61" i="21"/>
  <c r="T112" i="21"/>
  <c r="V200" i="21"/>
  <c r="W227" i="21"/>
  <c r="O19" i="21"/>
  <c r="K179" i="21"/>
  <c r="O15" i="21"/>
  <c r="O32" i="21"/>
  <c r="Z16" i="21"/>
  <c r="AB11" i="21"/>
  <c r="J235" i="21"/>
  <c r="AB226" i="21"/>
  <c r="T174" i="21"/>
  <c r="Z136" i="21"/>
  <c r="O121" i="21"/>
  <c r="X86" i="21"/>
  <c r="W77" i="21"/>
  <c r="X56" i="21"/>
  <c r="S41" i="21"/>
  <c r="J34" i="21"/>
  <c r="L21" i="21"/>
  <c r="T13" i="21"/>
  <c r="V246" i="21"/>
  <c r="N225" i="21"/>
  <c r="P151" i="21"/>
  <c r="V205" i="21"/>
  <c r="X144" i="21"/>
  <c r="Q273" i="21"/>
  <c r="I194" i="21"/>
  <c r="P273" i="21"/>
  <c r="Q197" i="21"/>
  <c r="N138" i="21"/>
  <c r="O194" i="21"/>
  <c r="AC131" i="21"/>
  <c r="K235" i="21"/>
  <c r="T154" i="21"/>
  <c r="I236" i="21"/>
  <c r="N153" i="21"/>
  <c r="K109" i="21"/>
  <c r="R68" i="21"/>
  <c r="O268" i="21"/>
  <c r="AB182" i="21"/>
  <c r="M124" i="21"/>
  <c r="J85" i="21"/>
  <c r="R45" i="21"/>
  <c r="AB228" i="21"/>
  <c r="AA151" i="21"/>
  <c r="X106" i="21"/>
  <c r="K69" i="21"/>
  <c r="X30" i="21"/>
  <c r="L227" i="21"/>
  <c r="Z151" i="21"/>
  <c r="N111" i="21"/>
  <c r="M70" i="21"/>
  <c r="W30" i="21"/>
  <c r="Z230" i="21"/>
  <c r="AC150" i="21"/>
  <c r="N102" i="21"/>
  <c r="T62" i="21"/>
  <c r="Z24" i="21"/>
  <c r="U225" i="21"/>
  <c r="U109" i="21"/>
  <c r="Z48" i="21"/>
  <c r="AD233" i="21"/>
  <c r="S147" i="21"/>
  <c r="I270" i="21"/>
  <c r="X191" i="21"/>
  <c r="W131" i="21"/>
  <c r="M92" i="21"/>
  <c r="S52" i="21"/>
  <c r="AA14" i="21"/>
  <c r="P108" i="21"/>
  <c r="AD26" i="21"/>
  <c r="N245" i="21"/>
  <c r="AA179" i="21"/>
  <c r="AA116" i="21"/>
  <c r="J78" i="21"/>
  <c r="W39" i="21"/>
  <c r="N15" i="21"/>
  <c r="AB60" i="21"/>
  <c r="O104" i="21"/>
  <c r="AC160" i="21"/>
  <c r="N269" i="21"/>
  <c r="X46" i="21"/>
  <c r="AC89" i="21"/>
  <c r="AB137" i="21"/>
  <c r="N22" i="21"/>
  <c r="V67" i="21"/>
  <c r="AB112" i="21"/>
  <c r="AA181" i="21"/>
  <c r="R274" i="21"/>
  <c r="Y83" i="21"/>
  <c r="V240" i="21"/>
  <c r="J134" i="21"/>
  <c r="AA99" i="21"/>
  <c r="K80" i="21"/>
  <c r="J159" i="21"/>
  <c r="Z72" i="21"/>
  <c r="AB113" i="21"/>
  <c r="AD152" i="21"/>
  <c r="AB31" i="21"/>
  <c r="U117" i="21"/>
  <c r="AC180" i="21"/>
  <c r="J33" i="21"/>
  <c r="AA70" i="21"/>
  <c r="P138" i="21"/>
  <c r="Q35" i="21"/>
  <c r="L138" i="21"/>
  <c r="P186" i="21"/>
  <c r="Q55" i="21"/>
  <c r="N186" i="21"/>
  <c r="Y59" i="21"/>
  <c r="Y125" i="21"/>
  <c r="P16" i="21"/>
  <c r="J96" i="21"/>
  <c r="V276" i="21"/>
  <c r="O145" i="21"/>
  <c r="R27" i="21"/>
  <c r="T117" i="21"/>
  <c r="AB237" i="21"/>
  <c r="W244" i="21"/>
  <c r="Z63" i="21"/>
  <c r="L270" i="21"/>
  <c r="K59" i="21"/>
  <c r="V108" i="21"/>
  <c r="T194" i="21"/>
  <c r="U205" i="21"/>
  <c r="M17" i="21"/>
  <c r="AA162" i="21"/>
  <c r="O13" i="21"/>
  <c r="U35" i="21"/>
  <c r="AC19" i="21"/>
  <c r="M14" i="21"/>
  <c r="Y241" i="21"/>
  <c r="R235" i="21"/>
  <c r="AD181" i="21"/>
  <c r="T142" i="21"/>
  <c r="L126" i="21"/>
  <c r="S91" i="21"/>
  <c r="J82" i="21"/>
  <c r="T60" i="21"/>
  <c r="T48" i="21"/>
  <c r="AA37" i="21"/>
  <c r="U24" i="21"/>
  <c r="J16" i="21"/>
  <c r="P267" i="21"/>
  <c r="O150" i="21"/>
  <c r="R203" i="21"/>
  <c r="W143" i="21"/>
  <c r="M272" i="21"/>
  <c r="AC192" i="21"/>
  <c r="K272" i="21"/>
  <c r="K195" i="21"/>
  <c r="J193" i="21"/>
  <c r="AA129" i="21"/>
  <c r="N231" i="21"/>
  <c r="M153" i="21"/>
  <c r="V234" i="21"/>
  <c r="AC151" i="21"/>
  <c r="J108" i="21"/>
  <c r="O65" i="21"/>
  <c r="Y252" i="21"/>
  <c r="R181" i="21"/>
  <c r="K123" i="21"/>
  <c r="I84" i="21"/>
  <c r="Q44" i="21"/>
  <c r="M227" i="21"/>
  <c r="I146" i="21"/>
  <c r="U105" i="21"/>
  <c r="Y65" i="21"/>
  <c r="W29" i="21"/>
  <c r="X225" i="21"/>
  <c r="Q150" i="21"/>
  <c r="AC108" i="21"/>
  <c r="AA66" i="21"/>
  <c r="V29" i="21"/>
  <c r="K229" i="21"/>
  <c r="W147" i="21"/>
  <c r="AD100" i="21"/>
  <c r="AC59" i="21"/>
  <c r="W23" i="21"/>
  <c r="Z199" i="21"/>
  <c r="K107" i="21"/>
  <c r="Y43" i="21"/>
  <c r="O232" i="21"/>
  <c r="O144" i="21"/>
  <c r="L268" i="21"/>
  <c r="K190" i="21"/>
  <c r="W127" i="21"/>
  <c r="U88" i="21"/>
  <c r="N51" i="21"/>
  <c r="Z13" i="21"/>
  <c r="AA105" i="21"/>
  <c r="U23" i="21"/>
  <c r="U243" i="21"/>
  <c r="S162" i="21"/>
  <c r="S115" i="21"/>
  <c r="AB76" i="21"/>
  <c r="P38" i="21"/>
  <c r="S16" i="21"/>
  <c r="U62" i="21"/>
  <c r="J106" i="21"/>
  <c r="J179" i="21"/>
  <c r="Q271" i="21"/>
  <c r="J48" i="21"/>
  <c r="O91" i="21"/>
  <c r="W139" i="21"/>
  <c r="R226" i="21"/>
  <c r="J25" i="21"/>
  <c r="U70" i="21"/>
  <c r="T114" i="21"/>
  <c r="AA185" i="21"/>
  <c r="N107" i="21"/>
  <c r="I131" i="21"/>
  <c r="T179" i="21"/>
  <c r="Y265" i="21"/>
  <c r="L91" i="21"/>
  <c r="N187" i="21"/>
  <c r="Y239" i="21"/>
  <c r="AC70" i="21"/>
  <c r="AA111" i="21"/>
  <c r="P150" i="21"/>
  <c r="T28" i="21"/>
  <c r="AB106" i="21"/>
  <c r="I178" i="21"/>
  <c r="O270" i="21"/>
  <c r="Z68" i="21"/>
  <c r="AA135" i="21"/>
  <c r="M24" i="21"/>
  <c r="L133" i="21"/>
  <c r="P183" i="21"/>
  <c r="N53" i="21"/>
  <c r="O183" i="21"/>
  <c r="I51" i="21"/>
  <c r="W122" i="21"/>
  <c r="W14" i="21"/>
  <c r="K93" i="21"/>
  <c r="Y267" i="21"/>
  <c r="AB134" i="21"/>
  <c r="V25" i="21"/>
  <c r="Q110" i="21"/>
  <c r="Q233" i="21"/>
  <c r="AA239" i="21"/>
  <c r="Z51" i="21"/>
  <c r="Y264" i="21"/>
  <c r="X55" i="21"/>
  <c r="AA104" i="21"/>
  <c r="K189" i="21"/>
  <c r="S178" i="21"/>
  <c r="J15" i="21"/>
  <c r="K156" i="21"/>
  <c r="I11" i="21"/>
  <c r="J47" i="21"/>
  <c r="AA42" i="21"/>
  <c r="K17" i="21"/>
  <c r="L9" i="21"/>
  <c r="H26" i="22" s="1"/>
  <c r="Z241" i="21"/>
  <c r="Y188" i="21"/>
  <c r="V174" i="21"/>
  <c r="AC130" i="21"/>
  <c r="AD110" i="21"/>
  <c r="N101" i="21"/>
  <c r="M73" i="21"/>
  <c r="AA60" i="21"/>
  <c r="T41" i="21"/>
  <c r="V27" i="21"/>
  <c r="U18" i="21"/>
  <c r="M274" i="21"/>
  <c r="AC200" i="21"/>
  <c r="AA274" i="21"/>
  <c r="P202" i="21"/>
  <c r="AA269" i="21"/>
  <c r="T189" i="21"/>
  <c r="AD270" i="21"/>
  <c r="AB192" i="21"/>
  <c r="U276" i="21"/>
  <c r="AB191" i="21"/>
  <c r="X126" i="21"/>
  <c r="X228" i="21"/>
  <c r="Z150" i="21"/>
  <c r="Y231" i="21"/>
  <c r="V150" i="21"/>
  <c r="I107" i="21"/>
  <c r="N64" i="21"/>
  <c r="Y178" i="21"/>
  <c r="AD120" i="21"/>
  <c r="AD81" i="21"/>
  <c r="P43" i="21"/>
  <c r="Y225" i="21"/>
  <c r="T144" i="21"/>
  <c r="R104" i="21"/>
  <c r="V64" i="21"/>
  <c r="U27" i="21"/>
  <c r="AA148" i="21"/>
  <c r="Z107" i="21"/>
  <c r="X65" i="21"/>
  <c r="U28" i="21"/>
  <c r="S227" i="21"/>
  <c r="R144" i="21"/>
  <c r="W99" i="21"/>
  <c r="X58" i="21"/>
  <c r="T22" i="21"/>
  <c r="V196" i="21"/>
  <c r="V104" i="21"/>
  <c r="K35" i="21"/>
  <c r="J227" i="21"/>
  <c r="AB142" i="21"/>
  <c r="V266" i="21"/>
  <c r="AD186" i="21"/>
  <c r="O126" i="21"/>
  <c r="N87" i="21"/>
  <c r="I50" i="21"/>
  <c r="W10" i="21"/>
  <c r="Q103" i="21"/>
  <c r="AD18" i="21"/>
  <c r="AC241" i="21"/>
  <c r="AA159" i="21"/>
  <c r="M114" i="21"/>
  <c r="P74" i="21"/>
  <c r="AA35" i="21"/>
  <c r="J19" i="21"/>
  <c r="AD63" i="21"/>
  <c r="T107" i="21"/>
  <c r="AD180" i="21"/>
  <c r="AA276" i="21"/>
  <c r="T49" i="21"/>
  <c r="Z95" i="21"/>
  <c r="W141" i="21"/>
  <c r="P228" i="21"/>
  <c r="Q26" i="21"/>
  <c r="Q73" i="21"/>
  <c r="O116" i="21"/>
  <c r="AA187" i="21"/>
  <c r="AB118" i="21"/>
  <c r="Y92" i="21"/>
  <c r="R15" i="21"/>
  <c r="L23" i="21"/>
  <c r="V186" i="21"/>
  <c r="S61" i="21"/>
  <c r="AD154" i="21"/>
  <c r="AD204" i="21"/>
  <c r="I65" i="21"/>
  <c r="I90" i="21"/>
  <c r="Z233" i="21"/>
  <c r="V69" i="21"/>
  <c r="O98" i="21"/>
  <c r="AC177" i="21"/>
  <c r="Z88" i="21"/>
  <c r="S86" i="21"/>
  <c r="S124" i="21"/>
  <c r="S18" i="21"/>
  <c r="M119" i="21"/>
  <c r="AD271" i="21"/>
  <c r="V76" i="21"/>
  <c r="AB198" i="21"/>
  <c r="AA52" i="21"/>
  <c r="N272" i="21"/>
  <c r="P93" i="21"/>
  <c r="O243" i="21"/>
  <c r="V59" i="21"/>
  <c r="X138" i="21"/>
  <c r="Y143" i="21"/>
  <c r="P19" i="21"/>
  <c r="AB140" i="21"/>
  <c r="W264" i="21"/>
  <c r="AC39" i="21"/>
  <c r="AB96" i="21"/>
  <c r="T108" i="21"/>
  <c r="J155" i="21"/>
  <c r="X89" i="21"/>
  <c r="R31" i="21"/>
  <c r="K119" i="21"/>
  <c r="W84" i="21"/>
  <c r="I76" i="21"/>
  <c r="O59" i="21"/>
  <c r="N47" i="21"/>
  <c r="AB32" i="21"/>
  <c r="X17" i="21"/>
  <c r="Q12" i="21"/>
  <c r="W243" i="21"/>
  <c r="AA229" i="21"/>
  <c r="M151" i="21"/>
  <c r="M122" i="21"/>
  <c r="V111" i="21"/>
  <c r="I88" i="21"/>
  <c r="Q78" i="21"/>
  <c r="L248" i="21"/>
  <c r="P187" i="21"/>
  <c r="Q243" i="21"/>
  <c r="AA183" i="21"/>
  <c r="AC242" i="21"/>
  <c r="I238" i="21"/>
  <c r="U162" i="21"/>
  <c r="P240" i="21"/>
  <c r="Z175" i="21"/>
  <c r="P234" i="21"/>
  <c r="M162" i="21"/>
  <c r="K113" i="21"/>
  <c r="S192" i="21"/>
  <c r="V134" i="21"/>
  <c r="I195" i="21"/>
  <c r="K133" i="21"/>
  <c r="Q91" i="21"/>
  <c r="V48" i="21"/>
  <c r="T227" i="21"/>
  <c r="Z147" i="21"/>
  <c r="I108" i="21"/>
  <c r="P67" i="21"/>
  <c r="W270" i="21"/>
  <c r="Q190" i="21"/>
  <c r="J129" i="21"/>
  <c r="Z90" i="21"/>
  <c r="AA49" i="21"/>
  <c r="V273" i="21"/>
  <c r="AC188" i="21"/>
  <c r="M130" i="21"/>
  <c r="V89" i="21"/>
  <c r="I52" i="21"/>
  <c r="O273" i="21"/>
  <c r="AA191" i="21"/>
  <c r="P126" i="21"/>
  <c r="P82" i="21"/>
  <c r="AA43" i="21"/>
  <c r="L273" i="21"/>
  <c r="U155" i="21"/>
  <c r="S83" i="21"/>
  <c r="V191" i="21"/>
  <c r="AD124" i="21"/>
  <c r="Q232" i="21"/>
  <c r="V155" i="21"/>
  <c r="I112" i="21"/>
  <c r="T73" i="21"/>
  <c r="L35" i="21"/>
  <c r="W191" i="21"/>
  <c r="W63" i="21"/>
  <c r="T109" i="21"/>
  <c r="X205" i="21"/>
  <c r="AC140" i="21"/>
  <c r="R100" i="21"/>
  <c r="AC61" i="21"/>
  <c r="K23" i="21"/>
  <c r="V35" i="21"/>
  <c r="Z81" i="21"/>
  <c r="T128" i="21"/>
  <c r="O205" i="21"/>
  <c r="M22" i="21"/>
  <c r="AD65" i="21"/>
  <c r="Y109" i="21"/>
  <c r="R175" i="21"/>
  <c r="AD267" i="21"/>
  <c r="L42" i="21"/>
  <c r="AD89" i="21"/>
  <c r="AC137" i="21"/>
  <c r="K225" i="21"/>
  <c r="U20" i="21"/>
  <c r="W38" i="21"/>
  <c r="AD30" i="21"/>
  <c r="L269" i="21"/>
  <c r="W92" i="21"/>
  <c r="I143" i="21"/>
  <c r="V202" i="21"/>
  <c r="J63" i="21"/>
  <c r="AB85" i="21"/>
  <c r="K231" i="21"/>
  <c r="M54" i="21"/>
  <c r="O96" i="21"/>
  <c r="L160" i="21"/>
  <c r="S269" i="21"/>
  <c r="T86" i="21"/>
  <c r="AD235" i="21"/>
  <c r="N84" i="21"/>
  <c r="Z121" i="21"/>
  <c r="AA16" i="21"/>
  <c r="Y116" i="21"/>
  <c r="N242" i="21"/>
  <c r="AB73" i="21"/>
  <c r="M191" i="21"/>
  <c r="P50" i="21"/>
  <c r="T246" i="21"/>
  <c r="W76" i="21"/>
  <c r="V238" i="21"/>
  <c r="AA56" i="21"/>
  <c r="W134" i="21"/>
  <c r="L136" i="21"/>
  <c r="S13" i="21"/>
  <c r="Q128" i="21"/>
  <c r="AC244" i="21"/>
  <c r="M37" i="21"/>
  <c r="O86" i="21"/>
  <c r="X96" i="21"/>
  <c r="AB149" i="21"/>
  <c r="V86" i="21"/>
  <c r="R26" i="21"/>
  <c r="AB129" i="21"/>
  <c r="U114" i="21"/>
  <c r="V94" i="21"/>
  <c r="T63" i="21"/>
  <c r="Q51" i="21"/>
  <c r="O36" i="21"/>
  <c r="M26" i="21"/>
  <c r="L18" i="21"/>
  <c r="I266" i="21"/>
  <c r="W236" i="21"/>
  <c r="I185" i="21"/>
  <c r="J158" i="21"/>
  <c r="V117" i="21"/>
  <c r="AD91" i="21"/>
  <c r="J88" i="21"/>
  <c r="K246" i="21"/>
  <c r="L183" i="21"/>
  <c r="O242" i="21"/>
  <c r="U180" i="21"/>
  <c r="W239" i="21"/>
  <c r="AA236" i="21"/>
  <c r="AC155" i="21"/>
  <c r="Z236" i="21"/>
  <c r="T162" i="21"/>
  <c r="I233" i="21"/>
  <c r="Y158" i="21"/>
  <c r="AA273" i="21"/>
  <c r="I190" i="21"/>
  <c r="U133" i="21"/>
  <c r="O192" i="21"/>
  <c r="AA130" i="21"/>
  <c r="P90" i="21"/>
  <c r="U47" i="21"/>
  <c r="S146" i="21"/>
  <c r="AD105" i="21"/>
  <c r="O66" i="21"/>
  <c r="J269" i="21"/>
  <c r="T187" i="21"/>
  <c r="AC127" i="21"/>
  <c r="W89" i="21"/>
  <c r="X48" i="21"/>
  <c r="I272" i="21"/>
  <c r="S187" i="21"/>
  <c r="I129" i="21"/>
  <c r="S88" i="21"/>
  <c r="AC50" i="21"/>
  <c r="X271" i="21"/>
  <c r="W188" i="21"/>
  <c r="J125" i="21"/>
  <c r="K81" i="21"/>
  <c r="V42" i="21"/>
  <c r="U271" i="21"/>
  <c r="P152" i="21"/>
  <c r="Y79" i="21"/>
  <c r="K273" i="21"/>
  <c r="T188" i="21"/>
  <c r="Q122" i="21"/>
  <c r="Y230" i="21"/>
  <c r="I154" i="21"/>
  <c r="AA110" i="21"/>
  <c r="O72" i="21"/>
  <c r="AB33" i="21"/>
  <c r="J182" i="21"/>
  <c r="V58" i="21"/>
  <c r="J107" i="21"/>
  <c r="T202" i="21"/>
  <c r="T139" i="21"/>
  <c r="M99" i="21"/>
  <c r="S59" i="21"/>
  <c r="AB20" i="21"/>
  <c r="V38" i="21"/>
  <c r="O83" i="21"/>
  <c r="J132" i="21"/>
  <c r="R211" i="21"/>
  <c r="I25" i="21"/>
  <c r="U67" i="21"/>
  <c r="P111" i="21"/>
  <c r="Y177" i="21"/>
  <c r="M270" i="21"/>
  <c r="W43" i="21"/>
  <c r="R91" i="21"/>
  <c r="X139" i="21"/>
  <c r="R228" i="21"/>
  <c r="AB34" i="21"/>
  <c r="M44" i="21"/>
  <c r="AC76" i="21"/>
  <c r="X78" i="21"/>
  <c r="R182" i="21"/>
  <c r="L103" i="21"/>
  <c r="O136" i="21"/>
  <c r="N200" i="21"/>
  <c r="R61" i="21"/>
  <c r="M84" i="21"/>
  <c r="W198" i="21"/>
  <c r="AD46" i="21"/>
  <c r="M94" i="21"/>
  <c r="R148" i="21"/>
  <c r="O266" i="21"/>
  <c r="O84" i="21"/>
  <c r="Y232" i="21"/>
  <c r="V79" i="21"/>
  <c r="U106" i="21"/>
  <c r="U10" i="21"/>
  <c r="AD113" i="21"/>
  <c r="Q238" i="21"/>
  <c r="M71" i="21"/>
  <c r="R187" i="21"/>
  <c r="U45" i="21"/>
  <c r="AA242" i="21"/>
  <c r="J74" i="21"/>
  <c r="Z203" i="21"/>
  <c r="AB53" i="21"/>
  <c r="J131" i="21"/>
  <c r="O132" i="21"/>
  <c r="X9" i="21"/>
  <c r="Y124" i="21"/>
  <c r="R239" i="21"/>
  <c r="AA31" i="21"/>
  <c r="X82" i="21"/>
  <c r="J93" i="21"/>
  <c r="M136" i="21"/>
  <c r="AD82" i="21"/>
  <c r="Y10" i="21"/>
  <c r="N135" i="21"/>
  <c r="L119" i="21"/>
  <c r="K99" i="21"/>
  <c r="N67" i="21"/>
  <c r="P59" i="21"/>
  <c r="X39" i="21"/>
  <c r="U36" i="21"/>
  <c r="X20" i="21"/>
  <c r="T273" i="21"/>
  <c r="O245" i="21"/>
  <c r="M192" i="21"/>
  <c r="I177" i="21"/>
  <c r="N122" i="21"/>
  <c r="T96" i="21"/>
  <c r="K92" i="21"/>
  <c r="J245" i="21"/>
  <c r="K182" i="21"/>
  <c r="M241" i="21"/>
  <c r="Q178" i="21"/>
  <c r="U238" i="21"/>
  <c r="V235" i="21"/>
  <c r="Z154" i="21"/>
  <c r="U235" i="21"/>
  <c r="Q160" i="21"/>
  <c r="Z231" i="21"/>
  <c r="N156" i="21"/>
  <c r="S272" i="21"/>
  <c r="V187" i="21"/>
  <c r="Q276" i="21"/>
  <c r="X189" i="21"/>
  <c r="X129" i="21"/>
  <c r="M87" i="21"/>
  <c r="T46" i="21"/>
  <c r="M211" i="21"/>
  <c r="M145" i="21"/>
  <c r="Y100" i="21"/>
  <c r="N65" i="21"/>
  <c r="V267" i="21"/>
  <c r="AD185" i="21"/>
  <c r="Y126" i="21"/>
  <c r="T88" i="21"/>
  <c r="S47" i="21"/>
  <c r="AC265" i="21"/>
  <c r="AC185" i="21"/>
  <c r="AB127" i="21"/>
  <c r="P87" i="21"/>
  <c r="Z49" i="21"/>
  <c r="J270" i="21"/>
  <c r="Q185" i="21"/>
  <c r="N121" i="21"/>
  <c r="AA79" i="21"/>
  <c r="J40" i="21"/>
  <c r="AD269" i="21"/>
  <c r="T147" i="21"/>
  <c r="O77" i="21"/>
  <c r="S271" i="21"/>
  <c r="I182" i="21"/>
  <c r="K121" i="21"/>
  <c r="J229" i="21"/>
  <c r="R152" i="21"/>
  <c r="V109" i="21"/>
  <c r="J71" i="21"/>
  <c r="W32" i="21"/>
  <c r="L157" i="21"/>
  <c r="AD54" i="21"/>
  <c r="U104" i="21"/>
  <c r="AD200" i="21"/>
  <c r="V136" i="21"/>
  <c r="Z96" i="21"/>
  <c r="N58" i="21"/>
  <c r="U17" i="21"/>
  <c r="K40" i="21"/>
  <c r="AA84" i="21"/>
  <c r="W133" i="21"/>
  <c r="R225" i="21"/>
  <c r="P26" i="21"/>
  <c r="AD68" i="21"/>
  <c r="M116" i="21"/>
  <c r="W179" i="21"/>
  <c r="O272" i="21"/>
  <c r="N45" i="21"/>
  <c r="AA92" i="21"/>
  <c r="Y141" i="21"/>
  <c r="AC230" i="21"/>
  <c r="R54" i="21"/>
  <c r="AB97" i="21"/>
  <c r="Q123" i="21"/>
  <c r="AA201" i="21"/>
  <c r="Q11" i="21"/>
  <c r="K118" i="21"/>
  <c r="N132" i="21"/>
  <c r="AB187" i="21"/>
  <c r="Q268" i="21"/>
  <c r="N80" i="21"/>
  <c r="Z195" i="21"/>
  <c r="P45" i="21"/>
  <c r="J92" i="21"/>
  <c r="T137" i="21"/>
  <c r="I82" i="21"/>
  <c r="AB225" i="21"/>
  <c r="AD76" i="21"/>
  <c r="O99" i="21"/>
  <c r="J9" i="21"/>
  <c r="O234" i="21"/>
  <c r="O68" i="21"/>
  <c r="N160" i="21"/>
  <c r="K43" i="21"/>
  <c r="R238" i="21"/>
  <c r="N71" i="21"/>
  <c r="S199" i="21"/>
  <c r="AA39" i="21"/>
  <c r="O127" i="21"/>
  <c r="AA128" i="21"/>
  <c r="R272" i="21"/>
  <c r="V120" i="21"/>
  <c r="Y205" i="21"/>
  <c r="AD28" i="21"/>
  <c r="L65" i="21"/>
  <c r="Y78" i="21"/>
  <c r="K132" i="21"/>
  <c r="AB68" i="21"/>
  <c r="V274" i="21"/>
  <c r="M141" i="21"/>
  <c r="AC129" i="21"/>
  <c r="Z103" i="21"/>
  <c r="Q89" i="21"/>
  <c r="S71" i="21"/>
  <c r="K44" i="21"/>
  <c r="Y39" i="21"/>
  <c r="AB23" i="21"/>
  <c r="M18" i="21"/>
  <c r="K266" i="21"/>
  <c r="P198" i="21"/>
  <c r="J185" i="21"/>
  <c r="N144" i="21"/>
  <c r="T133" i="21"/>
  <c r="W96" i="21"/>
  <c r="I244" i="21"/>
  <c r="J181" i="21"/>
  <c r="K240" i="21"/>
  <c r="K175" i="21"/>
  <c r="Q236" i="21"/>
  <c r="X229" i="21"/>
  <c r="Q151" i="21"/>
  <c r="Q234" i="21"/>
  <c r="Y154" i="21"/>
  <c r="T230" i="21"/>
  <c r="I155" i="21"/>
  <c r="M271" i="21"/>
  <c r="Q186" i="21"/>
  <c r="N271" i="21"/>
  <c r="AC186" i="21"/>
  <c r="T127" i="21"/>
  <c r="S45" i="21"/>
  <c r="S204" i="21"/>
  <c r="W142" i="21"/>
  <c r="X99" i="21"/>
  <c r="K62" i="21"/>
  <c r="S264" i="21"/>
  <c r="X181" i="21"/>
  <c r="P124" i="21"/>
  <c r="Q87" i="21"/>
  <c r="P46" i="21"/>
  <c r="AD252" i="21"/>
  <c r="T184" i="21"/>
  <c r="W126" i="21"/>
  <c r="AB83" i="21"/>
  <c r="R47" i="21"/>
  <c r="M268" i="21"/>
  <c r="X183" i="21"/>
  <c r="W118" i="21"/>
  <c r="AB38" i="21"/>
  <c r="AA264" i="21"/>
  <c r="AC142" i="21"/>
  <c r="J76" i="21"/>
  <c r="AB269" i="21"/>
  <c r="S180" i="21"/>
  <c r="Z119" i="21"/>
  <c r="Q227" i="21"/>
  <c r="P149" i="21"/>
  <c r="Q108" i="21"/>
  <c r="T31" i="21"/>
  <c r="AA150" i="21"/>
  <c r="M51" i="21"/>
  <c r="P103" i="21"/>
  <c r="U197" i="21"/>
  <c r="K135" i="21"/>
  <c r="I57" i="21"/>
  <c r="T16" i="21"/>
  <c r="V41" i="21"/>
  <c r="M137" i="21"/>
  <c r="AA227" i="21"/>
  <c r="R70" i="21"/>
  <c r="AA117" i="21"/>
  <c r="O274" i="21"/>
  <c r="Y46" i="21"/>
  <c r="O147" i="21"/>
  <c r="Q225" i="21"/>
  <c r="I153" i="21"/>
  <c r="M80" i="21"/>
  <c r="U129" i="21"/>
  <c r="S130" i="21"/>
  <c r="J246" i="21"/>
  <c r="P78" i="21"/>
  <c r="S43" i="21"/>
  <c r="N75" i="21"/>
  <c r="I246" i="21"/>
  <c r="W79" i="21"/>
  <c r="V74" i="21"/>
  <c r="I97" i="21"/>
  <c r="U101" i="21"/>
  <c r="M156" i="21"/>
  <c r="Y234" i="21"/>
  <c r="P194" i="21"/>
  <c r="P110" i="21"/>
  <c r="T267" i="21"/>
  <c r="W200" i="21"/>
  <c r="Z58" i="21"/>
  <c r="I128" i="21"/>
  <c r="R89" i="21"/>
  <c r="O135" i="21"/>
  <c r="L99" i="21"/>
  <c r="O47" i="21"/>
  <c r="AA26" i="21"/>
  <c r="AB273" i="21"/>
  <c r="Q198" i="21"/>
  <c r="X151" i="21"/>
  <c r="P102" i="21"/>
  <c r="I180" i="21"/>
  <c r="AD160" i="21"/>
  <c r="T228" i="21"/>
  <c r="M233" i="21"/>
  <c r="L229" i="21"/>
  <c r="U268" i="21"/>
  <c r="Y269" i="21"/>
  <c r="R126" i="21"/>
  <c r="Q43" i="21"/>
  <c r="K140" i="21"/>
  <c r="I60" i="21"/>
  <c r="V178" i="21"/>
  <c r="I85" i="21"/>
  <c r="O124" i="21"/>
  <c r="L45" i="21"/>
  <c r="M182" i="21"/>
  <c r="L76" i="21"/>
  <c r="V248" i="21"/>
  <c r="S73" i="21"/>
  <c r="M177" i="21"/>
  <c r="V225" i="21"/>
  <c r="L107" i="21"/>
  <c r="Q30" i="21"/>
  <c r="Q47" i="21"/>
  <c r="AD195" i="21"/>
  <c r="N94" i="21"/>
  <c r="T111" i="21"/>
  <c r="I83" i="21"/>
  <c r="V78" i="21"/>
  <c r="AB69" i="21"/>
  <c r="S95" i="21"/>
  <c r="Q86" i="21"/>
  <c r="Z27" i="21"/>
  <c r="Z181" i="21"/>
  <c r="P94" i="21"/>
  <c r="AA232" i="21"/>
  <c r="O35" i="21"/>
  <c r="Z268" i="21"/>
  <c r="W185" i="21"/>
  <c r="Z190" i="21"/>
  <c r="K128" i="21"/>
  <c r="W274" i="21"/>
  <c r="AC65" i="21"/>
  <c r="Z40" i="21"/>
  <c r="U68" i="21"/>
  <c r="Q37" i="21"/>
  <c r="L125" i="21"/>
  <c r="P116" i="21"/>
  <c r="K24" i="21"/>
  <c r="Y71" i="21"/>
  <c r="Q65" i="21"/>
  <c r="P147" i="21"/>
  <c r="P109" i="21"/>
  <c r="X80" i="21"/>
  <c r="L44" i="21"/>
  <c r="AA20" i="21"/>
  <c r="K211" i="21"/>
  <c r="AA138" i="21"/>
  <c r="AD241" i="21"/>
  <c r="I239" i="21"/>
  <c r="O235" i="21"/>
  <c r="M150" i="21"/>
  <c r="V153" i="21"/>
  <c r="N151" i="21"/>
  <c r="K185" i="21"/>
  <c r="U185" i="21"/>
  <c r="AD80" i="21"/>
  <c r="L203" i="21"/>
  <c r="W98" i="21"/>
  <c r="J123" i="21"/>
  <c r="M45" i="21"/>
  <c r="V181" i="21"/>
  <c r="Y82" i="21"/>
  <c r="W266" i="21"/>
  <c r="Q117" i="21"/>
  <c r="W37" i="21"/>
  <c r="S138" i="21"/>
  <c r="J268" i="21"/>
  <c r="T118" i="21"/>
  <c r="V147" i="21"/>
  <c r="W68" i="21"/>
  <c r="L149" i="21"/>
  <c r="AA100" i="21"/>
  <c r="Z133" i="21"/>
  <c r="T35" i="21"/>
  <c r="AB72" i="21"/>
  <c r="U22" i="21"/>
  <c r="Q102" i="21"/>
  <c r="Y41" i="21"/>
  <c r="X92" i="21"/>
  <c r="I96" i="21"/>
  <c r="P131" i="21"/>
  <c r="V199" i="21"/>
  <c r="R49" i="21"/>
  <c r="J130" i="21"/>
  <c r="P226" i="21"/>
  <c r="M48" i="21"/>
  <c r="S100" i="21"/>
  <c r="N181" i="21"/>
  <c r="Z47" i="21"/>
  <c r="AB174" i="21"/>
  <c r="T205" i="21"/>
  <c r="X71" i="21"/>
  <c r="O202" i="21"/>
  <c r="M76" i="21"/>
  <c r="U160" i="21"/>
  <c r="W31" i="21"/>
  <c r="V125" i="21"/>
  <c r="O16" i="21"/>
  <c r="V160" i="21"/>
  <c r="M43" i="21"/>
  <c r="M131" i="21"/>
  <c r="X18" i="21"/>
  <c r="R84" i="21"/>
  <c r="V85" i="21"/>
  <c r="W195" i="21"/>
  <c r="K72" i="21"/>
  <c r="U136" i="21"/>
  <c r="AD232" i="21"/>
  <c r="U269" i="21"/>
  <c r="AD45" i="21"/>
  <c r="J228" i="21"/>
  <c r="S37" i="21"/>
  <c r="X22" i="21"/>
  <c r="I9" i="21"/>
  <c r="AA225" i="21"/>
  <c r="AB196" i="21"/>
  <c r="AC135" i="21"/>
  <c r="J126" i="21"/>
  <c r="R99" i="21"/>
  <c r="AA76" i="21"/>
  <c r="J73" i="21"/>
  <c r="U52" i="21"/>
  <c r="AA44" i="21"/>
  <c r="M27" i="21"/>
  <c r="O10" i="21"/>
  <c r="L246" i="21"/>
  <c r="R192" i="21"/>
  <c r="AB185" i="21"/>
  <c r="R229" i="21"/>
  <c r="U156" i="21"/>
  <c r="AD225" i="21"/>
  <c r="K151" i="21"/>
  <c r="N207" i="21"/>
  <c r="K203" i="21"/>
  <c r="R141" i="21"/>
  <c r="I86" i="21"/>
  <c r="AC9" i="21"/>
  <c r="Y26" i="22" s="1"/>
  <c r="AB157" i="21"/>
  <c r="P174" i="21"/>
  <c r="AB89" i="21"/>
  <c r="J53" i="21"/>
  <c r="W41" i="21"/>
  <c r="R198" i="21"/>
  <c r="T130" i="21"/>
  <c r="L194" i="21"/>
  <c r="Q129" i="21"/>
  <c r="N155" i="21"/>
  <c r="P176" i="21"/>
  <c r="Y152" i="21"/>
  <c r="V194" i="21"/>
  <c r="X21" i="21"/>
  <c r="AD24" i="21"/>
  <c r="J152" i="21"/>
  <c r="AB227" i="21"/>
  <c r="Z140" i="21"/>
  <c r="AB39" i="21"/>
  <c r="X232" i="21"/>
  <c r="K270" i="21"/>
  <c r="AC233" i="21"/>
  <c r="I63" i="21"/>
  <c r="N9" i="21"/>
  <c r="J26" i="22" s="1"/>
  <c r="J95" i="21"/>
  <c r="K30" i="21"/>
  <c r="N133" i="21"/>
  <c r="AA64" i="21"/>
  <c r="U211" i="21"/>
  <c r="N57" i="21"/>
  <c r="Y196" i="21"/>
  <c r="I227" i="21"/>
  <c r="M234" i="21"/>
  <c r="N179" i="21"/>
  <c r="Z200" i="21"/>
  <c r="AC227" i="21"/>
  <c r="T122" i="21"/>
  <c r="X160" i="21"/>
  <c r="M203" i="21"/>
  <c r="O112" i="21"/>
  <c r="N40" i="21"/>
  <c r="V158" i="21"/>
  <c r="R93" i="21"/>
  <c r="AD33" i="21"/>
  <c r="AC154" i="21"/>
  <c r="AC83" i="21"/>
  <c r="P22" i="21"/>
  <c r="U175" i="21"/>
  <c r="Q96" i="21"/>
  <c r="Z33" i="21"/>
  <c r="Y175" i="21"/>
  <c r="Z94" i="21"/>
  <c r="U31" i="21"/>
  <c r="V183" i="21"/>
  <c r="W53" i="21"/>
  <c r="S175" i="21"/>
  <c r="T141" i="21"/>
  <c r="U78" i="21"/>
  <c r="AC16" i="21"/>
  <c r="T42" i="21"/>
  <c r="R233" i="21"/>
  <c r="R128" i="21"/>
  <c r="W65" i="21"/>
  <c r="M9" i="21"/>
  <c r="I26" i="22" s="1"/>
  <c r="R77" i="21"/>
  <c r="W150" i="21"/>
  <c r="N18" i="21"/>
  <c r="AA83" i="21"/>
  <c r="S153" i="21"/>
  <c r="J17" i="21"/>
  <c r="M42" i="21"/>
  <c r="AD38" i="21"/>
  <c r="Q204" i="21"/>
  <c r="Q157" i="21"/>
  <c r="AD87" i="21"/>
  <c r="AC36" i="21"/>
  <c r="R273" i="21"/>
  <c r="S195" i="21"/>
  <c r="AD127" i="21"/>
  <c r="M181" i="21"/>
  <c r="AB126" i="21"/>
  <c r="AC136" i="21"/>
  <c r="W148" i="21"/>
  <c r="V141" i="21"/>
  <c r="K191" i="21"/>
  <c r="AA19" i="21"/>
  <c r="AB22" i="21"/>
  <c r="J148" i="21"/>
  <c r="AB200" i="21"/>
  <c r="Q132" i="21"/>
  <c r="AC28" i="21"/>
  <c r="AA182" i="21"/>
  <c r="M68" i="21"/>
  <c r="P252" i="21"/>
  <c r="AD70" i="21"/>
  <c r="P20" i="21"/>
  <c r="S105" i="21"/>
  <c r="R33" i="21"/>
  <c r="AD137" i="21"/>
  <c r="Y77" i="21"/>
  <c r="J231" i="21"/>
  <c r="K74" i="21"/>
  <c r="X195" i="21"/>
  <c r="I232" i="21"/>
  <c r="K178" i="21"/>
  <c r="Y191" i="21"/>
  <c r="W226" i="21"/>
  <c r="S121" i="21"/>
  <c r="S159" i="21"/>
  <c r="Z201" i="21"/>
  <c r="AD104" i="21"/>
  <c r="M39" i="21"/>
  <c r="O157" i="21"/>
  <c r="Q92" i="21"/>
  <c r="W273" i="21"/>
  <c r="L143" i="21"/>
  <c r="W81" i="21"/>
  <c r="O21" i="21"/>
  <c r="L159" i="21"/>
  <c r="N95" i="21"/>
  <c r="T27" i="21"/>
  <c r="K174" i="21"/>
  <c r="N92" i="21"/>
  <c r="O29" i="21"/>
  <c r="T180" i="21"/>
  <c r="S31" i="21"/>
  <c r="AC162" i="21"/>
  <c r="AC245" i="21"/>
  <c r="AC139" i="21"/>
  <c r="P77" i="21"/>
  <c r="V9" i="21"/>
  <c r="R26" i="22" s="1"/>
  <c r="M41" i="21"/>
  <c r="I230" i="21"/>
  <c r="L127" i="21"/>
  <c r="R64" i="21"/>
  <c r="M10" i="21"/>
  <c r="AC78" i="21"/>
  <c r="Z152" i="21"/>
  <c r="U19" i="21"/>
  <c r="Q85" i="21"/>
  <c r="U157" i="21"/>
  <c r="J201" i="21"/>
  <c r="K98" i="21"/>
  <c r="I80" i="21"/>
  <c r="Z18" i="21"/>
  <c r="K55" i="21"/>
  <c r="N140" i="21"/>
  <c r="J157" i="21"/>
  <c r="Q107" i="21"/>
  <c r="I56" i="21"/>
  <c r="AC49" i="21"/>
  <c r="Z271" i="21"/>
  <c r="Q34" i="21"/>
  <c r="AA46" i="21"/>
  <c r="AA40" i="21"/>
  <c r="L71" i="21"/>
  <c r="X113" i="21"/>
  <c r="X146" i="21"/>
  <c r="Z106" i="21"/>
  <c r="S35" i="21"/>
  <c r="R43" i="21"/>
  <c r="O17" i="21"/>
  <c r="AA115" i="21"/>
  <c r="S128" i="21"/>
  <c r="AB19" i="21"/>
  <c r="I142" i="21"/>
  <c r="Y35" i="21"/>
  <c r="AA203" i="21"/>
  <c r="AC63" i="21"/>
  <c r="K192" i="21"/>
  <c r="M96" i="21"/>
  <c r="AA266" i="21"/>
  <c r="W144" i="21"/>
  <c r="T269" i="21"/>
  <c r="Y273" i="21"/>
  <c r="X157" i="21"/>
  <c r="Q240" i="21"/>
  <c r="M266" i="21"/>
  <c r="AC147" i="21"/>
  <c r="M178" i="21"/>
  <c r="X237" i="21"/>
  <c r="P268" i="21"/>
  <c r="T146" i="21"/>
  <c r="Z76" i="21"/>
  <c r="U234" i="21"/>
  <c r="S127" i="21"/>
  <c r="AD57" i="21"/>
  <c r="P199" i="21"/>
  <c r="Q118" i="21"/>
  <c r="S55" i="21"/>
  <c r="S233" i="21"/>
  <c r="I123" i="21"/>
  <c r="AD59" i="21"/>
  <c r="N239" i="21"/>
  <c r="I133" i="21"/>
  <c r="AD64" i="21"/>
  <c r="J244" i="21"/>
  <c r="P98" i="21"/>
  <c r="AD243" i="21"/>
  <c r="AB132" i="21"/>
  <c r="J195" i="21"/>
  <c r="W104" i="21"/>
  <c r="Z43" i="21"/>
  <c r="AB139" i="21"/>
  <c r="N141" i="21"/>
  <c r="N183" i="21"/>
  <c r="AD92" i="21"/>
  <c r="Q33" i="21"/>
  <c r="U44" i="21"/>
  <c r="R115" i="21"/>
  <c r="AB231" i="21"/>
  <c r="V52" i="21"/>
  <c r="I121" i="21"/>
  <c r="Z232" i="21"/>
  <c r="U49" i="21"/>
  <c r="Z122" i="21"/>
  <c r="J237" i="21"/>
  <c r="V9" i="20"/>
  <c r="Q155" i="21"/>
  <c r="S79" i="21"/>
  <c r="S9" i="21"/>
  <c r="O26" i="22" s="1"/>
  <c r="R127" i="21"/>
  <c r="U55" i="21"/>
  <c r="L199" i="21"/>
  <c r="L95" i="21"/>
  <c r="S20" i="21"/>
  <c r="L68" i="21"/>
  <c r="U148" i="21"/>
  <c r="Z272" i="21"/>
  <c r="X135" i="21"/>
  <c r="M56" i="21"/>
  <c r="S122" i="21"/>
  <c r="R237" i="21"/>
  <c r="AB194" i="21"/>
  <c r="J66" i="21"/>
  <c r="W235" i="21"/>
  <c r="S57" i="21"/>
  <c r="U138" i="21"/>
  <c r="N21" i="21"/>
  <c r="V81" i="21"/>
  <c r="U178" i="21"/>
  <c r="AD34" i="21"/>
  <c r="O103" i="21"/>
  <c r="AB197" i="21"/>
  <c r="U72" i="21"/>
  <c r="S136" i="21"/>
  <c r="K37" i="21"/>
  <c r="U115" i="21"/>
  <c r="P230" i="21"/>
  <c r="AC204" i="21"/>
  <c r="AB176" i="21"/>
  <c r="S152" i="21"/>
  <c r="X145" i="21"/>
  <c r="AB229" i="21"/>
  <c r="M229" i="21"/>
  <c r="T231" i="21"/>
  <c r="Y185" i="21"/>
  <c r="S27" i="21"/>
  <c r="S48" i="21"/>
  <c r="X115" i="21"/>
  <c r="N190" i="21"/>
  <c r="X35" i="21"/>
  <c r="K67" i="21"/>
  <c r="Z124" i="21"/>
  <c r="N136" i="21"/>
  <c r="J72" i="21"/>
  <c r="X178" i="21"/>
  <c r="K162" i="21"/>
  <c r="L75" i="21"/>
  <c r="X101" i="21"/>
  <c r="N55" i="21"/>
  <c r="M79" i="21"/>
  <c r="T92" i="21"/>
  <c r="U92" i="21"/>
  <c r="P200" i="21"/>
  <c r="T203" i="21"/>
  <c r="O58" i="21"/>
  <c r="I152" i="21"/>
  <c r="W211" i="21"/>
  <c r="P101" i="21"/>
  <c r="X59" i="21"/>
  <c r="Z112" i="21"/>
  <c r="Z62" i="21"/>
  <c r="Y23" i="20"/>
  <c r="AC110" i="20"/>
  <c r="P226" i="20"/>
  <c r="S273" i="20"/>
  <c r="AC205" i="20"/>
  <c r="S108" i="20"/>
  <c r="X190" i="20"/>
  <c r="R236" i="20"/>
  <c r="T80" i="20"/>
  <c r="V158" i="20"/>
  <c r="T20" i="20"/>
  <c r="N55" i="20"/>
  <c r="W9" i="20"/>
  <c r="U153" i="21"/>
  <c r="S76" i="21"/>
  <c r="Z265" i="21"/>
  <c r="AD125" i="21"/>
  <c r="J51" i="21"/>
  <c r="L197" i="21"/>
  <c r="Z93" i="21"/>
  <c r="S11" i="21"/>
  <c r="Q69" i="21"/>
  <c r="K150" i="21"/>
  <c r="O141" i="21"/>
  <c r="R57" i="21"/>
  <c r="Z123" i="21"/>
  <c r="K239" i="21"/>
  <c r="U196" i="21"/>
  <c r="V68" i="21"/>
  <c r="O237" i="21"/>
  <c r="L66" i="21"/>
  <c r="AD139" i="21"/>
  <c r="P23" i="21"/>
  <c r="AB91" i="21"/>
  <c r="AD179" i="21"/>
  <c r="L36" i="21"/>
  <c r="AD108" i="21"/>
  <c r="Y200" i="21"/>
  <c r="V73" i="21"/>
  <c r="U150" i="21"/>
  <c r="L38" i="21"/>
  <c r="W116" i="21"/>
  <c r="X241" i="21"/>
  <c r="S211" i="21"/>
  <c r="R179" i="21"/>
  <c r="AD176" i="21"/>
  <c r="AD147" i="21"/>
  <c r="AD230" i="21"/>
  <c r="Z235" i="21"/>
  <c r="U232" i="21"/>
  <c r="X177" i="21"/>
  <c r="S245" i="21"/>
  <c r="L41" i="21"/>
  <c r="V77" i="21"/>
  <c r="P182" i="21"/>
  <c r="U154" i="21"/>
  <c r="Z22" i="21"/>
  <c r="R58" i="21"/>
  <c r="W132" i="21"/>
  <c r="AD149" i="21"/>
  <c r="I79" i="21"/>
  <c r="R195" i="21"/>
  <c r="I191" i="21"/>
  <c r="K78" i="21"/>
  <c r="Y104" i="21"/>
  <c r="AA73" i="21"/>
  <c r="Q82" i="21"/>
  <c r="W121" i="21"/>
  <c r="AA94" i="21"/>
  <c r="AA272" i="21"/>
  <c r="Z242" i="21"/>
  <c r="X66" i="21"/>
  <c r="U174" i="21"/>
  <c r="AD234" i="21"/>
  <c r="Z108" i="21"/>
  <c r="AB24" i="21"/>
  <c r="S98" i="21"/>
  <c r="J14" i="21"/>
  <c r="AC27" i="20"/>
  <c r="R115" i="20"/>
  <c r="Z227" i="20"/>
  <c r="W204" i="20"/>
  <c r="M37" i="20"/>
  <c r="AD185" i="20"/>
  <c r="P235" i="20"/>
  <c r="R79" i="20"/>
  <c r="M154" i="20"/>
  <c r="Y42" i="20"/>
  <c r="Q80" i="20"/>
  <c r="AB9" i="20"/>
  <c r="T151" i="21"/>
  <c r="J75" i="21"/>
  <c r="Q124" i="21"/>
  <c r="V43" i="21"/>
  <c r="P195" i="21"/>
  <c r="L89" i="21"/>
  <c r="N10" i="21"/>
  <c r="AC71" i="21"/>
  <c r="Y151" i="21"/>
  <c r="M117" i="21"/>
  <c r="P144" i="21"/>
  <c r="W58" i="21"/>
  <c r="I125" i="21"/>
  <c r="L198" i="21"/>
  <c r="AC85" i="21"/>
  <c r="X240" i="21"/>
  <c r="S67" i="21"/>
  <c r="U141" i="21"/>
  <c r="Q24" i="21"/>
  <c r="T97" i="21"/>
  <c r="O190" i="21"/>
  <c r="U39" i="21"/>
  <c r="W113" i="21"/>
  <c r="X75" i="21"/>
  <c r="AB151" i="21"/>
  <c r="X50" i="21"/>
  <c r="Y117" i="21"/>
  <c r="K243" i="21"/>
  <c r="X180" i="21"/>
  <c r="P180" i="21"/>
  <c r="J149" i="21"/>
  <c r="K245" i="21"/>
  <c r="AD237" i="21"/>
  <c r="W234" i="21"/>
  <c r="S158" i="21"/>
  <c r="AD236" i="21"/>
  <c r="I21" i="21"/>
  <c r="I69" i="21"/>
  <c r="Q90" i="21"/>
  <c r="W130" i="21"/>
  <c r="Z270" i="21"/>
  <c r="V50" i="21"/>
  <c r="M146" i="21"/>
  <c r="X155" i="21"/>
  <c r="AB82" i="21"/>
  <c r="S239" i="21"/>
  <c r="M225" i="21"/>
  <c r="P81" i="21"/>
  <c r="X107" i="21"/>
  <c r="U76" i="21"/>
  <c r="AC84" i="21"/>
  <c r="N129" i="21"/>
  <c r="AB131" i="21"/>
  <c r="Z9" i="21"/>
  <c r="U29" i="21"/>
  <c r="AB70" i="21"/>
  <c r="T177" i="21"/>
  <c r="N240" i="21"/>
  <c r="X110" i="21"/>
  <c r="M140" i="21"/>
  <c r="O57" i="21"/>
  <c r="S231" i="21"/>
  <c r="I41" i="20"/>
  <c r="AB122" i="20"/>
  <c r="M232" i="20"/>
  <c r="K248" i="20"/>
  <c r="K176" i="20"/>
  <c r="K34" i="20"/>
  <c r="P138" i="20"/>
  <c r="N205" i="20"/>
  <c r="N77" i="20"/>
  <c r="Z120" i="20"/>
  <c r="N159" i="20"/>
  <c r="P69" i="20"/>
  <c r="X141" i="20"/>
  <c r="V84" i="20"/>
  <c r="J31" i="20"/>
  <c r="Q105" i="20"/>
  <c r="AA21" i="20"/>
  <c r="V201" i="20"/>
  <c r="V28" i="20"/>
  <c r="V51" i="20"/>
  <c r="P202" i="20"/>
  <c r="AD194" i="20"/>
  <c r="Z273" i="20"/>
  <c r="L113" i="20"/>
  <c r="O102" i="20"/>
  <c r="W181" i="20"/>
  <c r="Y133" i="21"/>
  <c r="N131" i="21"/>
  <c r="K147" i="21"/>
  <c r="X149" i="21"/>
  <c r="W25" i="20"/>
  <c r="P96" i="20"/>
  <c r="Q149" i="20"/>
  <c r="I232" i="20"/>
  <c r="AD27" i="20"/>
  <c r="AA99" i="20"/>
  <c r="P152" i="20"/>
  <c r="L229" i="20"/>
  <c r="R37" i="20"/>
  <c r="M98" i="20"/>
  <c r="R155" i="20"/>
  <c r="N242" i="20"/>
  <c r="L41" i="20"/>
  <c r="N103" i="20"/>
  <c r="O158" i="20"/>
  <c r="U239" i="20"/>
  <c r="J267" i="20"/>
  <c r="R190" i="20"/>
  <c r="T121" i="20"/>
  <c r="X64" i="20"/>
  <c r="U272" i="20"/>
  <c r="Y187" i="20"/>
  <c r="O125" i="20"/>
  <c r="L63" i="20"/>
  <c r="Z174" i="20"/>
  <c r="N95" i="20"/>
  <c r="V27" i="20"/>
  <c r="AC191" i="20"/>
  <c r="U126" i="20"/>
  <c r="AA62" i="20"/>
  <c r="R230" i="20"/>
  <c r="P144" i="20"/>
  <c r="Z68" i="20"/>
  <c r="Q133" i="20"/>
  <c r="T59" i="20"/>
  <c r="X198" i="20"/>
  <c r="Z125" i="20"/>
  <c r="I46" i="20"/>
  <c r="X63" i="20"/>
  <c r="W78" i="20"/>
  <c r="W82" i="20"/>
  <c r="M90" i="20"/>
  <c r="P92" i="20"/>
  <c r="AA10" i="20"/>
  <c r="Z245" i="20"/>
  <c r="AB41" i="20"/>
  <c r="AC24" i="20"/>
  <c r="Z193" i="20"/>
  <c r="AA132" i="20"/>
  <c r="N69" i="20"/>
  <c r="L24" i="20"/>
  <c r="J122" i="20"/>
  <c r="J93" i="20"/>
  <c r="R158" i="20"/>
  <c r="M23" i="20"/>
  <c r="S47" i="20"/>
  <c r="X181" i="20"/>
  <c r="X192" i="20"/>
  <c r="U270" i="20"/>
  <c r="AB121" i="20"/>
  <c r="T95" i="20"/>
  <c r="X66" i="20"/>
  <c r="M148" i="20"/>
  <c r="AB55" i="20"/>
  <c r="Q115" i="20"/>
  <c r="I182" i="20"/>
  <c r="AD252" i="20"/>
  <c r="P59" i="20"/>
  <c r="AA116" i="20"/>
  <c r="U183" i="20"/>
  <c r="L267" i="20"/>
  <c r="P61" i="20"/>
  <c r="O121" i="20"/>
  <c r="L191" i="20"/>
  <c r="Y269" i="20"/>
  <c r="AD66" i="20"/>
  <c r="Q127" i="20"/>
  <c r="Y195" i="20"/>
  <c r="Z274" i="20"/>
  <c r="J231" i="20"/>
  <c r="AB153" i="20"/>
  <c r="W105" i="20"/>
  <c r="M34" i="20"/>
  <c r="Q237" i="20"/>
  <c r="M160" i="20"/>
  <c r="T108" i="20"/>
  <c r="N29" i="20"/>
  <c r="L211" i="20"/>
  <c r="V135" i="20"/>
  <c r="M66" i="20"/>
  <c r="J242" i="20"/>
  <c r="AC160" i="20"/>
  <c r="N102" i="20"/>
  <c r="S27" i="20"/>
  <c r="T195" i="20"/>
  <c r="V114" i="20"/>
  <c r="L45" i="20"/>
  <c r="S183" i="20"/>
  <c r="R108" i="20"/>
  <c r="T28" i="20"/>
  <c r="P158" i="20"/>
  <c r="AA98" i="20"/>
  <c r="Z14" i="20"/>
  <c r="R31" i="20"/>
  <c r="Z53" i="20"/>
  <c r="AD61" i="20"/>
  <c r="AC61" i="20"/>
  <c r="R68" i="20"/>
  <c r="P84" i="20"/>
  <c r="W158" i="20"/>
  <c r="V187" i="20"/>
  <c r="O111" i="20"/>
  <c r="Y87" i="20"/>
  <c r="R33" i="20"/>
  <c r="K175" i="20"/>
  <c r="AD121" i="20"/>
  <c r="N122" i="20"/>
  <c r="T60" i="20"/>
  <c r="Z162" i="20"/>
  <c r="P49" i="20"/>
  <c r="S51" i="20"/>
  <c r="R269" i="20"/>
  <c r="AC135" i="20"/>
  <c r="V41" i="20"/>
  <c r="AC81" i="20"/>
  <c r="R74" i="21"/>
  <c r="V51" i="21"/>
  <c r="K84" i="21"/>
  <c r="AA18" i="21"/>
  <c r="V83" i="21"/>
  <c r="AA193" i="21"/>
  <c r="V36" i="21"/>
  <c r="AD13" i="21"/>
  <c r="Z246" i="21"/>
  <c r="P28" i="21"/>
  <c r="AB45" i="21"/>
  <c r="M108" i="21"/>
  <c r="M147" i="21"/>
  <c r="W13" i="21"/>
  <c r="N12" i="21"/>
  <c r="J62" i="21"/>
  <c r="AA133" i="21"/>
  <c r="N252" i="21"/>
  <c r="U231" i="21"/>
  <c r="O146" i="21"/>
  <c r="L54" i="21"/>
  <c r="O229" i="21"/>
  <c r="L179" i="21"/>
  <c r="X133" i="21"/>
  <c r="T44" i="21"/>
  <c r="Q66" i="21"/>
  <c r="Q56" i="21"/>
  <c r="I227" i="20"/>
  <c r="I159" i="20"/>
  <c r="S227" i="20"/>
  <c r="N187" i="20"/>
  <c r="I181" i="20"/>
  <c r="P234" i="20"/>
  <c r="L49" i="20"/>
  <c r="Q123" i="20"/>
  <c r="AB146" i="20"/>
  <c r="U123" i="20"/>
  <c r="AA192" i="20"/>
  <c r="X201" i="20"/>
  <c r="AD97" i="20"/>
  <c r="O100" i="20"/>
  <c r="L117" i="20"/>
  <c r="M119" i="20"/>
  <c r="U104" i="20"/>
  <c r="AA142" i="20"/>
  <c r="V118" i="20"/>
  <c r="O237" i="20"/>
  <c r="AD47" i="20"/>
  <c r="AB73" i="20"/>
  <c r="K51" i="20"/>
  <c r="AB35" i="20"/>
  <c r="Y17" i="20"/>
  <c r="M92" i="20"/>
  <c r="V52" i="20"/>
  <c r="Q24" i="20"/>
  <c r="I92" i="20"/>
  <c r="R146" i="20"/>
  <c r="V63" i="20"/>
  <c r="Y124" i="20"/>
  <c r="AA187" i="20"/>
  <c r="L36" i="20"/>
  <c r="S107" i="20"/>
  <c r="AC154" i="20"/>
  <c r="AA239" i="20"/>
  <c r="U49" i="20"/>
  <c r="S113" i="20"/>
  <c r="AD154" i="20"/>
  <c r="M235" i="20"/>
  <c r="X38" i="20"/>
  <c r="AC99" i="20"/>
  <c r="X153" i="20"/>
  <c r="N232" i="20"/>
  <c r="I26" i="20"/>
  <c r="R82" i="20"/>
  <c r="M138" i="20"/>
  <c r="W195" i="20"/>
  <c r="I267" i="20"/>
  <c r="J47" i="20"/>
  <c r="J97" i="20"/>
  <c r="J146" i="20"/>
  <c r="T199" i="20"/>
  <c r="R270" i="20"/>
  <c r="Q264" i="20"/>
  <c r="O185" i="20"/>
  <c r="P130" i="20"/>
  <c r="AA81" i="20"/>
  <c r="J28" i="20"/>
  <c r="X230" i="20"/>
  <c r="AA159" i="20"/>
  <c r="S115" i="20"/>
  <c r="O65" i="20"/>
  <c r="U274" i="20"/>
  <c r="AB202" i="20"/>
  <c r="I148" i="20"/>
  <c r="W104" i="20"/>
  <c r="T46" i="20"/>
  <c r="U265" i="20"/>
  <c r="AB193" i="20"/>
  <c r="K136" i="20"/>
  <c r="M85" i="20"/>
  <c r="Y31" i="20"/>
  <c r="V234" i="20"/>
  <c r="P178" i="20"/>
  <c r="Z243" i="20"/>
  <c r="AA237" i="20"/>
  <c r="AA189" i="20"/>
  <c r="V267" i="20"/>
  <c r="U245" i="20"/>
  <c r="W53" i="20"/>
  <c r="AA126" i="20"/>
  <c r="T150" i="20"/>
  <c r="L132" i="20"/>
  <c r="O133" i="20"/>
  <c r="R191" i="20"/>
  <c r="I102" i="20"/>
  <c r="J102" i="20"/>
  <c r="M122" i="20"/>
  <c r="K125" i="20"/>
  <c r="AA106" i="20"/>
  <c r="L145" i="20"/>
  <c r="V127" i="20"/>
  <c r="S225" i="20"/>
  <c r="AB16" i="20"/>
  <c r="AD74" i="20"/>
  <c r="AA60" i="20"/>
  <c r="AD36" i="20"/>
  <c r="AC28" i="20"/>
  <c r="U93" i="20"/>
  <c r="AA53" i="20"/>
  <c r="X25" i="20"/>
  <c r="P93" i="20"/>
  <c r="V148" i="20"/>
  <c r="V225" i="20"/>
  <c r="I65" i="20"/>
  <c r="AA125" i="20"/>
  <c r="AC188" i="20"/>
  <c r="M39" i="20"/>
  <c r="Y108" i="20"/>
  <c r="J156" i="20"/>
  <c r="AC240" i="20"/>
  <c r="AD50" i="20"/>
  <c r="W114" i="20"/>
  <c r="Y159" i="20"/>
  <c r="Q236" i="20"/>
  <c r="R40" i="20"/>
  <c r="U105" i="20"/>
  <c r="P156" i="20"/>
  <c r="T233" i="20"/>
  <c r="W27" i="20"/>
  <c r="K84" i="20"/>
  <c r="S139" i="20"/>
  <c r="S199" i="20"/>
  <c r="M268" i="20"/>
  <c r="U48" i="20"/>
  <c r="W98" i="20"/>
  <c r="P147" i="20"/>
  <c r="Z200" i="20"/>
  <c r="T271" i="20"/>
  <c r="S246" i="20"/>
  <c r="Y183" i="20"/>
  <c r="Z128" i="20"/>
  <c r="J80" i="20"/>
  <c r="M22" i="20"/>
  <c r="M229" i="20"/>
  <c r="N158" i="20"/>
  <c r="J114" i="20"/>
  <c r="P63" i="20"/>
  <c r="Q273" i="20"/>
  <c r="Q201" i="20"/>
  <c r="T146" i="20"/>
  <c r="L103" i="20"/>
  <c r="Z44" i="20"/>
  <c r="N264" i="20"/>
  <c r="S189" i="20"/>
  <c r="V134" i="20"/>
  <c r="N83" i="20"/>
  <c r="Y29" i="20"/>
  <c r="I11" i="20"/>
  <c r="R200" i="20"/>
  <c r="T230" i="20"/>
  <c r="S87" i="20"/>
  <c r="AB135" i="20"/>
  <c r="J190" i="20"/>
  <c r="AC83" i="20"/>
  <c r="P55" i="20"/>
  <c r="N245" i="20"/>
  <c r="I79" i="20"/>
  <c r="Y54" i="20"/>
  <c r="M117" i="20"/>
  <c r="X205" i="20"/>
  <c r="O117" i="20"/>
  <c r="R136" i="20"/>
  <c r="P162" i="20"/>
  <c r="W150" i="20"/>
  <c r="N188" i="20"/>
  <c r="V10" i="20"/>
  <c r="J205" i="20"/>
  <c r="S147" i="20"/>
  <c r="J151" i="20"/>
  <c r="AD24" i="20"/>
  <c r="L90" i="20"/>
  <c r="O78" i="20"/>
  <c r="J63" i="20"/>
  <c r="U37" i="20"/>
  <c r="W100" i="20"/>
  <c r="W73" i="20"/>
  <c r="AB33" i="20"/>
  <c r="K107" i="20"/>
  <c r="J179" i="20"/>
  <c r="K23" i="20"/>
  <c r="Y82" i="20"/>
  <c r="I141" i="20"/>
  <c r="S211" i="20"/>
  <c r="AD53" i="20"/>
  <c r="Z115" i="20"/>
  <c r="L187" i="20"/>
  <c r="AB266" i="20"/>
  <c r="AA68" i="20"/>
  <c r="Q125" i="20"/>
  <c r="I186" i="20"/>
  <c r="L243" i="20"/>
  <c r="AC54" i="20"/>
  <c r="P121" i="20"/>
  <c r="AB179" i="20"/>
  <c r="M252" i="20"/>
  <c r="S40" i="20"/>
  <c r="Z109" i="20"/>
  <c r="I155" i="20"/>
  <c r="M211" i="20"/>
  <c r="M63" i="20"/>
  <c r="J115" i="20"/>
  <c r="L155" i="20"/>
  <c r="V11" i="20"/>
  <c r="Z233" i="20"/>
  <c r="AB159" i="20"/>
  <c r="T115" i="20"/>
  <c r="R59" i="20"/>
  <c r="V274" i="20"/>
  <c r="R204" i="20"/>
  <c r="J148" i="20"/>
  <c r="X104" i="20"/>
  <c r="W46" i="20"/>
  <c r="V265" i="20"/>
  <c r="T192" i="20"/>
  <c r="U137" i="20"/>
  <c r="O83" i="20"/>
  <c r="AB29" i="20"/>
  <c r="R239" i="20"/>
  <c r="V180" i="20"/>
  <c r="M121" i="20"/>
  <c r="O72" i="20"/>
  <c r="L18" i="20"/>
  <c r="V30" i="20"/>
  <c r="Y272" i="20"/>
  <c r="AD108" i="20"/>
  <c r="U227" i="20"/>
  <c r="Z239" i="20"/>
  <c r="Z196" i="20"/>
  <c r="Q234" i="20"/>
  <c r="P131" i="20"/>
  <c r="P146" i="20"/>
  <c r="S235" i="20"/>
  <c r="W252" i="20"/>
  <c r="U116" i="20"/>
  <c r="AD65" i="20"/>
  <c r="AD181" i="20"/>
  <c r="N24" i="20"/>
  <c r="O191" i="20"/>
  <c r="R34" i="20"/>
  <c r="W30" i="20"/>
  <c r="S242" i="20"/>
  <c r="U197" i="20"/>
  <c r="S126" i="20"/>
  <c r="AB36" i="20"/>
  <c r="AA22" i="20"/>
  <c r="J13" i="20"/>
  <c r="P78" i="20"/>
  <c r="N56" i="20"/>
  <c r="Y27" i="20"/>
  <c r="U88" i="20"/>
  <c r="N62" i="20"/>
  <c r="AB126" i="20"/>
  <c r="J191" i="20"/>
  <c r="L31" i="20"/>
  <c r="AB98" i="20"/>
  <c r="AA150" i="20"/>
  <c r="M233" i="20"/>
  <c r="M70" i="20"/>
  <c r="T139" i="20"/>
  <c r="AB197" i="20"/>
  <c r="Q21" i="20"/>
  <c r="S86" i="20"/>
  <c r="I136" i="20"/>
  <c r="K193" i="20"/>
  <c r="O74" i="20"/>
  <c r="X131" i="20"/>
  <c r="L198" i="20"/>
  <c r="R271" i="20"/>
  <c r="W64" i="20"/>
  <c r="U117" i="20"/>
  <c r="AA174" i="20"/>
  <c r="U233" i="20"/>
  <c r="Y22" i="20"/>
  <c r="Y72" i="20"/>
  <c r="Z122" i="20"/>
  <c r="L176" i="20"/>
  <c r="Q242" i="20"/>
  <c r="U32" i="20"/>
  <c r="I151" i="20"/>
  <c r="W101" i="20"/>
  <c r="V48" i="20"/>
  <c r="M267" i="20"/>
  <c r="Q195" i="20"/>
  <c r="X134" i="20"/>
  <c r="I89" i="20"/>
  <c r="T35" i="20"/>
  <c r="S239" i="20"/>
  <c r="N176" i="20"/>
  <c r="N121" i="20"/>
  <c r="P72" i="20"/>
  <c r="M18" i="20"/>
  <c r="N226" i="20"/>
  <c r="P155" i="20"/>
  <c r="S112" i="20"/>
  <c r="L61" i="20"/>
  <c r="Z9" i="20"/>
  <c r="Y192" i="21"/>
  <c r="AB63" i="21"/>
  <c r="X112" i="21"/>
  <c r="O184" i="21"/>
  <c r="X190" i="21"/>
  <c r="S81" i="21"/>
  <c r="T11" i="21"/>
  <c r="Q115" i="21"/>
  <c r="U40" i="21"/>
  <c r="K186" i="21"/>
  <c r="AA67" i="21"/>
  <c r="Q137" i="21"/>
  <c r="AA231" i="21"/>
  <c r="AC134" i="21"/>
  <c r="AB133" i="21"/>
  <c r="AA97" i="21"/>
  <c r="AB18" i="21"/>
  <c r="I225" i="21"/>
  <c r="Y193" i="21"/>
  <c r="Y57" i="20"/>
  <c r="Z116" i="20"/>
  <c r="T183" i="20"/>
  <c r="K267" i="20"/>
  <c r="O61" i="20"/>
  <c r="R118" i="20"/>
  <c r="K188" i="20"/>
  <c r="S268" i="20"/>
  <c r="AC66" i="20"/>
  <c r="AC122" i="20"/>
  <c r="U192" i="20"/>
  <c r="AD270" i="20"/>
  <c r="AC68" i="20"/>
  <c r="AA131" i="20"/>
  <c r="L197" i="20"/>
  <c r="AD276" i="20"/>
  <c r="X229" i="20"/>
  <c r="T152" i="20"/>
  <c r="R95" i="20"/>
  <c r="T32" i="20"/>
  <c r="K236" i="20"/>
  <c r="AC158" i="20"/>
  <c r="V98" i="20"/>
  <c r="P24" i="20"/>
  <c r="AB205" i="20"/>
  <c r="N134" i="20"/>
  <c r="V64" i="20"/>
  <c r="AD240" i="20"/>
  <c r="AA153" i="20"/>
  <c r="Q95" i="20"/>
  <c r="AC25" i="20"/>
  <c r="J193" i="20"/>
  <c r="R113" i="20"/>
  <c r="W34" i="20"/>
  <c r="AA175" i="20"/>
  <c r="L107" i="20"/>
  <c r="J27" i="20"/>
  <c r="L156" i="20"/>
  <c r="X90" i="20"/>
  <c r="Y10" i="20"/>
  <c r="M30" i="20"/>
  <c r="Y48" i="20"/>
  <c r="AB60" i="20"/>
  <c r="I50" i="20"/>
  <c r="P67" i="20"/>
  <c r="AC121" i="20"/>
  <c r="S156" i="20"/>
  <c r="N183" i="20"/>
  <c r="Z87" i="20"/>
  <c r="L85" i="20"/>
  <c r="N31" i="20"/>
  <c r="AA155" i="20"/>
  <c r="W155" i="20"/>
  <c r="U29" i="20"/>
  <c r="Y49" i="20"/>
  <c r="T154" i="20"/>
  <c r="AA268" i="20"/>
  <c r="R47" i="20"/>
  <c r="K124" i="20"/>
  <c r="Z130" i="20"/>
  <c r="I35" i="20"/>
  <c r="AA230" i="20"/>
  <c r="T236" i="20"/>
  <c r="L144" i="20"/>
  <c r="T71" i="20"/>
  <c r="P142" i="20"/>
  <c r="Y9" i="20"/>
  <c r="AA9" i="20"/>
  <c r="Q195" i="21"/>
  <c r="V65" i="21"/>
  <c r="AC114" i="21"/>
  <c r="I189" i="21"/>
  <c r="T159" i="21"/>
  <c r="P70" i="21"/>
  <c r="X270" i="21"/>
  <c r="AC102" i="21"/>
  <c r="L31" i="21"/>
  <c r="K154" i="21"/>
  <c r="O48" i="21"/>
  <c r="AB123" i="21"/>
  <c r="W197" i="21"/>
  <c r="O123" i="21"/>
  <c r="I106" i="21"/>
  <c r="W70" i="21"/>
  <c r="AB162" i="21"/>
  <c r="L84" i="21"/>
  <c r="Z45" i="21"/>
  <c r="O59" i="20"/>
  <c r="Q118" i="20"/>
  <c r="I185" i="20"/>
  <c r="R268" i="20"/>
  <c r="O63" i="20"/>
  <c r="AA119" i="20"/>
  <c r="V189" i="20"/>
  <c r="X269" i="20"/>
  <c r="AB68" i="20"/>
  <c r="P127" i="20"/>
  <c r="AD193" i="20"/>
  <c r="M272" i="20"/>
  <c r="Z70" i="20"/>
  <c r="N133" i="20"/>
  <c r="U198" i="20"/>
  <c r="N34" i="20"/>
  <c r="R228" i="20"/>
  <c r="N151" i="20"/>
  <c r="AA93" i="20"/>
  <c r="AC30" i="20"/>
  <c r="AA234" i="20"/>
  <c r="W157" i="20"/>
  <c r="Z93" i="20"/>
  <c r="V22" i="20"/>
  <c r="V204" i="20"/>
  <c r="AD132" i="20"/>
  <c r="K63" i="20"/>
  <c r="AB239" i="20"/>
  <c r="W152" i="20"/>
  <c r="AD93" i="20"/>
  <c r="I23" i="20"/>
  <c r="AB191" i="20"/>
  <c r="N112" i="20"/>
  <c r="O33" i="20"/>
  <c r="U160" i="20"/>
  <c r="Z104" i="20"/>
  <c r="Y25" i="20"/>
  <c r="J155" i="20"/>
  <c r="Q89" i="20"/>
  <c r="J105" i="20"/>
  <c r="AD28" i="20"/>
  <c r="T47" i="20"/>
  <c r="R54" i="20"/>
  <c r="AA47" i="20"/>
  <c r="R55" i="20"/>
  <c r="O124" i="20"/>
  <c r="N154" i="20"/>
  <c r="W160" i="20"/>
  <c r="S85" i="20"/>
  <c r="P77" i="20"/>
  <c r="X26" i="20"/>
  <c r="O154" i="20"/>
  <c r="AC181" i="20"/>
  <c r="P57" i="20"/>
  <c r="S45" i="20"/>
  <c r="P150" i="20"/>
  <c r="T266" i="20"/>
  <c r="J270" i="20"/>
  <c r="AC108" i="20"/>
  <c r="O128" i="20"/>
  <c r="AC97" i="20"/>
  <c r="J225" i="20"/>
  <c r="Q176" i="20"/>
  <c r="S273" i="21"/>
  <c r="I28" i="21"/>
  <c r="Q84" i="21"/>
  <c r="R121" i="21"/>
  <c r="K160" i="21"/>
  <c r="X97" i="21"/>
  <c r="N35" i="21"/>
  <c r="N146" i="21"/>
  <c r="AC152" i="21"/>
  <c r="M98" i="21"/>
  <c r="J30" i="21"/>
  <c r="AB124" i="21"/>
  <c r="N236" i="21"/>
  <c r="J31" i="21"/>
  <c r="L80" i="21"/>
  <c r="M129" i="21"/>
  <c r="R204" i="21"/>
  <c r="W18" i="21"/>
  <c r="U51" i="21"/>
  <c r="Z234" i="21"/>
  <c r="X147" i="21"/>
  <c r="Q99" i="21"/>
  <c r="Z56" i="21"/>
  <c r="T190" i="21"/>
  <c r="V123" i="21"/>
  <c r="L79" i="21"/>
  <c r="W237" i="21"/>
  <c r="J145" i="21"/>
  <c r="Y93" i="21"/>
  <c r="AA47" i="21"/>
  <c r="N276" i="21"/>
  <c r="AB179" i="21"/>
  <c r="J111" i="21"/>
  <c r="AA63" i="21"/>
  <c r="Q229" i="21"/>
  <c r="AA132" i="21"/>
  <c r="U79" i="21"/>
  <c r="N31" i="21"/>
  <c r="J184" i="21"/>
  <c r="R109" i="21"/>
  <c r="M58" i="21"/>
  <c r="J236" i="21"/>
  <c r="M133" i="21"/>
  <c r="L74" i="21"/>
  <c r="AC146" i="21"/>
  <c r="V13" i="21"/>
  <c r="N229" i="21"/>
  <c r="Y36" i="21"/>
  <c r="V243" i="21"/>
  <c r="V20" i="21"/>
  <c r="AC14" i="21"/>
  <c r="V231" i="21"/>
  <c r="O137" i="21"/>
  <c r="P57" i="21"/>
  <c r="S182" i="21"/>
  <c r="U16" i="21"/>
  <c r="P58" i="21"/>
  <c r="O114" i="21"/>
  <c r="I187" i="21"/>
  <c r="V201" i="21"/>
  <c r="AC41" i="21"/>
  <c r="X81" i="21"/>
  <c r="AC226" i="21"/>
  <c r="X140" i="21"/>
  <c r="I94" i="21"/>
  <c r="AC272" i="21"/>
  <c r="M183" i="21"/>
  <c r="AC117" i="21"/>
  <c r="AC73" i="21"/>
  <c r="S229" i="21"/>
  <c r="V137" i="21"/>
  <c r="AB87" i="21"/>
  <c r="R42" i="21"/>
  <c r="I267" i="21"/>
  <c r="AD159" i="21"/>
  <c r="AB104" i="21"/>
  <c r="K58" i="21"/>
  <c r="O204" i="21"/>
  <c r="AA125" i="21"/>
  <c r="I73" i="21"/>
  <c r="I175" i="21"/>
  <c r="W102" i="21"/>
  <c r="AC51" i="21"/>
  <c r="AC225" i="21"/>
  <c r="N125" i="21"/>
  <c r="T21" i="21"/>
  <c r="T53" i="21"/>
  <c r="S118" i="21"/>
  <c r="T123" i="21"/>
  <c r="K64" i="21"/>
  <c r="M118" i="21"/>
  <c r="W20" i="21"/>
  <c r="Q28" i="21"/>
  <c r="P197" i="21"/>
  <c r="AC46" i="21"/>
  <c r="N16" i="21"/>
  <c r="V57" i="21"/>
  <c r="M113" i="21"/>
  <c r="I202" i="21"/>
  <c r="Z17" i="21"/>
  <c r="N50" i="21"/>
  <c r="V92" i="21"/>
  <c r="P159" i="21"/>
  <c r="T186" i="21"/>
  <c r="U120" i="21"/>
  <c r="P76" i="21"/>
  <c r="Y233" i="21"/>
  <c r="U146" i="21"/>
  <c r="V98" i="21"/>
  <c r="J56" i="21"/>
  <c r="S186" i="21"/>
  <c r="Q116" i="21"/>
  <c r="T68" i="21"/>
  <c r="O25" i="21"/>
  <c r="O225" i="21"/>
  <c r="X134" i="21"/>
  <c r="N85" i="21"/>
  <c r="L175" i="21"/>
  <c r="Z102" i="21"/>
  <c r="K52" i="21"/>
  <c r="N232" i="21"/>
  <c r="AD134" i="21"/>
  <c r="T81" i="21"/>
  <c r="I33" i="21"/>
  <c r="P178" i="21"/>
  <c r="M100" i="21"/>
  <c r="AA242" i="20"/>
  <c r="Y100" i="20"/>
  <c r="S153" i="20"/>
  <c r="Q265" i="20"/>
  <c r="AC237" i="20"/>
  <c r="L55" i="20"/>
  <c r="AB145" i="20"/>
  <c r="J37" i="20"/>
  <c r="AA267" i="20"/>
  <c r="I22" i="20"/>
  <c r="T176" i="20"/>
  <c r="Z231" i="20"/>
  <c r="W87" i="20"/>
  <c r="Z114" i="20"/>
  <c r="Y239" i="20"/>
  <c r="S154" i="20"/>
  <c r="Y110" i="20"/>
  <c r="K274" i="20"/>
  <c r="S54" i="20"/>
  <c r="Z83" i="20"/>
  <c r="T240" i="20"/>
  <c r="Q198" i="20"/>
  <c r="P225" i="20"/>
  <c r="AC70" i="20"/>
  <c r="V26" i="20"/>
  <c r="N49" i="20"/>
  <c r="S187" i="20"/>
  <c r="AD176" i="20"/>
  <c r="AD159" i="20"/>
  <c r="S131" i="20"/>
  <c r="P136" i="20"/>
  <c r="Q86" i="20"/>
  <c r="K271" i="20"/>
  <c r="M93" i="20"/>
  <c r="X33" i="20"/>
  <c r="K14" i="20"/>
  <c r="K76" i="20"/>
  <c r="L51" i="20"/>
  <c r="N25" i="20"/>
  <c r="J86" i="20"/>
  <c r="Q36" i="20"/>
  <c r="N92" i="20"/>
  <c r="S59" i="20"/>
  <c r="X112" i="20"/>
  <c r="AB176" i="20"/>
  <c r="L16" i="20"/>
  <c r="S66" i="20"/>
  <c r="M118" i="20"/>
  <c r="O181" i="20"/>
  <c r="U237" i="20"/>
  <c r="V71" i="20"/>
  <c r="Z134" i="20"/>
  <c r="P188" i="20"/>
  <c r="O245" i="20"/>
  <c r="T52" i="20"/>
  <c r="N106" i="20"/>
  <c r="K149" i="20"/>
  <c r="O200" i="20"/>
  <c r="O24" i="20"/>
  <c r="V77" i="20"/>
  <c r="N129" i="20"/>
  <c r="J189" i="20"/>
  <c r="T264" i="20"/>
  <c r="N37" i="20"/>
  <c r="O95" i="20"/>
  <c r="I146" i="20"/>
  <c r="AC196" i="20"/>
  <c r="AB38" i="20"/>
  <c r="W85" i="20"/>
  <c r="J128" i="20"/>
  <c r="X178" i="20"/>
  <c r="I240" i="20"/>
  <c r="N26" i="20"/>
  <c r="Y230" i="20"/>
  <c r="AC174" i="20"/>
  <c r="J123" i="20"/>
  <c r="S76" i="20"/>
  <c r="O26" i="20"/>
  <c r="N235" i="20"/>
  <c r="O179" i="20"/>
  <c r="AC125" i="20"/>
  <c r="Z81" i="20"/>
  <c r="AA31" i="20"/>
  <c r="M242" i="20"/>
  <c r="V186" i="20"/>
  <c r="N130" i="20"/>
  <c r="K87" i="20"/>
  <c r="Q37" i="20"/>
  <c r="S192" i="20"/>
  <c r="R140" i="20"/>
  <c r="Z99" i="20"/>
  <c r="W44" i="20"/>
  <c r="Y74" i="20"/>
  <c r="M183" i="20"/>
  <c r="K93" i="20"/>
  <c r="Z190" i="20"/>
  <c r="T125" i="20"/>
  <c r="Y246" i="20"/>
  <c r="Q160" i="20"/>
  <c r="W117" i="20"/>
  <c r="W276" i="20"/>
  <c r="Q69" i="20"/>
  <c r="X89" i="20"/>
  <c r="L269" i="20"/>
  <c r="Z201" i="20"/>
  <c r="S63" i="20"/>
  <c r="X28" i="20"/>
  <c r="O51" i="20"/>
  <c r="W12" i="20"/>
  <c r="S180" i="20"/>
  <c r="Y175" i="20"/>
  <c r="X139" i="20"/>
  <c r="V138" i="20"/>
  <c r="V89" i="20"/>
  <c r="AB267" i="20"/>
  <c r="P90" i="20"/>
  <c r="Z35" i="20"/>
  <c r="S18" i="20"/>
  <c r="M77" i="20"/>
  <c r="P53" i="20"/>
  <c r="S26" i="20"/>
  <c r="T88" i="20"/>
  <c r="AA38" i="20"/>
  <c r="V93" i="20"/>
  <c r="AC60" i="20"/>
  <c r="Z113" i="20"/>
  <c r="AD177" i="20"/>
  <c r="V17" i="20"/>
  <c r="K69" i="20"/>
  <c r="O119" i="20"/>
  <c r="Q182" i="20"/>
  <c r="K11" i="20"/>
  <c r="N73" i="20"/>
  <c r="AD135" i="20"/>
  <c r="T189" i="20"/>
  <c r="Q246" i="20"/>
  <c r="I54" i="20"/>
  <c r="T107" i="20"/>
  <c r="O150" i="20"/>
  <c r="S201" i="20"/>
  <c r="AD25" i="20"/>
  <c r="M79" i="20"/>
  <c r="S130" i="20"/>
  <c r="P190" i="20"/>
  <c r="X265" i="20"/>
  <c r="Y38" i="20"/>
  <c r="I97" i="20"/>
  <c r="O147" i="20"/>
  <c r="M198" i="20"/>
  <c r="U264" i="20"/>
  <c r="T40" i="20"/>
  <c r="Q87" i="20"/>
  <c r="P129" i="20"/>
  <c r="J180" i="20"/>
  <c r="M241" i="20"/>
  <c r="AA27" i="20"/>
  <c r="P229" i="20"/>
  <c r="O162" i="20"/>
  <c r="U121" i="20"/>
  <c r="R74" i="20"/>
  <c r="K24" i="20"/>
  <c r="Y233" i="20"/>
  <c r="Z177" i="20"/>
  <c r="R124" i="20"/>
  <c r="AA79" i="20"/>
  <c r="AC29" i="20"/>
  <c r="Z240" i="20"/>
  <c r="J185" i="20"/>
  <c r="X128" i="20"/>
  <c r="N85" i="20"/>
  <c r="S35" i="20"/>
  <c r="N246" i="20"/>
  <c r="AD190" i="20"/>
  <c r="I139" i="20"/>
  <c r="K98" i="20"/>
  <c r="AB42" i="20"/>
  <c r="AC96" i="20"/>
  <c r="X43" i="20"/>
  <c r="V231" i="20"/>
  <c r="R151" i="20"/>
  <c r="M106" i="20"/>
  <c r="W37" i="20"/>
  <c r="I190" i="20"/>
  <c r="O132" i="20"/>
  <c r="T74" i="20"/>
  <c r="AC18" i="20"/>
  <c r="N157" i="20"/>
  <c r="AC105" i="20"/>
  <c r="V40" i="20"/>
  <c r="P82" i="20"/>
  <c r="I105" i="20"/>
  <c r="K50" i="20"/>
  <c r="AD73" i="20"/>
  <c r="O91" i="20"/>
  <c r="O28" i="20"/>
  <c r="N41" i="20"/>
  <c r="U87" i="20"/>
  <c r="J274" i="20"/>
  <c r="I45" i="20"/>
  <c r="R97" i="20"/>
  <c r="I70" i="20"/>
  <c r="M95" i="20"/>
  <c r="J104" i="20"/>
  <c r="AB95" i="20"/>
  <c r="AA95" i="20"/>
  <c r="V199" i="20"/>
  <c r="R128" i="20"/>
  <c r="AB226" i="20"/>
  <c r="O198" i="20"/>
  <c r="N177" i="20"/>
  <c r="W234" i="20"/>
  <c r="V88" i="20"/>
  <c r="W130" i="20"/>
  <c r="I235" i="20"/>
  <c r="X246" i="20"/>
  <c r="T45" i="20"/>
  <c r="AA243" i="20"/>
  <c r="S269" i="20"/>
  <c r="Z136" i="20"/>
  <c r="P148" i="20"/>
  <c r="V90" i="20"/>
  <c r="T203" i="20"/>
  <c r="W60" i="20"/>
  <c r="U113" i="20"/>
  <c r="Z148" i="20"/>
  <c r="N11" i="20"/>
  <c r="O11" i="20"/>
  <c r="V58" i="20"/>
  <c r="K99" i="20"/>
  <c r="AC132" i="20"/>
  <c r="K134" i="20"/>
  <c r="S191" i="20"/>
  <c r="Y226" i="20"/>
  <c r="Q111" i="20"/>
  <c r="X162" i="20"/>
  <c r="Y234" i="20"/>
  <c r="R64" i="20"/>
  <c r="Q103" i="20"/>
  <c r="Y150" i="20"/>
  <c r="S238" i="20"/>
  <c r="V116" i="20"/>
  <c r="AA154" i="20"/>
  <c r="L110" i="20"/>
  <c r="Q62" i="20"/>
  <c r="Y185" i="20"/>
  <c r="AA123" i="20"/>
  <c r="V53" i="20"/>
  <c r="Q154" i="20"/>
  <c r="S102" i="20"/>
  <c r="Y204" i="20"/>
  <c r="K113" i="20"/>
  <c r="Z69" i="20"/>
  <c r="AB189" i="20"/>
  <c r="K67" i="20"/>
  <c r="L177" i="20"/>
  <c r="S231" i="20"/>
  <c r="U119" i="20"/>
  <c r="L15" i="20"/>
  <c r="W58" i="20"/>
  <c r="AB10" i="20"/>
  <c r="M52" i="20"/>
  <c r="Q92" i="20"/>
  <c r="AB47" i="20"/>
  <c r="J88" i="20"/>
  <c r="V42" i="20"/>
  <c r="AB79" i="20"/>
  <c r="N20" i="20"/>
  <c r="AA58" i="20"/>
  <c r="J96" i="20"/>
  <c r="M35" i="20"/>
  <c r="AD79" i="20"/>
  <c r="J117" i="20"/>
  <c r="X149" i="20"/>
  <c r="L192" i="20"/>
  <c r="V238" i="20"/>
  <c r="N50" i="20"/>
  <c r="K88" i="20"/>
  <c r="S121" i="20"/>
  <c r="AC151" i="20"/>
  <c r="Q194" i="20"/>
  <c r="I14" i="20"/>
  <c r="Q55" i="20"/>
  <c r="AB96" i="20"/>
  <c r="N131" i="20"/>
  <c r="J174" i="20"/>
  <c r="Z203" i="20"/>
  <c r="U252" i="20"/>
  <c r="N39" i="20"/>
  <c r="P76" i="20"/>
  <c r="AD109" i="20"/>
  <c r="Q138" i="20"/>
  <c r="AA178" i="20"/>
  <c r="Q211" i="20"/>
  <c r="Y264" i="20"/>
  <c r="Y43" i="20"/>
  <c r="Q82" i="20"/>
  <c r="T117" i="20"/>
  <c r="T148" i="20"/>
  <c r="AB192" i="20"/>
  <c r="AC239" i="20"/>
  <c r="O252" i="20"/>
  <c r="I47" i="20"/>
  <c r="V85" i="20"/>
  <c r="K120" i="20"/>
  <c r="P272" i="20"/>
  <c r="AD227" i="20"/>
  <c r="AC76" i="20"/>
  <c r="X120" i="20"/>
  <c r="AA101" i="20"/>
  <c r="AB24" i="20"/>
  <c r="U14" i="20"/>
  <c r="K75" i="20"/>
  <c r="P102" i="20"/>
  <c r="T142" i="20"/>
  <c r="P143" i="20"/>
  <c r="S194" i="20"/>
  <c r="I229" i="20"/>
  <c r="W115" i="20"/>
  <c r="Z180" i="20"/>
  <c r="I238" i="20"/>
  <c r="J70" i="20"/>
  <c r="I112" i="20"/>
  <c r="X158" i="20"/>
  <c r="R234" i="20"/>
  <c r="T110" i="20"/>
  <c r="AA148" i="20"/>
  <c r="AC101" i="20"/>
  <c r="Q71" i="20"/>
  <c r="R187" i="20"/>
  <c r="W125" i="20"/>
  <c r="R60" i="20"/>
  <c r="T159" i="20"/>
  <c r="T104" i="20"/>
  <c r="I226" i="20"/>
  <c r="Q117" i="20"/>
  <c r="P75" i="20"/>
  <c r="X193" i="20"/>
  <c r="I81" i="20"/>
  <c r="T181" i="20"/>
  <c r="U229" i="20"/>
  <c r="T114" i="20"/>
  <c r="N16" i="20"/>
  <c r="X59" i="20"/>
  <c r="AC11" i="20"/>
  <c r="O53" i="20"/>
  <c r="S93" i="20"/>
  <c r="AD48" i="20"/>
  <c r="N90" i="20"/>
  <c r="AA43" i="20"/>
  <c r="K81" i="20"/>
  <c r="S21" i="20"/>
  <c r="I60" i="20"/>
  <c r="O97" i="20"/>
  <c r="T36" i="20"/>
  <c r="X82" i="20"/>
  <c r="N119" i="20"/>
  <c r="Z150" i="20"/>
  <c r="N193" i="20"/>
  <c r="Z10" i="20"/>
  <c r="U51" i="20"/>
  <c r="R89" i="20"/>
  <c r="U122" i="20"/>
  <c r="I153" i="20"/>
  <c r="S195" i="20"/>
  <c r="AD16" i="20"/>
  <c r="Q58" i="20"/>
  <c r="W99" i="20"/>
  <c r="R132" i="20"/>
  <c r="N175" i="20"/>
  <c r="AD204" i="20"/>
  <c r="Y40" i="20"/>
  <c r="Y77" i="20"/>
  <c r="L111" i="20"/>
  <c r="U139" i="20"/>
  <c r="I180" i="20"/>
  <c r="AA265" i="20"/>
  <c r="P45" i="20"/>
  <c r="J84" i="20"/>
  <c r="Z118" i="20"/>
  <c r="AB149" i="20"/>
  <c r="L194" i="20"/>
  <c r="K241" i="20"/>
  <c r="T48" i="20"/>
  <c r="N87" i="20"/>
  <c r="P94" i="20"/>
  <c r="L246" i="20"/>
  <c r="Q126" i="20"/>
  <c r="N266" i="20"/>
  <c r="J32" i="20"/>
  <c r="T21" i="20"/>
  <c r="J95" i="20"/>
  <c r="T105" i="20"/>
  <c r="O148" i="20"/>
  <c r="Q150" i="20"/>
  <c r="T226" i="20"/>
  <c r="T231" i="20"/>
  <c r="K131" i="20"/>
  <c r="O184" i="20"/>
  <c r="R240" i="20"/>
  <c r="AA89" i="20"/>
  <c r="T123" i="20"/>
  <c r="W188" i="20"/>
  <c r="O92" i="20"/>
  <c r="AD137" i="20"/>
  <c r="N99" i="20"/>
  <c r="T73" i="20"/>
  <c r="P19" i="20"/>
  <c r="I131" i="20"/>
  <c r="J67" i="20"/>
  <c r="Q162" i="20"/>
  <c r="I109" i="20"/>
  <c r="Q10" i="20"/>
  <c r="P119" i="20"/>
  <c r="Q78" i="20"/>
  <c r="AA195" i="20"/>
  <c r="AB83" i="20"/>
  <c r="O183" i="20"/>
  <c r="T227" i="20"/>
  <c r="K112" i="20"/>
  <c r="P17" i="20"/>
  <c r="Z60" i="20"/>
  <c r="I13" i="20"/>
  <c r="U56" i="20"/>
  <c r="AA97" i="20"/>
  <c r="J50" i="20"/>
  <c r="P91" i="20"/>
  <c r="J45" i="20"/>
  <c r="AA84" i="20"/>
  <c r="X22" i="20"/>
  <c r="N61" i="20"/>
  <c r="T98" i="20"/>
  <c r="AA37" i="20"/>
  <c r="AD83" i="20"/>
  <c r="P120" i="20"/>
  <c r="AB151" i="20"/>
  <c r="P194" i="20"/>
  <c r="M12" i="20"/>
  <c r="AB52" i="20"/>
  <c r="Y90" i="20"/>
  <c r="W123" i="20"/>
  <c r="J154" i="20"/>
  <c r="U196" i="20"/>
  <c r="Q18" i="20"/>
  <c r="AB59" i="20"/>
  <c r="AC100" i="20"/>
  <c r="V133" i="20"/>
  <c r="R176" i="20"/>
  <c r="X264" i="20"/>
  <c r="L42" i="20"/>
  <c r="L79" i="20"/>
  <c r="O112" i="20"/>
  <c r="Y140" i="20"/>
  <c r="M181" i="20"/>
  <c r="AA225" i="20"/>
  <c r="AC266" i="20"/>
  <c r="AD46" i="20"/>
  <c r="U85" i="20"/>
  <c r="J120" i="20"/>
  <c r="L151" i="20"/>
  <c r="V195" i="20"/>
  <c r="O242" i="20"/>
  <c r="R11" i="20"/>
  <c r="P50" i="20"/>
  <c r="AA88" i="20"/>
  <c r="Y122" i="20"/>
  <c r="Y153" i="20"/>
  <c r="Q272" i="20"/>
  <c r="M129" i="20"/>
  <c r="P26" i="20"/>
  <c r="S56" i="20"/>
  <c r="AA244" i="20"/>
  <c r="U28" i="20"/>
  <c r="AB108" i="20"/>
  <c r="T202" i="20"/>
  <c r="M234" i="20"/>
  <c r="AA63" i="20"/>
  <c r="AB117" i="20"/>
  <c r="J94" i="20"/>
  <c r="J198" i="20"/>
  <c r="M94" i="20"/>
  <c r="X150" i="20"/>
  <c r="N197" i="20"/>
  <c r="X271" i="20"/>
  <c r="Q99" i="20"/>
  <c r="AB131" i="20"/>
  <c r="M49" i="20"/>
  <c r="AC21" i="20"/>
  <c r="R145" i="20"/>
  <c r="V91" i="20"/>
  <c r="S23" i="20"/>
  <c r="AA181" i="20"/>
  <c r="S95" i="20"/>
  <c r="J56" i="20"/>
  <c r="T197" i="20"/>
  <c r="AD94" i="20"/>
  <c r="T228" i="20"/>
  <c r="J158" i="20"/>
  <c r="N45" i="20"/>
  <c r="R43" i="20"/>
  <c r="V95" i="20"/>
  <c r="W57" i="20"/>
  <c r="P16" i="20"/>
  <c r="L64" i="20"/>
  <c r="R21" i="20"/>
  <c r="AB64" i="20"/>
  <c r="O108" i="20"/>
  <c r="J55" i="20"/>
  <c r="V99" i="20"/>
  <c r="T51" i="20"/>
  <c r="AB94" i="20"/>
  <c r="N132" i="20"/>
  <c r="L180" i="20"/>
  <c r="AD230" i="20"/>
  <c r="O43" i="20"/>
  <c r="J92" i="20"/>
  <c r="I128" i="20"/>
  <c r="I178" i="20"/>
  <c r="Y227" i="20"/>
  <c r="X40" i="20"/>
  <c r="I85" i="20"/>
  <c r="T126" i="20"/>
  <c r="V177" i="20"/>
  <c r="AC226" i="20"/>
  <c r="V15" i="20"/>
  <c r="J57" i="20"/>
  <c r="P98" i="20"/>
  <c r="O131" i="20"/>
  <c r="O175" i="20"/>
  <c r="AD226" i="20"/>
  <c r="V14" i="20"/>
  <c r="K58" i="20"/>
  <c r="Q101" i="20"/>
  <c r="AB136" i="20"/>
  <c r="L185" i="20"/>
  <c r="J236" i="20"/>
  <c r="L13" i="20"/>
  <c r="X56" i="20"/>
  <c r="AD99" i="20"/>
  <c r="O134" i="20"/>
  <c r="W178" i="20"/>
  <c r="AC225" i="20"/>
  <c r="O269" i="20"/>
  <c r="W35" i="20"/>
  <c r="Q74" i="20"/>
  <c r="R112" i="20"/>
  <c r="T143" i="20"/>
  <c r="AB187" i="20"/>
  <c r="L236" i="20"/>
  <c r="N13" i="20"/>
  <c r="S20" i="20"/>
  <c r="R142" i="20"/>
  <c r="AD89" i="20"/>
  <c r="N32" i="20"/>
  <c r="W199" i="20"/>
  <c r="W246" i="20"/>
  <c r="O35" i="20"/>
  <c r="AC129" i="20"/>
  <c r="L205" i="20"/>
  <c r="AA11" i="20"/>
  <c r="AB67" i="20"/>
  <c r="L121" i="20"/>
  <c r="I103" i="20"/>
  <c r="L108" i="20"/>
  <c r="AB184" i="20"/>
  <c r="AD182" i="20"/>
  <c r="V268" i="20"/>
  <c r="I86" i="20"/>
  <c r="Y126" i="20"/>
  <c r="AD57" i="20"/>
  <c r="W26" i="20"/>
  <c r="K147" i="20"/>
  <c r="AB93" i="20"/>
  <c r="S49" i="20"/>
  <c r="M184" i="20"/>
  <c r="Y97" i="20"/>
  <c r="AB58" i="20"/>
  <c r="M201" i="20"/>
  <c r="S97" i="20"/>
  <c r="AB231" i="20"/>
  <c r="V155" i="20"/>
  <c r="W41" i="20"/>
  <c r="V45" i="20"/>
  <c r="X96" i="20"/>
  <c r="X58" i="20"/>
  <c r="T18" i="20"/>
  <c r="N65" i="20"/>
  <c r="W22" i="20"/>
  <c r="K66" i="20"/>
  <c r="P10" i="20"/>
  <c r="O56" i="20"/>
  <c r="X100" i="20"/>
  <c r="AA52" i="20"/>
  <c r="M96" i="20"/>
  <c r="P133" i="20"/>
  <c r="N181" i="20"/>
  <c r="L233" i="20"/>
  <c r="Y44" i="20"/>
  <c r="Q93" i="20"/>
  <c r="K129" i="20"/>
  <c r="K179" i="20"/>
  <c r="AA228" i="20"/>
  <c r="K42" i="20"/>
  <c r="AA87" i="20"/>
  <c r="X127" i="20"/>
  <c r="Z178" i="20"/>
  <c r="J228" i="20"/>
  <c r="I17" i="20"/>
  <c r="R58" i="20"/>
  <c r="X99" i="20"/>
  <c r="S132" i="20"/>
  <c r="S176" i="20"/>
  <c r="K228" i="20"/>
  <c r="M16" i="20"/>
  <c r="W59" i="20"/>
  <c r="Y102" i="20"/>
  <c r="L138" i="20"/>
  <c r="R186" i="20"/>
  <c r="P237" i="20"/>
  <c r="W14" i="20"/>
  <c r="L58" i="20"/>
  <c r="R101" i="20"/>
  <c r="W135" i="20"/>
  <c r="AC179" i="20"/>
  <c r="K227" i="20"/>
  <c r="Q270" i="20"/>
  <c r="O37" i="20"/>
  <c r="AD75" i="20"/>
  <c r="X113" i="20"/>
  <c r="Z144" i="20"/>
  <c r="L189" i="20"/>
  <c r="R237" i="20"/>
  <c r="Y14" i="20"/>
  <c r="Z248" i="20"/>
  <c r="Z37" i="20"/>
  <c r="T180" i="20"/>
  <c r="J106" i="20"/>
  <c r="AA19" i="20"/>
  <c r="AD175" i="20"/>
  <c r="T38" i="20"/>
  <c r="P160" i="20"/>
  <c r="U228" i="20"/>
  <c r="Q25" i="20"/>
  <c r="U76" i="20"/>
  <c r="K12" i="20"/>
  <c r="J107" i="20"/>
  <c r="M226" i="20"/>
  <c r="Z111" i="20"/>
  <c r="K195" i="20"/>
  <c r="L178" i="20"/>
  <c r="O230" i="20"/>
  <c r="X50" i="20"/>
  <c r="T124" i="20"/>
  <c r="P60" i="20"/>
  <c r="Y28" i="20"/>
  <c r="AB155" i="20"/>
  <c r="K102" i="20"/>
  <c r="V59" i="20"/>
  <c r="K186" i="20"/>
  <c r="T102" i="20"/>
  <c r="Y66" i="20"/>
  <c r="M203" i="20"/>
  <c r="M100" i="20"/>
  <c r="AB233" i="20"/>
  <c r="O153" i="20"/>
  <c r="U38" i="20"/>
  <c r="X46" i="20"/>
  <c r="Z97" i="20"/>
  <c r="Y59" i="20"/>
  <c r="X20" i="20"/>
  <c r="P66" i="20"/>
  <c r="I24" i="20"/>
  <c r="S67" i="20"/>
  <c r="T11" i="20"/>
  <c r="T57" i="20"/>
  <c r="Z101" i="20"/>
  <c r="L54" i="20"/>
  <c r="T97" i="20"/>
  <c r="R134" i="20"/>
  <c r="P182" i="20"/>
  <c r="N234" i="20"/>
  <c r="X48" i="20"/>
  <c r="AC94" i="20"/>
  <c r="L130" i="20"/>
  <c r="M180" i="20"/>
  <c r="AC229" i="20"/>
  <c r="W43" i="20"/>
  <c r="S89" i="20"/>
  <c r="I130" i="20"/>
  <c r="AD179" i="20"/>
  <c r="N229" i="20"/>
  <c r="U18" i="20"/>
  <c r="R61" i="20"/>
  <c r="AD100" i="20"/>
  <c r="W133" i="20"/>
  <c r="W177" i="20"/>
  <c r="O229" i="20"/>
  <c r="AC17" i="20"/>
  <c r="S61" i="20"/>
  <c r="M104" i="20"/>
  <c r="R139" i="20"/>
  <c r="X187" i="20"/>
  <c r="W238" i="20"/>
  <c r="Q16" i="20"/>
  <c r="AA59" i="20"/>
  <c r="Z102" i="20"/>
  <c r="AC136" i="20"/>
  <c r="K9" i="20"/>
  <c r="S46" i="20"/>
  <c r="Z90" i="20"/>
  <c r="W128" i="20"/>
  <c r="M176" i="20"/>
  <c r="V227" i="20"/>
  <c r="T274" i="20"/>
  <c r="S50" i="20"/>
  <c r="R94" i="20"/>
  <c r="V131" i="20"/>
  <c r="N179" i="20"/>
  <c r="W230" i="20"/>
  <c r="T10" i="20"/>
  <c r="AD55" i="20"/>
  <c r="AB99" i="20"/>
  <c r="M136" i="20"/>
  <c r="K185" i="20"/>
  <c r="Y236" i="20"/>
  <c r="V16" i="20"/>
  <c r="V61" i="20"/>
  <c r="AC104" i="20"/>
  <c r="O142" i="20"/>
  <c r="X189" i="20"/>
  <c r="AB240" i="20"/>
  <c r="X19" i="20"/>
  <c r="AA238" i="20"/>
  <c r="N185" i="20"/>
  <c r="N138" i="20"/>
  <c r="O104" i="20"/>
  <c r="U61" i="20"/>
  <c r="W19" i="20"/>
  <c r="L241" i="20"/>
  <c r="W191" i="20"/>
  <c r="Y144" i="20"/>
  <c r="AD106" i="20"/>
  <c r="AD54" i="20"/>
  <c r="J227" i="20"/>
  <c r="L160" i="20"/>
  <c r="N116" i="20"/>
  <c r="J71" i="20"/>
  <c r="U22" i="20"/>
  <c r="U158" i="20"/>
  <c r="I123" i="20"/>
  <c r="R83" i="20"/>
  <c r="P33" i="20"/>
  <c r="P236" i="20"/>
  <c r="V183" i="20"/>
  <c r="L124" i="20"/>
  <c r="K79" i="20"/>
  <c r="P30" i="20"/>
  <c r="O193" i="20"/>
  <c r="O144" i="20"/>
  <c r="V103" i="20"/>
  <c r="AD56" i="20"/>
  <c r="AB229" i="20"/>
  <c r="Z175" i="20"/>
  <c r="V123" i="20"/>
  <c r="Q70" i="20"/>
  <c r="V21" i="20"/>
  <c r="Y68" i="20"/>
  <c r="I19" i="20"/>
  <c r="W63" i="20"/>
  <c r="AC13" i="20"/>
  <c r="Z46" i="20"/>
  <c r="W83" i="20"/>
  <c r="M27" i="20"/>
  <c r="N66" i="20"/>
  <c r="O23" i="20"/>
  <c r="S160" i="20"/>
  <c r="I192" i="20"/>
  <c r="J53" i="20"/>
  <c r="I132" i="20"/>
  <c r="Y147" i="20"/>
  <c r="Y202" i="20"/>
  <c r="U67" i="20"/>
  <c r="U89" i="20"/>
  <c r="N113" i="20"/>
  <c r="N152" i="20"/>
  <c r="W29" i="20"/>
  <c r="T116" i="20"/>
  <c r="J138" i="20"/>
  <c r="Z133" i="20"/>
  <c r="Y139" i="20"/>
  <c r="S240" i="20"/>
  <c r="Y115" i="20"/>
  <c r="AD231" i="20"/>
  <c r="U182" i="20"/>
  <c r="X107" i="20"/>
  <c r="AA248" i="20"/>
  <c r="AD68" i="20"/>
  <c r="AB237" i="20"/>
  <c r="X117" i="20"/>
  <c r="K137" i="20"/>
  <c r="W198" i="20"/>
  <c r="AD104" i="20"/>
  <c r="W151" i="20"/>
  <c r="P9" i="20"/>
  <c r="P48" i="20"/>
  <c r="Y92" i="20"/>
  <c r="M130" i="20"/>
  <c r="X177" i="20"/>
  <c r="K229" i="20"/>
  <c r="AA276" i="20"/>
  <c r="K52" i="20"/>
  <c r="Q96" i="20"/>
  <c r="L133" i="20"/>
  <c r="W180" i="20"/>
  <c r="L232" i="20"/>
  <c r="Q12" i="20"/>
  <c r="AA57" i="20"/>
  <c r="V101" i="20"/>
  <c r="V137" i="20"/>
  <c r="W186" i="20"/>
  <c r="L238" i="20"/>
  <c r="O18" i="20"/>
  <c r="Q63" i="20"/>
  <c r="T106" i="20"/>
  <c r="X143" i="20"/>
  <c r="M191" i="20"/>
  <c r="R242" i="20"/>
  <c r="J18" i="20"/>
  <c r="AB234" i="20"/>
  <c r="AD183" i="20"/>
  <c r="AD136" i="20"/>
  <c r="AC102" i="20"/>
  <c r="J60" i="20"/>
  <c r="I18" i="20"/>
  <c r="AD239" i="20"/>
  <c r="Q190" i="20"/>
  <c r="S143" i="20"/>
  <c r="V105" i="20"/>
  <c r="S53" i="20"/>
  <c r="X276" i="20"/>
  <c r="AB225" i="20"/>
  <c r="AB158" i="20"/>
  <c r="AD114" i="20"/>
  <c r="R69" i="20"/>
  <c r="J21" i="20"/>
  <c r="I205" i="20"/>
  <c r="Q157" i="20"/>
  <c r="AA121" i="20"/>
  <c r="J82" i="20"/>
  <c r="AC31" i="20"/>
  <c r="L235" i="20"/>
  <c r="R182" i="20"/>
  <c r="AD122" i="20"/>
  <c r="X77" i="20"/>
  <c r="AA28" i="20"/>
  <c r="M192" i="20"/>
  <c r="M143" i="20"/>
  <c r="N101" i="20"/>
  <c r="W55" i="20"/>
  <c r="X227" i="20"/>
  <c r="T160" i="20"/>
  <c r="T122" i="20"/>
  <c r="J69" i="20"/>
  <c r="O20" i="20"/>
  <c r="T67" i="20"/>
  <c r="Z17" i="20"/>
  <c r="R62" i="20"/>
  <c r="X12" i="20"/>
  <c r="V44" i="20"/>
  <c r="V82" i="20"/>
  <c r="K26" i="20"/>
  <c r="AD62" i="20"/>
  <c r="U26" i="20"/>
  <c r="W179" i="20"/>
  <c r="AC189" i="20"/>
  <c r="V50" i="20"/>
  <c r="R127" i="20"/>
  <c r="Z145" i="20"/>
  <c r="J201" i="20"/>
  <c r="Z64" i="20"/>
  <c r="I87" i="20"/>
  <c r="U111" i="20"/>
  <c r="O145" i="20"/>
  <c r="K57" i="20"/>
  <c r="I122" i="20"/>
  <c r="L149" i="20"/>
  <c r="AA139" i="20"/>
  <c r="K132" i="20"/>
  <c r="N238" i="20"/>
  <c r="U107" i="20"/>
  <c r="AB228" i="20"/>
  <c r="AC178" i="20"/>
  <c r="K104" i="20"/>
  <c r="AD232" i="20"/>
  <c r="AB34" i="20"/>
  <c r="AC233" i="20"/>
  <c r="N109" i="20"/>
  <c r="AC145" i="20"/>
  <c r="T113" i="20"/>
  <c r="K246" i="20"/>
  <c r="L93" i="20"/>
  <c r="L9" i="20"/>
  <c r="R50" i="20"/>
  <c r="Q94" i="20"/>
  <c r="U131" i="20"/>
  <c r="M179" i="20"/>
  <c r="V230" i="20"/>
  <c r="Q9" i="20"/>
  <c r="J54" i="20"/>
  <c r="L98" i="20"/>
  <c r="W134" i="20"/>
  <c r="J182" i="20"/>
  <c r="X233" i="20"/>
  <c r="Q14" i="20"/>
  <c r="Q59" i="20"/>
  <c r="M103" i="20"/>
  <c r="K139" i="20"/>
  <c r="L188" i="20"/>
  <c r="T239" i="20"/>
  <c r="Q20" i="20"/>
  <c r="P65" i="20"/>
  <c r="I108" i="20"/>
  <c r="K145" i="20"/>
  <c r="V192" i="20"/>
  <c r="Y243" i="20"/>
  <c r="S16" i="20"/>
  <c r="V233" i="20"/>
  <c r="X182" i="20"/>
  <c r="X135" i="20"/>
  <c r="S101" i="20"/>
  <c r="O58" i="20"/>
  <c r="R16" i="20"/>
  <c r="X238" i="20"/>
  <c r="K189" i="20"/>
  <c r="M142" i="20"/>
  <c r="N104" i="20"/>
  <c r="AA51" i="20"/>
  <c r="W274" i="20"/>
  <c r="V157" i="20"/>
  <c r="V113" i="20"/>
  <c r="AC67" i="20"/>
  <c r="R19" i="20"/>
  <c r="AA203" i="20"/>
  <c r="K156" i="20"/>
  <c r="W120" i="20"/>
  <c r="X80" i="20"/>
  <c r="Q30" i="20"/>
  <c r="AD233" i="20"/>
  <c r="L181" i="20"/>
  <c r="Z121" i="20"/>
  <c r="O76" i="20"/>
  <c r="R27" i="20"/>
  <c r="K191" i="20"/>
  <c r="K142" i="20"/>
  <c r="J100" i="20"/>
  <c r="M54" i="20"/>
  <c r="W226" i="20"/>
  <c r="R159" i="20"/>
  <c r="R121" i="20"/>
  <c r="Y67" i="20"/>
  <c r="AB18" i="20"/>
  <c r="L66" i="20"/>
  <c r="P15" i="20"/>
  <c r="M61" i="20"/>
  <c r="S11" i="20"/>
  <c r="P41" i="20"/>
  <c r="Q79" i="20"/>
  <c r="AC23" i="20"/>
  <c r="AB61" i="20"/>
  <c r="V29" i="20"/>
  <c r="AB181" i="20"/>
  <c r="W187" i="20"/>
  <c r="X47" i="20"/>
  <c r="I125" i="20"/>
  <c r="AB143" i="20"/>
  <c r="N199" i="20"/>
  <c r="L62" i="20"/>
  <c r="M78" i="20"/>
  <c r="Z107" i="20"/>
  <c r="I140" i="20"/>
  <c r="O60" i="20"/>
  <c r="W132" i="20"/>
  <c r="O187" i="20"/>
  <c r="U149" i="20"/>
  <c r="L128" i="20"/>
  <c r="R229" i="20"/>
  <c r="I74" i="20"/>
  <c r="Z194" i="20"/>
  <c r="AD156" i="20"/>
  <c r="U100" i="20"/>
  <c r="Z230" i="20"/>
  <c r="Z30" i="20"/>
  <c r="Z229" i="20"/>
  <c r="W106" i="20"/>
  <c r="M236" i="20"/>
  <c r="O106" i="20"/>
  <c r="Q239" i="20"/>
  <c r="Y73" i="20"/>
  <c r="W50" i="20"/>
  <c r="S144" i="20"/>
  <c r="R238" i="20"/>
  <c r="T99" i="20"/>
  <c r="V74" i="20"/>
  <c r="N94" i="20"/>
  <c r="T84" i="20"/>
  <c r="J34" i="20"/>
  <c r="AD248" i="20"/>
  <c r="P104" i="20"/>
  <c r="AA96" i="20"/>
  <c r="AB120" i="20"/>
  <c r="S117" i="20"/>
  <c r="N145" i="20"/>
  <c r="S142" i="20"/>
  <c r="R141" i="20"/>
  <c r="I177" i="20"/>
  <c r="Y189" i="20"/>
  <c r="Q193" i="20"/>
  <c r="M91" i="20"/>
  <c r="AA252" i="20"/>
  <c r="P183" i="20"/>
  <c r="R114" i="20"/>
  <c r="M227" i="20"/>
  <c r="K83" i="20"/>
  <c r="U176" i="20"/>
  <c r="I21" i="20"/>
  <c r="W116" i="20"/>
  <c r="X268" i="20"/>
  <c r="AD245" i="20"/>
  <c r="U232" i="20"/>
  <c r="R226" i="20"/>
  <c r="Y191" i="20"/>
  <c r="U157" i="20"/>
  <c r="V142" i="20"/>
  <c r="Q38" i="20"/>
  <c r="M43" i="20"/>
  <c r="X29" i="20"/>
  <c r="AC34" i="20"/>
  <c r="N23" i="20"/>
  <c r="M55" i="20"/>
  <c r="Y51" i="20"/>
  <c r="AB54" i="20"/>
  <c r="U246" i="20"/>
  <c r="L102" i="20"/>
  <c r="W203" i="20"/>
  <c r="AC124" i="20"/>
  <c r="J246" i="20"/>
  <c r="S58" i="20"/>
  <c r="Z182" i="20"/>
  <c r="K28" i="20"/>
  <c r="J160" i="20"/>
  <c r="Z271" i="20"/>
  <c r="I243" i="20"/>
  <c r="N204" i="20"/>
  <c r="O201" i="20"/>
  <c r="AA180" i="20"/>
  <c r="W153" i="20"/>
  <c r="T138" i="20"/>
  <c r="AC248" i="20"/>
  <c r="AA20" i="20"/>
  <c r="I30" i="20"/>
  <c r="O27" i="20"/>
  <c r="I31" i="20"/>
  <c r="W11" i="20"/>
  <c r="AC51" i="20"/>
  <c r="S38" i="20"/>
  <c r="X51" i="20"/>
  <c r="T270" i="20"/>
  <c r="K237" i="20"/>
  <c r="V198" i="20"/>
  <c r="J118" i="20"/>
  <c r="Q227" i="20"/>
  <c r="P101" i="20"/>
  <c r="K240" i="20"/>
  <c r="Q174" i="20"/>
  <c r="AD198" i="20"/>
  <c r="AD178" i="20"/>
  <c r="AB203" i="20"/>
  <c r="M202" i="20"/>
  <c r="S190" i="20"/>
  <c r="I90" i="20"/>
  <c r="AB252" i="20"/>
  <c r="V246" i="20"/>
  <c r="Y52" i="20"/>
  <c r="S75" i="20"/>
  <c r="AA135" i="20"/>
  <c r="AD268" i="20"/>
  <c r="S133" i="20"/>
  <c r="S267" i="20"/>
  <c r="T133" i="20"/>
  <c r="AD265" i="20"/>
  <c r="J136" i="20"/>
  <c r="N19" i="20"/>
  <c r="M157" i="20"/>
  <c r="O31" i="20"/>
  <c r="V175" i="20"/>
  <c r="O55" i="20"/>
  <c r="Y199" i="20"/>
  <c r="U59" i="20"/>
  <c r="T191" i="20"/>
  <c r="L60" i="20"/>
  <c r="L83" i="20"/>
  <c r="Z242" i="20"/>
  <c r="L119" i="20"/>
  <c r="N273" i="20"/>
  <c r="AD157" i="20"/>
  <c r="L59" i="20"/>
  <c r="P103" i="20"/>
  <c r="K252" i="20"/>
  <c r="P135" i="20"/>
  <c r="X23" i="20"/>
  <c r="AC184" i="20"/>
  <c r="V144" i="20"/>
  <c r="U225" i="20"/>
  <c r="W65" i="20"/>
  <c r="X132" i="20"/>
  <c r="U200" i="20"/>
  <c r="S193" i="20"/>
  <c r="S104" i="20"/>
  <c r="O19" i="20"/>
  <c r="T91" i="20"/>
  <c r="U150" i="20"/>
  <c r="R44" i="20"/>
  <c r="AB109" i="20"/>
  <c r="Q159" i="20"/>
  <c r="O49" i="20"/>
  <c r="I110" i="20"/>
  <c r="M175" i="20"/>
  <c r="L57" i="20"/>
  <c r="O123" i="20"/>
  <c r="K192" i="20"/>
  <c r="N47" i="20"/>
  <c r="J109" i="20"/>
  <c r="I160" i="20"/>
  <c r="V72" i="20"/>
  <c r="I134" i="20"/>
  <c r="P199" i="20"/>
  <c r="V36" i="20"/>
  <c r="M105" i="20"/>
  <c r="X160" i="20"/>
  <c r="N237" i="20"/>
  <c r="V203" i="20"/>
  <c r="U136" i="20"/>
  <c r="J72" i="20"/>
  <c r="AD12" i="20"/>
  <c r="J39" i="20"/>
  <c r="L65" i="20"/>
  <c r="N91" i="20"/>
  <c r="Q29" i="20"/>
  <c r="S55" i="20"/>
  <c r="U81" i="20"/>
  <c r="V19" i="20"/>
  <c r="X45" i="20"/>
  <c r="Z71" i="20"/>
  <c r="AB97" i="20"/>
  <c r="AC85" i="20"/>
  <c r="I106" i="20"/>
  <c r="Y136" i="20"/>
  <c r="P227" i="20"/>
  <c r="O268" i="20"/>
  <c r="Y242" i="20"/>
  <c r="S266" i="20"/>
  <c r="P231" i="20"/>
  <c r="R272" i="20"/>
  <c r="P27" i="20"/>
  <c r="I66" i="20"/>
  <c r="R65" i="20"/>
  <c r="N192" i="20"/>
  <c r="W81" i="20"/>
  <c r="AD200" i="20"/>
  <c r="AB81" i="20"/>
  <c r="W194" i="20"/>
  <c r="J73" i="20"/>
  <c r="O228" i="20"/>
  <c r="Z91" i="20"/>
  <c r="R235" i="20"/>
  <c r="V96" i="20"/>
  <c r="U248" i="20"/>
  <c r="W127" i="20"/>
  <c r="AB130" i="20"/>
  <c r="M266" i="20"/>
  <c r="V124" i="20"/>
  <c r="Q153" i="20"/>
  <c r="M33" i="20"/>
  <c r="K201" i="20"/>
  <c r="W89" i="20"/>
  <c r="AB242" i="20"/>
  <c r="N135" i="20"/>
  <c r="AB12" i="20"/>
  <c r="AC180" i="20"/>
  <c r="U74" i="20"/>
  <c r="AA226" i="20"/>
  <c r="N108" i="20"/>
  <c r="O265" i="20"/>
  <c r="AD43" i="20"/>
  <c r="S105" i="20"/>
  <c r="AB182" i="20"/>
  <c r="W241" i="20"/>
  <c r="T27" i="20"/>
  <c r="R91" i="20"/>
  <c r="AC138" i="20"/>
  <c r="O54" i="20"/>
  <c r="Q53" i="20"/>
  <c r="K122" i="20"/>
  <c r="N189" i="20"/>
  <c r="L78" i="20"/>
  <c r="Z132" i="20"/>
  <c r="M17" i="20"/>
  <c r="P80" i="20"/>
  <c r="AC134" i="20"/>
  <c r="P18" i="20"/>
  <c r="K90" i="20"/>
  <c r="U153" i="20"/>
  <c r="O13" i="20"/>
  <c r="Q77" i="20"/>
  <c r="X133" i="20"/>
  <c r="AD38" i="20"/>
  <c r="Q107" i="20"/>
  <c r="AD174" i="20"/>
  <c r="J239" i="20"/>
  <c r="AC72" i="20"/>
  <c r="J134" i="20"/>
  <c r="Q199" i="20"/>
  <c r="X242" i="20"/>
  <c r="O177" i="20"/>
  <c r="O107" i="20"/>
  <c r="Y35" i="20"/>
  <c r="J26" i="20"/>
  <c r="L52" i="20"/>
  <c r="N78" i="20"/>
  <c r="O16" i="20"/>
  <c r="Q42" i="20"/>
  <c r="S68" i="20"/>
  <c r="U94" i="20"/>
  <c r="X32" i="20"/>
  <c r="Y58" i="20"/>
  <c r="Z84" i="20"/>
  <c r="AD269" i="20"/>
  <c r="AB133" i="20"/>
  <c r="T151" i="20"/>
  <c r="M245" i="20"/>
  <c r="K276" i="20"/>
  <c r="M11" i="20"/>
  <c r="I265" i="20"/>
  <c r="J186" i="20"/>
  <c r="N274" i="20"/>
  <c r="K225" i="20"/>
  <c r="Q267" i="20"/>
  <c r="Q15" i="20"/>
  <c r="AB40" i="20"/>
  <c r="M68" i="20"/>
  <c r="U194" i="20"/>
  <c r="P88" i="20"/>
  <c r="W211" i="20"/>
  <c r="K85" i="20"/>
  <c r="AB198" i="20"/>
  <c r="M84" i="20"/>
  <c r="U230" i="20"/>
  <c r="Y95" i="20"/>
  <c r="J240" i="20"/>
  <c r="T100" i="20"/>
  <c r="K266" i="20"/>
  <c r="AA130" i="20"/>
  <c r="L266" i="20"/>
  <c r="Q137" i="20"/>
  <c r="K270" i="20"/>
  <c r="AA127" i="20"/>
  <c r="T157" i="20"/>
  <c r="K44" i="20"/>
  <c r="K94" i="20"/>
  <c r="R245" i="20"/>
  <c r="N139" i="20"/>
  <c r="W18" i="20"/>
  <c r="J195" i="20"/>
  <c r="S79" i="20"/>
  <c r="T229" i="20"/>
  <c r="Z112" i="20"/>
  <c r="X252" i="20"/>
  <c r="N30" i="20"/>
  <c r="S99" i="20"/>
  <c r="W176" i="20"/>
  <c r="Q238" i="20"/>
  <c r="U20" i="20"/>
  <c r="J77" i="20"/>
  <c r="X136" i="20"/>
  <c r="AB50" i="20"/>
  <c r="Y55" i="20"/>
  <c r="Z123" i="20"/>
  <c r="L10" i="20"/>
  <c r="O80" i="20"/>
  <c r="AB134" i="20"/>
  <c r="Q19" i="20"/>
  <c r="AA82" i="20"/>
  <c r="T136" i="20"/>
  <c r="AB20" i="20"/>
  <c r="AC92" i="20"/>
  <c r="X155" i="20"/>
  <c r="X15" i="20"/>
  <c r="L80" i="20"/>
  <c r="S137" i="20"/>
  <c r="AA41" i="20"/>
  <c r="W109" i="20"/>
  <c r="K177" i="20"/>
  <c r="U240" i="20"/>
  <c r="Q75" i="20"/>
  <c r="Q136" i="20"/>
  <c r="N201" i="20"/>
  <c r="I241" i="20"/>
  <c r="J175" i="20"/>
  <c r="R104" i="20"/>
  <c r="AB32" i="20"/>
  <c r="L27" i="20"/>
  <c r="N53" i="20"/>
  <c r="P79" i="20"/>
  <c r="Q17" i="20"/>
  <c r="S43" i="20"/>
  <c r="U69" i="20"/>
  <c r="W95" i="20"/>
  <c r="Z33" i="20"/>
  <c r="Z59" i="20"/>
  <c r="AB85" i="20"/>
  <c r="Y232" i="20"/>
  <c r="Y148" i="20"/>
  <c r="Y24" i="20"/>
  <c r="U30" i="20"/>
  <c r="O110" i="20"/>
  <c r="Z152" i="20"/>
  <c r="I73" i="20"/>
  <c r="K180" i="20"/>
  <c r="AD101" i="20"/>
  <c r="L109" i="20"/>
  <c r="Y15" i="20"/>
  <c r="AB100" i="20"/>
  <c r="P252" i="20"/>
  <c r="Y130" i="20"/>
  <c r="K18" i="20"/>
  <c r="J177" i="20"/>
  <c r="Q57" i="20"/>
  <c r="AC232" i="20"/>
  <c r="I121" i="20"/>
  <c r="T15" i="20"/>
  <c r="R153" i="20"/>
  <c r="T76" i="20"/>
  <c r="R231" i="20"/>
  <c r="J108" i="20"/>
  <c r="AC271" i="20"/>
  <c r="L33" i="20"/>
  <c r="Y207" i="20"/>
  <c r="X115" i="20"/>
  <c r="W17" i="20"/>
  <c r="L201" i="20"/>
  <c r="Y111" i="20"/>
  <c r="V23" i="20"/>
  <c r="I211" i="20"/>
  <c r="X119" i="20"/>
  <c r="N195" i="20"/>
  <c r="Y105" i="20"/>
  <c r="O122" i="20"/>
  <c r="O159" i="20"/>
  <c r="P196" i="20"/>
  <c r="R233" i="20"/>
  <c r="R197" i="20"/>
  <c r="U96" i="20"/>
  <c r="AC35" i="20"/>
  <c r="M113" i="20"/>
  <c r="AD14" i="20"/>
  <c r="P89" i="20"/>
  <c r="V150" i="20"/>
  <c r="L47" i="20"/>
  <c r="Y118" i="20"/>
  <c r="AA185" i="20"/>
  <c r="AB82" i="20"/>
  <c r="AB157" i="20"/>
  <c r="J29" i="20"/>
  <c r="R100" i="20"/>
  <c r="AC157" i="20"/>
  <c r="AD80" i="20"/>
  <c r="R147" i="20"/>
  <c r="AA233" i="20"/>
  <c r="R78" i="20"/>
  <c r="M145" i="20"/>
  <c r="M230" i="20"/>
  <c r="T205" i="20"/>
  <c r="AD128" i="20"/>
  <c r="AB53" i="20"/>
  <c r="Z22" i="20"/>
  <c r="P54" i="20"/>
  <c r="V83" i="20"/>
  <c r="I25" i="20"/>
  <c r="Q54" i="20"/>
  <c r="Y84" i="20"/>
  <c r="L26" i="20"/>
  <c r="T55" i="20"/>
  <c r="AD86" i="20"/>
  <c r="X27" i="20"/>
  <c r="S57" i="20"/>
  <c r="O87" i="20"/>
  <c r="U16" i="20"/>
  <c r="U47" i="20"/>
  <c r="S77" i="20"/>
  <c r="L106" i="20"/>
  <c r="O39" i="20"/>
  <c r="AA71" i="20"/>
  <c r="U103" i="20"/>
  <c r="K130" i="20"/>
  <c r="I196" i="20"/>
  <c r="Z147" i="20"/>
  <c r="AA124" i="20"/>
  <c r="AA24" i="20"/>
  <c r="U193" i="20"/>
  <c r="Z272" i="20"/>
  <c r="AD72" i="20"/>
  <c r="M240" i="20"/>
  <c r="Y194" i="20"/>
  <c r="I179" i="20"/>
  <c r="K109" i="20"/>
  <c r="Y86" i="20"/>
  <c r="U154" i="20"/>
  <c r="R28" i="20"/>
  <c r="K187" i="20"/>
  <c r="Q88" i="20"/>
  <c r="AB235" i="20"/>
  <c r="AA111" i="20"/>
  <c r="M271" i="20"/>
  <c r="I184" i="20"/>
  <c r="AB46" i="20"/>
  <c r="Q231" i="20"/>
  <c r="L134" i="20"/>
  <c r="J30" i="20"/>
  <c r="X175" i="20"/>
  <c r="X55" i="20"/>
  <c r="AB106" i="20"/>
  <c r="L271" i="20"/>
  <c r="M177" i="20"/>
  <c r="AD98" i="20"/>
  <c r="R276" i="20"/>
  <c r="Z191" i="20"/>
  <c r="J99" i="20"/>
  <c r="U271" i="20"/>
  <c r="V188" i="20"/>
  <c r="T79" i="20"/>
  <c r="Z244" i="20"/>
  <c r="W268" i="20"/>
  <c r="V43" i="20"/>
  <c r="L86" i="20"/>
  <c r="S110" i="20"/>
  <c r="R144" i="20"/>
  <c r="K151" i="20"/>
  <c r="I48" i="20"/>
  <c r="T64" i="20"/>
  <c r="V141" i="20"/>
  <c r="T42" i="20"/>
  <c r="L115" i="20"/>
  <c r="K184" i="20"/>
  <c r="X73" i="20"/>
  <c r="R138" i="20"/>
  <c r="W31" i="20"/>
  <c r="N115" i="20"/>
  <c r="L190" i="20"/>
  <c r="X54" i="20"/>
  <c r="K121" i="20"/>
  <c r="U27" i="20"/>
  <c r="AC111" i="20"/>
  <c r="T185" i="20"/>
  <c r="K25" i="20"/>
  <c r="V102" i="20"/>
  <c r="R179" i="20"/>
  <c r="Q266" i="20"/>
  <c r="Q184" i="20"/>
  <c r="AB101" i="20"/>
  <c r="I20" i="20"/>
  <c r="Y34" i="20"/>
  <c r="J64" i="20"/>
  <c r="T94" i="20"/>
  <c r="AA35" i="20"/>
  <c r="M65" i="20"/>
  <c r="Y96" i="20"/>
  <c r="J38" i="20"/>
  <c r="R67" i="20"/>
  <c r="Z96" i="20"/>
  <c r="Z38" i="20"/>
  <c r="AC269" i="20"/>
  <c r="L56" i="20"/>
  <c r="AC37" i="20"/>
  <c r="AC152" i="20"/>
  <c r="Q46" i="20"/>
  <c r="L68" i="20"/>
  <c r="Q113" i="20"/>
  <c r="AA26" i="20"/>
  <c r="R130" i="20"/>
  <c r="O140" i="20"/>
  <c r="AB62" i="20"/>
  <c r="AB26" i="20"/>
  <c r="N174" i="20"/>
  <c r="AA48" i="20"/>
  <c r="R225" i="20"/>
  <c r="X98" i="20"/>
  <c r="U241" i="20"/>
  <c r="AB132" i="20"/>
  <c r="M46" i="20"/>
  <c r="P200" i="20"/>
  <c r="Y75" i="20"/>
  <c r="AC267" i="20"/>
  <c r="M147" i="20"/>
  <c r="P43" i="20"/>
  <c r="Q185" i="20"/>
  <c r="L72" i="20"/>
  <c r="K119" i="20"/>
  <c r="N12" i="20"/>
  <c r="L226" i="20"/>
  <c r="Q119" i="20"/>
  <c r="U23" i="20"/>
  <c r="K204" i="20"/>
  <c r="W119" i="20"/>
  <c r="P13" i="20"/>
  <c r="P198" i="20"/>
  <c r="K116" i="20"/>
  <c r="AC201" i="20"/>
  <c r="V244" i="20"/>
  <c r="AA13" i="20"/>
  <c r="X36" i="20"/>
  <c r="L92" i="20"/>
  <c r="P128" i="20"/>
  <c r="AD133" i="20"/>
  <c r="AC32" i="20"/>
  <c r="N80" i="20"/>
  <c r="AB148" i="20"/>
  <c r="U53" i="20"/>
  <c r="L122" i="20"/>
  <c r="O189" i="20"/>
  <c r="W84" i="20"/>
  <c r="S145" i="20"/>
  <c r="M47" i="20"/>
  <c r="J121" i="20"/>
  <c r="S197" i="20"/>
  <c r="M62" i="20"/>
  <c r="M127" i="20"/>
  <c r="AD44" i="20"/>
  <c r="U118" i="20"/>
  <c r="AD191" i="20"/>
  <c r="AA33" i="20"/>
  <c r="O105" i="20"/>
  <c r="AA136" i="20"/>
  <c r="Y61" i="20"/>
  <c r="AB113" i="20"/>
  <c r="M228" i="20"/>
  <c r="Z252" i="20"/>
  <c r="X188" i="20"/>
  <c r="R56" i="20"/>
  <c r="Z183" i="20"/>
  <c r="Y62" i="20"/>
  <c r="T179" i="20"/>
  <c r="R98" i="20"/>
  <c r="Q252" i="20"/>
  <c r="K157" i="20"/>
  <c r="Y91" i="20"/>
  <c r="P265" i="20"/>
  <c r="K190" i="20"/>
  <c r="V92" i="20"/>
  <c r="X16" i="20"/>
  <c r="M205" i="20"/>
  <c r="V100" i="20"/>
  <c r="J12" i="20"/>
  <c r="AC63" i="20"/>
  <c r="M273" i="20"/>
  <c r="R232" i="20"/>
  <c r="X142" i="20"/>
  <c r="L94" i="20"/>
  <c r="T276" i="20"/>
  <c r="AD234" i="20"/>
  <c r="Y154" i="20"/>
  <c r="X85" i="20"/>
  <c r="L193" i="20"/>
  <c r="AB201" i="20"/>
  <c r="AA201" i="20"/>
  <c r="V200" i="20"/>
  <c r="W205" i="20"/>
  <c r="X179" i="20"/>
  <c r="O45" i="20"/>
  <c r="Z86" i="20"/>
  <c r="Z176" i="20"/>
  <c r="U73" i="20"/>
  <c r="AC148" i="20"/>
  <c r="AA55" i="20"/>
  <c r="S129" i="20"/>
  <c r="Y41" i="20"/>
  <c r="L127" i="20"/>
  <c r="O90" i="20"/>
  <c r="Y155" i="20"/>
  <c r="N89" i="20"/>
  <c r="Q179" i="20"/>
  <c r="AB27" i="20"/>
  <c r="O114" i="20"/>
  <c r="Y193" i="20"/>
  <c r="T235" i="20"/>
  <c r="AC143" i="20"/>
  <c r="AC62" i="20"/>
  <c r="X21" i="20"/>
  <c r="T56" i="20"/>
  <c r="AD87" i="20"/>
  <c r="W32" i="20"/>
  <c r="K64" i="20"/>
  <c r="AC10" i="20"/>
  <c r="R42" i="20"/>
  <c r="J75" i="20"/>
  <c r="AD18" i="20"/>
  <c r="P51" i="20"/>
  <c r="O82" i="20"/>
  <c r="Y12" i="20"/>
  <c r="K45" i="20"/>
  <c r="N76" i="20"/>
  <c r="N107" i="20"/>
  <c r="AC41" i="20"/>
  <c r="Z75" i="20"/>
  <c r="Q108" i="20"/>
  <c r="T135" i="20"/>
  <c r="V162" i="20"/>
  <c r="Z199" i="20"/>
  <c r="T13" i="20"/>
  <c r="J46" i="20"/>
  <c r="V78" i="20"/>
  <c r="T109" i="20"/>
  <c r="U135" i="20"/>
  <c r="W162" i="20"/>
  <c r="AA199" i="20"/>
  <c r="U15" i="20"/>
  <c r="AC50" i="20"/>
  <c r="R86" i="20"/>
  <c r="N118" i="20"/>
  <c r="AC119" i="20"/>
  <c r="I199" i="20"/>
  <c r="AD112" i="20"/>
  <c r="U190" i="20"/>
  <c r="AA272" i="20"/>
  <c r="N270" i="20"/>
  <c r="O151" i="20"/>
  <c r="Z19" i="20"/>
  <c r="Z155" i="20"/>
  <c r="U40" i="20"/>
  <c r="Z181" i="20"/>
  <c r="I101" i="20"/>
  <c r="T265" i="20"/>
  <c r="V179" i="20"/>
  <c r="U95" i="20"/>
  <c r="U267" i="20"/>
  <c r="Y192" i="20"/>
  <c r="X103" i="20"/>
  <c r="Z20" i="20"/>
  <c r="AD211" i="20"/>
  <c r="AA117" i="20"/>
  <c r="AD20" i="20"/>
  <c r="I94" i="20"/>
  <c r="S232" i="20"/>
  <c r="X234" i="20"/>
  <c r="L154" i="20"/>
  <c r="I99" i="20"/>
  <c r="U34" i="20"/>
  <c r="O238" i="20"/>
  <c r="AB177" i="20"/>
  <c r="AC89" i="20"/>
  <c r="Q187" i="20"/>
  <c r="W196" i="20"/>
  <c r="V196" i="20"/>
  <c r="Z192" i="20"/>
  <c r="O196" i="20"/>
  <c r="P175" i="20"/>
  <c r="V38" i="20"/>
  <c r="O89" i="20"/>
  <c r="S178" i="20"/>
  <c r="Z82" i="20"/>
  <c r="X152" i="20"/>
  <c r="J58" i="20"/>
  <c r="J131" i="20"/>
  <c r="N44" i="20"/>
  <c r="R131" i="20"/>
  <c r="AD92" i="20"/>
  <c r="AD162" i="20"/>
  <c r="AA91" i="20"/>
  <c r="S181" i="20"/>
  <c r="X30" i="20"/>
  <c r="R116" i="20"/>
  <c r="AC195" i="20"/>
  <c r="P233" i="20"/>
  <c r="O141" i="20"/>
  <c r="N60" i="20"/>
  <c r="AB23" i="20"/>
  <c r="V57" i="20"/>
  <c r="J89" i="20"/>
  <c r="Y33" i="20"/>
  <c r="O66" i="20"/>
  <c r="AD11" i="20"/>
  <c r="T43" i="20"/>
  <c r="L76" i="20"/>
  <c r="M20" i="20"/>
  <c r="U52" i="20"/>
  <c r="S83" i="20"/>
  <c r="AD13" i="20"/>
  <c r="P46" i="20"/>
  <c r="X78" i="20"/>
  <c r="P108" i="20"/>
  <c r="N43" i="20"/>
  <c r="K77" i="20"/>
  <c r="S109" i="20"/>
  <c r="V136" i="20"/>
  <c r="X174" i="20"/>
  <c r="AB200" i="20"/>
  <c r="AA14" i="20"/>
  <c r="Q47" i="20"/>
  <c r="I80" i="20"/>
  <c r="V110" i="20"/>
  <c r="W136" i="20"/>
  <c r="Y174" i="20"/>
  <c r="AC200" i="20"/>
  <c r="J83" i="20"/>
  <c r="Y135" i="20"/>
  <c r="AC40" i="20"/>
  <c r="N126" i="20"/>
  <c r="V130" i="20"/>
  <c r="AC246" i="20"/>
  <c r="P244" i="20"/>
  <c r="P113" i="20"/>
  <c r="X228" i="20"/>
  <c r="V147" i="20"/>
  <c r="Q98" i="20"/>
  <c r="R267" i="20"/>
  <c r="J157" i="20"/>
  <c r="X91" i="20"/>
  <c r="R252" i="20"/>
  <c r="AC186" i="20"/>
  <c r="M88" i="20"/>
  <c r="Y11" i="20"/>
  <c r="AD184" i="20"/>
  <c r="M114" i="20"/>
  <c r="S34" i="20"/>
  <c r="AB199" i="20"/>
  <c r="K108" i="20"/>
  <c r="U180" i="20"/>
  <c r="R111" i="20"/>
  <c r="L44" i="20"/>
  <c r="I252" i="20"/>
  <c r="K198" i="20"/>
  <c r="AD131" i="20"/>
  <c r="K70" i="20"/>
  <c r="Y266" i="20"/>
  <c r="Q192" i="20"/>
  <c r="N86" i="20"/>
  <c r="O71" i="20"/>
  <c r="Y50" i="20"/>
  <c r="N57" i="20"/>
  <c r="AA56" i="20"/>
  <c r="L112" i="20"/>
  <c r="N33" i="20"/>
  <c r="V125" i="20"/>
  <c r="M31" i="20"/>
  <c r="Y116" i="20"/>
  <c r="I15" i="20"/>
  <c r="J98" i="20"/>
  <c r="U178" i="20"/>
  <c r="K80" i="20"/>
  <c r="J178" i="20"/>
  <c r="O44" i="20"/>
  <c r="P123" i="20"/>
  <c r="AC49" i="20"/>
  <c r="X129" i="20"/>
  <c r="AA69" i="20"/>
  <c r="W149" i="20"/>
  <c r="S276" i="20"/>
  <c r="Q191" i="20"/>
  <c r="K110" i="20"/>
  <c r="X13" i="20"/>
  <c r="L40" i="20"/>
  <c r="X71" i="20"/>
  <c r="M15" i="20"/>
  <c r="AC48" i="20"/>
  <c r="S80" i="20"/>
  <c r="O101" i="20"/>
  <c r="Q148" i="20"/>
  <c r="K96" i="20"/>
  <c r="T156" i="20"/>
  <c r="N202" i="20"/>
  <c r="M53" i="20"/>
  <c r="AB19" i="20"/>
  <c r="N276" i="20"/>
  <c r="N137" i="20"/>
  <c r="J112" i="20"/>
  <c r="U45" i="20"/>
  <c r="AB244" i="20"/>
  <c r="X184" i="20"/>
  <c r="AD126" i="20"/>
  <c r="V65" i="20"/>
  <c r="Y19" i="20"/>
  <c r="S226" i="20"/>
  <c r="W175" i="20"/>
  <c r="X92" i="20"/>
  <c r="Q43" i="20"/>
  <c r="K135" i="20"/>
  <c r="AC98" i="20"/>
  <c r="Q49" i="20"/>
  <c r="X17" i="20"/>
  <c r="S245" i="20"/>
  <c r="Z226" i="20"/>
  <c r="J192" i="20"/>
  <c r="Z139" i="20"/>
  <c r="AA112" i="20"/>
  <c r="X65" i="20"/>
  <c r="Z13" i="20"/>
  <c r="P248" i="20"/>
  <c r="R184" i="20"/>
  <c r="Y26" i="20"/>
  <c r="AB103" i="20"/>
  <c r="M24" i="20"/>
  <c r="X118" i="20"/>
  <c r="Z28" i="20"/>
  <c r="T120" i="20"/>
  <c r="Q26" i="20"/>
  <c r="Q135" i="20"/>
  <c r="R26" i="20"/>
  <c r="O115" i="20"/>
  <c r="I53" i="20"/>
  <c r="AC140" i="20"/>
  <c r="W10" i="20"/>
  <c r="J110" i="20"/>
  <c r="N203" i="20"/>
  <c r="Y211" i="20"/>
  <c r="N117" i="20"/>
  <c r="X10" i="20"/>
  <c r="T44" i="20"/>
  <c r="T81" i="20"/>
  <c r="S30" i="20"/>
  <c r="W70" i="20"/>
  <c r="R17" i="20"/>
  <c r="N52" i="20"/>
  <c r="L89" i="20"/>
  <c r="K35" i="20"/>
  <c r="AC69" i="20"/>
  <c r="AA102" i="20"/>
  <c r="V37" i="20"/>
  <c r="M71" i="20"/>
  <c r="AD103" i="20"/>
  <c r="X44" i="20"/>
  <c r="O81" i="20"/>
  <c r="AB114" i="20"/>
  <c r="N144" i="20"/>
  <c r="T184" i="20"/>
  <c r="Z228" i="20"/>
  <c r="S32" i="20"/>
  <c r="Z67" i="20"/>
  <c r="R102" i="20"/>
  <c r="M131" i="20"/>
  <c r="S159" i="20"/>
  <c r="I202" i="20"/>
  <c r="AC19" i="20"/>
  <c r="I57" i="20"/>
  <c r="AC93" i="20"/>
  <c r="P125" i="20"/>
  <c r="Z153" i="20"/>
  <c r="N194" i="20"/>
  <c r="Y238" i="20"/>
  <c r="T24" i="20"/>
  <c r="AC59" i="20"/>
  <c r="O86" i="20"/>
  <c r="K95" i="20"/>
  <c r="AC112" i="20"/>
  <c r="L248" i="20"/>
  <c r="X24" i="20"/>
  <c r="U120" i="20"/>
  <c r="S179" i="20"/>
  <c r="P193" i="20"/>
  <c r="L276" i="20"/>
  <c r="U138" i="20"/>
  <c r="W91" i="20"/>
  <c r="AB14" i="20"/>
  <c r="X211" i="20"/>
  <c r="AC144" i="20"/>
  <c r="L99" i="20"/>
  <c r="AB15" i="20"/>
  <c r="O241" i="20"/>
  <c r="AA196" i="20"/>
  <c r="V140" i="20"/>
  <c r="AB63" i="20"/>
  <c r="K146" i="20"/>
  <c r="N123" i="20"/>
  <c r="AD78" i="20"/>
  <c r="AB39" i="20"/>
  <c r="K269" i="20"/>
  <c r="AD242" i="20"/>
  <c r="O204" i="20"/>
  <c r="AC177" i="20"/>
  <c r="AA78" i="20"/>
  <c r="N21" i="20"/>
  <c r="Q268" i="20"/>
  <c r="K230" i="20"/>
  <c r="S148" i="20"/>
  <c r="AC16" i="20"/>
  <c r="T111" i="20"/>
  <c r="Q33" i="20"/>
  <c r="T127" i="20"/>
  <c r="I36" i="20"/>
  <c r="X125" i="20"/>
  <c r="AD51" i="20"/>
  <c r="S141" i="20"/>
  <c r="Z36" i="20"/>
  <c r="L125" i="20"/>
  <c r="W61" i="20"/>
  <c r="V149" i="20"/>
  <c r="L19" i="20"/>
  <c r="L123" i="20"/>
  <c r="Q197" i="20"/>
  <c r="M99" i="20"/>
  <c r="AB11" i="20"/>
  <c r="Z47" i="20"/>
  <c r="Z85" i="20"/>
  <c r="AC36" i="20"/>
  <c r="AC73" i="20"/>
  <c r="Z21" i="20"/>
  <c r="V56" i="20"/>
  <c r="R92" i="20"/>
  <c r="I40" i="20"/>
  <c r="V73" i="20"/>
  <c r="K106" i="20"/>
  <c r="R41" i="20"/>
  <c r="AB74" i="20"/>
  <c r="L12" i="20"/>
  <c r="W48" i="20"/>
  <c r="O85" i="20"/>
  <c r="L118" i="20"/>
  <c r="T147" i="20"/>
  <c r="Z187" i="20"/>
  <c r="J232" i="20"/>
  <c r="U36" i="20"/>
  <c r="AB71" i="20"/>
  <c r="AD105" i="20"/>
  <c r="S134" i="20"/>
  <c r="AC176" i="20"/>
  <c r="O205" i="20"/>
  <c r="S24" i="20"/>
  <c r="Q61" i="20"/>
  <c r="O98" i="20"/>
  <c r="AB128" i="20"/>
  <c r="P157" i="20"/>
  <c r="V156" i="20"/>
  <c r="AA18" i="20"/>
  <c r="AB152" i="20"/>
  <c r="K82" i="20"/>
  <c r="AD32" i="20"/>
  <c r="L186" i="20"/>
  <c r="Y158" i="20"/>
  <c r="R185" i="20"/>
  <c r="T246" i="20"/>
  <c r="N141" i="20"/>
  <c r="I95" i="20"/>
  <c r="U21" i="20"/>
  <c r="AA229" i="20"/>
  <c r="N148" i="20"/>
  <c r="X105" i="20"/>
  <c r="Y20" i="20"/>
  <c r="I270" i="20"/>
  <c r="Q202" i="20"/>
  <c r="M144" i="20"/>
  <c r="J68" i="20"/>
  <c r="U162" i="20"/>
  <c r="Z126" i="20"/>
  <c r="Y83" i="20"/>
  <c r="Y69" i="20"/>
  <c r="T273" i="20"/>
  <c r="X266" i="20"/>
  <c r="V232" i="20"/>
  <c r="K181" i="20"/>
  <c r="AA65" i="20"/>
  <c r="R274" i="20"/>
  <c r="L265" i="20"/>
  <c r="N225" i="20"/>
  <c r="M146" i="20"/>
  <c r="Y13" i="20"/>
  <c r="K115" i="20"/>
  <c r="AD35" i="20"/>
  <c r="R129" i="20"/>
  <c r="O40" i="20"/>
  <c r="U127" i="20"/>
  <c r="W54" i="20"/>
  <c r="AA143" i="20"/>
  <c r="V39" i="20"/>
  <c r="U129" i="20"/>
  <c r="I64" i="20"/>
  <c r="AA151" i="20"/>
  <c r="O22" i="20"/>
  <c r="J125" i="20"/>
  <c r="V226" i="20"/>
  <c r="L195" i="20"/>
  <c r="T96" i="20"/>
  <c r="J14" i="20"/>
  <c r="AB48" i="20"/>
  <c r="AB86" i="20"/>
  <c r="I38" i="20"/>
  <c r="I75" i="20"/>
  <c r="AB22" i="20"/>
  <c r="X57" i="20"/>
  <c r="T93" i="20"/>
  <c r="Q41" i="20"/>
  <c r="AA74" i="20"/>
  <c r="M107" i="20"/>
  <c r="W42" i="20"/>
  <c r="AC79" i="20"/>
  <c r="S13" i="20"/>
  <c r="M50" i="20"/>
  <c r="P70" i="20"/>
  <c r="P56" i="20"/>
  <c r="M190" i="20"/>
  <c r="U238" i="20"/>
  <c r="T41" i="20"/>
  <c r="M193" i="20"/>
  <c r="Q122" i="20"/>
  <c r="AD155" i="20"/>
  <c r="Y235" i="20"/>
  <c r="I157" i="20"/>
  <c r="Z103" i="20"/>
  <c r="U226" i="20"/>
  <c r="N114" i="20"/>
  <c r="Z151" i="20"/>
  <c r="K60" i="20"/>
  <c r="Y151" i="20"/>
  <c r="I29" i="20"/>
  <c r="AA107" i="20"/>
  <c r="Z185" i="20"/>
  <c r="AA86" i="20"/>
  <c r="J147" i="20"/>
  <c r="L38" i="20"/>
  <c r="I129" i="20"/>
  <c r="V241" i="20"/>
  <c r="U43" i="20"/>
  <c r="U144" i="20"/>
  <c r="X225" i="20"/>
  <c r="P35" i="20"/>
  <c r="AC44" i="20"/>
  <c r="M60" i="20"/>
  <c r="W28" i="20"/>
  <c r="Z12" i="20"/>
  <c r="L23" i="20"/>
  <c r="Y39" i="20"/>
  <c r="Q243" i="20"/>
  <c r="U276" i="20"/>
  <c r="R23" i="20"/>
  <c r="Y53" i="20"/>
  <c r="U65" i="20"/>
  <c r="N120" i="20"/>
  <c r="Q141" i="20"/>
  <c r="V184" i="20"/>
  <c r="L129" i="20"/>
  <c r="T200" i="20"/>
  <c r="L174" i="20"/>
  <c r="AB272" i="20"/>
  <c r="K33" i="20"/>
  <c r="Q200" i="20"/>
  <c r="Q73" i="20"/>
  <c r="AB241" i="20"/>
  <c r="Y273" i="20"/>
  <c r="X18" i="20"/>
  <c r="W49" i="20"/>
  <c r="AA12" i="20"/>
  <c r="Q276" i="20"/>
  <c r="T17" i="20"/>
  <c r="L28" i="20"/>
  <c r="M197" i="20"/>
  <c r="I239" i="20"/>
  <c r="AD273" i="20"/>
  <c r="AD272" i="20"/>
  <c r="AA49" i="20"/>
  <c r="L46" i="20"/>
  <c r="P109" i="20"/>
  <c r="X138" i="20"/>
  <c r="Y176" i="20"/>
  <c r="I156" i="20"/>
  <c r="T155" i="20"/>
  <c r="O202" i="20"/>
  <c r="AC273" i="20"/>
  <c r="O17" i="20"/>
  <c r="L95" i="20"/>
  <c r="V242" i="20"/>
  <c r="Q35" i="20"/>
  <c r="AA133" i="20"/>
  <c r="R73" i="20"/>
  <c r="I273" i="20"/>
  <c r="Y30" i="20"/>
  <c r="S70" i="20"/>
  <c r="AB232" i="20"/>
  <c r="W121" i="20"/>
  <c r="Z124" i="20"/>
  <c r="K152" i="20"/>
  <c r="I44" i="20"/>
  <c r="M246" i="20"/>
  <c r="L126" i="20"/>
  <c r="Z158" i="20"/>
  <c r="N233" i="20"/>
  <c r="Z26" i="20"/>
  <c r="N17" i="20"/>
  <c r="Q104" i="20"/>
  <c r="AB45" i="20"/>
  <c r="Y252" i="20"/>
  <c r="AC175" i="20"/>
  <c r="AD118" i="20"/>
  <c r="AC52" i="20"/>
  <c r="O21" i="20"/>
  <c r="Y114" i="20"/>
  <c r="AA200" i="20"/>
  <c r="L25" i="20"/>
  <c r="M120" i="20"/>
  <c r="Q205" i="20"/>
  <c r="L32" i="20"/>
  <c r="W122" i="20"/>
  <c r="R205" i="20"/>
  <c r="AA42" i="20"/>
  <c r="O139" i="20"/>
  <c r="Y241" i="20"/>
  <c r="Y76" i="20"/>
  <c r="O178" i="20"/>
  <c r="AB274" i="20"/>
  <c r="R88" i="20"/>
  <c r="K194" i="20"/>
  <c r="P34" i="20"/>
  <c r="Q140" i="20"/>
  <c r="P241" i="20"/>
  <c r="I72" i="20"/>
  <c r="Y160" i="20"/>
  <c r="K268" i="20"/>
  <c r="K97" i="20"/>
  <c r="AB78" i="20"/>
  <c r="AB190" i="20"/>
  <c r="M28" i="20"/>
  <c r="W142" i="20"/>
  <c r="U266" i="20"/>
  <c r="S111" i="20"/>
  <c r="Q229" i="20"/>
  <c r="J74" i="20"/>
  <c r="O188" i="20"/>
  <c r="K29" i="20"/>
  <c r="Z142" i="20"/>
  <c r="W264" i="20"/>
  <c r="M108" i="20"/>
  <c r="J211" i="20"/>
  <c r="Z54" i="20"/>
  <c r="I174" i="20"/>
  <c r="Q230" i="20"/>
  <c r="M72" i="20"/>
  <c r="I193" i="20"/>
  <c r="AA36" i="20"/>
  <c r="M155" i="20"/>
  <c r="Q274" i="20"/>
  <c r="Q128" i="20"/>
  <c r="S244" i="20"/>
  <c r="Y98" i="20"/>
  <c r="S177" i="20"/>
  <c r="P107" i="20"/>
  <c r="J36" i="20"/>
  <c r="AC46" i="20"/>
  <c r="N100" i="20"/>
  <c r="Q143" i="20"/>
  <c r="L17" i="20"/>
  <c r="R71" i="20"/>
  <c r="S120" i="20"/>
  <c r="L175" i="20"/>
  <c r="U42" i="20"/>
  <c r="AC95" i="20"/>
  <c r="K140" i="20"/>
  <c r="AC12" i="20"/>
  <c r="L75" i="20"/>
  <c r="T129" i="20"/>
  <c r="AA129" i="20"/>
  <c r="O143" i="20"/>
  <c r="AB185" i="20"/>
  <c r="S73" i="20"/>
  <c r="P266" i="20"/>
  <c r="AB112" i="20"/>
  <c r="U25" i="20"/>
  <c r="I230" i="20"/>
  <c r="AC231" i="20"/>
  <c r="N14" i="20"/>
  <c r="X86" i="20"/>
  <c r="T134" i="20"/>
  <c r="P126" i="20"/>
  <c r="I135" i="20"/>
  <c r="X272" i="20"/>
  <c r="AB129" i="20"/>
  <c r="Z52" i="20"/>
  <c r="O266" i="20"/>
  <c r="L183" i="20"/>
  <c r="T58" i="20"/>
  <c r="W146" i="20"/>
  <c r="S241" i="20"/>
  <c r="S65" i="20"/>
  <c r="Z146" i="20"/>
  <c r="T241" i="20"/>
  <c r="T65" i="20"/>
  <c r="J152" i="20"/>
  <c r="N243" i="20"/>
  <c r="X76" i="20"/>
  <c r="AD180" i="20"/>
  <c r="AA274" i="20"/>
  <c r="U115" i="20"/>
  <c r="AA211" i="20"/>
  <c r="K43" i="20"/>
  <c r="Y123" i="20"/>
  <c r="U236" i="20"/>
  <c r="W79" i="20"/>
  <c r="Y181" i="20"/>
  <c r="V276" i="20"/>
  <c r="Z110" i="20"/>
  <c r="R202" i="20"/>
  <c r="T34" i="20"/>
  <c r="AC130" i="20"/>
  <c r="M123" i="20"/>
  <c r="Z237" i="20"/>
  <c r="AC78" i="20"/>
  <c r="U191" i="20"/>
  <c r="I34" i="20"/>
  <c r="O146" i="20"/>
  <c r="AC268" i="20"/>
  <c r="AB115" i="20"/>
  <c r="T232" i="20"/>
  <c r="K74" i="20"/>
  <c r="U188" i="20"/>
  <c r="L29" i="20"/>
  <c r="AC142" i="20"/>
  <c r="L252" i="20"/>
  <c r="P99" i="20"/>
  <c r="T204" i="20"/>
  <c r="K160" i="20"/>
  <c r="Y133" i="20"/>
  <c r="T252" i="20"/>
  <c r="R105" i="20"/>
  <c r="N230" i="20"/>
  <c r="AD70" i="20"/>
  <c r="W192" i="20"/>
  <c r="R36" i="20"/>
  <c r="AD143" i="20"/>
  <c r="Q81" i="20"/>
  <c r="S12" i="20"/>
  <c r="Z66" i="20"/>
  <c r="X116" i="20"/>
  <c r="P159" i="20"/>
  <c r="M38" i="20"/>
  <c r="U91" i="20"/>
  <c r="S136" i="20"/>
  <c r="N191" i="20"/>
  <c r="U62" i="20"/>
  <c r="O113" i="20"/>
  <c r="AC155" i="20"/>
  <c r="Y36" i="20"/>
  <c r="X97" i="20"/>
  <c r="X147" i="20"/>
  <c r="Z129" i="20"/>
  <c r="K183" i="20"/>
  <c r="O197" i="20"/>
  <c r="Z135" i="20"/>
  <c r="L273" i="20"/>
  <c r="Q178" i="20"/>
  <c r="K62" i="20"/>
  <c r="P239" i="20"/>
  <c r="K159" i="20"/>
  <c r="S41" i="20"/>
  <c r="AD95" i="20"/>
  <c r="L141" i="20"/>
  <c r="AD134" i="20"/>
  <c r="U141" i="20"/>
  <c r="AC252" i="20"/>
  <c r="X194" i="20"/>
  <c r="Y121" i="20"/>
  <c r="AA40" i="20"/>
  <c r="Y228" i="20"/>
  <c r="R175" i="20"/>
  <c r="Z61" i="20"/>
  <c r="M149" i="20"/>
  <c r="J243" i="20"/>
  <c r="N68" i="20"/>
  <c r="N149" i="20"/>
  <c r="M243" i="20"/>
  <c r="AC71" i="20"/>
  <c r="W154" i="20"/>
  <c r="K245" i="20"/>
  <c r="M80" i="20"/>
  <c r="AA183" i="20"/>
  <c r="I118" i="20"/>
  <c r="K226" i="20"/>
  <c r="Z11" i="20"/>
  <c r="K127" i="20"/>
  <c r="AD238" i="20"/>
  <c r="S88" i="20"/>
  <c r="S188" i="20"/>
  <c r="I12" i="20"/>
  <c r="P114" i="20"/>
  <c r="S205" i="20"/>
  <c r="X39" i="20"/>
  <c r="Q134" i="20"/>
  <c r="R126" i="20"/>
  <c r="P240" i="20"/>
  <c r="M83" i="20"/>
  <c r="AA194" i="20"/>
  <c r="AA39" i="20"/>
  <c r="M150" i="20"/>
  <c r="P271" i="20"/>
  <c r="T119" i="20"/>
  <c r="AC234" i="20"/>
  <c r="J79" i="20"/>
  <c r="AA191" i="20"/>
  <c r="V34" i="20"/>
  <c r="AC146" i="20"/>
  <c r="Z264" i="20"/>
  <c r="R103" i="20"/>
  <c r="AB211" i="20"/>
  <c r="O155" i="20"/>
  <c r="S274" i="20"/>
  <c r="S128" i="20"/>
  <c r="U244" i="20"/>
  <c r="R99" i="20"/>
  <c r="O225" i="20"/>
  <c r="T63" i="20"/>
  <c r="Q186" i="20"/>
  <c r="Q27" i="20"/>
  <c r="P141" i="20"/>
  <c r="T78" i="20"/>
  <c r="AC14" i="20"/>
  <c r="M69" i="20"/>
  <c r="W118" i="20"/>
  <c r="K162" i="20"/>
  <c r="K40" i="20"/>
  <c r="X93" i="20"/>
  <c r="O138" i="20"/>
  <c r="M10" i="20"/>
  <c r="Y64" i="20"/>
  <c r="M115" i="20"/>
  <c r="AA157" i="20"/>
  <c r="U39" i="20"/>
  <c r="Q100" i="20"/>
  <c r="Z149" i="20"/>
  <c r="AD119" i="20"/>
  <c r="T174" i="20"/>
  <c r="R178" i="20"/>
  <c r="L153" i="20"/>
  <c r="AC227" i="20"/>
  <c r="K233" i="20"/>
  <c r="P68" i="20"/>
  <c r="Y179" i="20"/>
  <c r="X203" i="20"/>
  <c r="Z202" i="20"/>
  <c r="W67" i="20"/>
  <c r="I237" i="20"/>
  <c r="I119" i="20"/>
  <c r="Y270" i="20"/>
  <c r="AC118" i="20"/>
  <c r="S91" i="20"/>
  <c r="J187" i="20"/>
  <c r="AB17" i="20"/>
  <c r="N128" i="20"/>
  <c r="X231" i="20"/>
  <c r="I62" i="20"/>
  <c r="P174" i="20"/>
  <c r="W270" i="20"/>
  <c r="AD120" i="20"/>
  <c r="X237" i="20"/>
  <c r="N84" i="20"/>
  <c r="Z197" i="20"/>
  <c r="W39" i="20"/>
  <c r="P140" i="20"/>
  <c r="AA271" i="20"/>
  <c r="N124" i="20"/>
  <c r="V236" i="20"/>
  <c r="X79" i="20"/>
  <c r="T188" i="20"/>
  <c r="K30" i="20"/>
  <c r="T22" i="20"/>
  <c r="K150" i="20"/>
  <c r="P276" i="20"/>
  <c r="L135" i="20"/>
  <c r="O271" i="20"/>
  <c r="Q131" i="20"/>
  <c r="V266" i="20"/>
  <c r="AC131" i="20"/>
  <c r="S264" i="20"/>
  <c r="S123" i="20"/>
  <c r="Y245" i="20"/>
  <c r="J116" i="20"/>
  <c r="P238" i="20"/>
  <c r="O94" i="20"/>
  <c r="W232" i="20"/>
  <c r="P122" i="20"/>
  <c r="P230" i="20"/>
  <c r="Z50" i="20"/>
  <c r="T144" i="20"/>
  <c r="T244" i="20"/>
  <c r="T77" i="20"/>
  <c r="M159" i="20"/>
  <c r="M195" i="20"/>
  <c r="V119" i="20"/>
  <c r="X41" i="20"/>
  <c r="N51" i="20"/>
  <c r="X109" i="20"/>
  <c r="Y157" i="20"/>
  <c r="K47" i="20"/>
  <c r="AA105" i="20"/>
  <c r="P154" i="20"/>
  <c r="N38" i="20"/>
  <c r="P100" i="20"/>
  <c r="AD148" i="20"/>
  <c r="Q34" i="20"/>
  <c r="Z106" i="20"/>
  <c r="AC162" i="20"/>
  <c r="AC20" i="20"/>
  <c r="AC82" i="20"/>
  <c r="R135" i="20"/>
  <c r="S36" i="20"/>
  <c r="U102" i="20"/>
  <c r="O156" i="20"/>
  <c r="AA231" i="20"/>
  <c r="AC58" i="20"/>
  <c r="AA120" i="20"/>
  <c r="U185" i="20"/>
  <c r="T269" i="20"/>
  <c r="Z204" i="20"/>
  <c r="L116" i="20"/>
  <c r="P197" i="20"/>
  <c r="J244" i="20"/>
  <c r="L200" i="20"/>
  <c r="R227" i="20"/>
  <c r="T193" i="20"/>
  <c r="M231" i="20"/>
  <c r="P110" i="20"/>
  <c r="M274" i="20"/>
  <c r="K46" i="20"/>
  <c r="N46" i="20"/>
  <c r="O231" i="20"/>
  <c r="Y80" i="20"/>
  <c r="M199" i="20"/>
  <c r="M109" i="20"/>
  <c r="T14" i="20"/>
  <c r="I120" i="20"/>
  <c r="U231" i="20"/>
  <c r="AA61" i="20"/>
  <c r="V159" i="20"/>
  <c r="V270" i="20"/>
  <c r="AA103" i="20"/>
  <c r="I201" i="20"/>
  <c r="Z49" i="20"/>
  <c r="R154" i="20"/>
  <c r="AC272" i="20"/>
  <c r="I127" i="20"/>
  <c r="AC243" i="20"/>
  <c r="Y63" i="20"/>
  <c r="R188" i="20"/>
  <c r="O47" i="20"/>
  <c r="AC156" i="20"/>
  <c r="AB271" i="20"/>
  <c r="U124" i="20"/>
  <c r="AA236" i="20"/>
  <c r="V76" i="20"/>
  <c r="U68" i="20"/>
  <c r="AD197" i="20"/>
  <c r="J59" i="20"/>
  <c r="AD187" i="20"/>
  <c r="T54" i="20"/>
  <c r="P184" i="20"/>
  <c r="M44" i="20"/>
  <c r="AB180" i="20"/>
  <c r="AC39" i="20"/>
  <c r="AA162" i="20"/>
  <c r="W23" i="20"/>
  <c r="S158" i="20"/>
  <c r="Q13" i="20"/>
  <c r="AD142" i="20"/>
  <c r="T238" i="20"/>
  <c r="U57" i="20"/>
  <c r="N155" i="20"/>
  <c r="M265" i="20"/>
  <c r="U77" i="20"/>
  <c r="AA182" i="20"/>
  <c r="P274" i="20"/>
  <c r="R110" i="20"/>
  <c r="V160" i="20"/>
  <c r="N93" i="20"/>
  <c r="K10" i="20"/>
  <c r="U75" i="20"/>
  <c r="Q129" i="20"/>
  <c r="T132" i="20"/>
  <c r="M48" i="20"/>
  <c r="AA108" i="20"/>
  <c r="O227" i="20"/>
  <c r="AD236" i="20"/>
  <c r="W156" i="20"/>
  <c r="M132" i="20"/>
  <c r="L239" i="20"/>
  <c r="J17" i="20"/>
  <c r="X62" i="20"/>
  <c r="I33" i="20"/>
  <c r="P186" i="20"/>
  <c r="N67" i="20"/>
  <c r="AA190" i="20"/>
  <c r="AA100" i="20"/>
  <c r="AA17" i="20"/>
  <c r="S125" i="20"/>
  <c r="S233" i="20"/>
  <c r="U71" i="20"/>
  <c r="O174" i="20"/>
  <c r="J272" i="20"/>
  <c r="Y106" i="20"/>
  <c r="S203" i="20"/>
  <c r="X53" i="20"/>
  <c r="L157" i="20"/>
  <c r="S15" i="20"/>
  <c r="AD129" i="20"/>
  <c r="X245" i="20"/>
  <c r="X67" i="20"/>
  <c r="P191" i="20"/>
  <c r="M51" i="20"/>
  <c r="R160" i="20"/>
  <c r="Y16" i="20"/>
  <c r="Z127" i="20"/>
  <c r="K239" i="20"/>
  <c r="U80" i="20"/>
  <c r="Z73" i="20"/>
  <c r="AD203" i="20"/>
  <c r="AD63" i="20"/>
  <c r="I198" i="20"/>
  <c r="K59" i="20"/>
  <c r="I188" i="20"/>
  <c r="R49" i="20"/>
  <c r="S184" i="20"/>
  <c r="P44" i="20"/>
  <c r="U177" i="20"/>
  <c r="P40" i="20"/>
  <c r="AB162" i="20"/>
  <c r="Y18" i="20"/>
  <c r="AD146" i="20"/>
  <c r="S234" i="20"/>
  <c r="W51" i="20"/>
  <c r="P149" i="20"/>
  <c r="X241" i="20"/>
  <c r="I71" i="20"/>
  <c r="V176" i="20"/>
  <c r="J271" i="20"/>
  <c r="P105" i="20"/>
  <c r="K158" i="20"/>
  <c r="Q90" i="20"/>
  <c r="K17" i="20"/>
  <c r="AC77" i="20"/>
  <c r="AD130" i="20"/>
  <c r="AC190" i="20"/>
  <c r="J48" i="20"/>
  <c r="AD271" i="20"/>
  <c r="V151" i="20"/>
  <c r="L245" i="20"/>
  <c r="P267" i="20"/>
  <c r="X114" i="20"/>
  <c r="K68" i="20"/>
  <c r="M178" i="20"/>
  <c r="J265" i="20"/>
  <c r="AD45" i="20"/>
  <c r="J90" i="20"/>
  <c r="Q130" i="20"/>
  <c r="J19" i="20"/>
  <c r="U175" i="20"/>
  <c r="W76" i="20"/>
  <c r="Q28" i="20"/>
  <c r="R133" i="20"/>
  <c r="W239" i="20"/>
  <c r="Y78" i="20"/>
  <c r="U179" i="20"/>
  <c r="P11" i="20"/>
  <c r="AA114" i="20"/>
  <c r="AB227" i="20"/>
  <c r="J61" i="20"/>
  <c r="N178" i="20"/>
  <c r="K27" i="20"/>
  <c r="P139" i="20"/>
  <c r="V79" i="20"/>
  <c r="X199" i="20"/>
  <c r="N59" i="20"/>
  <c r="AB178" i="20"/>
  <c r="R25" i="20"/>
  <c r="M134" i="20"/>
  <c r="R243" i="20"/>
  <c r="W88" i="20"/>
  <c r="X88" i="20"/>
  <c r="Y225" i="20"/>
  <c r="AA73" i="20"/>
  <c r="I204" i="20"/>
  <c r="X69" i="20"/>
  <c r="AB194" i="20"/>
  <c r="O64" i="20"/>
  <c r="AC194" i="20"/>
  <c r="V54" i="20"/>
  <c r="Y184" i="20"/>
  <c r="X49" i="20"/>
  <c r="J181" i="20"/>
  <c r="T29" i="20"/>
  <c r="Z154" i="20"/>
  <c r="N207" i="20"/>
  <c r="I37" i="20"/>
  <c r="S138" i="20"/>
  <c r="L234" i="20"/>
  <c r="O57" i="20"/>
  <c r="AB154" i="20"/>
  <c r="K265" i="20"/>
  <c r="AD85" i="20"/>
  <c r="P153" i="20"/>
  <c r="Q84" i="20"/>
  <c r="AB21" i="20"/>
  <c r="T82" i="20"/>
  <c r="U134" i="20"/>
  <c r="V12" i="20"/>
  <c r="V75" i="20"/>
  <c r="I49" i="20"/>
  <c r="V194" i="20"/>
  <c r="AC74" i="20"/>
  <c r="L203" i="20"/>
  <c r="X94" i="20"/>
  <c r="L199" i="20"/>
  <c r="V128" i="20"/>
  <c r="Z45" i="20"/>
  <c r="W267" i="20"/>
  <c r="Z195" i="20"/>
  <c r="N153" i="20"/>
  <c r="V62" i="20"/>
  <c r="W145" i="20"/>
  <c r="K105" i="20"/>
  <c r="P180" i="20"/>
  <c r="I61" i="20"/>
  <c r="R265" i="20"/>
  <c r="T242" i="20"/>
  <c r="W66" i="20"/>
  <c r="O160" i="20"/>
  <c r="AD34" i="20"/>
  <c r="T175" i="20"/>
  <c r="AC38" i="20"/>
  <c r="P151" i="20"/>
  <c r="M19" i="20"/>
  <c r="AC159" i="20"/>
  <c r="Y45" i="20"/>
  <c r="Z189" i="20"/>
  <c r="U58" i="20"/>
  <c r="Z198" i="20"/>
  <c r="S81" i="20"/>
  <c r="V228" i="20"/>
  <c r="J137" i="20"/>
  <c r="L91" i="20"/>
  <c r="S272" i="20"/>
  <c r="L225" i="20"/>
  <c r="L148" i="20"/>
  <c r="O36" i="20"/>
  <c r="X102" i="20"/>
  <c r="L159" i="20"/>
  <c r="Q142" i="20"/>
  <c r="AA266" i="20"/>
  <c r="X235" i="20"/>
  <c r="M174" i="20"/>
  <c r="W144" i="20"/>
  <c r="AA145" i="20"/>
  <c r="S185" i="20"/>
  <c r="X270" i="20"/>
  <c r="AA45" i="20"/>
  <c r="J81" i="20"/>
  <c r="Y141" i="20"/>
  <c r="K37" i="20"/>
  <c r="W62" i="20"/>
  <c r="Q97" i="20"/>
  <c r="W52" i="20"/>
  <c r="AA32" i="20"/>
  <c r="J33" i="20"/>
  <c r="V129" i="20"/>
  <c r="N239" i="20"/>
  <c r="M140" i="20"/>
  <c r="K244" i="20"/>
  <c r="AA264" i="20"/>
  <c r="V106" i="20"/>
  <c r="R75" i="20"/>
  <c r="AA144" i="20"/>
  <c r="AA204" i="20"/>
  <c r="J241" i="20"/>
  <c r="AC26" i="20"/>
  <c r="AB65" i="20"/>
  <c r="I113" i="20"/>
  <c r="W140" i="20"/>
  <c r="X202" i="20"/>
  <c r="L237" i="20"/>
  <c r="AD235" i="20"/>
  <c r="R266" i="20"/>
  <c r="V269" i="20"/>
  <c r="AC238" i="20"/>
  <c r="N190" i="20"/>
  <c r="Z267" i="20"/>
  <c r="N156" i="20"/>
  <c r="AD274" i="20"/>
  <c r="R189" i="20"/>
  <c r="P58" i="20"/>
  <c r="P22" i="20"/>
  <c r="AC185" i="20"/>
  <c r="AA70" i="20"/>
  <c r="AD195" i="20"/>
  <c r="S64" i="20"/>
  <c r="S229" i="20"/>
  <c r="AC115" i="20"/>
  <c r="Q271" i="20"/>
  <c r="I158" i="20"/>
  <c r="U54" i="20"/>
  <c r="J204" i="20"/>
  <c r="J103" i="20"/>
  <c r="M264" i="20"/>
  <c r="N146" i="20"/>
  <c r="Z39" i="20"/>
  <c r="W200" i="20"/>
  <c r="Z98" i="20"/>
  <c r="Q114" i="20"/>
  <c r="Z16" i="20"/>
  <c r="T194" i="20"/>
  <c r="L104" i="20"/>
  <c r="I274" i="20"/>
  <c r="P185" i="20"/>
  <c r="W92" i="20"/>
  <c r="T245" i="20"/>
  <c r="O137" i="20"/>
  <c r="O34" i="20"/>
  <c r="Y237" i="20"/>
  <c r="O136" i="20"/>
  <c r="J43" i="20"/>
  <c r="J226" i="20"/>
  <c r="AD117" i="20"/>
  <c r="R15" i="20"/>
  <c r="S196" i="20"/>
  <c r="W112" i="20"/>
  <c r="M25" i="20"/>
  <c r="O203" i="20"/>
  <c r="V122" i="20"/>
  <c r="J35" i="20"/>
  <c r="K211" i="20"/>
  <c r="M128" i="20"/>
  <c r="R38" i="20"/>
  <c r="N236" i="20"/>
  <c r="M276" i="20"/>
  <c r="I32" i="20"/>
  <c r="O67" i="20"/>
  <c r="Q91" i="20"/>
  <c r="Y113" i="20"/>
  <c r="AA54" i="20"/>
  <c r="V97" i="20"/>
  <c r="O126" i="20"/>
  <c r="X145" i="20"/>
  <c r="Z95" i="20"/>
  <c r="T86" i="20"/>
  <c r="Z268" i="20"/>
  <c r="O239" i="20"/>
  <c r="K126" i="20"/>
  <c r="Z266" i="20"/>
  <c r="I176" i="20"/>
  <c r="R174" i="20"/>
  <c r="J135" i="20"/>
  <c r="Z160" i="20"/>
  <c r="M270" i="20"/>
  <c r="Y37" i="20"/>
  <c r="M110" i="20"/>
  <c r="V181" i="20"/>
  <c r="J183" i="20"/>
  <c r="P118" i="20"/>
  <c r="AD124" i="20"/>
  <c r="L152" i="20"/>
  <c r="X232" i="20"/>
  <c r="L101" i="20"/>
  <c r="P62" i="20"/>
  <c r="O96" i="20"/>
  <c r="I77" i="20"/>
  <c r="W124" i="20"/>
  <c r="U234" i="20"/>
  <c r="Q233" i="20"/>
  <c r="K38" i="20"/>
  <c r="K36" i="20"/>
  <c r="U156" i="20"/>
  <c r="U132" i="20"/>
  <c r="M81" i="20"/>
  <c r="Q110" i="20"/>
  <c r="K118" i="20"/>
  <c r="AB137" i="20"/>
  <c r="N82" i="20"/>
  <c r="U66" i="20"/>
  <c r="V47" i="20"/>
  <c r="V80" i="20"/>
  <c r="U41" i="20"/>
  <c r="O93" i="20"/>
  <c r="S174" i="20"/>
  <c r="AA270" i="20"/>
  <c r="N105" i="20"/>
  <c r="V132" i="20"/>
  <c r="O243" i="20"/>
  <c r="U269" i="20"/>
  <c r="W24" i="20"/>
  <c r="V60" i="20"/>
  <c r="J62" i="20"/>
  <c r="S114" i="20"/>
  <c r="M126" i="20"/>
  <c r="J126" i="20"/>
  <c r="AA137" i="20"/>
  <c r="K273" i="20"/>
  <c r="T234" i="20"/>
  <c r="K53" i="20"/>
  <c r="N48" i="20"/>
  <c r="V193" i="20"/>
  <c r="J11" i="20"/>
  <c r="N228" i="20"/>
  <c r="AB246" i="20"/>
  <c r="S31" i="20"/>
  <c r="T25" i="20"/>
  <c r="Y47" i="20"/>
  <c r="R46" i="20"/>
  <c r="L96" i="20"/>
  <c r="AA76" i="20"/>
  <c r="Q244" i="20"/>
  <c r="N186" i="20"/>
  <c r="J233" i="20"/>
  <c r="AD58" i="20"/>
  <c r="X240" i="20"/>
  <c r="Y85" i="20"/>
  <c r="K49" i="20"/>
  <c r="O88" i="20"/>
  <c r="AD10" i="20"/>
  <c r="I266" i="20"/>
  <c r="AC241" i="20"/>
  <c r="W228" i="20"/>
  <c r="O199" i="20"/>
  <c r="O186" i="20"/>
  <c r="S157" i="20"/>
  <c r="K141" i="20"/>
  <c r="R122" i="20"/>
  <c r="P106" i="20"/>
  <c r="AA179" i="20"/>
  <c r="L244" i="20"/>
  <c r="L53" i="20"/>
  <c r="P132" i="20"/>
  <c r="K196" i="20"/>
  <c r="AD264" i="20"/>
  <c r="Q52" i="20"/>
  <c r="J153" i="20"/>
  <c r="Y268" i="20"/>
  <c r="P97" i="20"/>
  <c r="S200" i="20"/>
  <c r="X42" i="20"/>
  <c r="AB124" i="20"/>
  <c r="R244" i="20"/>
  <c r="X123" i="20"/>
  <c r="J264" i="20"/>
  <c r="V121" i="20"/>
  <c r="M116" i="20"/>
  <c r="S116" i="20"/>
  <c r="N143" i="20"/>
  <c r="O84" i="20"/>
  <c r="X156" i="20"/>
  <c r="P71" i="20"/>
  <c r="I195" i="20"/>
  <c r="AB111" i="20"/>
  <c r="Q23" i="20"/>
  <c r="AC204" i="20"/>
  <c r="AC123" i="20"/>
  <c r="W38" i="20"/>
  <c r="Y231" i="20"/>
  <c r="AA146" i="20"/>
  <c r="Z78" i="20"/>
  <c r="I269" i="20"/>
  <c r="O192" i="20"/>
  <c r="Y117" i="20"/>
  <c r="N42" i="20"/>
  <c r="Z235" i="20"/>
  <c r="X151" i="20"/>
  <c r="AC84" i="20"/>
  <c r="J15" i="20"/>
  <c r="S270" i="20"/>
  <c r="Z246" i="20"/>
  <c r="I236" i="20"/>
  <c r="J194" i="20"/>
  <c r="L179" i="20"/>
  <c r="J150" i="20"/>
  <c r="Q132" i="20"/>
  <c r="W97" i="20"/>
  <c r="L240" i="20"/>
  <c r="AC45" i="20"/>
  <c r="M125" i="20"/>
  <c r="O190" i="20"/>
  <c r="AA246" i="20"/>
  <c r="O32" i="20"/>
  <c r="Z141" i="20"/>
  <c r="AD246" i="20"/>
  <c r="M82" i="20"/>
  <c r="T190" i="20"/>
  <c r="L274" i="20"/>
  <c r="N110" i="20"/>
  <c r="M189" i="20"/>
  <c r="W108" i="20"/>
  <c r="U242" i="20"/>
  <c r="U90" i="20"/>
  <c r="AD241" i="20"/>
  <c r="AC117" i="20"/>
  <c r="AC203" i="20"/>
  <c r="U204" i="20"/>
  <c r="AD71" i="20"/>
  <c r="P243" i="20"/>
  <c r="I147" i="20"/>
  <c r="M59" i="20"/>
  <c r="N271" i="20"/>
  <c r="AD186" i="20"/>
  <c r="W102" i="20"/>
  <c r="X11" i="20"/>
  <c r="Y197" i="20"/>
  <c r="P115" i="20"/>
  <c r="AD26" i="20"/>
  <c r="T225" i="20"/>
  <c r="Y138" i="20"/>
  <c r="O68" i="20"/>
  <c r="W184" i="20"/>
  <c r="O109" i="20"/>
  <c r="K32" i="20"/>
  <c r="Y229" i="20"/>
  <c r="J144" i="20"/>
  <c r="Z74" i="20"/>
  <c r="X52" i="20"/>
  <c r="O30" i="20"/>
  <c r="O276" i="20"/>
  <c r="J266" i="20"/>
  <c r="R241" i="20"/>
  <c r="N231" i="20"/>
  <c r="U202" i="20"/>
  <c r="U187" i="20"/>
  <c r="J159" i="20"/>
  <c r="P73" i="20"/>
  <c r="M141" i="20"/>
  <c r="AA16" i="20"/>
  <c r="W103" i="20"/>
  <c r="AA158" i="20"/>
  <c r="W207" i="20"/>
  <c r="X101" i="20"/>
  <c r="L97" i="20"/>
  <c r="Y203" i="20"/>
  <c r="V25" i="20"/>
  <c r="N140" i="20"/>
  <c r="AB236" i="20"/>
  <c r="U60" i="20"/>
  <c r="Z137" i="20"/>
  <c r="AC57" i="20"/>
  <c r="X197" i="20"/>
  <c r="L37" i="20"/>
  <c r="N196" i="20"/>
  <c r="V66" i="20"/>
  <c r="AB269" i="20"/>
  <c r="K231" i="20"/>
  <c r="P38" i="20"/>
  <c r="AC211" i="20"/>
  <c r="Y120" i="20"/>
  <c r="P25" i="20"/>
  <c r="Z241" i="20"/>
  <c r="Q151" i="20"/>
  <c r="K73" i="20"/>
  <c r="S175" i="20"/>
  <c r="L88" i="20"/>
  <c r="J269" i="20"/>
  <c r="P192" i="20"/>
  <c r="Z117" i="20"/>
  <c r="O42" i="20"/>
  <c r="AA235" i="20"/>
  <c r="I152" i="20"/>
  <c r="AD84" i="20"/>
  <c r="I272" i="20"/>
  <c r="Q196" i="20"/>
  <c r="S122" i="20"/>
  <c r="O48" i="20"/>
  <c r="I137" i="20"/>
  <c r="J119" i="20"/>
  <c r="S100" i="20"/>
  <c r="X75" i="20"/>
  <c r="Q56" i="20"/>
  <c r="M32" i="20"/>
  <c r="X267" i="20"/>
  <c r="I244" i="20"/>
  <c r="O270" i="20"/>
  <c r="R81" i="20"/>
  <c r="AA147" i="20"/>
  <c r="O233" i="20"/>
  <c r="S14" i="20"/>
  <c r="U86" i="20"/>
  <c r="V145" i="20"/>
  <c r="J230" i="20"/>
  <c r="J66" i="20"/>
  <c r="O180" i="20"/>
  <c r="O274" i="20"/>
  <c r="Y60" i="20"/>
  <c r="AD188" i="20"/>
  <c r="I189" i="20"/>
  <c r="AA197" i="20"/>
  <c r="M56" i="20"/>
  <c r="AD160" i="20"/>
  <c r="Z15" i="20"/>
  <c r="L270" i="20"/>
  <c r="U205" i="20"/>
  <c r="Z24" i="20"/>
  <c r="Q189" i="20"/>
  <c r="X108" i="20"/>
  <c r="Q175" i="20"/>
  <c r="K264" i="20"/>
  <c r="M186" i="20"/>
  <c r="U106" i="20"/>
  <c r="AA15" i="20"/>
  <c r="V115" i="20"/>
  <c r="O70" i="20"/>
  <c r="W193" i="20"/>
  <c r="O240" i="20"/>
  <c r="AD76" i="20"/>
  <c r="M152" i="20"/>
  <c r="AB238" i="20"/>
  <c r="M41" i="20"/>
  <c r="I203" i="20"/>
  <c r="AD82" i="20"/>
  <c r="I228" i="20"/>
  <c r="AC113" i="20"/>
  <c r="O267" i="20"/>
  <c r="AA152" i="20"/>
  <c r="AD40" i="20"/>
  <c r="O236" i="20"/>
  <c r="M225" i="20"/>
  <c r="X121" i="20"/>
  <c r="T37" i="20"/>
  <c r="X185" i="20"/>
  <c r="Y182" i="20"/>
  <c r="I83" i="20"/>
  <c r="M196" i="20"/>
  <c r="J49" i="20"/>
  <c r="U203" i="20"/>
  <c r="M97" i="20"/>
  <c r="I246" i="20"/>
  <c r="L140" i="20"/>
  <c r="R22" i="20"/>
  <c r="N227" i="20"/>
  <c r="AC198" i="20"/>
  <c r="V108" i="20"/>
  <c r="Z18" i="20"/>
  <c r="K242" i="20"/>
  <c r="AA160" i="20"/>
  <c r="N240" i="20"/>
  <c r="I183" i="20"/>
  <c r="P31" i="20"/>
  <c r="X60" i="20"/>
  <c r="AC137" i="20"/>
  <c r="L228" i="20"/>
  <c r="S22" i="20"/>
  <c r="N180" i="20"/>
  <c r="AC47" i="20"/>
  <c r="W190" i="20"/>
  <c r="L82" i="20"/>
  <c r="AC236" i="20"/>
  <c r="I126" i="20"/>
  <c r="Q22" i="20"/>
  <c r="K200" i="20"/>
  <c r="Y188" i="20"/>
  <c r="W90" i="20"/>
  <c r="Z76" i="20"/>
  <c r="I233" i="20"/>
  <c r="W147" i="20"/>
  <c r="AB49" i="20"/>
  <c r="AA269" i="20"/>
  <c r="W129" i="20"/>
  <c r="AM19" i="15"/>
  <c r="AM36" i="13"/>
  <c r="AM41" i="13"/>
  <c r="AM26" i="13"/>
  <c r="AM46" i="13"/>
  <c r="V34" i="15"/>
  <c r="AM29" i="15"/>
  <c r="V35" i="15"/>
  <c r="AM30" i="15"/>
  <c r="W31" i="15"/>
  <c r="AM26" i="15"/>
  <c r="V37" i="14"/>
  <c r="AM32" i="14"/>
  <c r="AM38" i="14"/>
  <c r="W43" i="14"/>
  <c r="AM118" i="14"/>
  <c r="AM51" i="13"/>
  <c r="AM20" i="13"/>
  <c r="AM19" i="13"/>
  <c r="V24" i="13"/>
  <c r="AM25" i="13"/>
  <c r="AM30" i="13"/>
  <c r="V35" i="13"/>
  <c r="W61" i="13"/>
  <c r="AM56" i="13"/>
  <c r="V31" i="10"/>
  <c r="AM31" i="10" s="1"/>
  <c r="AM118" i="12"/>
  <c r="W38" i="12"/>
  <c r="AM33" i="12"/>
  <c r="V37" i="12"/>
  <c r="AM32" i="12"/>
  <c r="V36" i="12"/>
  <c r="AM31" i="12"/>
  <c r="AM23" i="11"/>
  <c r="AM28" i="11"/>
  <c r="AM26" i="11"/>
  <c r="V31" i="11"/>
  <c r="AM113" i="11"/>
  <c r="Y118" i="11"/>
  <c r="W38" i="11"/>
  <c r="AM33" i="11"/>
  <c r="V37" i="11"/>
  <c r="AM32" i="11"/>
  <c r="V30" i="10"/>
  <c r="AM30" i="10" s="1"/>
  <c r="W27" i="10"/>
  <c r="AM27" i="10" s="1"/>
  <c r="W41" i="5"/>
  <c r="AM41" i="5" s="1"/>
  <c r="V40" i="5"/>
  <c r="V45" i="5" s="1"/>
  <c r="AM35" i="5"/>
  <c r="AM19" i="5"/>
  <c r="V24" i="5"/>
  <c r="AM38" i="4"/>
  <c r="W43" i="4"/>
  <c r="AM37" i="4"/>
  <c r="V42" i="4"/>
  <c r="AM32" i="4"/>
  <c r="AM33" i="4"/>
  <c r="AM26" i="4"/>
  <c r="V31" i="4"/>
  <c r="V36" i="4" s="1"/>
  <c r="AM28" i="4"/>
  <c r="AM27" i="4"/>
  <c r="X26" i="22" l="1"/>
  <c r="T26" i="22"/>
  <c r="K26" i="22"/>
  <c r="AA26" i="22"/>
  <c r="W26" i="22"/>
  <c r="G26" i="22"/>
  <c r="U26" i="22"/>
  <c r="V26" i="22"/>
  <c r="F26" i="22"/>
  <c r="S26" i="22"/>
  <c r="V36" i="10"/>
  <c r="AM36" i="10" s="1"/>
  <c r="V35" i="10"/>
  <c r="AM35" i="10" s="1"/>
  <c r="AB26" i="22"/>
  <c r="AB28" i="22" s="1"/>
  <c r="E26" i="22"/>
  <c r="E27" i="22" s="1"/>
  <c r="F19" i="22"/>
  <c r="E20" i="22"/>
  <c r="E21" i="22"/>
  <c r="AH254" i="21"/>
  <c r="AH254" i="20"/>
  <c r="AK254" i="21"/>
  <c r="AK254" i="20"/>
  <c r="AO279" i="21"/>
  <c r="AO279" i="20"/>
  <c r="AG254" i="21"/>
  <c r="AG254" i="20"/>
  <c r="AN254" i="21"/>
  <c r="AM254" i="21"/>
  <c r="AM254" i="20"/>
  <c r="AL254" i="21"/>
  <c r="AL254" i="20"/>
  <c r="AN213" i="20"/>
  <c r="BU279" i="18"/>
  <c r="DE279" i="18" s="1"/>
  <c r="BO279" i="18"/>
  <c r="CY279" i="18" s="1"/>
  <c r="AH213" i="21"/>
  <c r="O248" i="21"/>
  <c r="L254" i="21"/>
  <c r="AE207" i="20"/>
  <c r="BW279" i="18"/>
  <c r="DG279" i="18" s="1"/>
  <c r="N213" i="21"/>
  <c r="BY279" i="18"/>
  <c r="DI279" i="18" s="1"/>
  <c r="AP279" i="21" s="1"/>
  <c r="AI213" i="21"/>
  <c r="BT279" i="18"/>
  <c r="DD279" i="18" s="1"/>
  <c r="BV279" i="18"/>
  <c r="DF279" i="18" s="1"/>
  <c r="BR279" i="18"/>
  <c r="DB279" i="18" s="1"/>
  <c r="BP279" i="18"/>
  <c r="CZ279" i="18" s="1"/>
  <c r="AE213" i="21"/>
  <c r="CX254" i="18"/>
  <c r="BN279" i="18"/>
  <c r="CX279" i="18" s="1"/>
  <c r="BQ279" i="18"/>
  <c r="DA279" i="18" s="1"/>
  <c r="DC254" i="18"/>
  <c r="BS279" i="18"/>
  <c r="DC279" i="18" s="1"/>
  <c r="X141" i="5"/>
  <c r="AM136" i="5"/>
  <c r="AM121" i="15"/>
  <c r="Y126" i="15"/>
  <c r="AM31" i="14"/>
  <c r="X143" i="14"/>
  <c r="Y133" i="14"/>
  <c r="AM128" i="14"/>
  <c r="AM121" i="13"/>
  <c r="Y126" i="13"/>
  <c r="AM143" i="12"/>
  <c r="X148" i="12"/>
  <c r="Y127" i="10"/>
  <c r="AM127" i="10" s="1"/>
  <c r="X143" i="11"/>
  <c r="AM128" i="4"/>
  <c r="X133" i="4"/>
  <c r="Q207" i="21"/>
  <c r="AA254" i="21"/>
  <c r="Z254" i="21"/>
  <c r="Y254" i="20"/>
  <c r="W213" i="20"/>
  <c r="W248" i="21"/>
  <c r="T207" i="21"/>
  <c r="I276" i="20"/>
  <c r="I248" i="20"/>
  <c r="T248" i="21"/>
  <c r="U254" i="20"/>
  <c r="AA213" i="20"/>
  <c r="W254" i="21"/>
  <c r="AC254" i="21"/>
  <c r="Z207" i="21"/>
  <c r="V254" i="20"/>
  <c r="O254" i="21"/>
  <c r="BJ279" i="18"/>
  <c r="CT279" i="18" s="1"/>
  <c r="AA279" i="20" s="1"/>
  <c r="X254" i="20"/>
  <c r="X248" i="20"/>
  <c r="N254" i="20"/>
  <c r="X213" i="21"/>
  <c r="K254" i="20"/>
  <c r="AB254" i="20"/>
  <c r="X207" i="20"/>
  <c r="N248" i="20"/>
  <c r="T254" i="21"/>
  <c r="V207" i="21"/>
  <c r="S254" i="20"/>
  <c r="Q254" i="20"/>
  <c r="J248" i="20"/>
  <c r="P254" i="20"/>
  <c r="R248" i="21"/>
  <c r="H279" i="18"/>
  <c r="AP279" i="18" s="1"/>
  <c r="P207" i="21"/>
  <c r="Y213" i="20"/>
  <c r="AB207" i="21"/>
  <c r="AC207" i="20"/>
  <c r="M248" i="21"/>
  <c r="R254" i="21"/>
  <c r="M254" i="21"/>
  <c r="Q248" i="21"/>
  <c r="AD254" i="21"/>
  <c r="AD207" i="20"/>
  <c r="AR279" i="18"/>
  <c r="CB279" i="18" s="1"/>
  <c r="I207" i="20"/>
  <c r="R207" i="20"/>
  <c r="S207" i="21"/>
  <c r="U207" i="21"/>
  <c r="I162" i="20"/>
  <c r="O207" i="21"/>
  <c r="L207" i="21"/>
  <c r="BH279" i="18"/>
  <c r="CR279" i="18" s="1"/>
  <c r="BF279" i="18"/>
  <c r="CP279" i="18" s="1"/>
  <c r="AW279" i="18"/>
  <c r="CG279" i="18" s="1"/>
  <c r="N279" i="20" s="1"/>
  <c r="J254" i="20"/>
  <c r="CB254" i="18"/>
  <c r="CW213" i="18"/>
  <c r="BM279" i="18"/>
  <c r="CW279" i="18" s="1"/>
  <c r="CV213" i="18"/>
  <c r="BL279" i="18"/>
  <c r="CV279" i="18" s="1"/>
  <c r="CU213" i="18"/>
  <c r="BK279" i="18"/>
  <c r="CU279" i="18" s="1"/>
  <c r="CS213" i="18"/>
  <c r="BI279" i="18"/>
  <c r="CS279" i="18" s="1"/>
  <c r="BG279" i="18"/>
  <c r="CQ279" i="18" s="1"/>
  <c r="BE279" i="18"/>
  <c r="CO279" i="18" s="1"/>
  <c r="CO213" i="18"/>
  <c r="BD279" i="18"/>
  <c r="CN279" i="18" s="1"/>
  <c r="CN213" i="18"/>
  <c r="CM213" i="18"/>
  <c r="BC279" i="18"/>
  <c r="CM279" i="18" s="1"/>
  <c r="BB279" i="18"/>
  <c r="CL279" i="18" s="1"/>
  <c r="CL213" i="18"/>
  <c r="CK213" i="18"/>
  <c r="BA279" i="18"/>
  <c r="CK279" i="18" s="1"/>
  <c r="AZ279" i="18"/>
  <c r="CJ279" i="18" s="1"/>
  <c r="CJ213" i="18"/>
  <c r="AY279" i="18"/>
  <c r="CI279" i="18" s="1"/>
  <c r="CI213" i="18"/>
  <c r="CH213" i="18"/>
  <c r="AX279" i="18"/>
  <c r="CH279" i="18" s="1"/>
  <c r="M207" i="20"/>
  <c r="CF213" i="18"/>
  <c r="AV279" i="18"/>
  <c r="CF279" i="18" s="1"/>
  <c r="CE213" i="18"/>
  <c r="AU279" i="18"/>
  <c r="CE279" i="18" s="1"/>
  <c r="K207" i="20"/>
  <c r="J213" i="21"/>
  <c r="CD213" i="18"/>
  <c r="AT279" i="18"/>
  <c r="CD279" i="18" s="1"/>
  <c r="J207" i="21"/>
  <c r="AS279" i="18"/>
  <c r="CC279" i="18" s="1"/>
  <c r="CB213" i="18"/>
  <c r="V40" i="15"/>
  <c r="AM35" i="15"/>
  <c r="AM31" i="15"/>
  <c r="W36" i="15"/>
  <c r="AM34" i="15"/>
  <c r="V39" i="15"/>
  <c r="W48" i="14"/>
  <c r="AM43" i="14"/>
  <c r="AM37" i="14"/>
  <c r="V42" i="14"/>
  <c r="V41" i="14"/>
  <c r="AM36" i="14"/>
  <c r="W66" i="13"/>
  <c r="AM61" i="13"/>
  <c r="V40" i="13"/>
  <c r="AM35" i="13"/>
  <c r="V29" i="13"/>
  <c r="AM24" i="13"/>
  <c r="V41" i="12"/>
  <c r="AM36" i="12"/>
  <c r="V42" i="12"/>
  <c r="AM37" i="12"/>
  <c r="W43" i="12"/>
  <c r="AM38" i="12"/>
  <c r="V36" i="11"/>
  <c r="AM31" i="11"/>
  <c r="Y123" i="11"/>
  <c r="AM118" i="11"/>
  <c r="AM37" i="11"/>
  <c r="V42" i="11"/>
  <c r="W43" i="11"/>
  <c r="AM38" i="11"/>
  <c r="W32" i="10"/>
  <c r="AM32" i="10" s="1"/>
  <c r="V40" i="10"/>
  <c r="AM40" i="10" s="1"/>
  <c r="W46" i="5"/>
  <c r="W51" i="5" s="1"/>
  <c r="V50" i="5"/>
  <c r="AM45" i="5"/>
  <c r="AM24" i="5"/>
  <c r="V29" i="5"/>
  <c r="AM40" i="5"/>
  <c r="AM36" i="4"/>
  <c r="V41" i="4"/>
  <c r="W48" i="4"/>
  <c r="AM43" i="4"/>
  <c r="V47" i="4"/>
  <c r="AM42" i="4"/>
  <c r="AM31" i="4"/>
  <c r="V41" i="10" l="1"/>
  <c r="AM41" i="10" s="1"/>
  <c r="AC26" i="22"/>
  <c r="AC27" i="22" s="1"/>
  <c r="AB27" i="22"/>
  <c r="E29" i="22"/>
  <c r="F27" i="22"/>
  <c r="AB30" i="22"/>
  <c r="AB29" i="22"/>
  <c r="F21" i="22"/>
  <c r="G19" i="22"/>
  <c r="F20" i="22"/>
  <c r="F29" i="22"/>
  <c r="G27" i="22"/>
  <c r="AF279" i="21"/>
  <c r="AF279" i="20"/>
  <c r="AH279" i="21"/>
  <c r="AH279" i="20"/>
  <c r="AE279" i="21"/>
  <c r="AE279" i="20"/>
  <c r="AE254" i="21"/>
  <c r="AE254" i="20"/>
  <c r="AN279" i="21"/>
  <c r="AN279" i="20"/>
  <c r="AL279" i="21"/>
  <c r="AL279" i="20"/>
  <c r="AJ279" i="21"/>
  <c r="AJ279" i="20"/>
  <c r="AJ254" i="21"/>
  <c r="AJ254" i="20"/>
  <c r="AG279" i="21"/>
  <c r="AG279" i="20"/>
  <c r="AI279" i="21"/>
  <c r="AI279" i="20"/>
  <c r="AM279" i="21"/>
  <c r="AM279" i="20"/>
  <c r="AK279" i="21"/>
  <c r="AK279" i="20"/>
  <c r="AM46" i="5"/>
  <c r="X146" i="5"/>
  <c r="AM141" i="5"/>
  <c r="Y131" i="15"/>
  <c r="AM126" i="15"/>
  <c r="Y138" i="14"/>
  <c r="AM133" i="14"/>
  <c r="X148" i="14"/>
  <c r="Y131" i="13"/>
  <c r="AM126" i="13"/>
  <c r="AM148" i="12"/>
  <c r="X153" i="12"/>
  <c r="Y132" i="10"/>
  <c r="AM132" i="10" s="1"/>
  <c r="AM123" i="11"/>
  <c r="Y128" i="11"/>
  <c r="X148" i="11"/>
  <c r="AM133" i="4"/>
  <c r="X138" i="4"/>
  <c r="AA279" i="21"/>
  <c r="Y279" i="21"/>
  <c r="Y279" i="20"/>
  <c r="W279" i="21"/>
  <c r="W279" i="20"/>
  <c r="N279" i="21"/>
  <c r="I254" i="20"/>
  <c r="I254" i="21"/>
  <c r="AD279" i="20"/>
  <c r="AD279" i="21"/>
  <c r="AD213" i="21"/>
  <c r="AD213" i="20"/>
  <c r="AC279" i="21"/>
  <c r="AC279" i="20"/>
  <c r="AC213" i="20"/>
  <c r="AC213" i="21"/>
  <c r="AB213" i="20"/>
  <c r="AB213" i="21"/>
  <c r="AB279" i="21"/>
  <c r="AB279" i="20"/>
  <c r="Z279" i="21"/>
  <c r="Z279" i="20"/>
  <c r="Z213" i="21"/>
  <c r="Z213" i="20"/>
  <c r="X279" i="21"/>
  <c r="X279" i="20"/>
  <c r="V213" i="20"/>
  <c r="V213" i="21"/>
  <c r="V279" i="21"/>
  <c r="V279" i="20"/>
  <c r="U213" i="21"/>
  <c r="U213" i="20"/>
  <c r="U279" i="21"/>
  <c r="U279" i="20"/>
  <c r="T279" i="20"/>
  <c r="T279" i="21"/>
  <c r="T213" i="21"/>
  <c r="T213" i="20"/>
  <c r="S213" i="21"/>
  <c r="S213" i="20"/>
  <c r="S279" i="20"/>
  <c r="S279" i="21"/>
  <c r="R279" i="20"/>
  <c r="R279" i="21"/>
  <c r="R213" i="21"/>
  <c r="R213" i="20"/>
  <c r="Q213" i="21"/>
  <c r="Q213" i="20"/>
  <c r="Q279" i="20"/>
  <c r="Q279" i="21"/>
  <c r="P213" i="21"/>
  <c r="P213" i="20"/>
  <c r="P279" i="20"/>
  <c r="P279" i="21"/>
  <c r="O279" i="20"/>
  <c r="O279" i="21"/>
  <c r="O213" i="21"/>
  <c r="O213" i="20"/>
  <c r="M279" i="20"/>
  <c r="M279" i="21"/>
  <c r="M213" i="21"/>
  <c r="M213" i="20"/>
  <c r="L279" i="20"/>
  <c r="L279" i="21"/>
  <c r="L213" i="20"/>
  <c r="L213" i="21"/>
  <c r="K213" i="20"/>
  <c r="K213" i="21"/>
  <c r="K279" i="21"/>
  <c r="K279" i="20"/>
  <c r="J279" i="21"/>
  <c r="J279" i="20"/>
  <c r="I213" i="20"/>
  <c r="I213" i="21"/>
  <c r="I279" i="20"/>
  <c r="I279" i="21"/>
  <c r="V44" i="15"/>
  <c r="AM39" i="15"/>
  <c r="W41" i="15"/>
  <c r="AM36" i="15"/>
  <c r="V45" i="15"/>
  <c r="AM40" i="15"/>
  <c r="AM41" i="14"/>
  <c r="V46" i="14"/>
  <c r="V47" i="14"/>
  <c r="AM42" i="14"/>
  <c r="AM48" i="14"/>
  <c r="W53" i="14"/>
  <c r="AM29" i="13"/>
  <c r="V34" i="13"/>
  <c r="V45" i="13"/>
  <c r="AM40" i="13"/>
  <c r="AM66" i="13"/>
  <c r="W71" i="13"/>
  <c r="AM43" i="12"/>
  <c r="W48" i="12"/>
  <c r="V47" i="12"/>
  <c r="AM42" i="12"/>
  <c r="V46" i="12"/>
  <c r="AM41" i="12"/>
  <c r="AM36" i="11"/>
  <c r="V41" i="11"/>
  <c r="AM43" i="11"/>
  <c r="W48" i="11"/>
  <c r="AM42" i="11"/>
  <c r="V47" i="11"/>
  <c r="V45" i="10"/>
  <c r="AM45" i="10" s="1"/>
  <c r="W37" i="10"/>
  <c r="AM37" i="10" s="1"/>
  <c r="V46" i="10"/>
  <c r="AM46" i="10" s="1"/>
  <c r="AM51" i="5"/>
  <c r="V55" i="5"/>
  <c r="AM50" i="5"/>
  <c r="AM29" i="5"/>
  <c r="V34" i="5"/>
  <c r="W53" i="4"/>
  <c r="AM48" i="4"/>
  <c r="V46" i="4"/>
  <c r="AM41" i="4"/>
  <c r="AM47" i="4"/>
  <c r="V52" i="4"/>
  <c r="AC28" i="22" l="1"/>
  <c r="AD26" i="22"/>
  <c r="G20" i="22"/>
  <c r="F22" i="22"/>
  <c r="AC29" i="22"/>
  <c r="AC30" i="22"/>
  <c r="AD28" i="22"/>
  <c r="AD27" i="22"/>
  <c r="AE26" i="22"/>
  <c r="H19" i="22"/>
  <c r="G21" i="22"/>
  <c r="G29" i="22"/>
  <c r="H27" i="22"/>
  <c r="AM146" i="5"/>
  <c r="X151" i="5"/>
  <c r="Y136" i="15"/>
  <c r="AM131" i="15"/>
  <c r="X153" i="14"/>
  <c r="Y143" i="14"/>
  <c r="AM138" i="14"/>
  <c r="AM131" i="13"/>
  <c r="Y136" i="13"/>
  <c r="AM153" i="12"/>
  <c r="X158" i="12"/>
  <c r="Y137" i="10"/>
  <c r="AM137" i="10" s="1"/>
  <c r="X153" i="11"/>
  <c r="Y133" i="11"/>
  <c r="AM128" i="11"/>
  <c r="X143" i="4"/>
  <c r="AM138" i="4"/>
  <c r="F33" i="22"/>
  <c r="G33" i="22"/>
  <c r="AM45" i="15"/>
  <c r="V50" i="15"/>
  <c r="AM41" i="15"/>
  <c r="W46" i="15"/>
  <c r="AM44" i="15"/>
  <c r="V49" i="15"/>
  <c r="W58" i="14"/>
  <c r="AM53" i="14"/>
  <c r="V52" i="14"/>
  <c r="AM47" i="14"/>
  <c r="V51" i="14"/>
  <c r="AM46" i="14"/>
  <c r="W76" i="13"/>
  <c r="AM71" i="13"/>
  <c r="AM45" i="13"/>
  <c r="V50" i="13"/>
  <c r="V39" i="13"/>
  <c r="AM34" i="13"/>
  <c r="AM46" i="12"/>
  <c r="V51" i="12"/>
  <c r="AM47" i="12"/>
  <c r="V52" i="12"/>
  <c r="W53" i="12"/>
  <c r="AM48" i="12"/>
  <c r="V46" i="11"/>
  <c r="AM41" i="11"/>
  <c r="V52" i="11"/>
  <c r="AM47" i="11"/>
  <c r="W53" i="11"/>
  <c r="AM48" i="11"/>
  <c r="V51" i="10"/>
  <c r="AM51" i="10" s="1"/>
  <c r="W42" i="10"/>
  <c r="AM42" i="10" s="1"/>
  <c r="V50" i="10"/>
  <c r="AM50" i="10" s="1"/>
  <c r="AM55" i="5"/>
  <c r="V60" i="5"/>
  <c r="AM56" i="5"/>
  <c r="W61" i="5"/>
  <c r="V39" i="5"/>
  <c r="V44" i="5" s="1"/>
  <c r="AM34" i="5"/>
  <c r="AM46" i="4"/>
  <c r="V51" i="4"/>
  <c r="V57" i="4"/>
  <c r="AM52" i="4"/>
  <c r="W58" i="4"/>
  <c r="AM53" i="4"/>
  <c r="I19" i="22" l="1"/>
  <c r="H21" i="22"/>
  <c r="H33" i="22"/>
  <c r="AD29" i="22"/>
  <c r="AD30" i="22"/>
  <c r="AE28" i="22"/>
  <c r="AE27" i="22"/>
  <c r="AF26" i="22"/>
  <c r="H20" i="22"/>
  <c r="G22" i="22"/>
  <c r="H29" i="22"/>
  <c r="I27" i="22"/>
  <c r="AM151" i="5"/>
  <c r="X156" i="5"/>
  <c r="AM136" i="15"/>
  <c r="Y141" i="15"/>
  <c r="Y148" i="14"/>
  <c r="AM143" i="14"/>
  <c r="X158" i="14"/>
  <c r="Y141" i="13"/>
  <c r="AM136" i="13"/>
  <c r="X163" i="12"/>
  <c r="AM158" i="12"/>
  <c r="Y142" i="10"/>
  <c r="AM142" i="10" s="1"/>
  <c r="X158" i="11"/>
  <c r="Y138" i="11"/>
  <c r="AM133" i="11"/>
  <c r="AM143" i="4"/>
  <c r="X148" i="4"/>
  <c r="E30" i="22"/>
  <c r="AM49" i="15"/>
  <c r="V54" i="15"/>
  <c r="W51" i="15"/>
  <c r="AM46" i="15"/>
  <c r="V55" i="15"/>
  <c r="AM50" i="15"/>
  <c r="AM51" i="14"/>
  <c r="V56" i="14"/>
  <c r="V57" i="14"/>
  <c r="AM52" i="14"/>
  <c r="W63" i="14"/>
  <c r="AM58" i="14"/>
  <c r="V44" i="13"/>
  <c r="AM39" i="13"/>
  <c r="V55" i="13"/>
  <c r="AM50" i="13"/>
  <c r="AM76" i="13"/>
  <c r="W81" i="13"/>
  <c r="W58" i="12"/>
  <c r="AM53" i="12"/>
  <c r="V57" i="12"/>
  <c r="AM52" i="12"/>
  <c r="V56" i="12"/>
  <c r="AM51" i="12"/>
  <c r="V51" i="11"/>
  <c r="AM46" i="11"/>
  <c r="AM53" i="11"/>
  <c r="W58" i="11"/>
  <c r="AM52" i="11"/>
  <c r="V57" i="11"/>
  <c r="W47" i="10"/>
  <c r="AM47" i="10" s="1"/>
  <c r="V55" i="10"/>
  <c r="AM55" i="10" s="1"/>
  <c r="V56" i="10"/>
  <c r="AM56" i="10" s="1"/>
  <c r="V49" i="5"/>
  <c r="AM44" i="5"/>
  <c r="V65" i="5"/>
  <c r="AM60" i="5"/>
  <c r="W66" i="5"/>
  <c r="AM61" i="5"/>
  <c r="AM39" i="5"/>
  <c r="AM58" i="4"/>
  <c r="W63" i="4"/>
  <c r="V62" i="4"/>
  <c r="AM57" i="4"/>
  <c r="AM51" i="4"/>
  <c r="V56" i="4"/>
  <c r="I20" i="22" l="1"/>
  <c r="H22" i="22"/>
  <c r="AE29" i="22"/>
  <c r="AE30" i="22"/>
  <c r="I21" i="22"/>
  <c r="AF27" i="22"/>
  <c r="AF28" i="22"/>
  <c r="AG26" i="22"/>
  <c r="J19" i="22"/>
  <c r="I33" i="22"/>
  <c r="I29" i="22"/>
  <c r="J27" i="22"/>
  <c r="AM156" i="5"/>
  <c r="X161" i="5"/>
  <c r="Y146" i="15"/>
  <c r="AM141" i="15"/>
  <c r="X163" i="14"/>
  <c r="Y153" i="14"/>
  <c r="AM148" i="14"/>
  <c r="Y146" i="13"/>
  <c r="AM141" i="13"/>
  <c r="X168" i="12"/>
  <c r="AM163" i="12"/>
  <c r="Y147" i="10"/>
  <c r="AM147" i="10" s="1"/>
  <c r="Y143" i="11"/>
  <c r="AM138" i="11"/>
  <c r="X163" i="11"/>
  <c r="X153" i="4"/>
  <c r="AM148" i="4"/>
  <c r="F30" i="22"/>
  <c r="V60" i="15"/>
  <c r="AM55" i="15"/>
  <c r="AM51" i="15"/>
  <c r="V59" i="15"/>
  <c r="AM54" i="15"/>
  <c r="AM56" i="14"/>
  <c r="V61" i="14"/>
  <c r="AM63" i="14"/>
  <c r="W68" i="14"/>
  <c r="V62" i="14"/>
  <c r="AM57" i="14"/>
  <c r="W86" i="13"/>
  <c r="AM81" i="13"/>
  <c r="AM55" i="13"/>
  <c r="V60" i="13"/>
  <c r="AM44" i="13"/>
  <c r="V49" i="13"/>
  <c r="V61" i="12"/>
  <c r="AM56" i="12"/>
  <c r="V62" i="12"/>
  <c r="AM57" i="12"/>
  <c r="W63" i="12"/>
  <c r="AM58" i="12"/>
  <c r="V56" i="11"/>
  <c r="AM51" i="11"/>
  <c r="V62" i="11"/>
  <c r="AM57" i="11"/>
  <c r="W63" i="11"/>
  <c r="AM58" i="11"/>
  <c r="V61" i="10"/>
  <c r="AM61" i="10" s="1"/>
  <c r="V60" i="10"/>
  <c r="AM60" i="10" s="1"/>
  <c r="W52" i="10"/>
  <c r="AM52" i="10" s="1"/>
  <c r="AM66" i="5"/>
  <c r="W71" i="5"/>
  <c r="AM65" i="5"/>
  <c r="V70" i="5"/>
  <c r="V54" i="5"/>
  <c r="AM49" i="5"/>
  <c r="AM62" i="4"/>
  <c r="V67" i="4"/>
  <c r="AM63" i="4"/>
  <c r="W68" i="4"/>
  <c r="AM56" i="4"/>
  <c r="V61" i="4"/>
  <c r="K19" i="22" l="1"/>
  <c r="J33" i="22"/>
  <c r="AF30" i="22"/>
  <c r="AF29" i="22"/>
  <c r="AG27" i="22"/>
  <c r="AH26" i="22"/>
  <c r="AG28" i="22"/>
  <c r="J21" i="22"/>
  <c r="J20" i="22"/>
  <c r="I22" i="22"/>
  <c r="J29" i="22"/>
  <c r="K27" i="22"/>
  <c r="AM161" i="5"/>
  <c r="X166" i="5"/>
  <c r="AM146" i="15"/>
  <c r="Y151" i="15"/>
  <c r="Y158" i="14"/>
  <c r="AM153" i="14"/>
  <c r="X168" i="14"/>
  <c r="Y151" i="13"/>
  <c r="AM146" i="13"/>
  <c r="X173" i="12"/>
  <c r="AM168" i="12"/>
  <c r="Y152" i="10"/>
  <c r="AM152" i="10" s="1"/>
  <c r="X168" i="11"/>
  <c r="Y148" i="11"/>
  <c r="AM143" i="11"/>
  <c r="AM153" i="4"/>
  <c r="X158" i="4"/>
  <c r="G30" i="22"/>
  <c r="AM59" i="15"/>
  <c r="V64" i="15"/>
  <c r="W61" i="15"/>
  <c r="AM56" i="15"/>
  <c r="AM60" i="15"/>
  <c r="V65" i="15"/>
  <c r="AM62" i="14"/>
  <c r="V67" i="14"/>
  <c r="W73" i="14"/>
  <c r="AM68" i="14"/>
  <c r="AM61" i="14"/>
  <c r="V66" i="14"/>
  <c r="V54" i="13"/>
  <c r="AM49" i="13"/>
  <c r="V65" i="13"/>
  <c r="AM60" i="13"/>
  <c r="W91" i="13"/>
  <c r="AM86" i="13"/>
  <c r="AM63" i="12"/>
  <c r="W68" i="12"/>
  <c r="AM62" i="12"/>
  <c r="V67" i="12"/>
  <c r="AM61" i="12"/>
  <c r="V66" i="12"/>
  <c r="V61" i="11"/>
  <c r="AM56" i="11"/>
  <c r="W68" i="11"/>
  <c r="AM63" i="11"/>
  <c r="V67" i="11"/>
  <c r="AM62" i="11"/>
  <c r="V65" i="10"/>
  <c r="AM65" i="10" s="1"/>
  <c r="V66" i="10"/>
  <c r="AM66" i="10" s="1"/>
  <c r="V59" i="5"/>
  <c r="AM54" i="5"/>
  <c r="AM71" i="5"/>
  <c r="W76" i="5"/>
  <c r="V75" i="5"/>
  <c r="AM70" i="5"/>
  <c r="AM68" i="4"/>
  <c r="W73" i="4"/>
  <c r="AM67" i="4"/>
  <c r="V72" i="4"/>
  <c r="V66" i="4"/>
  <c r="AM61" i="4"/>
  <c r="K21" i="22" l="1"/>
  <c r="AH27" i="22"/>
  <c r="AI26" i="22"/>
  <c r="AH28" i="22"/>
  <c r="K20" i="22"/>
  <c r="J22" i="22"/>
  <c r="AG29" i="22"/>
  <c r="AG30" i="22"/>
  <c r="L19" i="22"/>
  <c r="K33" i="22"/>
  <c r="K29" i="22"/>
  <c r="L27" i="22"/>
  <c r="AM166" i="5"/>
  <c r="X171" i="5"/>
  <c r="AM151" i="15"/>
  <c r="Y156" i="15"/>
  <c r="X173" i="14"/>
  <c r="Y163" i="14"/>
  <c r="AM158" i="14"/>
  <c r="AM151" i="13"/>
  <c r="Y156" i="13"/>
  <c r="AM173" i="12"/>
  <c r="X178" i="12"/>
  <c r="Y157" i="10"/>
  <c r="AM157" i="10" s="1"/>
  <c r="X173" i="11"/>
  <c r="Y153" i="11"/>
  <c r="AM148" i="11"/>
  <c r="AM158" i="4"/>
  <c r="X163" i="4"/>
  <c r="H30" i="22"/>
  <c r="V70" i="15"/>
  <c r="AM65" i="15"/>
  <c r="V69" i="15"/>
  <c r="AM64" i="15"/>
  <c r="AM61" i="15"/>
  <c r="W66" i="15"/>
  <c r="V71" i="14"/>
  <c r="AM66" i="14"/>
  <c r="AM73" i="14"/>
  <c r="W78" i="14"/>
  <c r="V72" i="14"/>
  <c r="AM67" i="14"/>
  <c r="AM91" i="13"/>
  <c r="W96" i="13"/>
  <c r="AM65" i="13"/>
  <c r="V70" i="13"/>
  <c r="AM54" i="13"/>
  <c r="V59" i="13"/>
  <c r="V71" i="12"/>
  <c r="AM66" i="12"/>
  <c r="V72" i="12"/>
  <c r="AM67" i="12"/>
  <c r="W73" i="12"/>
  <c r="AM68" i="12"/>
  <c r="AM61" i="11"/>
  <c r="V66" i="11"/>
  <c r="V72" i="11"/>
  <c r="AM67" i="11"/>
  <c r="AM68" i="11"/>
  <c r="W73" i="11"/>
  <c r="V71" i="10"/>
  <c r="AM71" i="10" s="1"/>
  <c r="W62" i="10"/>
  <c r="AM62" i="10" s="1"/>
  <c r="V70" i="10"/>
  <c r="AM70" i="10" s="1"/>
  <c r="V80" i="5"/>
  <c r="AM75" i="5"/>
  <c r="AM76" i="5"/>
  <c r="W81" i="5"/>
  <c r="V64" i="5"/>
  <c r="AM59" i="5"/>
  <c r="AM73" i="4"/>
  <c r="W78" i="4"/>
  <c r="V71" i="4"/>
  <c r="AM66" i="4"/>
  <c r="AM72" i="4"/>
  <c r="V77" i="4"/>
  <c r="AI27" i="22" l="1"/>
  <c r="AJ26" i="22"/>
  <c r="AI28" i="22"/>
  <c r="M19" i="22"/>
  <c r="L33" i="22"/>
  <c r="L21" i="22"/>
  <c r="L20" i="22"/>
  <c r="K22" i="22"/>
  <c r="AH30" i="22"/>
  <c r="AH29" i="22"/>
  <c r="L29" i="22"/>
  <c r="M27" i="22"/>
  <c r="AM171" i="5"/>
  <c r="X176" i="5"/>
  <c r="AM176" i="5" s="1"/>
  <c r="AM156" i="15"/>
  <c r="Y161" i="15"/>
  <c r="Y168" i="14"/>
  <c r="AM163" i="14"/>
  <c r="X178" i="14"/>
  <c r="Y161" i="13"/>
  <c r="AM156" i="13"/>
  <c r="AM178" i="12"/>
  <c r="X183" i="12"/>
  <c r="Y162" i="10"/>
  <c r="AM162" i="10" s="1"/>
  <c r="Y158" i="11"/>
  <c r="AM153" i="11"/>
  <c r="X178" i="11"/>
  <c r="X168" i="4"/>
  <c r="AM163" i="4"/>
  <c r="I30" i="22"/>
  <c r="AM66" i="15"/>
  <c r="W71" i="15"/>
  <c r="AM69" i="15"/>
  <c r="V74" i="15"/>
  <c r="AM70" i="15"/>
  <c r="V75" i="15"/>
  <c r="V77" i="14"/>
  <c r="AM72" i="14"/>
  <c r="AM78" i="14"/>
  <c r="W83" i="14"/>
  <c r="V76" i="14"/>
  <c r="AM71" i="14"/>
  <c r="V64" i="13"/>
  <c r="AM59" i="13"/>
  <c r="V75" i="13"/>
  <c r="AM70" i="13"/>
  <c r="W101" i="13"/>
  <c r="AM96" i="13"/>
  <c r="W78" i="12"/>
  <c r="AM73" i="12"/>
  <c r="V77" i="12"/>
  <c r="AM72" i="12"/>
  <c r="V76" i="12"/>
  <c r="AM71" i="12"/>
  <c r="V71" i="11"/>
  <c r="AM66" i="11"/>
  <c r="W78" i="11"/>
  <c r="AM73" i="11"/>
  <c r="AM72" i="11"/>
  <c r="V77" i="11"/>
  <c r="V75" i="10"/>
  <c r="AM75" i="10" s="1"/>
  <c r="W67" i="10"/>
  <c r="AM67" i="10" s="1"/>
  <c r="V76" i="10"/>
  <c r="AM76" i="10" s="1"/>
  <c r="AM64" i="5"/>
  <c r="V69" i="5"/>
  <c r="W86" i="5"/>
  <c r="AM81" i="5"/>
  <c r="V85" i="5"/>
  <c r="AM80" i="5"/>
  <c r="AM77" i="4"/>
  <c r="V82" i="4"/>
  <c r="W83" i="4"/>
  <c r="AM78" i="4"/>
  <c r="AM71" i="4"/>
  <c r="V76" i="4"/>
  <c r="M21" i="22" l="1"/>
  <c r="M20" i="22"/>
  <c r="L22" i="22"/>
  <c r="N19" i="22"/>
  <c r="M33" i="22"/>
  <c r="AJ27" i="22"/>
  <c r="AJ28" i="22"/>
  <c r="AI29" i="22"/>
  <c r="AI30" i="22"/>
  <c r="M29" i="22"/>
  <c r="N27" i="22"/>
  <c r="AM161" i="15"/>
  <c r="Y166" i="15"/>
  <c r="X183" i="14"/>
  <c r="Y173" i="14"/>
  <c r="AM168" i="14"/>
  <c r="Y166" i="13"/>
  <c r="AM161" i="13"/>
  <c r="AM183" i="12"/>
  <c r="Y167" i="10"/>
  <c r="AM167" i="10" s="1"/>
  <c r="X183" i="11"/>
  <c r="Y163" i="11"/>
  <c r="AM158" i="11"/>
  <c r="AM168" i="4"/>
  <c r="X173" i="4"/>
  <c r="J30" i="22"/>
  <c r="AM71" i="15"/>
  <c r="W76" i="15"/>
  <c r="V80" i="15"/>
  <c r="AM75" i="15"/>
  <c r="V79" i="15"/>
  <c r="AM74" i="15"/>
  <c r="AM76" i="14"/>
  <c r="V81" i="14"/>
  <c r="W88" i="14"/>
  <c r="AM83" i="14"/>
  <c r="AM77" i="14"/>
  <c r="V82" i="14"/>
  <c r="AM101" i="13"/>
  <c r="W106" i="13"/>
  <c r="AM106" i="13" s="1"/>
  <c r="V80" i="13"/>
  <c r="AM75" i="13"/>
  <c r="V69" i="13"/>
  <c r="AM64" i="13"/>
  <c r="V81" i="12"/>
  <c r="AM76" i="12"/>
  <c r="V82" i="12"/>
  <c r="AM77" i="12"/>
  <c r="AM78" i="12"/>
  <c r="W83" i="12"/>
  <c r="AM71" i="11"/>
  <c r="V76" i="11"/>
  <c r="AM77" i="11"/>
  <c r="V82" i="11"/>
  <c r="W83" i="11"/>
  <c r="AM78" i="11"/>
  <c r="V81" i="10"/>
  <c r="AM81" i="10" s="1"/>
  <c r="W72" i="10"/>
  <c r="AM72" i="10" s="1"/>
  <c r="V80" i="10"/>
  <c r="AM80" i="10" s="1"/>
  <c r="AM85" i="5"/>
  <c r="V90" i="5"/>
  <c r="AM86" i="5"/>
  <c r="W91" i="5"/>
  <c r="AM69" i="5"/>
  <c r="V74" i="5"/>
  <c r="V81" i="4"/>
  <c r="AM76" i="4"/>
  <c r="W88" i="4"/>
  <c r="AM83" i="4"/>
  <c r="V87" i="4"/>
  <c r="AM82" i="4"/>
  <c r="AJ29" i="22" l="1"/>
  <c r="AJ30" i="22"/>
  <c r="O19" i="22"/>
  <c r="N33" i="22"/>
  <c r="N20" i="22"/>
  <c r="M22" i="22"/>
  <c r="N21" i="22"/>
  <c r="N29" i="22"/>
  <c r="O27" i="22"/>
  <c r="AM166" i="15"/>
  <c r="Y171" i="15"/>
  <c r="Y178" i="14"/>
  <c r="AM173" i="14"/>
  <c r="Y171" i="13"/>
  <c r="AM166" i="13"/>
  <c r="Y172" i="10"/>
  <c r="AM172" i="10" s="1"/>
  <c r="Y168" i="11"/>
  <c r="AM163" i="11"/>
  <c r="X178" i="4"/>
  <c r="AM173" i="4"/>
  <c r="K30" i="22"/>
  <c r="AM79" i="15"/>
  <c r="V84" i="15"/>
  <c r="AM76" i="15"/>
  <c r="W81" i="15"/>
  <c r="AM80" i="15"/>
  <c r="V85" i="15"/>
  <c r="V87" i="14"/>
  <c r="AM82" i="14"/>
  <c r="W93" i="14"/>
  <c r="AM88" i="14"/>
  <c r="V86" i="14"/>
  <c r="AM81" i="14"/>
  <c r="AM69" i="13"/>
  <c r="V74" i="13"/>
  <c r="AM80" i="13"/>
  <c r="V85" i="13"/>
  <c r="W88" i="12"/>
  <c r="AM83" i="12"/>
  <c r="AM82" i="12"/>
  <c r="V87" i="12"/>
  <c r="AM81" i="12"/>
  <c r="V86" i="12"/>
  <c r="V81" i="11"/>
  <c r="AM76" i="11"/>
  <c r="V87" i="11"/>
  <c r="AM82" i="11"/>
  <c r="W88" i="11"/>
  <c r="AM83" i="11"/>
  <c r="V85" i="10"/>
  <c r="AM85" i="10" s="1"/>
  <c r="W77" i="10"/>
  <c r="AM77" i="10" s="1"/>
  <c r="V86" i="10"/>
  <c r="AM86" i="10" s="1"/>
  <c r="AM91" i="5"/>
  <c r="W96" i="5"/>
  <c r="V95" i="5"/>
  <c r="AM90" i="5"/>
  <c r="V79" i="5"/>
  <c r="AM74" i="5"/>
  <c r="AM88" i="4"/>
  <c r="W93" i="4"/>
  <c r="AM87" i="4"/>
  <c r="V92" i="4"/>
  <c r="AM81" i="4"/>
  <c r="V86" i="4"/>
  <c r="O21" i="22" l="1"/>
  <c r="O20" i="22"/>
  <c r="O22" i="22" s="1"/>
  <c r="N22" i="22"/>
  <c r="P19" i="22"/>
  <c r="O33" i="22"/>
  <c r="O29" i="22"/>
  <c r="P27" i="22"/>
  <c r="AM171" i="15"/>
  <c r="Y176" i="15"/>
  <c r="AM176" i="15" s="1"/>
  <c r="Y183" i="14"/>
  <c r="AM183" i="14" s="1"/>
  <c r="AM178" i="14"/>
  <c r="AM171" i="13"/>
  <c r="Y176" i="13"/>
  <c r="AM176" i="13" s="1"/>
  <c r="Y177" i="10"/>
  <c r="AM177" i="10" s="1"/>
  <c r="Y173" i="11"/>
  <c r="AM168" i="11"/>
  <c r="AM178" i="4"/>
  <c r="X183" i="4"/>
  <c r="AM183" i="4" s="1"/>
  <c r="L30" i="22"/>
  <c r="W86" i="15"/>
  <c r="AM81" i="15"/>
  <c r="V89" i="15"/>
  <c r="AM84" i="15"/>
  <c r="V90" i="15"/>
  <c r="AM85" i="15"/>
  <c r="AM86" i="14"/>
  <c r="V91" i="14"/>
  <c r="W98" i="14"/>
  <c r="AM93" i="14"/>
  <c r="AM87" i="14"/>
  <c r="V92" i="14"/>
  <c r="V90" i="13"/>
  <c r="AM85" i="13"/>
  <c r="V79" i="13"/>
  <c r="AM74" i="13"/>
  <c r="V91" i="12"/>
  <c r="AM86" i="12"/>
  <c r="V92" i="12"/>
  <c r="AM87" i="12"/>
  <c r="W93" i="12"/>
  <c r="AM88" i="12"/>
  <c r="V86" i="11"/>
  <c r="AM81" i="11"/>
  <c r="AM88" i="11"/>
  <c r="W93" i="11"/>
  <c r="AM87" i="11"/>
  <c r="V92" i="11"/>
  <c r="V91" i="10"/>
  <c r="AM91" i="10" s="1"/>
  <c r="W82" i="10"/>
  <c r="AM82" i="10" s="1"/>
  <c r="V90" i="10"/>
  <c r="AM90" i="10" s="1"/>
  <c r="V84" i="5"/>
  <c r="AM79" i="5"/>
  <c r="AM95" i="5"/>
  <c r="V100" i="5"/>
  <c r="W101" i="5"/>
  <c r="AM96" i="5"/>
  <c r="V91" i="4"/>
  <c r="AM86" i="4"/>
  <c r="AM92" i="4"/>
  <c r="V97" i="4"/>
  <c r="AM93" i="4"/>
  <c r="W98" i="4"/>
  <c r="Q19" i="22" l="1"/>
  <c r="P20" i="22"/>
  <c r="P33" i="22"/>
  <c r="P21" i="22"/>
  <c r="Q27" i="22"/>
  <c r="P29" i="22"/>
  <c r="Y178" i="11"/>
  <c r="AM173" i="11"/>
  <c r="M30" i="22"/>
  <c r="AM90" i="15"/>
  <c r="V95" i="15"/>
  <c r="AM89" i="15"/>
  <c r="V94" i="15"/>
  <c r="AM86" i="15"/>
  <c r="W91" i="15"/>
  <c r="V97" i="14"/>
  <c r="AM92" i="14"/>
  <c r="V96" i="14"/>
  <c r="AM91" i="14"/>
  <c r="AM98" i="14"/>
  <c r="W103" i="14"/>
  <c r="AM79" i="13"/>
  <c r="V84" i="13"/>
  <c r="AM90" i="13"/>
  <c r="V95" i="13"/>
  <c r="W98" i="12"/>
  <c r="AM93" i="12"/>
  <c r="V97" i="12"/>
  <c r="AM92" i="12"/>
  <c r="V96" i="12"/>
  <c r="AM91" i="12"/>
  <c r="AM86" i="11"/>
  <c r="V91" i="11"/>
  <c r="V97" i="11"/>
  <c r="AM92" i="11"/>
  <c r="W98" i="11"/>
  <c r="AM93" i="11"/>
  <c r="V95" i="10"/>
  <c r="AM95" i="10" s="1"/>
  <c r="V96" i="10"/>
  <c r="AM96" i="10" s="1"/>
  <c r="W87" i="10"/>
  <c r="AM87" i="10" s="1"/>
  <c r="AM101" i="5"/>
  <c r="W106" i="5"/>
  <c r="V105" i="5"/>
  <c r="AM100" i="5"/>
  <c r="V89" i="5"/>
  <c r="AM84" i="5"/>
  <c r="W103" i="4"/>
  <c r="AM98" i="4"/>
  <c r="V102" i="4"/>
  <c r="AM97" i="4"/>
  <c r="AM91" i="4"/>
  <c r="V96" i="4"/>
  <c r="Q21" i="22" l="1"/>
  <c r="Q20" i="22"/>
  <c r="P22" i="22"/>
  <c r="R19" i="22"/>
  <c r="Q33" i="22"/>
  <c r="Q29" i="22"/>
  <c r="R27" i="22"/>
  <c r="Y183" i="11"/>
  <c r="AM183" i="11" s="1"/>
  <c r="AM178" i="11"/>
  <c r="N30" i="22"/>
  <c r="AM95" i="15"/>
  <c r="V100" i="15"/>
  <c r="W96" i="15"/>
  <c r="AM91" i="15"/>
  <c r="V99" i="15"/>
  <c r="AM94" i="15"/>
  <c r="W108" i="14"/>
  <c r="AM108" i="14" s="1"/>
  <c r="AM103" i="14"/>
  <c r="V101" i="14"/>
  <c r="AM96" i="14"/>
  <c r="AM97" i="14"/>
  <c r="V102" i="14"/>
  <c r="V100" i="13"/>
  <c r="AM95" i="13"/>
  <c r="V89" i="13"/>
  <c r="AM84" i="13"/>
  <c r="AM96" i="12"/>
  <c r="V101" i="12"/>
  <c r="AM97" i="12"/>
  <c r="V102" i="12"/>
  <c r="AM98" i="12"/>
  <c r="W103" i="12"/>
  <c r="V96" i="11"/>
  <c r="AM91" i="11"/>
  <c r="W103" i="11"/>
  <c r="AM98" i="11"/>
  <c r="V102" i="11"/>
  <c r="AM97" i="11"/>
  <c r="W92" i="10"/>
  <c r="AM92" i="10" s="1"/>
  <c r="V101" i="10"/>
  <c r="AM101" i="10" s="1"/>
  <c r="V100" i="10"/>
  <c r="AM100" i="10" s="1"/>
  <c r="V94" i="5"/>
  <c r="AM89" i="5"/>
  <c r="V110" i="5"/>
  <c r="AM105" i="5"/>
  <c r="AM106" i="5"/>
  <c r="V107" i="4"/>
  <c r="AM102" i="4"/>
  <c r="AM96" i="4"/>
  <c r="V101" i="4"/>
  <c r="AM103" i="4"/>
  <c r="W108" i="4"/>
  <c r="S19" i="22" l="1"/>
  <c r="R33" i="22"/>
  <c r="R20" i="22"/>
  <c r="Q22" i="22"/>
  <c r="R21" i="22"/>
  <c r="R29" i="22"/>
  <c r="S27" i="22"/>
  <c r="O30" i="22"/>
  <c r="AM99" i="15"/>
  <c r="V104" i="15"/>
  <c r="AM96" i="15"/>
  <c r="W101" i="15"/>
  <c r="AM100" i="15"/>
  <c r="V105" i="15"/>
  <c r="V107" i="14"/>
  <c r="AM102" i="14"/>
  <c r="AM101" i="14"/>
  <c r="V106" i="14"/>
  <c r="AM89" i="13"/>
  <c r="V94" i="13"/>
  <c r="V105" i="13"/>
  <c r="AM100" i="13"/>
  <c r="W108" i="12"/>
  <c r="AM108" i="12" s="1"/>
  <c r="AM103" i="12"/>
  <c r="V107" i="12"/>
  <c r="AM102" i="12"/>
  <c r="V106" i="12"/>
  <c r="AM101" i="12"/>
  <c r="V101" i="11"/>
  <c r="AM96" i="11"/>
  <c r="AM103" i="11"/>
  <c r="W108" i="11"/>
  <c r="AM108" i="11" s="1"/>
  <c r="V107" i="11"/>
  <c r="AM102" i="11"/>
  <c r="V105" i="10"/>
  <c r="AM105" i="10" s="1"/>
  <c r="V106" i="10"/>
  <c r="AM106" i="10" s="1"/>
  <c r="W97" i="10"/>
  <c r="AM97" i="10" s="1"/>
  <c r="AM94" i="5"/>
  <c r="V99" i="5"/>
  <c r="AM111" i="5"/>
  <c r="W116" i="5"/>
  <c r="AM116" i="5" s="1"/>
  <c r="AM110" i="5"/>
  <c r="V115" i="5"/>
  <c r="AM108" i="4"/>
  <c r="AM101" i="4"/>
  <c r="V106" i="4"/>
  <c r="AM107" i="4"/>
  <c r="V112" i="4"/>
  <c r="S21" i="22" l="1"/>
  <c r="S20" i="22"/>
  <c r="R22" i="22"/>
  <c r="T19" i="22"/>
  <c r="S33" i="22"/>
  <c r="T27" i="22"/>
  <c r="S29" i="22"/>
  <c r="AM115" i="5"/>
  <c r="V120" i="5"/>
  <c r="P30" i="22"/>
  <c r="V110" i="15"/>
  <c r="AM105" i="15"/>
  <c r="V109" i="15"/>
  <c r="AM104" i="15"/>
  <c r="W106" i="15"/>
  <c r="AM106" i="15" s="1"/>
  <c r="AM101" i="15"/>
  <c r="V111" i="14"/>
  <c r="AM106" i="14"/>
  <c r="V112" i="14"/>
  <c r="AM107" i="14"/>
  <c r="V110" i="13"/>
  <c r="AM105" i="13"/>
  <c r="V99" i="13"/>
  <c r="AM94" i="13"/>
  <c r="V111" i="12"/>
  <c r="AM106" i="12"/>
  <c r="V112" i="12"/>
  <c r="AM107" i="12"/>
  <c r="V106" i="11"/>
  <c r="AM101" i="11"/>
  <c r="V112" i="11"/>
  <c r="AM107" i="11"/>
  <c r="W102" i="10"/>
  <c r="AM102" i="10" s="1"/>
  <c r="V111" i="10"/>
  <c r="AM111" i="10" s="1"/>
  <c r="V110" i="10"/>
  <c r="AM110" i="10" s="1"/>
  <c r="V104" i="5"/>
  <c r="AM99" i="5"/>
  <c r="V117" i="4"/>
  <c r="AM112" i="4"/>
  <c r="AM106" i="4"/>
  <c r="V111" i="4"/>
  <c r="U19" i="22" l="1"/>
  <c r="T33" i="22"/>
  <c r="T20" i="22"/>
  <c r="S22" i="22"/>
  <c r="T21" i="22"/>
  <c r="T29" i="22"/>
  <c r="U27" i="22"/>
  <c r="AM120" i="5"/>
  <c r="V125" i="5"/>
  <c r="Q30" i="22"/>
  <c r="V114" i="15"/>
  <c r="AM109" i="15"/>
  <c r="V115" i="15"/>
  <c r="AM110" i="15"/>
  <c r="V117" i="14"/>
  <c r="AM112" i="14"/>
  <c r="AM111" i="14"/>
  <c r="V116" i="14"/>
  <c r="V104" i="13"/>
  <c r="AM99" i="13"/>
  <c r="V115" i="13"/>
  <c r="AM110" i="13"/>
  <c r="V117" i="12"/>
  <c r="AM112" i="12"/>
  <c r="V116" i="12"/>
  <c r="AM111" i="12"/>
  <c r="AM106" i="11"/>
  <c r="V111" i="11"/>
  <c r="AM112" i="11"/>
  <c r="V117" i="11"/>
  <c r="V115" i="10"/>
  <c r="AM115" i="10" s="1"/>
  <c r="V116" i="10"/>
  <c r="AM116" i="10" s="1"/>
  <c r="W107" i="10"/>
  <c r="AM107" i="10" s="1"/>
  <c r="V109" i="5"/>
  <c r="AM104" i="5"/>
  <c r="AM111" i="4"/>
  <c r="V116" i="4"/>
  <c r="V122" i="4"/>
  <c r="AM117" i="4"/>
  <c r="U21" i="22" l="1"/>
  <c r="V19" i="22"/>
  <c r="U33" i="22"/>
  <c r="U20" i="22"/>
  <c r="T22" i="22"/>
  <c r="U29" i="22"/>
  <c r="V27" i="22"/>
  <c r="AM115" i="15"/>
  <c r="V120" i="15"/>
  <c r="AM114" i="15"/>
  <c r="V119" i="15"/>
  <c r="AM115" i="13"/>
  <c r="V120" i="13"/>
  <c r="V121" i="10"/>
  <c r="AM121" i="10" s="1"/>
  <c r="V120" i="10"/>
  <c r="AM120" i="10" s="1"/>
  <c r="V130" i="5"/>
  <c r="AM125" i="5"/>
  <c r="AM122" i="4"/>
  <c r="V127" i="4"/>
  <c r="R30" i="22"/>
  <c r="V121" i="14"/>
  <c r="AM116" i="14"/>
  <c r="V122" i="14"/>
  <c r="AM117" i="14"/>
  <c r="AM104" i="13"/>
  <c r="V109" i="13"/>
  <c r="AM116" i="12"/>
  <c r="V121" i="12"/>
  <c r="V122" i="12"/>
  <c r="AM117" i="12"/>
  <c r="AM111" i="11"/>
  <c r="V116" i="11"/>
  <c r="V122" i="11"/>
  <c r="AM117" i="11"/>
  <c r="AM109" i="5"/>
  <c r="V114" i="5"/>
  <c r="AM116" i="4"/>
  <c r="V121" i="4"/>
  <c r="V20" i="22" l="1"/>
  <c r="U22" i="22"/>
  <c r="W19" i="22"/>
  <c r="V33" i="22"/>
  <c r="V21" i="22"/>
  <c r="W27" i="22"/>
  <c r="V29" i="22"/>
  <c r="AM119" i="15"/>
  <c r="V124" i="15"/>
  <c r="V125" i="15"/>
  <c r="AM120" i="15"/>
  <c r="AM122" i="14"/>
  <c r="V127" i="14"/>
  <c r="AM121" i="14"/>
  <c r="V126" i="14"/>
  <c r="AM120" i="13"/>
  <c r="V125" i="13"/>
  <c r="AM122" i="12"/>
  <c r="V127" i="12"/>
  <c r="AM121" i="12"/>
  <c r="V126" i="12"/>
  <c r="V125" i="10"/>
  <c r="AM125" i="10" s="1"/>
  <c r="V126" i="10"/>
  <c r="AM126" i="10" s="1"/>
  <c r="AM122" i="11"/>
  <c r="V127" i="11"/>
  <c r="AM114" i="5"/>
  <c r="V119" i="5"/>
  <c r="V135" i="5"/>
  <c r="AM130" i="5"/>
  <c r="AM121" i="4"/>
  <c r="V126" i="4"/>
  <c r="AM127" i="4"/>
  <c r="V132" i="4"/>
  <c r="S30" i="22"/>
  <c r="V114" i="13"/>
  <c r="AM109" i="13"/>
  <c r="V121" i="11"/>
  <c r="AM116" i="11"/>
  <c r="W21" i="22" l="1"/>
  <c r="X19" i="22"/>
  <c r="W33" i="22"/>
  <c r="W20" i="22"/>
  <c r="V22" i="22"/>
  <c r="X27" i="22"/>
  <c r="W29" i="22"/>
  <c r="V130" i="15"/>
  <c r="AM125" i="15"/>
  <c r="V129" i="15"/>
  <c r="AM124" i="15"/>
  <c r="AM126" i="14"/>
  <c r="V131" i="14"/>
  <c r="AM127" i="14"/>
  <c r="V132" i="14"/>
  <c r="AM114" i="13"/>
  <c r="V119" i="13"/>
  <c r="V130" i="13"/>
  <c r="AM125" i="13"/>
  <c r="AM127" i="12"/>
  <c r="V132" i="12"/>
  <c r="AM126" i="12"/>
  <c r="V131" i="12"/>
  <c r="V131" i="10"/>
  <c r="AM131" i="10" s="1"/>
  <c r="V130" i="10"/>
  <c r="AM130" i="10" s="1"/>
  <c r="AM121" i="11"/>
  <c r="V126" i="11"/>
  <c r="AM127" i="11"/>
  <c r="V132" i="11"/>
  <c r="V140" i="5"/>
  <c r="AM135" i="5"/>
  <c r="AM119" i="5"/>
  <c r="V124" i="5"/>
  <c r="AM132" i="4"/>
  <c r="V137" i="4"/>
  <c r="AM126" i="4"/>
  <c r="V131" i="4"/>
  <c r="T30" i="22"/>
  <c r="X20" i="22" l="1"/>
  <c r="W22" i="22"/>
  <c r="Y19" i="22"/>
  <c r="X33" i="22"/>
  <c r="X21" i="22"/>
  <c r="Y27" i="22"/>
  <c r="X29" i="22"/>
  <c r="AM129" i="15"/>
  <c r="V134" i="15"/>
  <c r="AM130" i="15"/>
  <c r="V135" i="15"/>
  <c r="AM131" i="14"/>
  <c r="V136" i="14"/>
  <c r="AM132" i="14"/>
  <c r="V137" i="14"/>
  <c r="AM130" i="13"/>
  <c r="V135" i="13"/>
  <c r="AM119" i="13"/>
  <c r="V124" i="13"/>
  <c r="AM132" i="12"/>
  <c r="V137" i="12"/>
  <c r="V136" i="12"/>
  <c r="AM131" i="12"/>
  <c r="V135" i="10"/>
  <c r="AM135" i="10" s="1"/>
  <c r="V136" i="10"/>
  <c r="AM136" i="10" s="1"/>
  <c r="V137" i="11"/>
  <c r="AM132" i="11"/>
  <c r="V131" i="11"/>
  <c r="AM126" i="11"/>
  <c r="AM124" i="5"/>
  <c r="V129" i="5"/>
  <c r="AM140" i="5"/>
  <c r="V145" i="5"/>
  <c r="V136" i="4"/>
  <c r="AM131" i="4"/>
  <c r="V142" i="4"/>
  <c r="AM137" i="4"/>
  <c r="U30" i="22"/>
  <c r="Y21" i="22" l="1"/>
  <c r="Y20" i="22"/>
  <c r="X22" i="22"/>
  <c r="Z19" i="22"/>
  <c r="Y33" i="22"/>
  <c r="Z27" i="22"/>
  <c r="Y29" i="22"/>
  <c r="V139" i="15"/>
  <c r="AM134" i="15"/>
  <c r="AM135" i="15"/>
  <c r="V140" i="15"/>
  <c r="V141" i="14"/>
  <c r="AM136" i="14"/>
  <c r="AM137" i="14"/>
  <c r="V142" i="14"/>
  <c r="V129" i="13"/>
  <c r="AM124" i="13"/>
  <c r="V140" i="13"/>
  <c r="AM135" i="13"/>
  <c r="V141" i="12"/>
  <c r="AM136" i="12"/>
  <c r="AM137" i="12"/>
  <c r="V142" i="12"/>
  <c r="V141" i="10"/>
  <c r="AM141" i="10" s="1"/>
  <c r="V140" i="10"/>
  <c r="AM140" i="10" s="1"/>
  <c r="V136" i="11"/>
  <c r="AM131" i="11"/>
  <c r="V142" i="11"/>
  <c r="AM137" i="11"/>
  <c r="AM145" i="5"/>
  <c r="V150" i="5"/>
  <c r="V134" i="5"/>
  <c r="AM129" i="5"/>
  <c r="V147" i="4"/>
  <c r="AM142" i="4"/>
  <c r="AM136" i="4"/>
  <c r="V141" i="4"/>
  <c r="V30" i="22"/>
  <c r="AA19" i="22" l="1"/>
  <c r="Z33" i="22"/>
  <c r="Z20" i="22"/>
  <c r="Y22" i="22"/>
  <c r="Z21" i="22"/>
  <c r="AA27" i="22"/>
  <c r="D27" i="22" s="1" a="1"/>
  <c r="D27" i="22" s="1"/>
  <c r="Z29" i="22"/>
  <c r="V145" i="15"/>
  <c r="AM140" i="15"/>
  <c r="AM139" i="15"/>
  <c r="V144" i="15"/>
  <c r="AM142" i="14"/>
  <c r="V147" i="14"/>
  <c r="AM141" i="14"/>
  <c r="V146" i="14"/>
  <c r="AM140" i="13"/>
  <c r="V145" i="13"/>
  <c r="V134" i="13"/>
  <c r="AM129" i="13"/>
  <c r="AM142" i="12"/>
  <c r="V147" i="12"/>
  <c r="V146" i="12"/>
  <c r="AM141" i="12"/>
  <c r="V145" i="10"/>
  <c r="AM145" i="10" s="1"/>
  <c r="V146" i="10"/>
  <c r="AM146" i="10" s="1"/>
  <c r="V147" i="11"/>
  <c r="AM142" i="11"/>
  <c r="V141" i="11"/>
  <c r="AM136" i="11"/>
  <c r="AM134" i="5"/>
  <c r="V139" i="5"/>
  <c r="V155" i="5"/>
  <c r="AM150" i="5"/>
  <c r="V146" i="4"/>
  <c r="AM141" i="4"/>
  <c r="AM147" i="4"/>
  <c r="V152" i="4"/>
  <c r="W30" i="22"/>
  <c r="AA21" i="22" l="1"/>
  <c r="AA20" i="22"/>
  <c r="AA22" i="22" s="1"/>
  <c r="Z22" i="22"/>
  <c r="AB19" i="22"/>
  <c r="AA33" i="22"/>
  <c r="AB33" i="22" s="1"/>
  <c r="AA29" i="22"/>
  <c r="V149" i="15"/>
  <c r="AM144" i="15"/>
  <c r="V150" i="15"/>
  <c r="AM145" i="15"/>
  <c r="AM147" i="14"/>
  <c r="V152" i="14"/>
  <c r="V151" i="14"/>
  <c r="AM146" i="14"/>
  <c r="AM134" i="13"/>
  <c r="V139" i="13"/>
  <c r="V150" i="13"/>
  <c r="AM145" i="13"/>
  <c r="V151" i="12"/>
  <c r="AM146" i="12"/>
  <c r="V152" i="12"/>
  <c r="AM147" i="12"/>
  <c r="V151" i="10"/>
  <c r="AM151" i="10" s="1"/>
  <c r="V150" i="10"/>
  <c r="AM150" i="10" s="1"/>
  <c r="AM141" i="11"/>
  <c r="V146" i="11"/>
  <c r="V152" i="11"/>
  <c r="AM147" i="11"/>
  <c r="V160" i="5"/>
  <c r="AM155" i="5"/>
  <c r="AM139" i="5"/>
  <c r="V144" i="5"/>
  <c r="V157" i="4"/>
  <c r="AM152" i="4"/>
  <c r="AM146" i="4"/>
  <c r="V151" i="4"/>
  <c r="X30" i="22"/>
  <c r="AB35" i="22" l="1"/>
  <c r="AC33" i="22"/>
  <c r="AB34" i="22"/>
  <c r="AB20" i="22"/>
  <c r="AC19" i="22"/>
  <c r="AB21" i="22"/>
  <c r="V155" i="15"/>
  <c r="AM150" i="15"/>
  <c r="V154" i="15"/>
  <c r="AM149" i="15"/>
  <c r="AM151" i="14"/>
  <c r="V156" i="14"/>
  <c r="V157" i="14"/>
  <c r="AM152" i="14"/>
  <c r="AM150" i="13"/>
  <c r="V155" i="13"/>
  <c r="AM139" i="13"/>
  <c r="V144" i="13"/>
  <c r="V157" i="12"/>
  <c r="AM152" i="12"/>
  <c r="V156" i="12"/>
  <c r="AM151" i="12"/>
  <c r="V155" i="10"/>
  <c r="AM155" i="10" s="1"/>
  <c r="V156" i="10"/>
  <c r="AM156" i="10" s="1"/>
  <c r="V157" i="11"/>
  <c r="AM152" i="11"/>
  <c r="V151" i="11"/>
  <c r="AM146" i="11"/>
  <c r="AM144" i="5"/>
  <c r="V149" i="5"/>
  <c r="AM160" i="5"/>
  <c r="V165" i="5"/>
  <c r="V156" i="4"/>
  <c r="AM151" i="4"/>
  <c r="V162" i="4"/>
  <c r="AM157" i="4"/>
  <c r="Y30" i="22"/>
  <c r="AD19" i="22" l="1"/>
  <c r="AC21" i="22"/>
  <c r="AC20" i="22"/>
  <c r="AB23" i="22"/>
  <c r="AB22" i="22"/>
  <c r="AB37" i="22"/>
  <c r="AB36" i="22"/>
  <c r="AC35" i="22"/>
  <c r="AC34" i="22"/>
  <c r="AD33" i="22"/>
  <c r="V159" i="15"/>
  <c r="AM154" i="15"/>
  <c r="V160" i="15"/>
  <c r="AM155" i="15"/>
  <c r="AM156" i="14"/>
  <c r="V161" i="14"/>
  <c r="AM157" i="14"/>
  <c r="V162" i="14"/>
  <c r="V149" i="13"/>
  <c r="AM144" i="13"/>
  <c r="V160" i="13"/>
  <c r="AM155" i="13"/>
  <c r="AM156" i="12"/>
  <c r="V161" i="12"/>
  <c r="V162" i="12"/>
  <c r="AM157" i="12"/>
  <c r="V161" i="10"/>
  <c r="AM161" i="10" s="1"/>
  <c r="V160" i="10"/>
  <c r="AM160" i="10" s="1"/>
  <c r="V156" i="11"/>
  <c r="AM151" i="11"/>
  <c r="V162" i="11"/>
  <c r="AM157" i="11"/>
  <c r="AM149" i="5"/>
  <c r="V154" i="5"/>
  <c r="AM165" i="5"/>
  <c r="V170" i="5"/>
  <c r="AM162" i="4"/>
  <c r="V167" i="4"/>
  <c r="AM156" i="4"/>
  <c r="V161" i="4"/>
  <c r="Z30" i="22"/>
  <c r="E33" i="22"/>
  <c r="AD34" i="22" l="1"/>
  <c r="AD35" i="22"/>
  <c r="AE33" i="22"/>
  <c r="AC36" i="22"/>
  <c r="AC37" i="22"/>
  <c r="AD20" i="22"/>
  <c r="AC22" i="22"/>
  <c r="AC23" i="22"/>
  <c r="AE19" i="22"/>
  <c r="AD21" i="22"/>
  <c r="AA30" i="22"/>
  <c r="D30" i="22" s="1" a="1"/>
  <c r="D30" i="22" s="1"/>
  <c r="V165" i="15"/>
  <c r="AM160" i="15"/>
  <c r="AM159" i="15"/>
  <c r="V164" i="15"/>
  <c r="V167" i="14"/>
  <c r="AM162" i="14"/>
  <c r="AM161" i="14"/>
  <c r="V166" i="14"/>
  <c r="V165" i="13"/>
  <c r="AM160" i="13"/>
  <c r="V154" i="13"/>
  <c r="AM149" i="13"/>
  <c r="V166" i="12"/>
  <c r="AM161" i="12"/>
  <c r="AM162" i="12"/>
  <c r="V167" i="12"/>
  <c r="V165" i="10"/>
  <c r="AM165" i="10" s="1"/>
  <c r="V166" i="10"/>
  <c r="AM166" i="10" s="1"/>
  <c r="AM162" i="11"/>
  <c r="V167" i="11"/>
  <c r="V161" i="11"/>
  <c r="AM156" i="11"/>
  <c r="AM170" i="5"/>
  <c r="V175" i="5"/>
  <c r="AM175" i="5" s="1"/>
  <c r="V159" i="5"/>
  <c r="AM154" i="5"/>
  <c r="V166" i="4"/>
  <c r="AM161" i="4"/>
  <c r="AM167" i="4"/>
  <c r="V172" i="4"/>
  <c r="AF19" i="22" l="1"/>
  <c r="AE21" i="22"/>
  <c r="AE20" i="22"/>
  <c r="AD23" i="22"/>
  <c r="AD22" i="22"/>
  <c r="AE34" i="22"/>
  <c r="AE35" i="22"/>
  <c r="AF33" i="22"/>
  <c r="AD36" i="22"/>
  <c r="AD37" i="22"/>
  <c r="V169" i="15"/>
  <c r="AM164" i="15"/>
  <c r="V170" i="15"/>
  <c r="AM165" i="15"/>
  <c r="V171" i="14"/>
  <c r="AM166" i="14"/>
  <c r="V172" i="14"/>
  <c r="AM167" i="14"/>
  <c r="AM154" i="13"/>
  <c r="V159" i="13"/>
  <c r="V170" i="13"/>
  <c r="AM165" i="13"/>
  <c r="AM167" i="12"/>
  <c r="V172" i="12"/>
  <c r="V171" i="12"/>
  <c r="AM166" i="12"/>
  <c r="V170" i="10"/>
  <c r="AM170" i="10" s="1"/>
  <c r="V171" i="10"/>
  <c r="AM171" i="10" s="1"/>
  <c r="AM161" i="11"/>
  <c r="V166" i="11"/>
  <c r="V172" i="11"/>
  <c r="AM167" i="11"/>
  <c r="AM159" i="5"/>
  <c r="V164" i="5"/>
  <c r="V177" i="4"/>
  <c r="AM172" i="4"/>
  <c r="AM166" i="4"/>
  <c r="V171" i="4"/>
  <c r="AG33" i="22" l="1"/>
  <c r="AF35" i="22"/>
  <c r="AF34" i="22"/>
  <c r="AE36" i="22"/>
  <c r="AE37" i="22"/>
  <c r="AF20" i="22"/>
  <c r="AE23" i="22"/>
  <c r="AE22" i="22"/>
  <c r="AG19" i="22"/>
  <c r="AF21" i="22"/>
  <c r="AM170" i="15"/>
  <c r="V175" i="15"/>
  <c r="AM175" i="15" s="1"/>
  <c r="AM169" i="15"/>
  <c r="V174" i="15"/>
  <c r="AM174" i="15" s="1"/>
  <c r="AM172" i="14"/>
  <c r="V177" i="14"/>
  <c r="V176" i="14"/>
  <c r="AM171" i="14"/>
  <c r="AM170" i="13"/>
  <c r="V175" i="13"/>
  <c r="AM175" i="13" s="1"/>
  <c r="V164" i="13"/>
  <c r="AM159" i="13"/>
  <c r="V176" i="12"/>
  <c r="AM171" i="12"/>
  <c r="AM172" i="12"/>
  <c r="V177" i="12"/>
  <c r="V176" i="10"/>
  <c r="AM176" i="10" s="1"/>
  <c r="V175" i="10"/>
  <c r="AM175" i="10" s="1"/>
  <c r="AM172" i="11"/>
  <c r="V177" i="11"/>
  <c r="V171" i="11"/>
  <c r="AM166" i="11"/>
  <c r="V169" i="5"/>
  <c r="AM164" i="5"/>
  <c r="V176" i="4"/>
  <c r="AM171" i="4"/>
  <c r="AM177" i="4"/>
  <c r="V182" i="4"/>
  <c r="AM182" i="4" s="1"/>
  <c r="AG20" i="22" l="1"/>
  <c r="AF23" i="22"/>
  <c r="AF22" i="22"/>
  <c r="AH19" i="22"/>
  <c r="AG21" i="22"/>
  <c r="AF37" i="22"/>
  <c r="AF36" i="22"/>
  <c r="AG34" i="22"/>
  <c r="AG35" i="22"/>
  <c r="AH33" i="22"/>
  <c r="AM177" i="14"/>
  <c r="V182" i="14"/>
  <c r="AM182" i="14" s="1"/>
  <c r="AM176" i="14"/>
  <c r="V181" i="14"/>
  <c r="AM181" i="14" s="1"/>
  <c r="V169" i="13"/>
  <c r="AM164" i="13"/>
  <c r="AM177" i="12"/>
  <c r="V182" i="12"/>
  <c r="AM182" i="12" s="1"/>
  <c r="AM176" i="12"/>
  <c r="V181" i="12"/>
  <c r="AM181" i="12" s="1"/>
  <c r="V176" i="11"/>
  <c r="AM171" i="11"/>
  <c r="V182" i="11"/>
  <c r="AM182" i="11" s="1"/>
  <c r="AM177" i="11"/>
  <c r="V174" i="5"/>
  <c r="AM174" i="5" s="1"/>
  <c r="AM169" i="5"/>
  <c r="AM176" i="4"/>
  <c r="V181" i="4"/>
  <c r="AM181" i="4" s="1"/>
  <c r="AH34" i="22" l="1"/>
  <c r="AI33" i="22"/>
  <c r="AH35" i="22"/>
  <c r="AG37" i="22"/>
  <c r="AG36" i="22"/>
  <c r="AI19" i="22"/>
  <c r="AH21" i="22"/>
  <c r="AH20" i="22"/>
  <c r="AG23" i="22"/>
  <c r="AG22" i="22"/>
  <c r="V174" i="13"/>
  <c r="AM174" i="13" s="1"/>
  <c r="AM169" i="13"/>
  <c r="V181" i="11"/>
  <c r="AM181" i="11" s="1"/>
  <c r="AM176" i="11"/>
  <c r="AJ19" i="22" l="1"/>
  <c r="AJ21" i="22" s="1"/>
  <c r="AI21" i="22"/>
  <c r="AI20" i="22"/>
  <c r="AH23" i="22"/>
  <c r="AH22" i="22"/>
  <c r="AI35" i="22"/>
  <c r="AJ33" i="22"/>
  <c r="AI34" i="22"/>
  <c r="AH37" i="22"/>
  <c r="AH36" i="22"/>
  <c r="E34" i="22"/>
  <c r="E22" i="22"/>
  <c r="E23" i="22" s="1"/>
  <c r="F23" i="22" l="1"/>
  <c r="G23" i="22" s="1"/>
  <c r="H23" i="22" s="1"/>
  <c r="I23" i="22" s="1"/>
  <c r="J23" i="22" s="1"/>
  <c r="K23" i="22" s="1"/>
  <c r="L23" i="22" s="1"/>
  <c r="M23" i="22" s="1"/>
  <c r="N23" i="22" s="1"/>
  <c r="O23" i="22" s="1"/>
  <c r="P23" i="22" s="1"/>
  <c r="Q23" i="22" s="1"/>
  <c r="R23" i="22" s="1"/>
  <c r="S23" i="22" s="1"/>
  <c r="T23" i="22" s="1"/>
  <c r="U23" i="22" s="1"/>
  <c r="V23" i="22" s="1"/>
  <c r="W23" i="22" s="1"/>
  <c r="X23" i="22" s="1"/>
  <c r="Y23" i="22" s="1"/>
  <c r="Z23" i="22" s="1"/>
  <c r="AA23" i="22" s="1"/>
  <c r="AI37" i="22"/>
  <c r="AI36" i="22"/>
  <c r="AJ34" i="22"/>
  <c r="AJ35" i="22"/>
  <c r="AJ20" i="22"/>
  <c r="AI22" i="22"/>
  <c r="AI23" i="22"/>
  <c r="F34" i="22"/>
  <c r="E36" i="22"/>
  <c r="E37" i="22" s="1"/>
  <c r="AJ23" i="22" l="1"/>
  <c r="AJ22" i="22"/>
  <c r="D20" i="22" a="1"/>
  <c r="D20" i="22" s="1"/>
  <c r="AJ37" i="22"/>
  <c r="AJ36" i="22"/>
  <c r="D23" i="22" a="1"/>
  <c r="D23" i="22" s="1"/>
  <c r="G34" i="22"/>
  <c r="F36" i="22"/>
  <c r="F37" i="22" s="1"/>
  <c r="H34" i="22" l="1"/>
  <c r="G36" i="22"/>
  <c r="G37" i="22" s="1"/>
  <c r="I34" i="22" l="1"/>
  <c r="H36" i="22"/>
  <c r="H37" i="22" s="1"/>
  <c r="I36" i="22" l="1"/>
  <c r="I37" i="22" s="1"/>
  <c r="J34" i="22"/>
  <c r="K34" i="22" l="1"/>
  <c r="J36" i="22"/>
  <c r="J37" i="22" s="1"/>
  <c r="L34" i="22" l="1"/>
  <c r="K36" i="22"/>
  <c r="K37" i="22" s="1"/>
  <c r="M34" i="22" l="1"/>
  <c r="L36" i="22"/>
  <c r="L37" i="22" s="1"/>
  <c r="N34" i="22" l="1"/>
  <c r="M36" i="22"/>
  <c r="M37" i="22" s="1"/>
  <c r="N36" i="22" l="1"/>
  <c r="N37" i="22" s="1"/>
  <c r="O34" i="22"/>
  <c r="O36" i="22" l="1"/>
  <c r="O37" i="22" s="1"/>
  <c r="P34" i="22"/>
  <c r="P36" i="22" l="1"/>
  <c r="P37" i="22" s="1"/>
  <c r="Q34" i="22"/>
  <c r="R34" i="22" l="1"/>
  <c r="Q36" i="22"/>
  <c r="Q37" i="22" s="1"/>
  <c r="R36" i="22" l="1"/>
  <c r="R37" i="22" s="1"/>
  <c r="S34" i="22"/>
  <c r="T34" i="22" l="1"/>
  <c r="S36" i="22"/>
  <c r="S37" i="22" s="1"/>
  <c r="T36" i="22" l="1"/>
  <c r="T37" i="22" s="1"/>
  <c r="U34" i="22"/>
  <c r="U36" i="22" l="1"/>
  <c r="U37" i="22" s="1"/>
  <c r="V34" i="22"/>
  <c r="W34" i="22" l="1"/>
  <c r="V36" i="22"/>
  <c r="V37" i="22" s="1"/>
  <c r="X34" i="22" l="1"/>
  <c r="W36" i="22"/>
  <c r="W37" i="22" s="1"/>
  <c r="X36" i="22" l="1"/>
  <c r="X37" i="22" s="1"/>
  <c r="Y34" i="22"/>
  <c r="Y36" i="22" l="1"/>
  <c r="Y37" i="22" s="1"/>
  <c r="Z34" i="22"/>
  <c r="AA34" i="22" l="1"/>
  <c r="D34" i="22" s="1" a="1"/>
  <c r="D34" i="22" s="1"/>
  <c r="J14" i="22" s="1"/>
  <c r="Z36" i="22"/>
  <c r="Z37" i="22" s="1"/>
  <c r="AA36" i="22" l="1"/>
  <c r="AA37" i="22" s="1"/>
  <c r="D37" i="22" s="1" a="1"/>
  <c r="D37" i="22" s="1"/>
  <c r="J15"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stanley root</author>
  </authors>
  <commentList>
    <comment ref="V5" authorId="0" shapeId="0" xr:uid="{168D1771-AD49-444E-99D0-F9D0D63CF709}">
      <text>
        <r>
          <rPr>
            <b/>
            <sz val="9"/>
            <color indexed="81"/>
            <rFont val="Tahoma"/>
            <family val="2"/>
          </rPr>
          <t>stanley root:</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<sst xmlns="http://schemas.openxmlformats.org/spreadsheetml/2006/main" count="7219" uniqueCount="1205">
  <si>
    <t>Homes for Ukraine Sponsorship Scheme</t>
  </si>
  <si>
    <t>Source: Operational data, Home Office (HO) and Department for Levelling Up, Housing and Communities (DLUHC)</t>
  </si>
  <si>
    <t>Data as at: end of 10th May 2022</t>
  </si>
  <si>
    <t>Upper tier local authority name</t>
  </si>
  <si>
    <t>ONS code</t>
  </si>
  <si>
    <t>Total</t>
  </si>
  <si>
    <t>ENGLAND - visas issued, sponsored by individuals, by upper tier local authority of the sponsor's property</t>
  </si>
  <si>
    <t>Barking and Dagenham</t>
  </si>
  <si>
    <t>E09000002</t>
  </si>
  <si>
    <t>Barnet</t>
  </si>
  <si>
    <t>E09000003</t>
  </si>
  <si>
    <t>Barnsley</t>
  </si>
  <si>
    <t>E08000016</t>
  </si>
  <si>
    <t>Bath and North East Somerset</t>
  </si>
  <si>
    <t>E06000022</t>
  </si>
  <si>
    <t>Bedford</t>
  </si>
  <si>
    <t>E06000055</t>
  </si>
  <si>
    <t>Bexley</t>
  </si>
  <si>
    <t>E09000004</t>
  </si>
  <si>
    <t>Birmingham</t>
  </si>
  <si>
    <t>E08000025</t>
  </si>
  <si>
    <t>Blackburn with Darwen</t>
  </si>
  <si>
    <t>E06000008</t>
  </si>
  <si>
    <t>Blackpool</t>
  </si>
  <si>
    <t>E06000009</t>
  </si>
  <si>
    <t>Bolton</t>
  </si>
  <si>
    <t>E08000001</t>
  </si>
  <si>
    <t>Bournemouth, Christchurch and Poole</t>
  </si>
  <si>
    <t>E06000058</t>
  </si>
  <si>
    <t>Bracknell Forest</t>
  </si>
  <si>
    <t>E06000036</t>
  </si>
  <si>
    <t>Bradford</t>
  </si>
  <si>
    <t>E08000032</t>
  </si>
  <si>
    <t>Brent</t>
  </si>
  <si>
    <t>E09000005</t>
  </si>
  <si>
    <t>Brighton and Hove</t>
  </si>
  <si>
    <t>E06000043</t>
  </si>
  <si>
    <t>Bristol, City of</t>
  </si>
  <si>
    <t>E06000023</t>
  </si>
  <si>
    <t>Bromley</t>
  </si>
  <si>
    <t>E09000006</t>
  </si>
  <si>
    <t>Buckinghamshire</t>
  </si>
  <si>
    <t>E06000060</t>
  </si>
  <si>
    <t>Bury</t>
  </si>
  <si>
    <t>E08000002</t>
  </si>
  <si>
    <t>Calderdale</t>
  </si>
  <si>
    <t>E08000033</t>
  </si>
  <si>
    <t>Cambridgeshire</t>
  </si>
  <si>
    <t>E10000003</t>
  </si>
  <si>
    <t>Camden</t>
  </si>
  <si>
    <t>E09000007</t>
  </si>
  <si>
    <t>Central Bedfordshire</t>
  </si>
  <si>
    <t>E06000056</t>
  </si>
  <si>
    <t>Cheshire East</t>
  </si>
  <si>
    <t>E06000049</t>
  </si>
  <si>
    <t>Cheshire West and Chester</t>
  </si>
  <si>
    <t>E06000050</t>
  </si>
  <si>
    <t>City of London</t>
  </si>
  <si>
    <t>E09000001</t>
  </si>
  <si>
    <t>Cornwall</t>
  </si>
  <si>
    <t>E06000052</t>
  </si>
  <si>
    <t>County Durham</t>
  </si>
  <si>
    <t>E06000047</t>
  </si>
  <si>
    <t>Coventry</t>
  </si>
  <si>
    <t>E08000026</t>
  </si>
  <si>
    <t>Croydon</t>
  </si>
  <si>
    <t>E09000008</t>
  </si>
  <si>
    <t>Cumbria</t>
  </si>
  <si>
    <t>E10000006</t>
  </si>
  <si>
    <t>Darlington</t>
  </si>
  <si>
    <t>E06000005</t>
  </si>
  <si>
    <t>Derby</t>
  </si>
  <si>
    <t>E06000015</t>
  </si>
  <si>
    <t>Derbyshire</t>
  </si>
  <si>
    <t>E10000007</t>
  </si>
  <si>
    <t>Devon</t>
  </si>
  <si>
    <t>E10000008</t>
  </si>
  <si>
    <t>Doncaster</t>
  </si>
  <si>
    <t>E08000017</t>
  </si>
  <si>
    <t>Dorset</t>
  </si>
  <si>
    <t>E06000059</t>
  </si>
  <si>
    <t>Dudley</t>
  </si>
  <si>
    <t>E08000027</t>
  </si>
  <si>
    <t>Ealing</t>
  </si>
  <si>
    <t>E09000009</t>
  </si>
  <si>
    <t>East Riding of Yorkshire</t>
  </si>
  <si>
    <t>E06000011</t>
  </si>
  <si>
    <t>East Sussex</t>
  </si>
  <si>
    <t>E10000011</t>
  </si>
  <si>
    <t>Enfield</t>
  </si>
  <si>
    <t>E09000010</t>
  </si>
  <si>
    <t>Essex</t>
  </si>
  <si>
    <t>E10000012</t>
  </si>
  <si>
    <t>Gateshead</t>
  </si>
  <si>
    <t>E08000037</t>
  </si>
  <si>
    <t>Gloucestershire</t>
  </si>
  <si>
    <t>E10000013</t>
  </si>
  <si>
    <t>Greenwich</t>
  </si>
  <si>
    <t>E09000011</t>
  </si>
  <si>
    <t>Hackney</t>
  </si>
  <si>
    <t>E09000012</t>
  </si>
  <si>
    <t>Halton</t>
  </si>
  <si>
    <t>E06000006</t>
  </si>
  <si>
    <t>Hammersmith and Fulham</t>
  </si>
  <si>
    <t>E09000013</t>
  </si>
  <si>
    <t>Hampshire</t>
  </si>
  <si>
    <t>E10000014</t>
  </si>
  <si>
    <t>Haringey</t>
  </si>
  <si>
    <t>E09000014</t>
  </si>
  <si>
    <t>Harrow</t>
  </si>
  <si>
    <t>E09000015</t>
  </si>
  <si>
    <t>Hartlepool</t>
  </si>
  <si>
    <t>E06000001</t>
  </si>
  <si>
    <t>Havering</t>
  </si>
  <si>
    <t>E09000016</t>
  </si>
  <si>
    <t>Herefordshire, County of</t>
  </si>
  <si>
    <t>E06000019</t>
  </si>
  <si>
    <t>Hertfordshire</t>
  </si>
  <si>
    <t>E10000015</t>
  </si>
  <si>
    <t>Hillingdon</t>
  </si>
  <si>
    <t>E09000017</t>
  </si>
  <si>
    <t>Hounslow</t>
  </si>
  <si>
    <t>E09000018</t>
  </si>
  <si>
    <t>Isle of Wight</t>
  </si>
  <si>
    <t>E06000046</t>
  </si>
  <si>
    <t>Isles of Scilly</t>
  </si>
  <si>
    <t>E06000053</t>
  </si>
  <si>
    <t>Islington</t>
  </si>
  <si>
    <t>E09000019</t>
  </si>
  <si>
    <t>Kensington and Chelsea</t>
  </si>
  <si>
    <t>E09000020</t>
  </si>
  <si>
    <t>Kent</t>
  </si>
  <si>
    <t>E10000016</t>
  </si>
  <si>
    <t>Kingston upon Hull, City of</t>
  </si>
  <si>
    <t>E06000010</t>
  </si>
  <si>
    <t>Kingston upon Thames</t>
  </si>
  <si>
    <t>E09000021</t>
  </si>
  <si>
    <t>Kirklees</t>
  </si>
  <si>
    <t>E08000034</t>
  </si>
  <si>
    <t>Knowsley</t>
  </si>
  <si>
    <t>E08000011</t>
  </si>
  <si>
    <t>Lambeth</t>
  </si>
  <si>
    <t>E09000022</t>
  </si>
  <si>
    <t>Lancashire</t>
  </si>
  <si>
    <t>E10000017</t>
  </si>
  <si>
    <t>Leeds</t>
  </si>
  <si>
    <t>E08000035</t>
  </si>
  <si>
    <t>Leicester</t>
  </si>
  <si>
    <t>E06000016</t>
  </si>
  <si>
    <t>Leicestershire</t>
  </si>
  <si>
    <t>E10000018</t>
  </si>
  <si>
    <t>Lewisham</t>
  </si>
  <si>
    <t>E09000023</t>
  </si>
  <si>
    <t>Lincolnshire</t>
  </si>
  <si>
    <t>E10000019</t>
  </si>
  <si>
    <t>Liverpool</t>
  </si>
  <si>
    <t>E08000012</t>
  </si>
  <si>
    <t>Luton</t>
  </si>
  <si>
    <t>E06000032</t>
  </si>
  <si>
    <t>Manchester</t>
  </si>
  <si>
    <t>E08000003</t>
  </si>
  <si>
    <t>Medway</t>
  </si>
  <si>
    <t>E06000035</t>
  </si>
  <si>
    <t>Merton</t>
  </si>
  <si>
    <t>E09000024</t>
  </si>
  <si>
    <t>Middlesbrough</t>
  </si>
  <si>
    <t>E06000002</t>
  </si>
  <si>
    <t>Milton Keynes</t>
  </si>
  <si>
    <t>E06000042</t>
  </si>
  <si>
    <t>Newcastle upon Tyne</t>
  </si>
  <si>
    <t>E08000021</t>
  </si>
  <si>
    <t>Newham</t>
  </si>
  <si>
    <t>E09000025</t>
  </si>
  <si>
    <t>Norfolk</t>
  </si>
  <si>
    <t>E10000020</t>
  </si>
  <si>
    <t>North East Lincolnshire</t>
  </si>
  <si>
    <t>E06000012</t>
  </si>
  <si>
    <t>North Lincolnshire</t>
  </si>
  <si>
    <t>E06000013</t>
  </si>
  <si>
    <t>North Northamptonshire</t>
  </si>
  <si>
    <t>E06000061</t>
  </si>
  <si>
    <t>North Somerset</t>
  </si>
  <si>
    <t>E06000024</t>
  </si>
  <si>
    <t>North Tyneside</t>
  </si>
  <si>
    <t>E08000022</t>
  </si>
  <si>
    <t>North Yorkshire</t>
  </si>
  <si>
    <t>E10000023</t>
  </si>
  <si>
    <t>Northumberland</t>
  </si>
  <si>
    <t>E06000057</t>
  </si>
  <si>
    <t>Nottingham</t>
  </si>
  <si>
    <t>E06000018</t>
  </si>
  <si>
    <t>Nottinghamshire</t>
  </si>
  <si>
    <t>E10000024</t>
  </si>
  <si>
    <t>Oldham</t>
  </si>
  <si>
    <t>E08000004</t>
  </si>
  <si>
    <t>Oxfordshire</t>
  </si>
  <si>
    <t>E10000025</t>
  </si>
  <si>
    <t>Peterborough</t>
  </si>
  <si>
    <t>E06000031</t>
  </si>
  <si>
    <t>Plymouth</t>
  </si>
  <si>
    <t>E06000026</t>
  </si>
  <si>
    <t>Portsmouth</t>
  </si>
  <si>
    <t>E06000044</t>
  </si>
  <si>
    <t>Reading</t>
  </si>
  <si>
    <t>E06000038</t>
  </si>
  <si>
    <t>Redbridge</t>
  </si>
  <si>
    <t>E09000026</t>
  </si>
  <si>
    <t>Redcar and Cleveland</t>
  </si>
  <si>
    <t>E06000003</t>
  </si>
  <si>
    <t>Richmond upon Thames</t>
  </si>
  <si>
    <t>E09000027</t>
  </si>
  <si>
    <t>Rochdale</t>
  </si>
  <si>
    <t>E08000005</t>
  </si>
  <si>
    <t>Rotherham</t>
  </si>
  <si>
    <t>E08000018</t>
  </si>
  <si>
    <t>Rutland</t>
  </si>
  <si>
    <t>E06000017</t>
  </si>
  <si>
    <t>Salford</t>
  </si>
  <si>
    <t>E08000006</t>
  </si>
  <si>
    <t>Sandwell</t>
  </si>
  <si>
    <t>E08000028</t>
  </si>
  <si>
    <t>Sefton</t>
  </si>
  <si>
    <t>E08000014</t>
  </si>
  <si>
    <t>Sheffield</t>
  </si>
  <si>
    <t>E08000019</t>
  </si>
  <si>
    <t>Shropshire</t>
  </si>
  <si>
    <t>E06000051</t>
  </si>
  <si>
    <t>Slough</t>
  </si>
  <si>
    <t>E06000039</t>
  </si>
  <si>
    <t>Solihull</t>
  </si>
  <si>
    <t>E08000029</t>
  </si>
  <si>
    <t>Somerset</t>
  </si>
  <si>
    <t>E10000027</t>
  </si>
  <si>
    <t>South Gloucestershire</t>
  </si>
  <si>
    <t>E06000025</t>
  </si>
  <si>
    <t>South Tyneside</t>
  </si>
  <si>
    <t>E08000023</t>
  </si>
  <si>
    <t>Southampton</t>
  </si>
  <si>
    <t>E06000045</t>
  </si>
  <si>
    <t>Southend-on-Sea</t>
  </si>
  <si>
    <t>E06000033</t>
  </si>
  <si>
    <t>Southwark</t>
  </si>
  <si>
    <t>E09000028</t>
  </si>
  <si>
    <t>St. Helens</t>
  </si>
  <si>
    <t>E08000013</t>
  </si>
  <si>
    <t>Staffordshire</t>
  </si>
  <si>
    <t>E10000028</t>
  </si>
  <si>
    <t>Stockport</t>
  </si>
  <si>
    <t>E08000007</t>
  </si>
  <si>
    <t>Stockton-on-Tees</t>
  </si>
  <si>
    <t>E06000004</t>
  </si>
  <si>
    <t>Stoke-on-Trent</t>
  </si>
  <si>
    <t>E06000021</t>
  </si>
  <si>
    <t>Suffolk</t>
  </si>
  <si>
    <t>E10000029</t>
  </si>
  <si>
    <t>Sunderland</t>
  </si>
  <si>
    <t>E08000024</t>
  </si>
  <si>
    <t>Surrey</t>
  </si>
  <si>
    <t>E10000030</t>
  </si>
  <si>
    <t>Sutton</t>
  </si>
  <si>
    <t>E09000029</t>
  </si>
  <si>
    <t>Swindon</t>
  </si>
  <si>
    <t>E06000030</t>
  </si>
  <si>
    <t>Tameside</t>
  </si>
  <si>
    <t>E08000008</t>
  </si>
  <si>
    <t>Telford and Wrekin</t>
  </si>
  <si>
    <t>E06000020</t>
  </si>
  <si>
    <t>Thurrock</t>
  </si>
  <si>
    <t>E06000034</t>
  </si>
  <si>
    <t>Torbay</t>
  </si>
  <si>
    <t>E06000027</t>
  </si>
  <si>
    <t>Tower Hamlets</t>
  </si>
  <si>
    <t>E09000030</t>
  </si>
  <si>
    <t>Trafford</t>
  </si>
  <si>
    <t>E08000009</t>
  </si>
  <si>
    <t>Wakefield</t>
  </si>
  <si>
    <t>E08000036</t>
  </si>
  <si>
    <t>Walsall</t>
  </si>
  <si>
    <t>E08000030</t>
  </si>
  <si>
    <t>Waltham Forest</t>
  </si>
  <si>
    <t>E09000031</t>
  </si>
  <si>
    <t>Wandsworth</t>
  </si>
  <si>
    <t>E09000032</t>
  </si>
  <si>
    <t>Warrington</t>
  </si>
  <si>
    <t>E06000007</t>
  </si>
  <si>
    <t>Warwickshire</t>
  </si>
  <si>
    <t>E10000031</t>
  </si>
  <si>
    <t>West Berkshire</t>
  </si>
  <si>
    <t>E06000037</t>
  </si>
  <si>
    <t>West Northamptonshire</t>
  </si>
  <si>
    <t>E06000062</t>
  </si>
  <si>
    <t>West Sussex</t>
  </si>
  <si>
    <t>E10000032</t>
  </si>
  <si>
    <t>Westminster</t>
  </si>
  <si>
    <t>E09000033</t>
  </si>
  <si>
    <t>Wigan</t>
  </si>
  <si>
    <t>E08000010</t>
  </si>
  <si>
    <t>Wiltshire</t>
  </si>
  <si>
    <t>E06000054</t>
  </si>
  <si>
    <t>Windsor and Maidenhead</t>
  </si>
  <si>
    <t>E06000040</t>
  </si>
  <si>
    <t>Wirral</t>
  </si>
  <si>
    <t>E08000015</t>
  </si>
  <si>
    <t>Wokingham</t>
  </si>
  <si>
    <t>E06000041</t>
  </si>
  <si>
    <t>Wolverhampton</t>
  </si>
  <si>
    <t>E08000031</t>
  </si>
  <si>
    <t>Worcestershire</t>
  </si>
  <si>
    <t>E10000034</t>
  </si>
  <si>
    <t>York</t>
  </si>
  <si>
    <t>E06000014</t>
  </si>
  <si>
    <t>H</t>
  </si>
  <si>
    <t>A</t>
  </si>
  <si>
    <t>B</t>
  </si>
  <si>
    <t>C</t>
  </si>
  <si>
    <t>Sub GetEnglandCouncils()</t>
  </si>
  <si>
    <t xml:space="preserve">    Workbooks.Open "A:\Homes for Ukraine data\Ukraine_sponsorship_data_1.ods"</t>
  </si>
  <si>
    <t xml:space="preserve">    Workbooks("Ukraine_sponsorship_data_1.ods").Worksheets("UTLA_-_England").Range("a1:b165").Copy _</t>
  </si>
  <si>
    <t xml:space="preserve">     Workbooks("Ukraine_sponsorship_data_1.ods").Worksheets("UTLA_-_England").Range("c11:c165").Copy _</t>
  </si>
  <si>
    <t>Original files</t>
  </si>
  <si>
    <t>Split</t>
  </si>
  <si>
    <t xml:space="preserve"> Workbooks.Open "A:\Homes for Ukraine data\Ukraine_sponsorship_data_</t>
  </si>
  <si>
    <t>.ods"</t>
  </si>
  <si>
    <t xml:space="preserve"> Workbooks("Ukraine_sponsorship_data_</t>
  </si>
  <si>
    <t>")</t>
  </si>
  <si>
    <t>").Copy _</t>
  </si>
  <si>
    <t>.ods").Worksheets("UTLA_-_England").Range("</t>
  </si>
  <si>
    <t>:</t>
  </si>
  <si>
    <t>Concatenate</t>
  </si>
  <si>
    <t>Note</t>
  </si>
  <si>
    <t>In order to generate the necessary VBA code to extract data automatically from 22 separate workbooks, the file references have to be changed. In particular a) the name of the worksheet 1 -22, b) the range from which to extract the date c) the name of the range to which the data should be extracted. d) an additional wrinkle is that column references are in letters which increment alphabetically (obviously) not numerically, and where Z goes to AA. Part of the solution is to use "=CHAR(CODE(W12)+1)"</t>
  </si>
  <si>
    <t>File no</t>
  </si>
  <si>
    <t>From reference</t>
  </si>
  <si>
    <t>To reference</t>
  </si>
  <si>
    <t xml:space="preserve"> Workbooks.Open "A:\Homes for Ukraine data\Ukraine_sponsorship_data_1.ods"</t>
  </si>
  <si>
    <t xml:space="preserve"> Workbooks.Open "A:\Homes for Ukraine data\Ukraine_sponsorship_data_2.ods"</t>
  </si>
  <si>
    <t xml:space="preserve"> Workbooks.Open "A:\Homes for Ukraine data\Ukraine_sponsorship_data_3.ods"</t>
  </si>
  <si>
    <t xml:space="preserve"> Workbooks("Ukraine_sponsorship_data_1.ods").Worksheets("UTLA_-_England").Range("A1:B3").Copy _</t>
  </si>
  <si>
    <t xml:space="preserve"> Workbooks("Ukraine_sponsorship_data_1.ods").Worksheets("UTLA_-_England").Range("A6:B165").Copy _</t>
  </si>
  <si>
    <t>ActiveWorkbook.Close SaveChanges:=False</t>
  </si>
  <si>
    <t xml:space="preserve"> Workbooks.Open "A:\Homes for Ukraine data\Ukraine_sponsorship_data_4.ods"</t>
  </si>
  <si>
    <t xml:space="preserve"> Workbooks.Open "A:\Homes for Ukraine data\Ukraine_sponsorship_data_5.ods"</t>
  </si>
  <si>
    <t xml:space="preserve"> Workbooks.Open "A:\Homes for Ukraine data\Ukraine_sponsorship_data_6.ods"</t>
  </si>
  <si>
    <t xml:space="preserve"> Workbooks.Open "A:\Homes for Ukraine data\Ukraine_sponsorship_data_7.ods"</t>
  </si>
  <si>
    <t xml:space="preserve"> Workbooks.Open "A:\Homes for Ukraine data\Ukraine_sponsorship_data_8.ods"</t>
  </si>
  <si>
    <t xml:space="preserve"> Workbooks.Open "A:\Homes for Ukraine data\Ukraine_sponsorship_data_9.ods"</t>
  </si>
  <si>
    <t xml:space="preserve"> Workbooks.Open "A:\Homes for Ukraine data\Ukraine_sponsorship_data_10.ods"</t>
  </si>
  <si>
    <t xml:space="preserve"> Workbooks.Open "A:\Homes for Ukraine data\Ukraine_sponsorship_data_11.ods"</t>
  </si>
  <si>
    <t xml:space="preserve"> Workbooks.Open "A:\Homes for Ukraine data\Ukraine_sponsorship_data_12.ods"</t>
  </si>
  <si>
    <t xml:space="preserve"> Workbooks.Open "A:\Homes for Ukraine data\Ukraine_sponsorship_data_13.ods"</t>
  </si>
  <si>
    <t xml:space="preserve"> Workbooks.Open "A:\Homes for Ukraine data\Ukraine_sponsorship_data_14.ods"</t>
  </si>
  <si>
    <t xml:space="preserve"> Workbooks.Open "A:\Homes for Ukraine data\Ukraine_sponsorship_data_15.ods"</t>
  </si>
  <si>
    <t xml:space="preserve"> Workbooks.Open "A:\Homes for Ukraine data\Ukraine_sponsorship_data_16.ods"</t>
  </si>
  <si>
    <t xml:space="preserve"> Workbooks.Open "A:\Homes for Ukraine data\Ukraine_sponsorship_data_17.ods"</t>
  </si>
  <si>
    <t xml:space="preserve"> Workbooks.Open "A:\Homes for Ukraine data\Ukraine_sponsorship_data_18.ods"</t>
  </si>
  <si>
    <t xml:space="preserve"> Workbooks.Open "A:\Homes for Ukraine data\Ukraine_sponsorship_data_19.ods"</t>
  </si>
  <si>
    <t xml:space="preserve"> Workbooks.Open "A:\Homes for Ukraine data\Ukraine_sponsorship_data_20.ods"</t>
  </si>
  <si>
    <t xml:space="preserve"> Workbooks.Open "A:\Homes for Ukraine data\Ukraine_sponsorship_data_21.ods"</t>
  </si>
  <si>
    <t xml:space="preserve"> Workbooks.Open "A:\Homes for Ukraine data\Ukraine_sponsorship_data_22.ods"</t>
  </si>
  <si>
    <t xml:space="preserve"> Workbooks("Ukraine_sponsorship_data_2.ods").Worksheets("UTLA_-_England").Range("D11:D165").Copy _</t>
  </si>
  <si>
    <t xml:space="preserve"> Workbooks("Ukraine_sponsorship_data_3.ods").Worksheets("UTLA_-_England").Range("D11:D165").Copy _</t>
  </si>
  <si>
    <t xml:space="preserve"> Workbooks("Ukraine_sponsorship_data_4.ods").Worksheets("UTLA_-_England").Range("D11:D165").Copy _</t>
  </si>
  <si>
    <t xml:space="preserve"> Workbooks("Ukraine_sponsorship_data_5.ods").Worksheets("UTLA_-_England").Range("D11:D165").Copy _</t>
  </si>
  <si>
    <t xml:space="preserve"> Workbooks("Ukraine_sponsorship_data_6.ods").Worksheets("UTLA_-_England").Range("D11:D165").Copy _</t>
  </si>
  <si>
    <t xml:space="preserve"> Workbooks("Ukraine_sponsorship_data_7.ods").Worksheets("UTLA_-_England").Range("D11:D165").Copy _</t>
  </si>
  <si>
    <t xml:space="preserve"> Workbooks("Ukraine_sponsorship_data_8.ods").Worksheets("UTLA_-_England").Range("D11:D165").Copy _</t>
  </si>
  <si>
    <t xml:space="preserve"> Workbooks("Ukraine_sponsorship_data_9.ods").Worksheets("UTLA_-_England").Range("D11:D165").Copy _</t>
  </si>
  <si>
    <t xml:space="preserve"> Workbooks("Ukraine_sponsorship_data_10.ods").Worksheets("UTLA_-_England").Range("D11:D165").Copy _</t>
  </si>
  <si>
    <t xml:space="preserve"> Workbooks("Ukraine_sponsorship_data_11.ods").Worksheets("UTLA_-_England").Range("D11:D165").Copy _</t>
  </si>
  <si>
    <t xml:space="preserve"> Workbooks("Ukraine_sponsorship_data_12.ods").Worksheets("UTLA_-_England").Range("D11:D165").Copy _</t>
  </si>
  <si>
    <t xml:space="preserve"> Workbooks("Ukraine_sponsorship_data_13.ods").Worksheets("UTLA_-_England").Range("D11:D165").Copy _</t>
  </si>
  <si>
    <t xml:space="preserve"> Workbooks("Ukraine_sponsorship_data_14.ods").Worksheets("UTLA_-_England").Range("D11:D165").Copy _</t>
  </si>
  <si>
    <t xml:space="preserve"> Workbooks("Ukraine_sponsorship_data_15.ods").Worksheets("UTLA_-_England").Range("D11:D165").Copy _</t>
  </si>
  <si>
    <t xml:space="preserve"> Workbooks("Ukraine_sponsorship_data_16.ods").Worksheets("UTLA_-_England").Range("D11:D165").Copy _</t>
  </si>
  <si>
    <t xml:space="preserve"> Workbooks("Ukraine_sponsorship_data_17.ods").Worksheets("UTLA_-_England").Range("D11:D165").Copy _</t>
  </si>
  <si>
    <t xml:space="preserve"> Workbooks("Ukraine_sponsorship_data_18.ods").Worksheets("UTLA_-_England").Range("D11:D165").Copy _</t>
  </si>
  <si>
    <t xml:space="preserve"> Workbooks("Ukraine_sponsorship_data_19.ods").Worksheets("UTLA_-_England").Range("D11:D165").Copy _</t>
  </si>
  <si>
    <t xml:space="preserve"> Workbooks("Ukraine_sponsorship_data_20.ods").Worksheets("UTLA_-_England").Range("D11:D165").Copy _</t>
  </si>
  <si>
    <t xml:space="preserve"> Workbooks("Ukraine_sponsorship_data_21.ods").Worksheets("UTLA_-_England").Range("D11:D165").Copy _</t>
  </si>
  <si>
    <t xml:space="preserve"> Workbooks("Ukraine_sponsorship_data_22.ods").Worksheets("UTLA_-_England").Range("D11:D165").Copy _</t>
  </si>
  <si>
    <t xml:space="preserve">     Workbooks("Ukraine_sponsorship_data_1.ods").Worksheets("Scotland").Range("c11:c165").Copy _</t>
  </si>
  <si>
    <t>.ods").Worksheets("Scotland").Range("</t>
  </si>
  <si>
    <t>D</t>
  </si>
  <si>
    <t xml:space="preserve">    Workbooks("Ukraine_sponsorship_data_1.ods").Worksheets("Scotland").Range("a1:b165").Copy _</t>
  </si>
  <si>
    <t xml:space="preserve"> Workbooks("Ukraine_sponsorship_data_1.ods").Worksheets("Scotland").Range("A1:B3").Copy _</t>
  </si>
  <si>
    <t>SCOTLAND</t>
  </si>
  <si>
    <t>A) visas issued sponsored by individuals, by local authority of the sponsor's property</t>
  </si>
  <si>
    <t>Aberdeen City</t>
  </si>
  <si>
    <t>S12000033</t>
  </si>
  <si>
    <t>Aberdeenshire</t>
  </si>
  <si>
    <t>S12000034</t>
  </si>
  <si>
    <t>Angus</t>
  </si>
  <si>
    <t>S12000041</t>
  </si>
  <si>
    <t>Argyll and Bute</t>
  </si>
  <si>
    <t>S12000035</t>
  </si>
  <si>
    <t>City of Edinburgh</t>
  </si>
  <si>
    <t>S12000036</t>
  </si>
  <si>
    <t>Clackmannanshire</t>
  </si>
  <si>
    <t>S12000005</t>
  </si>
  <si>
    <t>Dumfries and Galloway</t>
  </si>
  <si>
    <t>S12000006</t>
  </si>
  <si>
    <t>Dundee City</t>
  </si>
  <si>
    <t>S12000042</t>
  </si>
  <si>
    <t>East Ayrshire</t>
  </si>
  <si>
    <t>S12000008</t>
  </si>
  <si>
    <t>East Dunbartonshire</t>
  </si>
  <si>
    <t>S12000045</t>
  </si>
  <si>
    <t>East Lothian</t>
  </si>
  <si>
    <t>S12000010</t>
  </si>
  <si>
    <t>East Renfrewshire</t>
  </si>
  <si>
    <t>S12000011</t>
  </si>
  <si>
    <t>Falkirk</t>
  </si>
  <si>
    <t>S12000014</t>
  </si>
  <si>
    <t>Fife</t>
  </si>
  <si>
    <t>S12000047</t>
  </si>
  <si>
    <t>Glasgow City</t>
  </si>
  <si>
    <t>S12000049</t>
  </si>
  <si>
    <t>Highland</t>
  </si>
  <si>
    <t>S12000017</t>
  </si>
  <si>
    <t>Inverclyde</t>
  </si>
  <si>
    <t>S12000018</t>
  </si>
  <si>
    <t>Midlothian</t>
  </si>
  <si>
    <t>S12000019</t>
  </si>
  <si>
    <t>Moray</t>
  </si>
  <si>
    <t>S12000020</t>
  </si>
  <si>
    <t>Na h-Eileanan Siar</t>
  </si>
  <si>
    <t>S12000013</t>
  </si>
  <si>
    <t>North Ayrshire</t>
  </si>
  <si>
    <t>S12000021</t>
  </si>
  <si>
    <t>North Lanarkshire</t>
  </si>
  <si>
    <t>S12000050</t>
  </si>
  <si>
    <t>Orkney Islands</t>
  </si>
  <si>
    <t>S12000023</t>
  </si>
  <si>
    <t>Perth and Kinross</t>
  </si>
  <si>
    <t>S12000048</t>
  </si>
  <si>
    <t>Renfrewshire</t>
  </si>
  <si>
    <t>S12000038</t>
  </si>
  <si>
    <t>Scottish Borders</t>
  </si>
  <si>
    <t>S12000026</t>
  </si>
  <si>
    <t>Shetland Islands</t>
  </si>
  <si>
    <t>S12000027</t>
  </si>
  <si>
    <t>South Ayrshire</t>
  </si>
  <si>
    <t>S12000028</t>
  </si>
  <si>
    <t>South Lanarkshire</t>
  </si>
  <si>
    <t>S12000029</t>
  </si>
  <si>
    <t>Stirling</t>
  </si>
  <si>
    <t>S12000030</t>
  </si>
  <si>
    <t>West Dunbartonshire</t>
  </si>
  <si>
    <t>S12000039</t>
  </si>
  <si>
    <t>Number of visas issued</t>
  </si>
  <si>
    <t>Number of visa applications</t>
  </si>
  <si>
    <t xml:space="preserve">    Workbooks("Ukraine_sponsorship_data_1.ods").Worksheets("Wales").Range("a1:b165").Copy _</t>
  </si>
  <si>
    <t>.ods").Worksheets("Wales").Range("</t>
  </si>
  <si>
    <t xml:space="preserve">     Workbooks("Ukraine_sponsorship_data_1.ods").Worksheets("Wales").Range("c11:c165").Copy _</t>
  </si>
  <si>
    <t>WALES</t>
  </si>
  <si>
    <t>A) visas issued, sponsored by individuals, by local authority of the sponsor's property</t>
  </si>
  <si>
    <t>Blaenau Gwent</t>
  </si>
  <si>
    <t>W06000019</t>
  </si>
  <si>
    <t>Bridgend</t>
  </si>
  <si>
    <t>W06000013</t>
  </si>
  <si>
    <t>Caerphilly</t>
  </si>
  <si>
    <t>W06000018</t>
  </si>
  <si>
    <t>Cardiff</t>
  </si>
  <si>
    <t>W06000015</t>
  </si>
  <si>
    <t>Carmarthenshire</t>
  </si>
  <si>
    <t>W06000010</t>
  </si>
  <si>
    <t>Ceredigion</t>
  </si>
  <si>
    <t>W06000008</t>
  </si>
  <si>
    <t>Conwy</t>
  </si>
  <si>
    <t>W06000003</t>
  </si>
  <si>
    <t>Denbighshire</t>
  </si>
  <si>
    <t>W06000004</t>
  </si>
  <si>
    <t>Flintshire</t>
  </si>
  <si>
    <t>W06000005</t>
  </si>
  <si>
    <t>Gwynedd</t>
  </si>
  <si>
    <t>W06000002</t>
  </si>
  <si>
    <t>Isle of Anglesey</t>
  </si>
  <si>
    <t>W06000001</t>
  </si>
  <si>
    <t>Merthyr Tydfil</t>
  </si>
  <si>
    <t>W06000024</t>
  </si>
  <si>
    <t>Monmouthshire</t>
  </si>
  <si>
    <t>W06000021</t>
  </si>
  <si>
    <t>Neath Port Talbot</t>
  </si>
  <si>
    <t>W06000012</t>
  </si>
  <si>
    <t>Newport</t>
  </si>
  <si>
    <t>W06000022</t>
  </si>
  <si>
    <t>Pembrokeshire</t>
  </si>
  <si>
    <t>W06000009</t>
  </si>
  <si>
    <t>Powys</t>
  </si>
  <si>
    <t>W06000023</t>
  </si>
  <si>
    <t>Rhondda Cynon Taf</t>
  </si>
  <si>
    <t>W06000016</t>
  </si>
  <si>
    <t>Swansea</t>
  </si>
  <si>
    <t>W06000011</t>
  </si>
  <si>
    <t>Torfaen</t>
  </si>
  <si>
    <t>W06000020</t>
  </si>
  <si>
    <t>Vale of Glamorgan</t>
  </si>
  <si>
    <t>W06000014</t>
  </si>
  <si>
    <t>Wrexham</t>
  </si>
  <si>
    <t>W06000006</t>
  </si>
  <si>
    <t>B) visas issued, sponsored by the Welsh Government</t>
  </si>
  <si>
    <t>TOTAL (A+B)</t>
  </si>
  <si>
    <t xml:space="preserve"> Workbooks("Ukraine_sponsorship_data_1.ods").Worksheets("Scotland").Range("A6:B53").Copy _</t>
  </si>
  <si>
    <t xml:space="preserve"> Workbooks("Ukraine_sponsorship_data_1.ods").Worksheets("Scotland").Range("C13:C53").Copy _</t>
  </si>
  <si>
    <t xml:space="preserve"> Workbooks("Ukraine_sponsorship_data_2.ods").Worksheets("Scotland").Range("D13:D53").Copy _</t>
  </si>
  <si>
    <t xml:space="preserve"> Workbooks("Ukraine_sponsorship_data_3.ods").Worksheets("Scotland").Range("D13:D53").Copy _</t>
  </si>
  <si>
    <t xml:space="preserve"> Workbooks("Ukraine_sponsorship_data_4.ods").Worksheets("Scotland").Range("D13:D53").Copy _</t>
  </si>
  <si>
    <t xml:space="preserve"> Workbooks("Ukraine_sponsorship_data_5.ods").Worksheets("Scotland").Range("D13:D53").Copy _</t>
  </si>
  <si>
    <t xml:space="preserve"> Workbooks("Ukraine_sponsorship_data_6.ods").Worksheets("Scotland").Range("D13:D53").Copy _</t>
  </si>
  <si>
    <t xml:space="preserve"> Workbooks("Ukraine_sponsorship_data_7.ods").Worksheets("Scotland").Range("D13:D53").Copy _</t>
  </si>
  <si>
    <t xml:space="preserve"> Workbooks("Ukraine_sponsorship_data_8.ods").Worksheets("Scotland").Range("D13:D53").Copy _</t>
  </si>
  <si>
    <t xml:space="preserve"> Workbooks("Ukraine_sponsorship_data_9.ods").Worksheets("Scotland").Range("D13:D53").Copy _</t>
  </si>
  <si>
    <t xml:space="preserve"> Workbooks("Ukraine_sponsorship_data_10.ods").Worksheets("Scotland").Range("D13:D53").Copy _</t>
  </si>
  <si>
    <t xml:space="preserve"> Workbooks("Ukraine_sponsorship_data_11.ods").Worksheets("Scotland").Range("D13:D53").Copy _</t>
  </si>
  <si>
    <t xml:space="preserve"> Workbooks("Ukraine_sponsorship_data_12.ods").Worksheets("Scotland").Range("D13:D53").Copy _</t>
  </si>
  <si>
    <t xml:space="preserve"> Workbooks("Ukraine_sponsorship_data_13.ods").Worksheets("Scotland").Range("D13:D53").Copy _</t>
  </si>
  <si>
    <t xml:space="preserve"> Workbooks("Ukraine_sponsorship_data_14.ods").Worksheets("Scotland").Range("D13:D53").Copy _</t>
  </si>
  <si>
    <t xml:space="preserve"> Workbooks("Ukraine_sponsorship_data_15.ods").Worksheets("Scotland").Range("D13:D53").Copy _</t>
  </si>
  <si>
    <t xml:space="preserve"> Workbooks("Ukraine_sponsorship_data_16.ods").Worksheets("Scotland").Range("D13:D53").Copy _</t>
  </si>
  <si>
    <t xml:space="preserve"> Workbooks("Ukraine_sponsorship_data_17.ods").Worksheets("Scotland").Range("D13:D53").Copy _</t>
  </si>
  <si>
    <t xml:space="preserve"> Workbooks("Ukraine_sponsorship_data_18.ods").Worksheets("Scotland").Range("D13:D53").Copy _</t>
  </si>
  <si>
    <t xml:space="preserve"> Workbooks("Ukraine_sponsorship_data_19.ods").Worksheets("Scotland").Range("D13:D53").Copy _</t>
  </si>
  <si>
    <t xml:space="preserve"> Workbooks("Ukraine_sponsorship_data_20.ods").Worksheets("Scotland").Range("D13:D53").Copy _</t>
  </si>
  <si>
    <t xml:space="preserve"> Workbooks("Ukraine_sponsorship_data_21.ods").Worksheets("Scotland").Range("D13:D53").Copy _</t>
  </si>
  <si>
    <t xml:space="preserve"> Workbooks("Ukraine_sponsorship_data_22.ods").Worksheets("Scotland").Range("D13:D53").Copy _</t>
  </si>
  <si>
    <t xml:space="preserve"> Workbooks("Ukraine_sponsorship_data_1.ods").Worksheets("Wales").Range("D13:D43").Copy _</t>
  </si>
  <si>
    <t>West Lothian</t>
  </si>
  <si>
    <t>S12000040</t>
  </si>
  <si>
    <t>B) visas issued sponsored by the Scottish Government</t>
  </si>
  <si>
    <t xml:space="preserve"> </t>
  </si>
  <si>
    <t>Number of arrivals in the UK</t>
  </si>
  <si>
    <t xml:space="preserve">    Workbooks("Ukraine_sponsorship_data_1.ods").Worksheets("Northern_Ireland").Range("a1:b165").Copy _</t>
  </si>
  <si>
    <t>.ods").Worksheets("Northern_Ireland").Range("</t>
  </si>
  <si>
    <t xml:space="preserve">     Workbooks("Ukraine_sponsorship_data_1.ods").Worksheets("Northern_Ireland").Range("c11:c165").Copy _</t>
  </si>
  <si>
    <t xml:space="preserve"> Workbooks("Ukraine_sponsorship_data_1.ods").Worksheets("Northern_Ireland").Range("A1:B3").Copy _</t>
  </si>
  <si>
    <t xml:space="preserve"> Workbooks("Ukraine_sponsorship_data_1.ods").Worksheets("Northern_Ireland").Range("A7:B24").Copy _</t>
  </si>
  <si>
    <t xml:space="preserve"> Workbooks("Ukraine_sponsorship_data_1.ods").Worksheets("Northern_Ireland").Range("D11:D24").Copy _</t>
  </si>
  <si>
    <t xml:space="preserve"> Workbooks("Ukraine_sponsorship_data_2.ods").Worksheets("Northern_Ireland").Range("D11:D24").Copy _</t>
  </si>
  <si>
    <t xml:space="preserve"> Workbooks("Ukraine_sponsorship_data_3.ods").Worksheets("Northern_Ireland").Range("D11:D24").Copy _</t>
  </si>
  <si>
    <t xml:space="preserve"> Workbooks("Ukraine_sponsorship_data_4.ods").Worksheets("Northern_Ireland").Range("D11:D24").Copy _</t>
  </si>
  <si>
    <t xml:space="preserve"> Workbooks("Ukraine_sponsorship_data_5.ods").Worksheets("Northern_Ireland").Range("D11:D24").Copy _</t>
  </si>
  <si>
    <t xml:space="preserve"> Workbooks("Ukraine_sponsorship_data_6.ods").Worksheets("Northern_Ireland").Range("D11:D24").Copy _</t>
  </si>
  <si>
    <t xml:space="preserve"> Workbooks("Ukraine_sponsorship_data_7.ods").Worksheets("Northern_Ireland").Range("D11:D24").Copy _</t>
  </si>
  <si>
    <t xml:space="preserve"> Workbooks("Ukraine_sponsorship_data_8.ods").Worksheets("Northern_Ireland").Range("D11:D24").Copy _</t>
  </si>
  <si>
    <t xml:space="preserve"> Workbooks("Ukraine_sponsorship_data_9.ods").Worksheets("Northern_Ireland").Range("D11:D24").Copy _</t>
  </si>
  <si>
    <t xml:space="preserve"> Workbooks("Ukraine_sponsorship_data_10.ods").Worksheets("Northern_Ireland").Range("D11:D24").Copy _</t>
  </si>
  <si>
    <t xml:space="preserve"> Workbooks("Ukraine_sponsorship_data_11.ods").Worksheets("Northern_Ireland").Range("D11:D24").Copy _</t>
  </si>
  <si>
    <t xml:space="preserve"> Workbooks("Ukraine_sponsorship_data_12.ods").Worksheets("Northern_Ireland").Range("D11:D24").Copy _</t>
  </si>
  <si>
    <t xml:space="preserve"> Workbooks("Ukraine_sponsorship_data_13.ods").Worksheets("Northern_Ireland").Range("D11:D24").Copy _</t>
  </si>
  <si>
    <t xml:space="preserve"> Workbooks("Ukraine_sponsorship_data_14.ods").Worksheets("Northern_Ireland").Range("D11:D24").Copy _</t>
  </si>
  <si>
    <t xml:space="preserve"> Workbooks("Ukraine_sponsorship_data_15.ods").Worksheets("Northern_Ireland").Range("D11:D24").Copy _</t>
  </si>
  <si>
    <t xml:space="preserve"> Workbooks("Ukraine_sponsorship_data_16.ods").Worksheets("Northern_Ireland").Range("D11:D24").Copy _</t>
  </si>
  <si>
    <t xml:space="preserve"> Workbooks("Ukraine_sponsorship_data_17.ods").Worksheets("Northern_Ireland").Range("D11:D24").Copy _</t>
  </si>
  <si>
    <t xml:space="preserve"> Workbooks("Ukraine_sponsorship_data_18.ods").Worksheets("Northern_Ireland").Range("D11:D24").Copy _</t>
  </si>
  <si>
    <t xml:space="preserve"> Workbooks("Ukraine_sponsorship_data_19.ods").Worksheets("Northern_Ireland").Range("D11:D24").Copy _</t>
  </si>
  <si>
    <t xml:space="preserve"> Workbooks("Ukraine_sponsorship_data_20.ods").Worksheets("Northern_Ireland").Range("D11:D24").Copy _</t>
  </si>
  <si>
    <t xml:space="preserve"> Workbooks("Ukraine_sponsorship_data_21.ods").Worksheets("Northern_Ireland").Range("D11:D24").Copy _</t>
  </si>
  <si>
    <t xml:space="preserve"> Workbooks("Ukraine_sponsorship_data_22.ods").Worksheets("Northern_Ireland").Range("D11:D24").Copy _</t>
  </si>
  <si>
    <t>NORTHERN IRELAND - visas issued, sponsored by individuals, by local authority of the sponsor's property</t>
  </si>
  <si>
    <t>Local authority name</t>
  </si>
  <si>
    <t>Antrim and Newtownabbey</t>
  </si>
  <si>
    <t>N09000001</t>
  </si>
  <si>
    <t>Ards and North Down</t>
  </si>
  <si>
    <t>N09000011</t>
  </si>
  <si>
    <t>Armagh City, Banbridge and Craigavon</t>
  </si>
  <si>
    <t>N09000002</t>
  </si>
  <si>
    <t>Belfast</t>
  </si>
  <si>
    <t>N09000003</t>
  </si>
  <si>
    <t>Causeway Coast and Glens</t>
  </si>
  <si>
    <t>N09000004</t>
  </si>
  <si>
    <t>Derry City and Strabane</t>
  </si>
  <si>
    <t>N09000005</t>
  </si>
  <si>
    <t>Fermanagh and Omagh</t>
  </si>
  <si>
    <t>N09000006</t>
  </si>
  <si>
    <t>Lisburn and Castlereagh</t>
  </si>
  <si>
    <t>N09000007</t>
  </si>
  <si>
    <t>Mid and East Antrim</t>
  </si>
  <si>
    <t>N09000008</t>
  </si>
  <si>
    <t>Mid Ulster</t>
  </si>
  <si>
    <t>N09000009</t>
  </si>
  <si>
    <t>Newry, Mourne and Down</t>
  </si>
  <si>
    <t>N09000010</t>
  </si>
  <si>
    <t xml:space="preserve"> Workbooks("Ukraine_sponsorship_data_1.ods").Worksheets("Northern_Ireland").Range("C11:C24").Copy _</t>
  </si>
  <si>
    <t>Grand Total</t>
  </si>
  <si>
    <t>Check</t>
  </si>
  <si>
    <t>My total</t>
  </si>
  <si>
    <t>Hosts intentions</t>
  </si>
  <si>
    <t>Current host continues</t>
  </si>
  <si>
    <t>New hosts</t>
  </si>
  <si>
    <t>Private accommodation</t>
  </si>
  <si>
    <t>Potentially homeless</t>
  </si>
  <si>
    <t>from July survey</t>
  </si>
  <si>
    <t>if No Action</t>
  </si>
  <si>
    <t>Visas issued</t>
  </si>
  <si>
    <t>Arrivals</t>
  </si>
  <si>
    <t>England</t>
  </si>
  <si>
    <t>Scotland private</t>
  </si>
  <si>
    <t>Scotland government</t>
  </si>
  <si>
    <t>Wales government</t>
  </si>
  <si>
    <t>Wales private</t>
  </si>
  <si>
    <t>Northern Ireland</t>
  </si>
  <si>
    <t>Scotland</t>
  </si>
  <si>
    <t>Wales</t>
  </si>
  <si>
    <t>Net cost per week</t>
  </si>
  <si>
    <t>Net cost per month</t>
  </si>
  <si>
    <t>With Action</t>
  </si>
  <si>
    <t>Savings</t>
  </si>
  <si>
    <t>Cumulative</t>
  </si>
  <si>
    <t>All</t>
  </si>
  <si>
    <t>Current host undecided</t>
  </si>
  <si>
    <t>Private rented</t>
  </si>
  <si>
    <t>Remainder at risk of presenting homeless</t>
  </si>
  <si>
    <t>Business as usual</t>
  </si>
  <si>
    <t>ONS survey in July - now out of date</t>
  </si>
  <si>
    <t>Business as usual - No Action</t>
  </si>
  <si>
    <t>Total after 6 months</t>
  </si>
  <si>
    <t>Cost per day of temporary accommodation</t>
  </si>
  <si>
    <t>Averag family size</t>
  </si>
  <si>
    <t>£</t>
  </si>
  <si>
    <t>Weekly</t>
  </si>
  <si>
    <t>Weekly cost</t>
  </si>
  <si>
    <t>Cumulative cost</t>
  </si>
  <si>
    <t>Potential savings of Action</t>
  </si>
  <si>
    <t>Potential savings in the first six months with action on rematching</t>
  </si>
  <si>
    <t>People</t>
  </si>
  <si>
    <t>Homes for Ukraine Planning Tool</t>
  </si>
  <si>
    <t>£'000</t>
  </si>
  <si>
    <t>Drop Down Lists</t>
  </si>
  <si>
    <t>Total Scotland UTLA</t>
  </si>
  <si>
    <t>Total Wales UTLA</t>
  </si>
  <si>
    <t>Current host continue for 12 months</t>
  </si>
  <si>
    <t>New host previously expressed interest</t>
  </si>
  <si>
    <t>Other</t>
  </si>
  <si>
    <t>Undecided continues</t>
  </si>
  <si>
    <t>With Action on Rematching</t>
  </si>
  <si>
    <t>Total Scotland</t>
  </si>
  <si>
    <t>Total Wales</t>
  </si>
  <si>
    <t xml:space="preserve">     Workbooks("Ukraine_sponsorship_data_1.ods").Worksheets("UTLA_-_England").Range("D11:d165").Copy _</t>
  </si>
  <si>
    <t xml:space="preserve">    ActiveWorkbook.Close SaveChanges:=False</t>
  </si>
  <si>
    <t xml:space="preserve">     Workbooks.Open "A:\Homes for Ukraine data\Ukraine_sponsorship_data_2.ods"</t>
  </si>
  <si>
    <t xml:space="preserve">     Workbooks("Ukraine_sponsorship_data_2.ods").Worksheets("UTLA_-_England").Range("d11:d165").Copy _</t>
  </si>
  <si>
    <t>'</t>
  </si>
  <si>
    <t>E</t>
  </si>
  <si>
    <t xml:space="preserve"> Workbooks("Ukraine_sponsorship_data_2.ods").Worksheets("Scotland").Range("E13:E53").Copy _</t>
  </si>
  <si>
    <t xml:space="preserve"> Workbooks("Ukraine_sponsorship_data_3.ods").Worksheets("Scotland").Range("E13:E53").Copy _</t>
  </si>
  <si>
    <t xml:space="preserve"> Workbooks("Ukraine_sponsorship_data_4.ods").Worksheets("Scotland").Range("E13:E53").Copy _</t>
  </si>
  <si>
    <t xml:space="preserve"> Workbooks("Ukraine_sponsorship_data_5.ods").Worksheets("Scotland").Range("E13:E53").Copy _</t>
  </si>
  <si>
    <t xml:space="preserve"> Workbooks("Ukraine_sponsorship_data_6.ods").Worksheets("Scotland").Range("E13:E53").Copy _</t>
  </si>
  <si>
    <t xml:space="preserve"> Workbooks("Ukraine_sponsorship_data_7.ods").Worksheets("Scotland").Range("E13:E53").Copy _</t>
  </si>
  <si>
    <t xml:space="preserve"> Workbooks("Ukraine_sponsorship_data_8.ods").Worksheets("Scotland").Range("E13:E53").Copy _</t>
  </si>
  <si>
    <t xml:space="preserve"> Workbooks("Ukraine_sponsorship_data_9.ods").Worksheets("Scotland").Range("E13:E53").Copy _</t>
  </si>
  <si>
    <t xml:space="preserve"> Workbooks("Ukraine_sponsorship_data_10.ods").Worksheets("Scotland").Range("E13:E53").Copy _</t>
  </si>
  <si>
    <t xml:space="preserve"> Workbooks("Ukraine_sponsorship_data_11.ods").Worksheets("Scotland").Range("E13:E53").Copy _</t>
  </si>
  <si>
    <t xml:space="preserve"> Workbooks("Ukraine_sponsorship_data_12.ods").Worksheets("Scotland").Range("E13:E53").Copy _</t>
  </si>
  <si>
    <t xml:space="preserve"> Workbooks("Ukraine_sponsorship_data_13.ods").Worksheets("Scotland").Range("E13:E53").Copy _</t>
  </si>
  <si>
    <t xml:space="preserve"> Workbooks("Ukraine_sponsorship_data_14.ods").Worksheets("Scotland").Range("E13:E53").Copy _</t>
  </si>
  <si>
    <t xml:space="preserve"> Workbooks("Ukraine_sponsorship_data_15.ods").Worksheets("Scotland").Range("E13:E53").Copy _</t>
  </si>
  <si>
    <t xml:space="preserve"> Workbooks("Ukraine_sponsorship_data_16.ods").Worksheets("Scotland").Range("E13:E53").Copy _</t>
  </si>
  <si>
    <t xml:space="preserve"> Workbooks("Ukraine_sponsorship_data_17.ods").Worksheets("Scotland").Range("E13:E53").Copy _</t>
  </si>
  <si>
    <t xml:space="preserve"> Workbooks("Ukraine_sponsorship_data_18.ods").Worksheets("Scotland").Range("E13:E53").Copy _</t>
  </si>
  <si>
    <t xml:space="preserve"> Workbooks("Ukraine_sponsorship_data_19.ods").Worksheets("Scotland").Range("E13:E53").Copy _</t>
  </si>
  <si>
    <t xml:space="preserve"> Workbooks("Ukraine_sponsorship_data_20.ods").Worksheets("Scotland").Range("E13:E53").Copy _</t>
  </si>
  <si>
    <t xml:space="preserve"> Workbooks("Ukraine_sponsorship_data_21.ods").Worksheets("Scotland").Range("E13:E53").Copy _</t>
  </si>
  <si>
    <t xml:space="preserve"> Workbooks("Ukraine_sponsorship_data_22.ods").Worksheets("Scotland").Range("E13:E53").Copy _</t>
  </si>
  <si>
    <t xml:space="preserve"> Workbooks("Ukraine_sponsorship_data_2.ods").Worksheets("Wales").Range("E13:E43").Copy _</t>
  </si>
  <si>
    <t xml:space="preserve"> Workbooks("Ukraine_sponsorship_data_3.ods").Worksheets("Wales").Range("E13:E43").Copy _</t>
  </si>
  <si>
    <t xml:space="preserve"> Workbooks("Ukraine_sponsorship_data_4.ods").Worksheets("Wales").Range("E13:E43").Copy _</t>
  </si>
  <si>
    <t xml:space="preserve"> Workbooks("Ukraine_sponsorship_data_5.ods").Worksheets("Wales").Range("E13:E43").Copy _</t>
  </si>
  <si>
    <t xml:space="preserve"> Workbooks("Ukraine_sponsorship_data_6.ods").Worksheets("Wales").Range("E13:E43").Copy _</t>
  </si>
  <si>
    <t xml:space="preserve"> Workbooks("Ukraine_sponsorship_data_7.ods").Worksheets("Wales").Range("E13:E43").Copy _</t>
  </si>
  <si>
    <t xml:space="preserve"> Workbooks("Ukraine_sponsorship_data_8.ods").Worksheets("Wales").Range("E13:E43").Copy _</t>
  </si>
  <si>
    <t xml:space="preserve"> Workbooks("Ukraine_sponsorship_data_9.ods").Worksheets("Wales").Range("E13:E43").Copy _</t>
  </si>
  <si>
    <t xml:space="preserve"> Workbooks("Ukraine_sponsorship_data_10.ods").Worksheets("Wales").Range("E13:E43").Copy _</t>
  </si>
  <si>
    <t xml:space="preserve"> Workbooks("Ukraine_sponsorship_data_11.ods").Worksheets("Wales").Range("E13:E43").Copy _</t>
  </si>
  <si>
    <t xml:space="preserve"> Workbooks("Ukraine_sponsorship_data_12.ods").Worksheets("Wales").Range("E13:E43").Copy _</t>
  </si>
  <si>
    <t xml:space="preserve"> Workbooks("Ukraine_sponsorship_data_13.ods").Worksheets("Wales").Range("E13:E43").Copy _</t>
  </si>
  <si>
    <t xml:space="preserve"> Workbooks("Ukraine_sponsorship_data_14.ods").Worksheets("Wales").Range("E13:E43").Copy _</t>
  </si>
  <si>
    <t xml:space="preserve"> Workbooks("Ukraine_sponsorship_data_15.ods").Worksheets("Wales").Range("E13:E43").Copy _</t>
  </si>
  <si>
    <t xml:space="preserve"> Workbooks("Ukraine_sponsorship_data_16.ods").Worksheets("Wales").Range("E13:E43").Copy _</t>
  </si>
  <si>
    <t xml:space="preserve"> Workbooks("Ukraine_sponsorship_data_17.ods").Worksheets("Wales").Range("E13:E43").Copy _</t>
  </si>
  <si>
    <t xml:space="preserve"> Workbooks("Ukraine_sponsorship_data_18.ods").Worksheets("Wales").Range("E13:E43").Copy _</t>
  </si>
  <si>
    <t xml:space="preserve"> Workbooks("Ukraine_sponsorship_data_19.ods").Worksheets("Wales").Range("E13:E43").Copy _</t>
  </si>
  <si>
    <t xml:space="preserve"> Workbooks("Ukraine_sponsorship_data_20.ods").Worksheets("Wales").Range("E13:E43").Copy _</t>
  </si>
  <si>
    <t xml:space="preserve"> Workbooks("Ukraine_sponsorship_data_21.ods").Worksheets("Wales").Range("E13:E43").Copy _</t>
  </si>
  <si>
    <t xml:space="preserve"> Workbooks("Ukraine_sponsorship_data_22.ods").Worksheets("Wales").Range("E13:E43").Copy _</t>
  </si>
  <si>
    <t xml:space="preserve"> Workbooks("Ukraine_sponsorship_data_2.ods").Worksheets("Northern_Ireland").Range("E11:E24").Copy _</t>
  </si>
  <si>
    <t xml:space="preserve"> Workbooks("Ukraine_sponsorship_data_3.ods").Worksheets("Northern_Ireland").Range("E11:E24").Copy _</t>
  </si>
  <si>
    <t xml:space="preserve"> Workbooks("Ukraine_sponsorship_data_4.ods").Worksheets("Northern_Ireland").Range("E11:E24").Copy _</t>
  </si>
  <si>
    <t xml:space="preserve"> Workbooks("Ukraine_sponsorship_data_5.ods").Worksheets("Northern_Ireland").Range("E11:E24").Copy _</t>
  </si>
  <si>
    <t xml:space="preserve"> Workbooks("Ukraine_sponsorship_data_6.ods").Worksheets("Northern_Ireland").Range("E11:E24").Copy _</t>
  </si>
  <si>
    <t xml:space="preserve"> Workbooks("Ukraine_sponsorship_data_7.ods").Worksheets("Northern_Ireland").Range("E11:E24").Copy _</t>
  </si>
  <si>
    <t xml:space="preserve"> Workbooks("Ukraine_sponsorship_data_8.ods").Worksheets("Northern_Ireland").Range("E11:E24").Copy _</t>
  </si>
  <si>
    <t xml:space="preserve"> Workbooks("Ukraine_sponsorship_data_9.ods").Worksheets("Northern_Ireland").Range("E11:E24").Copy _</t>
  </si>
  <si>
    <t xml:space="preserve"> Workbooks("Ukraine_sponsorship_data_10.ods").Worksheets("Northern_Ireland").Range("E11:E24").Copy _</t>
  </si>
  <si>
    <t xml:space="preserve"> Workbooks("Ukraine_sponsorship_data_11.ods").Worksheets("Northern_Ireland").Range("E11:E24").Copy _</t>
  </si>
  <si>
    <t xml:space="preserve"> Workbooks("Ukraine_sponsorship_data_12.ods").Worksheets("Northern_Ireland").Range("E11:E24").Copy _</t>
  </si>
  <si>
    <t xml:space="preserve"> Workbooks("Ukraine_sponsorship_data_13.ods").Worksheets("Northern_Ireland").Range("E11:E24").Copy _</t>
  </si>
  <si>
    <t xml:space="preserve"> Workbooks("Ukraine_sponsorship_data_14.ods").Worksheets("Northern_Ireland").Range("E11:E24").Copy _</t>
  </si>
  <si>
    <t xml:space="preserve"> Workbooks("Ukraine_sponsorship_data_15.ods").Worksheets("Northern_Ireland").Range("E11:E24").Copy _</t>
  </si>
  <si>
    <t xml:space="preserve"> Workbooks("Ukraine_sponsorship_data_16.ods").Worksheets("Northern_Ireland").Range("E11:E24").Copy _</t>
  </si>
  <si>
    <t xml:space="preserve"> Workbooks("Ukraine_sponsorship_data_17.ods").Worksheets("Northern_Ireland").Range("E11:E24").Copy _</t>
  </si>
  <si>
    <t xml:space="preserve"> Workbooks("Ukraine_sponsorship_data_18.ods").Worksheets("Northern_Ireland").Range("E11:E24").Copy _</t>
  </si>
  <si>
    <t xml:space="preserve"> Workbooks("Ukraine_sponsorship_data_19.ods").Worksheets("Northern_Ireland").Range("E11:E24").Copy _</t>
  </si>
  <si>
    <t xml:space="preserve"> Workbooks("Ukraine_sponsorship_data_20.ods").Worksheets("Northern_Ireland").Range("E11:E24").Copy _</t>
  </si>
  <si>
    <t xml:space="preserve"> Workbooks("Ukraine_sponsorship_data_21.ods").Worksheets("Northern_Ireland").Range("E11:E24").Copy _</t>
  </si>
  <si>
    <t xml:space="preserve"> Workbooks("Ukraine_sponsorship_data_22.ods").Worksheets("Northern_Ireland").Range("E11:E24").Copy _</t>
  </si>
  <si>
    <t>Visas Issued</t>
  </si>
  <si>
    <t>End of first 6 months</t>
  </si>
  <si>
    <t>Scottish Government</t>
  </si>
  <si>
    <t>Welsh Government</t>
  </si>
  <si>
    <t>All Scotland</t>
  </si>
  <si>
    <t>All Wales</t>
  </si>
  <si>
    <t>All England</t>
  </si>
  <si>
    <t>All Northern Ireland</t>
  </si>
  <si>
    <t>All UK</t>
  </si>
  <si>
    <t>Northern_Ireland</t>
  </si>
  <si>
    <t>Total per this planner</t>
  </si>
  <si>
    <t>Imprecise Gov  data</t>
  </si>
  <si>
    <t>Adjust cost numbers to local situation</t>
  </si>
  <si>
    <t>UTLA</t>
  </si>
  <si>
    <t>Monthly thank you payment to hosts</t>
  </si>
  <si>
    <t xml:space="preserve"> Workbooks.Open "A:\Homes for Ukraine data\Ukraine_sponsorship_data_23.ods"</t>
  </si>
  <si>
    <t xml:space="preserve"> Workbooks("Ukraine_sponsorship_data_23.ods").Worksheets("UTLA_-_England").Range("D11:D165").Copy _</t>
  </si>
  <si>
    <t xml:space="preserve"> Workbooks.Open "A:\Homes for Ukraine data\Ukraine_sponsorship_data_24.ods"</t>
  </si>
  <si>
    <t xml:space="preserve"> Workbooks("Ukraine_sponsorship_data_24.ods").Worksheets("UTLA_-_England").Range("D11:D165").Copy _</t>
  </si>
  <si>
    <t xml:space="preserve"> Workbooks.Open "A:\Homes for Ukraine data\Ukraine_sponsorship_data_25.ods"</t>
  </si>
  <si>
    <t xml:space="preserve"> Workbooks("Ukraine_sponsorship_data_25.ods").Worksheets("UTLA_-_England").Range("D11:D165").Copy _</t>
  </si>
  <si>
    <t xml:space="preserve"> Workbooks.Open "A:\Homes for Ukraine data\Ukraine_sponsorship_data_26.ods"</t>
  </si>
  <si>
    <t xml:space="preserve"> Workbooks("Ukraine_sponsorship_data_26.ods").Worksheets("UTLA_-_England").Range("D11:D165").Copy _</t>
  </si>
  <si>
    <t xml:space="preserve"> Workbooks.Open "A:\Homes for Ukraine data\Ukraine_sponsorship_data_27.ods"</t>
  </si>
  <si>
    <t xml:space="preserve"> Workbooks("Ukraine_sponsorship_data_27.ods").Worksheets("UTLA_-_England").Range("D11:D165").Copy _</t>
  </si>
  <si>
    <t xml:space="preserve"> Workbooks.Open "A:\Homes for Ukraine data\Ukraine_sponsorship_data_28.ods"</t>
  </si>
  <si>
    <t xml:space="preserve"> Workbooks("Ukraine_sponsorship_data_28.ods").Worksheets("UTLA_-_England").Range("D11:D165").Copy _</t>
  </si>
  <si>
    <t xml:space="preserve"> Workbooks.Open "A:\Homes for Ukraine data\Ukraine_sponsorship_data_29.ods"</t>
  </si>
  <si>
    <t xml:space="preserve"> Workbooks("Ukraine_sponsorship_data_29.ods").Worksheets("UTLA_-_England").Range("D11:D165").Copy _</t>
  </si>
  <si>
    <t xml:space="preserve"> Workbooks.Open "A:\Homes for Ukraine data\Ukraine_sponsorship_data_30.ods"</t>
  </si>
  <si>
    <t xml:space="preserve"> Workbooks("Ukraine_sponsorship_data_30.ods").Worksheets("UTLA_-_England").Range("D11:D165").Copy _</t>
  </si>
  <si>
    <t xml:space="preserve"> Workbooks.Open "A:\Homes for Ukraine data\Ukraine_sponsorship_data_31.ods"</t>
  </si>
  <si>
    <t xml:space="preserve"> Workbooks("Ukraine_sponsorship_data_31.ods").Worksheets("UTLA_-_England").Range("D11:D165").Copy _</t>
  </si>
  <si>
    <t xml:space="preserve"> Workbooks.Open "A:\Homes for Ukraine data\Ukraine_sponsorship_data_32.ods"</t>
  </si>
  <si>
    <t xml:space="preserve"> Workbooks("Ukraine_sponsorship_data_32.ods").Worksheets("UTLA_-_England").Range("D11:D165").Copy _</t>
  </si>
  <si>
    <t xml:space="preserve"> Workbooks.Open "A:\Homes for Ukraine data\Ukraine_sponsorship_data_33.ods"</t>
  </si>
  <si>
    <t xml:space="preserve"> Workbooks("Ukraine_sponsorship_data_33.ods").Worksheets("UTLA_-_England").Range("D11:D165").Copy _</t>
  </si>
  <si>
    <t xml:space="preserve"> Workbooks.Open "A:\Homes for Ukraine data\Ukraine_sponsorship_data_34.ods"</t>
  </si>
  <si>
    <t xml:space="preserve"> Workbooks("Ukraine_sponsorship_data_34.ods").Worksheets("UTLA_-_England").Range("D11:D165").Copy _</t>
  </si>
  <si>
    <t xml:space="preserve"> Workbooks("Ukraine_sponsorship_data_23.ods").Worksheets("Scotland").Range("D13:D53").Copy _</t>
  </si>
  <si>
    <t xml:space="preserve"> Workbooks("Ukraine_sponsorship_data_24.ods").Worksheets("Scotland").Range("D13:D53").Copy _</t>
  </si>
  <si>
    <t xml:space="preserve"> Workbooks("Ukraine_sponsorship_data_25.ods").Worksheets("Scotland").Range("D13:D53").Copy _</t>
  </si>
  <si>
    <t xml:space="preserve"> Workbooks("Ukraine_sponsorship_data_26.ods").Worksheets("Scotland").Range("D13:D53").Copy _</t>
  </si>
  <si>
    <t xml:space="preserve"> Workbooks("Ukraine_sponsorship_data_27.ods").Worksheets("Scotland").Range("D13:D53").Copy _</t>
  </si>
  <si>
    <t xml:space="preserve"> Workbooks("Ukraine_sponsorship_data_28.ods").Worksheets("Scotland").Range("D13:D53").Copy _</t>
  </si>
  <si>
    <t xml:space="preserve"> Workbooks("Ukraine_sponsorship_data_29.ods").Worksheets("Scotland").Range("D13:D53").Copy _</t>
  </si>
  <si>
    <t xml:space="preserve"> Workbooks("Ukraine_sponsorship_data_30.ods").Worksheets("Scotland").Range("D13:D53").Copy _</t>
  </si>
  <si>
    <t xml:space="preserve"> Workbooks("Ukraine_sponsorship_data_31.ods").Worksheets("Scotland").Range("D13:D53").Copy _</t>
  </si>
  <si>
    <t xml:space="preserve"> Workbooks("Ukraine_sponsorship_data_32.ods").Worksheets("Scotland").Range("D13:D53").Copy _</t>
  </si>
  <si>
    <t xml:space="preserve"> Workbooks("Ukraine_sponsorship_data_33.ods").Worksheets("Scotland").Range("D13:D53").Copy _</t>
  </si>
  <si>
    <t xml:space="preserve"> Workbooks("Ukraine_sponsorship_data_34.ods").Worksheets("Scotland").Range("D13:D53").Copy _</t>
  </si>
  <si>
    <t xml:space="preserve"> Workbooks("Ukraine_sponsorship_data_23.ods").Worksheets("Scotland").Range("E13:E53").Copy _</t>
  </si>
  <si>
    <t xml:space="preserve"> Workbooks("Ukraine_sponsorship_data_24.ods").Worksheets("Scotland").Range("E13:E53").Copy _</t>
  </si>
  <si>
    <t xml:space="preserve"> Workbooks("Ukraine_sponsorship_data_25.ods").Worksheets("Scotland").Range("E13:E53").Copy _</t>
  </si>
  <si>
    <t xml:space="preserve"> Workbooks("Ukraine_sponsorship_data_26.ods").Worksheets("Scotland").Range("E13:E53").Copy _</t>
  </si>
  <si>
    <t xml:space="preserve"> Workbooks("Ukraine_sponsorship_data_27.ods").Worksheets("Scotland").Range("E13:E53").Copy _</t>
  </si>
  <si>
    <t xml:space="preserve"> Workbooks("Ukraine_sponsorship_data_28.ods").Worksheets("Scotland").Range("E13:E53").Copy _</t>
  </si>
  <si>
    <t xml:space="preserve"> Workbooks("Ukraine_sponsorship_data_29.ods").Worksheets("Scotland").Range("E13:E53").Copy _</t>
  </si>
  <si>
    <t xml:space="preserve"> Workbooks("Ukraine_sponsorship_data_30.ods").Worksheets("Scotland").Range("E13:E53").Copy _</t>
  </si>
  <si>
    <t xml:space="preserve"> Workbooks("Ukraine_sponsorship_data_31.ods").Worksheets("Scotland").Range("E13:E53").Copy _</t>
  </si>
  <si>
    <t xml:space="preserve"> Workbooks("Ukraine_sponsorship_data_32.ods").Worksheets("Scotland").Range("E13:E53").Copy _</t>
  </si>
  <si>
    <t xml:space="preserve"> Workbooks("Ukraine_sponsorship_data_33.ods").Worksheets("Scotland").Range("E13:E53").Copy _</t>
  </si>
  <si>
    <t xml:space="preserve"> Workbooks("Ukraine_sponsorship_data_34.ods").Worksheets("Scotland").Range("E13:E53").Copy _</t>
  </si>
  <si>
    <t xml:space="preserve"> Workbooks("Ukraine_sponsorship_data_23.ods").Worksheets("Wales").Range("E13:E43").Copy _</t>
  </si>
  <si>
    <t xml:space="preserve"> Workbooks("Ukraine_sponsorship_data_24.ods").Worksheets("Wales").Range("E13:E43").Copy _</t>
  </si>
  <si>
    <t xml:space="preserve"> Workbooks("Ukraine_sponsorship_data_25.ods").Worksheets("Wales").Range("E13:E43").Copy _</t>
  </si>
  <si>
    <t xml:space="preserve"> Workbooks("Ukraine_sponsorship_data_26.ods").Worksheets("Wales").Range("E13:E43").Copy _</t>
  </si>
  <si>
    <t xml:space="preserve"> Workbooks("Ukraine_sponsorship_data_27.ods").Worksheets("Wales").Range("E13:E43").Copy _</t>
  </si>
  <si>
    <t xml:space="preserve"> Workbooks("Ukraine_sponsorship_data_28.ods").Worksheets("Wales").Range("E13:E43").Copy _</t>
  </si>
  <si>
    <t xml:space="preserve"> Workbooks("Ukraine_sponsorship_data_29.ods").Worksheets("Wales").Range("E13:E43").Copy _</t>
  </si>
  <si>
    <t xml:space="preserve"> Workbooks("Ukraine_sponsorship_data_30.ods").Worksheets("Wales").Range("E13:E43").Copy _</t>
  </si>
  <si>
    <t xml:space="preserve"> Workbooks("Ukraine_sponsorship_data_31.ods").Worksheets("Wales").Range("E13:E43").Copy _</t>
  </si>
  <si>
    <t xml:space="preserve"> Workbooks("Ukraine_sponsorship_data_32.ods").Worksheets("Wales").Range("E13:E43").Copy _</t>
  </si>
  <si>
    <t xml:space="preserve"> Workbooks("Ukraine_sponsorship_data_33.ods").Worksheets("Wales").Range("E13:E43").Copy _</t>
  </si>
  <si>
    <t xml:space="preserve"> Workbooks("Ukraine_sponsorship_data_34.ods").Worksheets("Wales").Range("E13:E43").Copy _</t>
  </si>
  <si>
    <t xml:space="preserve"> Workbooks("Ukraine_sponsorship_data_23.ods").Worksheets("Northern_Ireland").Range("D11:D24").Copy _</t>
  </si>
  <si>
    <t xml:space="preserve"> Workbooks("Ukraine_sponsorship_data_24.ods").Worksheets("Northern_Ireland").Range("D11:D24").Copy _</t>
  </si>
  <si>
    <t xml:space="preserve"> Workbooks("Ukraine_sponsorship_data_25.ods").Worksheets("Northern_Ireland").Range("D11:D24").Copy _</t>
  </si>
  <si>
    <t xml:space="preserve"> Workbooks("Ukraine_sponsorship_data_26.ods").Worksheets("Northern_Ireland").Range("D11:D24").Copy _</t>
  </si>
  <si>
    <t xml:space="preserve"> Workbooks("Ukraine_sponsorship_data_27.ods").Worksheets("Northern_Ireland").Range("D11:D24").Copy _</t>
  </si>
  <si>
    <t xml:space="preserve"> Workbooks("Ukraine_sponsorship_data_28.ods").Worksheets("Northern_Ireland").Range("D11:D24").Copy _</t>
  </si>
  <si>
    <t xml:space="preserve"> Workbooks("Ukraine_sponsorship_data_29.ods").Worksheets("Northern_Ireland").Range("D11:D24").Copy _</t>
  </si>
  <si>
    <t xml:space="preserve"> Workbooks("Ukraine_sponsorship_data_30.ods").Worksheets("Northern_Ireland").Range("D11:D24").Copy _</t>
  </si>
  <si>
    <t xml:space="preserve"> Workbooks("Ukraine_sponsorship_data_31.ods").Worksheets("Northern_Ireland").Range("D11:D24").Copy _</t>
  </si>
  <si>
    <t xml:space="preserve"> Workbooks("Ukraine_sponsorship_data_32.ods").Worksheets("Northern_Ireland").Range("D11:D24").Copy _</t>
  </si>
  <si>
    <t xml:space="preserve"> Workbooks("Ukraine_sponsorship_data_33.ods").Worksheets("Northern_Ireland").Range("D11:D24").Copy _</t>
  </si>
  <si>
    <t xml:space="preserve"> Workbooks("Ukraine_sponsorship_data_34.ods").Worksheets("Northern_Ireland").Range("D11:D24").Copy _</t>
  </si>
  <si>
    <t xml:space="preserve"> Workbooks("Ukraine_sponsorship_data_23.ods").Worksheets("Northern_Ireland").Range("E11:E24").Copy _</t>
  </si>
  <si>
    <t xml:space="preserve"> Workbooks("Ukraine_sponsorship_data_24.ods").Worksheets("Northern_Ireland").Range("E11:E24").Copy _</t>
  </si>
  <si>
    <t xml:space="preserve"> Workbooks("Ukraine_sponsorship_data_25.ods").Worksheets("Northern_Ireland").Range("E11:E24").Copy _</t>
  </si>
  <si>
    <t xml:space="preserve"> Workbooks("Ukraine_sponsorship_data_26.ods").Worksheets("Northern_Ireland").Range("E11:E24").Copy _</t>
  </si>
  <si>
    <t xml:space="preserve"> Workbooks("Ukraine_sponsorship_data_27.ods").Worksheets("Northern_Ireland").Range("E11:E24").Copy _</t>
  </si>
  <si>
    <t xml:space="preserve"> Workbooks("Ukraine_sponsorship_data_28.ods").Worksheets("Northern_Ireland").Range("E11:E24").Copy _</t>
  </si>
  <si>
    <t xml:space="preserve"> Workbooks("Ukraine_sponsorship_data_29.ods").Worksheets("Northern_Ireland").Range("E11:E24").Copy _</t>
  </si>
  <si>
    <t xml:space="preserve"> Workbooks("Ukraine_sponsorship_data_30.ods").Worksheets("Northern_Ireland").Range("E11:E24").Copy _</t>
  </si>
  <si>
    <t xml:space="preserve"> Workbooks("Ukraine_sponsorship_data_31.ods").Worksheets("Northern_Ireland").Range("E11:E24").Copy _</t>
  </si>
  <si>
    <t xml:space="preserve"> Workbooks("Ukraine_sponsorship_data_32.ods").Worksheets("Northern_Ireland").Range("E11:E24").Copy _</t>
  </si>
  <si>
    <t xml:space="preserve"> Workbooks("Ukraine_sponsorship_data_33.ods").Worksheets("Northern_Ireland").Range("E11:E24").Copy _</t>
  </si>
  <si>
    <t xml:space="preserve"> Workbooks("Ukraine_sponsorship_data_34.ods").Worksheets("Northern_Ireland").Range("E11:E24").Copy _</t>
  </si>
  <si>
    <t>R</t>
  </si>
  <si>
    <t xml:space="preserve"> Workbooks("Ukraine_sponsorship_data_1.ods").Worksheets("Wales").Range("A1:B3").Copy _</t>
  </si>
  <si>
    <t xml:space="preserve">Version </t>
  </si>
  <si>
    <t xml:space="preserve">       Workbooks("HFU Forecast UTLA 1.0.xlsm").Worksheets("Combined data").Range("H9")</t>
  </si>
  <si>
    <t>Workbooks("HFU Forecast UTLA 1.0.xlsm").Worksheets("Combined data").Range("</t>
  </si>
  <si>
    <t>Workbooks("HFU Forecast UTLA 1.0.xlsm").Worksheets("Combined data").Range("A1")</t>
  </si>
  <si>
    <t>Workbooks("HFU Forecast UTLA 1.0.xlsm").Worksheets("Combined data").Range("A4")</t>
  </si>
  <si>
    <t>Workbooks("HFU Forecast UTLA 1.0.xlsm").Worksheets("Combined data").Range("H9")</t>
  </si>
  <si>
    <t xml:space="preserve">    Workbooks("HFU Forecast UTLA 1.0.xlsm").Worksheets("Combined data").Range("H9")</t>
  </si>
  <si>
    <t>Workbooks("HFU Forecast UTLA 1.0.xlsm").Worksheets("Combined data").Range("I9")</t>
  </si>
  <si>
    <t xml:space="preserve">    Workbooks("HFU Forecast UTLA 1.0.xlsm").Worksheets("Combined data").Range("I9")</t>
  </si>
  <si>
    <t>Workbooks("HFU Forecast UTLA 1.0.xlsm").Worksheets("Combined data").Range("J9")</t>
  </si>
  <si>
    <t>Workbooks("HFU Forecast UTLA 1.0.xlsm").Worksheets("Combined data").Range("K9")</t>
  </si>
  <si>
    <t>Workbooks("HFU Forecast UTLA 1.0.xlsm").Worksheets("Combined data").Range("L9")</t>
  </si>
  <si>
    <t>Workbooks("HFU Forecast UTLA 1.0.xlsm").Worksheets("Combined data").Range("M9")</t>
  </si>
  <si>
    <t>Workbooks("HFU Forecast UTLA 1.0.xlsm").Worksheets("Combined data").Range("N9")</t>
  </si>
  <si>
    <t>Workbooks("HFU Forecast UTLA 1.0.xlsm").Worksheets("Combined data").Range("O9")</t>
  </si>
  <si>
    <t>Workbooks("HFU Forecast UTLA 1.0.xlsm").Worksheets("Combined data").Range("P9")</t>
  </si>
  <si>
    <t>Workbooks("HFU Forecast UTLA 1.0.xlsm").Worksheets("Combined data").Range("Q9")</t>
  </si>
  <si>
    <t>Workbooks("HFU Forecast UTLA 1.0.xlsm").Worksheets("Combined data").Range("R9")</t>
  </si>
  <si>
    <t>Workbooks("HFU Forecast UTLA 1.0.xlsm").Worksheets("Combined data").Range("S9")</t>
  </si>
  <si>
    <t>Workbooks("HFU Forecast UTLA 1.0.xlsm").Worksheets("Combined data").Range("T9")</t>
  </si>
  <si>
    <t>Workbooks("HFU Forecast UTLA 1.0.xlsm").Worksheets("Combined data").Range("U9")</t>
  </si>
  <si>
    <t>Workbooks("HFU Forecast UTLA 1.0.xlsm").Worksheets("Combined data").Range("V9")</t>
  </si>
  <si>
    <t>Workbooks("HFU Forecast UTLA 1.0.xlsm").Worksheets("Combined data").Range("W9")</t>
  </si>
  <si>
    <t>Workbooks("HFU Forecast UTLA 1.0.xlsm").Worksheets("Combined data").Range("X9")</t>
  </si>
  <si>
    <t>Workbooks("HFU Forecast UTLA 1.0.xlsm").Worksheets("Combined data").Range("Y9")</t>
  </si>
  <si>
    <t>Workbooks("HFU Forecast UTLA 1.0.xlsm").Worksheets("Combined data").Range("Z9")</t>
  </si>
  <si>
    <t>Workbooks("HFU Forecast UTLA 1.0.xlsm").Worksheets("Combined data").Range("AA9")</t>
  </si>
  <si>
    <t>Workbooks("HFU Forecast UTLA 1.0.xlsm").Worksheets("Combined data").Range("AB9")</t>
  </si>
  <si>
    <t>Workbooks("HFU Forecast UTLA 1.0.xlsm").Worksheets("Combined data").Range("AC9")</t>
  </si>
  <si>
    <t>Workbooks("HFU Forecast UTLA 1.0.xlsm").Worksheets("Combined data").Range("AD9")</t>
  </si>
  <si>
    <t>Workbooks("HFU Forecast UTLA 1.0.xlsm").Worksheets("Combined data").Range("AE9")</t>
  </si>
  <si>
    <t>Workbooks("HFU Forecast UTLA 1.0.xlsm").Worksheets("Combined data").Range("AF9")</t>
  </si>
  <si>
    <t>Workbooks("HFU Forecast UTLA 1.0.xlsm").Worksheets("Combined data").Range("AG9")</t>
  </si>
  <si>
    <t>Workbooks("HFU Forecast UTLA 1.0.xlsm").Worksheets("Combined data").Range("AH9")</t>
  </si>
  <si>
    <t>Workbooks("HFU Forecast UTLA 1.0.xlsm").Worksheets("Combined data").Range("AI9")</t>
  </si>
  <si>
    <t>Workbooks("HFU Forecast UTLA 1.0.xlsm").Worksheets("Combined data").Range("AJ9")</t>
  </si>
  <si>
    <t>Workbooks("HFU Forecast UTLA 1.0.xlsm").Worksheets("Combined data").Range("AK9")</t>
  </si>
  <si>
    <t>Workbooks("HFU Forecast UTLA 1.0.xlsm").Worksheets("Combined data").Range("AL9")</t>
  </si>
  <si>
    <t>Workbooks("HFU Forecast UTLA 1.0.xlsm").Worksheets("Combined data").Range("AM9")</t>
  </si>
  <si>
    <t>Workbooks("HFU Forecast UTLA 1.0.xlsm").Worksheets("Combined data").Range("AN9")</t>
  </si>
  <si>
    <t>Workbooks("HFU Forecast UTLA 1.0.xlsm").Worksheets("Combined data").Range("AO9")</t>
  </si>
  <si>
    <t>Workbooks("HFU Forecast UTLA 1.0.xlsm").Worksheets("Combined data").Range("AR264")</t>
  </si>
  <si>
    <t>Workbooks("HFU Forecast UTLA 1.0.xlsm").Worksheets("Combined data").Range("AS264")</t>
  </si>
  <si>
    <t>Workbooks("HFU Forecast UTLA 1.0.xlsm").Worksheets("Combined data").Range("AT264")</t>
  </si>
  <si>
    <t>Workbooks("HFU Forecast UTLA 1.0.xlsm").Worksheets("Combined data").Range("AU264")</t>
  </si>
  <si>
    <t>Workbooks("HFU Forecast UTLA 1.0.xlsm").Worksheets("Combined data").Range("AV264")</t>
  </si>
  <si>
    <t>Workbooks("HFU Forecast UTLA 1.0.xlsm").Worksheets("Combined data").Range("AW264")</t>
  </si>
  <si>
    <t>Workbooks("HFU Forecast UTLA 1.0.xlsm").Worksheets("Combined data").Range("AX264")</t>
  </si>
  <si>
    <t>Workbooks("HFU Forecast UTLA 1.0.xlsm").Worksheets("Combined data").Range("AY264")</t>
  </si>
  <si>
    <t>Workbooks("HFU Forecast UTLA 1.0.xlsm").Worksheets("Combined data").Range("AZ264")</t>
  </si>
  <si>
    <t>Workbooks("HFU Forecast UTLA 1.0.xlsm").Worksheets("Combined data").Range("AA264")</t>
  </si>
  <si>
    <t>Workbooks("HFU Forecast UTLA 1.0.xlsm").Worksheets("Combined data").Range("AB264")</t>
  </si>
  <si>
    <t>Workbooks("HFU Forecast UTLA 1.0.xlsm").Worksheets("Combined data").Range("AC264")</t>
  </si>
  <si>
    <t>Workbooks("HFU Forecast UTLA 1.0.xlsm").Worksheets("Combined data").Range("AD264")</t>
  </si>
  <si>
    <t>Workbooks("HFU Forecast UTLA 1.0.xlsm").Worksheets("Combined data").Range("AE264")</t>
  </si>
  <si>
    <t>Workbooks("HFU Forecast UTLA 1.0.xlsm").Worksheets("Combined data").Range("AF264")</t>
  </si>
  <si>
    <t>Workbooks("HFU Forecast UTLA 1.0.xlsm").Worksheets("Combined data").Range("AG264")</t>
  </si>
  <si>
    <t>Workbooks("HFU Forecast UTLA 1.0.xlsm").Worksheets("Combined data").Range("AH264")</t>
  </si>
  <si>
    <t>Workbooks("HFU Forecast UTLA 1.0.xlsm").Worksheets("Combined data").Range("AI264")</t>
  </si>
  <si>
    <t>Workbooks("HFU Forecast UTLA 1.0.xlsm").Worksheets("Combined data").Range("AJ264")</t>
  </si>
  <si>
    <t>Workbooks("HFU Forecast UTLA 1.0.xlsm").Worksheets("Combined data").Range("AK264")</t>
  </si>
  <si>
    <t>Workbooks("HFU Forecast UTLA 1.0.xlsm").Worksheets("Combined data").Range("BL264")</t>
  </si>
  <si>
    <t>Workbooks("HFU Forecast UTLA 1.0.xlsm").Worksheets("Combined data").Range("BM264")</t>
  </si>
  <si>
    <t>Workbooks("HFU Forecast UTLA 1.0.xlsm").Worksheets("Combined data").Range("BN264")</t>
  </si>
  <si>
    <t>Workbooks("HFU Forecast UTLA 1.0.xlsm").Worksheets("Combined data").Range("BO264")</t>
  </si>
  <si>
    <t>Workbooks("HFU Forecast UTLA 1.0.xlsm").Worksheets("Combined data").Range("BP264")</t>
  </si>
  <si>
    <t>Workbooks("HFU Forecast UTLA 1.0.xlsm").Worksheets("Combined data").Range("BQ264")</t>
  </si>
  <si>
    <t>Workbooks("HFU Forecast UTLA 1.0.xlsm").Worksheets("Combined data").Range("BR264")</t>
  </si>
  <si>
    <t>Workbooks("HFU Forecast UTLA 1.0.xlsm").Worksheets("Combined data").Range("BS264")</t>
  </si>
  <si>
    <t>Workbooks("HFU Forecast UTLA 1.0.xlsm").Worksheets("Combined data").Range("BT264")</t>
  </si>
  <si>
    <t>Workbooks("HFU Forecast UTLA 1.0.xlsm").Worksheets("Combined data").Range("BU264")</t>
  </si>
  <si>
    <t>Workbooks("HFU Forecast UTLA 1.0.xlsm").Worksheets("Combined data").Range("BV264")</t>
  </si>
  <si>
    <t>Workbooks("HFU Forecast UTLA 1.0.xlsm").Worksheets("Combined data").Range("BW264")</t>
  </si>
  <si>
    <t>Workbooks("HFU Forecast UTLA 1.0.xlsm").Worksheets("Combined data").Range("BX264")</t>
  </si>
  <si>
    <t>Workbooks("HFU Forecast UTLA 1.0.xlsm").Worksheets("Combined data").Range("BY264")</t>
  </si>
  <si>
    <t>Workbooks("HFU Forecast UTLA 1.0.xlsm").Worksheets("Combined data").Range("A257")</t>
  </si>
  <si>
    <t>Workbooks("HFU Forecast UTLA 1.0.xlsm").Worksheets("Combined data").Range("A260")</t>
  </si>
  <si>
    <t>Workbooks("HFU Forecast UTLA 1.0.xlsm").Worksheets("Combined data").Range("H264")</t>
  </si>
  <si>
    <t>Workbooks("HFU Forecast UTLA 1.0.xlsm").Worksheets("Combined data").Range("I264")</t>
  </si>
  <si>
    <t>Workbooks("HFU Forecast UTLA 1.0.xlsm").Worksheets("Combined data").Range("J264")</t>
  </si>
  <si>
    <t>Workbooks("HFU Forecast UTLA 1.0.xlsm").Worksheets("Combined data").Range("K264")</t>
  </si>
  <si>
    <t>Workbooks("HFU Forecast UTLA 1.0.xlsm").Worksheets("Combined data").Range("L264")</t>
  </si>
  <si>
    <t>Workbooks("HFU Forecast UTLA 1.0.xlsm").Worksheets("Combined data").Range("M264")</t>
  </si>
  <si>
    <t>Workbooks("HFU Forecast UTLA 1.0.xlsm").Worksheets("Combined data").Range("N264")</t>
  </si>
  <si>
    <t>Workbooks("HFU Forecast UTLA 1.0.xlsm").Worksheets("Combined data").Range("O264")</t>
  </si>
  <si>
    <t>Workbooks("HFU Forecast UTLA 1.0.xlsm").Worksheets("Combined data").Range("P264")</t>
  </si>
  <si>
    <t>Workbooks("HFU Forecast UTLA 1.0.xlsm").Worksheets("Combined data").Range("Q264")</t>
  </si>
  <si>
    <t>Workbooks("HFU Forecast UTLA 1.0.xlsm").Worksheets("Combined data").Range("R264")</t>
  </si>
  <si>
    <t>Workbooks("HFU Forecast UTLA 1.0.xlsm").Worksheets("Combined data").Range("S264")</t>
  </si>
  <si>
    <t>Workbooks("HFU Forecast UTLA 1.0.xlsm").Worksheets("Combined data").Range("T264")</t>
  </si>
  <si>
    <t>Workbooks("HFU Forecast UTLA 1.0.xlsm").Worksheets("Combined data").Range("U264")</t>
  </si>
  <si>
    <t>Workbooks("HFU Forecast UTLA 1.0.xlsm").Worksheets("Combined data").Range("V264")</t>
  </si>
  <si>
    <t>Workbooks("HFU Forecast UTLA 1.0.xlsm").Worksheets("Combined data").Range("W264")</t>
  </si>
  <si>
    <t>Workbooks("HFU Forecast UTLA 1.0.xlsm").Worksheets("Combined data").Range("X264")</t>
  </si>
  <si>
    <t>Workbooks("HFU Forecast UTLA 1.0.xlsm").Worksheets("Combined data").Range("Y264")</t>
  </si>
  <si>
    <t>Workbooks("HFU Forecast UTLA 1.0.xlsm").Worksheets("Combined data").Range("Z264")</t>
  </si>
  <si>
    <t>Workbooks("HFU Forecast UTLA 1.0.xlsm").Worksheets("Combined data").Range("AL264")</t>
  </si>
  <si>
    <t>Workbooks("HFU Forecast UTLA 1.0.xlsm").Worksheets("Combined data").Range("AM264")</t>
  </si>
  <si>
    <t>Workbooks("HFU Forecast UTLA 1.0.xlsm").Worksheets("Combined data").Range("AN264")</t>
  </si>
  <si>
    <t>Workbooks("HFU Forecast UTLA 1.0.xlsm").Worksheets("Combined data").Range("AO264")</t>
  </si>
  <si>
    <t>Workbooks("HFU Forecast UTLA 1.0.xlsm").Worksheets("Combined data").Range("AR225")</t>
  </si>
  <si>
    <t>Workbooks("HFU Forecast UTLA 1.0.xlsm").Worksheets("Combined data").Range("AS225")</t>
  </si>
  <si>
    <t>Workbooks("HFU Forecast UTLA 1.0.xlsm").Worksheets("Combined data").Range("AT225")</t>
  </si>
  <si>
    <t>Workbooks("HFU Forecast UTLA 1.0.xlsm").Worksheets("Combined data").Range("AU225")</t>
  </si>
  <si>
    <t>Workbooks("HFU Forecast UTLA 1.0.xlsm").Worksheets("Combined data").Range("AV225")</t>
  </si>
  <si>
    <t>Workbooks("HFU Forecast UTLA 1.0.xlsm").Worksheets("Combined data").Range("AW225")</t>
  </si>
  <si>
    <t>Workbooks("HFU Forecast UTLA 1.0.xlsm").Worksheets("Combined data").Range("AX225")</t>
  </si>
  <si>
    <t>Workbooks("HFU Forecast UTLA 1.0.xlsm").Worksheets("Combined data").Range("AY225")</t>
  </si>
  <si>
    <t>Workbooks("HFU Forecast UTLA 1.0.xlsm").Worksheets("Combined data").Range("AZ225")</t>
  </si>
  <si>
    <t>Workbooks("HFU Forecast UTLA 1.0.xlsm").Worksheets("Combined data").Range("AA225")</t>
  </si>
  <si>
    <t>Workbooks("HFU Forecast UTLA 1.0.xlsm").Worksheets("Combined data").Range("AB225")</t>
  </si>
  <si>
    <t>Workbooks("HFU Forecast UTLA 1.0.xlsm").Worksheets("Combined data").Range("AC225")</t>
  </si>
  <si>
    <t>Workbooks("HFU Forecast UTLA 1.0.xlsm").Worksheets("Combined data").Range("AD225")</t>
  </si>
  <si>
    <t>Workbooks("HFU Forecast UTLA 1.0.xlsm").Worksheets("Combined data").Range("AE225")</t>
  </si>
  <si>
    <t>Workbooks("HFU Forecast UTLA 1.0.xlsm").Worksheets("Combined data").Range("AF225")</t>
  </si>
  <si>
    <t>Workbooks("HFU Forecast UTLA 1.0.xlsm").Worksheets("Combined data").Range("AG225")</t>
  </si>
  <si>
    <t>Workbooks("HFU Forecast UTLA 1.0.xlsm").Worksheets("Combined data").Range("AH225")</t>
  </si>
  <si>
    <t>Workbooks("HFU Forecast UTLA 1.0.xlsm").Worksheets("Combined data").Range("AI225")</t>
  </si>
  <si>
    <t>Workbooks("HFU Forecast UTLA 1.0.xlsm").Worksheets("Combined data").Range("AJ225")</t>
  </si>
  <si>
    <t>Workbooks("HFU Forecast UTLA 1.0.xlsm").Worksheets("Combined data").Range("AK225")</t>
  </si>
  <si>
    <t>Workbooks("HFU Forecast UTLA 1.0.xlsm").Worksheets("Combined data").Range("BL225")</t>
  </si>
  <si>
    <t>Workbooks("HFU Forecast UTLA 1.0.xlsm").Worksheets("Combined data").Range("BM225")</t>
  </si>
  <si>
    <t>Workbooks("HFU Forecast UTLA 1.0.xlsm").Worksheets("Combined data").Range("BN225")</t>
  </si>
  <si>
    <t>Workbooks("HFU Forecast UTLA 1.0.xlsm").Worksheets("Combined data").Range("BO225")</t>
  </si>
  <si>
    <t>Workbooks("HFU Forecast UTLA 1.0.xlsm").Worksheets("Combined data").Range("BP225")</t>
  </si>
  <si>
    <t>Workbooks("HFU Forecast UTLA 1.0.xlsm").Worksheets("Combined data").Range("BQ225")</t>
  </si>
  <si>
    <t>Workbooks("HFU Forecast UTLA 1.0.xlsm").Worksheets("Combined data").Range("BR225")</t>
  </si>
  <si>
    <t>Workbooks("HFU Forecast UTLA 1.0.xlsm").Worksheets("Combined data").Range("BS225")</t>
  </si>
  <si>
    <t>Workbooks("HFU Forecast UTLA 1.0.xlsm").Worksheets("Combined data").Range("BT225")</t>
  </si>
  <si>
    <t>Workbooks("HFU Forecast UTLA 1.0.xlsm").Worksheets("Combined data").Range("BU225")</t>
  </si>
  <si>
    <t>Workbooks("HFU Forecast UTLA 1.0.xlsm").Worksheets("Combined data").Range("BV225")</t>
  </si>
  <si>
    <t>Workbooks("HFU Forecast UTLA 1.0.xlsm").Worksheets("Combined data").Range("BW225")</t>
  </si>
  <si>
    <t>Workbooks("HFU Forecast UTLA 1.0.xlsm").Worksheets("Combined data").Range("BX225")</t>
  </si>
  <si>
    <t>Workbooks("HFU Forecast UTLA 1.0.xlsm").Worksheets("Combined data").Range("BY225")</t>
  </si>
  <si>
    <t>Workbooks("HFU Forecast UTLA 1.0.xlsm").Worksheets("Combined data").Range("A216")</t>
  </si>
  <si>
    <t>Workbooks("HFU Forecast UTLA 1.0.xlsm").Worksheets("Combined data").Range("A219")</t>
  </si>
  <si>
    <t>Workbooks("HFU Forecast UTLA 1.0.xlsm").Worksheets("Combined data").Range("H225")</t>
  </si>
  <si>
    <t>Workbooks("HFU Forecast UTLA 1.0.xlsm").Worksheets("Combined data").Range("I225")</t>
  </si>
  <si>
    <t>Workbooks("HFU Forecast UTLA 1.0.xlsm").Worksheets("Combined data").Range("J225")</t>
  </si>
  <si>
    <t>Workbooks("HFU Forecast UTLA 1.0.xlsm").Worksheets("Combined data").Range("K225")</t>
  </si>
  <si>
    <t>Workbooks("HFU Forecast UTLA 1.0.xlsm").Worksheets("Combined data").Range("L225")</t>
  </si>
  <si>
    <t>Workbooks("HFU Forecast UTLA 1.0.xlsm").Worksheets("Combined data").Range("M225")</t>
  </si>
  <si>
    <t>Workbooks("HFU Forecast UTLA 1.0.xlsm").Worksheets("Combined data").Range("N225")</t>
  </si>
  <si>
    <t>Workbooks("HFU Forecast UTLA 1.0.xlsm").Worksheets("Combined data").Range("O225")</t>
  </si>
  <si>
    <t>Workbooks("HFU Forecast UTLA 1.0.xlsm").Worksheets("Combined data").Range("P225")</t>
  </si>
  <si>
    <t>Workbooks("HFU Forecast UTLA 1.0.xlsm").Worksheets("Combined data").Range("Q225")</t>
  </si>
  <si>
    <t>Workbooks("HFU Forecast UTLA 1.0.xlsm").Worksheets("Combined data").Range("R225")</t>
  </si>
  <si>
    <t>Workbooks("HFU Forecast UTLA 1.0.xlsm").Worksheets("Combined data").Range("S225")</t>
  </si>
  <si>
    <t>Workbooks("HFU Forecast UTLA 1.0.xlsm").Worksheets("Combined data").Range("T225")</t>
  </si>
  <si>
    <t>Workbooks("HFU Forecast UTLA 1.0.xlsm").Worksheets("Combined data").Range("U225")</t>
  </si>
  <si>
    <t>Workbooks("HFU Forecast UTLA 1.0.xlsm").Worksheets("Combined data").Range("V225")</t>
  </si>
  <si>
    <t>Workbooks("HFU Forecast UTLA 1.0.xlsm").Worksheets("Combined data").Range("W225")</t>
  </si>
  <si>
    <t>Workbooks("HFU Forecast UTLA 1.0.xlsm").Worksheets("Combined data").Range("X225")</t>
  </si>
  <si>
    <t>Workbooks("HFU Forecast UTLA 1.0.xlsm").Worksheets("Combined data").Range("Y225")</t>
  </si>
  <si>
    <t>Workbooks("HFU Forecast UTLA 1.0.xlsm").Worksheets("Combined data").Range("Z225")</t>
  </si>
  <si>
    <t>Workbooks("HFU Forecast UTLA 1.0.xlsm").Worksheets("Combined data").Range("AL225")</t>
  </si>
  <si>
    <t>Workbooks("HFU Forecast UTLA 1.0.xlsm").Worksheets("Combined data").Range("AM225")</t>
  </si>
  <si>
    <t>Workbooks("HFU Forecast UTLA 1.0.xlsm").Worksheets("Combined data").Range("AN225")</t>
  </si>
  <si>
    <t>Workbooks("HFU Forecast UTLA 1.0.xlsm").Worksheets("Combined data").Range("AO225")</t>
  </si>
  <si>
    <t>Workbooks("HFU Forecast UTLA 1.0.xlsm").Worksheets("Combined data").Range("AR174")</t>
  </si>
  <si>
    <t>Workbooks("HFU Forecast UTLA 1.0.xlsm").Worksheets("Combined data").Range("AS174")</t>
  </si>
  <si>
    <t>Workbooks("HFU Forecast UTLA 1.0.xlsm").Worksheets("Combined data").Range("AT174")</t>
  </si>
  <si>
    <t>Workbooks("HFU Forecast UTLA 1.0.xlsm").Worksheets("Combined data").Range("AU174")</t>
  </si>
  <si>
    <t>Workbooks("HFU Forecast UTLA 1.0.xlsm").Worksheets("Combined data").Range("AV174")</t>
  </si>
  <si>
    <t>Workbooks("HFU Forecast UTLA 1.0.xlsm").Worksheets("Combined data").Range("AW174")</t>
  </si>
  <si>
    <t>Workbooks("HFU Forecast UTLA 1.0.xlsm").Worksheets("Combined data").Range("AX174")</t>
  </si>
  <si>
    <t>Workbooks("HFU Forecast UTLA 1.0.xlsm").Worksheets("Combined data").Range("AY174")</t>
  </si>
  <si>
    <t>Workbooks("HFU Forecast UTLA 1.0.xlsm").Worksheets("Combined data").Range("AZ174")</t>
  </si>
  <si>
    <t>Workbooks("HFU Forecast UTLA 1.0.xlsm").Worksheets("Combined data").Range("AA174")</t>
  </si>
  <si>
    <t>Workbooks("HFU Forecast UTLA 1.0.xlsm").Worksheets("Combined data").Range("AB174")</t>
  </si>
  <si>
    <t>Workbooks("HFU Forecast UTLA 1.0.xlsm").Worksheets("Combined data").Range("AC174")</t>
  </si>
  <si>
    <t>Workbooks("HFU Forecast UTLA 1.0.xlsm").Worksheets("Combined data").Range("AD174")</t>
  </si>
  <si>
    <t>Workbooks("HFU Forecast UTLA 1.0.xlsm").Worksheets("Combined data").Range("AE174")</t>
  </si>
  <si>
    <t>Workbooks("HFU Forecast UTLA 1.0.xlsm").Worksheets("Combined data").Range("AF174")</t>
  </si>
  <si>
    <t>Workbooks("HFU Forecast UTLA 1.0.xlsm").Worksheets("Combined data").Range("AG174")</t>
  </si>
  <si>
    <t>Workbooks("HFU Forecast UTLA 1.0.xlsm").Worksheets("Combined data").Range("AH174")</t>
  </si>
  <si>
    <t>Workbooks("HFU Forecast UTLA 1.0.xlsm").Worksheets("Combined data").Range("AI174")</t>
  </si>
  <si>
    <t>Workbooks("HFU Forecast UTLA 1.0.xlsm").Worksheets("Combined data").Range("AJ174")</t>
  </si>
  <si>
    <t>Workbooks("HFU Forecast UTLA 1.0.xlsm").Worksheets("Combined data").Range("AK174")</t>
  </si>
  <si>
    <t>Workbooks("HFU Forecast UTLA 1.0.xlsm").Worksheets("Combined data").Range("BL174")</t>
  </si>
  <si>
    <t>Workbooks("HFU Forecast UTLA 1.0.xlsm").Worksheets("Combined data").Range("BM174")</t>
  </si>
  <si>
    <t>Workbooks("HFU Forecast UTLA 1.0.xlsm").Worksheets("Combined data").Range("BN174")</t>
  </si>
  <si>
    <t>Workbooks("HFU Forecast UTLA 1.0.xlsm").Worksheets("Combined data").Range("BO174")</t>
  </si>
  <si>
    <t>Workbooks("HFU Forecast UTLA 1.0.xlsm").Worksheets("Combined data").Range("BP174")</t>
  </si>
  <si>
    <t>Workbooks("HFU Forecast UTLA 1.0.xlsm").Worksheets("Combined data").Range("BQ174")</t>
  </si>
  <si>
    <t>Workbooks("HFU Forecast UTLA 1.0.xlsm").Worksheets("Combined data").Range("BR174")</t>
  </si>
  <si>
    <t>Workbooks("HFU Forecast UTLA 1.0.xlsm").Worksheets("Combined data").Range("BS174")</t>
  </si>
  <si>
    <t>Workbooks("HFU Forecast UTLA 1.0.xlsm").Worksheets("Combined data").Range("BT174")</t>
  </si>
  <si>
    <t>Workbooks("HFU Forecast UTLA 1.0.xlsm").Worksheets("Combined data").Range("BU174")</t>
  </si>
  <si>
    <t>Workbooks("HFU Forecast UTLA 1.0.xlsm").Worksheets("Combined data").Range("BV174")</t>
  </si>
  <si>
    <t>Workbooks("HFU Forecast UTLA 1.0.xlsm").Worksheets("Combined data").Range("BW174")</t>
  </si>
  <si>
    <t>Workbooks("HFU Forecast UTLA 1.0.xlsm").Worksheets("Combined data").Range("BX174")</t>
  </si>
  <si>
    <t>Workbooks("HFU Forecast UTLA 1.0.xlsm").Worksheets("Combined data").Range("BY174")</t>
  </si>
  <si>
    <t>Workbooks("HFU Forecast UTLA 1.0.xlsm").Worksheets("Combined data").Range("A165")</t>
  </si>
  <si>
    <t>Workbooks("HFU Forecast UTLA 1.0.xlsm").Worksheets("Combined data").Range("A167")</t>
  </si>
  <si>
    <t>Workbooks("HFU Forecast UTLA 1.0.xlsm").Worksheets("Combined data").Range("H174")</t>
  </si>
  <si>
    <t>Workbooks("HFU Forecast UTLA 1.0.xlsm").Worksheets("Combined data").Range("I174")</t>
  </si>
  <si>
    <t>Workbooks("HFU Forecast UTLA 1.0.xlsm").Worksheets("Combined data").Range("J174")</t>
  </si>
  <si>
    <t>Workbooks("HFU Forecast UTLA 1.0.xlsm").Worksheets("Combined data").Range("K174")</t>
  </si>
  <si>
    <t>Workbooks("HFU Forecast UTLA 1.0.xlsm").Worksheets("Combined data").Range("L174")</t>
  </si>
  <si>
    <t>Workbooks("HFU Forecast UTLA 1.0.xlsm").Worksheets("Combined data").Range("M174")</t>
  </si>
  <si>
    <t>Workbooks("HFU Forecast UTLA 1.0.xlsm").Worksheets("Combined data").Range("N174")</t>
  </si>
  <si>
    <t>Workbooks("HFU Forecast UTLA 1.0.xlsm").Worksheets("Combined data").Range("O174")</t>
  </si>
  <si>
    <t>Workbooks("HFU Forecast UTLA 1.0.xlsm").Worksheets("Combined data").Range("P174")</t>
  </si>
  <si>
    <t>Workbooks("HFU Forecast UTLA 1.0.xlsm").Worksheets("Combined data").Range("Q174")</t>
  </si>
  <si>
    <t>Workbooks("HFU Forecast UTLA 1.0.xlsm").Worksheets("Combined data").Range("R174")</t>
  </si>
  <si>
    <t>Workbooks("HFU Forecast UTLA 1.0.xlsm").Worksheets("Combined data").Range("S174")</t>
  </si>
  <si>
    <t>Workbooks("HFU Forecast UTLA 1.0.xlsm").Worksheets("Combined data").Range("T174")</t>
  </si>
  <si>
    <t>Workbooks("HFU Forecast UTLA 1.0.xlsm").Worksheets("Combined data").Range("U174")</t>
  </si>
  <si>
    <t>Workbooks("HFU Forecast UTLA 1.0.xlsm").Worksheets("Combined data").Range("V174")</t>
  </si>
  <si>
    <t>Workbooks("HFU Forecast UTLA 1.0.xlsm").Worksheets("Combined data").Range("W174")</t>
  </si>
  <si>
    <t>Workbooks("HFU Forecast UTLA 1.0.xlsm").Worksheets("Combined data").Range("X174")</t>
  </si>
  <si>
    <t>Workbooks("HFU Forecast UTLA 1.0.xlsm").Worksheets("Combined data").Range("Y174")</t>
  </si>
  <si>
    <t>Workbooks("HFU Forecast UTLA 1.0.xlsm").Worksheets("Combined data").Range("Z174")</t>
  </si>
  <si>
    <t>Workbooks("HFU Forecast UTLA 1.0.xlsm").Worksheets("Combined data").Range("AL174")</t>
  </si>
  <si>
    <t>Workbooks("HFU Forecast UTLA 1.0.xlsm").Worksheets("Combined data").Range("AM174")</t>
  </si>
  <si>
    <t>Workbooks("HFU Forecast UTLA 1.0.xlsm").Worksheets("Combined data").Range("AN174")</t>
  </si>
  <si>
    <t>Workbooks("HFU Forecast UTLA 1.0.xlsm").Worksheets("Combined data").Range("AO174")</t>
  </si>
  <si>
    <t>Workbooks("HFU Forecast UTLA 1.0.xlsm").Worksheets("Combined data").Range("AR9")</t>
  </si>
  <si>
    <t>Workbooks("HFU Forecast UTLA 1.0.xlsm").Worksheets("Combined data").Range("AS9")</t>
  </si>
  <si>
    <t>Workbooks("HFU Forecast UTLA 1.0.xlsm").Worksheets("Combined data").Range("AT9")</t>
  </si>
  <si>
    <t>Workbooks("HFU Forecast UTLA 1.0.xlsm").Worksheets("Combined data").Range("AU9")</t>
  </si>
  <si>
    <t>Workbooks("HFU Forecast UTLA 1.0.xlsm").Worksheets("Combined data").Range("AV9")</t>
  </si>
  <si>
    <t>Workbooks("HFU Forecast UTLA 1.0.xlsm").Worksheets("Combined data").Range("AW9")</t>
  </si>
  <si>
    <t>Workbooks("HFU Forecast UTLA 1.0.xlsm").Worksheets("Combined data").Range("AX9")</t>
  </si>
  <si>
    <t>Workbooks("HFU Forecast UTLA 1.0.xlsm").Worksheets("Combined data").Range("AY9")</t>
  </si>
  <si>
    <t>Workbooks("HFU Forecast UTLA 1.0.xlsm").Worksheets("Combined data").Range("AZ9")</t>
  </si>
  <si>
    <t>Workbooks("HFU Forecast UTLA 1.0.xlsm").Worksheets("Combined data").Range("BL9")</t>
  </si>
  <si>
    <t>Workbooks("HFU Forecast UTLA 1.0.xlsm").Worksheets("Combined data").Range("BM9")</t>
  </si>
  <si>
    <t>Workbooks("HFU Forecast UTLA 1.0.xlsm").Worksheets("Combined data").Range("BN9")</t>
  </si>
  <si>
    <t>Workbooks("HFU Forecast UTLA 1.0.xlsm").Worksheets("Combined data").Range("BO9")</t>
  </si>
  <si>
    <t>Workbooks("HFU Forecast UTLA 1.0.xlsm").Worksheets("Combined data").Range("BP9")</t>
  </si>
  <si>
    <t>Workbooks("HFU Forecast UTLA 1.0.xlsm").Worksheets("Combined data").Range("BQ9")</t>
  </si>
  <si>
    <t>Workbooks("HFU Forecast UTLA 1.0.xlsm").Worksheets("Combined data").Range("BR9")</t>
  </si>
  <si>
    <t>Workbooks("HFU Forecast UTLA 1.0.xlsm").Worksheets("Combined data").Range("BS9")</t>
  </si>
  <si>
    <t>Workbooks("HFU Forecast UTLA 1.0.xlsm").Worksheets("Combined data").Range("BT9")</t>
  </si>
  <si>
    <t>Workbooks("HFU Forecast UTLA 1.0.xlsm").Worksheets("Combined data").Range("BU9")</t>
  </si>
  <si>
    <t>Workbooks("HFU Forecast UTLA 1.0.xlsm").Worksheets("Combined data").Range("BV9")</t>
  </si>
  <si>
    <t>Workbooks("HFU Forecast UTLA 1.0.xlsm").Worksheets("Combined data").Range("BW9")</t>
  </si>
  <si>
    <t>Workbooks("HFU Forecast UTLA 1.0.xlsm").Worksheets("Combined data").Range("BX9")</t>
  </si>
  <si>
    <t>Workbooks("HFU Forecast UTLA 1.0.xlsm").Worksheets("Combined data").Range("BY9")</t>
  </si>
  <si>
    <t xml:space="preserve"> Workbooks("Ukraine_sponsorship_data_1.ods").Worksheets("UTLA_-_England").Range("C11:C165").Copy _</t>
  </si>
  <si>
    <t xml:space="preserve"> Workbooks("Ukraine_sponsorship_data_1.ods").Worksheets("Wales").Range("A7:B43").Copy _</t>
  </si>
  <si>
    <t xml:space="preserve"> Workbooks("Ukraine_sponsorship_data_1.ods").Worksheets("Wales").Range("C13:C43").Copy _</t>
  </si>
  <si>
    <t xml:space="preserve"> Workbooks("Ukraine_sponsorship_data_2.ods").Worksheets("Wales").Range("D13:D43").Copy _</t>
  </si>
  <si>
    <t xml:space="preserve"> Workbooks("Ukraine_sponsorship_data_3.ods").Worksheets("Wales").Range("D13:D43").Copy _</t>
  </si>
  <si>
    <t xml:space="preserve"> Workbooks("Ukraine_sponsorship_data_4.ods").Worksheets("Wales").Range("D13:D43").Copy _</t>
  </si>
  <si>
    <t xml:space="preserve"> Workbooks("Ukraine_sponsorship_data_5.ods").Worksheets("Wales").Range("D13:D43").Copy _</t>
  </si>
  <si>
    <t xml:space="preserve"> Workbooks("Ukraine_sponsorship_data_6.ods").Worksheets("Wales").Range("D13:D43").Copy _</t>
  </si>
  <si>
    <t xml:space="preserve"> Workbooks("Ukraine_sponsorship_data_7.ods").Worksheets("Wales").Range("D13:D43").Copy _</t>
  </si>
  <si>
    <t xml:space="preserve"> Workbooks("Ukraine_sponsorship_data_8.ods").Worksheets("Wales").Range("D13:D43").Copy _</t>
  </si>
  <si>
    <t xml:space="preserve"> Workbooks("Ukraine_sponsorship_data_9.ods").Worksheets("Wales").Range("D13:D43").Copy _</t>
  </si>
  <si>
    <t xml:space="preserve"> Workbooks("Ukraine_sponsorship_data_10.ods").Worksheets("Wales").Range("D13:D43").Copy _</t>
  </si>
  <si>
    <t xml:space="preserve"> Workbooks("Ukraine_sponsorship_data_11.ods").Worksheets("Wales").Range("D13:D43").Copy _</t>
  </si>
  <si>
    <t xml:space="preserve"> Workbooks("Ukraine_sponsorship_data_12.ods").Worksheets("Wales").Range("D13:D43").Copy _</t>
  </si>
  <si>
    <t xml:space="preserve"> Workbooks("Ukraine_sponsorship_data_13.ods").Worksheets("Wales").Range("D13:D43").Copy _</t>
  </si>
  <si>
    <t xml:space="preserve"> Workbooks("Ukraine_sponsorship_data_14.ods").Worksheets("Wales").Range("D13:D43").Copy _</t>
  </si>
  <si>
    <t xml:space="preserve"> Workbooks("Ukraine_sponsorship_data_15.ods").Worksheets("Wales").Range("D13:D43").Copy _</t>
  </si>
  <si>
    <t xml:space="preserve"> Workbooks("Ukraine_sponsorship_data_16.ods").Worksheets("Wales").Range("D13:D43").Copy _</t>
  </si>
  <si>
    <t xml:space="preserve"> Workbooks("Ukraine_sponsorship_data_17.ods").Worksheets("Wales").Range("D13:D43").Copy _</t>
  </si>
  <si>
    <t xml:space="preserve"> Workbooks("Ukraine_sponsorship_data_18.ods").Worksheets("Wales").Range("D13:D43").Copy _</t>
  </si>
  <si>
    <t xml:space="preserve"> Workbooks("Ukraine_sponsorship_data_19.ods").Worksheets("Wales").Range("D13:D43").Copy _</t>
  </si>
  <si>
    <t xml:space="preserve"> Workbooks("Ukraine_sponsorship_data_20.ods").Worksheets("Wales").Range("D13:D43").Copy _</t>
  </si>
  <si>
    <t xml:space="preserve"> Workbooks("Ukraine_sponsorship_data_21.ods").Worksheets("Wales").Range("D13:D43").Copy _</t>
  </si>
  <si>
    <t xml:space="preserve"> Workbooks("Ukraine_sponsorship_data_22.ods").Worksheets("Wales").Range("D13:D43").Copy _</t>
  </si>
  <si>
    <t xml:space="preserve"> Workbooks("Ukraine_sponsorship_data_23.ods").Worksheets("Wales").Range("D13:D43").Copy _</t>
  </si>
  <si>
    <t xml:space="preserve"> Workbooks("Ukraine_sponsorship_data_24.ods").Worksheets("Wales").Range("D13:D43").Copy _</t>
  </si>
  <si>
    <t xml:space="preserve"> Workbooks("Ukraine_sponsorship_data_25.ods").Worksheets("Wales").Range("D13:D43").Copy _</t>
  </si>
  <si>
    <t xml:space="preserve"> Workbooks("Ukraine_sponsorship_data_26.ods").Worksheets("Wales").Range("D13:D43").Copy _</t>
  </si>
  <si>
    <t xml:space="preserve"> Workbooks("Ukraine_sponsorship_data_27.ods").Worksheets("Wales").Range("D13:D43").Copy _</t>
  </si>
  <si>
    <t xml:space="preserve"> Workbooks("Ukraine_sponsorship_data_28.ods").Worksheets("Wales").Range("D13:D43").Copy _</t>
  </si>
  <si>
    <t xml:space="preserve"> Workbooks("Ukraine_sponsorship_data_29.ods").Worksheets("Wales").Range("D13:D43").Copy _</t>
  </si>
  <si>
    <t xml:space="preserve"> Workbooks("Ukraine_sponsorship_data_30.ods").Worksheets("Wales").Range("D13:D43").Copy _</t>
  </si>
  <si>
    <t xml:space="preserve"> Workbooks("Ukraine_sponsorship_data_31.ods").Worksheets("Wales").Range("D13:D43").Copy _</t>
  </si>
  <si>
    <t xml:space="preserve"> Workbooks("Ukraine_sponsorship_data_32.ods").Worksheets("Wales").Range("D13:D43").Copy _</t>
  </si>
  <si>
    <t xml:space="preserve"> Workbooks("Ukraine_sponsorship_data_33.ods").Worksheets("Wales").Range("D13:D43").Copy _</t>
  </si>
  <si>
    <t xml:space="preserve"> Workbooks("Ukraine_sponsorship_data_34.ods").Worksheets("Wales").Range("D13:D43").Copy _</t>
  </si>
  <si>
    <t>Workbooks("HFU Forecast UTLA 1.0.xlsm").Worksheets("Combined data").Range("BA225")</t>
  </si>
  <si>
    <t>Workbooks("HFU Forecast UTLA 1.0.xlsm").Worksheets("Combined data").Range("BB225")</t>
  </si>
  <si>
    <t>Workbooks("HFU Forecast UTLA 1.0.xlsm").Worksheets("Combined data").Range("BC225")</t>
  </si>
  <si>
    <t>Workbooks("HFU Forecast UTLA 1.0.xlsm").Worksheets("Combined data").Range("BD225")</t>
  </si>
  <si>
    <t>Workbooks("HFU Forecast UTLA 1.0.xlsm").Worksheets("Combined data").Range("BE225")</t>
  </si>
  <si>
    <t>Workbooks("HFU Forecast UTLA 1.0.xlsm").Worksheets("Combined data").Range("BF225")</t>
  </si>
  <si>
    <t>Workbooks("HFU Forecast UTLA 1.0.xlsm").Worksheets("Combined data").Range("BG225")</t>
  </si>
  <si>
    <t>Workbooks("HFU Forecast UTLA 1.0.xlsm").Worksheets("Combined data").Range("BH225")</t>
  </si>
  <si>
    <t>Workbooks("HFU Forecast UTLA 1.0.xlsm").Worksheets("Combined data").Range("BI225")</t>
  </si>
  <si>
    <t>Workbooks("HFU Forecast UTLA 1.0.xlsm").Worksheets("Combined data").Range("BJ225")</t>
  </si>
  <si>
    <t>Workbooks("HFU Forecast UTLA 1.0.xlsm").Worksheets("Combined data").Range("BK225")</t>
  </si>
  <si>
    <t xml:space="preserve"> Workbooks("Ukraine_sponsorship_data_1.ods").Worksheets("UTLA_-_England").Range("D11:D165").Copy _</t>
  </si>
  <si>
    <t xml:space="preserve"> Workbooks("Ukraine_sponsorship_data_2.ods").Worksheets("UTLA_-_England").Range("E11:E165").Copy _</t>
  </si>
  <si>
    <t xml:space="preserve"> Workbooks("Ukraine_sponsorship_data_3.ods").Worksheets("UTLA_-_England").Range("E11:E165").Copy _</t>
  </si>
  <si>
    <t xml:space="preserve"> Workbooks("Ukraine_sponsorship_data_4.ods").Worksheets("UTLA_-_England").Range("E11:E165").Copy _</t>
  </si>
  <si>
    <t xml:space="preserve"> Workbooks("Ukraine_sponsorship_data_5.ods").Worksheets("UTLA_-_England").Range("E11:E165").Copy _</t>
  </si>
  <si>
    <t xml:space="preserve"> Workbooks("Ukraine_sponsorship_data_6.ods").Worksheets("UTLA_-_England").Range("E11:E165").Copy _</t>
  </si>
  <si>
    <t xml:space="preserve"> Workbooks("Ukraine_sponsorship_data_7.ods").Worksheets("UTLA_-_England").Range("E11:E165").Copy _</t>
  </si>
  <si>
    <t xml:space="preserve"> Workbooks("Ukraine_sponsorship_data_8.ods").Worksheets("UTLA_-_England").Range("E11:E165").Copy _</t>
  </si>
  <si>
    <t xml:space="preserve"> Workbooks("Ukraine_sponsorship_data_9.ods").Worksheets("UTLA_-_England").Range("E11:E165").Copy _</t>
  </si>
  <si>
    <t xml:space="preserve"> Workbooks("Ukraine_sponsorship_data_10.ods").Worksheets("UTLA_-_England").Range("E11:E165").Copy _</t>
  </si>
  <si>
    <t xml:space="preserve"> Workbooks("Ukraine_sponsorship_data_11.ods").Worksheets("UTLA_-_England").Range("E11:E165").Copy _</t>
  </si>
  <si>
    <t xml:space="preserve"> Workbooks("Ukraine_sponsorship_data_12.ods").Worksheets("UTLA_-_England").Range("E11:E165").Copy _</t>
  </si>
  <si>
    <t xml:space="preserve"> Workbooks("Ukraine_sponsorship_data_13.ods").Worksheets("UTLA_-_England").Range("E11:E165").Copy _</t>
  </si>
  <si>
    <t xml:space="preserve"> Workbooks("Ukraine_sponsorship_data_14.ods").Worksheets("UTLA_-_England").Range("E11:E165").Copy _</t>
  </si>
  <si>
    <t xml:space="preserve"> Workbooks("Ukraine_sponsorship_data_15.ods").Worksheets("UTLA_-_England").Range("E11:E165").Copy _</t>
  </si>
  <si>
    <t xml:space="preserve"> Workbooks("Ukraine_sponsorship_data_16.ods").Worksheets("UTLA_-_England").Range("E11:E165").Copy _</t>
  </si>
  <si>
    <t xml:space="preserve"> Workbooks("Ukraine_sponsorship_data_17.ods").Worksheets("UTLA_-_England").Range("E11:E165").Copy _</t>
  </si>
  <si>
    <t xml:space="preserve"> Workbooks("Ukraine_sponsorship_data_18.ods").Worksheets("UTLA_-_England").Range("E11:E165").Copy _</t>
  </si>
  <si>
    <t xml:space="preserve"> Workbooks("Ukraine_sponsorship_data_19.ods").Worksheets("UTLA_-_England").Range("E11:E165").Copy _</t>
  </si>
  <si>
    <t xml:space="preserve"> Workbooks("Ukraine_sponsorship_data_20.ods").Worksheets("UTLA_-_England").Range("E11:E165").Copy _</t>
  </si>
  <si>
    <t xml:space="preserve"> Workbooks("Ukraine_sponsorship_data_21.ods").Worksheets("UTLA_-_England").Range("E11:E165").Copy _</t>
  </si>
  <si>
    <t xml:space="preserve"> Workbooks("Ukraine_sponsorship_data_22.ods").Worksheets("UTLA_-_England").Range("E11:E165").Copy _</t>
  </si>
  <si>
    <t xml:space="preserve"> Workbooks("Ukraine_sponsorship_data_23.ods").Worksheets("UTLA_-_England").Range("E11:E165").Copy _</t>
  </si>
  <si>
    <t xml:space="preserve"> Workbooks("Ukraine_sponsorship_data_24.ods").Worksheets("UTLA_-_England").Range("E11:E165").Copy _</t>
  </si>
  <si>
    <t xml:space="preserve"> Workbooks("Ukraine_sponsorship_data_25.ods").Worksheets("UTLA_-_England").Range("E11:E165").Copy _</t>
  </si>
  <si>
    <t xml:space="preserve"> Workbooks("Ukraine_sponsorship_data_26.ods").Worksheets("UTLA_-_England").Range("E11:E165").Copy _</t>
  </si>
  <si>
    <t xml:space="preserve"> Workbooks("Ukraine_sponsorship_data_27.ods").Worksheets("UTLA_-_England").Range("E11:E165").Copy _</t>
  </si>
  <si>
    <t xml:space="preserve"> Workbooks("Ukraine_sponsorship_data_28.ods").Worksheets("UTLA_-_England").Range("E11:E165").Copy _</t>
  </si>
  <si>
    <t xml:space="preserve"> Workbooks("Ukraine_sponsorship_data_29.ods").Worksheets("UTLA_-_England").Range("E11:E165").Copy _</t>
  </si>
  <si>
    <t xml:space="preserve"> Workbooks("Ukraine_sponsorship_data_30.ods").Worksheets("UTLA_-_England").Range("E11:E165").Copy _</t>
  </si>
  <si>
    <t xml:space="preserve"> Workbooks("Ukraine_sponsorship_data_31.ods").Worksheets("UTLA_-_England").Range("E11:E165").Copy _</t>
  </si>
  <si>
    <t xml:space="preserve"> Workbooks("Ukraine_sponsorship_data_32.ods").Worksheets("UTLA_-_England").Range("E11:E165").Copy _</t>
  </si>
  <si>
    <t xml:space="preserve"> Workbooks("Ukraine_sponsorship_data_33.ods").Worksheets("UTLA_-_England").Range("E11:E165").Copy _</t>
  </si>
  <si>
    <t xml:space="preserve"> Workbooks("Ukraine_sponsorship_data_34.ods").Worksheets("UTLA_-_England").Range("E11:E165").Copy _</t>
  </si>
  <si>
    <t>Workbooks("HFU Forecast UTLA 1.0.xlsm").Worksheets("Combined data").Range("BA9")</t>
  </si>
  <si>
    <t>Workbooks("HFU Forecast UTLA 1.0.xlsm").Worksheets("Combined data").Range("BB9")</t>
  </si>
  <si>
    <t>Workbooks("HFU Forecast UTLA 1.0.xlsm").Worksheets("Combined data").Range("BC9")</t>
  </si>
  <si>
    <t>Workbooks("HFU Forecast UTLA 1.0.xlsm").Worksheets("Combined data").Range("BD9")</t>
  </si>
  <si>
    <t>Workbooks("HFU Forecast UTLA 1.0.xlsm").Worksheets("Combined data").Range("BE9")</t>
  </si>
  <si>
    <t>Workbooks("HFU Forecast UTLA 1.0.xlsm").Worksheets("Combined data").Range("BF9")</t>
  </si>
  <si>
    <t>Workbooks("HFU Forecast UTLA 1.0.xlsm").Worksheets("Combined data").Range("BG9")</t>
  </si>
  <si>
    <t>Workbooks("HFU Forecast UTLA 1.0.xlsm").Worksheets("Combined data").Range("BH9")</t>
  </si>
  <si>
    <t>Workbooks("HFU Forecast UTLA 1.0.xlsm").Worksheets("Combined data").Range("BI9")</t>
  </si>
  <si>
    <t>Workbooks("HFU Forecast UTLA 1.0.xlsm").Worksheets("Combined data").Range("BJ9")</t>
  </si>
  <si>
    <t>Workbooks("HFU Forecast UTLA 1.0.xlsm").Worksheets("Combined data").Range("BK9")</t>
  </si>
  <si>
    <t>Purpose</t>
  </si>
  <si>
    <t>This Workbook is a resource for those in the UK helping Ukrainian mothers and children  escape the barbarity of Russia's war upon their country.</t>
  </si>
  <si>
    <t>It is intended to encourage bold efforts to rematch refugees with new hosts, particularly those who initially signed up to the Scheme but didn’t find a family to host.</t>
  </si>
  <si>
    <t>The Homes for Ukraine scheme was an effective way of uniting the outpouring of citizens' goodwill  with the administrative efforts of government.</t>
  </si>
  <si>
    <t>It enabled more than a hundred thousand Ukrainians, mostly women and children, to find a safe home in the UK while their men stayed behind to fight for their homeland.</t>
  </si>
  <si>
    <t>Richard Harrington, the author of the Scheme declared it a success in the summer and hoped that it would become the template for all future refugee schemes.</t>
  </si>
  <si>
    <t>But after Richard Harrington stepped down in September, several significant developments have meant much urgent work remains to be done before this Scheme can be regarded as a success.</t>
  </si>
  <si>
    <t>Council budgets are under severe pressure due to inflation, steeply rising energy and mortage costs make hosting more difficult.</t>
  </si>
  <si>
    <t>Worst of all, the war seems set to continue for many months as Russia attempts to bring misery to an entire population by bombing residential apartments, schools, hospitals and electrical installation across the country.</t>
  </si>
  <si>
    <t>Critical Factors</t>
  </si>
  <si>
    <t>Sponsors signed up to host families for 6 months.  As the war continues with no sign of end, an urgent question arises.  Where do a hundred thousand Ukrainian women and children live after that initial six month period?</t>
  </si>
  <si>
    <t>Concerns have been raised in a general sort of way in the  press, And they have been answered in a general sort of way by government and local authorities - we are aware of the issue  and we are working on it.</t>
  </si>
  <si>
    <t>However, to understand the scale and urgency of the issue more than a general notion of the problem is needed.  We need to understand when, where, how many,and how much?</t>
  </si>
  <si>
    <t>When will refugees come to the end of their 6 month stay, where do they live, how many are there, and how much will it cost local authorities to house them in temporary accommodation as a last resort?</t>
  </si>
  <si>
    <t>This Workbook provides this information based on latest available government data together with best estimates of what is likely to happen.</t>
  </si>
  <si>
    <t>How many current hosts will definitely continue.  How many are undecided but may continue.  How many new hosts can be found. How many refugees will find rented accommodation.  How many will find other alternatives?</t>
  </si>
  <si>
    <t>Each of these critical factors will determine how many eventually find themselves once again homeless, this time in the UK.</t>
  </si>
  <si>
    <t>Design</t>
  </si>
  <si>
    <t>This Workbook collects into a Combined data sheet, data published on this UK Gov website, of end-of-week totals for visas issued and arrivals under the Homes for Ukraine scheme.</t>
  </si>
  <si>
    <t>See here</t>
  </si>
  <si>
    <t>From the Combined data a Rolling report is generated showing the same data by week since May 10th,  the first data recorded after the start of the scheme</t>
  </si>
  <si>
    <t>3From the Rolling report a forecast is generated of numbers at risk of homelessness 6 months after their arrival if No Action is taken by UK government and local authorities to prevent homelessness</t>
  </si>
  <si>
    <t>4. This No Action report applies two factors to the raw Rolling report data which are set out in the table above: likely homelessness % and cost per week of temporary accommodation.</t>
  </si>
  <si>
    <t>5. A second Action report applies different factors assuming  effective action is taken to prevent homelessness, specifically, but not exclusively,  a proactive rematching campaign.</t>
  </si>
  <si>
    <t>6. The Reporting sheet compares No Action to Action results, showing potential savings in terms of people and costs of an effective Action campaign week by week for the next 6 months</t>
  </si>
  <si>
    <t>7. The reporting box shows, at local authority and country level, how many people could be saved from homelessness and how much cash could be saved after  6 months by an effective Action campaign</t>
  </si>
  <si>
    <t>Author</t>
  </si>
  <si>
    <t xml:space="preserve">This Workbook has been produced by a team at the Friendship Centre for Ukrainians at St Michael's Church, Summertown, Oxford </t>
  </si>
  <si>
    <t>friendshipcentre@gmail.com</t>
  </si>
  <si>
    <t>https://www.stmichaels-summertown.org.uk/</t>
  </si>
  <si>
    <t xml:space="preserve">The Friendship Centre was organised by Professor Michael Taylor in Spring of this year,  and is staffed by around 30 volunteers from the local community.  </t>
  </si>
  <si>
    <t>It runs lunchtime drop-in sessions for Ukrainian refugees and hosts where they can meet each other, share ideas, get advice, have language lessons, eat pizza and find friendship.</t>
  </si>
  <si>
    <t>More than 130 Ukrainians and 30 hosts have visited the Centre during this time</t>
  </si>
  <si>
    <t>During this time the  Centre has gained a good deal of experience and understanding of the practical issues involved in integrating these refugees into the community.</t>
  </si>
  <si>
    <t>The Friendship Centre welcomes contact with other similar community groups around the country to share ideas and advice.</t>
  </si>
  <si>
    <t>In particular the Friendship Centre wishes to work closely with district councils to ensure that as many as possible of our guests can avoid the plight of once again becoming homeless.</t>
  </si>
  <si>
    <t>→</t>
  </si>
  <si>
    <t>Figures in 13 green outlined boxes left are initial estimates only and are editable.  Please update if you have better estimates for your locality.</t>
  </si>
  <si>
    <r>
      <t xml:space="preserve">Search country from drop down list or double click and type in name of local authority </t>
    </r>
    <r>
      <rPr>
        <sz val="18"/>
        <color rgb="FFFF0000"/>
        <rFont val="Calibri"/>
        <family val="2"/>
        <scheme val="minor"/>
      </rPr>
      <t xml:space="preserve">        </t>
    </r>
  </si>
  <si>
    <t>←</t>
  </si>
  <si>
    <t>Reconciliation from Latest UK Government data to this planner</t>
  </si>
  <si>
    <t>UK Gov data</t>
  </si>
  <si>
    <t xml:space="preserve"> Workbooks("Ukraine_sponsorship_data_1.ods").Worksheets("Scotland").Range("D13:D53").Copy _</t>
  </si>
  <si>
    <t>Workbooks("HFU Forecast UTLA 1.0.xlsm").Worksheets("Combined data").Range("BA174")</t>
  </si>
  <si>
    <t>Workbooks("HFU Forecast UTLA 1.0.xlsm").Worksheets("Combined data").Range("BB174")</t>
  </si>
  <si>
    <t>Workbooks("HFU Forecast UTLA 1.0.xlsm").Worksheets("Combined data").Range("BC174")</t>
  </si>
  <si>
    <t>Workbooks("HFU Forecast UTLA 1.0.xlsm").Worksheets("Combined data").Range("BD174")</t>
  </si>
  <si>
    <t>Workbooks("HFU Forecast UTLA 1.0.xlsm").Worksheets("Combined data").Range("BE174")</t>
  </si>
  <si>
    <t>Workbooks("HFU Forecast UTLA 1.0.xlsm").Worksheets("Combined data").Range("BF174")</t>
  </si>
  <si>
    <t>Workbooks("HFU Forecast UTLA 1.0.xlsm").Worksheets("Combined data").Range("BG174")</t>
  </si>
  <si>
    <t>Workbooks("HFU Forecast UTLA 1.0.xlsm").Worksheets("Combined data").Range("BH174")</t>
  </si>
  <si>
    <t>Workbooks("HFU Forecast UTLA 1.0.xlsm").Worksheets("Combined data").Range("BI174")</t>
  </si>
  <si>
    <t>Workbooks("HFU Forecast UTLA 1.0.xlsm").Worksheets("Combined data").Range("BJ174")</t>
  </si>
  <si>
    <t>Workbooks("HFU Forecast UTLA 1.0.xlsm").Worksheets("Combined data").Range("BK174")</t>
  </si>
  <si>
    <t>Workbooks("HFU Forecast UTLA 1.0.xlsm").Worksheets("Combined data").Range("BA264")</t>
  </si>
  <si>
    <t>Workbooks("HFU Forecast UTLA 1.0.xlsm").Worksheets("Combined data").Range("BB264")</t>
  </si>
  <si>
    <t>Workbooks("HFU Forecast UTLA 1.0.xlsm").Worksheets("Combined data").Range("BC264")</t>
  </si>
  <si>
    <t>Workbooks("HFU Forecast UTLA 1.0.xlsm").Worksheets("Combined data").Range("BD264")</t>
  </si>
  <si>
    <t>Workbooks("HFU Forecast UTLA 1.0.xlsm").Worksheets("Combined data").Range("BE264")</t>
  </si>
  <si>
    <t>Workbooks("HFU Forecast UTLA 1.0.xlsm").Worksheets("Combined data").Range("BF264")</t>
  </si>
  <si>
    <t>Workbooks("HFU Forecast UTLA 1.0.xlsm").Worksheets("Combined data").Range("BG264")</t>
  </si>
  <si>
    <t>Workbooks("HFU Forecast UTLA 1.0.xlsm").Worksheets("Combined data").Range("BH264")</t>
  </si>
  <si>
    <t>Workbooks("HFU Forecast UTLA 1.0.xlsm").Worksheets("Combined data").Range("BI264")</t>
  </si>
  <si>
    <t>Workbooks("HFU Forecast UTLA 1.0.xlsm").Worksheets("Combined data").Range("BJ264")</t>
  </si>
  <si>
    <t>Workbooks("HFU Forecast UTLA 1.0.xlsm").Worksheets("Combined data").Range("BK264")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</si>
</sst>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
    <numFmt numFmtId="165" formatCode="&quot;£&quot;#,##0"/>
    <numFmt numFmtId="166" formatCode="0.0"/>
  </numFmts>
  <fonts count="50" x14ac:knownFonts="1">
    <font>
      <sz val="11"/>
      <color theme="1"/>
      <name val="Calibri"/>
      <family val="2"/>
      <scheme val="minor"/>
    </font>
    <font>
      <sz val="11"/>
      <color rgb="FF000000"/>
      <name val="Calibri"/>
      <family val="2"/>
    </font>
    <font>
      <b/>
      <sz val="15"/>
      <color theme="3"/>
      <name val="Calibri"/>
      <family val="2"/>
      <scheme val="minor"/>
    </font>
    <font>
      <b/>
      <sz val="16"/>
      <color rgb="FF000000"/>
      <name val="Arial"/>
      <family val="2"/>
    </font>
    <font>
      <sz val="11"/>
      <color rgb="FF000000"/>
      <name val="Arial"/>
      <family val="2"/>
    </font>
    <font>
      <i/>
      <sz val="11"/>
      <color rgb="FF000000"/>
      <name val="Arial"/>
      <family val="2"/>
    </font>
    <font>
      <sz val="11"/>
      <color rgb="FFFF0000"/>
      <name val="Arial"/>
      <family val="2"/>
    </font>
    <font>
      <b/>
      <sz val="11"/>
      <color rgb="FF000000"/>
      <name val="Arial"/>
      <family val="2"/>
    </font>
    <font>
      <b/>
      <sz val="11"/>
      <color rgb="FF000000"/>
      <name val="Calibri"/>
      <family val="2"/>
    </font>
    <font>
      <sz val="11"/>
      <color rgb="FFFF0000"/>
      <name val="Calibri"/>
      <family val="2"/>
      <scheme val="minor"/>
    </font>
    <font>
      <b/>
      <sz val="12"/>
      <color theme="1"/>
      <name val="Calibri"/>
      <family val="2"/>
      <scheme val="minor"/>
    </font>
    <font>
      <b/>
      <sz val="11"/>
      <color rgb="FFFF0000"/>
      <name val="Calibri"/>
      <family val="2"/>
      <scheme val="minor"/>
    </font>
    <font>
      <b/>
      <sz val="12"/>
      <color rgb="FFFF0000"/>
      <name val="Calibri"/>
      <family val="2"/>
      <scheme val="minor"/>
    </font>
    <font>
      <b/>
      <sz val="11"/>
      <color rgb="FFFF0000"/>
      <name val="Arial"/>
      <family val="2"/>
    </font>
    <font>
      <sz val="8"/>
      <name val="Calibri"/>
      <family val="2"/>
      <scheme val="minor"/>
    </font>
    <font>
      <b/>
      <sz val="14"/>
      <color theme="1"/>
      <name val="Calibri"/>
      <family val="2"/>
      <scheme val="minor"/>
    </font>
    <font>
      <sz val="14"/>
      <color theme="1"/>
      <name val="Calibri"/>
      <family val="2"/>
      <scheme val="minor"/>
    </font>
    <font>
      <sz val="11"/>
      <name val="Calibri"/>
      <family val="2"/>
      <scheme val="minor"/>
    </font>
    <font>
      <b/>
      <sz val="11"/>
      <color theme="1"/>
      <name val="Calibri"/>
      <family val="2"/>
      <scheme val="minor"/>
    </font>
    <font>
      <sz val="24"/>
      <color theme="1"/>
      <name val="Calibri"/>
      <family val="2"/>
      <scheme val="minor"/>
    </font>
    <font>
      <sz val="20"/>
      <color theme="1"/>
      <name val="Calibri"/>
      <family val="2"/>
      <scheme val="minor"/>
    </font>
    <font>
      <sz val="26"/>
      <color theme="1"/>
      <name val="Calibri"/>
      <family val="2"/>
      <scheme val="minor"/>
    </font>
    <font>
      <sz val="24"/>
      <color theme="9" tint="-0.249977111117893"/>
      <name val="Calibri"/>
      <family val="2"/>
      <scheme val="minor"/>
    </font>
    <font>
      <b/>
      <sz val="16"/>
      <color theme="1"/>
      <name val="Calibri"/>
      <family val="2"/>
      <scheme val="minor"/>
    </font>
    <font>
      <b/>
      <sz val="16"/>
      <color rgb="FFFF0000"/>
      <name val="Calibri"/>
      <family val="2"/>
      <scheme val="minor"/>
    </font>
    <font>
      <b/>
      <sz val="16"/>
      <color theme="9" tint="-0.249977111117893"/>
      <name val="Calibri"/>
      <family val="2"/>
      <scheme val="minor"/>
    </font>
    <font>
      <sz val="14"/>
      <color rgb="FFFF0000"/>
      <name val="Calibri"/>
      <family val="2"/>
      <scheme val="minor"/>
    </font>
    <font>
      <sz val="14"/>
      <color theme="9" tint="-0.249977111117893"/>
      <name val="Calibri"/>
      <family val="2"/>
      <scheme val="minor"/>
    </font>
    <font>
      <sz val="48"/>
      <color theme="1"/>
      <name val="Calibri"/>
      <family val="2"/>
      <scheme val="minor"/>
    </font>
    <font>
      <b/>
      <sz val="11"/>
      <color theme="9" tint="-0.249977111117893"/>
      <name val="Calibri"/>
      <family val="2"/>
      <scheme val="minor"/>
    </font>
    <font>
      <b/>
      <sz val="14"/>
      <color theme="9" tint="-0.249977111117893"/>
      <name val="Calibri"/>
      <family val="2"/>
      <scheme val="minor"/>
    </font>
    <font>
      <sz val="10"/>
      <color theme="1"/>
      <name val="Calibri"/>
      <family val="2"/>
      <scheme val="minor"/>
    </font>
    <font>
      <sz val="8"/>
      <color theme="1"/>
      <name val="Calibri"/>
      <family val="2"/>
      <scheme val="minor"/>
    </font>
    <font>
      <b/>
      <sz val="16"/>
      <color rgb="FF0070C0"/>
      <name val="Calibri"/>
      <family val="2"/>
      <scheme val="minor"/>
    </font>
    <font>
      <b/>
      <sz val="26"/>
      <color theme="1"/>
      <name val="Calibri"/>
      <family val="2"/>
      <scheme val="minor"/>
    </font>
    <font>
      <b/>
      <sz val="20"/>
      <color theme="1"/>
      <name val="Calibri"/>
      <family val="2"/>
      <scheme val="minor"/>
    </font>
    <font>
      <sz val="18"/>
      <color theme="1"/>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22"/>
      <color theme="1"/>
      <name val="Calibri"/>
      <family val="2"/>
      <scheme val="minor"/>
    </font>
    <font>
      <sz val="28"/>
      <color rgb="FFFF0000"/>
      <name val="Calibri"/>
      <family val="2"/>
    </font>
    <font>
      <b/>
      <sz val="12"/>
      <color theme="9" tint="-0.249977111117893"/>
      <name val="Calibri"/>
      <family val="2"/>
      <scheme val="minor"/>
    </font>
    <font>
      <b/>
      <sz val="9"/>
      <color indexed="81"/>
      <name val="Tahoma"/>
      <family val="2"/>
    </font>
    <font>
      <sz val="9"/>
      <color indexed="81"/>
      <name val="Tahoma"/>
      <family val="2"/>
    </font>
    <font>
      <sz val="12"/>
      <color rgb="FFFF0000"/>
      <name val="Calibri"/>
      <family val="2"/>
      <scheme val="minor"/>
    </font>
    <font>
      <sz val="18"/>
      <color rgb="FFFF0000"/>
      <name val="Calibri"/>
      <family val="2"/>
      <scheme val="minor"/>
    </font>
    <font>
      <sz val="26"/>
      <color rgb="FFFF0000"/>
      <name val="Calibri"/>
      <family val="2"/>
    </font>
    <font>
      <i/>
      <sz val="12"/>
      <color theme="1"/>
      <name val="Calibri"/>
      <family val="2"/>
      <scheme val="minor"/>
    </font>
    <font>
      <i/>
      <sz val="12"/>
      <color rgb="FFFF0000"/>
      <name val="Calibri"/>
      <family val="2"/>
      <scheme val="minor"/>
    </font>
  </fonts>
  <fills count="15">
    <fill>
      <patternFill patternType="none"/>
    </fill>
    <fill>
      <patternFill patternType="gray125"/>
    </fill>
    <fill>
      <patternFill patternType="solid">
        <fgColor rgb="FFFFFFFF"/>
        <bgColor rgb="FFFFFFFF"/>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D5D5"/>
        <bgColor indexed="64"/>
      </patternFill>
    </fill>
    <fill>
      <patternFill patternType="solid">
        <fgColor theme="0" tint="-4.9989318521683403E-2"/>
        <bgColor rgb="FFFFFFFF"/>
      </patternFill>
    </fill>
    <fill>
      <patternFill patternType="solid">
        <fgColor theme="9" tint="0.79998168889431442"/>
        <bgColor rgb="FFFFFFFF"/>
      </patternFill>
    </fill>
    <fill>
      <patternFill patternType="solid">
        <fgColor theme="0"/>
        <bgColor indexed="64"/>
      </patternFill>
    </fill>
  </fills>
  <borders count="44">
    <border>
      <left/>
      <right/>
      <top/>
      <bottom/>
      <diagonal/>
    </border>
    <border>
      <left/>
      <right/>
      <top/>
      <bottom style="thick">
        <color theme="4"/>
      </bottom>
      <diagonal/>
    </border>
    <border>
      <left/>
      <right/>
      <top/>
      <bottom style="medium">
        <color rgb="FF000000"/>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medium">
        <color auto="1"/>
      </top>
      <bottom style="thick">
        <color auto="1"/>
      </bottom>
      <diagonal/>
    </border>
    <border>
      <left style="thick">
        <color auto="1"/>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ck">
        <color rgb="FF00B050"/>
      </left>
      <right style="thick">
        <color rgb="FF00B050"/>
      </right>
      <top style="thick">
        <color rgb="FF00B050"/>
      </top>
      <bottom style="thick">
        <color rgb="FF00B050"/>
      </bottom>
      <diagonal/>
    </border>
    <border>
      <left style="thick">
        <color rgb="FF00B050"/>
      </left>
      <right style="thick">
        <color rgb="FF00B050"/>
      </right>
      <top/>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rgb="FF00B050"/>
      </right>
      <top/>
      <bottom/>
      <diagonal/>
    </border>
    <border>
      <left style="thick">
        <color auto="1"/>
      </left>
      <right style="thick">
        <color rgb="FF00B050"/>
      </right>
      <top/>
      <bottom style="thick">
        <color auto="1"/>
      </bottom>
      <diagonal/>
    </border>
    <border>
      <left style="thick">
        <color rgb="FF00B050"/>
      </left>
      <right style="thick">
        <color rgb="FF00B050"/>
      </right>
      <top/>
      <bottom style="thick">
        <color auto="1"/>
      </bottom>
      <diagonal/>
    </border>
    <border>
      <left style="thick">
        <color rgb="FF00B050"/>
      </left>
      <right/>
      <top/>
      <bottom/>
      <diagonal/>
    </border>
    <border>
      <left/>
      <right style="thick">
        <color rgb="FF00B050"/>
      </right>
      <top/>
      <bottom/>
      <diagonal/>
    </border>
    <border>
      <left/>
      <right/>
      <top style="thick">
        <color auto="1"/>
      </top>
      <bottom style="thick">
        <color auto="1"/>
      </bottom>
      <diagonal/>
    </border>
    <border>
      <left style="thick">
        <color auto="1"/>
      </left>
      <right/>
      <top/>
      <bottom style="medium">
        <color auto="1"/>
      </bottom>
      <diagonal/>
    </border>
    <border>
      <left/>
      <right/>
      <top/>
      <bottom style="medium">
        <color auto="1"/>
      </bottom>
      <diagonal/>
    </border>
    <border>
      <left/>
      <right/>
      <top style="medium">
        <color auto="1"/>
      </top>
      <bottom/>
      <diagonal/>
    </border>
    <border>
      <left/>
      <right style="thick">
        <color auto="1"/>
      </right>
      <top style="medium">
        <color auto="1"/>
      </top>
      <bottom/>
      <diagonal/>
    </border>
    <border>
      <left/>
      <right style="medium">
        <color auto="1"/>
      </right>
      <top style="thick">
        <color auto="1"/>
      </top>
      <bottom style="thick">
        <color auto="1"/>
      </bottom>
      <diagonal/>
    </border>
    <border>
      <left/>
      <right style="medium">
        <color auto="1"/>
      </right>
      <top/>
      <bottom/>
      <diagonal/>
    </border>
    <border>
      <left/>
      <right style="medium">
        <color auto="1"/>
      </right>
      <top style="medium">
        <color auto="1"/>
      </top>
      <bottom/>
      <diagonal/>
    </border>
    <border>
      <left/>
      <right style="medium">
        <color auto="1"/>
      </right>
      <top/>
      <bottom style="medium">
        <color auto="1"/>
      </bottom>
      <diagonal/>
    </border>
    <border>
      <left/>
      <right style="medium">
        <color auto="1"/>
      </right>
      <top style="medium">
        <color auto="1"/>
      </top>
      <bottom style="thick">
        <color auto="1"/>
      </bottom>
      <diagonal/>
    </border>
    <border>
      <left style="medium">
        <color auto="1"/>
      </left>
      <right/>
      <top style="medium">
        <color auto="1"/>
      </top>
      <bottom/>
      <diagonal/>
    </border>
  </borders>
  <cellStyleXfs count="4">
    <xf numFmtId="0" fontId="0" fillId="0" borderId="0"/>
    <xf numFmtId="0" fontId="1" fillId="0" borderId="0" applyNumberFormat="0" applyFont="0" applyBorder="0" applyProtection="0"/>
    <xf numFmtId="0" fontId="2" fillId="0" borderId="1" applyNumberFormat="0" applyFill="0" applyAlignment="0" applyProtection="0"/>
    <xf numFmtId="0" fontId="37" fillId="0" borderId="0" applyNumberFormat="0" applyFill="0" applyBorder="0" applyAlignment="0" applyProtection="0"/>
  </cellStyleXfs>
  <cellXfs count="321">
    <xf numFmtId="0" fontId="0" fillId="0" borderId="0" xfId="0"/>
    <xf numFmtId="0" fontId="3" fillId="2" borderId="0" xfId="2" applyFont="1" applyFill="1" applyBorder="1"/>
    <xf numFmtId="0" fontId="4" fillId="2" borderId="0" xfId="1" applyFont="1" applyFill="1" applyAlignment="1">
      <alignment horizontal="left"/>
    </xf>
    <xf numFmtId="0" fontId="5" fillId="2" borderId="0" xfId="0" applyFont="1" applyFill="1"/>
    <xf numFmtId="0" fontId="4" fillId="2" borderId="0" xfId="0" applyFont="1" applyFill="1"/>
    <xf numFmtId="0" fontId="7" fillId="2" borderId="0" xfId="2" applyFont="1" applyFill="1" applyBorder="1"/>
    <xf numFmtId="0" fontId="4" fillId="2" borderId="0" xfId="0" applyFont="1" applyFill="1" applyAlignment="1">
      <alignment horizontal="left"/>
    </xf>
    <xf numFmtId="0" fontId="4" fillId="2" borderId="0" xfId="0" applyFont="1" applyFill="1" applyAlignment="1">
      <alignment horizontal="right"/>
    </xf>
    <xf numFmtId="0" fontId="7" fillId="2" borderId="0" xfId="0" applyFont="1" applyFill="1"/>
    <xf numFmtId="0" fontId="7" fillId="2" borderId="0" xfId="1" applyFont="1" applyFill="1" applyAlignment="1">
      <alignment horizontal="left"/>
    </xf>
    <xf numFmtId="0" fontId="7" fillId="2" borderId="0" xfId="0" applyFont="1" applyFill="1" applyAlignment="1">
      <alignment vertical="top"/>
    </xf>
    <xf numFmtId="0" fontId="7" fillId="2" borderId="0" xfId="0" applyFont="1" applyFill="1" applyAlignment="1">
      <alignment horizontal="left"/>
    </xf>
    <xf numFmtId="0" fontId="7" fillId="2" borderId="2" xfId="0" applyFont="1" applyFill="1" applyBorder="1"/>
    <xf numFmtId="0" fontId="7" fillId="2" borderId="2" xfId="0" applyFont="1" applyFill="1" applyBorder="1" applyAlignment="1">
      <alignment horizontal="left"/>
    </xf>
    <xf numFmtId="0" fontId="6" fillId="2" borderId="0" xfId="0" applyFont="1" applyFill="1" applyAlignment="1">
      <alignment vertical="center" wrapText="1"/>
    </xf>
    <xf numFmtId="0" fontId="0" fillId="2" borderId="0" xfId="0" applyFill="1" applyAlignment="1">
      <alignment vertical="center" wrapText="1"/>
    </xf>
    <xf numFmtId="0" fontId="7" fillId="2" borderId="0" xfId="0" applyFont="1" applyFill="1" applyAlignment="1">
      <alignment horizontal="left" vertical="top" wrapText="1"/>
    </xf>
    <xf numFmtId="3" fontId="4" fillId="2" borderId="0" xfId="0" applyNumberFormat="1" applyFont="1" applyFill="1" applyAlignment="1">
      <alignment horizontal="right"/>
    </xf>
    <xf numFmtId="3" fontId="7" fillId="2" borderId="0" xfId="0" applyNumberFormat="1" applyFont="1" applyFill="1" applyAlignment="1">
      <alignment horizontal="right"/>
    </xf>
    <xf numFmtId="0" fontId="0" fillId="3" borderId="0" xfId="0" applyFill="1"/>
    <xf numFmtId="0" fontId="0" fillId="0" borderId="0" xfId="0" applyAlignment="1">
      <alignment horizontal="left"/>
    </xf>
    <xf numFmtId="0" fontId="0" fillId="3" borderId="0" xfId="0" applyFill="1" applyAlignment="1">
      <alignment horizontal="left"/>
    </xf>
    <xf numFmtId="0" fontId="0" fillId="4" borderId="0" xfId="0" applyFill="1"/>
    <xf numFmtId="0" fontId="0" fillId="4" borderId="0" xfId="0" applyFill="1" applyAlignment="1">
      <alignment horizontal="left"/>
    </xf>
    <xf numFmtId="3" fontId="4" fillId="2" borderId="0" xfId="0" applyNumberFormat="1" applyFont="1" applyFill="1"/>
    <xf numFmtId="3" fontId="7" fillId="2" borderId="2" xfId="0" applyNumberFormat="1" applyFont="1" applyFill="1" applyBorder="1" applyAlignment="1">
      <alignment horizontal="right"/>
    </xf>
    <xf numFmtId="0" fontId="0" fillId="2" borderId="0" xfId="0" applyFill="1"/>
    <xf numFmtId="0" fontId="0" fillId="2" borderId="2" xfId="0" applyFill="1" applyBorder="1"/>
    <xf numFmtId="0" fontId="4" fillId="2" borderId="0" xfId="0" applyFont="1" applyFill="1" applyAlignment="1">
      <alignment horizontal="right" vertical="center"/>
    </xf>
    <xf numFmtId="0" fontId="4" fillId="2" borderId="0" xfId="2" applyFont="1" applyFill="1" applyBorder="1"/>
    <xf numFmtId="0" fontId="7" fillId="2" borderId="0" xfId="0" applyFont="1" applyFill="1" applyAlignment="1">
      <alignment horizontal="left" wrapText="1"/>
    </xf>
    <xf numFmtId="0" fontId="7" fillId="2" borderId="0" xfId="0" applyFont="1" applyFill="1" applyAlignment="1">
      <alignment horizontal="left" vertical="top"/>
    </xf>
    <xf numFmtId="0" fontId="7" fillId="2" borderId="0" xfId="0" applyFont="1" applyFill="1" applyAlignment="1">
      <alignment horizontal="right" vertical="top"/>
    </xf>
    <xf numFmtId="0" fontId="7" fillId="2" borderId="0" xfId="0" applyFont="1" applyFill="1" applyAlignment="1">
      <alignment horizontal="right"/>
    </xf>
    <xf numFmtId="0" fontId="6" fillId="2" borderId="0" xfId="0" applyFont="1" applyFill="1"/>
    <xf numFmtId="3" fontId="7" fillId="2" borderId="0" xfId="0" applyNumberFormat="1" applyFont="1" applyFill="1"/>
    <xf numFmtId="3" fontId="6" fillId="2" borderId="0" xfId="0" applyNumberFormat="1" applyFont="1" applyFill="1"/>
    <xf numFmtId="3" fontId="7" fillId="2" borderId="2" xfId="0" applyNumberFormat="1" applyFont="1" applyFill="1" applyBorder="1"/>
    <xf numFmtId="3" fontId="7" fillId="2" borderId="2" xfId="0" applyNumberFormat="1" applyFont="1" applyFill="1" applyBorder="1" applyAlignment="1">
      <alignment horizontal="left"/>
    </xf>
    <xf numFmtId="0" fontId="7" fillId="2" borderId="0" xfId="1" applyFont="1" applyFill="1" applyAlignment="1">
      <alignment horizontal="right" vertical="top" wrapText="1"/>
    </xf>
    <xf numFmtId="0" fontId="8" fillId="2" borderId="2" xfId="0" applyFont="1" applyFill="1" applyBorder="1"/>
    <xf numFmtId="0" fontId="0" fillId="2" borderId="0" xfId="0" applyFill="1" applyAlignment="1">
      <alignment horizontal="left"/>
    </xf>
    <xf numFmtId="0" fontId="7" fillId="2" borderId="0" xfId="0" applyFont="1" applyFill="1" applyAlignment="1">
      <alignment vertical="top" wrapText="1"/>
    </xf>
    <xf numFmtId="0" fontId="4" fillId="2" borderId="2" xfId="0" applyFont="1" applyFill="1" applyBorder="1" applyAlignment="1">
      <alignment horizontal="left"/>
    </xf>
    <xf numFmtId="164" fontId="0" fillId="0" borderId="0" xfId="0" applyNumberFormat="1"/>
    <xf numFmtId="3" fontId="0" fillId="0" borderId="0" xfId="0" applyNumberFormat="1"/>
    <xf numFmtId="0" fontId="10" fillId="0" borderId="0" xfId="0" applyFont="1"/>
    <xf numFmtId="3" fontId="10" fillId="0" borderId="0" xfId="0" applyNumberFormat="1" applyFont="1"/>
    <xf numFmtId="0" fontId="9" fillId="0" borderId="0" xfId="0" applyFont="1"/>
    <xf numFmtId="0" fontId="11" fillId="0" borderId="0" xfId="0" applyFont="1"/>
    <xf numFmtId="0" fontId="9" fillId="0" borderId="0" xfId="0" applyFont="1" applyAlignment="1">
      <alignment horizontal="center" vertical="center"/>
    </xf>
    <xf numFmtId="0" fontId="0" fillId="0" borderId="3" xfId="0" applyBorder="1"/>
    <xf numFmtId="0" fontId="0" fillId="0" borderId="4" xfId="0" applyBorder="1"/>
    <xf numFmtId="0" fontId="0" fillId="0" borderId="6" xfId="0" applyBorder="1"/>
    <xf numFmtId="0" fontId="0" fillId="8" borderId="6" xfId="0" applyFill="1" applyBorder="1"/>
    <xf numFmtId="0" fontId="0" fillId="8" borderId="0" xfId="0" applyFill="1"/>
    <xf numFmtId="3" fontId="0" fillId="8" borderId="0" xfId="0" applyNumberFormat="1" applyFill="1"/>
    <xf numFmtId="164" fontId="0" fillId="8" borderId="0" xfId="0" applyNumberFormat="1" applyFill="1"/>
    <xf numFmtId="0" fontId="0" fillId="6" borderId="0" xfId="0" applyFill="1" applyAlignment="1">
      <alignment horizontal="center" vertical="center"/>
    </xf>
    <xf numFmtId="0" fontId="0" fillId="0" borderId="0" xfId="0" applyAlignment="1">
      <alignment horizontal="center" vertical="center"/>
    </xf>
    <xf numFmtId="0" fontId="18" fillId="0" borderId="0" xfId="0" applyFont="1"/>
    <xf numFmtId="0" fontId="23" fillId="0" borderId="6" xfId="0" applyFont="1" applyBorder="1" applyAlignment="1">
      <alignment horizontal="center" vertical="center"/>
    </xf>
    <xf numFmtId="0" fontId="23" fillId="0" borderId="7" xfId="0" applyFont="1" applyBorder="1" applyAlignment="1">
      <alignment horizontal="center" vertical="center"/>
    </xf>
    <xf numFmtId="9" fontId="23" fillId="0" borderId="7" xfId="0" applyNumberFormat="1" applyFont="1" applyBorder="1" applyAlignment="1">
      <alignment horizontal="center" vertical="center"/>
    </xf>
    <xf numFmtId="9" fontId="29" fillId="10" borderId="5" xfId="0" applyNumberFormat="1" applyFont="1" applyFill="1" applyBorder="1"/>
    <xf numFmtId="9" fontId="29" fillId="10" borderId="7" xfId="0" applyNumberFormat="1" applyFont="1" applyFill="1" applyBorder="1"/>
    <xf numFmtId="9" fontId="30" fillId="10" borderId="13" xfId="0" applyNumberFormat="1" applyFont="1" applyFill="1" applyBorder="1"/>
    <xf numFmtId="0" fontId="0" fillId="8" borderId="3" xfId="0" applyFill="1" applyBorder="1"/>
    <xf numFmtId="0" fontId="0" fillId="8" borderId="4" xfId="0" applyFill="1" applyBorder="1"/>
    <xf numFmtId="9" fontId="0" fillId="8" borderId="7" xfId="0" applyNumberFormat="1" applyFill="1" applyBorder="1"/>
    <xf numFmtId="0" fontId="0" fillId="8" borderId="12" xfId="0" applyFill="1" applyBorder="1"/>
    <xf numFmtId="0" fontId="0" fillId="8" borderId="11" xfId="0" applyFill="1" applyBorder="1"/>
    <xf numFmtId="9" fontId="15" fillId="8" borderId="13" xfId="0" applyNumberFormat="1" applyFont="1" applyFill="1" applyBorder="1"/>
    <xf numFmtId="9" fontId="10" fillId="8" borderId="13" xfId="0" applyNumberFormat="1" applyFont="1" applyFill="1" applyBorder="1"/>
    <xf numFmtId="0" fontId="0" fillId="11" borderId="3" xfId="0" applyFill="1" applyBorder="1"/>
    <xf numFmtId="0" fontId="0" fillId="11" borderId="4" xfId="0" applyFill="1" applyBorder="1"/>
    <xf numFmtId="9" fontId="9" fillId="11" borderId="5" xfId="0" applyNumberFormat="1" applyFont="1" applyFill="1" applyBorder="1"/>
    <xf numFmtId="0" fontId="0" fillId="11" borderId="6" xfId="0" applyFill="1" applyBorder="1"/>
    <xf numFmtId="0" fontId="0" fillId="11" borderId="0" xfId="0" applyFill="1"/>
    <xf numFmtId="9" fontId="9" fillId="11" borderId="7" xfId="0" applyNumberFormat="1" applyFont="1" applyFill="1" applyBorder="1"/>
    <xf numFmtId="0" fontId="0" fillId="11" borderId="12" xfId="0" applyFill="1" applyBorder="1"/>
    <xf numFmtId="0" fontId="0" fillId="11" borderId="11" xfId="0" applyFill="1" applyBorder="1"/>
    <xf numFmtId="9" fontId="12" fillId="11" borderId="13" xfId="0" applyNumberFormat="1" applyFont="1" applyFill="1" applyBorder="1"/>
    <xf numFmtId="0" fontId="17" fillId="10" borderId="3" xfId="0" applyFont="1" applyFill="1" applyBorder="1"/>
    <xf numFmtId="0" fontId="17" fillId="10" borderId="4" xfId="0" applyFont="1" applyFill="1" applyBorder="1"/>
    <xf numFmtId="0" fontId="17" fillId="10" borderId="6" xfId="0" applyFont="1" applyFill="1" applyBorder="1"/>
    <xf numFmtId="0" fontId="17" fillId="10" borderId="0" xfId="0" applyFont="1" applyFill="1"/>
    <xf numFmtId="0" fontId="17" fillId="10" borderId="12" xfId="0" applyFont="1" applyFill="1" applyBorder="1"/>
    <xf numFmtId="0" fontId="17" fillId="10" borderId="11" xfId="0" applyFont="1" applyFill="1" applyBorder="1"/>
    <xf numFmtId="9" fontId="25" fillId="6" borderId="9" xfId="0" applyNumberFormat="1" applyFont="1" applyFill="1" applyBorder="1" applyAlignment="1">
      <alignment horizontal="center" vertical="center"/>
    </xf>
    <xf numFmtId="3" fontId="4" fillId="12" borderId="0" xfId="0" applyNumberFormat="1" applyFont="1" applyFill="1" applyAlignment="1">
      <alignment horizontal="right"/>
    </xf>
    <xf numFmtId="3" fontId="4" fillId="12" borderId="0" xfId="0" applyNumberFormat="1" applyFont="1" applyFill="1"/>
    <xf numFmtId="3" fontId="7" fillId="12" borderId="0" xfId="0" applyNumberFormat="1" applyFont="1" applyFill="1" applyAlignment="1">
      <alignment horizontal="right"/>
    </xf>
    <xf numFmtId="0" fontId="4" fillId="12" borderId="0" xfId="0" applyFont="1" applyFill="1"/>
    <xf numFmtId="0" fontId="4" fillId="12" borderId="0" xfId="0" applyFont="1" applyFill="1" applyAlignment="1">
      <alignment horizontal="right"/>
    </xf>
    <xf numFmtId="3" fontId="4" fillId="12" borderId="0" xfId="0" applyNumberFormat="1" applyFont="1" applyFill="1" applyAlignment="1">
      <alignment horizontal="right" wrapText="1"/>
    </xf>
    <xf numFmtId="0" fontId="4" fillId="12" borderId="0" xfId="0" applyFont="1" applyFill="1" applyAlignment="1">
      <alignment horizontal="right" vertical="center"/>
    </xf>
    <xf numFmtId="3" fontId="4" fillId="12" borderId="0" xfId="0" applyNumberFormat="1" applyFont="1" applyFill="1" applyAlignment="1">
      <alignment horizontal="right" vertical="top" wrapText="1"/>
    </xf>
    <xf numFmtId="0" fontId="6" fillId="12" borderId="0" xfId="0" applyFont="1" applyFill="1"/>
    <xf numFmtId="3" fontId="7" fillId="12" borderId="0" xfId="0" applyNumberFormat="1" applyFont="1" applyFill="1"/>
    <xf numFmtId="3" fontId="6" fillId="12" borderId="0" xfId="0" applyNumberFormat="1" applyFont="1" applyFill="1"/>
    <xf numFmtId="0" fontId="7" fillId="12" borderId="0" xfId="0" applyFont="1" applyFill="1" applyAlignment="1">
      <alignment horizontal="right" vertical="top"/>
    </xf>
    <xf numFmtId="0" fontId="7" fillId="12" borderId="2" xfId="0" applyFont="1" applyFill="1" applyBorder="1"/>
    <xf numFmtId="3" fontId="7" fillId="12" borderId="2" xfId="0" applyNumberFormat="1" applyFont="1" applyFill="1" applyBorder="1"/>
    <xf numFmtId="3" fontId="13" fillId="12" borderId="0" xfId="0" applyNumberFormat="1" applyFont="1" applyFill="1"/>
    <xf numFmtId="0" fontId="7" fillId="12" borderId="0" xfId="0" applyFont="1" applyFill="1" applyAlignment="1">
      <alignment horizontal="left" vertical="top"/>
    </xf>
    <xf numFmtId="0" fontId="4" fillId="12" borderId="0" xfId="0" applyFont="1" applyFill="1" applyAlignment="1">
      <alignment horizontal="left"/>
    </xf>
    <xf numFmtId="0" fontId="7" fillId="12" borderId="2" xfId="0" applyFont="1" applyFill="1" applyBorder="1" applyAlignment="1">
      <alignment horizontal="left"/>
    </xf>
    <xf numFmtId="3" fontId="7" fillId="12" borderId="2" xfId="0" applyNumberFormat="1" applyFont="1" applyFill="1" applyBorder="1" applyAlignment="1">
      <alignment horizontal="left"/>
    </xf>
    <xf numFmtId="0" fontId="7" fillId="12" borderId="0" xfId="0" applyFont="1" applyFill="1" applyAlignment="1">
      <alignment horizontal="right"/>
    </xf>
    <xf numFmtId="0" fontId="13" fillId="12" borderId="2" xfId="0" applyFont="1" applyFill="1" applyBorder="1"/>
    <xf numFmtId="0" fontId="12" fillId="8" borderId="0" xfId="0" applyFont="1" applyFill="1" applyAlignment="1">
      <alignment horizontal="center" vertical="center"/>
    </xf>
    <xf numFmtId="0" fontId="12" fillId="8" borderId="0" xfId="0" applyFont="1" applyFill="1"/>
    <xf numFmtId="3" fontId="12" fillId="8" borderId="0" xfId="0" applyNumberFormat="1" applyFont="1" applyFill="1"/>
    <xf numFmtId="3" fontId="10" fillId="8" borderId="0" xfId="0" applyNumberFormat="1" applyFont="1" applyFill="1"/>
    <xf numFmtId="3" fontId="7" fillId="12" borderId="2" xfId="0" applyNumberFormat="1" applyFont="1" applyFill="1" applyBorder="1" applyAlignment="1">
      <alignment horizontal="right"/>
    </xf>
    <xf numFmtId="0" fontId="4" fillId="12" borderId="2" xfId="0" applyFont="1" applyFill="1" applyBorder="1" applyAlignment="1">
      <alignment horizontal="left"/>
    </xf>
    <xf numFmtId="3" fontId="18" fillId="0" borderId="0" xfId="0" applyNumberFormat="1" applyFont="1"/>
    <xf numFmtId="0" fontId="0" fillId="0" borderId="0" xfId="0" applyAlignment="1">
      <alignment horizontal="right"/>
    </xf>
    <xf numFmtId="0" fontId="0" fillId="0" borderId="7" xfId="0" applyBorder="1" applyAlignment="1">
      <alignment horizontal="right"/>
    </xf>
    <xf numFmtId="0" fontId="32" fillId="0" borderId="4" xfId="0" applyFont="1" applyBorder="1" applyAlignment="1">
      <alignment horizontal="center"/>
    </xf>
    <xf numFmtId="0" fontId="32" fillId="0" borderId="5" xfId="0" applyFont="1" applyBorder="1" applyAlignment="1">
      <alignment horizontal="center"/>
    </xf>
    <xf numFmtId="3" fontId="0" fillId="0" borderId="0" xfId="0" applyNumberFormat="1" applyAlignment="1">
      <alignment horizontal="right"/>
    </xf>
    <xf numFmtId="3" fontId="0" fillId="0" borderId="7" xfId="0" applyNumberFormat="1" applyBorder="1" applyAlignment="1">
      <alignment horizontal="right"/>
    </xf>
    <xf numFmtId="3" fontId="0" fillId="0" borderId="11" xfId="0" applyNumberFormat="1" applyBorder="1" applyAlignment="1">
      <alignment horizontal="right"/>
    </xf>
    <xf numFmtId="0" fontId="0" fillId="0" borderId="11" xfId="0" applyBorder="1"/>
    <xf numFmtId="3" fontId="0" fillId="0" borderId="13" xfId="0" applyNumberFormat="1" applyBorder="1" applyAlignment="1">
      <alignment horizontal="right"/>
    </xf>
    <xf numFmtId="0" fontId="31" fillId="0" borderId="4"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3" xfId="0" applyFont="1" applyBorder="1" applyAlignment="1">
      <alignment horizontal="center" vertical="center" wrapText="1"/>
    </xf>
    <xf numFmtId="15" fontId="18" fillId="0" borderId="5" xfId="0" applyNumberFormat="1" applyFont="1" applyBorder="1" applyAlignment="1">
      <alignment horizontal="center" vertical="center"/>
    </xf>
    <xf numFmtId="164" fontId="0" fillId="6" borderId="0" xfId="0" applyNumberFormat="1" applyFill="1"/>
    <xf numFmtId="0" fontId="0" fillId="6" borderId="0" xfId="0" applyFill="1"/>
    <xf numFmtId="3" fontId="4" fillId="13" borderId="0" xfId="0" applyNumberFormat="1" applyFont="1" applyFill="1" applyAlignment="1">
      <alignment horizontal="right"/>
    </xf>
    <xf numFmtId="3" fontId="4" fillId="13" borderId="0" xfId="0" applyNumberFormat="1" applyFont="1" applyFill="1"/>
    <xf numFmtId="3" fontId="7" fillId="13" borderId="0" xfId="0" applyNumberFormat="1" applyFont="1" applyFill="1" applyAlignment="1">
      <alignment horizontal="right"/>
    </xf>
    <xf numFmtId="0" fontId="4" fillId="13" borderId="0" xfId="0" applyFont="1" applyFill="1" applyAlignment="1">
      <alignment horizontal="right"/>
    </xf>
    <xf numFmtId="0" fontId="4" fillId="13" borderId="0" xfId="0" applyFont="1" applyFill="1" applyAlignment="1">
      <alignment horizontal="right" vertical="center"/>
    </xf>
    <xf numFmtId="3" fontId="4" fillId="13" borderId="0" xfId="0" applyNumberFormat="1" applyFont="1" applyFill="1" applyAlignment="1">
      <alignment horizontal="right" vertical="top" wrapText="1"/>
    </xf>
    <xf numFmtId="3" fontId="4" fillId="13" borderId="0" xfId="0" applyNumberFormat="1" applyFont="1" applyFill="1" applyAlignment="1">
      <alignment horizontal="right" wrapText="1"/>
    </xf>
    <xf numFmtId="0" fontId="6" fillId="13" borderId="0" xfId="0" applyFont="1" applyFill="1"/>
    <xf numFmtId="3" fontId="7" fillId="13" borderId="0" xfId="0" applyNumberFormat="1" applyFont="1" applyFill="1"/>
    <xf numFmtId="3" fontId="6" fillId="13" borderId="0" xfId="0" applyNumberFormat="1" applyFont="1" applyFill="1"/>
    <xf numFmtId="0" fontId="7" fillId="13" borderId="0" xfId="1" applyFont="1" applyFill="1" applyAlignment="1">
      <alignment horizontal="right" vertical="top" wrapText="1"/>
    </xf>
    <xf numFmtId="0" fontId="0" fillId="13" borderId="0" xfId="0" applyFill="1"/>
    <xf numFmtId="0" fontId="8" fillId="13" borderId="0" xfId="0" applyFont="1" applyFill="1"/>
    <xf numFmtId="0" fontId="8" fillId="13" borderId="2" xfId="0" applyFont="1" applyFill="1" applyBorder="1"/>
    <xf numFmtId="3" fontId="7" fillId="13" borderId="2" xfId="0" applyNumberFormat="1" applyFont="1" applyFill="1" applyBorder="1"/>
    <xf numFmtId="3" fontId="13" fillId="13" borderId="0" xfId="0" applyNumberFormat="1" applyFont="1" applyFill="1"/>
    <xf numFmtId="3" fontId="0" fillId="6" borderId="0" xfId="0" applyNumberFormat="1" applyFill="1"/>
    <xf numFmtId="3" fontId="6" fillId="2" borderId="0" xfId="0" applyNumberFormat="1" applyFont="1" applyFill="1" applyAlignment="1">
      <alignment horizontal="center" vertical="center"/>
    </xf>
    <xf numFmtId="3" fontId="7" fillId="2" borderId="0" xfId="0" applyNumberFormat="1" applyFont="1" applyFill="1" applyAlignment="1">
      <alignment horizontal="center" vertical="center"/>
    </xf>
    <xf numFmtId="3" fontId="13" fillId="2" borderId="2" xfId="0" applyNumberFormat="1" applyFont="1" applyFill="1" applyBorder="1" applyAlignment="1">
      <alignment horizontal="center" vertical="center"/>
    </xf>
    <xf numFmtId="0" fontId="6" fillId="0" borderId="0" xfId="0" applyFont="1"/>
    <xf numFmtId="3" fontId="6" fillId="0" borderId="0" xfId="0" applyNumberFormat="1" applyFont="1"/>
    <xf numFmtId="3" fontId="13" fillId="0" borderId="0" xfId="0" applyNumberFormat="1" applyFont="1"/>
    <xf numFmtId="0" fontId="10" fillId="11" borderId="14" xfId="0" applyFont="1" applyFill="1" applyBorder="1" applyAlignment="1">
      <alignment horizontal="center"/>
    </xf>
    <xf numFmtId="0" fontId="38" fillId="11" borderId="3" xfId="0" applyFont="1" applyFill="1" applyBorder="1"/>
    <xf numFmtId="0" fontId="38" fillId="11" borderId="4" xfId="0" applyFont="1" applyFill="1" applyBorder="1"/>
    <xf numFmtId="0" fontId="38" fillId="11" borderId="5" xfId="0" applyFont="1" applyFill="1" applyBorder="1"/>
    <xf numFmtId="0" fontId="10" fillId="0" borderId="15" xfId="0" applyFont="1" applyBorder="1" applyAlignment="1">
      <alignment horizontal="center"/>
    </xf>
    <xf numFmtId="0" fontId="38" fillId="0" borderId="6" xfId="0" applyFont="1" applyBorder="1"/>
    <xf numFmtId="0" fontId="38" fillId="0" borderId="0" xfId="0" applyFont="1"/>
    <xf numFmtId="0" fontId="38" fillId="0" borderId="7" xfId="0" applyFont="1" applyBorder="1"/>
    <xf numFmtId="0" fontId="10" fillId="0" borderId="16" xfId="0" applyFont="1" applyBorder="1" applyAlignment="1">
      <alignment horizontal="center"/>
    </xf>
    <xf numFmtId="0" fontId="38" fillId="0" borderId="8" xfId="0" applyFont="1" applyBorder="1"/>
    <xf numFmtId="0" fontId="38" fillId="0" borderId="9" xfId="0" applyFont="1" applyBorder="1"/>
    <xf numFmtId="0" fontId="38" fillId="0" borderId="10" xfId="0" applyFont="1" applyBorder="1"/>
    <xf numFmtId="0" fontId="10" fillId="0" borderId="0" xfId="0" applyFont="1" applyAlignment="1">
      <alignment horizontal="center"/>
    </xf>
    <xf numFmtId="0" fontId="38" fillId="0" borderId="6" xfId="0" applyFont="1" applyBorder="1" applyAlignment="1">
      <alignment vertical="center"/>
    </xf>
    <xf numFmtId="0" fontId="38" fillId="0" borderId="0" xfId="0" applyFont="1" applyAlignment="1">
      <alignment vertical="center"/>
    </xf>
    <xf numFmtId="0" fontId="38" fillId="0" borderId="8" xfId="0" applyFont="1" applyBorder="1" applyAlignment="1">
      <alignment vertical="center"/>
    </xf>
    <xf numFmtId="0" fontId="38" fillId="0" borderId="9" xfId="0" applyFont="1" applyBorder="1" applyAlignment="1">
      <alignment vertical="center"/>
    </xf>
    <xf numFmtId="0" fontId="39" fillId="0" borderId="0" xfId="3" applyFont="1" applyBorder="1" applyAlignment="1">
      <alignment horizontal="center" vertical="center"/>
    </xf>
    <xf numFmtId="9" fontId="24" fillId="8" borderId="17" xfId="0" applyNumberFormat="1" applyFont="1" applyFill="1" applyBorder="1" applyAlignment="1">
      <alignment horizontal="center" vertical="center"/>
    </xf>
    <xf numFmtId="9" fontId="25" fillId="6" borderId="17" xfId="0" applyNumberFormat="1" applyFont="1" applyFill="1" applyBorder="1" applyAlignment="1">
      <alignment horizontal="center" vertical="center"/>
    </xf>
    <xf numFmtId="1" fontId="33" fillId="8" borderId="17" xfId="0" applyNumberFormat="1" applyFont="1" applyFill="1" applyBorder="1" applyAlignment="1">
      <alignment horizontal="center" vertical="center"/>
    </xf>
    <xf numFmtId="2" fontId="33" fillId="8" borderId="17" xfId="0" applyNumberFormat="1" applyFont="1" applyFill="1" applyBorder="1" applyAlignment="1">
      <alignment horizontal="center" vertical="center"/>
    </xf>
    <xf numFmtId="0" fontId="33" fillId="8" borderId="17" xfId="0" applyFont="1" applyFill="1" applyBorder="1" applyAlignment="1">
      <alignment horizontal="center" vertical="center"/>
    </xf>
    <xf numFmtId="0" fontId="0" fillId="14" borderId="0" xfId="0" applyFill="1"/>
    <xf numFmtId="15" fontId="34" fillId="0" borderId="3" xfId="0" applyNumberFormat="1" applyFont="1" applyBorder="1" applyAlignment="1">
      <alignment horizontal="center" vertical="center"/>
    </xf>
    <xf numFmtId="166" fontId="35" fillId="0" borderId="4" xfId="0" applyNumberFormat="1" applyFont="1" applyBorder="1" applyAlignment="1">
      <alignment horizontal="center" vertical="center"/>
    </xf>
    <xf numFmtId="0" fontId="0" fillId="0" borderId="5" xfId="0" applyBorder="1"/>
    <xf numFmtId="0" fontId="0" fillId="0" borderId="7" xfId="0" applyBorder="1"/>
    <xf numFmtId="0" fontId="21" fillId="0" borderId="6" xfId="0" applyFont="1" applyBorder="1" applyAlignment="1">
      <alignment wrapText="1"/>
    </xf>
    <xf numFmtId="0" fontId="0" fillId="14" borderId="6" xfId="0" applyFill="1" applyBorder="1"/>
    <xf numFmtId="0" fontId="0" fillId="10" borderId="7" xfId="0" applyFill="1" applyBorder="1"/>
    <xf numFmtId="0" fontId="16" fillId="0" borderId="6" xfId="0" applyFont="1" applyBorder="1" applyAlignment="1">
      <alignment vertical="center"/>
    </xf>
    <xf numFmtId="0" fontId="16" fillId="0" borderId="6" xfId="0" applyFont="1" applyBorder="1" applyAlignment="1">
      <alignment horizontal="center" vertical="center"/>
    </xf>
    <xf numFmtId="164" fontId="0" fillId="0" borderId="7" xfId="0" applyNumberFormat="1" applyBorder="1" applyAlignment="1">
      <alignment horizontal="center" vertical="center"/>
    </xf>
    <xf numFmtId="0" fontId="9" fillId="8" borderId="6" xfId="0" applyFont="1" applyFill="1" applyBorder="1"/>
    <xf numFmtId="0" fontId="9" fillId="8" borderId="7" xfId="0" applyFont="1" applyFill="1" applyBorder="1" applyAlignment="1">
      <alignment horizontal="center" vertical="center"/>
    </xf>
    <xf numFmtId="1" fontId="9" fillId="8" borderId="7" xfId="0" applyNumberFormat="1" applyFont="1" applyFill="1" applyBorder="1" applyAlignment="1">
      <alignment horizontal="center" vertical="center"/>
    </xf>
    <xf numFmtId="3" fontId="9" fillId="8" borderId="7" xfId="0" applyNumberFormat="1" applyFont="1" applyFill="1" applyBorder="1" applyAlignment="1">
      <alignment horizontal="center" vertical="center"/>
    </xf>
    <xf numFmtId="0" fontId="0" fillId="0" borderId="7" xfId="0" applyBorder="1" applyAlignment="1">
      <alignment horizontal="center" vertical="center"/>
    </xf>
    <xf numFmtId="0" fontId="0" fillId="6" borderId="6" xfId="0" applyFill="1" applyBorder="1"/>
    <xf numFmtId="0" fontId="0" fillId="6" borderId="7" xfId="0" applyFill="1" applyBorder="1" applyAlignment="1">
      <alignment horizontal="center" vertical="center"/>
    </xf>
    <xf numFmtId="1" fontId="9" fillId="6" borderId="7" xfId="0" applyNumberFormat="1" applyFont="1" applyFill="1" applyBorder="1" applyAlignment="1">
      <alignment horizontal="center" vertical="center"/>
    </xf>
    <xf numFmtId="0" fontId="9" fillId="6" borderId="7" xfId="0" applyFont="1" applyFill="1" applyBorder="1" applyAlignment="1">
      <alignment horizontal="center" vertical="center"/>
    </xf>
    <xf numFmtId="3" fontId="9" fillId="6" borderId="7" xfId="0" applyNumberFormat="1" applyFont="1" applyFill="1" applyBorder="1" applyAlignment="1">
      <alignment horizontal="center" vertical="center"/>
    </xf>
    <xf numFmtId="0" fontId="0" fillId="7" borderId="6" xfId="0" applyFill="1" applyBorder="1"/>
    <xf numFmtId="0" fontId="0" fillId="7" borderId="7" xfId="0" applyFill="1" applyBorder="1" applyAlignment="1">
      <alignment horizontal="center" vertical="center"/>
    </xf>
    <xf numFmtId="1" fontId="9" fillId="7" borderId="7" xfId="0" applyNumberFormat="1" applyFont="1" applyFill="1" applyBorder="1" applyAlignment="1">
      <alignment horizontal="center" vertical="center"/>
    </xf>
    <xf numFmtId="0" fontId="9" fillId="7" borderId="7" xfId="0" applyFont="1" applyFill="1" applyBorder="1" applyAlignment="1">
      <alignment horizontal="center" vertical="center"/>
    </xf>
    <xf numFmtId="3" fontId="9" fillId="7" borderId="7" xfId="0" applyNumberFormat="1" applyFont="1" applyFill="1" applyBorder="1" applyAlignment="1">
      <alignment horizontal="center" vertical="center"/>
    </xf>
    <xf numFmtId="0" fontId="0" fillId="7" borderId="8" xfId="0" applyFill="1" applyBorder="1"/>
    <xf numFmtId="1" fontId="17" fillId="7" borderId="9" xfId="0" applyNumberFormat="1" applyFont="1" applyFill="1" applyBorder="1" applyAlignment="1">
      <alignment horizontal="center" vertical="center"/>
    </xf>
    <xf numFmtId="3" fontId="0" fillId="7" borderId="9" xfId="0" applyNumberFormat="1" applyFill="1" applyBorder="1" applyAlignment="1">
      <alignment horizontal="center" vertical="center"/>
    </xf>
    <xf numFmtId="3" fontId="9" fillId="7" borderId="9" xfId="0" applyNumberFormat="1" applyFont="1" applyFill="1" applyBorder="1" applyAlignment="1">
      <alignment horizontal="center" vertical="center"/>
    </xf>
    <xf numFmtId="3" fontId="9" fillId="7" borderId="10" xfId="0" applyNumberFormat="1" applyFont="1" applyFill="1" applyBorder="1" applyAlignment="1">
      <alignment horizontal="center" vertical="center"/>
    </xf>
    <xf numFmtId="0" fontId="0" fillId="0" borderId="0" xfId="0" applyAlignment="1">
      <alignment wrapText="1"/>
    </xf>
    <xf numFmtId="0" fontId="21" fillId="0" borderId="0" xfId="0" applyFont="1" applyAlignment="1">
      <alignment wrapText="1"/>
    </xf>
    <xf numFmtId="9" fontId="23" fillId="0" borderId="0" xfId="0" applyNumberFormat="1" applyFont="1" applyAlignment="1">
      <alignment horizontal="center" vertical="center"/>
    </xf>
    <xf numFmtId="0" fontId="23" fillId="0" borderId="0" xfId="0" applyFont="1" applyAlignment="1">
      <alignment horizontal="center" vertical="center"/>
    </xf>
    <xf numFmtId="9" fontId="24" fillId="8" borderId="0" xfId="0" applyNumberFormat="1" applyFont="1" applyFill="1" applyAlignment="1">
      <alignment horizontal="center" vertical="center"/>
    </xf>
    <xf numFmtId="3" fontId="33" fillId="8" borderId="0" xfId="0" applyNumberFormat="1" applyFont="1" applyFill="1" applyAlignment="1">
      <alignment horizontal="center" vertical="center"/>
    </xf>
    <xf numFmtId="0" fontId="0" fillId="10" borderId="0" xfId="0" applyFill="1"/>
    <xf numFmtId="0" fontId="40" fillId="0" borderId="0" xfId="0" applyFont="1" applyAlignment="1">
      <alignment vertical="center" wrapText="1"/>
    </xf>
    <xf numFmtId="0" fontId="41" fillId="0" borderId="0" xfId="0" applyFont="1" applyAlignment="1">
      <alignment horizontal="center" vertical="center"/>
    </xf>
    <xf numFmtId="0" fontId="19" fillId="0" borderId="0" xfId="0" applyFont="1"/>
    <xf numFmtId="0" fontId="16" fillId="0" borderId="0" xfId="0" applyFont="1" applyAlignment="1">
      <alignment vertical="center"/>
    </xf>
    <xf numFmtId="0" fontId="20" fillId="0" borderId="0" xfId="0" applyFont="1" applyAlignment="1">
      <alignment horizontal="center"/>
    </xf>
    <xf numFmtId="0" fontId="19" fillId="0" borderId="0" xfId="0" applyFont="1" applyAlignment="1">
      <alignment horizontal="center"/>
    </xf>
    <xf numFmtId="0" fontId="16" fillId="0" borderId="0" xfId="0" applyFont="1" applyAlignment="1">
      <alignment horizontal="center" vertical="center"/>
    </xf>
    <xf numFmtId="165" fontId="22" fillId="0" borderId="0" xfId="0" applyNumberFormat="1" applyFont="1" applyAlignment="1">
      <alignment horizontal="center"/>
    </xf>
    <xf numFmtId="0" fontId="0" fillId="0" borderId="0" xfId="0" applyAlignment="1">
      <alignment horizontal="center" vertical="center" wrapText="1"/>
    </xf>
    <xf numFmtId="164" fontId="0" fillId="0" borderId="0" xfId="0" applyNumberFormat="1" applyAlignment="1">
      <alignment horizontal="center" vertical="center"/>
    </xf>
    <xf numFmtId="0" fontId="9" fillId="8" borderId="0" xfId="0" applyFont="1" applyFill="1" applyAlignment="1">
      <alignment horizontal="center" vertical="center"/>
    </xf>
    <xf numFmtId="1" fontId="9" fillId="8" borderId="0" xfId="0" applyNumberFormat="1" applyFont="1" applyFill="1" applyAlignment="1">
      <alignment horizontal="center" vertical="center"/>
    </xf>
    <xf numFmtId="3" fontId="9" fillId="8" borderId="0" xfId="0" applyNumberFormat="1" applyFont="1" applyFill="1" applyAlignment="1">
      <alignment horizontal="center" vertical="center"/>
    </xf>
    <xf numFmtId="1" fontId="0" fillId="6" borderId="0" xfId="0" applyNumberFormat="1" applyFill="1" applyAlignment="1">
      <alignment horizontal="center" vertical="center"/>
    </xf>
    <xf numFmtId="1" fontId="9" fillId="6" borderId="0" xfId="0" applyNumberFormat="1" applyFont="1" applyFill="1" applyAlignment="1">
      <alignment horizontal="center" vertical="center"/>
    </xf>
    <xf numFmtId="0" fontId="9" fillId="6" borderId="0" xfId="0" applyFont="1" applyFill="1" applyAlignment="1">
      <alignment horizontal="center" vertical="center"/>
    </xf>
    <xf numFmtId="3" fontId="0" fillId="6" borderId="0" xfId="0" applyNumberFormat="1" applyFill="1" applyAlignment="1">
      <alignment horizontal="center" vertical="center"/>
    </xf>
    <xf numFmtId="3" fontId="9" fillId="6" borderId="0" xfId="0" applyNumberFormat="1" applyFont="1" applyFill="1" applyAlignment="1">
      <alignment horizontal="center" vertical="center"/>
    </xf>
    <xf numFmtId="0" fontId="0" fillId="7" borderId="0" xfId="0" applyFill="1" applyAlignment="1">
      <alignment horizontal="center" vertical="center"/>
    </xf>
    <xf numFmtId="1" fontId="0" fillId="7" borderId="0" xfId="0" applyNumberFormat="1" applyFill="1" applyAlignment="1">
      <alignment horizontal="center" vertical="center"/>
    </xf>
    <xf numFmtId="1" fontId="9" fillId="7" borderId="0" xfId="0" applyNumberFormat="1" applyFont="1" applyFill="1" applyAlignment="1">
      <alignment horizontal="center" vertical="center"/>
    </xf>
    <xf numFmtId="0" fontId="9" fillId="7" borderId="0" xfId="0" applyFont="1" applyFill="1" applyAlignment="1">
      <alignment horizontal="center" vertical="center"/>
    </xf>
    <xf numFmtId="3" fontId="0" fillId="7" borderId="0" xfId="0" applyNumberFormat="1" applyFill="1" applyAlignment="1">
      <alignment horizontal="center" vertical="center"/>
    </xf>
    <xf numFmtId="3" fontId="9" fillId="7" borderId="0" xfId="0" applyNumberFormat="1" applyFont="1" applyFill="1" applyAlignment="1">
      <alignment horizontal="center" vertical="center"/>
    </xf>
    <xf numFmtId="0" fontId="15" fillId="0" borderId="4" xfId="0" applyFont="1" applyBorder="1" applyAlignment="1">
      <alignment vertical="center"/>
    </xf>
    <xf numFmtId="0" fontId="32" fillId="0" borderId="0" xfId="0" applyFont="1" applyAlignment="1">
      <alignment horizontal="left" vertical="center"/>
    </xf>
    <xf numFmtId="0" fontId="0" fillId="0" borderId="0" xfId="0" applyAlignment="1">
      <alignment horizontal="left" vertical="center"/>
    </xf>
    <xf numFmtId="0" fontId="32" fillId="0" borderId="0" xfId="0" applyFont="1" applyAlignment="1">
      <alignment horizontal="center"/>
    </xf>
    <xf numFmtId="0" fontId="0" fillId="0" borderId="34" xfId="0" applyBorder="1"/>
    <xf numFmtId="3" fontId="0" fillId="0" borderId="11" xfId="0" applyNumberFormat="1" applyBorder="1"/>
    <xf numFmtId="3" fontId="4" fillId="2" borderId="0" xfId="0" applyNumberFormat="1" applyFont="1" applyFill="1" applyAlignment="1">
      <alignment horizontal="right" wrapText="1"/>
    </xf>
    <xf numFmtId="0" fontId="32" fillId="0" borderId="0" xfId="0" applyFont="1"/>
    <xf numFmtId="0" fontId="0" fillId="0" borderId="35" xfId="0" applyBorder="1"/>
    <xf numFmtId="0" fontId="32" fillId="0" borderId="39" xfId="0" applyFont="1" applyBorder="1"/>
    <xf numFmtId="0" fontId="0" fillId="0" borderId="39" xfId="0" applyBorder="1"/>
    <xf numFmtId="0" fontId="0" fillId="0" borderId="42" xfId="0" applyBorder="1"/>
    <xf numFmtId="0" fontId="48" fillId="0" borderId="35" xfId="0" applyFont="1" applyBorder="1" applyAlignment="1">
      <alignment horizontal="right"/>
    </xf>
    <xf numFmtId="3" fontId="45" fillId="0" borderId="35" xfId="0" applyNumberFormat="1" applyFont="1" applyBorder="1" applyAlignment="1">
      <alignment horizontal="right" vertical="center"/>
    </xf>
    <xf numFmtId="0" fontId="45" fillId="0" borderId="35" xfId="0" applyFont="1" applyBorder="1"/>
    <xf numFmtId="0" fontId="45" fillId="0" borderId="35" xfId="0" applyFont="1" applyBorder="1" applyAlignment="1">
      <alignment horizontal="right"/>
    </xf>
    <xf numFmtId="0" fontId="45" fillId="0" borderId="41" xfId="0" applyFont="1" applyBorder="1"/>
    <xf numFmtId="0" fontId="45" fillId="0" borderId="0" xfId="0" applyFont="1" applyAlignment="1">
      <alignment horizontal="right"/>
    </xf>
    <xf numFmtId="3" fontId="45" fillId="0" borderId="7" xfId="0" applyNumberFormat="1" applyFont="1" applyBorder="1" applyAlignment="1">
      <alignment horizontal="right" vertical="center"/>
    </xf>
    <xf numFmtId="0" fontId="0" fillId="0" borderId="36" xfId="0" applyBorder="1"/>
    <xf numFmtId="0" fontId="0" fillId="0" borderId="36" xfId="0" applyBorder="1" applyAlignment="1">
      <alignment horizontal="left" vertical="center"/>
    </xf>
    <xf numFmtId="3" fontId="0" fillId="0" borderId="36" xfId="0" applyNumberFormat="1" applyBorder="1" applyAlignment="1">
      <alignment horizontal="right"/>
    </xf>
    <xf numFmtId="0" fontId="0" fillId="0" borderId="40" xfId="0" applyBorder="1"/>
    <xf numFmtId="3" fontId="0" fillId="0" borderId="43" xfId="0" applyNumberFormat="1" applyBorder="1" applyAlignment="1">
      <alignment horizontal="right"/>
    </xf>
    <xf numFmtId="3" fontId="0" fillId="0" borderId="37" xfId="0" applyNumberFormat="1" applyBorder="1" applyAlignment="1">
      <alignment horizontal="right"/>
    </xf>
    <xf numFmtId="0" fontId="37" fillId="0" borderId="0" xfId="3" applyAlignment="1">
      <alignment horizontal="center" vertical="center"/>
    </xf>
    <xf numFmtId="0" fontId="37" fillId="0" borderId="7" xfId="3" applyBorder="1" applyAlignment="1">
      <alignment horizontal="center" vertical="center"/>
    </xf>
    <xf numFmtId="0" fontId="38" fillId="0" borderId="0" xfId="0" applyFont="1" applyAlignment="1">
      <alignment horizontal="center"/>
    </xf>
    <xf numFmtId="0" fontId="38" fillId="0" borderId="7" xfId="0" applyFont="1" applyBorder="1" applyAlignment="1">
      <alignment horizontal="center"/>
    </xf>
    <xf numFmtId="3" fontId="22" fillId="0" borderId="25" xfId="0" applyNumberFormat="1" applyFont="1" applyBorder="1" applyAlignment="1">
      <alignment horizontal="center"/>
    </xf>
    <xf numFmtId="3" fontId="22" fillId="0" borderId="26" xfId="0" applyNumberFormat="1" applyFont="1" applyBorder="1" applyAlignment="1">
      <alignment horizontal="center"/>
    </xf>
    <xf numFmtId="3" fontId="22" fillId="0" borderId="27" xfId="0" applyNumberFormat="1" applyFont="1" applyBorder="1" applyAlignment="1">
      <alignment horizontal="center"/>
    </xf>
    <xf numFmtId="165" fontId="22" fillId="0" borderId="12" xfId="0" applyNumberFormat="1" applyFont="1" applyBorder="1" applyAlignment="1">
      <alignment horizontal="center"/>
    </xf>
    <xf numFmtId="165" fontId="22" fillId="0" borderId="11" xfId="0" applyNumberFormat="1" applyFont="1" applyBorder="1" applyAlignment="1">
      <alignment horizontal="center"/>
    </xf>
    <xf numFmtId="165" fontId="22" fillId="0" borderId="13" xfId="0" applyNumberFormat="1" applyFont="1" applyBorder="1" applyAlignment="1">
      <alignment horizontal="center"/>
    </xf>
    <xf numFmtId="0" fontId="10" fillId="11" borderId="4" xfId="0" applyFont="1" applyFill="1" applyBorder="1" applyAlignment="1">
      <alignment horizontal="center" vertical="center"/>
    </xf>
    <xf numFmtId="0" fontId="39" fillId="0" borderId="0" xfId="3" applyFont="1" applyBorder="1" applyAlignment="1">
      <alignment horizontal="center"/>
    </xf>
    <xf numFmtId="0" fontId="39" fillId="0" borderId="7" xfId="3" applyFont="1" applyBorder="1" applyAlignment="1">
      <alignment horizontal="center"/>
    </xf>
    <xf numFmtId="0" fontId="0" fillId="0" borderId="36" xfId="0" applyBorder="1" applyAlignment="1">
      <alignment horizontal="left" vertical="center"/>
    </xf>
    <xf numFmtId="0" fontId="0" fillId="0" borderId="0" xfId="0" applyAlignment="1">
      <alignment horizontal="left" vertical="center"/>
    </xf>
    <xf numFmtId="0" fontId="42" fillId="0" borderId="19" xfId="0" applyFont="1" applyBorder="1" applyAlignment="1">
      <alignment horizontal="center" vertical="center" wrapText="1"/>
    </xf>
    <xf numFmtId="0" fontId="42" fillId="0" borderId="20" xfId="0" applyFont="1" applyBorder="1" applyAlignment="1">
      <alignment horizontal="center" vertical="center" wrapText="1"/>
    </xf>
    <xf numFmtId="0" fontId="42" fillId="0" borderId="21" xfId="0" applyFont="1" applyBorder="1" applyAlignment="1">
      <alignment horizontal="center" vertical="center" wrapText="1"/>
    </xf>
    <xf numFmtId="0" fontId="42" fillId="0" borderId="31" xfId="0" applyFont="1" applyBorder="1" applyAlignment="1">
      <alignment horizontal="center" vertical="center" wrapText="1"/>
    </xf>
    <xf numFmtId="0" fontId="42" fillId="0" borderId="0" xfId="0" applyFont="1" applyAlignment="1">
      <alignment horizontal="center" vertical="center" wrapText="1"/>
    </xf>
    <xf numFmtId="0" fontId="42" fillId="0" borderId="32" xfId="0" applyFont="1" applyBorder="1" applyAlignment="1">
      <alignment horizontal="center" vertical="center" wrapText="1"/>
    </xf>
    <xf numFmtId="0" fontId="42" fillId="0" borderId="22" xfId="0" applyFont="1" applyBorder="1" applyAlignment="1">
      <alignment horizontal="center" vertical="center" wrapText="1"/>
    </xf>
    <xf numFmtId="0" fontId="42" fillId="0" borderId="23" xfId="0" applyFont="1" applyBorder="1" applyAlignment="1">
      <alignment horizontal="center" vertical="center" wrapText="1"/>
    </xf>
    <xf numFmtId="0" fontId="42" fillId="0" borderId="24" xfId="0" applyFont="1" applyBorder="1" applyAlignment="1">
      <alignment horizontal="center" vertical="center" wrapText="1"/>
    </xf>
    <xf numFmtId="0" fontId="36" fillId="0" borderId="0" xfId="0" applyFont="1" applyAlignment="1">
      <alignment horizontal="center" vertical="center" wrapText="1"/>
    </xf>
    <xf numFmtId="0" fontId="47" fillId="0" borderId="31" xfId="0" applyFont="1" applyBorder="1" applyAlignment="1">
      <alignment horizontal="center" vertical="center"/>
    </xf>
    <xf numFmtId="0" fontId="47" fillId="0" borderId="32" xfId="0" applyFont="1" applyBorder="1" applyAlignment="1">
      <alignment horizontal="center" vertical="center"/>
    </xf>
    <xf numFmtId="0" fontId="35" fillId="0" borderId="4" xfId="0" applyFont="1" applyBorder="1" applyAlignment="1">
      <alignment horizontal="center" vertical="center"/>
    </xf>
    <xf numFmtId="0" fontId="28" fillId="0" borderId="4" xfId="0" applyFont="1" applyBorder="1" applyAlignment="1">
      <alignment horizontal="center" vertical="center" wrapText="1"/>
    </xf>
    <xf numFmtId="0" fontId="19" fillId="9" borderId="19" xfId="0" applyFont="1" applyFill="1" applyBorder="1" applyAlignment="1">
      <alignment horizontal="center" vertical="center"/>
    </xf>
    <xf numFmtId="0" fontId="19" fillId="9" borderId="20" xfId="0" applyFont="1" applyFill="1" applyBorder="1" applyAlignment="1">
      <alignment horizontal="center" vertical="center"/>
    </xf>
    <xf numFmtId="0" fontId="19" fillId="9" borderId="21" xfId="0" applyFont="1" applyFill="1" applyBorder="1" applyAlignment="1">
      <alignment horizontal="center" vertical="center"/>
    </xf>
    <xf numFmtId="0" fontId="19" fillId="5" borderId="22" xfId="0" applyFont="1" applyFill="1" applyBorder="1" applyAlignment="1">
      <alignment horizontal="center" vertical="center"/>
    </xf>
    <xf numFmtId="0" fontId="19" fillId="5" borderId="23" xfId="0" applyFont="1" applyFill="1" applyBorder="1" applyAlignment="1">
      <alignment horizontal="center" vertical="center"/>
    </xf>
    <xf numFmtId="0" fontId="19" fillId="5" borderId="24" xfId="0" applyFont="1" applyFill="1" applyBorder="1" applyAlignment="1">
      <alignment horizontal="center" vertical="center"/>
    </xf>
    <xf numFmtId="0" fontId="16" fillId="0" borderId="6" xfId="0" applyFont="1" applyBorder="1" applyAlignment="1">
      <alignment horizontal="left"/>
    </xf>
    <xf numFmtId="0" fontId="16" fillId="0" borderId="0" xfId="0" applyFont="1" applyAlignment="1">
      <alignment horizontal="left"/>
    </xf>
    <xf numFmtId="0" fontId="26" fillId="8" borderId="28" xfId="0" applyFont="1" applyFill="1" applyBorder="1" applyAlignment="1">
      <alignment horizontal="left"/>
    </xf>
    <xf numFmtId="0" fontId="26" fillId="8" borderId="18" xfId="0" applyFont="1" applyFill="1" applyBorder="1" applyAlignment="1">
      <alignment horizontal="left"/>
    </xf>
    <xf numFmtId="0" fontId="27" fillId="6" borderId="29" xfId="0" applyFont="1" applyFill="1" applyBorder="1" applyAlignment="1">
      <alignment horizontal="left"/>
    </xf>
    <xf numFmtId="0" fontId="27" fillId="6" borderId="30" xfId="0" applyFont="1" applyFill="1" applyBorder="1" applyAlignment="1">
      <alignment horizontal="left"/>
    </xf>
    <xf numFmtId="1" fontId="33" fillId="8" borderId="8" xfId="0" applyNumberFormat="1" applyFont="1" applyFill="1" applyBorder="1" applyAlignment="1">
      <alignment horizontal="center" vertical="center"/>
    </xf>
    <xf numFmtId="1" fontId="33" fillId="8" borderId="9" xfId="0" applyNumberFormat="1" applyFont="1" applyFill="1" applyBorder="1" applyAlignment="1">
      <alignment horizontal="center" vertical="center"/>
    </xf>
    <xf numFmtId="1" fontId="33" fillId="8" borderId="10" xfId="0" applyNumberFormat="1" applyFont="1" applyFill="1" applyBorder="1" applyAlignment="1">
      <alignment horizontal="center" vertical="center"/>
    </xf>
    <xf numFmtId="0" fontId="34" fillId="0" borderId="4" xfId="0" applyFont="1" applyBorder="1" applyAlignment="1">
      <alignment horizontal="center" vertical="center"/>
    </xf>
    <xf numFmtId="0" fontId="49" fillId="0" borderId="35" xfId="0" applyFont="1" applyBorder="1" applyAlignment="1">
      <alignment horizontal="center"/>
    </xf>
    <xf numFmtId="0" fontId="0" fillId="0" borderId="11" xfId="0" applyBorder="1" applyAlignment="1">
      <alignment horizontal="center"/>
    </xf>
    <xf numFmtId="0" fontId="15" fillId="0" borderId="33" xfId="0" applyFont="1" applyBorder="1" applyAlignment="1">
      <alignment horizontal="center" vertical="center"/>
    </xf>
    <xf numFmtId="0" fontId="15" fillId="0" borderId="38" xfId="0" applyFont="1" applyBorder="1" applyAlignment="1">
      <alignment horizontal="center" vertical="center"/>
    </xf>
    <xf numFmtId="0" fontId="0" fillId="0" borderId="6" xfId="0" applyBorder="1" applyAlignment="1">
      <alignment horizontal="center"/>
    </xf>
    <xf numFmtId="0" fontId="0" fillId="0" borderId="0" xfId="0" applyAlignment="1">
      <alignment horizontal="center"/>
    </xf>
    <xf numFmtId="0" fontId="0" fillId="0" borderId="12" xfId="0" applyBorder="1" applyAlignment="1">
      <alignment horizontal="center"/>
    </xf>
    <xf numFmtId="0" fontId="36" fillId="8" borderId="0" xfId="0" applyFont="1" applyFill="1" applyAlignment="1">
      <alignment horizontal="center"/>
    </xf>
    <xf numFmtId="0" fontId="20" fillId="6" borderId="0" xfId="0" applyFont="1" applyFill="1" applyAlignment="1">
      <alignment horizontal="center"/>
    </xf>
    <xf numFmtId="0" fontId="0" fillId="0" borderId="0" xfId="0" applyAlignment="1">
      <alignment vertical="center" wrapText="1"/>
    </xf>
  </cellXfs>
  <cellStyles count="4">
    <cellStyle name="Heading 1" xfId="2" builtinId="16"/>
    <cellStyle name="Hyperlink" xfId="3" builtinId="8"/>
    <cellStyle name="Normal" xfId="0" builtinId="0"/>
    <cellStyle name="Normal 2" xfId="1" xr:uid="{FA2CA21A-19DB-4F66-BDE1-7303426429CF}"/>
  </cellStyles>
  <dxfs count="0"/>
  <tableStyles count="0" defaultTableStyle="TableStyleMedium2" defaultPivotStyle="PivotStyleLight16"/>
  <colors>
    <mruColors>
      <color rgb="FFFFD5D5"/>
      <color rgb="FFFF9F9F"/>
      <color rgb="FFFF9933"/>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stmichaels-summertown.org.uk/" TargetMode="External"/><Relationship Id="rId2" Type="http://schemas.openxmlformats.org/officeDocument/2006/relationships/hyperlink" Target="mailto:friendshipcentre@gmail.com" TargetMode="External"/><Relationship Id="rId1" Type="http://schemas.openxmlformats.org/officeDocument/2006/relationships/hyperlink" Target="https://www.gov.uk/guidance/ukraine-sponsorship-scheme-visa-data-by-country-upper-and-lower-tier-local-authority"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85C7-4868-45CE-A952-1BD2BD17C24B}">
  <sheetPr codeName="Sheet2"/>
  <dimension ref="C1:AJ84"/>
  <sheetViews>
    <sheetView tabSelected="1" topLeftCell="A2" zoomScale="98" zoomScaleNormal="98" workbookViewId="0">
      <selection activeCell="E8" sqref="E8:AJ8"/>
    </sheetView>
  </sheetViews>
  <sheetFormatPr defaultRowHeight="15" x14ac:dyDescent="0.25"/>
  <cols>
    <col min="1" max="1" width="1.5703125" customWidth="1"/>
    <col min="2" max="2" width="2.140625" customWidth="1"/>
    <col min="3" max="3" width="23.85546875" customWidth="1"/>
    <col min="4" max="8" width="9.7109375" customWidth="1"/>
    <col min="9" max="9" width="12.140625" customWidth="1"/>
    <col min="10" max="12" width="9.7109375" customWidth="1"/>
    <col min="13" max="13" width="13.42578125" customWidth="1"/>
    <col min="14" max="14" width="12.28515625" customWidth="1"/>
    <col min="15" max="15" width="14.85546875" customWidth="1"/>
    <col min="16" max="17" width="9.7109375" customWidth="1"/>
    <col min="18" max="18" width="10.28515625" customWidth="1"/>
    <col min="19" max="19" width="11.28515625" customWidth="1"/>
    <col min="20" max="26" width="9.7109375" customWidth="1"/>
  </cols>
  <sheetData>
    <row r="1" spans="3:36" ht="15.75" thickBot="1" x14ac:dyDescent="0.3"/>
    <row r="2" spans="3:36" ht="52.5" customHeight="1" thickTop="1" x14ac:dyDescent="0.25">
      <c r="C2" s="180">
        <v>44845</v>
      </c>
      <c r="D2" s="52"/>
      <c r="E2" s="294" t="s">
        <v>625</v>
      </c>
      <c r="F2" s="294"/>
      <c r="G2" s="294"/>
      <c r="H2" s="294"/>
      <c r="I2" s="294"/>
      <c r="J2" s="294"/>
      <c r="K2" s="294"/>
      <c r="L2" s="294"/>
      <c r="M2" s="294"/>
      <c r="N2" s="294"/>
      <c r="O2" s="294"/>
      <c r="P2" s="294"/>
      <c r="Q2" s="294"/>
      <c r="R2" s="310" t="s">
        <v>719</v>
      </c>
      <c r="S2" s="310"/>
      <c r="T2" s="52"/>
      <c r="U2" s="52"/>
      <c r="V2" s="52"/>
      <c r="W2" s="293" t="s">
        <v>807</v>
      </c>
      <c r="X2" s="293"/>
      <c r="Y2" s="181">
        <v>1</v>
      </c>
      <c r="Z2" s="52"/>
      <c r="AA2" s="52"/>
      <c r="AB2" s="52"/>
      <c r="AC2" s="52"/>
      <c r="AD2" s="52"/>
      <c r="AE2" s="52"/>
      <c r="AF2" s="52"/>
      <c r="AG2" s="52"/>
      <c r="AH2" s="52"/>
      <c r="AI2" s="52"/>
      <c r="AJ2" s="182"/>
    </row>
    <row r="3" spans="3:36" ht="15" customHeight="1" thickBot="1" x14ac:dyDescent="0.3">
      <c r="C3" s="53"/>
      <c r="AJ3" s="183"/>
    </row>
    <row r="4" spans="3:36" ht="66" customHeight="1" thickTop="1" thickBot="1" x14ac:dyDescent="0.3">
      <c r="C4" s="53"/>
      <c r="E4" s="51"/>
      <c r="F4" s="52"/>
      <c r="G4" s="52"/>
      <c r="H4" s="52"/>
      <c r="I4" s="127" t="s">
        <v>630</v>
      </c>
      <c r="J4" s="127" t="s">
        <v>609</v>
      </c>
      <c r="K4" s="127" t="s">
        <v>631</v>
      </c>
      <c r="L4" s="127" t="s">
        <v>610</v>
      </c>
      <c r="M4" s="127" t="s">
        <v>632</v>
      </c>
      <c r="N4" s="128" t="s">
        <v>611</v>
      </c>
      <c r="O4" s="129" t="s">
        <v>616</v>
      </c>
      <c r="P4" s="127" t="s">
        <v>604</v>
      </c>
      <c r="Q4" s="127" t="s">
        <v>603</v>
      </c>
      <c r="R4" s="127" t="s">
        <v>617</v>
      </c>
      <c r="S4" s="128" t="s">
        <v>720</v>
      </c>
      <c r="T4" s="210"/>
      <c r="U4" s="210"/>
      <c r="W4" s="210"/>
      <c r="X4" s="210"/>
      <c r="Y4" s="210"/>
      <c r="Z4" s="210"/>
      <c r="AJ4" s="183"/>
    </row>
    <row r="5" spans="3:36" ht="24.95" customHeight="1" thickTop="1" thickBot="1" x14ac:dyDescent="0.55000000000000004">
      <c r="C5" s="184"/>
      <c r="D5" s="211"/>
      <c r="E5" s="301" t="s">
        <v>613</v>
      </c>
      <c r="F5" s="302"/>
      <c r="G5" s="302"/>
      <c r="H5" s="302"/>
      <c r="I5" s="212">
        <v>0.63</v>
      </c>
      <c r="J5" s="212">
        <v>0.12</v>
      </c>
      <c r="K5" s="212">
        <v>0</v>
      </c>
      <c r="L5" s="212">
        <v>0</v>
      </c>
      <c r="M5" s="212">
        <v>0</v>
      </c>
      <c r="N5" s="63">
        <f>100%-I5-J5-K5-L5-M5</f>
        <v>0.25</v>
      </c>
      <c r="O5" s="61" t="s">
        <v>618</v>
      </c>
      <c r="P5" s="213" t="s">
        <v>618</v>
      </c>
      <c r="Q5" s="213" t="s">
        <v>618</v>
      </c>
      <c r="R5" s="212"/>
      <c r="S5" s="62" t="s">
        <v>618</v>
      </c>
      <c r="V5" s="281" t="s">
        <v>1177</v>
      </c>
      <c r="W5" s="282"/>
      <c r="X5" s="282"/>
      <c r="Y5" s="283"/>
      <c r="AJ5" s="183"/>
    </row>
    <row r="6" spans="3:36" ht="24.95" customHeight="1" thickTop="1" thickBot="1" x14ac:dyDescent="0.55000000000000004">
      <c r="C6" s="184"/>
      <c r="D6" s="211"/>
      <c r="E6" s="303" t="s">
        <v>614</v>
      </c>
      <c r="F6" s="304"/>
      <c r="G6" s="304"/>
      <c r="H6" s="304"/>
      <c r="I6" s="174">
        <v>0.5</v>
      </c>
      <c r="J6" s="174">
        <v>0.06</v>
      </c>
      <c r="K6" s="174">
        <v>0</v>
      </c>
      <c r="L6" s="174">
        <v>0</v>
      </c>
      <c r="M6" s="174">
        <v>0</v>
      </c>
      <c r="N6" s="214">
        <f>100%-I6-J6-K6-L6-M6</f>
        <v>0.44</v>
      </c>
      <c r="O6" s="176">
        <v>127</v>
      </c>
      <c r="P6" s="215">
        <f>(O6*(365/12)-(S6/R6))</f>
        <v>3687.916666666667</v>
      </c>
      <c r="Q6" s="215">
        <f>P6*12/52</f>
        <v>851.05769230769226</v>
      </c>
      <c r="R6" s="177">
        <v>2</v>
      </c>
      <c r="S6" s="178">
        <v>350</v>
      </c>
      <c r="T6" s="291" t="s">
        <v>1179</v>
      </c>
      <c r="U6" s="292"/>
      <c r="V6" s="284"/>
      <c r="W6" s="285"/>
      <c r="X6" s="285"/>
      <c r="Y6" s="286"/>
      <c r="AJ6" s="183"/>
    </row>
    <row r="7" spans="3:36" ht="24.95" customHeight="1" thickTop="1" thickBot="1" x14ac:dyDescent="0.55000000000000004">
      <c r="C7" s="184"/>
      <c r="D7" s="211"/>
      <c r="E7" s="305" t="s">
        <v>634</v>
      </c>
      <c r="F7" s="306"/>
      <c r="G7" s="306"/>
      <c r="H7" s="306"/>
      <c r="I7" s="175">
        <v>0.63</v>
      </c>
      <c r="J7" s="175">
        <v>0.09</v>
      </c>
      <c r="K7" s="175">
        <v>0.2</v>
      </c>
      <c r="L7" s="175">
        <v>0.02</v>
      </c>
      <c r="M7" s="175">
        <v>0.01</v>
      </c>
      <c r="N7" s="89">
        <f>100%-I7-J7-K7-L7-M7</f>
        <v>5.000000000000001E-2</v>
      </c>
      <c r="O7" s="307" t="s">
        <v>718</v>
      </c>
      <c r="P7" s="308"/>
      <c r="Q7" s="308"/>
      <c r="R7" s="308"/>
      <c r="S7" s="309"/>
      <c r="V7" s="287"/>
      <c r="W7" s="288"/>
      <c r="X7" s="288"/>
      <c r="Y7" s="289"/>
      <c r="AJ7" s="183"/>
    </row>
    <row r="8" spans="3:36" s="179" customFormat="1" ht="15.75" thickTop="1" x14ac:dyDescent="0.25">
      <c r="C8" s="185"/>
      <c r="E8" s="216">
        <v>9</v>
      </c>
      <c r="F8" s="216">
        <v>10</v>
      </c>
      <c r="G8" s="216">
        <v>11</v>
      </c>
      <c r="H8" s="216">
        <v>12</v>
      </c>
      <c r="I8" s="216">
        <v>13</v>
      </c>
      <c r="J8" s="216">
        <v>14</v>
      </c>
      <c r="K8" s="216">
        <v>15</v>
      </c>
      <c r="L8" s="216">
        <v>16</v>
      </c>
      <c r="M8" s="216">
        <v>17</v>
      </c>
      <c r="N8" s="216">
        <v>18</v>
      </c>
      <c r="O8" s="216">
        <v>19</v>
      </c>
      <c r="P8" s="216">
        <v>20</v>
      </c>
      <c r="Q8" s="216">
        <v>21</v>
      </c>
      <c r="R8" s="216">
        <v>22</v>
      </c>
      <c r="S8" s="216">
        <v>23</v>
      </c>
      <c r="T8" s="216">
        <v>24</v>
      </c>
      <c r="U8" s="216">
        <v>25</v>
      </c>
      <c r="V8" s="216">
        <v>26</v>
      </c>
      <c r="W8" s="216">
        <v>27</v>
      </c>
      <c r="X8" s="216">
        <v>28</v>
      </c>
      <c r="Y8" s="216">
        <v>29</v>
      </c>
      <c r="Z8" s="216">
        <v>30</v>
      </c>
      <c r="AA8" s="216">
        <v>31</v>
      </c>
      <c r="AB8" s="216">
        <v>32</v>
      </c>
      <c r="AC8" s="216">
        <v>33</v>
      </c>
      <c r="AD8" s="216">
        <v>34</v>
      </c>
      <c r="AE8" s="216">
        <v>35</v>
      </c>
      <c r="AF8" s="216">
        <v>36</v>
      </c>
      <c r="AG8" s="216">
        <v>37</v>
      </c>
      <c r="AH8" s="216">
        <v>38</v>
      </c>
      <c r="AI8" s="216">
        <v>39</v>
      </c>
      <c r="AJ8" s="186">
        <v>40</v>
      </c>
    </row>
    <row r="9" spans="3:36" ht="16.5" customHeight="1" x14ac:dyDescent="0.25">
      <c r="C9" s="53"/>
      <c r="AJ9" s="183"/>
    </row>
    <row r="10" spans="3:36" ht="23.25" customHeight="1" thickBot="1" x14ac:dyDescent="0.3">
      <c r="C10" s="53"/>
      <c r="AJ10" s="183"/>
    </row>
    <row r="11" spans="3:36" ht="50.1" customHeight="1" thickTop="1" x14ac:dyDescent="0.25">
      <c r="C11" s="53"/>
      <c r="D11" s="290" t="s">
        <v>1178</v>
      </c>
      <c r="E11" s="290"/>
      <c r="F11" s="290"/>
      <c r="G11" s="290"/>
      <c r="H11" s="290"/>
      <c r="I11" s="217"/>
      <c r="J11" s="295" t="s">
        <v>595</v>
      </c>
      <c r="K11" s="296"/>
      <c r="L11" s="296"/>
      <c r="M11" s="296"/>
      <c r="N11" s="297"/>
      <c r="AJ11" s="183"/>
    </row>
    <row r="12" spans="3:36" ht="50.1" customHeight="1" thickBot="1" x14ac:dyDescent="0.55000000000000004">
      <c r="C12" s="53"/>
      <c r="D12" s="290"/>
      <c r="E12" s="290"/>
      <c r="F12" s="290"/>
      <c r="G12" s="290"/>
      <c r="H12" s="290"/>
      <c r="I12" s="218" t="s">
        <v>1176</v>
      </c>
      <c r="J12" s="298" t="s">
        <v>195</v>
      </c>
      <c r="K12" s="299"/>
      <c r="L12" s="299"/>
      <c r="M12" s="299"/>
      <c r="N12" s="300"/>
      <c r="O12" s="219"/>
      <c r="P12" s="219"/>
      <c r="AJ12" s="183"/>
    </row>
    <row r="13" spans="3:36" ht="24.75" customHeight="1" thickTop="1" thickBot="1" x14ac:dyDescent="0.55000000000000004">
      <c r="C13" s="53"/>
      <c r="H13" s="219"/>
      <c r="I13" s="219"/>
      <c r="J13" s="219"/>
      <c r="K13" s="219"/>
      <c r="L13" s="219"/>
      <c r="M13" s="219"/>
      <c r="N13" s="219"/>
      <c r="O13" s="219"/>
      <c r="AJ13" s="183"/>
    </row>
    <row r="14" spans="3:36" ht="32.25" customHeight="1" thickTop="1" thickBot="1" x14ac:dyDescent="0.55000000000000004">
      <c r="C14" s="187" t="s">
        <v>623</v>
      </c>
      <c r="D14" s="220"/>
      <c r="E14" s="220"/>
      <c r="F14" s="220"/>
      <c r="G14" s="220"/>
      <c r="I14" s="221" t="s">
        <v>624</v>
      </c>
      <c r="J14" s="270">
        <f>D34</f>
        <v>737.10000000000014</v>
      </c>
      <c r="K14" s="271"/>
      <c r="L14" s="271"/>
      <c r="M14" s="271"/>
      <c r="N14" s="272"/>
      <c r="O14" s="222"/>
      <c r="AJ14" s="183"/>
    </row>
    <row r="15" spans="3:36" ht="32.25" customHeight="1" thickBot="1" x14ac:dyDescent="0.55000000000000004">
      <c r="C15" s="187" t="s">
        <v>623</v>
      </c>
      <c r="D15" s="220"/>
      <c r="E15" s="220"/>
      <c r="F15" s="220"/>
      <c r="G15" s="220"/>
      <c r="I15" s="221" t="s">
        <v>606</v>
      </c>
      <c r="J15" s="273">
        <f>D37*1000</f>
        <v>10887393.825000003</v>
      </c>
      <c r="K15" s="274"/>
      <c r="L15" s="274"/>
      <c r="M15" s="274"/>
      <c r="N15" s="275"/>
      <c r="O15" s="222"/>
      <c r="AJ15" s="183"/>
    </row>
    <row r="16" spans="3:36" ht="14.25" customHeight="1" thickTop="1" x14ac:dyDescent="0.5">
      <c r="C16" s="188"/>
      <c r="D16" s="223"/>
      <c r="E16" s="223"/>
      <c r="F16" s="223"/>
      <c r="G16" s="223"/>
      <c r="I16" s="221"/>
      <c r="J16" s="224"/>
      <c r="K16" s="224"/>
      <c r="L16" s="224"/>
      <c r="M16" s="222"/>
      <c r="N16" s="222"/>
      <c r="AJ16" s="183"/>
    </row>
    <row r="17" spans="3:36" ht="45" x14ac:dyDescent="0.25">
      <c r="C17" s="53"/>
      <c r="D17" s="225" t="s">
        <v>615</v>
      </c>
      <c r="E17" s="226">
        <v>44875</v>
      </c>
      <c r="F17" s="226">
        <v>44882</v>
      </c>
      <c r="G17" s="226">
        <v>44889</v>
      </c>
      <c r="H17" s="226">
        <v>44896</v>
      </c>
      <c r="I17" s="226">
        <v>44903</v>
      </c>
      <c r="J17" s="226">
        <v>44910</v>
      </c>
      <c r="K17" s="226">
        <v>44917</v>
      </c>
      <c r="L17" s="226">
        <v>44924</v>
      </c>
      <c r="M17" s="226">
        <v>44931</v>
      </c>
      <c r="N17" s="226">
        <v>44938</v>
      </c>
      <c r="O17" s="226">
        <v>44945</v>
      </c>
      <c r="P17" s="226">
        <v>44952</v>
      </c>
      <c r="Q17" s="226">
        <v>44959</v>
      </c>
      <c r="R17" s="226">
        <v>44966</v>
      </c>
      <c r="S17" s="226">
        <v>44973</v>
      </c>
      <c r="T17" s="226">
        <v>44980</v>
      </c>
      <c r="U17" s="226">
        <v>44987</v>
      </c>
      <c r="V17" s="226">
        <v>44994</v>
      </c>
      <c r="W17" s="226">
        <v>45001</v>
      </c>
      <c r="X17" s="226">
        <v>45008</v>
      </c>
      <c r="Y17" s="226">
        <v>45015</v>
      </c>
      <c r="Z17" s="226">
        <v>45022</v>
      </c>
      <c r="AA17" s="226">
        <v>45029</v>
      </c>
      <c r="AB17" s="226">
        <v>45036</v>
      </c>
      <c r="AC17" s="226">
        <v>45043</v>
      </c>
      <c r="AD17" s="226">
        <v>45050</v>
      </c>
      <c r="AE17" s="226">
        <v>45057</v>
      </c>
      <c r="AF17" s="226">
        <v>45064</v>
      </c>
      <c r="AG17" s="226">
        <v>45071</v>
      </c>
      <c r="AH17" s="226">
        <v>45078</v>
      </c>
      <c r="AI17" s="226">
        <v>45085</v>
      </c>
      <c r="AJ17" s="189">
        <v>45092</v>
      </c>
    </row>
    <row r="18" spans="3:36" ht="21" customHeight="1" x14ac:dyDescent="0.25">
      <c r="C18" s="190" t="s">
        <v>612</v>
      </c>
      <c r="D18" s="227"/>
      <c r="E18" s="227"/>
      <c r="F18" s="227"/>
      <c r="G18" s="227"/>
      <c r="H18" s="227"/>
      <c r="I18" s="227"/>
      <c r="J18" s="227"/>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227"/>
      <c r="AH18" s="227"/>
      <c r="AI18" s="227"/>
      <c r="AJ18" s="191"/>
    </row>
    <row r="19" spans="3:36" x14ac:dyDescent="0.25">
      <c r="C19" s="190" t="s">
        <v>619</v>
      </c>
      <c r="D19" s="227"/>
      <c r="E19" s="228">
        <f>IF(VLOOKUP($J$12,'No Action'!$A$9:$AP$280,E$8,FALSE)&lt;0,"",(VLOOKUP($J$12,'No Action'!$A$9:$AP$280,E$8,FALSE)))</f>
        <v>281.16000000000003</v>
      </c>
      <c r="F19" s="228">
        <f>IF(E19="","",IF(VLOOKUP($J$12,'No Action'!$A$9:$AP$280,F$8,FALSE)&lt;0,"",(VLOOKUP($J$12,'No Action'!$A$9:$AP$280,F$8,FALSE))))</f>
        <v>52.36</v>
      </c>
      <c r="G19" s="228">
        <f>IF(F19="","",IF(VLOOKUP($J$12,'No Action'!$A$9:$AP$280,G$8,FALSE)&lt;0,"",(VLOOKUP($J$12,'No Action'!$A$9:$AP$280,G$8,FALSE))))</f>
        <v>43.56</v>
      </c>
      <c r="H19" s="228">
        <f>IF(G19="","",IF(VLOOKUP($J$12,'No Action'!$A$9:$AP$280,H$8,FALSE)&lt;0,"",(VLOOKUP($J$12,'No Action'!$A$9:$AP$280,H$8,FALSE))))</f>
        <v>65.12</v>
      </c>
      <c r="I19" s="228">
        <f>IF(H19="","",IF(VLOOKUP($J$12,'No Action'!$A$9:$AP$280,I$8,FALSE)&lt;0,"",(VLOOKUP($J$12,'No Action'!$A$9:$AP$280,I$8,FALSE))))</f>
        <v>35.200000000000003</v>
      </c>
      <c r="J19" s="228">
        <f>IF(I19="","",IF(VLOOKUP($J$12,'No Action'!$A$9:$AP$280,J$8,FALSE)&lt;0,"",(VLOOKUP($J$12,'No Action'!$A$9:$AP$280,J$8,FALSE))))</f>
        <v>28.6</v>
      </c>
      <c r="K19" s="228">
        <f>IF(J19="","",IF(VLOOKUP($J$12,'No Action'!$A$9:$AP$280,K$8,FALSE)&lt;0,"",(VLOOKUP($J$12,'No Action'!$A$9:$AP$280,K$8,FALSE))))</f>
        <v>41.36</v>
      </c>
      <c r="L19" s="228">
        <f>IF(K19="","",IF(VLOOKUP($J$12,'No Action'!$A$9:$AP$280,L$8,FALSE)&lt;0,"",(VLOOKUP($J$12,'No Action'!$A$9:$AP$280,L$8,FALSE))))</f>
        <v>17.16</v>
      </c>
      <c r="M19" s="228">
        <f>IF(L19="","",IF(VLOOKUP($J$12,'No Action'!$A$9:$AP$280,M$8,FALSE)&lt;0,"",(VLOOKUP($J$12,'No Action'!$A$9:$AP$280,M$8,FALSE))))</f>
        <v>26.4</v>
      </c>
      <c r="N19" s="228">
        <f>IF(M19="","",IF(VLOOKUP($J$12,'No Action'!$A$9:$AP$280,N$8,FALSE)&lt;0,"",(VLOOKUP($J$12,'No Action'!$A$9:$AP$280,N$8,FALSE))))</f>
        <v>25.52</v>
      </c>
      <c r="O19" s="228">
        <f>IF(N19="","",IF(VLOOKUP($J$12,'No Action'!$A$9:$AP$280,O$8,FALSE)&lt;0,"",(VLOOKUP($J$12,'No Action'!$A$9:$AP$280,O$8,FALSE))))</f>
        <v>26.4</v>
      </c>
      <c r="P19" s="228">
        <f>IF(O19="","",IF(VLOOKUP($J$12,'No Action'!$A$9:$AP$280,P$8,FALSE)&lt;0,"",(VLOOKUP($J$12,'No Action'!$A$9:$AP$280,P$8,FALSE))))</f>
        <v>28.6</v>
      </c>
      <c r="Q19" s="228">
        <f>IF(P19="","",IF(VLOOKUP($J$12,'No Action'!$A$9:$AP$280,Q$8,FALSE)&lt;0,"",(VLOOKUP($J$12,'No Action'!$A$9:$AP$280,Q$8,FALSE))))</f>
        <v>21.56</v>
      </c>
      <c r="R19" s="228">
        <f>IF(Q19="","",IF(VLOOKUP($J$12,'No Action'!$A$9:$AP$280,R$8,FALSE)&lt;0,"",(VLOOKUP($J$12,'No Action'!$A$9:$AP$280,R$8,FALSE))))</f>
        <v>19.36</v>
      </c>
      <c r="S19" s="228">
        <f>IF(R19="","",IF(VLOOKUP($J$12,'No Action'!$A$9:$AP$280,S$8,FALSE)&lt;0,"",(VLOOKUP($J$12,'No Action'!$A$9:$AP$280,S$8,FALSE))))</f>
        <v>9.24</v>
      </c>
      <c r="T19" s="228">
        <f>IF(S19="","",IF(VLOOKUP($J$12,'No Action'!$A$9:$AP$280,T$8,FALSE)&lt;0,"",(VLOOKUP($J$12,'No Action'!$A$9:$AP$280,T$8,FALSE))))</f>
        <v>11.88</v>
      </c>
      <c r="U19" s="228">
        <f>IF(T19="","",IF(VLOOKUP($J$12,'No Action'!$A$9:$AP$280,U$8,FALSE)&lt;0,"",(VLOOKUP($J$12,'No Action'!$A$9:$AP$280,U$8,FALSE))))</f>
        <v>12.76</v>
      </c>
      <c r="V19" s="228">
        <f>IF(U19="","",IF(VLOOKUP($J$12,'No Action'!$A$9:$AP$280,V$8,FALSE)&lt;0,"",(VLOOKUP($J$12,'No Action'!$A$9:$AP$280,V$8,FALSE))))</f>
        <v>9.24</v>
      </c>
      <c r="W19" s="228">
        <f>IF(V19="","",IF(VLOOKUP($J$12,'No Action'!$A$9:$AP$280,W$8,FALSE)&lt;0,"",(VLOOKUP($J$12,'No Action'!$A$9:$AP$280,W$8,FALSE))))</f>
        <v>15.4</v>
      </c>
      <c r="X19" s="228">
        <f>IF(W19="","",IF(VLOOKUP($J$12,'No Action'!$A$9:$AP$280,X$8,FALSE)&lt;0,"",(VLOOKUP($J$12,'No Action'!$A$9:$AP$280,X$8,FALSE))))</f>
        <v>14.08</v>
      </c>
      <c r="Y19" s="228">
        <f>IF(X19="","",IF(VLOOKUP($J$12,'No Action'!$A$9:$AP$280,Y$8,FALSE)&lt;0,"",(VLOOKUP($J$12,'No Action'!$A$9:$AP$280,Y$8,FALSE))))</f>
        <v>25.96</v>
      </c>
      <c r="Z19" s="228">
        <f>IF(Y19="","",IF(VLOOKUP($J$12,'No Action'!$A$9:$AP$280,Z$8,FALSE)&lt;0,"",(VLOOKUP($J$12,'No Action'!$A$9:$AP$280,Z$8,FALSE))))</f>
        <v>10.56</v>
      </c>
      <c r="AA19" s="228">
        <f>IF(Z19="","",IF(VLOOKUP($J$12,'No Action'!$A$9:$AP$280,AA$8,FALSE)&lt;0,"",(VLOOKUP($J$12,'No Action'!$A$9:$AP$280,AA$8,FALSE))))</f>
        <v>10.119999999999999</v>
      </c>
      <c r="AB19" s="228" t="str">
        <f>IF(AA19="","",IF(VLOOKUP($J$12,'No Action'!$A$9:$AP$280,AB$8,FALSE)&lt;0,"",(VLOOKUP($J$12,'No Action'!$A$9:$AP$280,AB$8,FALSE))))</f>
        <v/>
      </c>
      <c r="AC19" s="228" t="str">
        <f>IF(AB19="","",IF(VLOOKUP($J$12,'No Action'!$A$9:$AP$280,AC$8,FALSE)&lt;0,"",(VLOOKUP($J$12,'No Action'!$A$9:$AP$280,AC$8,FALSE))))</f>
        <v/>
      </c>
      <c r="AD19" s="228" t="str">
        <f>IF(AC19="","",IF(VLOOKUP($J$12,'No Action'!$A$9:$AP$280,AD$8,FALSE)&lt;0,"",(VLOOKUP($J$12,'No Action'!$A$9:$AP$280,AD$8,FALSE))))</f>
        <v/>
      </c>
      <c r="AE19" s="228" t="str">
        <f>IF(AD19="","",IF(VLOOKUP($J$12,'No Action'!$A$9:$AP$280,AE$8,FALSE)&lt;0,"",(VLOOKUP($J$12,'No Action'!$A$9:$AP$280,AE$8,FALSE))))</f>
        <v/>
      </c>
      <c r="AF19" s="228" t="str">
        <f>IF(AE19="","",IF(VLOOKUP($J$12,'No Action'!$A$9:$AP$280,AF$8,FALSE)&lt;0,"",(VLOOKUP($J$12,'No Action'!$A$9:$AP$280,AF$8,FALSE))))</f>
        <v/>
      </c>
      <c r="AG19" s="228" t="str">
        <f>IF(AF19="","",IF(VLOOKUP($J$12,'No Action'!$A$9:$AP$280,AG$8,FALSE)&lt;0,"",(VLOOKUP($J$12,'No Action'!$A$9:$AP$280,AG$8,FALSE))))</f>
        <v/>
      </c>
      <c r="AH19" s="228" t="str">
        <f>IF(AG19="","",IF(VLOOKUP($J$12,'No Action'!$A$9:$AP$280,AH$8,FALSE)&lt;0,"",(VLOOKUP($J$12,'No Action'!$A$9:$AP$280,AH$8,FALSE))))</f>
        <v/>
      </c>
      <c r="AI19" s="228" t="str">
        <f>IF(AH19="","",IF(VLOOKUP($J$12,'No Action'!$A$9:$AP$280,AI$8,FALSE)&lt;0,"",(VLOOKUP($J$12,'No Action'!$A$9:$AP$280,AI$8,FALSE))))</f>
        <v/>
      </c>
      <c r="AJ19" s="192" t="str">
        <f>IF(AI19="","",IF(VLOOKUP($J$12,'No Action'!$A$9:$AP$280,AJ$8,FALSE)&lt;0,"",(VLOOKUP($J$12,'No Action'!$A$9:$AP$280,AJ$8,FALSE))))</f>
        <v/>
      </c>
    </row>
    <row r="20" spans="3:36" x14ac:dyDescent="0.25">
      <c r="C20" s="190" t="s">
        <v>607</v>
      </c>
      <c r="D20" s="228" cm="1">
        <f t="array" ref="D20">LOOKUP(2,1/(E20:AJ20&lt;&gt;""),E20:AJ20)</f>
        <v>831.59999999999991</v>
      </c>
      <c r="E20" s="228">
        <f>IF(E19="","",E19)</f>
        <v>281.16000000000003</v>
      </c>
      <c r="F20" s="228">
        <f>IF(F19="","",E20+F19)</f>
        <v>333.52000000000004</v>
      </c>
      <c r="G20" s="228">
        <f t="shared" ref="G20:AJ20" si="0">IF(G19="","",F20+G19)</f>
        <v>377.08000000000004</v>
      </c>
      <c r="H20" s="228">
        <f t="shared" si="0"/>
        <v>442.20000000000005</v>
      </c>
      <c r="I20" s="228">
        <f t="shared" si="0"/>
        <v>477.40000000000003</v>
      </c>
      <c r="J20" s="228">
        <f t="shared" si="0"/>
        <v>506.00000000000006</v>
      </c>
      <c r="K20" s="228">
        <f t="shared" si="0"/>
        <v>547.36</v>
      </c>
      <c r="L20" s="228">
        <f t="shared" si="0"/>
        <v>564.52</v>
      </c>
      <c r="M20" s="228">
        <f t="shared" si="0"/>
        <v>590.91999999999996</v>
      </c>
      <c r="N20" s="228">
        <f t="shared" si="0"/>
        <v>616.43999999999994</v>
      </c>
      <c r="O20" s="228">
        <f t="shared" si="0"/>
        <v>642.83999999999992</v>
      </c>
      <c r="P20" s="228">
        <f t="shared" si="0"/>
        <v>671.43999999999994</v>
      </c>
      <c r="Q20" s="228">
        <f t="shared" si="0"/>
        <v>692.99999999999989</v>
      </c>
      <c r="R20" s="228">
        <f t="shared" si="0"/>
        <v>712.3599999999999</v>
      </c>
      <c r="S20" s="228">
        <f t="shared" si="0"/>
        <v>721.59999999999991</v>
      </c>
      <c r="T20" s="228">
        <f t="shared" si="0"/>
        <v>733.4799999999999</v>
      </c>
      <c r="U20" s="228">
        <f t="shared" si="0"/>
        <v>746.2399999999999</v>
      </c>
      <c r="V20" s="228">
        <f t="shared" si="0"/>
        <v>755.4799999999999</v>
      </c>
      <c r="W20" s="228">
        <f t="shared" si="0"/>
        <v>770.87999999999988</v>
      </c>
      <c r="X20" s="228">
        <f t="shared" si="0"/>
        <v>784.95999999999992</v>
      </c>
      <c r="Y20" s="228">
        <f t="shared" si="0"/>
        <v>810.92</v>
      </c>
      <c r="Z20" s="228">
        <f t="shared" si="0"/>
        <v>821.4799999999999</v>
      </c>
      <c r="AA20" s="228">
        <f t="shared" si="0"/>
        <v>831.59999999999991</v>
      </c>
      <c r="AB20" s="228" t="str">
        <f t="shared" si="0"/>
        <v/>
      </c>
      <c r="AC20" s="228" t="str">
        <f t="shared" si="0"/>
        <v/>
      </c>
      <c r="AD20" s="228" t="str">
        <f t="shared" si="0"/>
        <v/>
      </c>
      <c r="AE20" s="228" t="str">
        <f t="shared" si="0"/>
        <v/>
      </c>
      <c r="AF20" s="228" t="str">
        <f t="shared" si="0"/>
        <v/>
      </c>
      <c r="AG20" s="228" t="str">
        <f t="shared" si="0"/>
        <v/>
      </c>
      <c r="AH20" s="228" t="str">
        <f t="shared" si="0"/>
        <v/>
      </c>
      <c r="AI20" s="228" t="str">
        <f t="shared" si="0"/>
        <v/>
      </c>
      <c r="AJ20" s="192" t="str">
        <f t="shared" si="0"/>
        <v/>
      </c>
    </row>
    <row r="21" spans="3:36" x14ac:dyDescent="0.25">
      <c r="C21" s="190"/>
      <c r="D21" s="227" t="s">
        <v>626</v>
      </c>
      <c r="E21" s="227" t="str">
        <f>IF(E19="","",D21)</f>
        <v>£'000</v>
      </c>
      <c r="F21" s="227" t="str">
        <f t="shared" ref="F21:AJ21" si="1">IF(F19="","",E21)</f>
        <v>£'000</v>
      </c>
      <c r="G21" s="227" t="str">
        <f t="shared" si="1"/>
        <v>£'000</v>
      </c>
      <c r="H21" s="227" t="str">
        <f t="shared" si="1"/>
        <v>£'000</v>
      </c>
      <c r="I21" s="227" t="str">
        <f t="shared" si="1"/>
        <v>£'000</v>
      </c>
      <c r="J21" s="227" t="str">
        <f t="shared" si="1"/>
        <v>£'000</v>
      </c>
      <c r="K21" s="227" t="str">
        <f t="shared" si="1"/>
        <v>£'000</v>
      </c>
      <c r="L21" s="227" t="str">
        <f t="shared" si="1"/>
        <v>£'000</v>
      </c>
      <c r="M21" s="227" t="str">
        <f t="shared" si="1"/>
        <v>£'000</v>
      </c>
      <c r="N21" s="227" t="str">
        <f t="shared" si="1"/>
        <v>£'000</v>
      </c>
      <c r="O21" s="227" t="str">
        <f t="shared" si="1"/>
        <v>£'000</v>
      </c>
      <c r="P21" s="227" t="str">
        <f t="shared" si="1"/>
        <v>£'000</v>
      </c>
      <c r="Q21" s="227" t="str">
        <f t="shared" si="1"/>
        <v>£'000</v>
      </c>
      <c r="R21" s="227" t="str">
        <f t="shared" si="1"/>
        <v>£'000</v>
      </c>
      <c r="S21" s="227" t="str">
        <f t="shared" si="1"/>
        <v>£'000</v>
      </c>
      <c r="T21" s="227" t="str">
        <f t="shared" si="1"/>
        <v>£'000</v>
      </c>
      <c r="U21" s="227" t="str">
        <f t="shared" si="1"/>
        <v>£'000</v>
      </c>
      <c r="V21" s="227" t="str">
        <f t="shared" si="1"/>
        <v>£'000</v>
      </c>
      <c r="W21" s="227" t="str">
        <f t="shared" si="1"/>
        <v>£'000</v>
      </c>
      <c r="X21" s="227" t="str">
        <f t="shared" si="1"/>
        <v>£'000</v>
      </c>
      <c r="Y21" s="227" t="str">
        <f t="shared" si="1"/>
        <v>£'000</v>
      </c>
      <c r="Z21" s="227" t="str">
        <f t="shared" si="1"/>
        <v>£'000</v>
      </c>
      <c r="AA21" s="227" t="str">
        <f t="shared" si="1"/>
        <v>£'000</v>
      </c>
      <c r="AB21" s="227" t="str">
        <f t="shared" si="1"/>
        <v/>
      </c>
      <c r="AC21" s="227" t="str">
        <f t="shared" si="1"/>
        <v/>
      </c>
      <c r="AD21" s="227" t="str">
        <f t="shared" si="1"/>
        <v/>
      </c>
      <c r="AE21" s="227" t="str">
        <f t="shared" si="1"/>
        <v/>
      </c>
      <c r="AF21" s="227" t="str">
        <f t="shared" si="1"/>
        <v/>
      </c>
      <c r="AG21" s="227" t="str">
        <f t="shared" si="1"/>
        <v/>
      </c>
      <c r="AH21" s="227" t="str">
        <f t="shared" si="1"/>
        <v/>
      </c>
      <c r="AI21" s="227" t="str">
        <f t="shared" si="1"/>
        <v/>
      </c>
      <c r="AJ21" s="191" t="str">
        <f t="shared" si="1"/>
        <v/>
      </c>
    </row>
    <row r="22" spans="3:36" x14ac:dyDescent="0.25">
      <c r="C22" s="190" t="s">
        <v>620</v>
      </c>
      <c r="D22" s="227"/>
      <c r="E22" s="229">
        <f>E20*$Q$6/1000</f>
        <v>239.28338076923077</v>
      </c>
      <c r="F22" s="229">
        <f>IF(F20="","",F20*$Q$6/1000)</f>
        <v>283.84476153846157</v>
      </c>
      <c r="G22" s="229">
        <f t="shared" ref="G22:AJ22" si="2">IF(G20="","",G20*$Q$6/1000)</f>
        <v>320.91683461538463</v>
      </c>
      <c r="H22" s="229">
        <f t="shared" si="2"/>
        <v>376.33771153846158</v>
      </c>
      <c r="I22" s="229">
        <f t="shared" si="2"/>
        <v>406.29494230769234</v>
      </c>
      <c r="J22" s="229">
        <f t="shared" si="2"/>
        <v>430.63519230769231</v>
      </c>
      <c r="K22" s="229">
        <f t="shared" si="2"/>
        <v>465.83493846153846</v>
      </c>
      <c r="L22" s="229">
        <f t="shared" si="2"/>
        <v>480.4390884615384</v>
      </c>
      <c r="M22" s="229">
        <f t="shared" si="2"/>
        <v>502.90701153846152</v>
      </c>
      <c r="N22" s="229">
        <f t="shared" si="2"/>
        <v>524.62600384615371</v>
      </c>
      <c r="O22" s="229">
        <f t="shared" si="2"/>
        <v>547.09392692307688</v>
      </c>
      <c r="P22" s="229">
        <f t="shared" si="2"/>
        <v>571.43417692307685</v>
      </c>
      <c r="Q22" s="229">
        <f t="shared" si="2"/>
        <v>589.78298076923068</v>
      </c>
      <c r="R22" s="229">
        <f t="shared" si="2"/>
        <v>606.25945769230759</v>
      </c>
      <c r="S22" s="229">
        <f t="shared" si="2"/>
        <v>614.12323076923064</v>
      </c>
      <c r="T22" s="229">
        <f t="shared" si="2"/>
        <v>624.23379615384613</v>
      </c>
      <c r="U22" s="229">
        <f t="shared" si="2"/>
        <v>635.0932923076922</v>
      </c>
      <c r="V22" s="229">
        <f t="shared" si="2"/>
        <v>642.95706538461525</v>
      </c>
      <c r="W22" s="229">
        <f t="shared" si="2"/>
        <v>656.06335384615375</v>
      </c>
      <c r="X22" s="229">
        <f t="shared" si="2"/>
        <v>668.04624615384603</v>
      </c>
      <c r="Y22" s="229">
        <f t="shared" si="2"/>
        <v>690.13970384615379</v>
      </c>
      <c r="Z22" s="229">
        <f t="shared" si="2"/>
        <v>699.12687307692295</v>
      </c>
      <c r="AA22" s="229">
        <f t="shared" si="2"/>
        <v>707.73957692307681</v>
      </c>
      <c r="AB22" s="229" t="str">
        <f t="shared" si="2"/>
        <v/>
      </c>
      <c r="AC22" s="229" t="str">
        <f t="shared" si="2"/>
        <v/>
      </c>
      <c r="AD22" s="229" t="str">
        <f t="shared" si="2"/>
        <v/>
      </c>
      <c r="AE22" s="229" t="str">
        <f t="shared" si="2"/>
        <v/>
      </c>
      <c r="AF22" s="229" t="str">
        <f t="shared" si="2"/>
        <v/>
      </c>
      <c r="AG22" s="229" t="str">
        <f t="shared" si="2"/>
        <v/>
      </c>
      <c r="AH22" s="229" t="str">
        <f t="shared" si="2"/>
        <v/>
      </c>
      <c r="AI22" s="229" t="str">
        <f t="shared" si="2"/>
        <v/>
      </c>
      <c r="AJ22" s="193" t="str">
        <f t="shared" si="2"/>
        <v/>
      </c>
    </row>
    <row r="23" spans="3:36" x14ac:dyDescent="0.25">
      <c r="C23" s="190" t="s">
        <v>621</v>
      </c>
      <c r="D23" s="228" cm="1">
        <f t="array" ref="D23">LOOKUP(2,1/(E23:AJ23&lt;&gt;""),E23:AJ23)</f>
        <v>12283.213546153846</v>
      </c>
      <c r="E23" s="229">
        <f>E22</f>
        <v>239.28338076923077</v>
      </c>
      <c r="F23" s="229">
        <f>IF(F20="","",E23+F22)</f>
        <v>523.12814230769231</v>
      </c>
      <c r="G23" s="229">
        <f t="shared" ref="G23:AJ23" si="3">IF(G20="","",F23+G22)</f>
        <v>844.044976923077</v>
      </c>
      <c r="H23" s="229">
        <f t="shared" si="3"/>
        <v>1220.3826884615387</v>
      </c>
      <c r="I23" s="229">
        <f t="shared" si="3"/>
        <v>1626.677630769231</v>
      </c>
      <c r="J23" s="229">
        <f t="shared" si="3"/>
        <v>2057.3128230769235</v>
      </c>
      <c r="K23" s="229">
        <f t="shared" si="3"/>
        <v>2523.147761538462</v>
      </c>
      <c r="L23" s="229">
        <f t="shared" si="3"/>
        <v>3003.5868500000006</v>
      </c>
      <c r="M23" s="229">
        <f t="shared" si="3"/>
        <v>3506.4938615384622</v>
      </c>
      <c r="N23" s="229">
        <f t="shared" si="3"/>
        <v>4031.1198653846159</v>
      </c>
      <c r="O23" s="229">
        <f t="shared" si="3"/>
        <v>4578.2137923076925</v>
      </c>
      <c r="P23" s="229">
        <f t="shared" si="3"/>
        <v>5149.6479692307694</v>
      </c>
      <c r="Q23" s="229">
        <f t="shared" si="3"/>
        <v>5739.4309499999999</v>
      </c>
      <c r="R23" s="229">
        <f t="shared" si="3"/>
        <v>6345.6904076923074</v>
      </c>
      <c r="S23" s="229">
        <f t="shared" si="3"/>
        <v>6959.8136384615382</v>
      </c>
      <c r="T23" s="229">
        <f t="shared" si="3"/>
        <v>7584.0474346153842</v>
      </c>
      <c r="U23" s="229">
        <f t="shared" si="3"/>
        <v>8219.1407269230767</v>
      </c>
      <c r="V23" s="229">
        <f t="shared" si="3"/>
        <v>8862.0977923076916</v>
      </c>
      <c r="W23" s="229">
        <f t="shared" si="3"/>
        <v>9518.161146153845</v>
      </c>
      <c r="X23" s="229">
        <f t="shared" si="3"/>
        <v>10186.207392307691</v>
      </c>
      <c r="Y23" s="229">
        <f t="shared" si="3"/>
        <v>10876.347096153846</v>
      </c>
      <c r="Z23" s="229">
        <f t="shared" si="3"/>
        <v>11575.473969230768</v>
      </c>
      <c r="AA23" s="229">
        <f t="shared" si="3"/>
        <v>12283.213546153846</v>
      </c>
      <c r="AB23" s="229" t="str">
        <f t="shared" si="3"/>
        <v/>
      </c>
      <c r="AC23" s="229" t="str">
        <f t="shared" si="3"/>
        <v/>
      </c>
      <c r="AD23" s="229" t="str">
        <f t="shared" si="3"/>
        <v/>
      </c>
      <c r="AE23" s="229" t="str">
        <f t="shared" si="3"/>
        <v/>
      </c>
      <c r="AF23" s="229" t="str">
        <f t="shared" si="3"/>
        <v/>
      </c>
      <c r="AG23" s="229" t="str">
        <f t="shared" si="3"/>
        <v/>
      </c>
      <c r="AH23" s="229" t="str">
        <f t="shared" si="3"/>
        <v/>
      </c>
      <c r="AI23" s="229" t="str">
        <f t="shared" si="3"/>
        <v/>
      </c>
      <c r="AJ23" s="193" t="str">
        <f t="shared" si="3"/>
        <v/>
      </c>
    </row>
    <row r="24" spans="3:36" x14ac:dyDescent="0.25">
      <c r="C24" s="53"/>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194"/>
    </row>
    <row r="25" spans="3:36" x14ac:dyDescent="0.25">
      <c r="C25" s="195" t="s">
        <v>634</v>
      </c>
      <c r="D25" s="58"/>
      <c r="E25" s="58"/>
      <c r="F25" s="58"/>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196"/>
    </row>
    <row r="26" spans="3:36" x14ac:dyDescent="0.25">
      <c r="C26" s="195" t="s">
        <v>619</v>
      </c>
      <c r="D26" s="58"/>
      <c r="E26" s="230">
        <f>IF(VLOOKUP($J$12,'With Action'!$A$9:$AP$280,E$8,FALSE)&lt;0,"",VLOOKUP($J$12,'With Action'!$A$9:$AP$280,E$8,FALSE))</f>
        <v>31.950000000000006</v>
      </c>
      <c r="F26" s="230">
        <f>IF(VLOOKUP($J$12,'With Action'!$A$9:$AP$280,F$8,FALSE)&lt;0,"",VLOOKUP($J$12,'With Action'!$A$9:$AP$280,F$8,FALSE))</f>
        <v>5.9500000000000011</v>
      </c>
      <c r="G26" s="230">
        <f>IF(VLOOKUP($J$12,'With Action'!$A$9:$AP$280,G$8,FALSE)&lt;0,"",VLOOKUP($J$12,'With Action'!$A$9:$AP$280,G$8,FALSE))</f>
        <v>4.9500000000000011</v>
      </c>
      <c r="H26" s="230">
        <f>IF(VLOOKUP($J$12,'With Action'!$A$9:$AP$280,H$8,FALSE)&lt;0,"",VLOOKUP($J$12,'With Action'!$A$9:$AP$280,H$8,FALSE))</f>
        <v>7.4000000000000012</v>
      </c>
      <c r="I26" s="230">
        <f>IF(VLOOKUP($J$12,'With Action'!$A$9:$AP$280,I$8,FALSE)&lt;0,"",VLOOKUP($J$12,'With Action'!$A$9:$AP$280,I$8,FALSE))</f>
        <v>4.0000000000000009</v>
      </c>
      <c r="J26" s="230">
        <f>IF(VLOOKUP($J$12,'With Action'!$A$9:$AP$280,J$8,FALSE)&lt;0,"",VLOOKUP($J$12,'With Action'!$A$9:$AP$280,J$8,FALSE))</f>
        <v>3.2500000000000004</v>
      </c>
      <c r="K26" s="230">
        <f>IF(VLOOKUP($J$12,'With Action'!$A$9:$AP$280,K$8,FALSE)&lt;0,"",VLOOKUP($J$12,'With Action'!$A$9:$AP$280,K$8,FALSE))</f>
        <v>4.7000000000000011</v>
      </c>
      <c r="L26" s="230">
        <f>IF(VLOOKUP($J$12,'With Action'!$A$9:$AP$280,L$8,FALSE)&lt;0,"",VLOOKUP($J$12,'With Action'!$A$9:$AP$280,L$8,FALSE))</f>
        <v>1.9500000000000004</v>
      </c>
      <c r="M26" s="230">
        <f>IF(VLOOKUP($J$12,'With Action'!$A$9:$AP$280,M$8,FALSE)&lt;0,"",VLOOKUP($J$12,'With Action'!$A$9:$AP$280,M$8,FALSE))</f>
        <v>3.0000000000000004</v>
      </c>
      <c r="N26" s="230">
        <f>IF(VLOOKUP($J$12,'With Action'!$A$9:$AP$280,N$8,FALSE)&lt;0,"",VLOOKUP($J$12,'With Action'!$A$9:$AP$280,N$8,FALSE))</f>
        <v>2.9000000000000004</v>
      </c>
      <c r="O26" s="230">
        <f>IF(VLOOKUP($J$12,'With Action'!$A$9:$AP$280,O$8,FALSE)&lt;0,"",VLOOKUP($J$12,'With Action'!$A$9:$AP$280,O$8,FALSE))</f>
        <v>3.0000000000000004</v>
      </c>
      <c r="P26" s="230">
        <f>IF(VLOOKUP($J$12,'With Action'!$A$9:$AP$280,P$8,FALSE)&lt;0,"",VLOOKUP($J$12,'With Action'!$A$9:$AP$280,P$8,FALSE))</f>
        <v>3.2500000000000004</v>
      </c>
      <c r="Q26" s="230">
        <f>IF(VLOOKUP($J$12,'With Action'!$A$9:$AP$280,Q$8,FALSE)&lt;0,"",VLOOKUP($J$12,'With Action'!$A$9:$AP$280,Q$8,FALSE))</f>
        <v>2.4500000000000006</v>
      </c>
      <c r="R26" s="230">
        <f>IF(VLOOKUP($J$12,'With Action'!$A$9:$AP$280,R$8,FALSE)&lt;0,"",VLOOKUP($J$12,'With Action'!$A$9:$AP$280,R$8,FALSE))</f>
        <v>2.2000000000000006</v>
      </c>
      <c r="S26" s="230">
        <f>IF(VLOOKUP($J$12,'With Action'!$A$9:$AP$280,S$8,FALSE)&lt;0,"",VLOOKUP($J$12,'With Action'!$A$9:$AP$280,S$8,FALSE))</f>
        <v>1.0500000000000003</v>
      </c>
      <c r="T26" s="230">
        <f>IF(VLOOKUP($J$12,'With Action'!$A$9:$AP$280,T$8,FALSE)&lt;0,"",VLOOKUP($J$12,'With Action'!$A$9:$AP$280,T$8,FALSE))</f>
        <v>1.3500000000000003</v>
      </c>
      <c r="U26" s="230">
        <f>IF(VLOOKUP($J$12,'With Action'!$A$9:$AP$280,U$8,FALSE)&lt;0,"",VLOOKUP($J$12,'With Action'!$A$9:$AP$280,U$8,FALSE))</f>
        <v>1.4500000000000002</v>
      </c>
      <c r="V26" s="230">
        <f>IF(VLOOKUP($J$12,'With Action'!$A$9:$AP$280,V$8,FALSE)&lt;0,"",VLOOKUP($J$12,'With Action'!$A$9:$AP$280,V$8,FALSE))</f>
        <v>1.0500000000000003</v>
      </c>
      <c r="W26" s="230">
        <f>IF(VLOOKUP($J$12,'With Action'!$A$9:$AP$280,W$8,FALSE)&lt;0,"",VLOOKUP($J$12,'With Action'!$A$9:$AP$280,W$8,FALSE))</f>
        <v>1.7500000000000004</v>
      </c>
      <c r="X26" s="230">
        <f>IF(VLOOKUP($J$12,'With Action'!$A$9:$AP$280,X$8,FALSE)&lt;0,"",VLOOKUP($J$12,'With Action'!$A$9:$AP$280,X$8,FALSE))</f>
        <v>1.6000000000000003</v>
      </c>
      <c r="Y26" s="230">
        <f>IF(VLOOKUP($J$12,'With Action'!$A$9:$AP$280,Y$8,FALSE)&lt;0,"",VLOOKUP($J$12,'With Action'!$A$9:$AP$280,Y$8,FALSE))</f>
        <v>2.9500000000000006</v>
      </c>
      <c r="Z26" s="230">
        <f>IF(VLOOKUP($J$12,'With Action'!$A$9:$AP$280,Z$8,FALSE)&lt;0,"",VLOOKUP($J$12,'With Action'!$A$9:$AP$280,Z$8,FALSE))</f>
        <v>1.2000000000000002</v>
      </c>
      <c r="AA26" s="230">
        <f>IF(VLOOKUP($J$12,'With Action'!$A$9:$AP$280,AA$8,FALSE)&lt;0,"",VLOOKUP($J$12,'With Action'!$A$9:$AP$280,AA$8,FALSE))</f>
        <v>1.1500000000000001</v>
      </c>
      <c r="AB26" s="231" t="str">
        <f>IF(AA26="","",IF(VLOOKUP($J$12,'No Action'!$A$9:$AP$280,AB$8,FALSE)&lt;0,"",(VLOOKUP($J$12,'No Action'!$A$9:$AP$280,AB$8,FALSE))))</f>
        <v/>
      </c>
      <c r="AC26" s="231" t="str">
        <f>IF(AB26="","",IF(VLOOKUP($J$12,'No Action'!$A$9:$AP$280,AC$8,FALSE)&lt;0,"",(VLOOKUP($J$12,'No Action'!$A$9:$AP$280,AC$8,FALSE))))</f>
        <v/>
      </c>
      <c r="AD26" s="231" t="str">
        <f>IF(AC26="","",IF(VLOOKUP($J$12,'No Action'!$A$9:$AP$280,AD$8,FALSE)&lt;0,"",(VLOOKUP($J$12,'No Action'!$A$9:$AP$280,AD$8,FALSE))))</f>
        <v/>
      </c>
      <c r="AE26" s="231" t="str">
        <f>IF(AD26="","",IF(VLOOKUP($J$12,'No Action'!$A$9:$AP$280,AE$8,FALSE)&lt;0,"",(VLOOKUP($J$12,'No Action'!$A$9:$AP$280,AE$8,FALSE))))</f>
        <v/>
      </c>
      <c r="AF26" s="231" t="str">
        <f>IF(AE26="","",IF(VLOOKUP($J$12,'No Action'!$A$9:$AP$280,AF$8,FALSE)&lt;0,"",(VLOOKUP($J$12,'No Action'!$A$9:$AP$280,AF$8,FALSE))))</f>
        <v/>
      </c>
      <c r="AG26" s="231" t="str">
        <f>IF(AF26="","",IF(VLOOKUP($J$12,'No Action'!$A$9:$AP$280,AG$8,FALSE)&lt;0,"",(VLOOKUP($J$12,'No Action'!$A$9:$AP$280,AG$8,FALSE))))</f>
        <v/>
      </c>
      <c r="AH26" s="231" t="str">
        <f>IF(AG26="","",IF(VLOOKUP($J$12,'No Action'!$A$9:$AP$280,AH$8,FALSE)&lt;0,"",(VLOOKUP($J$12,'No Action'!$A$9:$AP$280,AH$8,FALSE))))</f>
        <v/>
      </c>
      <c r="AI26" s="231" t="str">
        <f>IF(AH26="","",IF(VLOOKUP($J$12,'No Action'!$A$9:$AP$280,AI$8,FALSE)&lt;0,"",(VLOOKUP($J$12,'No Action'!$A$9:$AP$280,AI$8,FALSE))))</f>
        <v/>
      </c>
      <c r="AJ26" s="197" t="str">
        <f>IF(AI26="","",IF(VLOOKUP($J$12,'No Action'!$A$9:$AP$280,AJ$8,FALSE)&lt;0,"",(VLOOKUP($J$12,'No Action'!$A$9:$AP$280,AJ$8,FALSE))))</f>
        <v/>
      </c>
    </row>
    <row r="27" spans="3:36" x14ac:dyDescent="0.25">
      <c r="C27" s="195" t="s">
        <v>607</v>
      </c>
      <c r="D27" s="230" cm="1">
        <f t="array" ref="D27">LOOKUP(2,1/(E27:AJ27&lt;&gt;""),E27:AJ27)</f>
        <v>94.500000000000014</v>
      </c>
      <c r="E27" s="230">
        <f>E26</f>
        <v>31.950000000000006</v>
      </c>
      <c r="F27" s="230">
        <f>E27+F26</f>
        <v>37.900000000000006</v>
      </c>
      <c r="G27" s="230">
        <f t="shared" ref="G27:AA27" si="4">F27+G26</f>
        <v>42.850000000000009</v>
      </c>
      <c r="H27" s="230">
        <f t="shared" si="4"/>
        <v>50.250000000000007</v>
      </c>
      <c r="I27" s="230">
        <f t="shared" si="4"/>
        <v>54.250000000000007</v>
      </c>
      <c r="J27" s="230">
        <f t="shared" si="4"/>
        <v>57.500000000000007</v>
      </c>
      <c r="K27" s="230">
        <f t="shared" si="4"/>
        <v>62.20000000000001</v>
      </c>
      <c r="L27" s="230">
        <f t="shared" si="4"/>
        <v>64.150000000000006</v>
      </c>
      <c r="M27" s="230">
        <f t="shared" si="4"/>
        <v>67.150000000000006</v>
      </c>
      <c r="N27" s="230">
        <f t="shared" si="4"/>
        <v>70.050000000000011</v>
      </c>
      <c r="O27" s="230">
        <f t="shared" si="4"/>
        <v>73.050000000000011</v>
      </c>
      <c r="P27" s="230">
        <f t="shared" si="4"/>
        <v>76.300000000000011</v>
      </c>
      <c r="Q27" s="230">
        <f t="shared" si="4"/>
        <v>78.750000000000014</v>
      </c>
      <c r="R27" s="230">
        <f t="shared" si="4"/>
        <v>80.950000000000017</v>
      </c>
      <c r="S27" s="230">
        <f t="shared" si="4"/>
        <v>82.000000000000014</v>
      </c>
      <c r="T27" s="230">
        <f t="shared" si="4"/>
        <v>83.350000000000009</v>
      </c>
      <c r="U27" s="230">
        <f t="shared" si="4"/>
        <v>84.800000000000011</v>
      </c>
      <c r="V27" s="230">
        <f t="shared" si="4"/>
        <v>85.850000000000009</v>
      </c>
      <c r="W27" s="230">
        <f t="shared" si="4"/>
        <v>87.600000000000009</v>
      </c>
      <c r="X27" s="230">
        <f t="shared" si="4"/>
        <v>89.2</v>
      </c>
      <c r="Y27" s="230">
        <f t="shared" si="4"/>
        <v>92.15</v>
      </c>
      <c r="Z27" s="230">
        <f t="shared" si="4"/>
        <v>93.350000000000009</v>
      </c>
      <c r="AA27" s="230">
        <f t="shared" si="4"/>
        <v>94.500000000000014</v>
      </c>
      <c r="AB27" s="231" t="str">
        <f t="shared" ref="AB27" si="5">IF(AB26="","",AA27+AB26)</f>
        <v/>
      </c>
      <c r="AC27" s="231" t="str">
        <f t="shared" ref="AC27" si="6">IF(AC26="","",AB27+AC26)</f>
        <v/>
      </c>
      <c r="AD27" s="231" t="str">
        <f t="shared" ref="AD27" si="7">IF(AD26="","",AC27+AD26)</f>
        <v/>
      </c>
      <c r="AE27" s="231" t="str">
        <f t="shared" ref="AE27" si="8">IF(AE26="","",AD27+AE26)</f>
        <v/>
      </c>
      <c r="AF27" s="231" t="str">
        <f t="shared" ref="AF27" si="9">IF(AF26="","",AE27+AF26)</f>
        <v/>
      </c>
      <c r="AG27" s="231" t="str">
        <f t="shared" ref="AG27" si="10">IF(AG26="","",AF27+AG26)</f>
        <v/>
      </c>
      <c r="AH27" s="231" t="str">
        <f t="shared" ref="AH27" si="11">IF(AH26="","",AG27+AH26)</f>
        <v/>
      </c>
      <c r="AI27" s="231" t="str">
        <f t="shared" ref="AI27" si="12">IF(AI26="","",AH27+AI26)</f>
        <v/>
      </c>
      <c r="AJ27" s="197" t="str">
        <f t="shared" ref="AJ27" si="13">IF(AJ26="","",AI27+AJ26)</f>
        <v/>
      </c>
    </row>
    <row r="28" spans="3:36" x14ac:dyDescent="0.25">
      <c r="C28" s="195"/>
      <c r="D28" s="58" t="s">
        <v>626</v>
      </c>
      <c r="E28" s="58" t="s">
        <v>626</v>
      </c>
      <c r="F28" s="58" t="s">
        <v>626</v>
      </c>
      <c r="G28" s="58" t="s">
        <v>626</v>
      </c>
      <c r="H28" s="58" t="s">
        <v>626</v>
      </c>
      <c r="I28" s="58" t="s">
        <v>626</v>
      </c>
      <c r="J28" s="58" t="s">
        <v>626</v>
      </c>
      <c r="K28" s="58" t="s">
        <v>626</v>
      </c>
      <c r="L28" s="58" t="s">
        <v>626</v>
      </c>
      <c r="M28" s="58" t="s">
        <v>626</v>
      </c>
      <c r="N28" s="58" t="s">
        <v>626</v>
      </c>
      <c r="O28" s="58" t="s">
        <v>626</v>
      </c>
      <c r="P28" s="58" t="s">
        <v>626</v>
      </c>
      <c r="Q28" s="58" t="s">
        <v>626</v>
      </c>
      <c r="R28" s="58" t="s">
        <v>626</v>
      </c>
      <c r="S28" s="58" t="s">
        <v>626</v>
      </c>
      <c r="T28" s="58" t="s">
        <v>626</v>
      </c>
      <c r="U28" s="58" t="s">
        <v>626</v>
      </c>
      <c r="V28" s="58" t="s">
        <v>626</v>
      </c>
      <c r="W28" s="58" t="s">
        <v>626</v>
      </c>
      <c r="X28" s="58" t="s">
        <v>626</v>
      </c>
      <c r="Y28" s="58" t="s">
        <v>626</v>
      </c>
      <c r="Z28" s="58" t="s">
        <v>626</v>
      </c>
      <c r="AA28" s="58" t="s">
        <v>626</v>
      </c>
      <c r="AB28" s="232" t="str">
        <f t="shared" ref="AB28:AJ28" si="14">IF(AB26="","",AA28)</f>
        <v/>
      </c>
      <c r="AC28" s="232" t="str">
        <f t="shared" si="14"/>
        <v/>
      </c>
      <c r="AD28" s="232" t="str">
        <f t="shared" si="14"/>
        <v/>
      </c>
      <c r="AE28" s="232" t="str">
        <f t="shared" si="14"/>
        <v/>
      </c>
      <c r="AF28" s="232" t="str">
        <f t="shared" si="14"/>
        <v/>
      </c>
      <c r="AG28" s="232" t="str">
        <f t="shared" si="14"/>
        <v/>
      </c>
      <c r="AH28" s="232" t="str">
        <f t="shared" si="14"/>
        <v/>
      </c>
      <c r="AI28" s="232" t="str">
        <f t="shared" si="14"/>
        <v/>
      </c>
      <c r="AJ28" s="198" t="str">
        <f t="shared" si="14"/>
        <v/>
      </c>
    </row>
    <row r="29" spans="3:36" x14ac:dyDescent="0.25">
      <c r="C29" s="195" t="s">
        <v>620</v>
      </c>
      <c r="D29" s="58"/>
      <c r="E29" s="233">
        <f>E27*$Q$6/1000</f>
        <v>27.191293269230773</v>
      </c>
      <c r="F29" s="233">
        <f t="shared" ref="F29:AA29" si="15">F27*$Q$6/1000</f>
        <v>32.255086538461541</v>
      </c>
      <c r="G29" s="233">
        <f t="shared" si="15"/>
        <v>36.467822115384621</v>
      </c>
      <c r="H29" s="233">
        <f t="shared" si="15"/>
        <v>42.76564903846154</v>
      </c>
      <c r="I29" s="233">
        <f t="shared" si="15"/>
        <v>46.169879807692311</v>
      </c>
      <c r="J29" s="233">
        <f t="shared" si="15"/>
        <v>48.935817307692311</v>
      </c>
      <c r="K29" s="233">
        <f t="shared" si="15"/>
        <v>52.935788461538465</v>
      </c>
      <c r="L29" s="233">
        <f t="shared" si="15"/>
        <v>54.595350961538458</v>
      </c>
      <c r="M29" s="233">
        <f t="shared" si="15"/>
        <v>57.148524038461538</v>
      </c>
      <c r="N29" s="233">
        <f t="shared" si="15"/>
        <v>59.616591346153854</v>
      </c>
      <c r="O29" s="233">
        <f t="shared" si="15"/>
        <v>62.169764423076927</v>
      </c>
      <c r="P29" s="233">
        <f t="shared" si="15"/>
        <v>64.935701923076934</v>
      </c>
      <c r="Q29" s="233">
        <f t="shared" si="15"/>
        <v>67.020793269230779</v>
      </c>
      <c r="R29" s="233">
        <f t="shared" si="15"/>
        <v>68.893120192307705</v>
      </c>
      <c r="S29" s="233">
        <f t="shared" si="15"/>
        <v>69.786730769230786</v>
      </c>
      <c r="T29" s="233">
        <f t="shared" si="15"/>
        <v>70.935658653846161</v>
      </c>
      <c r="U29" s="233">
        <f t="shared" si="15"/>
        <v>72.169692307692316</v>
      </c>
      <c r="V29" s="233">
        <f t="shared" si="15"/>
        <v>73.063302884615396</v>
      </c>
      <c r="W29" s="233">
        <f t="shared" si="15"/>
        <v>74.552653846153845</v>
      </c>
      <c r="X29" s="233">
        <f t="shared" si="15"/>
        <v>75.914346153846154</v>
      </c>
      <c r="Y29" s="233">
        <f t="shared" si="15"/>
        <v>78.424966346153838</v>
      </c>
      <c r="Z29" s="233">
        <f t="shared" si="15"/>
        <v>79.446235576923073</v>
      </c>
      <c r="AA29" s="233">
        <f t="shared" si="15"/>
        <v>80.424951923076932</v>
      </c>
      <c r="AB29" s="234" t="str">
        <f t="shared" ref="AB29:AJ29" si="16">IF(AB27="","",AB27*$Q$6/1000)</f>
        <v/>
      </c>
      <c r="AC29" s="234" t="str">
        <f t="shared" si="16"/>
        <v/>
      </c>
      <c r="AD29" s="234" t="str">
        <f t="shared" si="16"/>
        <v/>
      </c>
      <c r="AE29" s="234" t="str">
        <f t="shared" si="16"/>
        <v/>
      </c>
      <c r="AF29" s="234" t="str">
        <f t="shared" si="16"/>
        <v/>
      </c>
      <c r="AG29" s="234" t="str">
        <f t="shared" si="16"/>
        <v/>
      </c>
      <c r="AH29" s="234" t="str">
        <f t="shared" si="16"/>
        <v/>
      </c>
      <c r="AI29" s="234" t="str">
        <f t="shared" si="16"/>
        <v/>
      </c>
      <c r="AJ29" s="199" t="str">
        <f t="shared" si="16"/>
        <v/>
      </c>
    </row>
    <row r="30" spans="3:36" x14ac:dyDescent="0.25">
      <c r="C30" s="195" t="s">
        <v>621</v>
      </c>
      <c r="D30" s="230" cm="1">
        <f t="array" ref="D30">LOOKUP(2,1/(E30:AJ30&lt;&gt;""),E30:AJ30)</f>
        <v>1395.8197211538463</v>
      </c>
      <c r="E30" s="233">
        <f>E29</f>
        <v>27.191293269230773</v>
      </c>
      <c r="F30" s="233">
        <f>E30+F29</f>
        <v>59.44637980769231</v>
      </c>
      <c r="G30" s="233">
        <f t="shared" ref="G30" si="17">F30+G29</f>
        <v>95.914201923076931</v>
      </c>
      <c r="H30" s="233">
        <f t="shared" ref="H30" si="18">G30+H29</f>
        <v>138.67985096153848</v>
      </c>
      <c r="I30" s="233">
        <f t="shared" ref="I30" si="19">H30+I29</f>
        <v>184.8497307692308</v>
      </c>
      <c r="J30" s="233">
        <f t="shared" ref="J30" si="20">I30+J29</f>
        <v>233.78554807692311</v>
      </c>
      <c r="K30" s="233">
        <f t="shared" ref="K30" si="21">J30+K29</f>
        <v>286.72133653846157</v>
      </c>
      <c r="L30" s="233">
        <f t="shared" ref="L30" si="22">K30+L29</f>
        <v>341.31668750000006</v>
      </c>
      <c r="M30" s="233">
        <f t="shared" ref="M30" si="23">L30+M29</f>
        <v>398.46521153846157</v>
      </c>
      <c r="N30" s="233">
        <f t="shared" ref="N30" si="24">M30+N29</f>
        <v>458.0818028846154</v>
      </c>
      <c r="O30" s="233">
        <f t="shared" ref="O30" si="25">N30+O29</f>
        <v>520.25156730769231</v>
      </c>
      <c r="P30" s="233">
        <f t="shared" ref="P30" si="26">O30+P29</f>
        <v>585.18726923076929</v>
      </c>
      <c r="Q30" s="233">
        <f t="shared" ref="Q30" si="27">P30+Q29</f>
        <v>652.2080625000001</v>
      </c>
      <c r="R30" s="233">
        <f t="shared" ref="R30" si="28">Q30+R29</f>
        <v>721.10118269230782</v>
      </c>
      <c r="S30" s="233">
        <f t="shared" ref="S30" si="29">R30+S29</f>
        <v>790.88791346153857</v>
      </c>
      <c r="T30" s="233">
        <f t="shared" ref="T30" si="30">S30+T29</f>
        <v>861.82357211538476</v>
      </c>
      <c r="U30" s="233">
        <f t="shared" ref="U30" si="31">T30+U29</f>
        <v>933.99326442307711</v>
      </c>
      <c r="V30" s="233">
        <f t="shared" ref="V30" si="32">U30+V29</f>
        <v>1007.0565673076925</v>
      </c>
      <c r="W30" s="233">
        <f t="shared" ref="W30" si="33">V30+W29</f>
        <v>1081.6092211538464</v>
      </c>
      <c r="X30" s="233">
        <f t="shared" ref="X30" si="34">W30+X29</f>
        <v>1157.5235673076925</v>
      </c>
      <c r="Y30" s="233">
        <f t="shared" ref="Y30" si="35">X30+Y29</f>
        <v>1235.9485336538464</v>
      </c>
      <c r="Z30" s="233">
        <f t="shared" ref="Z30" si="36">Y30+Z29</f>
        <v>1315.3947692307695</v>
      </c>
      <c r="AA30" s="233">
        <f t="shared" ref="AA30" si="37">Z30+AA29</f>
        <v>1395.8197211538463</v>
      </c>
      <c r="AB30" s="234" t="str">
        <f t="shared" ref="AB30" si="38">IF(AB27="","",AA30+AB29)</f>
        <v/>
      </c>
      <c r="AC30" s="234" t="str">
        <f t="shared" ref="AC30" si="39">IF(AC27="","",AB30+AC29)</f>
        <v/>
      </c>
      <c r="AD30" s="234" t="str">
        <f t="shared" ref="AD30" si="40">IF(AD27="","",AC30+AD29)</f>
        <v/>
      </c>
      <c r="AE30" s="234" t="str">
        <f t="shared" ref="AE30" si="41">IF(AE27="","",AD30+AE29)</f>
        <v/>
      </c>
      <c r="AF30" s="234" t="str">
        <f t="shared" ref="AF30" si="42">IF(AF27="","",AE30+AF29)</f>
        <v/>
      </c>
      <c r="AG30" s="234" t="str">
        <f t="shared" ref="AG30" si="43">IF(AG27="","",AF30+AG29)</f>
        <v/>
      </c>
      <c r="AH30" s="234" t="str">
        <f t="shared" ref="AH30" si="44">IF(AH27="","",AG30+AH29)</f>
        <v/>
      </c>
      <c r="AI30" s="234" t="str">
        <f t="shared" ref="AI30" si="45">IF(AI27="","",AH30+AI29)</f>
        <v/>
      </c>
      <c r="AJ30" s="199" t="str">
        <f t="shared" ref="AJ30" si="46">IF(AJ27="","",AI30+AJ29)</f>
        <v/>
      </c>
    </row>
    <row r="31" spans="3:36" x14ac:dyDescent="0.25">
      <c r="C31" s="53"/>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194"/>
    </row>
    <row r="32" spans="3:36" x14ac:dyDescent="0.25">
      <c r="C32" s="200" t="s">
        <v>622</v>
      </c>
      <c r="D32" s="235"/>
      <c r="E32" s="235"/>
      <c r="F32" s="235"/>
      <c r="G32" s="235"/>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01"/>
    </row>
    <row r="33" spans="3:36" x14ac:dyDescent="0.25">
      <c r="C33" s="200" t="s">
        <v>619</v>
      </c>
      <c r="D33" s="235"/>
      <c r="E33" s="236">
        <f>E19-E27</f>
        <v>249.21</v>
      </c>
      <c r="F33" s="236">
        <f t="shared" ref="F33:Z33" si="47">F19-F26</f>
        <v>46.41</v>
      </c>
      <c r="G33" s="236">
        <f t="shared" si="47"/>
        <v>38.61</v>
      </c>
      <c r="H33" s="236">
        <f t="shared" si="47"/>
        <v>57.720000000000006</v>
      </c>
      <c r="I33" s="236">
        <f t="shared" si="47"/>
        <v>31.200000000000003</v>
      </c>
      <c r="J33" s="236">
        <f t="shared" si="47"/>
        <v>25.35</v>
      </c>
      <c r="K33" s="236">
        <f t="shared" si="47"/>
        <v>36.659999999999997</v>
      </c>
      <c r="L33" s="236">
        <f t="shared" si="47"/>
        <v>15.209999999999999</v>
      </c>
      <c r="M33" s="236">
        <f t="shared" si="47"/>
        <v>23.4</v>
      </c>
      <c r="N33" s="236">
        <f t="shared" si="47"/>
        <v>22.619999999999997</v>
      </c>
      <c r="O33" s="236">
        <f t="shared" si="47"/>
        <v>23.4</v>
      </c>
      <c r="P33" s="236">
        <f t="shared" si="47"/>
        <v>25.35</v>
      </c>
      <c r="Q33" s="236">
        <f t="shared" si="47"/>
        <v>19.11</v>
      </c>
      <c r="R33" s="236">
        <f t="shared" si="47"/>
        <v>17.16</v>
      </c>
      <c r="S33" s="236">
        <f t="shared" si="47"/>
        <v>8.19</v>
      </c>
      <c r="T33" s="236">
        <f t="shared" si="47"/>
        <v>10.530000000000001</v>
      </c>
      <c r="U33" s="236">
        <f t="shared" si="47"/>
        <v>11.309999999999999</v>
      </c>
      <c r="V33" s="236">
        <f t="shared" si="47"/>
        <v>8.19</v>
      </c>
      <c r="W33" s="236">
        <f t="shared" si="47"/>
        <v>13.65</v>
      </c>
      <c r="X33" s="236">
        <f t="shared" si="47"/>
        <v>12.48</v>
      </c>
      <c r="Y33" s="236">
        <f t="shared" si="47"/>
        <v>23.01</v>
      </c>
      <c r="Z33" s="236">
        <f t="shared" si="47"/>
        <v>9.36</v>
      </c>
      <c r="AA33" s="236">
        <f t="shared" ref="AA33" si="48">AA19-AA26</f>
        <v>8.9699999999999989</v>
      </c>
      <c r="AB33" s="237" t="str">
        <f>IF(AA33="","",IF(VLOOKUP($J$12,'No Action'!$A$9:$AP$280,AB$8,FALSE)&lt;0,"",(VLOOKUP($J$12,'No Action'!$A$9:$AP$280,AB$8,FALSE))))</f>
        <v/>
      </c>
      <c r="AC33" s="237" t="str">
        <f>IF(AB33="","",IF(VLOOKUP($J$12,'No Action'!$A$9:$AP$280,AC$8,FALSE)&lt;0,"",(VLOOKUP($J$12,'No Action'!$A$9:$AP$280,AC$8,FALSE))))</f>
        <v/>
      </c>
      <c r="AD33" s="237" t="str">
        <f>IF(AC33="","",IF(VLOOKUP($J$12,'No Action'!$A$9:$AP$280,AD$8,FALSE)&lt;0,"",(VLOOKUP($J$12,'No Action'!$A$9:$AP$280,AD$8,FALSE))))</f>
        <v/>
      </c>
      <c r="AE33" s="237" t="str">
        <f>IF(AD33="","",IF(VLOOKUP($J$12,'No Action'!$A$9:$AP$280,AE$8,FALSE)&lt;0,"",(VLOOKUP($J$12,'No Action'!$A$9:$AP$280,AE$8,FALSE))))</f>
        <v/>
      </c>
      <c r="AF33" s="237" t="str">
        <f>IF(AE33="","",IF(VLOOKUP($J$12,'No Action'!$A$9:$AP$280,AF$8,FALSE)&lt;0,"",(VLOOKUP($J$12,'No Action'!$A$9:$AP$280,AF$8,FALSE))))</f>
        <v/>
      </c>
      <c r="AG33" s="237" t="str">
        <f>IF(AF33="","",IF(VLOOKUP($J$12,'No Action'!$A$9:$AP$280,AG$8,FALSE)&lt;0,"",(VLOOKUP($J$12,'No Action'!$A$9:$AP$280,AG$8,FALSE))))</f>
        <v/>
      </c>
      <c r="AH33" s="237" t="str">
        <f>IF(AG33="","",IF(VLOOKUP($J$12,'No Action'!$A$9:$AP$280,AH$8,FALSE)&lt;0,"",(VLOOKUP($J$12,'No Action'!$A$9:$AP$280,AH$8,FALSE))))</f>
        <v/>
      </c>
      <c r="AI33" s="237" t="str">
        <f>IF(AH33="","",IF(VLOOKUP($J$12,'No Action'!$A$9:$AP$280,AI$8,FALSE)&lt;0,"",(VLOOKUP($J$12,'No Action'!$A$9:$AP$280,AI$8,FALSE))))</f>
        <v/>
      </c>
      <c r="AJ33" s="202" t="str">
        <f>IF(AI33="","",IF(VLOOKUP($J$12,'No Action'!$A$9:$AP$280,AJ$8,FALSE)&lt;0,"",(VLOOKUP($J$12,'No Action'!$A$9:$AP$280,AJ$8,FALSE))))</f>
        <v/>
      </c>
    </row>
    <row r="34" spans="3:36" x14ac:dyDescent="0.25">
      <c r="C34" s="200" t="s">
        <v>607</v>
      </c>
      <c r="D34" s="235" cm="1">
        <f t="array" ref="D34">LOOKUP(2,1/(E34:AJ34&lt;&gt;""),E34:AJ34)</f>
        <v>737.10000000000014</v>
      </c>
      <c r="E34" s="236">
        <f>E33</f>
        <v>249.21</v>
      </c>
      <c r="F34" s="236">
        <f>E34+F33</f>
        <v>295.62</v>
      </c>
      <c r="G34" s="236">
        <f t="shared" ref="G34" si="49">F34+G33</f>
        <v>334.23</v>
      </c>
      <c r="H34" s="236">
        <f t="shared" ref="H34" si="50">G34+H33</f>
        <v>391.95000000000005</v>
      </c>
      <c r="I34" s="236">
        <f t="shared" ref="I34" si="51">H34+I33</f>
        <v>423.15000000000003</v>
      </c>
      <c r="J34" s="236">
        <f t="shared" ref="J34" si="52">I34+J33</f>
        <v>448.50000000000006</v>
      </c>
      <c r="K34" s="236">
        <f t="shared" ref="K34" si="53">J34+K33</f>
        <v>485.16000000000008</v>
      </c>
      <c r="L34" s="236">
        <f t="shared" ref="L34" si="54">K34+L33</f>
        <v>500.37000000000006</v>
      </c>
      <c r="M34" s="236">
        <f t="shared" ref="M34" si="55">L34+M33</f>
        <v>523.7700000000001</v>
      </c>
      <c r="N34" s="236">
        <f t="shared" ref="N34" si="56">M34+N33</f>
        <v>546.3900000000001</v>
      </c>
      <c r="O34" s="236">
        <f t="shared" ref="O34" si="57">N34+O33</f>
        <v>569.79000000000008</v>
      </c>
      <c r="P34" s="236">
        <f t="shared" ref="P34" si="58">O34+P33</f>
        <v>595.1400000000001</v>
      </c>
      <c r="Q34" s="236">
        <f t="shared" ref="Q34" si="59">P34+Q33</f>
        <v>614.25000000000011</v>
      </c>
      <c r="R34" s="236">
        <f t="shared" ref="R34" si="60">Q34+R33</f>
        <v>631.41000000000008</v>
      </c>
      <c r="S34" s="236">
        <f t="shared" ref="S34" si="61">R34+S33</f>
        <v>639.60000000000014</v>
      </c>
      <c r="T34" s="236">
        <f t="shared" ref="T34" si="62">S34+T33</f>
        <v>650.13000000000011</v>
      </c>
      <c r="U34" s="236">
        <f t="shared" ref="U34" si="63">T34+U33</f>
        <v>661.44</v>
      </c>
      <c r="V34" s="236">
        <f t="shared" ref="V34" si="64">U34+V33</f>
        <v>669.63000000000011</v>
      </c>
      <c r="W34" s="236">
        <f t="shared" ref="W34" si="65">V34+W33</f>
        <v>683.28000000000009</v>
      </c>
      <c r="X34" s="236">
        <f t="shared" ref="X34" si="66">W34+X33</f>
        <v>695.7600000000001</v>
      </c>
      <c r="Y34" s="236">
        <f t="shared" ref="Y34" si="67">X34+Y33</f>
        <v>718.7700000000001</v>
      </c>
      <c r="Z34" s="236">
        <f t="shared" ref="Z34" si="68">Y34+Z33</f>
        <v>728.13000000000011</v>
      </c>
      <c r="AA34" s="236">
        <f t="shared" ref="AA34" si="69">Z34+AA33</f>
        <v>737.10000000000014</v>
      </c>
      <c r="AB34" s="237" t="str">
        <f t="shared" ref="AB34" si="70">IF(AB33="","",AA34+AB33)</f>
        <v/>
      </c>
      <c r="AC34" s="237" t="str">
        <f t="shared" ref="AC34" si="71">IF(AC33="","",AB34+AC33)</f>
        <v/>
      </c>
      <c r="AD34" s="237" t="str">
        <f t="shared" ref="AD34" si="72">IF(AD33="","",AC34+AD33)</f>
        <v/>
      </c>
      <c r="AE34" s="237" t="str">
        <f t="shared" ref="AE34" si="73">IF(AE33="","",AD34+AE33)</f>
        <v/>
      </c>
      <c r="AF34" s="237" t="str">
        <f t="shared" ref="AF34" si="74">IF(AF33="","",AE34+AF33)</f>
        <v/>
      </c>
      <c r="AG34" s="237" t="str">
        <f t="shared" ref="AG34" si="75">IF(AG33="","",AF34+AG33)</f>
        <v/>
      </c>
      <c r="AH34" s="237" t="str">
        <f t="shared" ref="AH34" si="76">IF(AH33="","",AG34+AH33)</f>
        <v/>
      </c>
      <c r="AI34" s="237" t="str">
        <f t="shared" ref="AI34" si="77">IF(AI33="","",AH34+AI33)</f>
        <v/>
      </c>
      <c r="AJ34" s="202" t="str">
        <f t="shared" ref="AJ34" si="78">IF(AJ33="","",AI34+AJ33)</f>
        <v/>
      </c>
    </row>
    <row r="35" spans="3:36" x14ac:dyDescent="0.25">
      <c r="C35" s="200"/>
      <c r="D35" s="235" t="s">
        <v>626</v>
      </c>
      <c r="E35" s="235" t="s">
        <v>626</v>
      </c>
      <c r="F35" s="235" t="s">
        <v>626</v>
      </c>
      <c r="G35" s="235" t="s">
        <v>626</v>
      </c>
      <c r="H35" s="235" t="s">
        <v>626</v>
      </c>
      <c r="I35" s="235" t="s">
        <v>626</v>
      </c>
      <c r="J35" s="235" t="s">
        <v>626</v>
      </c>
      <c r="K35" s="235" t="s">
        <v>626</v>
      </c>
      <c r="L35" s="235" t="s">
        <v>626</v>
      </c>
      <c r="M35" s="235" t="s">
        <v>626</v>
      </c>
      <c r="N35" s="235" t="s">
        <v>626</v>
      </c>
      <c r="O35" s="235" t="s">
        <v>626</v>
      </c>
      <c r="P35" s="235" t="s">
        <v>626</v>
      </c>
      <c r="Q35" s="235" t="s">
        <v>626</v>
      </c>
      <c r="R35" s="235" t="s">
        <v>626</v>
      </c>
      <c r="S35" s="235" t="s">
        <v>626</v>
      </c>
      <c r="T35" s="235" t="s">
        <v>626</v>
      </c>
      <c r="U35" s="235" t="s">
        <v>626</v>
      </c>
      <c r="V35" s="235" t="s">
        <v>626</v>
      </c>
      <c r="W35" s="235" t="s">
        <v>626</v>
      </c>
      <c r="X35" s="235" t="s">
        <v>626</v>
      </c>
      <c r="Y35" s="235" t="s">
        <v>626</v>
      </c>
      <c r="Z35" s="235" t="s">
        <v>626</v>
      </c>
      <c r="AA35" s="235" t="s">
        <v>626</v>
      </c>
      <c r="AB35" s="238" t="str">
        <f t="shared" ref="AB35:AJ35" si="79">IF(AB33="","",AA35)</f>
        <v/>
      </c>
      <c r="AC35" s="238" t="str">
        <f t="shared" si="79"/>
        <v/>
      </c>
      <c r="AD35" s="238" t="str">
        <f t="shared" si="79"/>
        <v/>
      </c>
      <c r="AE35" s="238" t="str">
        <f t="shared" si="79"/>
        <v/>
      </c>
      <c r="AF35" s="238" t="str">
        <f t="shared" si="79"/>
        <v/>
      </c>
      <c r="AG35" s="238" t="str">
        <f t="shared" si="79"/>
        <v/>
      </c>
      <c r="AH35" s="238" t="str">
        <f t="shared" si="79"/>
        <v/>
      </c>
      <c r="AI35" s="238" t="str">
        <f t="shared" si="79"/>
        <v/>
      </c>
      <c r="AJ35" s="203" t="str">
        <f t="shared" si="79"/>
        <v/>
      </c>
    </row>
    <row r="36" spans="3:36" x14ac:dyDescent="0.25">
      <c r="C36" s="200" t="s">
        <v>620</v>
      </c>
      <c r="D36" s="235"/>
      <c r="E36" s="239">
        <f>E34*$Q$6/1000</f>
        <v>212.09208749999999</v>
      </c>
      <c r="F36" s="239">
        <f>F34*$Q$6/1000</f>
        <v>251.589675</v>
      </c>
      <c r="G36" s="239">
        <f t="shared" ref="G36:Z36" si="80">G34*$Q$6/1000</f>
        <v>284.44901250000004</v>
      </c>
      <c r="H36" s="239">
        <f t="shared" si="80"/>
        <v>333.57206250000002</v>
      </c>
      <c r="I36" s="239">
        <f t="shared" si="80"/>
        <v>360.12506250000001</v>
      </c>
      <c r="J36" s="239">
        <f t="shared" si="80"/>
        <v>381.69937499999997</v>
      </c>
      <c r="K36" s="239">
        <f t="shared" si="80"/>
        <v>412.89915000000002</v>
      </c>
      <c r="L36" s="239">
        <f t="shared" si="80"/>
        <v>425.84373750000003</v>
      </c>
      <c r="M36" s="239">
        <f t="shared" si="80"/>
        <v>445.75848750000006</v>
      </c>
      <c r="N36" s="239">
        <f t="shared" si="80"/>
        <v>465.00941250000005</v>
      </c>
      <c r="O36" s="239">
        <f t="shared" si="80"/>
        <v>484.92416250000002</v>
      </c>
      <c r="P36" s="239">
        <f t="shared" si="80"/>
        <v>506.49847500000004</v>
      </c>
      <c r="Q36" s="239">
        <f t="shared" si="80"/>
        <v>522.7621875000001</v>
      </c>
      <c r="R36" s="239">
        <f t="shared" si="80"/>
        <v>537.36633749999999</v>
      </c>
      <c r="S36" s="239">
        <f t="shared" si="80"/>
        <v>544.33650000000011</v>
      </c>
      <c r="T36" s="239">
        <f t="shared" si="80"/>
        <v>553.29813750000005</v>
      </c>
      <c r="U36" s="239">
        <f t="shared" si="80"/>
        <v>562.92359999999996</v>
      </c>
      <c r="V36" s="239">
        <f t="shared" si="80"/>
        <v>569.89376250000009</v>
      </c>
      <c r="W36" s="239">
        <f t="shared" si="80"/>
        <v>581.51070000000004</v>
      </c>
      <c r="X36" s="239">
        <f t="shared" si="80"/>
        <v>592.13189999999997</v>
      </c>
      <c r="Y36" s="239">
        <f t="shared" si="80"/>
        <v>611.71473750000007</v>
      </c>
      <c r="Z36" s="239">
        <f t="shared" si="80"/>
        <v>619.6806375000001</v>
      </c>
      <c r="AA36" s="239">
        <f t="shared" ref="AA36" si="81">AA34*$Q$6/1000</f>
        <v>627.31462500000009</v>
      </c>
      <c r="AB36" s="240" t="str">
        <f t="shared" ref="AB36:AJ36" si="82">IF(AB34="","",AB34*$Q$6/1000)</f>
        <v/>
      </c>
      <c r="AC36" s="240" t="str">
        <f t="shared" si="82"/>
        <v/>
      </c>
      <c r="AD36" s="240" t="str">
        <f t="shared" si="82"/>
        <v/>
      </c>
      <c r="AE36" s="240" t="str">
        <f t="shared" si="82"/>
        <v/>
      </c>
      <c r="AF36" s="240" t="str">
        <f t="shared" si="82"/>
        <v/>
      </c>
      <c r="AG36" s="240" t="str">
        <f t="shared" si="82"/>
        <v/>
      </c>
      <c r="AH36" s="240" t="str">
        <f t="shared" si="82"/>
        <v/>
      </c>
      <c r="AI36" s="240" t="str">
        <f t="shared" si="82"/>
        <v/>
      </c>
      <c r="AJ36" s="204" t="str">
        <f t="shared" si="82"/>
        <v/>
      </c>
    </row>
    <row r="37" spans="3:36" ht="15.75" thickBot="1" x14ac:dyDescent="0.3">
      <c r="C37" s="205" t="s">
        <v>621</v>
      </c>
      <c r="D37" s="206" cm="1">
        <f t="array" ref="D37">LOOKUP(2,1/(E37:AJ37&lt;&gt;""),E37:AJ37)</f>
        <v>10887.393825000003</v>
      </c>
      <c r="E37" s="207">
        <f>E36</f>
        <v>212.09208749999999</v>
      </c>
      <c r="F37" s="207">
        <f>E37+F36</f>
        <v>463.68176249999999</v>
      </c>
      <c r="G37" s="207">
        <f t="shared" ref="G37" si="83">F37+G36</f>
        <v>748.13077500000009</v>
      </c>
      <c r="H37" s="207">
        <f t="shared" ref="H37" si="84">G37+H36</f>
        <v>1081.7028375</v>
      </c>
      <c r="I37" s="207">
        <f t="shared" ref="I37" si="85">H37+I36</f>
        <v>1441.8279</v>
      </c>
      <c r="J37" s="207">
        <f t="shared" ref="J37" si="86">I37+J36</f>
        <v>1823.5272749999999</v>
      </c>
      <c r="K37" s="207">
        <f t="shared" ref="K37" si="87">J37+K36</f>
        <v>2236.4264250000001</v>
      </c>
      <c r="L37" s="207">
        <f t="shared" ref="L37" si="88">K37+L36</f>
        <v>2662.2701625</v>
      </c>
      <c r="M37" s="207">
        <f t="shared" ref="M37" si="89">L37+M36</f>
        <v>3108.0286500000002</v>
      </c>
      <c r="N37" s="207">
        <f t="shared" ref="N37" si="90">M37+N36</f>
        <v>3573.0380625000003</v>
      </c>
      <c r="O37" s="207">
        <f t="shared" ref="O37" si="91">N37+O36</f>
        <v>4057.9622250000002</v>
      </c>
      <c r="P37" s="207">
        <f t="shared" ref="P37" si="92">O37+P36</f>
        <v>4564.4607000000005</v>
      </c>
      <c r="Q37" s="207">
        <f t="shared" ref="Q37" si="93">P37+Q36</f>
        <v>5087.222887500001</v>
      </c>
      <c r="R37" s="207">
        <f t="shared" ref="R37" si="94">Q37+R36</f>
        <v>5624.5892250000006</v>
      </c>
      <c r="S37" s="207">
        <f t="shared" ref="S37" si="95">R37+S36</f>
        <v>6168.925725000001</v>
      </c>
      <c r="T37" s="207">
        <f t="shared" ref="T37" si="96">S37+T36</f>
        <v>6722.2238625000009</v>
      </c>
      <c r="U37" s="207">
        <f t="shared" ref="U37" si="97">T37+U36</f>
        <v>7285.147462500001</v>
      </c>
      <c r="V37" s="207">
        <f t="shared" ref="V37" si="98">U37+V36</f>
        <v>7855.0412250000008</v>
      </c>
      <c r="W37" s="207">
        <f t="shared" ref="W37" si="99">V37+W36</f>
        <v>8436.5519250000016</v>
      </c>
      <c r="X37" s="207">
        <f t="shared" ref="X37" si="100">W37+X36</f>
        <v>9028.6838250000019</v>
      </c>
      <c r="Y37" s="207">
        <f t="shared" ref="Y37" si="101">X37+Y36</f>
        <v>9640.3985625000023</v>
      </c>
      <c r="Z37" s="207">
        <f t="shared" ref="Z37" si="102">Y37+Z36</f>
        <v>10260.079200000002</v>
      </c>
      <c r="AA37" s="207">
        <f t="shared" ref="AA37" si="103">Z37+AA36</f>
        <v>10887.393825000003</v>
      </c>
      <c r="AB37" s="208" t="str">
        <f t="shared" ref="AB37" si="104">IF(AB34="","",AA37+AB36)</f>
        <v/>
      </c>
      <c r="AC37" s="208" t="str">
        <f t="shared" ref="AC37" si="105">IF(AC34="","",AB37+AC36)</f>
        <v/>
      </c>
      <c r="AD37" s="208" t="str">
        <f t="shared" ref="AD37" si="106">IF(AD34="","",AC37+AD36)</f>
        <v/>
      </c>
      <c r="AE37" s="208" t="str">
        <f t="shared" ref="AE37" si="107">IF(AE34="","",AD37+AE36)</f>
        <v/>
      </c>
      <c r="AF37" s="208" t="str">
        <f t="shared" ref="AF37" si="108">IF(AF34="","",AE37+AF36)</f>
        <v/>
      </c>
      <c r="AG37" s="208" t="str">
        <f t="shared" ref="AG37" si="109">IF(AG34="","",AF37+AG36)</f>
        <v/>
      </c>
      <c r="AH37" s="208" t="str">
        <f t="shared" ref="AH37" si="110">IF(AH34="","",AG37+AH36)</f>
        <v/>
      </c>
      <c r="AI37" s="208" t="str">
        <f t="shared" ref="AI37" si="111">IF(AI34="","",AH37+AI36)</f>
        <v/>
      </c>
      <c r="AJ37" s="209" t="str">
        <f t="shared" ref="AJ37" si="112">IF(AJ34="","",AI37+AJ36)</f>
        <v/>
      </c>
    </row>
    <row r="38" spans="3:36" ht="15.75" thickTop="1" x14ac:dyDescent="0.25"/>
    <row r="39" spans="3:36" ht="15.75" thickBot="1" x14ac:dyDescent="0.3"/>
    <row r="40" spans="3:36" ht="20.25" thickTop="1" thickBot="1" x14ac:dyDescent="0.3">
      <c r="D40" s="51"/>
      <c r="E40" s="52"/>
      <c r="F40" s="313" t="s">
        <v>1180</v>
      </c>
      <c r="G40" s="313"/>
      <c r="H40" s="313"/>
      <c r="I40" s="313"/>
      <c r="J40" s="313"/>
      <c r="K40" s="313"/>
      <c r="L40" s="313"/>
      <c r="M40" s="313"/>
      <c r="N40" s="313"/>
      <c r="O40" s="313"/>
      <c r="P40" s="313"/>
      <c r="Q40" s="313"/>
      <c r="R40" s="313"/>
      <c r="S40" s="313"/>
      <c r="T40" s="313"/>
      <c r="U40" s="313"/>
      <c r="V40" s="313"/>
      <c r="W40" s="314"/>
      <c r="X40" s="241"/>
      <c r="Y40" s="130">
        <f>C2</f>
        <v>44845</v>
      </c>
    </row>
    <row r="41" spans="3:36" ht="15.75" thickTop="1" x14ac:dyDescent="0.25">
      <c r="D41" s="51"/>
      <c r="E41" s="52"/>
      <c r="G41" s="242"/>
      <c r="H41" s="244" t="s">
        <v>593</v>
      </c>
      <c r="I41" s="244" t="s">
        <v>594</v>
      </c>
      <c r="J41" s="248"/>
      <c r="K41" s="248"/>
      <c r="L41" s="244" t="s">
        <v>593</v>
      </c>
      <c r="M41" s="244" t="s">
        <v>594</v>
      </c>
      <c r="N41" s="248"/>
      <c r="O41" s="248"/>
      <c r="P41" s="244" t="s">
        <v>593</v>
      </c>
      <c r="Q41" s="244" t="s">
        <v>594</v>
      </c>
      <c r="R41" s="248"/>
      <c r="S41" s="248"/>
      <c r="T41" s="244" t="s">
        <v>593</v>
      </c>
      <c r="U41" s="244" t="s">
        <v>594</v>
      </c>
      <c r="V41" s="248"/>
      <c r="W41" s="250"/>
      <c r="X41" s="120" t="s">
        <v>593</v>
      </c>
      <c r="Y41" s="121" t="s">
        <v>594</v>
      </c>
    </row>
    <row r="42" spans="3:36" x14ac:dyDescent="0.25">
      <c r="D42" s="53"/>
      <c r="F42" s="243"/>
      <c r="J42" s="280" t="s">
        <v>597</v>
      </c>
      <c r="K42" s="280"/>
      <c r="L42" s="122" cm="1">
        <f t="array" ref="L42">LOOKUP(2,1/('Combined data'!L211:AI211&lt;&gt;""),('Combined data'!L211:AI211))</f>
        <v>30597</v>
      </c>
      <c r="M42" s="122" cm="1">
        <f t="array" ref="M42">LOOKUP(2,1/('Combined data'!AW211:CD211&lt;&gt;""),('Combined data'!AW211:CD211))</f>
        <v>16868</v>
      </c>
      <c r="N42" s="280" t="s">
        <v>598</v>
      </c>
      <c r="O42" s="280"/>
      <c r="P42" s="122" cm="1">
        <f t="array" ref="P42">LOOKUP(2,1/('Combined data'!P252:AM252&lt;&gt;""),('Combined data'!P252:AM252))</f>
        <v>4564</v>
      </c>
      <c r="Q42" s="122" cm="1">
        <f t="array" ref="Q42">LOOKUP(2,1/('Combined data'!BA252:CH252&lt;&gt;""),('Combined data'!BA252:CH252))</f>
        <v>2904</v>
      </c>
      <c r="W42" s="251"/>
      <c r="X42" s="122"/>
      <c r="Y42" s="123"/>
    </row>
    <row r="43" spans="3:36" ht="15.75" thickBot="1" x14ac:dyDescent="0.3">
      <c r="D43" s="245"/>
      <c r="E43" s="249"/>
      <c r="H43" s="122"/>
      <c r="I43" s="118"/>
      <c r="J43" s="280" t="s">
        <v>596</v>
      </c>
      <c r="K43" s="280"/>
      <c r="L43" s="122" cm="1">
        <f t="array" ref="L43">LOOKUP(2,1/('Combined data'!L207:AI207&lt;&gt;""),('Combined data'!L207:AI207))</f>
        <v>4760</v>
      </c>
      <c r="M43" s="122" cm="1">
        <f t="array" ref="M43">LOOKUP(2,1/('Combined data'!AW207:CD207&lt;&gt;""),('Combined data'!AW207:CD207))</f>
        <v>3723</v>
      </c>
      <c r="N43" s="280" t="s">
        <v>599</v>
      </c>
      <c r="O43" s="280"/>
      <c r="P43" s="122" cm="1">
        <f t="array" ref="P43">LOOKUP(2,1/('Combined data'!P248:AM248&lt;&gt;""),('Combined data'!P248:AM248))</f>
        <v>3742</v>
      </c>
      <c r="Q43" s="122" cm="1">
        <f t="array" ref="Q43">LOOKUP(2,1/('Combined data'!BA248:CH248&lt;&gt;""),('Combined data'!BA248:CH248))</f>
        <v>3002</v>
      </c>
      <c r="W43" s="251"/>
      <c r="X43" s="118"/>
      <c r="Y43" s="119"/>
    </row>
    <row r="44" spans="3:36" x14ac:dyDescent="0.25">
      <c r="D44" s="315" t="s">
        <v>1181</v>
      </c>
      <c r="E44" s="316"/>
      <c r="F44" s="260" t="s">
        <v>595</v>
      </c>
      <c r="G44" s="261"/>
      <c r="H44" s="262" cm="1">
        <f t="array" ref="H44">LOOKUP(2,1/('Combined data'!G162:AD162&lt;&gt;""),('Combined data'!G162:AD162))</f>
        <v>90676</v>
      </c>
      <c r="I44" s="262" cm="1">
        <f t="array" ref="I44">LOOKUP(2,1/('Combined data'!AS162:BZ162&lt;&gt;""),('Combined data'!AS162:BZ162))</f>
        <v>73036</v>
      </c>
      <c r="J44" s="279" t="s">
        <v>635</v>
      </c>
      <c r="K44" s="279"/>
      <c r="L44" s="262">
        <f>L42+L43</f>
        <v>35357</v>
      </c>
      <c r="M44" s="262">
        <f>M42+M43</f>
        <v>20591</v>
      </c>
      <c r="N44" s="279" t="s">
        <v>636</v>
      </c>
      <c r="O44" s="279"/>
      <c r="P44" s="262">
        <f>P42+P43</f>
        <v>8306</v>
      </c>
      <c r="Q44" s="262">
        <f>Q42+Q43</f>
        <v>5906</v>
      </c>
      <c r="R44" s="279" t="s">
        <v>600</v>
      </c>
      <c r="S44" s="279"/>
      <c r="T44" s="262" cm="1">
        <f t="array" ref="T44">LOOKUP(2,1/('Combined data'!T276:AQ276&lt;&gt;""),('Combined data'!T276:AQ276))</f>
        <v>1722</v>
      </c>
      <c r="U44" s="262" cm="1">
        <f t="array" ref="U44">LOOKUP(2,1/('Combined data'!BE276:CL276&lt;&gt;""),('Combined data'!BE276:CL276))</f>
        <v>643</v>
      </c>
      <c r="V44" s="260"/>
      <c r="W44" s="263" t="s">
        <v>5</v>
      </c>
      <c r="X44" s="264">
        <f>H46+L46+P46+T46</f>
        <v>136061</v>
      </c>
      <c r="Y44" s="265">
        <f>I46+M46+Q46+U46</f>
        <v>100258</v>
      </c>
    </row>
    <row r="45" spans="3:36" ht="16.5" thickBot="1" x14ac:dyDescent="0.3">
      <c r="D45" s="53"/>
      <c r="F45" s="311" t="s">
        <v>717</v>
      </c>
      <c r="G45" s="311"/>
      <c r="H45" s="253"/>
      <c r="I45" s="254">
        <f>'Combined data'!BM163</f>
        <v>55</v>
      </c>
      <c r="J45" s="255"/>
      <c r="K45" s="255"/>
      <c r="L45" s="256"/>
      <c r="M45" s="254">
        <f>'Combined data'!BM208</f>
        <v>27</v>
      </c>
      <c r="N45" s="255"/>
      <c r="O45" s="255"/>
      <c r="P45" s="256"/>
      <c r="Q45" s="256"/>
      <c r="R45" s="255"/>
      <c r="S45" s="255"/>
      <c r="T45" s="255"/>
      <c r="U45" s="255"/>
      <c r="V45" s="255"/>
      <c r="W45" s="257"/>
      <c r="X45" s="258"/>
      <c r="Y45" s="259">
        <f>I45+M45+Q45+U45</f>
        <v>82</v>
      </c>
    </row>
    <row r="46" spans="3:36" ht="15.75" thickBot="1" x14ac:dyDescent="0.3">
      <c r="D46" s="317" t="s">
        <v>716</v>
      </c>
      <c r="E46" s="312"/>
      <c r="F46" s="312" t="s">
        <v>716</v>
      </c>
      <c r="G46" s="312"/>
      <c r="H46" s="124">
        <f>H44</f>
        <v>90676</v>
      </c>
      <c r="I46" s="124">
        <f>I44+I45</f>
        <v>73091</v>
      </c>
      <c r="J46" s="125"/>
      <c r="K46" s="125"/>
      <c r="L46" s="124">
        <f>L44</f>
        <v>35357</v>
      </c>
      <c r="M46" s="124">
        <f>M44+M45</f>
        <v>20618</v>
      </c>
      <c r="N46" s="125"/>
      <c r="O46" s="125"/>
      <c r="P46" s="124">
        <f>P44</f>
        <v>8306</v>
      </c>
      <c r="Q46" s="124">
        <f>Q44</f>
        <v>5906</v>
      </c>
      <c r="R46" s="125"/>
      <c r="S46" s="125"/>
      <c r="T46" s="246">
        <f>T44</f>
        <v>1722</v>
      </c>
      <c r="U46" s="246">
        <f>U44</f>
        <v>643</v>
      </c>
      <c r="V46" s="125"/>
      <c r="W46" s="252"/>
      <c r="X46" s="124">
        <f>X44</f>
        <v>136061</v>
      </c>
      <c r="Y46" s="126">
        <f>Y44+Y45</f>
        <v>100340</v>
      </c>
    </row>
    <row r="47" spans="3:36" ht="16.5" thickTop="1" thickBot="1" x14ac:dyDescent="0.3"/>
    <row r="48" spans="3:36" ht="24" customHeight="1" thickTop="1" x14ac:dyDescent="0.25">
      <c r="D48" s="156">
        <v>1</v>
      </c>
      <c r="E48" s="157"/>
      <c r="F48" s="158"/>
      <c r="G48" s="158"/>
      <c r="H48" s="158"/>
      <c r="I48" s="158"/>
      <c r="J48" s="158"/>
      <c r="K48" s="158"/>
      <c r="L48" s="158"/>
      <c r="M48" s="276" t="s">
        <v>1140</v>
      </c>
      <c r="N48" s="276"/>
      <c r="O48" s="276"/>
      <c r="P48" s="276"/>
      <c r="Q48" s="158"/>
      <c r="R48" s="158"/>
      <c r="S48" s="158"/>
      <c r="T48" s="158"/>
      <c r="U48" s="158"/>
      <c r="V48" s="158"/>
      <c r="W48" s="158"/>
      <c r="X48" s="158"/>
      <c r="Y48" s="159"/>
    </row>
    <row r="49" spans="4:25" ht="24" customHeight="1" x14ac:dyDescent="0.25">
      <c r="D49" s="160">
        <v>1.1000000000000001</v>
      </c>
      <c r="E49" s="161" t="s">
        <v>1141</v>
      </c>
      <c r="F49" s="162"/>
      <c r="G49" s="162"/>
      <c r="H49" s="162"/>
      <c r="I49" s="162"/>
      <c r="J49" s="162"/>
      <c r="K49" s="162"/>
      <c r="L49" s="162"/>
      <c r="M49" s="162"/>
      <c r="N49" s="162"/>
      <c r="O49" s="162"/>
      <c r="P49" s="162"/>
      <c r="Q49" s="162"/>
      <c r="R49" s="162"/>
      <c r="S49" s="162"/>
      <c r="T49" s="162"/>
      <c r="U49" s="162"/>
      <c r="V49" s="162"/>
      <c r="W49" s="162"/>
      <c r="X49" s="162"/>
      <c r="Y49" s="163"/>
    </row>
    <row r="50" spans="4:25" ht="24" customHeight="1" x14ac:dyDescent="0.25">
      <c r="D50" s="160">
        <v>1.2</v>
      </c>
      <c r="E50" s="161" t="s">
        <v>1142</v>
      </c>
      <c r="F50" s="162"/>
      <c r="G50" s="162"/>
      <c r="H50" s="162"/>
      <c r="I50" s="162"/>
      <c r="J50" s="162"/>
      <c r="K50" s="162"/>
      <c r="L50" s="162"/>
      <c r="M50" s="162"/>
      <c r="N50" s="162"/>
      <c r="O50" s="162"/>
      <c r="P50" s="162"/>
      <c r="Q50" s="162"/>
      <c r="R50" s="162"/>
      <c r="S50" s="162"/>
      <c r="T50" s="162"/>
      <c r="U50" s="162"/>
      <c r="V50" s="162"/>
      <c r="W50" s="162"/>
      <c r="X50" s="162"/>
      <c r="Y50" s="163"/>
    </row>
    <row r="51" spans="4:25" ht="24" customHeight="1" x14ac:dyDescent="0.25">
      <c r="D51" s="160">
        <v>1.3</v>
      </c>
      <c r="E51" s="161" t="s">
        <v>1143</v>
      </c>
      <c r="F51" s="162"/>
      <c r="G51" s="162"/>
      <c r="H51" s="162"/>
      <c r="I51" s="162"/>
      <c r="J51" s="162"/>
      <c r="K51" s="162"/>
      <c r="L51" s="162"/>
      <c r="M51" s="162"/>
      <c r="N51" s="162"/>
      <c r="O51" s="162"/>
      <c r="P51" s="162"/>
      <c r="Q51" s="162"/>
      <c r="R51" s="162"/>
      <c r="S51" s="162"/>
      <c r="T51" s="162"/>
      <c r="U51" s="162"/>
      <c r="V51" s="162"/>
      <c r="W51" s="162"/>
      <c r="X51" s="162"/>
      <c r="Y51" s="163"/>
    </row>
    <row r="52" spans="4:25" ht="24" customHeight="1" x14ac:dyDescent="0.25">
      <c r="D52" s="160">
        <v>1.4</v>
      </c>
      <c r="E52" s="161" t="s">
        <v>1144</v>
      </c>
      <c r="F52" s="162"/>
      <c r="G52" s="162"/>
      <c r="H52" s="162"/>
      <c r="I52" s="162"/>
      <c r="J52" s="162"/>
      <c r="K52" s="162"/>
      <c r="L52" s="162"/>
      <c r="M52" s="162"/>
      <c r="N52" s="162"/>
      <c r="O52" s="162"/>
      <c r="P52" s="162"/>
      <c r="Q52" s="162"/>
      <c r="R52" s="162"/>
      <c r="S52" s="162"/>
      <c r="T52" s="162"/>
      <c r="U52" s="162"/>
      <c r="V52" s="162"/>
      <c r="W52" s="162"/>
      <c r="X52" s="162"/>
      <c r="Y52" s="163"/>
    </row>
    <row r="53" spans="4:25" ht="24" customHeight="1" x14ac:dyDescent="0.25">
      <c r="D53" s="160">
        <v>1.5</v>
      </c>
      <c r="E53" s="161" t="s">
        <v>1145</v>
      </c>
      <c r="F53" s="162"/>
      <c r="G53" s="162"/>
      <c r="H53" s="162"/>
      <c r="I53" s="162"/>
      <c r="J53" s="162"/>
      <c r="K53" s="162"/>
      <c r="L53" s="162"/>
      <c r="M53" s="162"/>
      <c r="N53" s="162"/>
      <c r="O53" s="162"/>
      <c r="P53" s="162"/>
      <c r="Q53" s="162"/>
      <c r="R53" s="162"/>
      <c r="S53" s="162"/>
      <c r="T53" s="162"/>
      <c r="U53" s="162"/>
      <c r="V53" s="162"/>
      <c r="W53" s="162"/>
      <c r="X53" s="162"/>
      <c r="Y53" s="163"/>
    </row>
    <row r="54" spans="4:25" ht="24" customHeight="1" x14ac:dyDescent="0.25">
      <c r="D54" s="160">
        <v>1.6</v>
      </c>
      <c r="E54" s="161" t="s">
        <v>1146</v>
      </c>
      <c r="F54" s="162"/>
      <c r="G54" s="162"/>
      <c r="H54" s="162"/>
      <c r="I54" s="162"/>
      <c r="J54" s="162"/>
      <c r="K54" s="162"/>
      <c r="L54" s="162"/>
      <c r="M54" s="162"/>
      <c r="N54" s="162"/>
      <c r="O54" s="162"/>
      <c r="P54" s="162"/>
      <c r="Q54" s="162"/>
      <c r="R54" s="162"/>
      <c r="S54" s="162"/>
      <c r="T54" s="162"/>
      <c r="U54" s="162"/>
      <c r="V54" s="162"/>
      <c r="W54" s="162"/>
      <c r="X54" s="162"/>
      <c r="Y54" s="163"/>
    </row>
    <row r="55" spans="4:25" ht="24" customHeight="1" x14ac:dyDescent="0.25">
      <c r="D55" s="160">
        <v>1.7</v>
      </c>
      <c r="E55" s="161" t="s">
        <v>1147</v>
      </c>
      <c r="F55" s="162"/>
      <c r="G55" s="162"/>
      <c r="H55" s="162"/>
      <c r="I55" s="162"/>
      <c r="J55" s="162"/>
      <c r="K55" s="162"/>
      <c r="L55" s="162"/>
      <c r="M55" s="162"/>
      <c r="N55" s="162"/>
      <c r="O55" s="162"/>
      <c r="P55" s="162"/>
      <c r="Q55" s="162"/>
      <c r="R55" s="162"/>
      <c r="S55" s="162"/>
      <c r="T55" s="162"/>
      <c r="U55" s="162"/>
      <c r="V55" s="162"/>
      <c r="W55" s="162"/>
      <c r="X55" s="162"/>
      <c r="Y55" s="163"/>
    </row>
    <row r="56" spans="4:25" ht="24" customHeight="1" thickBot="1" x14ac:dyDescent="0.3">
      <c r="D56" s="164">
        <v>1.8</v>
      </c>
      <c r="E56" s="165" t="s">
        <v>1148</v>
      </c>
      <c r="F56" s="166"/>
      <c r="G56" s="166"/>
      <c r="H56" s="166"/>
      <c r="I56" s="166"/>
      <c r="J56" s="166"/>
      <c r="K56" s="166"/>
      <c r="L56" s="166"/>
      <c r="M56" s="166"/>
      <c r="N56" s="166"/>
      <c r="O56" s="166"/>
      <c r="P56" s="166"/>
      <c r="Q56" s="166"/>
      <c r="R56" s="166"/>
      <c r="S56" s="166"/>
      <c r="T56" s="166"/>
      <c r="U56" s="166"/>
      <c r="V56" s="166"/>
      <c r="W56" s="166"/>
      <c r="X56" s="166"/>
      <c r="Y56" s="167"/>
    </row>
    <row r="57" spans="4:25" ht="24" customHeight="1" thickTop="1" thickBot="1" x14ac:dyDescent="0.3">
      <c r="D57" s="168"/>
      <c r="E57" s="162"/>
      <c r="F57" s="162"/>
      <c r="G57" s="162"/>
      <c r="H57" s="162"/>
      <c r="I57" s="162"/>
      <c r="J57" s="162"/>
      <c r="K57" s="162"/>
      <c r="L57" s="162"/>
      <c r="M57" s="162"/>
      <c r="N57" s="162"/>
      <c r="O57" s="162"/>
      <c r="P57" s="162"/>
      <c r="Q57" s="162"/>
      <c r="R57" s="162"/>
      <c r="S57" s="162"/>
      <c r="T57" s="162"/>
      <c r="U57" s="162"/>
      <c r="V57" s="162"/>
      <c r="W57" s="162"/>
      <c r="X57" s="162"/>
      <c r="Y57" s="162"/>
    </row>
    <row r="58" spans="4:25" ht="24" customHeight="1" thickTop="1" x14ac:dyDescent="0.25">
      <c r="D58" s="156">
        <v>2</v>
      </c>
      <c r="E58" s="157"/>
      <c r="F58" s="158"/>
      <c r="G58" s="158"/>
      <c r="H58" s="158"/>
      <c r="I58" s="158"/>
      <c r="J58" s="158"/>
      <c r="K58" s="158"/>
      <c r="L58" s="158"/>
      <c r="M58" s="276" t="s">
        <v>1149</v>
      </c>
      <c r="N58" s="276"/>
      <c r="O58" s="276"/>
      <c r="P58" s="276"/>
      <c r="Q58" s="158"/>
      <c r="R58" s="158"/>
      <c r="S58" s="158"/>
      <c r="T58" s="158"/>
      <c r="U58" s="158"/>
      <c r="V58" s="158"/>
      <c r="W58" s="158"/>
      <c r="X58" s="158"/>
      <c r="Y58" s="159"/>
    </row>
    <row r="59" spans="4:25" ht="24" customHeight="1" x14ac:dyDescent="0.25">
      <c r="D59" s="160">
        <v>2.1</v>
      </c>
      <c r="E59" s="161" t="s">
        <v>1150</v>
      </c>
      <c r="F59" s="162"/>
      <c r="G59" s="162"/>
      <c r="H59" s="162"/>
      <c r="I59" s="162"/>
      <c r="J59" s="162"/>
      <c r="K59" s="162"/>
      <c r="L59" s="162"/>
      <c r="M59" s="162"/>
      <c r="N59" s="162"/>
      <c r="O59" s="162"/>
      <c r="P59" s="162"/>
      <c r="Q59" s="162"/>
      <c r="R59" s="162"/>
      <c r="S59" s="162"/>
      <c r="T59" s="162"/>
      <c r="U59" s="162"/>
      <c r="V59" s="162"/>
      <c r="W59" s="162"/>
      <c r="X59" s="162"/>
      <c r="Y59" s="163"/>
    </row>
    <row r="60" spans="4:25" ht="24" customHeight="1" x14ac:dyDescent="0.25">
      <c r="D60" s="160">
        <v>2.2000000000000002</v>
      </c>
      <c r="E60" s="161" t="s">
        <v>1151</v>
      </c>
      <c r="F60" s="162"/>
      <c r="G60" s="162"/>
      <c r="H60" s="162"/>
      <c r="I60" s="162"/>
      <c r="J60" s="162"/>
      <c r="K60" s="162"/>
      <c r="L60" s="162"/>
      <c r="M60" s="162"/>
      <c r="N60" s="162"/>
      <c r="O60" s="162"/>
      <c r="P60" s="162"/>
      <c r="Q60" s="162"/>
      <c r="R60" s="162"/>
      <c r="S60" s="162"/>
      <c r="T60" s="162"/>
      <c r="U60" s="162"/>
      <c r="V60" s="162"/>
      <c r="W60" s="162"/>
      <c r="X60" s="162"/>
      <c r="Y60" s="163"/>
    </row>
    <row r="61" spans="4:25" ht="24" customHeight="1" x14ac:dyDescent="0.25">
      <c r="D61" s="160">
        <v>2.2999999999999998</v>
      </c>
      <c r="E61" s="161" t="s">
        <v>1152</v>
      </c>
      <c r="F61" s="162"/>
      <c r="G61" s="162"/>
      <c r="H61" s="162"/>
      <c r="I61" s="162"/>
      <c r="J61" s="162"/>
      <c r="K61" s="162"/>
      <c r="L61" s="162"/>
      <c r="M61" s="162"/>
      <c r="N61" s="162"/>
      <c r="O61" s="162"/>
      <c r="P61" s="162"/>
      <c r="Q61" s="162"/>
      <c r="R61" s="162"/>
      <c r="S61" s="162"/>
      <c r="T61" s="162"/>
      <c r="U61" s="162"/>
      <c r="V61" s="162"/>
      <c r="W61" s="162"/>
      <c r="X61" s="162"/>
      <c r="Y61" s="163"/>
    </row>
    <row r="62" spans="4:25" ht="24" customHeight="1" x14ac:dyDescent="0.25">
      <c r="D62" s="160">
        <v>2.4</v>
      </c>
      <c r="E62" s="161" t="s">
        <v>1153</v>
      </c>
      <c r="F62" s="162"/>
      <c r="G62" s="162"/>
      <c r="H62" s="162"/>
      <c r="I62" s="162"/>
      <c r="J62" s="162"/>
      <c r="K62" s="162"/>
      <c r="L62" s="162"/>
      <c r="M62" s="162"/>
      <c r="N62" s="162"/>
      <c r="O62" s="162"/>
      <c r="P62" s="162"/>
      <c r="Q62" s="162"/>
      <c r="R62" s="162"/>
      <c r="S62" s="162"/>
      <c r="T62" s="162"/>
      <c r="U62" s="162"/>
      <c r="V62" s="162"/>
      <c r="W62" s="162"/>
      <c r="X62" s="162"/>
      <c r="Y62" s="163"/>
    </row>
    <row r="63" spans="4:25" ht="24" customHeight="1" x14ac:dyDescent="0.25">
      <c r="D63" s="160">
        <v>2.5</v>
      </c>
      <c r="E63" s="161" t="s">
        <v>1154</v>
      </c>
      <c r="F63" s="162"/>
      <c r="G63" s="162"/>
      <c r="H63" s="162"/>
      <c r="I63" s="162"/>
      <c r="J63" s="162"/>
      <c r="K63" s="162"/>
      <c r="L63" s="162"/>
      <c r="M63" s="162"/>
      <c r="N63" s="162"/>
      <c r="O63" s="162"/>
      <c r="P63" s="162"/>
      <c r="Q63" s="162"/>
      <c r="R63" s="162"/>
      <c r="S63" s="162"/>
      <c r="T63" s="162"/>
      <c r="U63" s="162"/>
      <c r="V63" s="162"/>
      <c r="W63" s="162"/>
      <c r="X63" s="162"/>
      <c r="Y63" s="163"/>
    </row>
    <row r="64" spans="4:25" ht="24" customHeight="1" x14ac:dyDescent="0.25">
      <c r="D64" s="160">
        <v>2.6</v>
      </c>
      <c r="E64" s="161" t="s">
        <v>1155</v>
      </c>
      <c r="F64" s="162"/>
      <c r="G64" s="162"/>
      <c r="H64" s="162"/>
      <c r="I64" s="162"/>
      <c r="J64" s="162"/>
      <c r="K64" s="162"/>
      <c r="L64" s="162"/>
      <c r="M64" s="162"/>
      <c r="N64" s="162"/>
      <c r="O64" s="162"/>
      <c r="P64" s="162"/>
      <c r="Q64" s="162"/>
      <c r="R64" s="162"/>
      <c r="S64" s="162"/>
      <c r="T64" s="162"/>
      <c r="U64" s="162"/>
      <c r="V64" s="162"/>
      <c r="W64" s="162"/>
      <c r="X64" s="162"/>
      <c r="Y64" s="163"/>
    </row>
    <row r="65" spans="4:25" ht="24" customHeight="1" thickBot="1" x14ac:dyDescent="0.3">
      <c r="D65" s="164">
        <v>2.7</v>
      </c>
      <c r="E65" s="165" t="s">
        <v>1156</v>
      </c>
      <c r="F65" s="166"/>
      <c r="G65" s="166"/>
      <c r="H65" s="166"/>
      <c r="I65" s="166"/>
      <c r="J65" s="166"/>
      <c r="K65" s="166"/>
      <c r="L65" s="166"/>
      <c r="M65" s="166"/>
      <c r="N65" s="166"/>
      <c r="O65" s="166"/>
      <c r="P65" s="166"/>
      <c r="Q65" s="166"/>
      <c r="R65" s="166"/>
      <c r="S65" s="166"/>
      <c r="T65" s="166"/>
      <c r="U65" s="166"/>
      <c r="V65" s="166"/>
      <c r="W65" s="166"/>
      <c r="X65" s="166"/>
      <c r="Y65" s="167"/>
    </row>
    <row r="66" spans="4:25" ht="24" customHeight="1" thickTop="1" thickBot="1" x14ac:dyDescent="0.3">
      <c r="D66" s="168"/>
      <c r="E66" s="162"/>
      <c r="F66" s="162"/>
      <c r="G66" s="162"/>
      <c r="H66" s="162"/>
      <c r="I66" s="162"/>
      <c r="J66" s="162"/>
      <c r="K66" s="162"/>
      <c r="L66" s="162"/>
      <c r="M66" s="162"/>
      <c r="N66" s="162"/>
      <c r="O66" s="162"/>
      <c r="P66" s="162"/>
      <c r="Q66" s="162"/>
      <c r="R66" s="162"/>
      <c r="S66" s="162"/>
      <c r="T66" s="162"/>
      <c r="U66" s="162"/>
      <c r="V66" s="162"/>
      <c r="W66" s="162"/>
      <c r="X66" s="162"/>
      <c r="Y66" s="162"/>
    </row>
    <row r="67" spans="4:25" ht="24" customHeight="1" thickTop="1" x14ac:dyDescent="0.25">
      <c r="D67" s="156">
        <v>3</v>
      </c>
      <c r="E67" s="157"/>
      <c r="F67" s="158"/>
      <c r="G67" s="158"/>
      <c r="H67" s="158"/>
      <c r="I67" s="158"/>
      <c r="J67" s="158"/>
      <c r="K67" s="158"/>
      <c r="L67" s="158"/>
      <c r="M67" s="276" t="s">
        <v>1157</v>
      </c>
      <c r="N67" s="276"/>
      <c r="O67" s="276"/>
      <c r="P67" s="276"/>
      <c r="Q67" s="158"/>
      <c r="R67" s="158"/>
      <c r="S67" s="158"/>
      <c r="T67" s="158"/>
      <c r="U67" s="158"/>
      <c r="V67" s="158"/>
      <c r="W67" s="158"/>
      <c r="X67" s="158"/>
      <c r="Y67" s="159"/>
    </row>
    <row r="68" spans="4:25" ht="24" customHeight="1" x14ac:dyDescent="0.25">
      <c r="D68" s="160">
        <v>3.1</v>
      </c>
      <c r="E68" s="169" t="s">
        <v>1158</v>
      </c>
      <c r="F68" s="162"/>
      <c r="G68" s="170"/>
      <c r="H68" s="170"/>
      <c r="I68" s="170"/>
      <c r="J68" s="170"/>
      <c r="K68" s="170"/>
      <c r="L68" s="170"/>
      <c r="M68" s="170"/>
      <c r="N68" s="170"/>
      <c r="O68" s="170"/>
      <c r="P68" s="170"/>
      <c r="Q68" s="170"/>
      <c r="R68" s="170"/>
      <c r="S68" s="170"/>
      <c r="T68" s="170"/>
      <c r="U68" s="170"/>
      <c r="V68" s="170"/>
      <c r="W68" s="170"/>
      <c r="X68" s="277" t="s">
        <v>1159</v>
      </c>
      <c r="Y68" s="278"/>
    </row>
    <row r="69" spans="4:25" ht="24" customHeight="1" x14ac:dyDescent="0.25">
      <c r="D69" s="160">
        <v>3.2</v>
      </c>
      <c r="E69" s="169" t="s">
        <v>1160</v>
      </c>
      <c r="F69" s="162"/>
      <c r="G69" s="170"/>
      <c r="H69" s="170"/>
      <c r="I69" s="170"/>
      <c r="J69" s="170"/>
      <c r="K69" s="170"/>
      <c r="L69" s="170"/>
      <c r="M69" s="170"/>
      <c r="N69" s="170"/>
      <c r="O69" s="170"/>
      <c r="P69" s="170"/>
      <c r="Q69" s="170"/>
      <c r="R69" s="170"/>
      <c r="S69" s="170"/>
      <c r="T69" s="170"/>
      <c r="U69" s="170"/>
      <c r="V69" s="170"/>
      <c r="W69" s="170"/>
      <c r="X69" s="170"/>
      <c r="Y69" s="163"/>
    </row>
    <row r="70" spans="4:25" ht="24" customHeight="1" x14ac:dyDescent="0.25">
      <c r="D70" s="160">
        <v>3.3</v>
      </c>
      <c r="E70" s="169" t="s">
        <v>1161</v>
      </c>
      <c r="F70" s="162"/>
      <c r="G70" s="170"/>
      <c r="H70" s="170"/>
      <c r="I70" s="170"/>
      <c r="J70" s="170"/>
      <c r="K70" s="170"/>
      <c r="L70" s="170"/>
      <c r="M70" s="170"/>
      <c r="N70" s="170"/>
      <c r="O70" s="170"/>
      <c r="P70" s="170"/>
      <c r="Q70" s="170"/>
      <c r="R70" s="170"/>
      <c r="S70" s="170"/>
      <c r="T70" s="170"/>
      <c r="U70" s="170"/>
      <c r="V70" s="170"/>
      <c r="W70" s="170"/>
      <c r="X70" s="170"/>
      <c r="Y70" s="163"/>
    </row>
    <row r="71" spans="4:25" ht="24" customHeight="1" x14ac:dyDescent="0.25">
      <c r="D71" s="160">
        <v>3.4</v>
      </c>
      <c r="E71" s="169" t="s">
        <v>1162</v>
      </c>
      <c r="F71" s="162"/>
      <c r="G71" s="170"/>
      <c r="H71" s="170"/>
      <c r="I71" s="170"/>
      <c r="J71" s="170"/>
      <c r="K71" s="170"/>
      <c r="L71" s="170"/>
      <c r="M71" s="170"/>
      <c r="N71" s="170"/>
      <c r="O71" s="170"/>
      <c r="P71" s="170"/>
      <c r="Q71" s="170"/>
      <c r="R71" s="170"/>
      <c r="S71" s="170"/>
      <c r="T71" s="170"/>
      <c r="U71" s="170"/>
      <c r="V71" s="170"/>
      <c r="W71" s="170"/>
      <c r="X71" s="170"/>
      <c r="Y71" s="163"/>
    </row>
    <row r="72" spans="4:25" ht="24" customHeight="1" x14ac:dyDescent="0.25">
      <c r="D72" s="160">
        <v>3.5</v>
      </c>
      <c r="E72" s="169" t="s">
        <v>1163</v>
      </c>
      <c r="F72" s="162"/>
      <c r="G72" s="170"/>
      <c r="H72" s="170"/>
      <c r="I72" s="170"/>
      <c r="J72" s="170"/>
      <c r="K72" s="170"/>
      <c r="L72" s="170"/>
      <c r="M72" s="170"/>
      <c r="N72" s="170"/>
      <c r="O72" s="170"/>
      <c r="P72" s="170"/>
      <c r="Q72" s="170"/>
      <c r="R72" s="170"/>
      <c r="S72" s="170"/>
      <c r="T72" s="170"/>
      <c r="U72" s="170"/>
      <c r="V72" s="170"/>
      <c r="W72" s="170"/>
      <c r="X72" s="170"/>
      <c r="Y72" s="163"/>
    </row>
    <row r="73" spans="4:25" ht="24" customHeight="1" x14ac:dyDescent="0.25">
      <c r="D73" s="160">
        <v>3.6</v>
      </c>
      <c r="E73" s="169" t="s">
        <v>1164</v>
      </c>
      <c r="F73" s="162"/>
      <c r="G73" s="170"/>
      <c r="H73" s="170"/>
      <c r="I73" s="170"/>
      <c r="J73" s="170"/>
      <c r="K73" s="170"/>
      <c r="L73" s="170"/>
      <c r="M73" s="170"/>
      <c r="N73" s="170"/>
      <c r="O73" s="170"/>
      <c r="P73" s="170"/>
      <c r="Q73" s="170"/>
      <c r="R73" s="170"/>
      <c r="S73" s="170"/>
      <c r="T73" s="170"/>
      <c r="U73" s="170"/>
      <c r="V73" s="170"/>
      <c r="W73" s="170"/>
      <c r="X73" s="170"/>
      <c r="Y73" s="163"/>
    </row>
    <row r="74" spans="4:25" ht="24" customHeight="1" thickBot="1" x14ac:dyDescent="0.3">
      <c r="D74" s="164">
        <v>3.7</v>
      </c>
      <c r="E74" s="171" t="s">
        <v>1165</v>
      </c>
      <c r="F74" s="166"/>
      <c r="G74" s="172"/>
      <c r="H74" s="172"/>
      <c r="I74" s="172"/>
      <c r="J74" s="172"/>
      <c r="K74" s="172"/>
      <c r="L74" s="172"/>
      <c r="M74" s="172"/>
      <c r="N74" s="172"/>
      <c r="O74" s="172"/>
      <c r="P74" s="172"/>
      <c r="Q74" s="172"/>
      <c r="R74" s="172"/>
      <c r="S74" s="172"/>
      <c r="T74" s="172"/>
      <c r="U74" s="172"/>
      <c r="V74" s="172"/>
      <c r="W74" s="172"/>
      <c r="X74" s="172"/>
      <c r="Y74" s="167"/>
    </row>
    <row r="75" spans="4:25" ht="24" customHeight="1" thickTop="1" thickBot="1" x14ac:dyDescent="0.3">
      <c r="D75" s="168"/>
      <c r="E75" s="162"/>
      <c r="F75" s="162"/>
      <c r="G75" s="162"/>
      <c r="H75" s="162"/>
      <c r="I75" s="162"/>
      <c r="J75" s="162"/>
      <c r="K75" s="162"/>
      <c r="L75" s="162"/>
      <c r="M75" s="162"/>
      <c r="N75" s="162"/>
      <c r="O75" s="162"/>
      <c r="P75" s="162"/>
      <c r="Q75" s="162"/>
      <c r="R75" s="162"/>
      <c r="S75" s="162"/>
      <c r="T75" s="162"/>
      <c r="U75" s="162"/>
      <c r="V75" s="162"/>
      <c r="W75" s="162"/>
      <c r="X75" s="162"/>
      <c r="Y75" s="162"/>
    </row>
    <row r="76" spans="4:25" ht="24" customHeight="1" thickTop="1" x14ac:dyDescent="0.25">
      <c r="D76" s="156">
        <v>4</v>
      </c>
      <c r="E76" s="158"/>
      <c r="F76" s="158"/>
      <c r="G76" s="158"/>
      <c r="H76" s="158"/>
      <c r="I76" s="158"/>
      <c r="J76" s="158"/>
      <c r="K76" s="158"/>
      <c r="L76" s="158"/>
      <c r="M76" s="276" t="s">
        <v>1166</v>
      </c>
      <c r="N76" s="276"/>
      <c r="O76" s="276"/>
      <c r="P76" s="276"/>
      <c r="Q76" s="158"/>
      <c r="R76" s="158"/>
      <c r="S76" s="158"/>
      <c r="T76" s="158"/>
      <c r="U76" s="158"/>
      <c r="V76" s="158"/>
      <c r="W76" s="158"/>
      <c r="X76" s="158"/>
      <c r="Y76" s="159"/>
    </row>
    <row r="77" spans="4:25" ht="24" customHeight="1" x14ac:dyDescent="0.25">
      <c r="D77" s="160">
        <v>4.0999999999999996</v>
      </c>
      <c r="E77" s="162" t="s">
        <v>1167</v>
      </c>
      <c r="F77" s="162"/>
      <c r="G77" s="162"/>
      <c r="H77" s="162"/>
      <c r="I77" s="162"/>
      <c r="J77" s="162"/>
      <c r="K77" s="162"/>
      <c r="L77" s="162"/>
      <c r="M77" s="162"/>
      <c r="N77" s="162"/>
      <c r="O77" s="162"/>
      <c r="P77" s="162"/>
      <c r="Q77" s="162"/>
      <c r="R77" s="173" t="s">
        <v>1168</v>
      </c>
      <c r="S77" s="162"/>
      <c r="T77" s="162"/>
      <c r="U77" s="266" t="s">
        <v>1169</v>
      </c>
      <c r="V77" s="266"/>
      <c r="W77" s="266"/>
      <c r="X77" s="266"/>
      <c r="Y77" s="267"/>
    </row>
    <row r="78" spans="4:25" ht="24" customHeight="1" x14ac:dyDescent="0.25">
      <c r="D78" s="160">
        <v>4.2</v>
      </c>
      <c r="E78" s="162" t="s">
        <v>1170</v>
      </c>
      <c r="F78" s="162"/>
      <c r="G78" s="162"/>
      <c r="H78" s="162"/>
      <c r="I78" s="162"/>
      <c r="J78" s="162"/>
      <c r="K78" s="162"/>
      <c r="L78" s="162"/>
      <c r="M78" s="162"/>
      <c r="N78" s="162"/>
      <c r="O78" s="162"/>
      <c r="P78" s="162"/>
      <c r="Q78" s="162"/>
      <c r="R78" s="162"/>
      <c r="S78" s="162"/>
      <c r="T78" s="162"/>
      <c r="U78" s="268"/>
      <c r="V78" s="268"/>
      <c r="W78" s="268"/>
      <c r="X78" s="268"/>
      <c r="Y78" s="269"/>
    </row>
    <row r="79" spans="4:25" ht="24" customHeight="1" x14ac:dyDescent="0.25">
      <c r="D79" s="160">
        <v>4.3</v>
      </c>
      <c r="E79" s="162" t="s">
        <v>1171</v>
      </c>
      <c r="F79" s="162"/>
      <c r="G79" s="162"/>
      <c r="H79" s="162"/>
      <c r="I79" s="162"/>
      <c r="J79" s="162"/>
      <c r="K79" s="162"/>
      <c r="L79" s="162"/>
      <c r="M79" s="162"/>
      <c r="N79" s="162"/>
      <c r="O79" s="162"/>
      <c r="P79" s="162"/>
      <c r="Q79" s="162"/>
      <c r="R79" s="162"/>
      <c r="S79" s="162"/>
      <c r="T79" s="162"/>
      <c r="U79" s="162"/>
      <c r="V79" s="162"/>
      <c r="W79" s="162"/>
      <c r="X79" s="162"/>
      <c r="Y79" s="163"/>
    </row>
    <row r="80" spans="4:25" ht="24" customHeight="1" x14ac:dyDescent="0.25">
      <c r="D80" s="160">
        <v>4.4000000000000004</v>
      </c>
      <c r="E80" s="162" t="s">
        <v>1172</v>
      </c>
      <c r="U80" s="162"/>
      <c r="V80" s="162"/>
      <c r="W80" s="162"/>
      <c r="X80" s="162"/>
      <c r="Y80" s="163"/>
    </row>
    <row r="81" spans="4:25" ht="24" customHeight="1" x14ac:dyDescent="0.25">
      <c r="D81" s="160">
        <v>4.5</v>
      </c>
      <c r="E81" s="162" t="s">
        <v>1173</v>
      </c>
      <c r="F81" s="162"/>
      <c r="G81" s="162"/>
      <c r="H81" s="162"/>
      <c r="I81" s="162"/>
      <c r="J81" s="162"/>
      <c r="K81" s="162"/>
      <c r="L81" s="162"/>
      <c r="M81" s="162"/>
      <c r="N81" s="162"/>
      <c r="O81" s="162"/>
      <c r="P81" s="162"/>
      <c r="Q81" s="162"/>
      <c r="R81" s="162"/>
      <c r="S81" s="162"/>
      <c r="T81" s="162"/>
      <c r="U81" s="162"/>
      <c r="V81" s="162"/>
      <c r="W81" s="162"/>
      <c r="X81" s="162"/>
      <c r="Y81" s="163"/>
    </row>
    <row r="82" spans="4:25" ht="24" customHeight="1" x14ac:dyDescent="0.25">
      <c r="D82" s="160">
        <v>4.5999999999999996</v>
      </c>
      <c r="E82" s="162" t="s">
        <v>1174</v>
      </c>
      <c r="F82" s="162"/>
      <c r="G82" s="162"/>
      <c r="H82" s="162"/>
      <c r="I82" s="162"/>
      <c r="J82" s="162"/>
      <c r="K82" s="162"/>
      <c r="L82" s="162"/>
      <c r="M82" s="162"/>
      <c r="N82" s="162"/>
      <c r="O82" s="162"/>
      <c r="P82" s="162"/>
      <c r="Q82" s="162"/>
      <c r="R82" s="162"/>
      <c r="S82" s="162"/>
      <c r="T82" s="162"/>
      <c r="U82" s="162"/>
      <c r="V82" s="162"/>
      <c r="W82" s="162"/>
      <c r="X82" s="162"/>
      <c r="Y82" s="163"/>
    </row>
    <row r="83" spans="4:25" ht="24" customHeight="1" thickBot="1" x14ac:dyDescent="0.3">
      <c r="D83" s="164">
        <v>4.7</v>
      </c>
      <c r="E83" s="166" t="s">
        <v>1175</v>
      </c>
      <c r="F83" s="166"/>
      <c r="G83" s="166"/>
      <c r="H83" s="166"/>
      <c r="I83" s="166"/>
      <c r="J83" s="166"/>
      <c r="K83" s="166"/>
      <c r="L83" s="166"/>
      <c r="M83" s="166"/>
      <c r="N83" s="166"/>
      <c r="O83" s="166"/>
      <c r="P83" s="166"/>
      <c r="Q83" s="166"/>
      <c r="R83" s="166"/>
      <c r="S83" s="166"/>
      <c r="T83" s="166"/>
      <c r="U83" s="166"/>
      <c r="V83" s="166"/>
      <c r="W83" s="166"/>
      <c r="X83" s="166"/>
      <c r="Y83" s="167"/>
    </row>
    <row r="84" spans="4:25" ht="15.75" thickTop="1" x14ac:dyDescent="0.25"/>
  </sheetData>
  <mergeCells count="33">
    <mergeCell ref="F45:G45"/>
    <mergeCell ref="F46:G46"/>
    <mergeCell ref="F40:W40"/>
    <mergeCell ref="D44:E44"/>
    <mergeCell ref="D46:E46"/>
    <mergeCell ref="J43:K43"/>
    <mergeCell ref="J44:K44"/>
    <mergeCell ref="V5:Y7"/>
    <mergeCell ref="D11:H12"/>
    <mergeCell ref="T6:U6"/>
    <mergeCell ref="W2:X2"/>
    <mergeCell ref="E2:Q2"/>
    <mergeCell ref="J11:N11"/>
    <mergeCell ref="J12:N12"/>
    <mergeCell ref="E5:H5"/>
    <mergeCell ref="E6:H6"/>
    <mergeCell ref="E7:H7"/>
    <mergeCell ref="O7:S7"/>
    <mergeCell ref="R2:S2"/>
    <mergeCell ref="U77:Y77"/>
    <mergeCell ref="U78:Y78"/>
    <mergeCell ref="J14:N14"/>
    <mergeCell ref="J15:N15"/>
    <mergeCell ref="M48:P48"/>
    <mergeCell ref="M58:P58"/>
    <mergeCell ref="M67:P67"/>
    <mergeCell ref="X68:Y68"/>
    <mergeCell ref="M76:P76"/>
    <mergeCell ref="R44:S44"/>
    <mergeCell ref="N42:O42"/>
    <mergeCell ref="N43:O43"/>
    <mergeCell ref="N44:O44"/>
    <mergeCell ref="J42:K42"/>
  </mergeCells>
  <phoneticPr fontId="14" type="noConversion"/>
  <dataValidations count="2">
    <dataValidation type="list" allowBlank="1" showInputMessage="1" showErrorMessage="1" sqref="H13:I13" xr:uid="{3F46EFCF-D3A3-4014-82BF-636CD7C0DCBB}">
      <formula1>INDIRECT(J12)</formula1>
    </dataValidation>
    <dataValidation type="list" allowBlank="1" showInputMessage="1" showErrorMessage="1" sqref="J12" xr:uid="{0D14D8A0-EAC3-494C-92A0-2D90D207245B}">
      <formula1>INDIRECT(J11)</formula1>
    </dataValidation>
  </dataValidations>
  <hyperlinks>
    <hyperlink ref="X68" r:id="rId1" xr:uid="{3C28576D-5655-4C3B-BD13-6BAF23928B13}"/>
    <hyperlink ref="R77" r:id="rId2" xr:uid="{0FE0D20A-F41D-4324-B3C1-CE09EC407032}"/>
    <hyperlink ref="U77:Y77" r:id="rId3" display="https://www.stmichaels-summertown.org.uk/" xr:uid="{24CA23D0-2FAA-40B5-8B15-B18819F59D36}"/>
  </hyperlinks>
  <pageMargins left="0.7" right="0.7" top="0.75" bottom="0.75" header="0.3" footer="0.3"/>
  <pageSetup paperSize="9" orientation="portrait" horizontalDpi="0" verticalDpi="0" r:id="rId4"/>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8B401552-18DE-4EDE-B1D7-1B782BF277A6}">
          <x14:formula1>
            <xm:f>'DropDown Lists'!$B$3:$B$7</xm:f>
          </x14:formula1>
          <xm:sqref>J11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CBD78-1D62-4943-9895-9F449AB90F37}">
  <sheetPr codeName="Sheet15"/>
  <dimension ref="A1:H157"/>
  <sheetViews>
    <sheetView topLeftCell="A4" workbookViewId="0">
      <selection activeCell="D4" sqref="D4:D157"/>
    </sheetView>
  </sheetViews>
  <sheetFormatPr defaultRowHeight="15" x14ac:dyDescent="0.25"/>
  <cols>
    <col min="2" max="2" width="16.5703125" customWidth="1"/>
    <col min="4" max="4" width="40.5703125" customWidth="1"/>
    <col min="5" max="5" width="37.85546875" customWidth="1"/>
    <col min="6" max="6" width="40.42578125" customWidth="1"/>
    <col min="7" max="7" width="39.5703125" customWidth="1"/>
    <col min="8" max="8" width="26.7109375" customWidth="1"/>
    <col min="9" max="9" width="21.7109375" customWidth="1"/>
  </cols>
  <sheetData>
    <row r="1" spans="1:8" x14ac:dyDescent="0.25">
      <c r="A1" t="s">
        <v>627</v>
      </c>
    </row>
    <row r="3" spans="1:8" x14ac:dyDescent="0.25">
      <c r="B3" t="s">
        <v>608</v>
      </c>
      <c r="D3" s="60" t="s">
        <v>595</v>
      </c>
      <c r="E3" s="60" t="s">
        <v>601</v>
      </c>
      <c r="F3" s="60" t="s">
        <v>602</v>
      </c>
      <c r="G3" s="60" t="s">
        <v>600</v>
      </c>
      <c r="H3" s="60" t="s">
        <v>608</v>
      </c>
    </row>
    <row r="4" spans="1:8" ht="15.75" x14ac:dyDescent="0.25">
      <c r="B4" s="60" t="s">
        <v>595</v>
      </c>
      <c r="D4" s="4" t="s">
        <v>7</v>
      </c>
      <c r="E4" s="4" t="s">
        <v>387</v>
      </c>
      <c r="F4" s="4" t="s">
        <v>456</v>
      </c>
      <c r="G4" s="4" t="s">
        <v>560</v>
      </c>
      <c r="H4" s="46" t="s">
        <v>714</v>
      </c>
    </row>
    <row r="5" spans="1:8" x14ac:dyDescent="0.25">
      <c r="B5" s="60" t="s">
        <v>601</v>
      </c>
      <c r="D5" s="4" t="s">
        <v>9</v>
      </c>
      <c r="E5" s="4" t="s">
        <v>389</v>
      </c>
      <c r="F5" s="4" t="s">
        <v>458</v>
      </c>
      <c r="G5" s="4" t="s">
        <v>562</v>
      </c>
    </row>
    <row r="6" spans="1:8" x14ac:dyDescent="0.25">
      <c r="B6" s="60" t="s">
        <v>602</v>
      </c>
      <c r="D6" s="4" t="s">
        <v>11</v>
      </c>
      <c r="E6" s="4" t="s">
        <v>391</v>
      </c>
      <c r="F6" s="4" t="s">
        <v>460</v>
      </c>
      <c r="G6" s="4" t="s">
        <v>564</v>
      </c>
    </row>
    <row r="7" spans="1:8" x14ac:dyDescent="0.25">
      <c r="B7" s="60" t="s">
        <v>715</v>
      </c>
      <c r="D7" s="4" t="s">
        <v>13</v>
      </c>
      <c r="E7" s="4" t="s">
        <v>393</v>
      </c>
      <c r="F7" s="4" t="s">
        <v>462</v>
      </c>
      <c r="G7" s="4" t="s">
        <v>566</v>
      </c>
    </row>
    <row r="8" spans="1:8" x14ac:dyDescent="0.25">
      <c r="D8" s="4" t="s">
        <v>15</v>
      </c>
      <c r="E8" s="4" t="s">
        <v>395</v>
      </c>
      <c r="F8" s="4" t="s">
        <v>464</v>
      </c>
      <c r="G8" s="4" t="s">
        <v>568</v>
      </c>
    </row>
    <row r="9" spans="1:8" x14ac:dyDescent="0.25">
      <c r="D9" s="4" t="s">
        <v>17</v>
      </c>
      <c r="E9" s="4" t="s">
        <v>397</v>
      </c>
      <c r="F9" s="4" t="s">
        <v>466</v>
      </c>
      <c r="G9" s="4" t="s">
        <v>570</v>
      </c>
    </row>
    <row r="10" spans="1:8" x14ac:dyDescent="0.25">
      <c r="D10" s="4" t="s">
        <v>19</v>
      </c>
      <c r="E10" s="4" t="s">
        <v>399</v>
      </c>
      <c r="F10" s="4" t="s">
        <v>468</v>
      </c>
      <c r="G10" s="4" t="s">
        <v>572</v>
      </c>
    </row>
    <row r="11" spans="1:8" x14ac:dyDescent="0.25">
      <c r="D11" s="4" t="s">
        <v>21</v>
      </c>
      <c r="E11" s="4" t="s">
        <v>401</v>
      </c>
      <c r="F11" s="4" t="s">
        <v>470</v>
      </c>
      <c r="G11" s="4" t="s">
        <v>574</v>
      </c>
    </row>
    <row r="12" spans="1:8" x14ac:dyDescent="0.25">
      <c r="D12" s="4" t="s">
        <v>23</v>
      </c>
      <c r="E12" s="4" t="s">
        <v>403</v>
      </c>
      <c r="F12" s="4" t="s">
        <v>472</v>
      </c>
      <c r="G12" s="4" t="s">
        <v>576</v>
      </c>
    </row>
    <row r="13" spans="1:8" x14ac:dyDescent="0.25">
      <c r="D13" s="4" t="s">
        <v>25</v>
      </c>
      <c r="E13" s="4" t="s">
        <v>405</v>
      </c>
      <c r="F13" s="4" t="s">
        <v>474</v>
      </c>
      <c r="G13" s="4" t="s">
        <v>578</v>
      </c>
    </row>
    <row r="14" spans="1:8" x14ac:dyDescent="0.25">
      <c r="D14" s="4" t="s">
        <v>27</v>
      </c>
      <c r="E14" s="4" t="s">
        <v>407</v>
      </c>
      <c r="F14" s="4" t="s">
        <v>476</v>
      </c>
      <c r="G14" s="4" t="s">
        <v>580</v>
      </c>
    </row>
    <row r="15" spans="1:8" x14ac:dyDescent="0.25">
      <c r="D15" s="4" t="s">
        <v>29</v>
      </c>
      <c r="E15" s="4" t="s">
        <v>409</v>
      </c>
      <c r="F15" s="4" t="s">
        <v>478</v>
      </c>
      <c r="G15" s="4"/>
    </row>
    <row r="16" spans="1:8" x14ac:dyDescent="0.25">
      <c r="D16" s="4" t="s">
        <v>31</v>
      </c>
      <c r="E16" s="4" t="s">
        <v>411</v>
      </c>
      <c r="F16" s="4" t="s">
        <v>480</v>
      </c>
      <c r="G16" s="8" t="s">
        <v>713</v>
      </c>
    </row>
    <row r="17" spans="4:6" x14ac:dyDescent="0.25">
      <c r="D17" s="4" t="s">
        <v>33</v>
      </c>
      <c r="E17" s="4" t="s">
        <v>413</v>
      </c>
      <c r="F17" s="4" t="s">
        <v>482</v>
      </c>
    </row>
    <row r="18" spans="4:6" x14ac:dyDescent="0.25">
      <c r="D18" s="4" t="s">
        <v>35</v>
      </c>
      <c r="E18" s="4" t="s">
        <v>415</v>
      </c>
      <c r="F18" s="4" t="s">
        <v>484</v>
      </c>
    </row>
    <row r="19" spans="4:6" x14ac:dyDescent="0.25">
      <c r="D19" s="4" t="s">
        <v>37</v>
      </c>
      <c r="E19" s="4" t="s">
        <v>417</v>
      </c>
      <c r="F19" s="4" t="s">
        <v>486</v>
      </c>
    </row>
    <row r="20" spans="4:6" x14ac:dyDescent="0.25">
      <c r="D20" s="4" t="s">
        <v>39</v>
      </c>
      <c r="E20" s="4" t="s">
        <v>419</v>
      </c>
      <c r="F20" s="4" t="s">
        <v>488</v>
      </c>
    </row>
    <row r="21" spans="4:6" x14ac:dyDescent="0.25">
      <c r="D21" s="4" t="s">
        <v>41</v>
      </c>
      <c r="E21" s="4" t="s">
        <v>421</v>
      </c>
      <c r="F21" s="4" t="s">
        <v>490</v>
      </c>
    </row>
    <row r="22" spans="4:6" x14ac:dyDescent="0.25">
      <c r="D22" s="4" t="s">
        <v>43</v>
      </c>
      <c r="E22" s="4" t="s">
        <v>423</v>
      </c>
      <c r="F22" s="4" t="s">
        <v>492</v>
      </c>
    </row>
    <row r="23" spans="4:6" x14ac:dyDescent="0.25">
      <c r="D23" s="4" t="s">
        <v>45</v>
      </c>
      <c r="E23" s="4" t="s">
        <v>425</v>
      </c>
      <c r="F23" s="4" t="s">
        <v>494</v>
      </c>
    </row>
    <row r="24" spans="4:6" x14ac:dyDescent="0.25">
      <c r="D24" s="4" t="s">
        <v>47</v>
      </c>
      <c r="E24" s="4" t="s">
        <v>427</v>
      </c>
      <c r="F24" s="4" t="s">
        <v>496</v>
      </c>
    </row>
    <row r="25" spans="4:6" x14ac:dyDescent="0.25">
      <c r="D25" s="4" t="s">
        <v>49</v>
      </c>
      <c r="E25" s="4" t="s">
        <v>429</v>
      </c>
      <c r="F25" s="4" t="s">
        <v>498</v>
      </c>
    </row>
    <row r="26" spans="4:6" x14ac:dyDescent="0.25">
      <c r="D26" s="4" t="s">
        <v>51</v>
      </c>
      <c r="E26" s="4" t="s">
        <v>431</v>
      </c>
      <c r="F26" s="4"/>
    </row>
    <row r="27" spans="4:6" x14ac:dyDescent="0.25">
      <c r="D27" s="4" t="s">
        <v>53</v>
      </c>
      <c r="E27" s="4" t="s">
        <v>433</v>
      </c>
      <c r="F27" s="8" t="s">
        <v>629</v>
      </c>
    </row>
    <row r="28" spans="4:6" x14ac:dyDescent="0.25">
      <c r="D28" s="4" t="s">
        <v>55</v>
      </c>
      <c r="E28" s="4" t="s">
        <v>435</v>
      </c>
      <c r="F28" s="4"/>
    </row>
    <row r="29" spans="4:6" x14ac:dyDescent="0.25">
      <c r="D29" s="4" t="s">
        <v>57</v>
      </c>
      <c r="E29" s="6" t="s">
        <v>437</v>
      </c>
      <c r="F29" s="8" t="s">
        <v>709</v>
      </c>
    </row>
    <row r="30" spans="4:6" x14ac:dyDescent="0.25">
      <c r="D30" s="4" t="s">
        <v>59</v>
      </c>
      <c r="E30" s="4" t="s">
        <v>439</v>
      </c>
      <c r="F30" s="4"/>
    </row>
    <row r="31" spans="4:6" x14ac:dyDescent="0.25">
      <c r="D31" s="6" t="s">
        <v>61</v>
      </c>
      <c r="E31" s="4" t="s">
        <v>441</v>
      </c>
      <c r="F31" s="8" t="s">
        <v>711</v>
      </c>
    </row>
    <row r="32" spans="4:6" x14ac:dyDescent="0.25">
      <c r="D32" s="4" t="s">
        <v>63</v>
      </c>
      <c r="E32" s="4" t="s">
        <v>443</v>
      </c>
    </row>
    <row r="33" spans="4:5" x14ac:dyDescent="0.25">
      <c r="D33" s="4" t="s">
        <v>65</v>
      </c>
      <c r="E33" s="4" t="s">
        <v>445</v>
      </c>
    </row>
    <row r="34" spans="4:5" x14ac:dyDescent="0.25">
      <c r="D34" s="4" t="s">
        <v>67</v>
      </c>
      <c r="E34" s="4" t="s">
        <v>447</v>
      </c>
    </row>
    <row r="35" spans="4:5" x14ac:dyDescent="0.25">
      <c r="D35" s="4" t="s">
        <v>69</v>
      </c>
      <c r="E35" s="4" t="s">
        <v>526</v>
      </c>
    </row>
    <row r="36" spans="4:5" x14ac:dyDescent="0.25">
      <c r="D36" s="4" t="s">
        <v>71</v>
      </c>
      <c r="E36" s="4"/>
    </row>
    <row r="37" spans="4:5" x14ac:dyDescent="0.25">
      <c r="D37" s="6" t="s">
        <v>73</v>
      </c>
      <c r="E37" s="8" t="s">
        <v>628</v>
      </c>
    </row>
    <row r="38" spans="4:5" x14ac:dyDescent="0.25">
      <c r="D38" s="6" t="s">
        <v>75</v>
      </c>
      <c r="E38" s="4"/>
    </row>
    <row r="39" spans="4:5" x14ac:dyDescent="0.25">
      <c r="D39" s="6" t="s">
        <v>77</v>
      </c>
      <c r="E39" s="8" t="s">
        <v>708</v>
      </c>
    </row>
    <row r="40" spans="4:5" x14ac:dyDescent="0.25">
      <c r="D40" s="6" t="s">
        <v>79</v>
      </c>
      <c r="E40" s="4"/>
    </row>
    <row r="41" spans="4:5" x14ac:dyDescent="0.25">
      <c r="D41" s="6" t="s">
        <v>81</v>
      </c>
      <c r="E41" s="8" t="s">
        <v>710</v>
      </c>
    </row>
    <row r="42" spans="4:5" x14ac:dyDescent="0.25">
      <c r="D42" s="6" t="s">
        <v>83</v>
      </c>
    </row>
    <row r="43" spans="4:5" x14ac:dyDescent="0.25">
      <c r="D43" s="6" t="s">
        <v>85</v>
      </c>
    </row>
    <row r="44" spans="4:5" x14ac:dyDescent="0.25">
      <c r="D44" s="6" t="s">
        <v>87</v>
      </c>
    </row>
    <row r="45" spans="4:5" x14ac:dyDescent="0.25">
      <c r="D45" s="6" t="s">
        <v>89</v>
      </c>
    </row>
    <row r="46" spans="4:5" x14ac:dyDescent="0.25">
      <c r="D46" s="6" t="s">
        <v>91</v>
      </c>
    </row>
    <row r="47" spans="4:5" x14ac:dyDescent="0.25">
      <c r="D47" s="6" t="s">
        <v>93</v>
      </c>
    </row>
    <row r="48" spans="4:5" x14ac:dyDescent="0.25">
      <c r="D48" s="4" t="s">
        <v>95</v>
      </c>
    </row>
    <row r="49" spans="4:4" x14ac:dyDescent="0.25">
      <c r="D49" s="4" t="s">
        <v>97</v>
      </c>
    </row>
    <row r="50" spans="4:4" x14ac:dyDescent="0.25">
      <c r="D50" s="4" t="s">
        <v>99</v>
      </c>
    </row>
    <row r="51" spans="4:4" x14ac:dyDescent="0.25">
      <c r="D51" s="4" t="s">
        <v>101</v>
      </c>
    </row>
    <row r="52" spans="4:4" x14ac:dyDescent="0.25">
      <c r="D52" s="4" t="s">
        <v>103</v>
      </c>
    </row>
    <row r="53" spans="4:4" x14ac:dyDescent="0.25">
      <c r="D53" s="4" t="s">
        <v>105</v>
      </c>
    </row>
    <row r="54" spans="4:4" x14ac:dyDescent="0.25">
      <c r="D54" s="4" t="s">
        <v>107</v>
      </c>
    </row>
    <row r="55" spans="4:4" x14ac:dyDescent="0.25">
      <c r="D55" s="4" t="s">
        <v>109</v>
      </c>
    </row>
    <row r="56" spans="4:4" x14ac:dyDescent="0.25">
      <c r="D56" s="4" t="s">
        <v>111</v>
      </c>
    </row>
    <row r="57" spans="4:4" x14ac:dyDescent="0.25">
      <c r="D57" s="4" t="s">
        <v>113</v>
      </c>
    </row>
    <row r="58" spans="4:4" x14ac:dyDescent="0.25">
      <c r="D58" s="4" t="s">
        <v>115</v>
      </c>
    </row>
    <row r="59" spans="4:4" x14ac:dyDescent="0.25">
      <c r="D59" s="4" t="s">
        <v>117</v>
      </c>
    </row>
    <row r="60" spans="4:4" x14ac:dyDescent="0.25">
      <c r="D60" s="4" t="s">
        <v>119</v>
      </c>
    </row>
    <row r="61" spans="4:4" x14ac:dyDescent="0.25">
      <c r="D61" s="4" t="s">
        <v>121</v>
      </c>
    </row>
    <row r="62" spans="4:4" x14ac:dyDescent="0.25">
      <c r="D62" s="4" t="s">
        <v>123</v>
      </c>
    </row>
    <row r="63" spans="4:4" x14ac:dyDescent="0.25">
      <c r="D63" s="4" t="s">
        <v>125</v>
      </c>
    </row>
    <row r="64" spans="4:4" x14ac:dyDescent="0.25">
      <c r="D64" s="4" t="s">
        <v>127</v>
      </c>
    </row>
    <row r="65" spans="4:4" x14ac:dyDescent="0.25">
      <c r="D65" s="4" t="s">
        <v>129</v>
      </c>
    </row>
    <row r="66" spans="4:4" x14ac:dyDescent="0.25">
      <c r="D66" s="4" t="s">
        <v>131</v>
      </c>
    </row>
    <row r="67" spans="4:4" x14ac:dyDescent="0.25">
      <c r="D67" s="4" t="s">
        <v>133</v>
      </c>
    </row>
    <row r="68" spans="4:4" x14ac:dyDescent="0.25">
      <c r="D68" s="4" t="s">
        <v>135</v>
      </c>
    </row>
    <row r="69" spans="4:4" x14ac:dyDescent="0.25">
      <c r="D69" s="4" t="s">
        <v>137</v>
      </c>
    </row>
    <row r="70" spans="4:4" x14ac:dyDescent="0.25">
      <c r="D70" s="4" t="s">
        <v>139</v>
      </c>
    </row>
    <row r="71" spans="4:4" x14ac:dyDescent="0.25">
      <c r="D71" s="4" t="s">
        <v>141</v>
      </c>
    </row>
    <row r="72" spans="4:4" x14ac:dyDescent="0.25">
      <c r="D72" s="4" t="s">
        <v>143</v>
      </c>
    </row>
    <row r="73" spans="4:4" x14ac:dyDescent="0.25">
      <c r="D73" s="4" t="s">
        <v>145</v>
      </c>
    </row>
    <row r="74" spans="4:4" x14ac:dyDescent="0.25">
      <c r="D74" s="4" t="s">
        <v>147</v>
      </c>
    </row>
    <row r="75" spans="4:4" x14ac:dyDescent="0.25">
      <c r="D75" s="4" t="s">
        <v>149</v>
      </c>
    </row>
    <row r="76" spans="4:4" x14ac:dyDescent="0.25">
      <c r="D76" s="4" t="s">
        <v>151</v>
      </c>
    </row>
    <row r="77" spans="4:4" x14ac:dyDescent="0.25">
      <c r="D77" s="4" t="s">
        <v>153</v>
      </c>
    </row>
    <row r="78" spans="4:4" x14ac:dyDescent="0.25">
      <c r="D78" s="4" t="s">
        <v>155</v>
      </c>
    </row>
    <row r="79" spans="4:4" x14ac:dyDescent="0.25">
      <c r="D79" s="4" t="s">
        <v>157</v>
      </c>
    </row>
    <row r="80" spans="4:4" x14ac:dyDescent="0.25">
      <c r="D80" s="4" t="s">
        <v>159</v>
      </c>
    </row>
    <row r="81" spans="4:4" x14ac:dyDescent="0.25">
      <c r="D81" s="4" t="s">
        <v>161</v>
      </c>
    </row>
    <row r="82" spans="4:4" x14ac:dyDescent="0.25">
      <c r="D82" s="4" t="s">
        <v>163</v>
      </c>
    </row>
    <row r="83" spans="4:4" x14ac:dyDescent="0.25">
      <c r="D83" s="4" t="s">
        <v>165</v>
      </c>
    </row>
    <row r="84" spans="4:4" x14ac:dyDescent="0.25">
      <c r="D84" s="4" t="s">
        <v>167</v>
      </c>
    </row>
    <row r="85" spans="4:4" x14ac:dyDescent="0.25">
      <c r="D85" s="4" t="s">
        <v>169</v>
      </c>
    </row>
    <row r="86" spans="4:4" x14ac:dyDescent="0.25">
      <c r="D86" s="4" t="s">
        <v>171</v>
      </c>
    </row>
    <row r="87" spans="4:4" x14ac:dyDescent="0.25">
      <c r="D87" s="4" t="s">
        <v>173</v>
      </c>
    </row>
    <row r="88" spans="4:4" x14ac:dyDescent="0.25">
      <c r="D88" s="4" t="s">
        <v>175</v>
      </c>
    </row>
    <row r="89" spans="4:4" x14ac:dyDescent="0.25">
      <c r="D89" s="4" t="s">
        <v>177</v>
      </c>
    </row>
    <row r="90" spans="4:4" x14ac:dyDescent="0.25">
      <c r="D90" s="4" t="s">
        <v>179</v>
      </c>
    </row>
    <row r="91" spans="4:4" x14ac:dyDescent="0.25">
      <c r="D91" s="4" t="s">
        <v>181</v>
      </c>
    </row>
    <row r="92" spans="4:4" x14ac:dyDescent="0.25">
      <c r="D92" s="4" t="s">
        <v>183</v>
      </c>
    </row>
    <row r="93" spans="4:4" x14ac:dyDescent="0.25">
      <c r="D93" s="4" t="s">
        <v>185</v>
      </c>
    </row>
    <row r="94" spans="4:4" x14ac:dyDescent="0.25">
      <c r="D94" s="4" t="s">
        <v>187</v>
      </c>
    </row>
    <row r="95" spans="4:4" x14ac:dyDescent="0.25">
      <c r="D95" s="4" t="s">
        <v>189</v>
      </c>
    </row>
    <row r="96" spans="4:4" x14ac:dyDescent="0.25">
      <c r="D96" s="4" t="s">
        <v>191</v>
      </c>
    </row>
    <row r="97" spans="4:4" x14ac:dyDescent="0.25">
      <c r="D97" s="4" t="s">
        <v>193</v>
      </c>
    </row>
    <row r="98" spans="4:4" x14ac:dyDescent="0.25">
      <c r="D98" s="4" t="s">
        <v>195</v>
      </c>
    </row>
    <row r="99" spans="4:4" x14ac:dyDescent="0.25">
      <c r="D99" s="4" t="s">
        <v>197</v>
      </c>
    </row>
    <row r="100" spans="4:4" x14ac:dyDescent="0.25">
      <c r="D100" s="4" t="s">
        <v>199</v>
      </c>
    </row>
    <row r="101" spans="4:4" x14ac:dyDescent="0.25">
      <c r="D101" s="4" t="s">
        <v>201</v>
      </c>
    </row>
    <row r="102" spans="4:4" x14ac:dyDescent="0.25">
      <c r="D102" s="4" t="s">
        <v>203</v>
      </c>
    </row>
    <row r="103" spans="4:4" x14ac:dyDescent="0.25">
      <c r="D103" s="4" t="s">
        <v>205</v>
      </c>
    </row>
    <row r="104" spans="4:4" x14ac:dyDescent="0.25">
      <c r="D104" s="4" t="s">
        <v>207</v>
      </c>
    </row>
    <row r="105" spans="4:4" x14ac:dyDescent="0.25">
      <c r="D105" s="4" t="s">
        <v>209</v>
      </c>
    </row>
    <row r="106" spans="4:4" x14ac:dyDescent="0.25">
      <c r="D106" s="4" t="s">
        <v>211</v>
      </c>
    </row>
    <row r="107" spans="4:4" x14ac:dyDescent="0.25">
      <c r="D107" s="4" t="s">
        <v>213</v>
      </c>
    </row>
    <row r="108" spans="4:4" x14ac:dyDescent="0.25">
      <c r="D108" s="4" t="s">
        <v>215</v>
      </c>
    </row>
    <row r="109" spans="4:4" x14ac:dyDescent="0.25">
      <c r="D109" s="4" t="s">
        <v>217</v>
      </c>
    </row>
    <row r="110" spans="4:4" x14ac:dyDescent="0.25">
      <c r="D110" s="4" t="s">
        <v>219</v>
      </c>
    </row>
    <row r="111" spans="4:4" x14ac:dyDescent="0.25">
      <c r="D111" s="4" t="s">
        <v>221</v>
      </c>
    </row>
    <row r="112" spans="4:4" x14ac:dyDescent="0.25">
      <c r="D112" s="4" t="s">
        <v>223</v>
      </c>
    </row>
    <row r="113" spans="4:4" x14ac:dyDescent="0.25">
      <c r="D113" s="4" t="s">
        <v>225</v>
      </c>
    </row>
    <row r="114" spans="4:4" x14ac:dyDescent="0.25">
      <c r="D114" s="4" t="s">
        <v>227</v>
      </c>
    </row>
    <row r="115" spans="4:4" x14ac:dyDescent="0.25">
      <c r="D115" s="4" t="s">
        <v>229</v>
      </c>
    </row>
    <row r="116" spans="4:4" x14ac:dyDescent="0.25">
      <c r="D116" s="4" t="s">
        <v>231</v>
      </c>
    </row>
    <row r="117" spans="4:4" x14ac:dyDescent="0.25">
      <c r="D117" s="4" t="s">
        <v>233</v>
      </c>
    </row>
    <row r="118" spans="4:4" x14ac:dyDescent="0.25">
      <c r="D118" s="4" t="s">
        <v>235</v>
      </c>
    </row>
    <row r="119" spans="4:4" x14ac:dyDescent="0.25">
      <c r="D119" s="4" t="s">
        <v>237</v>
      </c>
    </row>
    <row r="120" spans="4:4" x14ac:dyDescent="0.25">
      <c r="D120" s="4" t="s">
        <v>239</v>
      </c>
    </row>
    <row r="121" spans="4:4" x14ac:dyDescent="0.25">
      <c r="D121" s="4" t="s">
        <v>241</v>
      </c>
    </row>
    <row r="122" spans="4:4" x14ac:dyDescent="0.25">
      <c r="D122" s="4" t="s">
        <v>243</v>
      </c>
    </row>
    <row r="123" spans="4:4" x14ac:dyDescent="0.25">
      <c r="D123" s="4" t="s">
        <v>245</v>
      </c>
    </row>
    <row r="124" spans="4:4" x14ac:dyDescent="0.25">
      <c r="D124" s="4" t="s">
        <v>247</v>
      </c>
    </row>
    <row r="125" spans="4:4" x14ac:dyDescent="0.25">
      <c r="D125" s="4" t="s">
        <v>249</v>
      </c>
    </row>
    <row r="126" spans="4:4" x14ac:dyDescent="0.25">
      <c r="D126" s="4" t="s">
        <v>251</v>
      </c>
    </row>
    <row r="127" spans="4:4" x14ac:dyDescent="0.25">
      <c r="D127" s="4" t="s">
        <v>253</v>
      </c>
    </row>
    <row r="128" spans="4:4" x14ac:dyDescent="0.25">
      <c r="D128" s="4" t="s">
        <v>255</v>
      </c>
    </row>
    <row r="129" spans="4:4" x14ac:dyDescent="0.25">
      <c r="D129" s="4" t="s">
        <v>257</v>
      </c>
    </row>
    <row r="130" spans="4:4" x14ac:dyDescent="0.25">
      <c r="D130" s="4" t="s">
        <v>259</v>
      </c>
    </row>
    <row r="131" spans="4:4" x14ac:dyDescent="0.25">
      <c r="D131" s="4" t="s">
        <v>261</v>
      </c>
    </row>
    <row r="132" spans="4:4" x14ac:dyDescent="0.25">
      <c r="D132" s="4" t="s">
        <v>263</v>
      </c>
    </row>
    <row r="133" spans="4:4" x14ac:dyDescent="0.25">
      <c r="D133" s="4" t="s">
        <v>265</v>
      </c>
    </row>
    <row r="134" spans="4:4" x14ac:dyDescent="0.25">
      <c r="D134" s="4" t="s">
        <v>267</v>
      </c>
    </row>
    <row r="135" spans="4:4" x14ac:dyDescent="0.25">
      <c r="D135" s="4" t="s">
        <v>269</v>
      </c>
    </row>
    <row r="136" spans="4:4" x14ac:dyDescent="0.25">
      <c r="D136" s="4" t="s">
        <v>271</v>
      </c>
    </row>
    <row r="137" spans="4:4" x14ac:dyDescent="0.25">
      <c r="D137" s="4" t="s">
        <v>273</v>
      </c>
    </row>
    <row r="138" spans="4:4" x14ac:dyDescent="0.25">
      <c r="D138" s="4" t="s">
        <v>275</v>
      </c>
    </row>
    <row r="139" spans="4:4" x14ac:dyDescent="0.25">
      <c r="D139" s="4" t="s">
        <v>277</v>
      </c>
    </row>
    <row r="140" spans="4:4" x14ac:dyDescent="0.25">
      <c r="D140" s="4" t="s">
        <v>279</v>
      </c>
    </row>
    <row r="141" spans="4:4" x14ac:dyDescent="0.25">
      <c r="D141" s="4" t="s">
        <v>281</v>
      </c>
    </row>
    <row r="142" spans="4:4" x14ac:dyDescent="0.25">
      <c r="D142" s="4" t="s">
        <v>283</v>
      </c>
    </row>
    <row r="143" spans="4:4" x14ac:dyDescent="0.25">
      <c r="D143" s="4" t="s">
        <v>285</v>
      </c>
    </row>
    <row r="144" spans="4:4" x14ac:dyDescent="0.25">
      <c r="D144" s="4" t="s">
        <v>287</v>
      </c>
    </row>
    <row r="145" spans="4:4" x14ac:dyDescent="0.25">
      <c r="D145" s="4" t="s">
        <v>289</v>
      </c>
    </row>
    <row r="146" spans="4:4" x14ac:dyDescent="0.25">
      <c r="D146" s="4" t="s">
        <v>291</v>
      </c>
    </row>
    <row r="147" spans="4:4" x14ac:dyDescent="0.25">
      <c r="D147" s="4" t="s">
        <v>293</v>
      </c>
    </row>
    <row r="148" spans="4:4" x14ac:dyDescent="0.25">
      <c r="D148" s="4" t="s">
        <v>295</v>
      </c>
    </row>
    <row r="149" spans="4:4" x14ac:dyDescent="0.25">
      <c r="D149" s="4" t="s">
        <v>297</v>
      </c>
    </row>
    <row r="150" spans="4:4" x14ac:dyDescent="0.25">
      <c r="D150" s="4" t="s">
        <v>299</v>
      </c>
    </row>
    <row r="151" spans="4:4" x14ac:dyDescent="0.25">
      <c r="D151" s="4" t="s">
        <v>301</v>
      </c>
    </row>
    <row r="152" spans="4:4" x14ac:dyDescent="0.25">
      <c r="D152" s="4" t="s">
        <v>303</v>
      </c>
    </row>
    <row r="153" spans="4:4" x14ac:dyDescent="0.25">
      <c r="D153" s="4" t="s">
        <v>305</v>
      </c>
    </row>
    <row r="154" spans="4:4" x14ac:dyDescent="0.25">
      <c r="D154" s="4" t="s">
        <v>307</v>
      </c>
    </row>
    <row r="155" spans="4:4" x14ac:dyDescent="0.25">
      <c r="D155" s="4" t="s">
        <v>309</v>
      </c>
    </row>
    <row r="156" spans="4:4" x14ac:dyDescent="0.25">
      <c r="D156" s="4"/>
    </row>
    <row r="157" spans="4:4" x14ac:dyDescent="0.25">
      <c r="D157" s="8" t="s">
        <v>712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9548-AD8D-4925-BA16-36DFD1083E9E}">
  <sheetPr codeName="Sheet14"/>
  <dimension ref="A1:AP279"/>
  <sheetViews>
    <sheetView topLeftCell="A33" workbookViewId="0">
      <selection activeCell="AO9" sqref="AO9:AP280"/>
    </sheetView>
  </sheetViews>
  <sheetFormatPr defaultRowHeight="15" x14ac:dyDescent="0.25"/>
  <cols>
    <col min="1" max="1" width="38.7109375" customWidth="1"/>
    <col min="9" max="9" width="9.5703125" bestFit="1" customWidth="1"/>
  </cols>
  <sheetData>
    <row r="1" spans="1:42" ht="25.5" customHeight="1" thickTop="1" x14ac:dyDescent="0.3">
      <c r="A1" s="1" t="s">
        <v>0</v>
      </c>
      <c r="B1" s="2"/>
      <c r="K1" s="67" t="s">
        <v>586</v>
      </c>
      <c r="L1" s="68"/>
      <c r="M1" s="68"/>
      <c r="N1" s="55" t="s">
        <v>587</v>
      </c>
      <c r="O1" s="55"/>
      <c r="P1" s="55"/>
      <c r="Q1" s="69">
        <f>Reporting!I5</f>
        <v>0.63</v>
      </c>
      <c r="S1" s="83" t="s">
        <v>586</v>
      </c>
      <c r="T1" s="84"/>
      <c r="U1" s="84"/>
      <c r="V1" s="84" t="s">
        <v>587</v>
      </c>
      <c r="W1" s="84"/>
      <c r="X1" s="84"/>
      <c r="Y1" s="64">
        <f>Reporting!I7</f>
        <v>0.63</v>
      </c>
    </row>
    <row r="2" spans="1:42" ht="18.75" customHeight="1" x14ac:dyDescent="0.25">
      <c r="A2" s="3" t="s">
        <v>1</v>
      </c>
      <c r="B2" s="2"/>
      <c r="K2" s="54" t="s">
        <v>591</v>
      </c>
      <c r="L2" s="55"/>
      <c r="M2" s="55"/>
      <c r="N2" s="55" t="s">
        <v>633</v>
      </c>
      <c r="O2" s="55"/>
      <c r="P2" s="55"/>
      <c r="Q2" s="69">
        <f>Reporting!J5</f>
        <v>0.12</v>
      </c>
      <c r="S2" s="85" t="s">
        <v>605</v>
      </c>
      <c r="T2" s="86"/>
      <c r="U2" s="86"/>
      <c r="V2" s="86" t="s">
        <v>633</v>
      </c>
      <c r="W2" s="86"/>
      <c r="X2" s="86"/>
      <c r="Y2" s="65">
        <f>Reporting!J7</f>
        <v>0.09</v>
      </c>
    </row>
    <row r="3" spans="1:42" ht="19.5" customHeight="1" x14ac:dyDescent="0.25">
      <c r="A3" s="4" t="s">
        <v>2</v>
      </c>
      <c r="B3" s="2"/>
      <c r="K3" s="54"/>
      <c r="L3" s="55"/>
      <c r="M3" s="55"/>
      <c r="N3" s="55" t="s">
        <v>588</v>
      </c>
      <c r="O3" s="55"/>
      <c r="P3" s="55"/>
      <c r="Q3" s="69">
        <f>Reporting!K5</f>
        <v>0</v>
      </c>
      <c r="S3" s="85"/>
      <c r="T3" s="86"/>
      <c r="U3" s="86"/>
      <c r="V3" s="86" t="s">
        <v>588</v>
      </c>
      <c r="W3" s="86"/>
      <c r="X3" s="86"/>
      <c r="Y3" s="65">
        <f>Reporting!K7</f>
        <v>0.2</v>
      </c>
    </row>
    <row r="4" spans="1:42" x14ac:dyDescent="0.25">
      <c r="A4" s="14"/>
      <c r="B4" s="15"/>
      <c r="K4" s="54"/>
      <c r="L4" s="55"/>
      <c r="M4" s="55"/>
      <c r="N4" s="55" t="s">
        <v>589</v>
      </c>
      <c r="O4" s="55"/>
      <c r="P4" s="55"/>
      <c r="Q4" s="69">
        <f>Reporting!L5</f>
        <v>0</v>
      </c>
      <c r="S4" s="85"/>
      <c r="T4" s="86"/>
      <c r="U4" s="86"/>
      <c r="V4" s="86" t="s">
        <v>589</v>
      </c>
      <c r="W4" s="86"/>
      <c r="X4" s="86"/>
      <c r="Y4" s="65">
        <f>Reporting!L7</f>
        <v>0.02</v>
      </c>
    </row>
    <row r="5" spans="1:42" ht="15.75" thickBot="1" x14ac:dyDescent="0.3">
      <c r="A5" s="5" t="s">
        <v>6</v>
      </c>
      <c r="B5" s="6"/>
      <c r="K5" s="54"/>
      <c r="L5" s="55"/>
      <c r="M5" s="55"/>
      <c r="N5" s="55" t="s">
        <v>632</v>
      </c>
      <c r="O5" s="55"/>
      <c r="P5" s="55"/>
      <c r="Q5" s="69">
        <f>Reporting!M5</f>
        <v>0</v>
      </c>
      <c r="S5" s="85"/>
      <c r="T5" s="86"/>
      <c r="U5" s="86"/>
      <c r="V5" s="86" t="s">
        <v>632</v>
      </c>
      <c r="W5" s="86"/>
      <c r="X5" s="86"/>
      <c r="Y5" s="65">
        <f>Reporting!M7</f>
        <v>0.01</v>
      </c>
    </row>
    <row r="6" spans="1:42" ht="19.5" thickBot="1" x14ac:dyDescent="0.35">
      <c r="A6" s="7"/>
      <c r="B6" s="6"/>
      <c r="K6" s="70"/>
      <c r="L6" s="71"/>
      <c r="M6" s="71"/>
      <c r="N6" s="71" t="s">
        <v>590</v>
      </c>
      <c r="O6" s="71"/>
      <c r="P6" s="71"/>
      <c r="Q6" s="72">
        <f>100%-Q1-Q2-Q3-Q4-Q5</f>
        <v>0.25</v>
      </c>
      <c r="S6" s="87"/>
      <c r="T6" s="88"/>
      <c r="U6" s="88"/>
      <c r="V6" s="88" t="s">
        <v>590</v>
      </c>
      <c r="W6" s="88"/>
      <c r="X6" s="88"/>
      <c r="Y6" s="66">
        <f>100%-Y1-Y2-Y3-Y4-Y5</f>
        <v>5.000000000000001E-2</v>
      </c>
    </row>
    <row r="7" spans="1:42" ht="30.75" thickTop="1" x14ac:dyDescent="0.25">
      <c r="A7" s="10" t="s">
        <v>3</v>
      </c>
      <c r="B7" s="16" t="s">
        <v>4</v>
      </c>
      <c r="I7" s="44">
        <v>44875</v>
      </c>
      <c r="J7" s="44">
        <v>44882</v>
      </c>
      <c r="K7" s="44">
        <v>44889</v>
      </c>
      <c r="L7" s="44">
        <v>44896</v>
      </c>
      <c r="M7" s="44">
        <v>44903</v>
      </c>
      <c r="N7" s="44">
        <v>44910</v>
      </c>
      <c r="O7" s="44">
        <v>44917</v>
      </c>
      <c r="P7" s="44">
        <v>44924</v>
      </c>
      <c r="Q7" s="44">
        <v>44931</v>
      </c>
      <c r="R7" s="44">
        <v>44938</v>
      </c>
      <c r="S7" s="44">
        <v>44945</v>
      </c>
      <c r="T7" s="44">
        <v>44952</v>
      </c>
      <c r="U7" s="44">
        <v>44959</v>
      </c>
      <c r="V7" s="44">
        <v>44966</v>
      </c>
      <c r="W7" s="44">
        <v>44973</v>
      </c>
      <c r="X7" s="44">
        <v>44980</v>
      </c>
      <c r="Y7" s="44">
        <v>44987</v>
      </c>
      <c r="Z7" s="44">
        <v>44994</v>
      </c>
      <c r="AA7" s="44">
        <v>45001</v>
      </c>
      <c r="AB7" s="44">
        <v>45008</v>
      </c>
      <c r="AC7" s="44">
        <v>45015</v>
      </c>
      <c r="AD7" s="44">
        <v>45022</v>
      </c>
      <c r="AE7" s="44">
        <v>45029</v>
      </c>
      <c r="AF7" s="44">
        <v>45036</v>
      </c>
      <c r="AG7" s="44">
        <v>45043</v>
      </c>
      <c r="AH7" s="44">
        <v>45050</v>
      </c>
      <c r="AI7" s="44">
        <v>45057</v>
      </c>
      <c r="AJ7" s="44">
        <v>45064</v>
      </c>
      <c r="AK7" s="44">
        <v>45071</v>
      </c>
      <c r="AL7" s="44">
        <v>45078</v>
      </c>
      <c r="AM7" s="44">
        <v>45085</v>
      </c>
      <c r="AN7" s="44">
        <v>45092</v>
      </c>
      <c r="AO7" s="44">
        <v>45099</v>
      </c>
      <c r="AP7" s="44">
        <v>45106</v>
      </c>
    </row>
    <row r="8" spans="1:42" x14ac:dyDescent="0.25">
      <c r="A8" s="9"/>
      <c r="B8" s="9"/>
    </row>
    <row r="9" spans="1:42" x14ac:dyDescent="0.25">
      <c r="A9" s="4" t="s">
        <v>7</v>
      </c>
      <c r="B9" s="6" t="s">
        <v>8</v>
      </c>
      <c r="I9" s="17">
        <f>'Rolling report'!CB9*'With Action'!$Y$6</f>
        <v>2.3000000000000003</v>
      </c>
      <c r="J9" s="17">
        <f>'Rolling report'!CC9*'With Action'!$Y$6</f>
        <v>0.25000000000000006</v>
      </c>
      <c r="K9" s="17">
        <f>'Rolling report'!CD9*'With Action'!$Y$6</f>
        <v>0.40000000000000008</v>
      </c>
      <c r="L9" s="17">
        <f>'Rolling report'!CE9*'With Action'!$Y$6</f>
        <v>0.35000000000000009</v>
      </c>
      <c r="M9" s="17">
        <f>'Rolling report'!CF9*'With Action'!$Y$6</f>
        <v>0.50000000000000011</v>
      </c>
      <c r="N9" s="17">
        <f>'Rolling report'!CG9*'With Action'!$Y$6</f>
        <v>0.15000000000000002</v>
      </c>
      <c r="O9" s="17">
        <f>'Rolling report'!CH9*'With Action'!$Y$6</f>
        <v>0.35000000000000009</v>
      </c>
      <c r="P9" s="17">
        <f>'Rolling report'!CI9*'With Action'!$Y$6</f>
        <v>0.55000000000000016</v>
      </c>
      <c r="Q9" s="17">
        <f>'Rolling report'!CJ9*'With Action'!$Y$6</f>
        <v>5.000000000000001E-2</v>
      </c>
      <c r="R9" s="17">
        <f>'Rolling report'!CK9*'With Action'!$Y$6</f>
        <v>0.15000000000000002</v>
      </c>
      <c r="S9" s="17">
        <f>'Rolling report'!CL9*'With Action'!$Y$6</f>
        <v>0.10000000000000002</v>
      </c>
      <c r="T9" s="17">
        <f>'Rolling report'!CM9*'With Action'!$Y$6</f>
        <v>0.50000000000000011</v>
      </c>
      <c r="U9" s="17">
        <f>'Rolling report'!CN9*'With Action'!$Y$6</f>
        <v>0.70000000000000018</v>
      </c>
      <c r="V9" s="17">
        <f>'Rolling report'!CO9*'With Action'!$Y$6</f>
        <v>0.20000000000000004</v>
      </c>
      <c r="W9" s="17">
        <f>'Rolling report'!CP9*'With Action'!$Y$6</f>
        <v>0.25000000000000006</v>
      </c>
      <c r="X9" s="17">
        <f>'Rolling report'!CQ9*'With Action'!$Y$6</f>
        <v>0.25000000000000006</v>
      </c>
      <c r="Y9" s="17">
        <f>'Rolling report'!CR9*'With Action'!$Y$6</f>
        <v>0.20000000000000004</v>
      </c>
      <c r="Z9" s="17">
        <f>'Rolling report'!CS9*'With Action'!$Y$6</f>
        <v>0.10000000000000002</v>
      </c>
      <c r="AA9" s="17">
        <f>'Rolling report'!CT9*'With Action'!$Y$6</f>
        <v>0.55000000000000016</v>
      </c>
      <c r="AB9" s="17">
        <f>'Rolling report'!CU9*'With Action'!$Y$6</f>
        <v>0.40000000000000008</v>
      </c>
      <c r="AC9" s="17">
        <f>'Rolling report'!CV9*'With Action'!$Y$6</f>
        <v>0.70000000000000018</v>
      </c>
      <c r="AD9" s="17">
        <f>'Rolling report'!CW9*'With Action'!$Y$6</f>
        <v>0.25000000000000006</v>
      </c>
      <c r="AE9" s="17">
        <f>'Rolling report'!CX9*'With Action'!$Y$6</f>
        <v>0.75000000000000011</v>
      </c>
      <c r="AF9" s="17">
        <f>'Rolling report'!CY9*'With Action'!$Y$6</f>
        <v>-10.000000000000002</v>
      </c>
      <c r="AG9" s="17">
        <f>'Rolling report'!CZ9*'With Action'!$Y$6</f>
        <v>0</v>
      </c>
      <c r="AH9" s="17">
        <f>'Rolling report'!DA9*'With Action'!$Y$6</f>
        <v>0</v>
      </c>
      <c r="AI9" s="17">
        <f>'Rolling report'!DB9*'With Action'!$Y$6</f>
        <v>0</v>
      </c>
      <c r="AJ9" s="17">
        <f>'Rolling report'!DC9*'With Action'!$Y$6</f>
        <v>0</v>
      </c>
      <c r="AK9" s="17">
        <f>'Rolling report'!DD9*'With Action'!$Y$6</f>
        <v>0</v>
      </c>
      <c r="AL9" s="17">
        <f>'Rolling report'!DE9*'With Action'!$Y$6</f>
        <v>0</v>
      </c>
      <c r="AM9" s="17">
        <f>'Rolling report'!DF9*'With Action'!$Y$6</f>
        <v>0</v>
      </c>
      <c r="AN9" s="17">
        <f>'Rolling report'!DG9*'With Action'!$Y$6</f>
        <v>0</v>
      </c>
      <c r="AO9" s="17">
        <f>'Rolling report'!DH9*'With Action'!$Y$6</f>
        <v>0</v>
      </c>
      <c r="AP9" s="17">
        <f>'Rolling report'!DI9*'With Action'!$Y$6</f>
        <v>0</v>
      </c>
    </row>
    <row r="10" spans="1:42" x14ac:dyDescent="0.25">
      <c r="A10" s="4" t="s">
        <v>9</v>
      </c>
      <c r="B10" s="6" t="s">
        <v>10</v>
      </c>
      <c r="I10" s="17">
        <f>'Rolling report'!CB10*'With Action'!$Y$6</f>
        <v>11.800000000000002</v>
      </c>
      <c r="J10" s="17">
        <f>'Rolling report'!CC10*'With Action'!$Y$6</f>
        <v>1.2500000000000002</v>
      </c>
      <c r="K10" s="17">
        <f>'Rolling report'!CD10*'With Action'!$Y$6</f>
        <v>1.6000000000000003</v>
      </c>
      <c r="L10" s="17">
        <f>'Rolling report'!CE10*'With Action'!$Y$6</f>
        <v>2.4500000000000006</v>
      </c>
      <c r="M10" s="17">
        <f>'Rolling report'!CF10*'With Action'!$Y$6</f>
        <v>1.1000000000000003</v>
      </c>
      <c r="N10" s="17">
        <f>'Rolling report'!CG10*'With Action'!$Y$6</f>
        <v>1.5500000000000003</v>
      </c>
      <c r="O10" s="17">
        <f>'Rolling report'!CH10*'With Action'!$Y$6</f>
        <v>2.1500000000000004</v>
      </c>
      <c r="P10" s="17">
        <f>'Rolling report'!CI10*'With Action'!$Y$6</f>
        <v>2.0000000000000004</v>
      </c>
      <c r="Q10" s="17">
        <f>'Rolling report'!CJ10*'With Action'!$Y$6</f>
        <v>1.6000000000000003</v>
      </c>
      <c r="R10" s="17">
        <f>'Rolling report'!CK10*'With Action'!$Y$6</f>
        <v>0.95000000000000018</v>
      </c>
      <c r="S10" s="17">
        <f>'Rolling report'!CL10*'With Action'!$Y$6</f>
        <v>0.60000000000000009</v>
      </c>
      <c r="T10" s="17">
        <f>'Rolling report'!CM10*'With Action'!$Y$6</f>
        <v>1.4000000000000004</v>
      </c>
      <c r="U10" s="17">
        <f>'Rolling report'!CN10*'With Action'!$Y$6</f>
        <v>0.90000000000000013</v>
      </c>
      <c r="V10" s="17">
        <f>'Rolling report'!CO10*'With Action'!$Y$6</f>
        <v>0.45000000000000007</v>
      </c>
      <c r="W10" s="17">
        <f>'Rolling report'!CP10*'With Action'!$Y$6</f>
        <v>1.0000000000000002</v>
      </c>
      <c r="X10" s="17">
        <f>'Rolling report'!CQ10*'With Action'!$Y$6</f>
        <v>0.8500000000000002</v>
      </c>
      <c r="Y10" s="17">
        <f>'Rolling report'!CR10*'With Action'!$Y$6</f>
        <v>1.3000000000000003</v>
      </c>
      <c r="Z10" s="17">
        <f>'Rolling report'!CS10*'With Action'!$Y$6</f>
        <v>0.90000000000000013</v>
      </c>
      <c r="AA10" s="17">
        <f>'Rolling report'!CT10*'With Action'!$Y$6</f>
        <v>0.8500000000000002</v>
      </c>
      <c r="AB10" s="17">
        <f>'Rolling report'!CU10*'With Action'!$Y$6</f>
        <v>0.70000000000000018</v>
      </c>
      <c r="AC10" s="17">
        <f>'Rolling report'!CV10*'With Action'!$Y$6</f>
        <v>1.7000000000000004</v>
      </c>
      <c r="AD10" s="17">
        <f>'Rolling report'!CW10*'With Action'!$Y$6</f>
        <v>-5.000000000000001E-2</v>
      </c>
      <c r="AE10" s="17">
        <f>'Rolling report'!CX10*'With Action'!$Y$6</f>
        <v>0.8500000000000002</v>
      </c>
      <c r="AF10" s="17">
        <f>'Rolling report'!CY10*'With Action'!$Y$6</f>
        <v>-37.900000000000006</v>
      </c>
      <c r="AG10" s="17">
        <f>'Rolling report'!CZ10*'With Action'!$Y$6</f>
        <v>0</v>
      </c>
      <c r="AH10" s="17">
        <f>'Rolling report'!DA10*'With Action'!$Y$6</f>
        <v>0</v>
      </c>
      <c r="AI10" s="17">
        <f>'Rolling report'!DB10*'With Action'!$Y$6</f>
        <v>0</v>
      </c>
      <c r="AJ10" s="17">
        <f>'Rolling report'!DC10*'With Action'!$Y$6</f>
        <v>0</v>
      </c>
      <c r="AK10" s="17">
        <f>'Rolling report'!DD10*'With Action'!$Y$6</f>
        <v>0</v>
      </c>
      <c r="AL10" s="17">
        <f>'Rolling report'!DE10*'With Action'!$Y$6</f>
        <v>0</v>
      </c>
      <c r="AM10" s="17">
        <f>'Rolling report'!DF10*'With Action'!$Y$6</f>
        <v>0</v>
      </c>
      <c r="AN10" s="17">
        <f>'Rolling report'!DG10*'With Action'!$Y$6</f>
        <v>0</v>
      </c>
      <c r="AO10" s="17">
        <f>'Rolling report'!DH10*'With Action'!$Y$6</f>
        <v>0</v>
      </c>
      <c r="AP10" s="17">
        <f>'Rolling report'!DI10*'With Action'!$Y$6</f>
        <v>0</v>
      </c>
    </row>
    <row r="11" spans="1:42" x14ac:dyDescent="0.25">
      <c r="A11" s="4" t="s">
        <v>11</v>
      </c>
      <c r="B11" s="6" t="s">
        <v>12</v>
      </c>
      <c r="I11" s="17">
        <f>'Rolling report'!CB11*'With Action'!$Y$6</f>
        <v>1.2000000000000002</v>
      </c>
      <c r="J11" s="17">
        <f>'Rolling report'!CC11*'With Action'!$Y$6</f>
        <v>0.25000000000000006</v>
      </c>
      <c r="K11" s="17">
        <f>'Rolling report'!CD11*'With Action'!$Y$6</f>
        <v>0.15000000000000002</v>
      </c>
      <c r="L11" s="17">
        <f>'Rolling report'!CE11*'With Action'!$Y$6</f>
        <v>0</v>
      </c>
      <c r="M11" s="17">
        <f>'Rolling report'!CF11*'With Action'!$Y$6</f>
        <v>0.20000000000000004</v>
      </c>
      <c r="N11" s="17">
        <f>'Rolling report'!CG11*'With Action'!$Y$6</f>
        <v>0</v>
      </c>
      <c r="O11" s="17">
        <f>'Rolling report'!CH11*'With Action'!$Y$6</f>
        <v>0.20000000000000004</v>
      </c>
      <c r="P11" s="17">
        <f>'Rolling report'!CI11*'With Action'!$Y$6</f>
        <v>0</v>
      </c>
      <c r="Q11" s="17">
        <f>'Rolling report'!CJ11*'With Action'!$Y$6</f>
        <v>0.25000000000000006</v>
      </c>
      <c r="R11" s="17">
        <f>'Rolling report'!CK11*'With Action'!$Y$6</f>
        <v>5.000000000000001E-2</v>
      </c>
      <c r="S11" s="17">
        <f>'Rolling report'!CL11*'With Action'!$Y$6</f>
        <v>0.20000000000000004</v>
      </c>
      <c r="T11" s="17">
        <f>'Rolling report'!CM11*'With Action'!$Y$6</f>
        <v>0.30000000000000004</v>
      </c>
      <c r="U11" s="17">
        <f>'Rolling report'!CN11*'With Action'!$Y$6</f>
        <v>0.10000000000000002</v>
      </c>
      <c r="V11" s="17">
        <f>'Rolling report'!CO11*'With Action'!$Y$6</f>
        <v>0.10000000000000002</v>
      </c>
      <c r="W11" s="17">
        <f>'Rolling report'!CP11*'With Action'!$Y$6</f>
        <v>5.000000000000001E-2</v>
      </c>
      <c r="X11" s="17">
        <f>'Rolling report'!CQ11*'With Action'!$Y$6</f>
        <v>0</v>
      </c>
      <c r="Y11" s="17">
        <f>'Rolling report'!CR11*'With Action'!$Y$6</f>
        <v>0</v>
      </c>
      <c r="Z11" s="17">
        <f>'Rolling report'!CS11*'With Action'!$Y$6</f>
        <v>0</v>
      </c>
      <c r="AA11" s="17">
        <f>'Rolling report'!CT11*'With Action'!$Y$6</f>
        <v>0.10000000000000002</v>
      </c>
      <c r="AB11" s="17">
        <f>'Rolling report'!CU11*'With Action'!$Y$6</f>
        <v>0.10000000000000002</v>
      </c>
      <c r="AC11" s="17">
        <f>'Rolling report'!CV11*'With Action'!$Y$6</f>
        <v>0</v>
      </c>
      <c r="AD11" s="17">
        <f>'Rolling report'!CW11*'With Action'!$Y$6</f>
        <v>0.10000000000000002</v>
      </c>
      <c r="AE11" s="17">
        <f>'Rolling report'!CX11*'With Action'!$Y$6</f>
        <v>0</v>
      </c>
      <c r="AF11" s="17">
        <f>'Rolling report'!CY11*'With Action'!$Y$6</f>
        <v>-3.3500000000000005</v>
      </c>
      <c r="AG11" s="17">
        <f>'Rolling report'!CZ11*'With Action'!$Y$6</f>
        <v>0</v>
      </c>
      <c r="AH11" s="17">
        <f>'Rolling report'!DA11*'With Action'!$Y$6</f>
        <v>0</v>
      </c>
      <c r="AI11" s="17">
        <f>'Rolling report'!DB11*'With Action'!$Y$6</f>
        <v>0</v>
      </c>
      <c r="AJ11" s="17">
        <f>'Rolling report'!DC11*'With Action'!$Y$6</f>
        <v>0</v>
      </c>
      <c r="AK11" s="17">
        <f>'Rolling report'!DD11*'With Action'!$Y$6</f>
        <v>0</v>
      </c>
      <c r="AL11" s="17">
        <f>'Rolling report'!DE11*'With Action'!$Y$6</f>
        <v>0</v>
      </c>
      <c r="AM11" s="17">
        <f>'Rolling report'!DF11*'With Action'!$Y$6</f>
        <v>0</v>
      </c>
      <c r="AN11" s="17">
        <f>'Rolling report'!DG11*'With Action'!$Y$6</f>
        <v>0</v>
      </c>
      <c r="AO11" s="17">
        <f>'Rolling report'!DH11*'With Action'!$Y$6</f>
        <v>0</v>
      </c>
      <c r="AP11" s="17">
        <f>'Rolling report'!DI11*'With Action'!$Y$6</f>
        <v>0</v>
      </c>
    </row>
    <row r="12" spans="1:42" x14ac:dyDescent="0.25">
      <c r="A12" s="4" t="s">
        <v>13</v>
      </c>
      <c r="B12" s="6" t="s">
        <v>14</v>
      </c>
      <c r="I12" s="17">
        <f>'Rolling report'!CB12*'With Action'!$Y$6</f>
        <v>4.7500000000000009</v>
      </c>
      <c r="J12" s="17">
        <f>'Rolling report'!CC12*'With Action'!$Y$6</f>
        <v>1.4500000000000002</v>
      </c>
      <c r="K12" s="17">
        <f>'Rolling report'!CD12*'With Action'!$Y$6</f>
        <v>1.1500000000000001</v>
      </c>
      <c r="L12" s="17">
        <f>'Rolling report'!CE12*'With Action'!$Y$6</f>
        <v>0.40000000000000008</v>
      </c>
      <c r="M12" s="17">
        <f>'Rolling report'!CF12*'With Action'!$Y$6</f>
        <v>0.25000000000000006</v>
      </c>
      <c r="N12" s="17">
        <f>'Rolling report'!CG12*'With Action'!$Y$6</f>
        <v>0.90000000000000013</v>
      </c>
      <c r="O12" s="17">
        <f>'Rolling report'!CH12*'With Action'!$Y$6</f>
        <v>1.7000000000000004</v>
      </c>
      <c r="P12" s="17">
        <f>'Rolling report'!CI12*'With Action'!$Y$6</f>
        <v>0.30000000000000004</v>
      </c>
      <c r="Q12" s="17">
        <f>'Rolling report'!CJ12*'With Action'!$Y$6</f>
        <v>0.45000000000000007</v>
      </c>
      <c r="R12" s="17">
        <f>'Rolling report'!CK12*'With Action'!$Y$6</f>
        <v>0.40000000000000008</v>
      </c>
      <c r="S12" s="17">
        <f>'Rolling report'!CL12*'With Action'!$Y$6</f>
        <v>0.10000000000000002</v>
      </c>
      <c r="T12" s="17">
        <f>'Rolling report'!CM12*'With Action'!$Y$6</f>
        <v>0.50000000000000011</v>
      </c>
      <c r="U12" s="17">
        <f>'Rolling report'!CN12*'With Action'!$Y$6</f>
        <v>0.35000000000000009</v>
      </c>
      <c r="V12" s="17">
        <f>'Rolling report'!CO12*'With Action'!$Y$6</f>
        <v>0.25000000000000006</v>
      </c>
      <c r="W12" s="17">
        <f>'Rolling report'!CP12*'With Action'!$Y$6</f>
        <v>0.25000000000000006</v>
      </c>
      <c r="X12" s="17">
        <f>'Rolling report'!CQ12*'With Action'!$Y$6</f>
        <v>0.55000000000000016</v>
      </c>
      <c r="Y12" s="17">
        <f>'Rolling report'!CR12*'With Action'!$Y$6</f>
        <v>0.20000000000000004</v>
      </c>
      <c r="Z12" s="17">
        <f>'Rolling report'!CS12*'With Action'!$Y$6</f>
        <v>0.35000000000000009</v>
      </c>
      <c r="AA12" s="17">
        <f>'Rolling report'!CT12*'With Action'!$Y$6</f>
        <v>0.55000000000000016</v>
      </c>
      <c r="AB12" s="17">
        <f>'Rolling report'!CU12*'With Action'!$Y$6</f>
        <v>0.45000000000000007</v>
      </c>
      <c r="AC12" s="17">
        <f>'Rolling report'!CV12*'With Action'!$Y$6</f>
        <v>0.25000000000000006</v>
      </c>
      <c r="AD12" s="17">
        <f>'Rolling report'!CW12*'With Action'!$Y$6</f>
        <v>0.30000000000000004</v>
      </c>
      <c r="AE12" s="17">
        <f>'Rolling report'!CX12*'With Action'!$Y$6</f>
        <v>0.20000000000000004</v>
      </c>
      <c r="AF12" s="17">
        <f>'Rolling report'!CY12*'With Action'!$Y$6</f>
        <v>-16.050000000000004</v>
      </c>
      <c r="AG12" s="17">
        <f>'Rolling report'!CZ12*'With Action'!$Y$6</f>
        <v>0</v>
      </c>
      <c r="AH12" s="17">
        <f>'Rolling report'!DA12*'With Action'!$Y$6</f>
        <v>0</v>
      </c>
      <c r="AI12" s="17">
        <f>'Rolling report'!DB12*'With Action'!$Y$6</f>
        <v>0</v>
      </c>
      <c r="AJ12" s="17">
        <f>'Rolling report'!DC12*'With Action'!$Y$6</f>
        <v>0</v>
      </c>
      <c r="AK12" s="17">
        <f>'Rolling report'!DD12*'With Action'!$Y$6</f>
        <v>0</v>
      </c>
      <c r="AL12" s="17">
        <f>'Rolling report'!DE12*'With Action'!$Y$6</f>
        <v>0</v>
      </c>
      <c r="AM12" s="17">
        <f>'Rolling report'!DF12*'With Action'!$Y$6</f>
        <v>0</v>
      </c>
      <c r="AN12" s="17">
        <f>'Rolling report'!DG12*'With Action'!$Y$6</f>
        <v>0</v>
      </c>
      <c r="AO12" s="17">
        <f>'Rolling report'!DH12*'With Action'!$Y$6</f>
        <v>0</v>
      </c>
      <c r="AP12" s="17">
        <f>'Rolling report'!DI12*'With Action'!$Y$6</f>
        <v>0</v>
      </c>
    </row>
    <row r="13" spans="1:42" x14ac:dyDescent="0.25">
      <c r="A13" s="4" t="s">
        <v>15</v>
      </c>
      <c r="B13" s="6" t="s">
        <v>16</v>
      </c>
      <c r="I13" s="17">
        <f>'Rolling report'!CB13*'With Action'!$Y$6</f>
        <v>7.950000000000002</v>
      </c>
      <c r="J13" s="17">
        <f>'Rolling report'!CC13*'With Action'!$Y$6</f>
        <v>1.0500000000000003</v>
      </c>
      <c r="K13" s="17">
        <f>'Rolling report'!CD13*'With Action'!$Y$6</f>
        <v>0.90000000000000013</v>
      </c>
      <c r="L13" s="17">
        <f>'Rolling report'!CE13*'With Action'!$Y$6</f>
        <v>1.3500000000000003</v>
      </c>
      <c r="M13" s="17">
        <f>'Rolling report'!CF13*'With Action'!$Y$6</f>
        <v>0.8500000000000002</v>
      </c>
      <c r="N13" s="17">
        <f>'Rolling report'!CG13*'With Action'!$Y$6</f>
        <v>0.70000000000000018</v>
      </c>
      <c r="O13" s="17">
        <f>'Rolling report'!CH13*'With Action'!$Y$6</f>
        <v>0.40000000000000008</v>
      </c>
      <c r="P13" s="17">
        <f>'Rolling report'!CI13*'With Action'!$Y$6</f>
        <v>0.40000000000000008</v>
      </c>
      <c r="Q13" s="17">
        <f>'Rolling report'!CJ13*'With Action'!$Y$6</f>
        <v>0.35000000000000009</v>
      </c>
      <c r="R13" s="17">
        <f>'Rolling report'!CK13*'With Action'!$Y$6</f>
        <v>0.45000000000000007</v>
      </c>
      <c r="S13" s="17">
        <f>'Rolling report'!CL13*'With Action'!$Y$6</f>
        <v>0.45000000000000007</v>
      </c>
      <c r="T13" s="17">
        <f>'Rolling report'!CM13*'With Action'!$Y$6</f>
        <v>0.40000000000000008</v>
      </c>
      <c r="U13" s="17">
        <f>'Rolling report'!CN13*'With Action'!$Y$6</f>
        <v>0.25000000000000006</v>
      </c>
      <c r="V13" s="17">
        <f>'Rolling report'!CO13*'With Action'!$Y$6</f>
        <v>0.55000000000000016</v>
      </c>
      <c r="W13" s="17">
        <f>'Rolling report'!CP13*'With Action'!$Y$6</f>
        <v>0.40000000000000008</v>
      </c>
      <c r="X13" s="17">
        <f>'Rolling report'!CQ13*'With Action'!$Y$6</f>
        <v>0.40000000000000008</v>
      </c>
      <c r="Y13" s="17">
        <f>'Rolling report'!CR13*'With Action'!$Y$6</f>
        <v>0.55000000000000016</v>
      </c>
      <c r="Z13" s="17">
        <f>'Rolling report'!CS13*'With Action'!$Y$6</f>
        <v>0.15000000000000002</v>
      </c>
      <c r="AA13" s="17">
        <f>'Rolling report'!CT13*'With Action'!$Y$6</f>
        <v>5.000000000000001E-2</v>
      </c>
      <c r="AB13" s="17">
        <f>'Rolling report'!CU13*'With Action'!$Y$6</f>
        <v>0.20000000000000004</v>
      </c>
      <c r="AC13" s="17">
        <f>'Rolling report'!CV13*'With Action'!$Y$6</f>
        <v>0.40000000000000008</v>
      </c>
      <c r="AD13" s="17">
        <f>'Rolling report'!CW13*'With Action'!$Y$6</f>
        <v>-0.10000000000000002</v>
      </c>
      <c r="AE13" s="17">
        <f>'Rolling report'!CX13*'With Action'!$Y$6</f>
        <v>0.25000000000000006</v>
      </c>
      <c r="AF13" s="17">
        <f>'Rolling report'!CY13*'With Action'!$Y$6</f>
        <v>-18.350000000000005</v>
      </c>
      <c r="AG13" s="17">
        <f>'Rolling report'!CZ13*'With Action'!$Y$6</f>
        <v>0</v>
      </c>
      <c r="AH13" s="17">
        <f>'Rolling report'!DA13*'With Action'!$Y$6</f>
        <v>0</v>
      </c>
      <c r="AI13" s="17">
        <f>'Rolling report'!DB13*'With Action'!$Y$6</f>
        <v>0</v>
      </c>
      <c r="AJ13" s="17">
        <f>'Rolling report'!DC13*'With Action'!$Y$6</f>
        <v>0</v>
      </c>
      <c r="AK13" s="17">
        <f>'Rolling report'!DD13*'With Action'!$Y$6</f>
        <v>0</v>
      </c>
      <c r="AL13" s="17">
        <f>'Rolling report'!DE13*'With Action'!$Y$6</f>
        <v>0</v>
      </c>
      <c r="AM13" s="17">
        <f>'Rolling report'!DF13*'With Action'!$Y$6</f>
        <v>0</v>
      </c>
      <c r="AN13" s="17">
        <f>'Rolling report'!DG13*'With Action'!$Y$6</f>
        <v>0</v>
      </c>
      <c r="AO13" s="17">
        <f>'Rolling report'!DH13*'With Action'!$Y$6</f>
        <v>0</v>
      </c>
      <c r="AP13" s="17">
        <f>'Rolling report'!DI13*'With Action'!$Y$6</f>
        <v>0</v>
      </c>
    </row>
    <row r="14" spans="1:42" x14ac:dyDescent="0.25">
      <c r="A14" s="4" t="s">
        <v>17</v>
      </c>
      <c r="B14" s="6" t="s">
        <v>18</v>
      </c>
      <c r="I14" s="17">
        <f>'Rolling report'!CB14*'With Action'!$Y$6</f>
        <v>4.6000000000000005</v>
      </c>
      <c r="J14" s="17">
        <f>'Rolling report'!CC14*'With Action'!$Y$6</f>
        <v>0.70000000000000018</v>
      </c>
      <c r="K14" s="17">
        <f>'Rolling report'!CD14*'With Action'!$Y$6</f>
        <v>0.40000000000000008</v>
      </c>
      <c r="L14" s="17">
        <f>'Rolling report'!CE14*'With Action'!$Y$6</f>
        <v>1.3000000000000003</v>
      </c>
      <c r="M14" s="17">
        <f>'Rolling report'!CF14*'With Action'!$Y$6</f>
        <v>0.60000000000000009</v>
      </c>
      <c r="N14" s="17">
        <f>'Rolling report'!CG14*'With Action'!$Y$6</f>
        <v>0.50000000000000011</v>
      </c>
      <c r="O14" s="17">
        <f>'Rolling report'!CH14*'With Action'!$Y$6</f>
        <v>0.50000000000000011</v>
      </c>
      <c r="P14" s="17">
        <f>'Rolling report'!CI14*'With Action'!$Y$6</f>
        <v>0.30000000000000004</v>
      </c>
      <c r="Q14" s="17">
        <f>'Rolling report'!CJ14*'With Action'!$Y$6</f>
        <v>0.15000000000000002</v>
      </c>
      <c r="R14" s="17">
        <f>'Rolling report'!CK14*'With Action'!$Y$6</f>
        <v>0.55000000000000016</v>
      </c>
      <c r="S14" s="17">
        <f>'Rolling report'!CL14*'With Action'!$Y$6</f>
        <v>0.25000000000000006</v>
      </c>
      <c r="T14" s="17">
        <f>'Rolling report'!CM14*'With Action'!$Y$6</f>
        <v>0.15000000000000002</v>
      </c>
      <c r="U14" s="17">
        <f>'Rolling report'!CN14*'With Action'!$Y$6</f>
        <v>0.20000000000000004</v>
      </c>
      <c r="V14" s="17">
        <f>'Rolling report'!CO14*'With Action'!$Y$6</f>
        <v>0.50000000000000011</v>
      </c>
      <c r="W14" s="17">
        <f>'Rolling report'!CP14*'With Action'!$Y$6</f>
        <v>0</v>
      </c>
      <c r="X14" s="17">
        <f>'Rolling report'!CQ14*'With Action'!$Y$6</f>
        <v>0.30000000000000004</v>
      </c>
      <c r="Y14" s="17">
        <f>'Rolling report'!CR14*'With Action'!$Y$6</f>
        <v>0.20000000000000004</v>
      </c>
      <c r="Z14" s="17">
        <f>'Rolling report'!CS14*'With Action'!$Y$6</f>
        <v>0.45000000000000007</v>
      </c>
      <c r="AA14" s="17">
        <f>'Rolling report'!CT14*'With Action'!$Y$6</f>
        <v>0.40000000000000008</v>
      </c>
      <c r="AB14" s="17">
        <f>'Rolling report'!CU14*'With Action'!$Y$6</f>
        <v>0.10000000000000002</v>
      </c>
      <c r="AC14" s="17">
        <f>'Rolling report'!CV14*'With Action'!$Y$6</f>
        <v>0.40000000000000008</v>
      </c>
      <c r="AD14" s="17">
        <f>'Rolling report'!CW14*'With Action'!$Y$6</f>
        <v>0.15000000000000002</v>
      </c>
      <c r="AE14" s="17">
        <f>'Rolling report'!CX14*'With Action'!$Y$6</f>
        <v>0</v>
      </c>
      <c r="AF14" s="17">
        <f>'Rolling report'!CY14*'With Action'!$Y$6</f>
        <v>-12.700000000000003</v>
      </c>
      <c r="AG14" s="17">
        <f>'Rolling report'!CZ14*'With Action'!$Y$6</f>
        <v>0</v>
      </c>
      <c r="AH14" s="17">
        <f>'Rolling report'!DA14*'With Action'!$Y$6</f>
        <v>0</v>
      </c>
      <c r="AI14" s="17">
        <f>'Rolling report'!DB14*'With Action'!$Y$6</f>
        <v>0</v>
      </c>
      <c r="AJ14" s="17">
        <f>'Rolling report'!DC14*'With Action'!$Y$6</f>
        <v>0</v>
      </c>
      <c r="AK14" s="17">
        <f>'Rolling report'!DD14*'With Action'!$Y$6</f>
        <v>0</v>
      </c>
      <c r="AL14" s="17">
        <f>'Rolling report'!DE14*'With Action'!$Y$6</f>
        <v>0</v>
      </c>
      <c r="AM14" s="17">
        <f>'Rolling report'!DF14*'With Action'!$Y$6</f>
        <v>0</v>
      </c>
      <c r="AN14" s="17">
        <f>'Rolling report'!DG14*'With Action'!$Y$6</f>
        <v>0</v>
      </c>
      <c r="AO14" s="17">
        <f>'Rolling report'!DH14*'With Action'!$Y$6</f>
        <v>0</v>
      </c>
      <c r="AP14" s="17">
        <f>'Rolling report'!DI14*'With Action'!$Y$6</f>
        <v>0</v>
      </c>
    </row>
    <row r="15" spans="1:42" x14ac:dyDescent="0.25">
      <c r="A15" s="4" t="s">
        <v>19</v>
      </c>
      <c r="B15" s="6" t="s">
        <v>20</v>
      </c>
      <c r="I15" s="17">
        <f>'Rolling report'!CB15*'With Action'!$Y$6</f>
        <v>9.1500000000000021</v>
      </c>
      <c r="J15" s="17">
        <f>'Rolling report'!CC15*'With Action'!$Y$6</f>
        <v>1.9500000000000004</v>
      </c>
      <c r="K15" s="17">
        <f>'Rolling report'!CD15*'With Action'!$Y$6</f>
        <v>1.1500000000000001</v>
      </c>
      <c r="L15" s="17">
        <f>'Rolling report'!CE15*'With Action'!$Y$6</f>
        <v>2.2000000000000006</v>
      </c>
      <c r="M15" s="17">
        <f>'Rolling report'!CF15*'With Action'!$Y$6</f>
        <v>1.2000000000000002</v>
      </c>
      <c r="N15" s="17">
        <f>'Rolling report'!CG15*'With Action'!$Y$6</f>
        <v>1.4500000000000002</v>
      </c>
      <c r="O15" s="17">
        <f>'Rolling report'!CH15*'With Action'!$Y$6</f>
        <v>2.6500000000000004</v>
      </c>
      <c r="P15" s="17">
        <f>'Rolling report'!CI15*'With Action'!$Y$6</f>
        <v>0.75000000000000011</v>
      </c>
      <c r="Q15" s="17">
        <f>'Rolling report'!CJ15*'With Action'!$Y$6</f>
        <v>1.0000000000000002</v>
      </c>
      <c r="R15" s="17">
        <f>'Rolling report'!CK15*'With Action'!$Y$6</f>
        <v>1.0000000000000002</v>
      </c>
      <c r="S15" s="17">
        <f>'Rolling report'!CL15*'With Action'!$Y$6</f>
        <v>0.30000000000000004</v>
      </c>
      <c r="T15" s="17">
        <f>'Rolling report'!CM15*'With Action'!$Y$6</f>
        <v>1.3500000000000003</v>
      </c>
      <c r="U15" s="17">
        <f>'Rolling report'!CN15*'With Action'!$Y$6</f>
        <v>0.50000000000000011</v>
      </c>
      <c r="V15" s="17">
        <f>'Rolling report'!CO15*'With Action'!$Y$6</f>
        <v>0.75000000000000011</v>
      </c>
      <c r="W15" s="17">
        <f>'Rolling report'!CP15*'With Action'!$Y$6</f>
        <v>0.75000000000000011</v>
      </c>
      <c r="X15" s="17">
        <f>'Rolling report'!CQ15*'With Action'!$Y$6</f>
        <v>0.8500000000000002</v>
      </c>
      <c r="Y15" s="17">
        <f>'Rolling report'!CR15*'With Action'!$Y$6</f>
        <v>0.80000000000000016</v>
      </c>
      <c r="Z15" s="17">
        <f>'Rolling report'!CS15*'With Action'!$Y$6</f>
        <v>0.55000000000000016</v>
      </c>
      <c r="AA15" s="17">
        <f>'Rolling report'!CT15*'With Action'!$Y$6</f>
        <v>0.95000000000000018</v>
      </c>
      <c r="AB15" s="17">
        <f>'Rolling report'!CU15*'With Action'!$Y$6</f>
        <v>0.90000000000000013</v>
      </c>
      <c r="AC15" s="17">
        <f>'Rolling report'!CV15*'With Action'!$Y$6</f>
        <v>0.65000000000000013</v>
      </c>
      <c r="AD15" s="17">
        <f>'Rolling report'!CW15*'With Action'!$Y$6</f>
        <v>0.50000000000000011</v>
      </c>
      <c r="AE15" s="17">
        <f>'Rolling report'!CX15*'With Action'!$Y$6</f>
        <v>0.70000000000000018</v>
      </c>
      <c r="AF15" s="17">
        <f>'Rolling report'!CY15*'With Action'!$Y$6</f>
        <v>-32.050000000000004</v>
      </c>
      <c r="AG15" s="17">
        <f>'Rolling report'!CZ15*'With Action'!$Y$6</f>
        <v>0</v>
      </c>
      <c r="AH15" s="17">
        <f>'Rolling report'!DA15*'With Action'!$Y$6</f>
        <v>0</v>
      </c>
      <c r="AI15" s="17">
        <f>'Rolling report'!DB15*'With Action'!$Y$6</f>
        <v>0</v>
      </c>
      <c r="AJ15" s="17">
        <f>'Rolling report'!DC15*'With Action'!$Y$6</f>
        <v>0</v>
      </c>
      <c r="AK15" s="17">
        <f>'Rolling report'!DD15*'With Action'!$Y$6</f>
        <v>0</v>
      </c>
      <c r="AL15" s="17">
        <f>'Rolling report'!DE15*'With Action'!$Y$6</f>
        <v>0</v>
      </c>
      <c r="AM15" s="17">
        <f>'Rolling report'!DF15*'With Action'!$Y$6</f>
        <v>0</v>
      </c>
      <c r="AN15" s="17">
        <f>'Rolling report'!DG15*'With Action'!$Y$6</f>
        <v>0</v>
      </c>
      <c r="AO15" s="17">
        <f>'Rolling report'!DH15*'With Action'!$Y$6</f>
        <v>0</v>
      </c>
      <c r="AP15" s="17">
        <f>'Rolling report'!DI15*'With Action'!$Y$6</f>
        <v>0</v>
      </c>
    </row>
    <row r="16" spans="1:42" x14ac:dyDescent="0.25">
      <c r="A16" s="4" t="s">
        <v>21</v>
      </c>
      <c r="B16" s="6" t="s">
        <v>22</v>
      </c>
      <c r="I16" s="17">
        <f>'Rolling report'!CB16*'With Action'!$Y$6</f>
        <v>0.70000000000000018</v>
      </c>
      <c r="J16" s="17">
        <f>'Rolling report'!CC16*'With Action'!$Y$6</f>
        <v>0.55000000000000016</v>
      </c>
      <c r="K16" s="17">
        <f>'Rolling report'!CD16*'With Action'!$Y$6</f>
        <v>0</v>
      </c>
      <c r="L16" s="17">
        <f>'Rolling report'!CE16*'With Action'!$Y$6</f>
        <v>0.10000000000000002</v>
      </c>
      <c r="M16" s="17">
        <f>'Rolling report'!CF16*'With Action'!$Y$6</f>
        <v>0.15000000000000002</v>
      </c>
      <c r="N16" s="17">
        <f>'Rolling report'!CG16*'With Action'!$Y$6</f>
        <v>0</v>
      </c>
      <c r="O16" s="17">
        <f>'Rolling report'!CH16*'With Action'!$Y$6</f>
        <v>0.50000000000000011</v>
      </c>
      <c r="P16" s="17">
        <f>'Rolling report'!CI16*'With Action'!$Y$6</f>
        <v>0</v>
      </c>
      <c r="Q16" s="17">
        <f>'Rolling report'!CJ16*'With Action'!$Y$6</f>
        <v>0</v>
      </c>
      <c r="R16" s="17">
        <f>'Rolling report'!CK16*'With Action'!$Y$6</f>
        <v>0</v>
      </c>
      <c r="S16" s="17">
        <f>'Rolling report'!CL16*'With Action'!$Y$6</f>
        <v>0.25000000000000006</v>
      </c>
      <c r="T16" s="17">
        <f>'Rolling report'!CM16*'With Action'!$Y$6</f>
        <v>-0.40000000000000008</v>
      </c>
      <c r="U16" s="17">
        <f>'Rolling report'!CN16*'With Action'!$Y$6</f>
        <v>0.40000000000000008</v>
      </c>
      <c r="V16" s="17">
        <f>'Rolling report'!CO16*'With Action'!$Y$6</f>
        <v>0</v>
      </c>
      <c r="W16" s="17">
        <f>'Rolling report'!CP16*'With Action'!$Y$6</f>
        <v>0</v>
      </c>
      <c r="X16" s="17">
        <f>'Rolling report'!CQ16*'With Action'!$Y$6</f>
        <v>0</v>
      </c>
      <c r="Y16" s="17">
        <f>'Rolling report'!CR16*'With Action'!$Y$6</f>
        <v>0</v>
      </c>
      <c r="Z16" s="17">
        <f>'Rolling report'!CS16*'With Action'!$Y$6</f>
        <v>0</v>
      </c>
      <c r="AA16" s="17">
        <f>'Rolling report'!CT16*'With Action'!$Y$6</f>
        <v>0.25000000000000006</v>
      </c>
      <c r="AB16" s="17">
        <f>'Rolling report'!CU16*'With Action'!$Y$6</f>
        <v>0</v>
      </c>
      <c r="AC16" s="17">
        <f>'Rolling report'!CV16*'With Action'!$Y$6</f>
        <v>0.25000000000000006</v>
      </c>
      <c r="AD16" s="17">
        <f>'Rolling report'!CW16*'With Action'!$Y$6</f>
        <v>-0.25000000000000006</v>
      </c>
      <c r="AE16" s="17">
        <f>'Rolling report'!CX16*'With Action'!$Y$6</f>
        <v>0.10000000000000002</v>
      </c>
      <c r="AF16" s="17">
        <f>'Rolling report'!CY16*'With Action'!$Y$6</f>
        <v>-2.6000000000000005</v>
      </c>
      <c r="AG16" s="17">
        <f>'Rolling report'!CZ16*'With Action'!$Y$6</f>
        <v>0</v>
      </c>
      <c r="AH16" s="17">
        <f>'Rolling report'!DA16*'With Action'!$Y$6</f>
        <v>0</v>
      </c>
      <c r="AI16" s="17">
        <f>'Rolling report'!DB16*'With Action'!$Y$6</f>
        <v>0</v>
      </c>
      <c r="AJ16" s="17">
        <f>'Rolling report'!DC16*'With Action'!$Y$6</f>
        <v>0</v>
      </c>
      <c r="AK16" s="17">
        <f>'Rolling report'!DD16*'With Action'!$Y$6</f>
        <v>0</v>
      </c>
      <c r="AL16" s="17">
        <f>'Rolling report'!DE16*'With Action'!$Y$6</f>
        <v>0</v>
      </c>
      <c r="AM16" s="17">
        <f>'Rolling report'!DF16*'With Action'!$Y$6</f>
        <v>0</v>
      </c>
      <c r="AN16" s="17">
        <f>'Rolling report'!DG16*'With Action'!$Y$6</f>
        <v>0</v>
      </c>
      <c r="AO16" s="17">
        <f>'Rolling report'!DH16*'With Action'!$Y$6</f>
        <v>0</v>
      </c>
      <c r="AP16" s="17">
        <f>'Rolling report'!DI16*'With Action'!$Y$6</f>
        <v>0</v>
      </c>
    </row>
    <row r="17" spans="1:42" x14ac:dyDescent="0.25">
      <c r="A17" s="4" t="s">
        <v>23</v>
      </c>
      <c r="B17" s="6" t="s">
        <v>24</v>
      </c>
      <c r="I17" s="17">
        <f>'Rolling report'!CB17*'With Action'!$Y$6</f>
        <v>1.9500000000000004</v>
      </c>
      <c r="J17" s="17">
        <f>'Rolling report'!CC17*'With Action'!$Y$6</f>
        <v>0.10000000000000002</v>
      </c>
      <c r="K17" s="17">
        <f>'Rolling report'!CD17*'With Action'!$Y$6</f>
        <v>0.25000000000000006</v>
      </c>
      <c r="L17" s="17">
        <f>'Rolling report'!CE17*'With Action'!$Y$6</f>
        <v>0.20000000000000004</v>
      </c>
      <c r="M17" s="17">
        <f>'Rolling report'!CF17*'With Action'!$Y$6</f>
        <v>0.10000000000000002</v>
      </c>
      <c r="N17" s="17">
        <f>'Rolling report'!CG17*'With Action'!$Y$6</f>
        <v>5.000000000000001E-2</v>
      </c>
      <c r="O17" s="17">
        <f>'Rolling report'!CH17*'With Action'!$Y$6</f>
        <v>0.30000000000000004</v>
      </c>
      <c r="P17" s="17">
        <f>'Rolling report'!CI17*'With Action'!$Y$6</f>
        <v>0.10000000000000002</v>
      </c>
      <c r="Q17" s="17">
        <f>'Rolling report'!CJ17*'With Action'!$Y$6</f>
        <v>0</v>
      </c>
      <c r="R17" s="17">
        <f>'Rolling report'!CK17*'With Action'!$Y$6</f>
        <v>0</v>
      </c>
      <c r="S17" s="17">
        <f>'Rolling report'!CL17*'With Action'!$Y$6</f>
        <v>5.000000000000001E-2</v>
      </c>
      <c r="T17" s="17">
        <f>'Rolling report'!CM17*'With Action'!$Y$6</f>
        <v>0.25000000000000006</v>
      </c>
      <c r="U17" s="17">
        <f>'Rolling report'!CN17*'With Action'!$Y$6</f>
        <v>0.25000000000000006</v>
      </c>
      <c r="V17" s="17">
        <f>'Rolling report'!CO17*'With Action'!$Y$6</f>
        <v>0</v>
      </c>
      <c r="W17" s="17">
        <f>'Rolling report'!CP17*'With Action'!$Y$6</f>
        <v>5.000000000000001E-2</v>
      </c>
      <c r="X17" s="17">
        <f>'Rolling report'!CQ17*'With Action'!$Y$6</f>
        <v>0</v>
      </c>
      <c r="Y17" s="17">
        <f>'Rolling report'!CR17*'With Action'!$Y$6</f>
        <v>5.000000000000001E-2</v>
      </c>
      <c r="Z17" s="17">
        <f>'Rolling report'!CS17*'With Action'!$Y$6</f>
        <v>0</v>
      </c>
      <c r="AA17" s="17">
        <f>'Rolling report'!CT17*'With Action'!$Y$6</f>
        <v>0</v>
      </c>
      <c r="AB17" s="17">
        <f>'Rolling report'!CU17*'With Action'!$Y$6</f>
        <v>0.10000000000000002</v>
      </c>
      <c r="AC17" s="17">
        <f>'Rolling report'!CV17*'With Action'!$Y$6</f>
        <v>0.25000000000000006</v>
      </c>
      <c r="AD17" s="17">
        <f>'Rolling report'!CW17*'With Action'!$Y$6</f>
        <v>-0.25000000000000006</v>
      </c>
      <c r="AE17" s="17">
        <f>'Rolling report'!CX17*'With Action'!$Y$6</f>
        <v>0.10000000000000002</v>
      </c>
      <c r="AF17" s="17">
        <f>'Rolling report'!CY17*'With Action'!$Y$6</f>
        <v>-3.9000000000000008</v>
      </c>
      <c r="AG17" s="17">
        <f>'Rolling report'!CZ17*'With Action'!$Y$6</f>
        <v>0</v>
      </c>
      <c r="AH17" s="17">
        <f>'Rolling report'!DA17*'With Action'!$Y$6</f>
        <v>0</v>
      </c>
      <c r="AI17" s="17">
        <f>'Rolling report'!DB17*'With Action'!$Y$6</f>
        <v>0</v>
      </c>
      <c r="AJ17" s="17">
        <f>'Rolling report'!DC17*'With Action'!$Y$6</f>
        <v>0</v>
      </c>
      <c r="AK17" s="17">
        <f>'Rolling report'!DD17*'With Action'!$Y$6</f>
        <v>0</v>
      </c>
      <c r="AL17" s="17">
        <f>'Rolling report'!DE17*'With Action'!$Y$6</f>
        <v>0</v>
      </c>
      <c r="AM17" s="17">
        <f>'Rolling report'!DF17*'With Action'!$Y$6</f>
        <v>0</v>
      </c>
      <c r="AN17" s="17">
        <f>'Rolling report'!DG17*'With Action'!$Y$6</f>
        <v>0</v>
      </c>
      <c r="AO17" s="17">
        <f>'Rolling report'!DH17*'With Action'!$Y$6</f>
        <v>0</v>
      </c>
      <c r="AP17" s="17">
        <f>'Rolling report'!DI17*'With Action'!$Y$6</f>
        <v>0</v>
      </c>
    </row>
    <row r="18" spans="1:42" x14ac:dyDescent="0.25">
      <c r="A18" s="4" t="s">
        <v>25</v>
      </c>
      <c r="B18" s="6" t="s">
        <v>26</v>
      </c>
      <c r="I18" s="17">
        <f>'Rolling report'!CB18*'With Action'!$Y$6</f>
        <v>1.9000000000000004</v>
      </c>
      <c r="J18" s="17">
        <f>'Rolling report'!CC18*'With Action'!$Y$6</f>
        <v>0.25000000000000006</v>
      </c>
      <c r="K18" s="17">
        <f>'Rolling report'!CD18*'With Action'!$Y$6</f>
        <v>0.20000000000000004</v>
      </c>
      <c r="L18" s="17">
        <f>'Rolling report'!CE18*'With Action'!$Y$6</f>
        <v>0.40000000000000008</v>
      </c>
      <c r="M18" s="17">
        <f>'Rolling report'!CF18*'With Action'!$Y$6</f>
        <v>0.10000000000000002</v>
      </c>
      <c r="N18" s="17">
        <f>'Rolling report'!CG18*'With Action'!$Y$6</f>
        <v>0.15000000000000002</v>
      </c>
      <c r="O18" s="17">
        <f>'Rolling report'!CH18*'With Action'!$Y$6</f>
        <v>0.30000000000000004</v>
      </c>
      <c r="P18" s="17">
        <f>'Rolling report'!CI18*'With Action'!$Y$6</f>
        <v>0.35000000000000009</v>
      </c>
      <c r="Q18" s="17">
        <f>'Rolling report'!CJ18*'With Action'!$Y$6</f>
        <v>0.8500000000000002</v>
      </c>
      <c r="R18" s="17">
        <f>'Rolling report'!CK18*'With Action'!$Y$6</f>
        <v>0.40000000000000008</v>
      </c>
      <c r="S18" s="17">
        <f>'Rolling report'!CL18*'With Action'!$Y$6</f>
        <v>5.000000000000001E-2</v>
      </c>
      <c r="T18" s="17">
        <f>'Rolling report'!CM18*'With Action'!$Y$6</f>
        <v>0.65000000000000013</v>
      </c>
      <c r="U18" s="17">
        <f>'Rolling report'!CN18*'With Action'!$Y$6</f>
        <v>0.15000000000000002</v>
      </c>
      <c r="V18" s="17">
        <f>'Rolling report'!CO18*'With Action'!$Y$6</f>
        <v>0</v>
      </c>
      <c r="W18" s="17">
        <f>'Rolling report'!CP18*'With Action'!$Y$6</f>
        <v>0.20000000000000004</v>
      </c>
      <c r="X18" s="17">
        <f>'Rolling report'!CQ18*'With Action'!$Y$6</f>
        <v>0</v>
      </c>
      <c r="Y18" s="17">
        <f>'Rolling report'!CR18*'With Action'!$Y$6</f>
        <v>5.000000000000001E-2</v>
      </c>
      <c r="Z18" s="17">
        <f>'Rolling report'!CS18*'With Action'!$Y$6</f>
        <v>0.25000000000000006</v>
      </c>
      <c r="AA18" s="17">
        <f>'Rolling report'!CT18*'With Action'!$Y$6</f>
        <v>0</v>
      </c>
      <c r="AB18" s="17">
        <f>'Rolling report'!CU18*'With Action'!$Y$6</f>
        <v>0</v>
      </c>
      <c r="AC18" s="17">
        <f>'Rolling report'!CV18*'With Action'!$Y$6</f>
        <v>0.15000000000000002</v>
      </c>
      <c r="AD18" s="17">
        <f>'Rolling report'!CW18*'With Action'!$Y$6</f>
        <v>0</v>
      </c>
      <c r="AE18" s="17">
        <f>'Rolling report'!CX18*'With Action'!$Y$6</f>
        <v>0.10000000000000002</v>
      </c>
      <c r="AF18" s="17">
        <f>'Rolling report'!CY18*'With Action'!$Y$6</f>
        <v>-6.5000000000000009</v>
      </c>
      <c r="AG18" s="17">
        <f>'Rolling report'!CZ18*'With Action'!$Y$6</f>
        <v>0</v>
      </c>
      <c r="AH18" s="17">
        <f>'Rolling report'!DA18*'With Action'!$Y$6</f>
        <v>0</v>
      </c>
      <c r="AI18" s="17">
        <f>'Rolling report'!DB18*'With Action'!$Y$6</f>
        <v>0</v>
      </c>
      <c r="AJ18" s="17">
        <f>'Rolling report'!DC18*'With Action'!$Y$6</f>
        <v>0</v>
      </c>
      <c r="AK18" s="17">
        <f>'Rolling report'!DD18*'With Action'!$Y$6</f>
        <v>0</v>
      </c>
      <c r="AL18" s="17">
        <f>'Rolling report'!DE18*'With Action'!$Y$6</f>
        <v>0</v>
      </c>
      <c r="AM18" s="17">
        <f>'Rolling report'!DF18*'With Action'!$Y$6</f>
        <v>0</v>
      </c>
      <c r="AN18" s="17">
        <f>'Rolling report'!DG18*'With Action'!$Y$6</f>
        <v>0</v>
      </c>
      <c r="AO18" s="17">
        <f>'Rolling report'!DH18*'With Action'!$Y$6</f>
        <v>0</v>
      </c>
      <c r="AP18" s="17">
        <f>'Rolling report'!DI18*'With Action'!$Y$6</f>
        <v>0</v>
      </c>
    </row>
    <row r="19" spans="1:42" x14ac:dyDescent="0.25">
      <c r="A19" s="4" t="s">
        <v>27</v>
      </c>
      <c r="B19" s="6" t="s">
        <v>28</v>
      </c>
      <c r="I19" s="17">
        <f>'Rolling report'!CB19*'With Action'!$Y$6</f>
        <v>10.050000000000002</v>
      </c>
      <c r="J19" s="17">
        <f>'Rolling report'!CC19*'With Action'!$Y$6</f>
        <v>1.1500000000000001</v>
      </c>
      <c r="K19" s="17">
        <f>'Rolling report'!CD19*'With Action'!$Y$6</f>
        <v>1.1500000000000001</v>
      </c>
      <c r="L19" s="17">
        <f>'Rolling report'!CE19*'With Action'!$Y$6</f>
        <v>1.1500000000000001</v>
      </c>
      <c r="M19" s="17">
        <f>'Rolling report'!CF19*'With Action'!$Y$6</f>
        <v>0.70000000000000018</v>
      </c>
      <c r="N19" s="17">
        <f>'Rolling report'!CG19*'With Action'!$Y$6</f>
        <v>1.1000000000000003</v>
      </c>
      <c r="O19" s="17">
        <f>'Rolling report'!CH19*'With Action'!$Y$6</f>
        <v>1.3500000000000003</v>
      </c>
      <c r="P19" s="17">
        <f>'Rolling report'!CI19*'With Action'!$Y$6</f>
        <v>1.0000000000000002</v>
      </c>
      <c r="Q19" s="17">
        <f>'Rolling report'!CJ19*'With Action'!$Y$6</f>
        <v>0.8500000000000002</v>
      </c>
      <c r="R19" s="17">
        <f>'Rolling report'!CK19*'With Action'!$Y$6</f>
        <v>0.8500000000000002</v>
      </c>
      <c r="S19" s="17">
        <f>'Rolling report'!CL19*'With Action'!$Y$6</f>
        <v>0.35000000000000009</v>
      </c>
      <c r="T19" s="17">
        <f>'Rolling report'!CM19*'With Action'!$Y$6</f>
        <v>1.0000000000000002</v>
      </c>
      <c r="U19" s="17">
        <f>'Rolling report'!CN19*'With Action'!$Y$6</f>
        <v>0.25000000000000006</v>
      </c>
      <c r="V19" s="17">
        <f>'Rolling report'!CO19*'With Action'!$Y$6</f>
        <v>0.40000000000000008</v>
      </c>
      <c r="W19" s="17">
        <f>'Rolling report'!CP19*'With Action'!$Y$6</f>
        <v>0.45000000000000007</v>
      </c>
      <c r="X19" s="17">
        <f>'Rolling report'!CQ19*'With Action'!$Y$6</f>
        <v>0.25000000000000006</v>
      </c>
      <c r="Y19" s="17">
        <f>'Rolling report'!CR19*'With Action'!$Y$6</f>
        <v>0.40000000000000008</v>
      </c>
      <c r="Z19" s="17">
        <f>'Rolling report'!CS19*'With Action'!$Y$6</f>
        <v>0.15000000000000002</v>
      </c>
      <c r="AA19" s="17">
        <f>'Rolling report'!CT19*'With Action'!$Y$6</f>
        <v>0.50000000000000011</v>
      </c>
      <c r="AB19" s="17">
        <f>'Rolling report'!CU19*'With Action'!$Y$6</f>
        <v>0.30000000000000004</v>
      </c>
      <c r="AC19" s="17">
        <f>'Rolling report'!CV19*'With Action'!$Y$6</f>
        <v>0.8500000000000002</v>
      </c>
      <c r="AD19" s="17">
        <f>'Rolling report'!CW19*'With Action'!$Y$6</f>
        <v>0.10000000000000002</v>
      </c>
      <c r="AE19" s="17">
        <f>'Rolling report'!CX19*'With Action'!$Y$6</f>
        <v>0.35000000000000009</v>
      </c>
      <c r="AF19" s="17">
        <f>'Rolling report'!CY19*'With Action'!$Y$6</f>
        <v>-24.700000000000006</v>
      </c>
      <c r="AG19" s="17">
        <f>'Rolling report'!CZ19*'With Action'!$Y$6</f>
        <v>0</v>
      </c>
      <c r="AH19" s="17">
        <f>'Rolling report'!DA19*'With Action'!$Y$6</f>
        <v>0</v>
      </c>
      <c r="AI19" s="17">
        <f>'Rolling report'!DB19*'With Action'!$Y$6</f>
        <v>0</v>
      </c>
      <c r="AJ19" s="17">
        <f>'Rolling report'!DC19*'With Action'!$Y$6</f>
        <v>0</v>
      </c>
      <c r="AK19" s="17">
        <f>'Rolling report'!DD19*'With Action'!$Y$6</f>
        <v>0</v>
      </c>
      <c r="AL19" s="17">
        <f>'Rolling report'!DE19*'With Action'!$Y$6</f>
        <v>0</v>
      </c>
      <c r="AM19" s="17">
        <f>'Rolling report'!DF19*'With Action'!$Y$6</f>
        <v>0</v>
      </c>
      <c r="AN19" s="17">
        <f>'Rolling report'!DG19*'With Action'!$Y$6</f>
        <v>0</v>
      </c>
      <c r="AO19" s="17">
        <f>'Rolling report'!DH19*'With Action'!$Y$6</f>
        <v>0</v>
      </c>
      <c r="AP19" s="17">
        <f>'Rolling report'!DI19*'With Action'!$Y$6</f>
        <v>0</v>
      </c>
    </row>
    <row r="20" spans="1:42" x14ac:dyDescent="0.25">
      <c r="A20" s="4" t="s">
        <v>29</v>
      </c>
      <c r="B20" s="6" t="s">
        <v>30</v>
      </c>
      <c r="I20" s="17">
        <f>'Rolling report'!CB20*'With Action'!$Y$6</f>
        <v>1.9000000000000004</v>
      </c>
      <c r="J20" s="17">
        <f>'Rolling report'!CC20*'With Action'!$Y$6</f>
        <v>1.0000000000000002</v>
      </c>
      <c r="K20" s="17">
        <f>'Rolling report'!CD20*'With Action'!$Y$6</f>
        <v>0.20000000000000004</v>
      </c>
      <c r="L20" s="17">
        <f>'Rolling report'!CE20*'With Action'!$Y$6</f>
        <v>0.40000000000000008</v>
      </c>
      <c r="M20" s="17">
        <f>'Rolling report'!CF20*'With Action'!$Y$6</f>
        <v>0.15000000000000002</v>
      </c>
      <c r="N20" s="17">
        <f>'Rolling report'!CG20*'With Action'!$Y$6</f>
        <v>0.30000000000000004</v>
      </c>
      <c r="O20" s="17">
        <f>'Rolling report'!CH20*'With Action'!$Y$6</f>
        <v>0.20000000000000004</v>
      </c>
      <c r="P20" s="17">
        <f>'Rolling report'!CI20*'With Action'!$Y$6</f>
        <v>0.35000000000000009</v>
      </c>
      <c r="Q20" s="17">
        <f>'Rolling report'!CJ20*'With Action'!$Y$6</f>
        <v>0.35000000000000009</v>
      </c>
      <c r="R20" s="17">
        <f>'Rolling report'!CK20*'With Action'!$Y$6</f>
        <v>0.20000000000000004</v>
      </c>
      <c r="S20" s="17">
        <f>'Rolling report'!CL20*'With Action'!$Y$6</f>
        <v>0.45000000000000007</v>
      </c>
      <c r="T20" s="17">
        <f>'Rolling report'!CM20*'With Action'!$Y$6</f>
        <v>0.40000000000000008</v>
      </c>
      <c r="U20" s="17">
        <f>'Rolling report'!CN20*'With Action'!$Y$6</f>
        <v>0.35000000000000009</v>
      </c>
      <c r="V20" s="17">
        <f>'Rolling report'!CO20*'With Action'!$Y$6</f>
        <v>0.20000000000000004</v>
      </c>
      <c r="W20" s="17">
        <f>'Rolling report'!CP20*'With Action'!$Y$6</f>
        <v>0.10000000000000002</v>
      </c>
      <c r="X20" s="17">
        <f>'Rolling report'!CQ20*'With Action'!$Y$6</f>
        <v>0.25000000000000006</v>
      </c>
      <c r="Y20" s="17">
        <f>'Rolling report'!CR20*'With Action'!$Y$6</f>
        <v>0.20000000000000004</v>
      </c>
      <c r="Z20" s="17">
        <f>'Rolling report'!CS20*'With Action'!$Y$6</f>
        <v>0</v>
      </c>
      <c r="AA20" s="17">
        <f>'Rolling report'!CT20*'With Action'!$Y$6</f>
        <v>0.10000000000000002</v>
      </c>
      <c r="AB20" s="17">
        <f>'Rolling report'!CU20*'With Action'!$Y$6</f>
        <v>0</v>
      </c>
      <c r="AC20" s="17">
        <f>'Rolling report'!CV20*'With Action'!$Y$6</f>
        <v>0.55000000000000016</v>
      </c>
      <c r="AD20" s="17">
        <f>'Rolling report'!CW20*'With Action'!$Y$6</f>
        <v>-0.10000000000000002</v>
      </c>
      <c r="AE20" s="17">
        <f>'Rolling report'!CX20*'With Action'!$Y$6</f>
        <v>0.15000000000000002</v>
      </c>
      <c r="AF20" s="17">
        <f>'Rolling report'!CY20*'With Action'!$Y$6</f>
        <v>-7.7000000000000011</v>
      </c>
      <c r="AG20" s="17">
        <f>'Rolling report'!CZ20*'With Action'!$Y$6</f>
        <v>0</v>
      </c>
      <c r="AH20" s="17">
        <f>'Rolling report'!DA20*'With Action'!$Y$6</f>
        <v>0</v>
      </c>
      <c r="AI20" s="17">
        <f>'Rolling report'!DB20*'With Action'!$Y$6</f>
        <v>0</v>
      </c>
      <c r="AJ20" s="17">
        <f>'Rolling report'!DC20*'With Action'!$Y$6</f>
        <v>0</v>
      </c>
      <c r="AK20" s="17">
        <f>'Rolling report'!DD20*'With Action'!$Y$6</f>
        <v>0</v>
      </c>
      <c r="AL20" s="17">
        <f>'Rolling report'!DE20*'With Action'!$Y$6</f>
        <v>0</v>
      </c>
      <c r="AM20" s="17">
        <f>'Rolling report'!DF20*'With Action'!$Y$6</f>
        <v>0</v>
      </c>
      <c r="AN20" s="17">
        <f>'Rolling report'!DG20*'With Action'!$Y$6</f>
        <v>0</v>
      </c>
      <c r="AO20" s="17">
        <f>'Rolling report'!DH20*'With Action'!$Y$6</f>
        <v>0</v>
      </c>
      <c r="AP20" s="17">
        <f>'Rolling report'!DI20*'With Action'!$Y$6</f>
        <v>0</v>
      </c>
    </row>
    <row r="21" spans="1:42" x14ac:dyDescent="0.25">
      <c r="A21" s="4" t="s">
        <v>31</v>
      </c>
      <c r="B21" s="6" t="s">
        <v>32</v>
      </c>
      <c r="I21" s="17">
        <f>'Rolling report'!CB21*'With Action'!$Y$6</f>
        <v>4.8500000000000005</v>
      </c>
      <c r="J21" s="17">
        <f>'Rolling report'!CC21*'With Action'!$Y$6</f>
        <v>1.0500000000000003</v>
      </c>
      <c r="K21" s="17">
        <f>'Rolling report'!CD21*'With Action'!$Y$6</f>
        <v>0.55000000000000016</v>
      </c>
      <c r="L21" s="17">
        <f>'Rolling report'!CE21*'With Action'!$Y$6</f>
        <v>0.65000000000000013</v>
      </c>
      <c r="M21" s="17">
        <f>'Rolling report'!CF21*'With Action'!$Y$6</f>
        <v>1.3000000000000003</v>
      </c>
      <c r="N21" s="17">
        <f>'Rolling report'!CG21*'With Action'!$Y$6</f>
        <v>0.90000000000000013</v>
      </c>
      <c r="O21" s="17">
        <f>'Rolling report'!CH21*'With Action'!$Y$6</f>
        <v>1.0000000000000002</v>
      </c>
      <c r="P21" s="17">
        <f>'Rolling report'!CI21*'With Action'!$Y$6</f>
        <v>1.2500000000000002</v>
      </c>
      <c r="Q21" s="17">
        <f>'Rolling report'!CJ21*'With Action'!$Y$6</f>
        <v>0.60000000000000009</v>
      </c>
      <c r="R21" s="17">
        <f>'Rolling report'!CK21*'With Action'!$Y$6</f>
        <v>0.30000000000000004</v>
      </c>
      <c r="S21" s="17">
        <f>'Rolling report'!CL21*'With Action'!$Y$6</f>
        <v>5.000000000000001E-2</v>
      </c>
      <c r="T21" s="17">
        <f>'Rolling report'!CM21*'With Action'!$Y$6</f>
        <v>0.40000000000000008</v>
      </c>
      <c r="U21" s="17">
        <f>'Rolling report'!CN21*'With Action'!$Y$6</f>
        <v>0.65000000000000013</v>
      </c>
      <c r="V21" s="17">
        <f>'Rolling report'!CO21*'With Action'!$Y$6</f>
        <v>0.25000000000000006</v>
      </c>
      <c r="W21" s="17">
        <f>'Rolling report'!CP21*'With Action'!$Y$6</f>
        <v>0.25000000000000006</v>
      </c>
      <c r="X21" s="17">
        <f>'Rolling report'!CQ21*'With Action'!$Y$6</f>
        <v>0.50000000000000011</v>
      </c>
      <c r="Y21" s="17">
        <f>'Rolling report'!CR21*'With Action'!$Y$6</f>
        <v>0.10000000000000002</v>
      </c>
      <c r="Z21" s="17">
        <f>'Rolling report'!CS21*'With Action'!$Y$6</f>
        <v>0.35000000000000009</v>
      </c>
      <c r="AA21" s="17">
        <f>'Rolling report'!CT21*'With Action'!$Y$6</f>
        <v>0.45000000000000007</v>
      </c>
      <c r="AB21" s="17">
        <f>'Rolling report'!CU21*'With Action'!$Y$6</f>
        <v>0.50000000000000011</v>
      </c>
      <c r="AC21" s="17">
        <f>'Rolling report'!CV21*'With Action'!$Y$6</f>
        <v>0.90000000000000013</v>
      </c>
      <c r="AD21" s="17">
        <f>'Rolling report'!CW21*'With Action'!$Y$6</f>
        <v>0.10000000000000002</v>
      </c>
      <c r="AE21" s="17">
        <f>'Rolling report'!CX21*'With Action'!$Y$6</f>
        <v>0.25000000000000006</v>
      </c>
      <c r="AF21" s="17">
        <f>'Rolling report'!CY21*'With Action'!$Y$6</f>
        <v>-17.200000000000003</v>
      </c>
      <c r="AG21" s="17">
        <f>'Rolling report'!CZ21*'With Action'!$Y$6</f>
        <v>0</v>
      </c>
      <c r="AH21" s="17">
        <f>'Rolling report'!DA21*'With Action'!$Y$6</f>
        <v>0</v>
      </c>
      <c r="AI21" s="17">
        <f>'Rolling report'!DB21*'With Action'!$Y$6</f>
        <v>0</v>
      </c>
      <c r="AJ21" s="17">
        <f>'Rolling report'!DC21*'With Action'!$Y$6</f>
        <v>0</v>
      </c>
      <c r="AK21" s="17">
        <f>'Rolling report'!DD21*'With Action'!$Y$6</f>
        <v>0</v>
      </c>
      <c r="AL21" s="17">
        <f>'Rolling report'!DE21*'With Action'!$Y$6</f>
        <v>0</v>
      </c>
      <c r="AM21" s="17">
        <f>'Rolling report'!DF21*'With Action'!$Y$6</f>
        <v>0</v>
      </c>
      <c r="AN21" s="17">
        <f>'Rolling report'!DG21*'With Action'!$Y$6</f>
        <v>0</v>
      </c>
      <c r="AO21" s="17">
        <f>'Rolling report'!DH21*'With Action'!$Y$6</f>
        <v>0</v>
      </c>
      <c r="AP21" s="17">
        <f>'Rolling report'!DI21*'With Action'!$Y$6</f>
        <v>0</v>
      </c>
    </row>
    <row r="22" spans="1:42" x14ac:dyDescent="0.25">
      <c r="A22" s="4" t="s">
        <v>33</v>
      </c>
      <c r="B22" s="6" t="s">
        <v>34</v>
      </c>
      <c r="I22" s="17">
        <f>'Rolling report'!CB22*'With Action'!$Y$6</f>
        <v>5.1000000000000014</v>
      </c>
      <c r="J22" s="17">
        <f>'Rolling report'!CC22*'With Action'!$Y$6</f>
        <v>0.40000000000000008</v>
      </c>
      <c r="K22" s="17">
        <f>'Rolling report'!CD22*'With Action'!$Y$6</f>
        <v>0.45000000000000007</v>
      </c>
      <c r="L22" s="17">
        <f>'Rolling report'!CE22*'With Action'!$Y$6</f>
        <v>0.70000000000000018</v>
      </c>
      <c r="M22" s="17">
        <f>'Rolling report'!CF22*'With Action'!$Y$6</f>
        <v>0.65000000000000013</v>
      </c>
      <c r="N22" s="17">
        <f>'Rolling report'!CG22*'With Action'!$Y$6</f>
        <v>0.60000000000000009</v>
      </c>
      <c r="O22" s="17">
        <f>'Rolling report'!CH22*'With Action'!$Y$6</f>
        <v>0.70000000000000018</v>
      </c>
      <c r="P22" s="17">
        <f>'Rolling report'!CI22*'With Action'!$Y$6</f>
        <v>0.25000000000000006</v>
      </c>
      <c r="Q22" s="17">
        <f>'Rolling report'!CJ22*'With Action'!$Y$6</f>
        <v>0.55000000000000016</v>
      </c>
      <c r="R22" s="17">
        <f>'Rolling report'!CK22*'With Action'!$Y$6</f>
        <v>0.25000000000000006</v>
      </c>
      <c r="S22" s="17">
        <f>'Rolling report'!CL22*'With Action'!$Y$6</f>
        <v>0.30000000000000004</v>
      </c>
      <c r="T22" s="17">
        <f>'Rolling report'!CM22*'With Action'!$Y$6</f>
        <v>0.55000000000000016</v>
      </c>
      <c r="U22" s="17">
        <f>'Rolling report'!CN22*'With Action'!$Y$6</f>
        <v>0.30000000000000004</v>
      </c>
      <c r="V22" s="17">
        <f>'Rolling report'!CO22*'With Action'!$Y$6</f>
        <v>0.15000000000000002</v>
      </c>
      <c r="W22" s="17">
        <f>'Rolling report'!CP22*'With Action'!$Y$6</f>
        <v>0.60000000000000009</v>
      </c>
      <c r="X22" s="17">
        <f>'Rolling report'!CQ22*'With Action'!$Y$6</f>
        <v>0.45000000000000007</v>
      </c>
      <c r="Y22" s="17">
        <f>'Rolling report'!CR22*'With Action'!$Y$6</f>
        <v>0.40000000000000008</v>
      </c>
      <c r="Z22" s="17">
        <f>'Rolling report'!CS22*'With Action'!$Y$6</f>
        <v>5.000000000000001E-2</v>
      </c>
      <c r="AA22" s="17">
        <f>'Rolling report'!CT22*'With Action'!$Y$6</f>
        <v>0.95000000000000018</v>
      </c>
      <c r="AB22" s="17">
        <f>'Rolling report'!CU22*'With Action'!$Y$6</f>
        <v>0.70000000000000018</v>
      </c>
      <c r="AC22" s="17">
        <f>'Rolling report'!CV22*'With Action'!$Y$6</f>
        <v>1.2500000000000002</v>
      </c>
      <c r="AD22" s="17">
        <f>'Rolling report'!CW22*'With Action'!$Y$6</f>
        <v>-5.000000000000001E-2</v>
      </c>
      <c r="AE22" s="17">
        <f>'Rolling report'!CX22*'With Action'!$Y$6</f>
        <v>0.30000000000000004</v>
      </c>
      <c r="AF22" s="17">
        <f>'Rolling report'!CY22*'With Action'!$Y$6</f>
        <v>-15.600000000000003</v>
      </c>
      <c r="AG22" s="17">
        <f>'Rolling report'!CZ22*'With Action'!$Y$6</f>
        <v>0</v>
      </c>
      <c r="AH22" s="17">
        <f>'Rolling report'!DA22*'With Action'!$Y$6</f>
        <v>0</v>
      </c>
      <c r="AI22" s="17">
        <f>'Rolling report'!DB22*'With Action'!$Y$6</f>
        <v>0</v>
      </c>
      <c r="AJ22" s="17">
        <f>'Rolling report'!DC22*'With Action'!$Y$6</f>
        <v>0</v>
      </c>
      <c r="AK22" s="17">
        <f>'Rolling report'!DD22*'With Action'!$Y$6</f>
        <v>0</v>
      </c>
      <c r="AL22" s="17">
        <f>'Rolling report'!DE22*'With Action'!$Y$6</f>
        <v>0</v>
      </c>
      <c r="AM22" s="17">
        <f>'Rolling report'!DF22*'With Action'!$Y$6</f>
        <v>0</v>
      </c>
      <c r="AN22" s="17">
        <f>'Rolling report'!DG22*'With Action'!$Y$6</f>
        <v>0</v>
      </c>
      <c r="AO22" s="17">
        <f>'Rolling report'!DH22*'With Action'!$Y$6</f>
        <v>0</v>
      </c>
      <c r="AP22" s="17">
        <f>'Rolling report'!DI22*'With Action'!$Y$6</f>
        <v>0</v>
      </c>
    </row>
    <row r="23" spans="1:42" x14ac:dyDescent="0.25">
      <c r="A23" s="4" t="s">
        <v>35</v>
      </c>
      <c r="B23" s="6" t="s">
        <v>36</v>
      </c>
      <c r="I23" s="17">
        <f>'Rolling report'!CB23*'With Action'!$Y$6</f>
        <v>9.8000000000000025</v>
      </c>
      <c r="J23" s="17">
        <f>'Rolling report'!CC23*'With Action'!$Y$6</f>
        <v>1.5500000000000003</v>
      </c>
      <c r="K23" s="17">
        <f>'Rolling report'!CD23*'With Action'!$Y$6</f>
        <v>1.0500000000000003</v>
      </c>
      <c r="L23" s="17">
        <f>'Rolling report'!CE23*'With Action'!$Y$6</f>
        <v>1.2500000000000002</v>
      </c>
      <c r="M23" s="17">
        <f>'Rolling report'!CF23*'With Action'!$Y$6</f>
        <v>0.90000000000000013</v>
      </c>
      <c r="N23" s="17">
        <f>'Rolling report'!CG23*'With Action'!$Y$6</f>
        <v>0.80000000000000016</v>
      </c>
      <c r="O23" s="17">
        <f>'Rolling report'!CH23*'With Action'!$Y$6</f>
        <v>1.8000000000000003</v>
      </c>
      <c r="P23" s="17">
        <f>'Rolling report'!CI23*'With Action'!$Y$6</f>
        <v>0.35000000000000009</v>
      </c>
      <c r="Q23" s="17">
        <f>'Rolling report'!CJ23*'With Action'!$Y$6</f>
        <v>0.50000000000000011</v>
      </c>
      <c r="R23" s="17">
        <f>'Rolling report'!CK23*'With Action'!$Y$6</f>
        <v>0.50000000000000011</v>
      </c>
      <c r="S23" s="17">
        <f>'Rolling report'!CL23*'With Action'!$Y$6</f>
        <v>0.20000000000000004</v>
      </c>
      <c r="T23" s="17">
        <f>'Rolling report'!CM23*'With Action'!$Y$6</f>
        <v>0.60000000000000009</v>
      </c>
      <c r="U23" s="17">
        <f>'Rolling report'!CN23*'With Action'!$Y$6</f>
        <v>0.50000000000000011</v>
      </c>
      <c r="V23" s="17">
        <f>'Rolling report'!CO23*'With Action'!$Y$6</f>
        <v>0.25000000000000006</v>
      </c>
      <c r="W23" s="17">
        <f>'Rolling report'!CP23*'With Action'!$Y$6</f>
        <v>0.65000000000000013</v>
      </c>
      <c r="X23" s="17">
        <f>'Rolling report'!CQ23*'With Action'!$Y$6</f>
        <v>0.25000000000000006</v>
      </c>
      <c r="Y23" s="17">
        <f>'Rolling report'!CR23*'With Action'!$Y$6</f>
        <v>0.40000000000000008</v>
      </c>
      <c r="Z23" s="17">
        <f>'Rolling report'!CS23*'With Action'!$Y$6</f>
        <v>0.20000000000000004</v>
      </c>
      <c r="AA23" s="17">
        <f>'Rolling report'!CT23*'With Action'!$Y$6</f>
        <v>0.45000000000000007</v>
      </c>
      <c r="AB23" s="17">
        <f>'Rolling report'!CU23*'With Action'!$Y$6</f>
        <v>0.25000000000000006</v>
      </c>
      <c r="AC23" s="17">
        <f>'Rolling report'!CV23*'With Action'!$Y$6</f>
        <v>0.40000000000000008</v>
      </c>
      <c r="AD23" s="17">
        <f>'Rolling report'!CW23*'With Action'!$Y$6</f>
        <v>-0.15000000000000002</v>
      </c>
      <c r="AE23" s="17">
        <f>'Rolling report'!CX23*'With Action'!$Y$6</f>
        <v>0.35000000000000009</v>
      </c>
      <c r="AF23" s="17">
        <f>'Rolling report'!CY23*'With Action'!$Y$6</f>
        <v>-22.850000000000005</v>
      </c>
      <c r="AG23" s="17">
        <f>'Rolling report'!CZ23*'With Action'!$Y$6</f>
        <v>0</v>
      </c>
      <c r="AH23" s="17">
        <f>'Rolling report'!DA23*'With Action'!$Y$6</f>
        <v>0</v>
      </c>
      <c r="AI23" s="17">
        <f>'Rolling report'!DB23*'With Action'!$Y$6</f>
        <v>0</v>
      </c>
      <c r="AJ23" s="17">
        <f>'Rolling report'!DC23*'With Action'!$Y$6</f>
        <v>0</v>
      </c>
      <c r="AK23" s="17">
        <f>'Rolling report'!DD23*'With Action'!$Y$6</f>
        <v>0</v>
      </c>
      <c r="AL23" s="17">
        <f>'Rolling report'!DE23*'With Action'!$Y$6</f>
        <v>0</v>
      </c>
      <c r="AM23" s="17">
        <f>'Rolling report'!DF23*'With Action'!$Y$6</f>
        <v>0</v>
      </c>
      <c r="AN23" s="17">
        <f>'Rolling report'!DG23*'With Action'!$Y$6</f>
        <v>0</v>
      </c>
      <c r="AO23" s="17">
        <f>'Rolling report'!DH23*'With Action'!$Y$6</f>
        <v>0</v>
      </c>
      <c r="AP23" s="17">
        <f>'Rolling report'!DI23*'With Action'!$Y$6</f>
        <v>0</v>
      </c>
    </row>
    <row r="24" spans="1:42" x14ac:dyDescent="0.25">
      <c r="A24" s="4" t="s">
        <v>37</v>
      </c>
      <c r="B24" s="6" t="s">
        <v>38</v>
      </c>
      <c r="I24" s="17">
        <f>'Rolling report'!CB24*'With Action'!$Y$6</f>
        <v>10.000000000000002</v>
      </c>
      <c r="J24" s="17">
        <f>'Rolling report'!CC24*'With Action'!$Y$6</f>
        <v>1.9000000000000004</v>
      </c>
      <c r="K24" s="17">
        <f>'Rolling report'!CD24*'With Action'!$Y$6</f>
        <v>2.0000000000000004</v>
      </c>
      <c r="L24" s="17">
        <f>'Rolling report'!CE24*'With Action'!$Y$6</f>
        <v>1.7500000000000004</v>
      </c>
      <c r="M24" s="17">
        <f>'Rolling report'!CF24*'With Action'!$Y$6</f>
        <v>1.8500000000000003</v>
      </c>
      <c r="N24" s="17">
        <f>'Rolling report'!CG24*'With Action'!$Y$6</f>
        <v>1.3500000000000003</v>
      </c>
      <c r="O24" s="17">
        <f>'Rolling report'!CH24*'With Action'!$Y$6</f>
        <v>1.1000000000000003</v>
      </c>
      <c r="P24" s="17">
        <f>'Rolling report'!CI24*'With Action'!$Y$6</f>
        <v>0.55000000000000016</v>
      </c>
      <c r="Q24" s="17">
        <f>'Rolling report'!CJ24*'With Action'!$Y$6</f>
        <v>0.60000000000000009</v>
      </c>
      <c r="R24" s="17">
        <f>'Rolling report'!CK24*'With Action'!$Y$6</f>
        <v>0.95000000000000018</v>
      </c>
      <c r="S24" s="17">
        <f>'Rolling report'!CL24*'With Action'!$Y$6</f>
        <v>0.8500000000000002</v>
      </c>
      <c r="T24" s="17">
        <f>'Rolling report'!CM24*'With Action'!$Y$6</f>
        <v>1.5500000000000003</v>
      </c>
      <c r="U24" s="17">
        <f>'Rolling report'!CN24*'With Action'!$Y$6</f>
        <v>0.55000000000000016</v>
      </c>
      <c r="V24" s="17">
        <f>'Rolling report'!CO24*'With Action'!$Y$6</f>
        <v>0.45000000000000007</v>
      </c>
      <c r="W24" s="17">
        <f>'Rolling report'!CP24*'With Action'!$Y$6</f>
        <v>0.60000000000000009</v>
      </c>
      <c r="X24" s="17">
        <f>'Rolling report'!CQ24*'With Action'!$Y$6</f>
        <v>0.10000000000000002</v>
      </c>
      <c r="Y24" s="17">
        <f>'Rolling report'!CR24*'With Action'!$Y$6</f>
        <v>0.55000000000000016</v>
      </c>
      <c r="Z24" s="17">
        <f>'Rolling report'!CS24*'With Action'!$Y$6</f>
        <v>0.10000000000000002</v>
      </c>
      <c r="AA24" s="17">
        <f>'Rolling report'!CT24*'With Action'!$Y$6</f>
        <v>0.50000000000000011</v>
      </c>
      <c r="AB24" s="17">
        <f>'Rolling report'!CU24*'With Action'!$Y$6</f>
        <v>0.55000000000000016</v>
      </c>
      <c r="AC24" s="17">
        <f>'Rolling report'!CV24*'With Action'!$Y$6</f>
        <v>0.8500000000000002</v>
      </c>
      <c r="AD24" s="17">
        <f>'Rolling report'!CW24*'With Action'!$Y$6</f>
        <v>0.25000000000000006</v>
      </c>
      <c r="AE24" s="17">
        <f>'Rolling report'!CX24*'With Action'!$Y$6</f>
        <v>0.40000000000000008</v>
      </c>
      <c r="AF24" s="17">
        <f>'Rolling report'!CY24*'With Action'!$Y$6</f>
        <v>-29.350000000000005</v>
      </c>
      <c r="AG24" s="17">
        <f>'Rolling report'!CZ24*'With Action'!$Y$6</f>
        <v>0</v>
      </c>
      <c r="AH24" s="17">
        <f>'Rolling report'!DA24*'With Action'!$Y$6</f>
        <v>0</v>
      </c>
      <c r="AI24" s="17">
        <f>'Rolling report'!DB24*'With Action'!$Y$6</f>
        <v>0</v>
      </c>
      <c r="AJ24" s="17">
        <f>'Rolling report'!DC24*'With Action'!$Y$6</f>
        <v>0</v>
      </c>
      <c r="AK24" s="17">
        <f>'Rolling report'!DD24*'With Action'!$Y$6</f>
        <v>0</v>
      </c>
      <c r="AL24" s="17">
        <f>'Rolling report'!DE24*'With Action'!$Y$6</f>
        <v>0</v>
      </c>
      <c r="AM24" s="17">
        <f>'Rolling report'!DF24*'With Action'!$Y$6</f>
        <v>0</v>
      </c>
      <c r="AN24" s="17">
        <f>'Rolling report'!DG24*'With Action'!$Y$6</f>
        <v>0</v>
      </c>
      <c r="AO24" s="17">
        <f>'Rolling report'!DH24*'With Action'!$Y$6</f>
        <v>0</v>
      </c>
      <c r="AP24" s="17">
        <f>'Rolling report'!DI24*'With Action'!$Y$6</f>
        <v>0</v>
      </c>
    </row>
    <row r="25" spans="1:42" x14ac:dyDescent="0.25">
      <c r="A25" s="4" t="s">
        <v>39</v>
      </c>
      <c r="B25" s="6" t="s">
        <v>40</v>
      </c>
      <c r="I25" s="17">
        <f>'Rolling report'!CB25*'With Action'!$Y$6</f>
        <v>10.750000000000002</v>
      </c>
      <c r="J25" s="17">
        <f>'Rolling report'!CC25*'With Action'!$Y$6</f>
        <v>1.1000000000000003</v>
      </c>
      <c r="K25" s="17">
        <f>'Rolling report'!CD25*'With Action'!$Y$6</f>
        <v>1.6000000000000003</v>
      </c>
      <c r="L25" s="17">
        <f>'Rolling report'!CE25*'With Action'!$Y$6</f>
        <v>1.6000000000000003</v>
      </c>
      <c r="M25" s="17">
        <f>'Rolling report'!CF25*'With Action'!$Y$6</f>
        <v>1.5000000000000002</v>
      </c>
      <c r="N25" s="17">
        <f>'Rolling report'!CG25*'With Action'!$Y$6</f>
        <v>0.65000000000000013</v>
      </c>
      <c r="O25" s="17">
        <f>'Rolling report'!CH25*'With Action'!$Y$6</f>
        <v>0.55000000000000016</v>
      </c>
      <c r="P25" s="17">
        <f>'Rolling report'!CI25*'With Action'!$Y$6</f>
        <v>0.65000000000000013</v>
      </c>
      <c r="Q25" s="17">
        <f>'Rolling report'!CJ25*'With Action'!$Y$6</f>
        <v>0.60000000000000009</v>
      </c>
      <c r="R25" s="17">
        <f>'Rolling report'!CK25*'With Action'!$Y$6</f>
        <v>0.8500000000000002</v>
      </c>
      <c r="S25" s="17">
        <f>'Rolling report'!CL25*'With Action'!$Y$6</f>
        <v>0.55000000000000016</v>
      </c>
      <c r="T25" s="17">
        <f>'Rolling report'!CM25*'With Action'!$Y$6</f>
        <v>0.80000000000000016</v>
      </c>
      <c r="U25" s="17">
        <f>'Rolling report'!CN25*'With Action'!$Y$6</f>
        <v>0.55000000000000016</v>
      </c>
      <c r="V25" s="17">
        <f>'Rolling report'!CO25*'With Action'!$Y$6</f>
        <v>1.0000000000000002</v>
      </c>
      <c r="W25" s="17">
        <f>'Rolling report'!CP25*'With Action'!$Y$6</f>
        <v>0.25000000000000006</v>
      </c>
      <c r="X25" s="17">
        <f>'Rolling report'!CQ25*'With Action'!$Y$6</f>
        <v>0.50000000000000011</v>
      </c>
      <c r="Y25" s="17">
        <f>'Rolling report'!CR25*'With Action'!$Y$6</f>
        <v>0.55000000000000016</v>
      </c>
      <c r="Z25" s="17">
        <f>'Rolling report'!CS25*'With Action'!$Y$6</f>
        <v>0.45000000000000007</v>
      </c>
      <c r="AA25" s="17">
        <f>'Rolling report'!CT25*'With Action'!$Y$6</f>
        <v>0.40000000000000008</v>
      </c>
      <c r="AB25" s="17">
        <f>'Rolling report'!CU25*'With Action'!$Y$6</f>
        <v>0.70000000000000018</v>
      </c>
      <c r="AC25" s="17">
        <f>'Rolling report'!CV25*'With Action'!$Y$6</f>
        <v>0.90000000000000013</v>
      </c>
      <c r="AD25" s="17">
        <f>'Rolling report'!CW25*'With Action'!$Y$6</f>
        <v>-0.30000000000000004</v>
      </c>
      <c r="AE25" s="17">
        <f>'Rolling report'!CX25*'With Action'!$Y$6</f>
        <v>0.55000000000000016</v>
      </c>
      <c r="AF25" s="17">
        <f>'Rolling report'!CY25*'With Action'!$Y$6</f>
        <v>-26.750000000000004</v>
      </c>
      <c r="AG25" s="17">
        <f>'Rolling report'!CZ25*'With Action'!$Y$6</f>
        <v>0</v>
      </c>
      <c r="AH25" s="17">
        <f>'Rolling report'!DA25*'With Action'!$Y$6</f>
        <v>0</v>
      </c>
      <c r="AI25" s="17">
        <f>'Rolling report'!DB25*'With Action'!$Y$6</f>
        <v>0</v>
      </c>
      <c r="AJ25" s="17">
        <f>'Rolling report'!DC25*'With Action'!$Y$6</f>
        <v>0</v>
      </c>
      <c r="AK25" s="17">
        <f>'Rolling report'!DD25*'With Action'!$Y$6</f>
        <v>0</v>
      </c>
      <c r="AL25" s="17">
        <f>'Rolling report'!DE25*'With Action'!$Y$6</f>
        <v>0</v>
      </c>
      <c r="AM25" s="17">
        <f>'Rolling report'!DF25*'With Action'!$Y$6</f>
        <v>0</v>
      </c>
      <c r="AN25" s="17">
        <f>'Rolling report'!DG25*'With Action'!$Y$6</f>
        <v>0</v>
      </c>
      <c r="AO25" s="17">
        <f>'Rolling report'!DH25*'With Action'!$Y$6</f>
        <v>0</v>
      </c>
      <c r="AP25" s="17">
        <f>'Rolling report'!DI25*'With Action'!$Y$6</f>
        <v>0</v>
      </c>
    </row>
    <row r="26" spans="1:42" x14ac:dyDescent="0.25">
      <c r="A26" s="4" t="s">
        <v>41</v>
      </c>
      <c r="B26" s="6" t="s">
        <v>42</v>
      </c>
      <c r="I26" s="17">
        <f>'Rolling report'!CB26*'With Action'!$Y$6</f>
        <v>25.300000000000004</v>
      </c>
      <c r="J26" s="17">
        <f>'Rolling report'!CC26*'With Action'!$Y$6</f>
        <v>4.1000000000000005</v>
      </c>
      <c r="K26" s="17">
        <f>'Rolling report'!CD26*'With Action'!$Y$6</f>
        <v>3.6500000000000008</v>
      </c>
      <c r="L26" s="17">
        <f>'Rolling report'!CE26*'With Action'!$Y$6</f>
        <v>4.0000000000000009</v>
      </c>
      <c r="M26" s="17">
        <f>'Rolling report'!CF26*'With Action'!$Y$6</f>
        <v>2.4500000000000006</v>
      </c>
      <c r="N26" s="17">
        <f>'Rolling report'!CG26*'With Action'!$Y$6</f>
        <v>2.1500000000000004</v>
      </c>
      <c r="O26" s="17">
        <f>'Rolling report'!CH26*'With Action'!$Y$6</f>
        <v>4.7500000000000009</v>
      </c>
      <c r="P26" s="17">
        <f>'Rolling report'!CI26*'With Action'!$Y$6</f>
        <v>2.2500000000000004</v>
      </c>
      <c r="Q26" s="17">
        <f>'Rolling report'!CJ26*'With Action'!$Y$6</f>
        <v>2.6000000000000005</v>
      </c>
      <c r="R26" s="17">
        <f>'Rolling report'!CK26*'With Action'!$Y$6</f>
        <v>1.6000000000000003</v>
      </c>
      <c r="S26" s="17">
        <f>'Rolling report'!CL26*'With Action'!$Y$6</f>
        <v>0.75000000000000011</v>
      </c>
      <c r="T26" s="17">
        <f>'Rolling report'!CM26*'With Action'!$Y$6</f>
        <v>2.8000000000000007</v>
      </c>
      <c r="U26" s="17">
        <f>'Rolling report'!CN26*'With Action'!$Y$6</f>
        <v>1.1500000000000001</v>
      </c>
      <c r="V26" s="17">
        <f>'Rolling report'!CO26*'With Action'!$Y$6</f>
        <v>1.7500000000000004</v>
      </c>
      <c r="W26" s="17">
        <f>'Rolling report'!CP26*'With Action'!$Y$6</f>
        <v>1.1500000000000001</v>
      </c>
      <c r="X26" s="17">
        <f>'Rolling report'!CQ26*'With Action'!$Y$6</f>
        <v>0.80000000000000016</v>
      </c>
      <c r="Y26" s="17">
        <f>'Rolling report'!CR26*'With Action'!$Y$6</f>
        <v>1.1000000000000003</v>
      </c>
      <c r="Z26" s="17">
        <f>'Rolling report'!CS26*'With Action'!$Y$6</f>
        <v>1.0000000000000002</v>
      </c>
      <c r="AA26" s="17">
        <f>'Rolling report'!CT26*'With Action'!$Y$6</f>
        <v>1.2000000000000002</v>
      </c>
      <c r="AB26" s="17">
        <f>'Rolling report'!CU26*'With Action'!$Y$6</f>
        <v>1.2500000000000002</v>
      </c>
      <c r="AC26" s="17">
        <f>'Rolling report'!CV26*'With Action'!$Y$6</f>
        <v>1.7500000000000004</v>
      </c>
      <c r="AD26" s="17">
        <f>'Rolling report'!CW26*'With Action'!$Y$6</f>
        <v>0.15000000000000002</v>
      </c>
      <c r="AE26" s="17">
        <f>'Rolling report'!CX26*'With Action'!$Y$6</f>
        <v>1.1000000000000003</v>
      </c>
      <c r="AF26" s="17">
        <f>'Rolling report'!CY26*'With Action'!$Y$6</f>
        <v>-68.800000000000011</v>
      </c>
      <c r="AG26" s="17">
        <f>'Rolling report'!CZ26*'With Action'!$Y$6</f>
        <v>0</v>
      </c>
      <c r="AH26" s="17">
        <f>'Rolling report'!DA26*'With Action'!$Y$6</f>
        <v>0</v>
      </c>
      <c r="AI26" s="17">
        <f>'Rolling report'!DB26*'With Action'!$Y$6</f>
        <v>0</v>
      </c>
      <c r="AJ26" s="17">
        <f>'Rolling report'!DC26*'With Action'!$Y$6</f>
        <v>0</v>
      </c>
      <c r="AK26" s="17">
        <f>'Rolling report'!DD26*'With Action'!$Y$6</f>
        <v>0</v>
      </c>
      <c r="AL26" s="17">
        <f>'Rolling report'!DE26*'With Action'!$Y$6</f>
        <v>0</v>
      </c>
      <c r="AM26" s="17">
        <f>'Rolling report'!DF26*'With Action'!$Y$6</f>
        <v>0</v>
      </c>
      <c r="AN26" s="17">
        <f>'Rolling report'!DG26*'With Action'!$Y$6</f>
        <v>0</v>
      </c>
      <c r="AO26" s="17">
        <f>'Rolling report'!DH26*'With Action'!$Y$6</f>
        <v>0</v>
      </c>
      <c r="AP26" s="17">
        <f>'Rolling report'!DI26*'With Action'!$Y$6</f>
        <v>0</v>
      </c>
    </row>
    <row r="27" spans="1:42" x14ac:dyDescent="0.25">
      <c r="A27" s="4" t="s">
        <v>43</v>
      </c>
      <c r="B27" s="6" t="s">
        <v>44</v>
      </c>
      <c r="I27" s="17">
        <f>'Rolling report'!CB27*'With Action'!$Y$6</f>
        <v>1.5500000000000003</v>
      </c>
      <c r="J27" s="17">
        <f>'Rolling report'!CC27*'With Action'!$Y$6</f>
        <v>0.30000000000000004</v>
      </c>
      <c r="K27" s="17">
        <f>'Rolling report'!CD27*'With Action'!$Y$6</f>
        <v>0.20000000000000004</v>
      </c>
      <c r="L27" s="17">
        <f>'Rolling report'!CE27*'With Action'!$Y$6</f>
        <v>0.35000000000000009</v>
      </c>
      <c r="M27" s="17">
        <f>'Rolling report'!CF27*'With Action'!$Y$6</f>
        <v>0.50000000000000011</v>
      </c>
      <c r="N27" s="17">
        <f>'Rolling report'!CG27*'With Action'!$Y$6</f>
        <v>0.10000000000000002</v>
      </c>
      <c r="O27" s="17">
        <f>'Rolling report'!CH27*'With Action'!$Y$6</f>
        <v>0.20000000000000004</v>
      </c>
      <c r="P27" s="17">
        <f>'Rolling report'!CI27*'With Action'!$Y$6</f>
        <v>0</v>
      </c>
      <c r="Q27" s="17">
        <f>'Rolling report'!CJ27*'With Action'!$Y$6</f>
        <v>0.25000000000000006</v>
      </c>
      <c r="R27" s="17">
        <f>'Rolling report'!CK27*'With Action'!$Y$6</f>
        <v>0.75000000000000011</v>
      </c>
      <c r="S27" s="17">
        <f>'Rolling report'!CL27*'With Action'!$Y$6</f>
        <v>0</v>
      </c>
      <c r="T27" s="17">
        <f>'Rolling report'!CM27*'With Action'!$Y$6</f>
        <v>0.35000000000000009</v>
      </c>
      <c r="U27" s="17">
        <f>'Rolling report'!CN27*'With Action'!$Y$6</f>
        <v>0.30000000000000004</v>
      </c>
      <c r="V27" s="17">
        <f>'Rolling report'!CO27*'With Action'!$Y$6</f>
        <v>5.000000000000001E-2</v>
      </c>
      <c r="W27" s="17">
        <f>'Rolling report'!CP27*'With Action'!$Y$6</f>
        <v>0.15000000000000002</v>
      </c>
      <c r="X27" s="17">
        <f>'Rolling report'!CQ27*'With Action'!$Y$6</f>
        <v>5.000000000000001E-2</v>
      </c>
      <c r="Y27" s="17">
        <f>'Rolling report'!CR27*'With Action'!$Y$6</f>
        <v>5.000000000000001E-2</v>
      </c>
      <c r="Z27" s="17">
        <f>'Rolling report'!CS27*'With Action'!$Y$6</f>
        <v>0.20000000000000004</v>
      </c>
      <c r="AA27" s="17">
        <f>'Rolling report'!CT27*'With Action'!$Y$6</f>
        <v>5.000000000000001E-2</v>
      </c>
      <c r="AB27" s="17">
        <f>'Rolling report'!CU27*'With Action'!$Y$6</f>
        <v>0</v>
      </c>
      <c r="AC27" s="17">
        <f>'Rolling report'!CV27*'With Action'!$Y$6</f>
        <v>0.15000000000000002</v>
      </c>
      <c r="AD27" s="17">
        <f>'Rolling report'!CW27*'With Action'!$Y$6</f>
        <v>0.10000000000000002</v>
      </c>
      <c r="AE27" s="17">
        <f>'Rolling report'!CX27*'With Action'!$Y$6</f>
        <v>0.20000000000000004</v>
      </c>
      <c r="AF27" s="17">
        <f>'Rolling report'!CY27*'With Action'!$Y$6</f>
        <v>-5.8500000000000014</v>
      </c>
      <c r="AG27" s="17">
        <f>'Rolling report'!CZ27*'With Action'!$Y$6</f>
        <v>0</v>
      </c>
      <c r="AH27" s="17">
        <f>'Rolling report'!DA27*'With Action'!$Y$6</f>
        <v>0</v>
      </c>
      <c r="AI27" s="17">
        <f>'Rolling report'!DB27*'With Action'!$Y$6</f>
        <v>0</v>
      </c>
      <c r="AJ27" s="17">
        <f>'Rolling report'!DC27*'With Action'!$Y$6</f>
        <v>0</v>
      </c>
      <c r="AK27" s="17">
        <f>'Rolling report'!DD27*'With Action'!$Y$6</f>
        <v>0</v>
      </c>
      <c r="AL27" s="17">
        <f>'Rolling report'!DE27*'With Action'!$Y$6</f>
        <v>0</v>
      </c>
      <c r="AM27" s="17">
        <f>'Rolling report'!DF27*'With Action'!$Y$6</f>
        <v>0</v>
      </c>
      <c r="AN27" s="17">
        <f>'Rolling report'!DG27*'With Action'!$Y$6</f>
        <v>0</v>
      </c>
      <c r="AO27" s="17">
        <f>'Rolling report'!DH27*'With Action'!$Y$6</f>
        <v>0</v>
      </c>
      <c r="AP27" s="17">
        <f>'Rolling report'!DI27*'With Action'!$Y$6</f>
        <v>0</v>
      </c>
    </row>
    <row r="28" spans="1:42" x14ac:dyDescent="0.25">
      <c r="A28" s="4" t="s">
        <v>45</v>
      </c>
      <c r="B28" s="6" t="s">
        <v>46</v>
      </c>
      <c r="I28" s="17">
        <f>'Rolling report'!CB28*'With Action'!$Y$6</f>
        <v>2.2000000000000006</v>
      </c>
      <c r="J28" s="17">
        <f>'Rolling report'!CC28*'With Action'!$Y$6</f>
        <v>0.65000000000000013</v>
      </c>
      <c r="K28" s="17">
        <f>'Rolling report'!CD28*'With Action'!$Y$6</f>
        <v>0.60000000000000009</v>
      </c>
      <c r="L28" s="17">
        <f>'Rolling report'!CE28*'With Action'!$Y$6</f>
        <v>0.55000000000000016</v>
      </c>
      <c r="M28" s="17">
        <f>'Rolling report'!CF28*'With Action'!$Y$6</f>
        <v>0.20000000000000004</v>
      </c>
      <c r="N28" s="17">
        <f>'Rolling report'!CG28*'With Action'!$Y$6</f>
        <v>0.15000000000000002</v>
      </c>
      <c r="O28" s="17">
        <f>'Rolling report'!CH28*'With Action'!$Y$6</f>
        <v>0.80000000000000016</v>
      </c>
      <c r="P28" s="17">
        <f>'Rolling report'!CI28*'With Action'!$Y$6</f>
        <v>0.25000000000000006</v>
      </c>
      <c r="Q28" s="17">
        <f>'Rolling report'!CJ28*'With Action'!$Y$6</f>
        <v>0.25000000000000006</v>
      </c>
      <c r="R28" s="17">
        <f>'Rolling report'!CK28*'With Action'!$Y$6</f>
        <v>0</v>
      </c>
      <c r="S28" s="17">
        <f>'Rolling report'!CL28*'With Action'!$Y$6</f>
        <v>0</v>
      </c>
      <c r="T28" s="17">
        <f>'Rolling report'!CM28*'With Action'!$Y$6</f>
        <v>0.60000000000000009</v>
      </c>
      <c r="U28" s="17">
        <f>'Rolling report'!CN28*'With Action'!$Y$6</f>
        <v>0.35000000000000009</v>
      </c>
      <c r="V28" s="17">
        <f>'Rolling report'!CO28*'With Action'!$Y$6</f>
        <v>0.50000000000000011</v>
      </c>
      <c r="W28" s="17">
        <f>'Rolling report'!CP28*'With Action'!$Y$6</f>
        <v>0.10000000000000002</v>
      </c>
      <c r="X28" s="17">
        <f>'Rolling report'!CQ28*'With Action'!$Y$6</f>
        <v>5.000000000000001E-2</v>
      </c>
      <c r="Y28" s="17">
        <f>'Rolling report'!CR28*'With Action'!$Y$6</f>
        <v>0</v>
      </c>
      <c r="Z28" s="17">
        <f>'Rolling report'!CS28*'With Action'!$Y$6</f>
        <v>0.15000000000000002</v>
      </c>
      <c r="AA28" s="17">
        <f>'Rolling report'!CT28*'With Action'!$Y$6</f>
        <v>0.10000000000000002</v>
      </c>
      <c r="AB28" s="17">
        <f>'Rolling report'!CU28*'With Action'!$Y$6</f>
        <v>0.25000000000000006</v>
      </c>
      <c r="AC28" s="17">
        <f>'Rolling report'!CV28*'With Action'!$Y$6</f>
        <v>0.10000000000000002</v>
      </c>
      <c r="AD28" s="17">
        <f>'Rolling report'!CW28*'With Action'!$Y$6</f>
        <v>0.30000000000000004</v>
      </c>
      <c r="AE28" s="17">
        <f>'Rolling report'!CX28*'With Action'!$Y$6</f>
        <v>0.15000000000000002</v>
      </c>
      <c r="AF28" s="17">
        <f>'Rolling report'!CY28*'With Action'!$Y$6</f>
        <v>-8.3000000000000025</v>
      </c>
      <c r="AG28" s="17">
        <f>'Rolling report'!CZ28*'With Action'!$Y$6</f>
        <v>0</v>
      </c>
      <c r="AH28" s="17">
        <f>'Rolling report'!DA28*'With Action'!$Y$6</f>
        <v>0</v>
      </c>
      <c r="AI28" s="17">
        <f>'Rolling report'!DB28*'With Action'!$Y$6</f>
        <v>0</v>
      </c>
      <c r="AJ28" s="17">
        <f>'Rolling report'!DC28*'With Action'!$Y$6</f>
        <v>0</v>
      </c>
      <c r="AK28" s="17">
        <f>'Rolling report'!DD28*'With Action'!$Y$6</f>
        <v>0</v>
      </c>
      <c r="AL28" s="17">
        <f>'Rolling report'!DE28*'With Action'!$Y$6</f>
        <v>0</v>
      </c>
      <c r="AM28" s="17">
        <f>'Rolling report'!DF28*'With Action'!$Y$6</f>
        <v>0</v>
      </c>
      <c r="AN28" s="17">
        <f>'Rolling report'!DG28*'With Action'!$Y$6</f>
        <v>0</v>
      </c>
      <c r="AO28" s="17">
        <f>'Rolling report'!DH28*'With Action'!$Y$6</f>
        <v>0</v>
      </c>
      <c r="AP28" s="17">
        <f>'Rolling report'!DI28*'With Action'!$Y$6</f>
        <v>0</v>
      </c>
    </row>
    <row r="29" spans="1:42" x14ac:dyDescent="0.25">
      <c r="A29" s="4" t="s">
        <v>47</v>
      </c>
      <c r="B29" s="6" t="s">
        <v>48</v>
      </c>
      <c r="I29" s="17">
        <f>'Rolling report'!CB29*'With Action'!$Y$6</f>
        <v>25.850000000000005</v>
      </c>
      <c r="J29" s="17">
        <f>'Rolling report'!CC29*'With Action'!$Y$6</f>
        <v>5.7500000000000009</v>
      </c>
      <c r="K29" s="17">
        <f>'Rolling report'!CD29*'With Action'!$Y$6</f>
        <v>4.1500000000000012</v>
      </c>
      <c r="L29" s="17">
        <f>'Rolling report'!CE29*'With Action'!$Y$6</f>
        <v>6.1000000000000014</v>
      </c>
      <c r="M29" s="17">
        <f>'Rolling report'!CF29*'With Action'!$Y$6</f>
        <v>4.3500000000000005</v>
      </c>
      <c r="N29" s="17">
        <f>'Rolling report'!CG29*'With Action'!$Y$6</f>
        <v>5.2000000000000011</v>
      </c>
      <c r="O29" s="17">
        <f>'Rolling report'!CH29*'With Action'!$Y$6</f>
        <v>5.2500000000000009</v>
      </c>
      <c r="P29" s="17">
        <f>'Rolling report'!CI29*'With Action'!$Y$6</f>
        <v>1.8500000000000003</v>
      </c>
      <c r="Q29" s="17">
        <f>'Rolling report'!CJ29*'With Action'!$Y$6</f>
        <v>2.7000000000000006</v>
      </c>
      <c r="R29" s="17">
        <f>'Rolling report'!CK29*'With Action'!$Y$6</f>
        <v>2.2500000000000004</v>
      </c>
      <c r="S29" s="17">
        <f>'Rolling report'!CL29*'With Action'!$Y$6</f>
        <v>1.6500000000000004</v>
      </c>
      <c r="T29" s="17">
        <f>'Rolling report'!CM29*'With Action'!$Y$6</f>
        <v>3.5000000000000009</v>
      </c>
      <c r="U29" s="17">
        <f>'Rolling report'!CN29*'With Action'!$Y$6</f>
        <v>1.8500000000000003</v>
      </c>
      <c r="V29" s="17">
        <f>'Rolling report'!CO29*'With Action'!$Y$6</f>
        <v>2.0500000000000003</v>
      </c>
      <c r="W29" s="17">
        <f>'Rolling report'!CP29*'With Action'!$Y$6</f>
        <v>1.5000000000000002</v>
      </c>
      <c r="X29" s="17">
        <f>'Rolling report'!CQ29*'With Action'!$Y$6</f>
        <v>1.0000000000000002</v>
      </c>
      <c r="Y29" s="17">
        <f>'Rolling report'!CR29*'With Action'!$Y$6</f>
        <v>1.4500000000000002</v>
      </c>
      <c r="Z29" s="17">
        <f>'Rolling report'!CS29*'With Action'!$Y$6</f>
        <v>1.4000000000000004</v>
      </c>
      <c r="AA29" s="17">
        <f>'Rolling report'!CT29*'With Action'!$Y$6</f>
        <v>1.3500000000000003</v>
      </c>
      <c r="AB29" s="17">
        <f>'Rolling report'!CU29*'With Action'!$Y$6</f>
        <v>1.7000000000000004</v>
      </c>
      <c r="AC29" s="17">
        <f>'Rolling report'!CV29*'With Action'!$Y$6</f>
        <v>2.3500000000000005</v>
      </c>
      <c r="AD29" s="17">
        <f>'Rolling report'!CW29*'With Action'!$Y$6</f>
        <v>0.25000000000000006</v>
      </c>
      <c r="AE29" s="17">
        <f>'Rolling report'!CX29*'With Action'!$Y$6</f>
        <v>1.1500000000000001</v>
      </c>
      <c r="AF29" s="17">
        <f>'Rolling report'!CY29*'With Action'!$Y$6</f>
        <v>-84.65000000000002</v>
      </c>
      <c r="AG29" s="17">
        <f>'Rolling report'!CZ29*'With Action'!$Y$6</f>
        <v>0</v>
      </c>
      <c r="AH29" s="17">
        <f>'Rolling report'!DA29*'With Action'!$Y$6</f>
        <v>0</v>
      </c>
      <c r="AI29" s="17">
        <f>'Rolling report'!DB29*'With Action'!$Y$6</f>
        <v>0</v>
      </c>
      <c r="AJ29" s="17">
        <f>'Rolling report'!DC29*'With Action'!$Y$6</f>
        <v>0</v>
      </c>
      <c r="AK29" s="17">
        <f>'Rolling report'!DD29*'With Action'!$Y$6</f>
        <v>0</v>
      </c>
      <c r="AL29" s="17">
        <f>'Rolling report'!DE29*'With Action'!$Y$6</f>
        <v>0</v>
      </c>
      <c r="AM29" s="17">
        <f>'Rolling report'!DF29*'With Action'!$Y$6</f>
        <v>0</v>
      </c>
      <c r="AN29" s="17">
        <f>'Rolling report'!DG29*'With Action'!$Y$6</f>
        <v>0</v>
      </c>
      <c r="AO29" s="17">
        <f>'Rolling report'!DH29*'With Action'!$Y$6</f>
        <v>0</v>
      </c>
      <c r="AP29" s="17">
        <f>'Rolling report'!DI29*'With Action'!$Y$6</f>
        <v>0</v>
      </c>
    </row>
    <row r="30" spans="1:42" x14ac:dyDescent="0.25">
      <c r="A30" s="4" t="s">
        <v>49</v>
      </c>
      <c r="B30" s="6" t="s">
        <v>50</v>
      </c>
      <c r="I30" s="17">
        <f>'Rolling report'!CB30*'With Action'!$Y$6</f>
        <v>11.900000000000002</v>
      </c>
      <c r="J30" s="17">
        <f>'Rolling report'!CC30*'With Action'!$Y$6</f>
        <v>1.2500000000000002</v>
      </c>
      <c r="K30" s="17">
        <f>'Rolling report'!CD30*'With Action'!$Y$6</f>
        <v>0.75000000000000011</v>
      </c>
      <c r="L30" s="17">
        <f>'Rolling report'!CE30*'With Action'!$Y$6</f>
        <v>1.3000000000000003</v>
      </c>
      <c r="M30" s="17">
        <f>'Rolling report'!CF30*'With Action'!$Y$6</f>
        <v>0.75000000000000011</v>
      </c>
      <c r="N30" s="17">
        <f>'Rolling report'!CG30*'With Action'!$Y$6</f>
        <v>0.65000000000000013</v>
      </c>
      <c r="O30" s="17">
        <f>'Rolling report'!CH30*'With Action'!$Y$6</f>
        <v>1.1500000000000001</v>
      </c>
      <c r="P30" s="17">
        <f>'Rolling report'!CI30*'With Action'!$Y$6</f>
        <v>0.75000000000000011</v>
      </c>
      <c r="Q30" s="17">
        <f>'Rolling report'!CJ30*'With Action'!$Y$6</f>
        <v>1.7000000000000004</v>
      </c>
      <c r="R30" s="17">
        <f>'Rolling report'!CK30*'With Action'!$Y$6</f>
        <v>0.90000000000000013</v>
      </c>
      <c r="S30" s="17">
        <f>'Rolling report'!CL30*'With Action'!$Y$6</f>
        <v>1.2000000000000002</v>
      </c>
      <c r="T30" s="17">
        <f>'Rolling report'!CM30*'With Action'!$Y$6</f>
        <v>1.1500000000000001</v>
      </c>
      <c r="U30" s="17">
        <f>'Rolling report'!CN30*'With Action'!$Y$6</f>
        <v>1.6000000000000003</v>
      </c>
      <c r="V30" s="17">
        <f>'Rolling report'!CO30*'With Action'!$Y$6</f>
        <v>0.20000000000000004</v>
      </c>
      <c r="W30" s="17">
        <f>'Rolling report'!CP30*'With Action'!$Y$6</f>
        <v>0.40000000000000008</v>
      </c>
      <c r="X30" s="17">
        <f>'Rolling report'!CQ30*'With Action'!$Y$6</f>
        <v>0.20000000000000004</v>
      </c>
      <c r="Y30" s="17">
        <f>'Rolling report'!CR30*'With Action'!$Y$6</f>
        <v>0.60000000000000009</v>
      </c>
      <c r="Z30" s="17">
        <f>'Rolling report'!CS30*'With Action'!$Y$6</f>
        <v>0.55000000000000016</v>
      </c>
      <c r="AA30" s="17">
        <f>'Rolling report'!CT30*'With Action'!$Y$6</f>
        <v>0.75000000000000011</v>
      </c>
      <c r="AB30" s="17">
        <f>'Rolling report'!CU30*'With Action'!$Y$6</f>
        <v>0.55000000000000016</v>
      </c>
      <c r="AC30" s="17">
        <f>'Rolling report'!CV30*'With Action'!$Y$6</f>
        <v>0.60000000000000009</v>
      </c>
      <c r="AD30" s="17">
        <f>'Rolling report'!CW30*'With Action'!$Y$6</f>
        <v>0.10000000000000002</v>
      </c>
      <c r="AE30" s="17">
        <f>'Rolling report'!CX30*'With Action'!$Y$6</f>
        <v>0.40000000000000008</v>
      </c>
      <c r="AF30" s="17">
        <f>'Rolling report'!CY30*'With Action'!$Y$6</f>
        <v>-29.400000000000006</v>
      </c>
      <c r="AG30" s="17">
        <f>'Rolling report'!CZ30*'With Action'!$Y$6</f>
        <v>0</v>
      </c>
      <c r="AH30" s="17">
        <f>'Rolling report'!DA30*'With Action'!$Y$6</f>
        <v>0</v>
      </c>
      <c r="AI30" s="17">
        <f>'Rolling report'!DB30*'With Action'!$Y$6</f>
        <v>0</v>
      </c>
      <c r="AJ30" s="17">
        <f>'Rolling report'!DC30*'With Action'!$Y$6</f>
        <v>0</v>
      </c>
      <c r="AK30" s="17">
        <f>'Rolling report'!DD30*'With Action'!$Y$6</f>
        <v>0</v>
      </c>
      <c r="AL30" s="17">
        <f>'Rolling report'!DE30*'With Action'!$Y$6</f>
        <v>0</v>
      </c>
      <c r="AM30" s="17">
        <f>'Rolling report'!DF30*'With Action'!$Y$6</f>
        <v>0</v>
      </c>
      <c r="AN30" s="17">
        <f>'Rolling report'!DG30*'With Action'!$Y$6</f>
        <v>0</v>
      </c>
      <c r="AO30" s="17">
        <f>'Rolling report'!DH30*'With Action'!$Y$6</f>
        <v>0</v>
      </c>
      <c r="AP30" s="17">
        <f>'Rolling report'!DI30*'With Action'!$Y$6</f>
        <v>0</v>
      </c>
    </row>
    <row r="31" spans="1:42" x14ac:dyDescent="0.25">
      <c r="A31" s="4" t="s">
        <v>51</v>
      </c>
      <c r="B31" s="6" t="s">
        <v>52</v>
      </c>
      <c r="I31" s="17">
        <f>'Rolling report'!CB31*'With Action'!$Y$6</f>
        <v>5.7500000000000009</v>
      </c>
      <c r="J31" s="17">
        <f>'Rolling report'!CC31*'With Action'!$Y$6</f>
        <v>1.1000000000000003</v>
      </c>
      <c r="K31" s="17">
        <f>'Rolling report'!CD31*'With Action'!$Y$6</f>
        <v>0.95000000000000018</v>
      </c>
      <c r="L31" s="17">
        <f>'Rolling report'!CE31*'With Action'!$Y$6</f>
        <v>1.3500000000000003</v>
      </c>
      <c r="M31" s="17">
        <f>'Rolling report'!CF31*'With Action'!$Y$6</f>
        <v>0.45000000000000007</v>
      </c>
      <c r="N31" s="17">
        <f>'Rolling report'!CG31*'With Action'!$Y$6</f>
        <v>0.95000000000000018</v>
      </c>
      <c r="O31" s="17">
        <f>'Rolling report'!CH31*'With Action'!$Y$6</f>
        <v>1.3500000000000003</v>
      </c>
      <c r="P31" s="17">
        <f>'Rolling report'!CI31*'With Action'!$Y$6</f>
        <v>0.15000000000000002</v>
      </c>
      <c r="Q31" s="17">
        <f>'Rolling report'!CJ31*'With Action'!$Y$6</f>
        <v>0.55000000000000016</v>
      </c>
      <c r="R31" s="17">
        <f>'Rolling report'!CK31*'With Action'!$Y$6</f>
        <v>0.45000000000000007</v>
      </c>
      <c r="S31" s="17">
        <f>'Rolling report'!CL31*'With Action'!$Y$6</f>
        <v>0.25000000000000006</v>
      </c>
      <c r="T31" s="17">
        <f>'Rolling report'!CM31*'With Action'!$Y$6</f>
        <v>0.8500000000000002</v>
      </c>
      <c r="U31" s="17">
        <f>'Rolling report'!CN31*'With Action'!$Y$6</f>
        <v>0.50000000000000011</v>
      </c>
      <c r="V31" s="17">
        <f>'Rolling report'!CO31*'With Action'!$Y$6</f>
        <v>0.35000000000000009</v>
      </c>
      <c r="W31" s="17">
        <f>'Rolling report'!CP31*'With Action'!$Y$6</f>
        <v>0.40000000000000008</v>
      </c>
      <c r="X31" s="17">
        <f>'Rolling report'!CQ31*'With Action'!$Y$6</f>
        <v>0.50000000000000011</v>
      </c>
      <c r="Y31" s="17">
        <f>'Rolling report'!CR31*'With Action'!$Y$6</f>
        <v>0.30000000000000004</v>
      </c>
      <c r="Z31" s="17">
        <f>'Rolling report'!CS31*'With Action'!$Y$6</f>
        <v>0.20000000000000004</v>
      </c>
      <c r="AA31" s="17">
        <f>'Rolling report'!CT31*'With Action'!$Y$6</f>
        <v>0.50000000000000011</v>
      </c>
      <c r="AB31" s="17">
        <f>'Rolling report'!CU31*'With Action'!$Y$6</f>
        <v>0.15000000000000002</v>
      </c>
      <c r="AC31" s="17">
        <f>'Rolling report'!CV31*'With Action'!$Y$6</f>
        <v>0.45000000000000007</v>
      </c>
      <c r="AD31" s="17">
        <f>'Rolling report'!CW31*'With Action'!$Y$6</f>
        <v>0</v>
      </c>
      <c r="AE31" s="17">
        <f>'Rolling report'!CX31*'With Action'!$Y$6</f>
        <v>0.40000000000000008</v>
      </c>
      <c r="AF31" s="17">
        <f>'Rolling report'!CY31*'With Action'!$Y$6</f>
        <v>-17.900000000000002</v>
      </c>
      <c r="AG31" s="17">
        <f>'Rolling report'!CZ31*'With Action'!$Y$6</f>
        <v>0</v>
      </c>
      <c r="AH31" s="17">
        <f>'Rolling report'!DA31*'With Action'!$Y$6</f>
        <v>0</v>
      </c>
      <c r="AI31" s="17">
        <f>'Rolling report'!DB31*'With Action'!$Y$6</f>
        <v>0</v>
      </c>
      <c r="AJ31" s="17">
        <f>'Rolling report'!DC31*'With Action'!$Y$6</f>
        <v>0</v>
      </c>
      <c r="AK31" s="17">
        <f>'Rolling report'!DD31*'With Action'!$Y$6</f>
        <v>0</v>
      </c>
      <c r="AL31" s="17">
        <f>'Rolling report'!DE31*'With Action'!$Y$6</f>
        <v>0</v>
      </c>
      <c r="AM31" s="17">
        <f>'Rolling report'!DF31*'With Action'!$Y$6</f>
        <v>0</v>
      </c>
      <c r="AN31" s="17">
        <f>'Rolling report'!DG31*'With Action'!$Y$6</f>
        <v>0</v>
      </c>
      <c r="AO31" s="17">
        <f>'Rolling report'!DH31*'With Action'!$Y$6</f>
        <v>0</v>
      </c>
      <c r="AP31" s="17">
        <f>'Rolling report'!DI31*'With Action'!$Y$6</f>
        <v>0</v>
      </c>
    </row>
    <row r="32" spans="1:42" x14ac:dyDescent="0.25">
      <c r="A32" s="4" t="s">
        <v>53</v>
      </c>
      <c r="B32" s="6" t="s">
        <v>54</v>
      </c>
      <c r="I32" s="17">
        <f>'Rolling report'!CB32*'With Action'!$Y$6</f>
        <v>8.9000000000000021</v>
      </c>
      <c r="J32" s="17">
        <f>'Rolling report'!CC32*'With Action'!$Y$6</f>
        <v>1.4000000000000004</v>
      </c>
      <c r="K32" s="17">
        <f>'Rolling report'!CD32*'With Action'!$Y$6</f>
        <v>1.7500000000000004</v>
      </c>
      <c r="L32" s="17">
        <f>'Rolling report'!CE32*'With Action'!$Y$6</f>
        <v>1.4000000000000004</v>
      </c>
      <c r="M32" s="17">
        <f>'Rolling report'!CF32*'With Action'!$Y$6</f>
        <v>1.3000000000000003</v>
      </c>
      <c r="N32" s="17">
        <f>'Rolling report'!CG32*'With Action'!$Y$6</f>
        <v>1.2000000000000002</v>
      </c>
      <c r="O32" s="17">
        <f>'Rolling report'!CH32*'With Action'!$Y$6</f>
        <v>2.9000000000000004</v>
      </c>
      <c r="P32" s="17">
        <f>'Rolling report'!CI32*'With Action'!$Y$6</f>
        <v>0.40000000000000008</v>
      </c>
      <c r="Q32" s="17">
        <f>'Rolling report'!CJ32*'With Action'!$Y$6</f>
        <v>0.80000000000000016</v>
      </c>
      <c r="R32" s="17">
        <f>'Rolling report'!CK32*'With Action'!$Y$6</f>
        <v>1.1000000000000003</v>
      </c>
      <c r="S32" s="17">
        <f>'Rolling report'!CL32*'With Action'!$Y$6</f>
        <v>1.0500000000000003</v>
      </c>
      <c r="T32" s="17">
        <f>'Rolling report'!CM32*'With Action'!$Y$6</f>
        <v>0.90000000000000013</v>
      </c>
      <c r="U32" s="17">
        <f>'Rolling report'!CN32*'With Action'!$Y$6</f>
        <v>0.65000000000000013</v>
      </c>
      <c r="V32" s="17">
        <f>'Rolling report'!CO32*'With Action'!$Y$6</f>
        <v>0.20000000000000004</v>
      </c>
      <c r="W32" s="17">
        <f>'Rolling report'!CP32*'With Action'!$Y$6</f>
        <v>0.8500000000000002</v>
      </c>
      <c r="X32" s="17">
        <f>'Rolling report'!CQ32*'With Action'!$Y$6</f>
        <v>0.30000000000000004</v>
      </c>
      <c r="Y32" s="17">
        <f>'Rolling report'!CR32*'With Action'!$Y$6</f>
        <v>0.70000000000000018</v>
      </c>
      <c r="Z32" s="17">
        <f>'Rolling report'!CS32*'With Action'!$Y$6</f>
        <v>0.45000000000000007</v>
      </c>
      <c r="AA32" s="17">
        <f>'Rolling report'!CT32*'With Action'!$Y$6</f>
        <v>0.70000000000000018</v>
      </c>
      <c r="AB32" s="17">
        <f>'Rolling report'!CU32*'With Action'!$Y$6</f>
        <v>0.80000000000000016</v>
      </c>
      <c r="AC32" s="17">
        <f>'Rolling report'!CV32*'With Action'!$Y$6</f>
        <v>0.95000000000000018</v>
      </c>
      <c r="AD32" s="17">
        <f>'Rolling report'!CW32*'With Action'!$Y$6</f>
        <v>-5.000000000000001E-2</v>
      </c>
      <c r="AE32" s="17">
        <f>'Rolling report'!CX32*'With Action'!$Y$6</f>
        <v>0.55000000000000016</v>
      </c>
      <c r="AF32" s="17">
        <f>'Rolling report'!CY32*'With Action'!$Y$6</f>
        <v>-29.200000000000006</v>
      </c>
      <c r="AG32" s="17">
        <f>'Rolling report'!CZ32*'With Action'!$Y$6</f>
        <v>0</v>
      </c>
      <c r="AH32" s="17">
        <f>'Rolling report'!DA32*'With Action'!$Y$6</f>
        <v>0</v>
      </c>
      <c r="AI32" s="17">
        <f>'Rolling report'!DB32*'With Action'!$Y$6</f>
        <v>0</v>
      </c>
      <c r="AJ32" s="17">
        <f>'Rolling report'!DC32*'With Action'!$Y$6</f>
        <v>0</v>
      </c>
      <c r="AK32" s="17">
        <f>'Rolling report'!DD32*'With Action'!$Y$6</f>
        <v>0</v>
      </c>
      <c r="AL32" s="17">
        <f>'Rolling report'!DE32*'With Action'!$Y$6</f>
        <v>0</v>
      </c>
      <c r="AM32" s="17">
        <f>'Rolling report'!DF32*'With Action'!$Y$6</f>
        <v>0</v>
      </c>
      <c r="AN32" s="17">
        <f>'Rolling report'!DG32*'With Action'!$Y$6</f>
        <v>0</v>
      </c>
      <c r="AO32" s="17">
        <f>'Rolling report'!DH32*'With Action'!$Y$6</f>
        <v>0</v>
      </c>
      <c r="AP32" s="17">
        <f>'Rolling report'!DI32*'With Action'!$Y$6</f>
        <v>0</v>
      </c>
    </row>
    <row r="33" spans="1:42" x14ac:dyDescent="0.25">
      <c r="A33" s="4" t="s">
        <v>55</v>
      </c>
      <c r="B33" s="6" t="s">
        <v>56</v>
      </c>
      <c r="I33" s="17">
        <f>'Rolling report'!CB33*'With Action'!$Y$6</f>
        <v>8.7500000000000018</v>
      </c>
      <c r="J33" s="17">
        <f>'Rolling report'!CC33*'With Action'!$Y$6</f>
        <v>1.5000000000000002</v>
      </c>
      <c r="K33" s="17">
        <f>'Rolling report'!CD33*'With Action'!$Y$6</f>
        <v>1.7500000000000004</v>
      </c>
      <c r="L33" s="17">
        <f>'Rolling report'!CE33*'With Action'!$Y$6</f>
        <v>1.2000000000000002</v>
      </c>
      <c r="M33" s="17">
        <f>'Rolling report'!CF33*'With Action'!$Y$6</f>
        <v>0.8500000000000002</v>
      </c>
      <c r="N33" s="17">
        <f>'Rolling report'!CG33*'With Action'!$Y$6</f>
        <v>1.6500000000000004</v>
      </c>
      <c r="O33" s="17">
        <f>'Rolling report'!CH33*'With Action'!$Y$6</f>
        <v>1.7500000000000004</v>
      </c>
      <c r="P33" s="17">
        <f>'Rolling report'!CI33*'With Action'!$Y$6</f>
        <v>1.2000000000000002</v>
      </c>
      <c r="Q33" s="17">
        <f>'Rolling report'!CJ33*'With Action'!$Y$6</f>
        <v>0.80000000000000016</v>
      </c>
      <c r="R33" s="17">
        <f>'Rolling report'!CK33*'With Action'!$Y$6</f>
        <v>0.70000000000000018</v>
      </c>
      <c r="S33" s="17">
        <f>'Rolling report'!CL33*'With Action'!$Y$6</f>
        <v>0.20000000000000004</v>
      </c>
      <c r="T33" s="17">
        <f>'Rolling report'!CM33*'With Action'!$Y$6</f>
        <v>0.80000000000000016</v>
      </c>
      <c r="U33" s="17">
        <f>'Rolling report'!CN33*'With Action'!$Y$6</f>
        <v>1.1000000000000003</v>
      </c>
      <c r="V33" s="17">
        <f>'Rolling report'!CO33*'With Action'!$Y$6</f>
        <v>0.90000000000000013</v>
      </c>
      <c r="W33" s="17">
        <f>'Rolling report'!CP33*'With Action'!$Y$6</f>
        <v>0.40000000000000008</v>
      </c>
      <c r="X33" s="17">
        <f>'Rolling report'!CQ33*'With Action'!$Y$6</f>
        <v>0.60000000000000009</v>
      </c>
      <c r="Y33" s="17">
        <f>'Rolling report'!CR33*'With Action'!$Y$6</f>
        <v>0.20000000000000004</v>
      </c>
      <c r="Z33" s="17">
        <f>'Rolling report'!CS33*'With Action'!$Y$6</f>
        <v>0.70000000000000018</v>
      </c>
      <c r="AA33" s="17">
        <f>'Rolling report'!CT33*'With Action'!$Y$6</f>
        <v>0.65000000000000013</v>
      </c>
      <c r="AB33" s="17">
        <f>'Rolling report'!CU33*'With Action'!$Y$6</f>
        <v>0.70000000000000018</v>
      </c>
      <c r="AC33" s="17">
        <f>'Rolling report'!CV33*'With Action'!$Y$6</f>
        <v>0.30000000000000004</v>
      </c>
      <c r="AD33" s="17">
        <f>'Rolling report'!CW33*'With Action'!$Y$6</f>
        <v>0.45000000000000007</v>
      </c>
      <c r="AE33" s="17">
        <f>'Rolling report'!CX33*'With Action'!$Y$6</f>
        <v>0.25000000000000006</v>
      </c>
      <c r="AF33" s="17">
        <f>'Rolling report'!CY33*'With Action'!$Y$6</f>
        <v>-27.400000000000006</v>
      </c>
      <c r="AG33" s="17">
        <f>'Rolling report'!CZ33*'With Action'!$Y$6</f>
        <v>0</v>
      </c>
      <c r="AH33" s="17">
        <f>'Rolling report'!DA33*'With Action'!$Y$6</f>
        <v>0</v>
      </c>
      <c r="AI33" s="17">
        <f>'Rolling report'!DB33*'With Action'!$Y$6</f>
        <v>0</v>
      </c>
      <c r="AJ33" s="17">
        <f>'Rolling report'!DC33*'With Action'!$Y$6</f>
        <v>0</v>
      </c>
      <c r="AK33" s="17">
        <f>'Rolling report'!DD33*'With Action'!$Y$6</f>
        <v>0</v>
      </c>
      <c r="AL33" s="17">
        <f>'Rolling report'!DE33*'With Action'!$Y$6</f>
        <v>0</v>
      </c>
      <c r="AM33" s="17">
        <f>'Rolling report'!DF33*'With Action'!$Y$6</f>
        <v>0</v>
      </c>
      <c r="AN33" s="17">
        <f>'Rolling report'!DG33*'With Action'!$Y$6</f>
        <v>0</v>
      </c>
      <c r="AO33" s="17">
        <f>'Rolling report'!DH33*'With Action'!$Y$6</f>
        <v>0</v>
      </c>
      <c r="AP33" s="17">
        <f>'Rolling report'!DI33*'With Action'!$Y$6</f>
        <v>0</v>
      </c>
    </row>
    <row r="34" spans="1:42" x14ac:dyDescent="0.25">
      <c r="A34" s="4" t="s">
        <v>57</v>
      </c>
      <c r="B34" s="6" t="s">
        <v>58</v>
      </c>
      <c r="I34" s="17">
        <f>'Rolling report'!CB34*'With Action'!$Y$6</f>
        <v>0.50000000000000011</v>
      </c>
      <c r="J34" s="17">
        <f>'Rolling report'!CC34*'With Action'!$Y$6</f>
        <v>0.75000000000000011</v>
      </c>
      <c r="K34" s="17">
        <f>'Rolling report'!CD34*'With Action'!$Y$6</f>
        <v>0</v>
      </c>
      <c r="L34" s="17">
        <f>'Rolling report'!CE34*'With Action'!$Y$6</f>
        <v>0</v>
      </c>
      <c r="M34" s="17">
        <f>'Rolling report'!CF34*'With Action'!$Y$6</f>
        <v>0</v>
      </c>
      <c r="N34" s="17">
        <f>'Rolling report'!CG34*'With Action'!$Y$6</f>
        <v>0.25000000000000006</v>
      </c>
      <c r="O34" s="17">
        <f>'Rolling report'!CH34*'With Action'!$Y$6</f>
        <v>0.50000000000000011</v>
      </c>
      <c r="P34" s="17">
        <f>'Rolling report'!CI34*'With Action'!$Y$6</f>
        <v>0</v>
      </c>
      <c r="Q34" s="17">
        <f>'Rolling report'!CJ34*'With Action'!$Y$6</f>
        <v>0</v>
      </c>
      <c r="R34" s="17">
        <f>'Rolling report'!CK34*'With Action'!$Y$6</f>
        <v>0</v>
      </c>
      <c r="S34" s="17">
        <f>'Rolling report'!CL34*'With Action'!$Y$6</f>
        <v>0.25000000000000006</v>
      </c>
      <c r="T34" s="17">
        <f>'Rolling report'!CM34*'With Action'!$Y$6</f>
        <v>0</v>
      </c>
      <c r="U34" s="17">
        <f>'Rolling report'!CN34*'With Action'!$Y$6</f>
        <v>0</v>
      </c>
      <c r="V34" s="17">
        <f>'Rolling report'!CO34*'With Action'!$Y$6</f>
        <v>0</v>
      </c>
      <c r="W34" s="17">
        <f>'Rolling report'!CP34*'With Action'!$Y$6</f>
        <v>0</v>
      </c>
      <c r="X34" s="17">
        <f>'Rolling report'!CQ34*'With Action'!$Y$6</f>
        <v>0</v>
      </c>
      <c r="Y34" s="17">
        <f>'Rolling report'!CR34*'With Action'!$Y$6</f>
        <v>0</v>
      </c>
      <c r="Z34" s="17">
        <f>'Rolling report'!CS34*'With Action'!$Y$6</f>
        <v>0</v>
      </c>
      <c r="AA34" s="17">
        <f>'Rolling report'!CT34*'With Action'!$Y$6</f>
        <v>0.25000000000000006</v>
      </c>
      <c r="AB34" s="17">
        <f>'Rolling report'!CU34*'With Action'!$Y$6</f>
        <v>0</v>
      </c>
      <c r="AC34" s="17">
        <f>'Rolling report'!CV34*'With Action'!$Y$6</f>
        <v>0.25000000000000006</v>
      </c>
      <c r="AD34" s="17">
        <f>'Rolling report'!CW34*'With Action'!$Y$6</f>
        <v>-0.75000000000000011</v>
      </c>
      <c r="AE34" s="17">
        <f>'Rolling report'!CX34*'With Action'!$Y$6</f>
        <v>0</v>
      </c>
      <c r="AF34" s="17">
        <f>'Rolling report'!CY34*'With Action'!$Y$6</f>
        <v>-2.0000000000000004</v>
      </c>
      <c r="AG34" s="17">
        <f>'Rolling report'!CZ34*'With Action'!$Y$6</f>
        <v>0</v>
      </c>
      <c r="AH34" s="17">
        <f>'Rolling report'!DA34*'With Action'!$Y$6</f>
        <v>0</v>
      </c>
      <c r="AI34" s="17">
        <f>'Rolling report'!DB34*'With Action'!$Y$6</f>
        <v>0</v>
      </c>
      <c r="AJ34" s="17">
        <f>'Rolling report'!DC34*'With Action'!$Y$6</f>
        <v>0</v>
      </c>
      <c r="AK34" s="17">
        <f>'Rolling report'!DD34*'With Action'!$Y$6</f>
        <v>0</v>
      </c>
      <c r="AL34" s="17">
        <f>'Rolling report'!DE34*'With Action'!$Y$6</f>
        <v>0</v>
      </c>
      <c r="AM34" s="17">
        <f>'Rolling report'!DF34*'With Action'!$Y$6</f>
        <v>0</v>
      </c>
      <c r="AN34" s="17">
        <f>'Rolling report'!DG34*'With Action'!$Y$6</f>
        <v>0</v>
      </c>
      <c r="AO34" s="17">
        <f>'Rolling report'!DH34*'With Action'!$Y$6</f>
        <v>0</v>
      </c>
      <c r="AP34" s="17">
        <f>'Rolling report'!DI34*'With Action'!$Y$6</f>
        <v>0</v>
      </c>
    </row>
    <row r="35" spans="1:42" x14ac:dyDescent="0.25">
      <c r="A35" s="4" t="s">
        <v>59</v>
      </c>
      <c r="B35" s="6" t="s">
        <v>60</v>
      </c>
      <c r="I35" s="17">
        <f>'Rolling report'!CB35*'With Action'!$Y$6</f>
        <v>13.700000000000003</v>
      </c>
      <c r="J35" s="17">
        <f>'Rolling report'!CC35*'With Action'!$Y$6</f>
        <v>2.5500000000000007</v>
      </c>
      <c r="K35" s="17">
        <f>'Rolling report'!CD35*'With Action'!$Y$6</f>
        <v>3.5500000000000007</v>
      </c>
      <c r="L35" s="17">
        <f>'Rolling report'!CE35*'With Action'!$Y$6</f>
        <v>1.6500000000000004</v>
      </c>
      <c r="M35" s="17">
        <f>'Rolling report'!CF35*'With Action'!$Y$6</f>
        <v>3.3000000000000007</v>
      </c>
      <c r="N35" s="17">
        <f>'Rolling report'!CG35*'With Action'!$Y$6</f>
        <v>1.6000000000000003</v>
      </c>
      <c r="O35" s="17">
        <f>'Rolling report'!CH35*'With Action'!$Y$6</f>
        <v>2.4500000000000006</v>
      </c>
      <c r="P35" s="17">
        <f>'Rolling report'!CI35*'With Action'!$Y$6</f>
        <v>1.2000000000000002</v>
      </c>
      <c r="Q35" s="17">
        <f>'Rolling report'!CJ35*'With Action'!$Y$6</f>
        <v>1.0500000000000003</v>
      </c>
      <c r="R35" s="17">
        <f>'Rolling report'!CK35*'With Action'!$Y$6</f>
        <v>1.0000000000000002</v>
      </c>
      <c r="S35" s="17">
        <f>'Rolling report'!CL35*'With Action'!$Y$6</f>
        <v>1.0500000000000003</v>
      </c>
      <c r="T35" s="17">
        <f>'Rolling report'!CM35*'With Action'!$Y$6</f>
        <v>0.75000000000000011</v>
      </c>
      <c r="U35" s="17">
        <f>'Rolling report'!CN35*'With Action'!$Y$6</f>
        <v>1.5500000000000003</v>
      </c>
      <c r="V35" s="17">
        <f>'Rolling report'!CO35*'With Action'!$Y$6</f>
        <v>0.8500000000000002</v>
      </c>
      <c r="W35" s="17">
        <f>'Rolling report'!CP35*'With Action'!$Y$6</f>
        <v>0.50000000000000011</v>
      </c>
      <c r="X35" s="17">
        <f>'Rolling report'!CQ35*'With Action'!$Y$6</f>
        <v>0.30000000000000004</v>
      </c>
      <c r="Y35" s="17">
        <f>'Rolling report'!CR35*'With Action'!$Y$6</f>
        <v>0.80000000000000016</v>
      </c>
      <c r="Z35" s="17">
        <f>'Rolling report'!CS35*'With Action'!$Y$6</f>
        <v>5.000000000000001E-2</v>
      </c>
      <c r="AA35" s="17">
        <f>'Rolling report'!CT35*'With Action'!$Y$6</f>
        <v>1.2000000000000002</v>
      </c>
      <c r="AB35" s="17">
        <f>'Rolling report'!CU35*'With Action'!$Y$6</f>
        <v>1.0500000000000003</v>
      </c>
      <c r="AC35" s="17">
        <f>'Rolling report'!CV35*'With Action'!$Y$6</f>
        <v>1.1500000000000001</v>
      </c>
      <c r="AD35" s="17">
        <f>'Rolling report'!CW35*'With Action'!$Y$6</f>
        <v>-0.15000000000000002</v>
      </c>
      <c r="AE35" s="17">
        <f>'Rolling report'!CX35*'With Action'!$Y$6</f>
        <v>0.70000000000000018</v>
      </c>
      <c r="AF35" s="17">
        <f>'Rolling report'!CY35*'With Action'!$Y$6</f>
        <v>-41.850000000000009</v>
      </c>
      <c r="AG35" s="17">
        <f>'Rolling report'!CZ35*'With Action'!$Y$6</f>
        <v>0</v>
      </c>
      <c r="AH35" s="17">
        <f>'Rolling report'!DA35*'With Action'!$Y$6</f>
        <v>0</v>
      </c>
      <c r="AI35" s="17">
        <f>'Rolling report'!DB35*'With Action'!$Y$6</f>
        <v>0</v>
      </c>
      <c r="AJ35" s="17">
        <f>'Rolling report'!DC35*'With Action'!$Y$6</f>
        <v>0</v>
      </c>
      <c r="AK35" s="17">
        <f>'Rolling report'!DD35*'With Action'!$Y$6</f>
        <v>0</v>
      </c>
      <c r="AL35" s="17">
        <f>'Rolling report'!DE35*'With Action'!$Y$6</f>
        <v>0</v>
      </c>
      <c r="AM35" s="17">
        <f>'Rolling report'!DF35*'With Action'!$Y$6</f>
        <v>0</v>
      </c>
      <c r="AN35" s="17">
        <f>'Rolling report'!DG35*'With Action'!$Y$6</f>
        <v>0</v>
      </c>
      <c r="AO35" s="17">
        <f>'Rolling report'!DH35*'With Action'!$Y$6</f>
        <v>0</v>
      </c>
      <c r="AP35" s="17">
        <f>'Rolling report'!DI35*'With Action'!$Y$6</f>
        <v>0</v>
      </c>
    </row>
    <row r="36" spans="1:42" x14ac:dyDescent="0.25">
      <c r="A36" s="6" t="s">
        <v>61</v>
      </c>
      <c r="B36" s="6" t="s">
        <v>62</v>
      </c>
      <c r="I36" s="17">
        <f>'Rolling report'!CB36*'With Action'!$Y$6</f>
        <v>6.5000000000000009</v>
      </c>
      <c r="J36" s="17">
        <f>'Rolling report'!CC36*'With Action'!$Y$6</f>
        <v>2.0000000000000004</v>
      </c>
      <c r="K36" s="17">
        <f>'Rolling report'!CD36*'With Action'!$Y$6</f>
        <v>1.6000000000000003</v>
      </c>
      <c r="L36" s="17">
        <f>'Rolling report'!CE36*'With Action'!$Y$6</f>
        <v>1.4500000000000002</v>
      </c>
      <c r="M36" s="17">
        <f>'Rolling report'!CF36*'With Action'!$Y$6</f>
        <v>1.1500000000000001</v>
      </c>
      <c r="N36" s="17">
        <f>'Rolling report'!CG36*'With Action'!$Y$6</f>
        <v>0.55000000000000016</v>
      </c>
      <c r="O36" s="17">
        <f>'Rolling report'!CH36*'With Action'!$Y$6</f>
        <v>1.7000000000000004</v>
      </c>
      <c r="P36" s="17">
        <f>'Rolling report'!CI36*'With Action'!$Y$6</f>
        <v>0.65000000000000013</v>
      </c>
      <c r="Q36" s="17">
        <f>'Rolling report'!CJ36*'With Action'!$Y$6</f>
        <v>0.90000000000000013</v>
      </c>
      <c r="R36" s="17">
        <f>'Rolling report'!CK36*'With Action'!$Y$6</f>
        <v>0.60000000000000009</v>
      </c>
      <c r="S36" s="17">
        <f>'Rolling report'!CL36*'With Action'!$Y$6</f>
        <v>0.35000000000000009</v>
      </c>
      <c r="T36" s="17">
        <f>'Rolling report'!CM36*'With Action'!$Y$6</f>
        <v>0.70000000000000018</v>
      </c>
      <c r="U36" s="17">
        <f>'Rolling report'!CN36*'With Action'!$Y$6</f>
        <v>0.25000000000000006</v>
      </c>
      <c r="V36" s="17">
        <f>'Rolling report'!CO36*'With Action'!$Y$6</f>
        <v>0.8500000000000002</v>
      </c>
      <c r="W36" s="17">
        <f>'Rolling report'!CP36*'With Action'!$Y$6</f>
        <v>0.70000000000000018</v>
      </c>
      <c r="X36" s="17">
        <f>'Rolling report'!CQ36*'With Action'!$Y$6</f>
        <v>0.20000000000000004</v>
      </c>
      <c r="Y36" s="17">
        <f>'Rolling report'!CR36*'With Action'!$Y$6</f>
        <v>0.15000000000000002</v>
      </c>
      <c r="Z36" s="17">
        <f>'Rolling report'!CS36*'With Action'!$Y$6</f>
        <v>0.30000000000000004</v>
      </c>
      <c r="AA36" s="17">
        <f>'Rolling report'!CT36*'With Action'!$Y$6</f>
        <v>0.30000000000000004</v>
      </c>
      <c r="AB36" s="17">
        <f>'Rolling report'!CU36*'With Action'!$Y$6</f>
        <v>0.15000000000000002</v>
      </c>
      <c r="AC36" s="17">
        <f>'Rolling report'!CV36*'With Action'!$Y$6</f>
        <v>0.70000000000000018</v>
      </c>
      <c r="AD36" s="17">
        <f>'Rolling report'!CW36*'With Action'!$Y$6</f>
        <v>5.000000000000001E-2</v>
      </c>
      <c r="AE36" s="17">
        <f>'Rolling report'!CX36*'With Action'!$Y$6</f>
        <v>0.30000000000000004</v>
      </c>
      <c r="AF36" s="17">
        <f>'Rolling report'!CY36*'With Action'!$Y$6</f>
        <v>-22.100000000000005</v>
      </c>
      <c r="AG36" s="17">
        <f>'Rolling report'!CZ36*'With Action'!$Y$6</f>
        <v>0</v>
      </c>
      <c r="AH36" s="17">
        <f>'Rolling report'!DA36*'With Action'!$Y$6</f>
        <v>0</v>
      </c>
      <c r="AI36" s="17">
        <f>'Rolling report'!DB36*'With Action'!$Y$6</f>
        <v>0</v>
      </c>
      <c r="AJ36" s="17">
        <f>'Rolling report'!DC36*'With Action'!$Y$6</f>
        <v>0</v>
      </c>
      <c r="AK36" s="17">
        <f>'Rolling report'!DD36*'With Action'!$Y$6</f>
        <v>0</v>
      </c>
      <c r="AL36" s="17">
        <f>'Rolling report'!DE36*'With Action'!$Y$6</f>
        <v>0</v>
      </c>
      <c r="AM36" s="17">
        <f>'Rolling report'!DF36*'With Action'!$Y$6</f>
        <v>0</v>
      </c>
      <c r="AN36" s="17">
        <f>'Rolling report'!DG36*'With Action'!$Y$6</f>
        <v>0</v>
      </c>
      <c r="AO36" s="17">
        <f>'Rolling report'!DH36*'With Action'!$Y$6</f>
        <v>0</v>
      </c>
      <c r="AP36" s="17">
        <f>'Rolling report'!DI36*'With Action'!$Y$6</f>
        <v>0</v>
      </c>
    </row>
    <row r="37" spans="1:42" x14ac:dyDescent="0.25">
      <c r="A37" s="4" t="s">
        <v>63</v>
      </c>
      <c r="B37" s="6" t="s">
        <v>64</v>
      </c>
      <c r="I37" s="17">
        <f>'Rolling report'!CB37*'With Action'!$Y$6</f>
        <v>2.2500000000000004</v>
      </c>
      <c r="J37" s="17">
        <f>'Rolling report'!CC37*'With Action'!$Y$6</f>
        <v>0.15000000000000002</v>
      </c>
      <c r="K37" s="17">
        <f>'Rolling report'!CD37*'With Action'!$Y$6</f>
        <v>0.70000000000000018</v>
      </c>
      <c r="L37" s="17">
        <f>'Rolling report'!CE37*'With Action'!$Y$6</f>
        <v>0.55000000000000016</v>
      </c>
      <c r="M37" s="17">
        <f>'Rolling report'!CF37*'With Action'!$Y$6</f>
        <v>0.75000000000000011</v>
      </c>
      <c r="N37" s="17">
        <f>'Rolling report'!CG37*'With Action'!$Y$6</f>
        <v>0.20000000000000004</v>
      </c>
      <c r="O37" s="17">
        <f>'Rolling report'!CH37*'With Action'!$Y$6</f>
        <v>0.65000000000000013</v>
      </c>
      <c r="P37" s="17">
        <f>'Rolling report'!CI37*'With Action'!$Y$6</f>
        <v>0.25000000000000006</v>
      </c>
      <c r="Q37" s="17">
        <f>'Rolling report'!CJ37*'With Action'!$Y$6</f>
        <v>0.55000000000000016</v>
      </c>
      <c r="R37" s="17">
        <f>'Rolling report'!CK37*'With Action'!$Y$6</f>
        <v>5.000000000000001E-2</v>
      </c>
      <c r="S37" s="17">
        <f>'Rolling report'!CL37*'With Action'!$Y$6</f>
        <v>5.000000000000001E-2</v>
      </c>
      <c r="T37" s="17">
        <f>'Rolling report'!CM37*'With Action'!$Y$6</f>
        <v>0.25000000000000006</v>
      </c>
      <c r="U37" s="17">
        <f>'Rolling report'!CN37*'With Action'!$Y$6</f>
        <v>0.30000000000000004</v>
      </c>
      <c r="V37" s="17">
        <f>'Rolling report'!CO37*'With Action'!$Y$6</f>
        <v>0.60000000000000009</v>
      </c>
      <c r="W37" s="17">
        <f>'Rolling report'!CP37*'With Action'!$Y$6</f>
        <v>0.45000000000000007</v>
      </c>
      <c r="X37" s="17">
        <f>'Rolling report'!CQ37*'With Action'!$Y$6</f>
        <v>0</v>
      </c>
      <c r="Y37" s="17">
        <f>'Rolling report'!CR37*'With Action'!$Y$6</f>
        <v>0.30000000000000004</v>
      </c>
      <c r="Z37" s="17">
        <f>'Rolling report'!CS37*'With Action'!$Y$6</f>
        <v>0.35000000000000009</v>
      </c>
      <c r="AA37" s="17">
        <f>'Rolling report'!CT37*'With Action'!$Y$6</f>
        <v>0.30000000000000004</v>
      </c>
      <c r="AB37" s="17">
        <f>'Rolling report'!CU37*'With Action'!$Y$6</f>
        <v>0.65000000000000013</v>
      </c>
      <c r="AC37" s="17">
        <f>'Rolling report'!CV37*'With Action'!$Y$6</f>
        <v>0.50000000000000011</v>
      </c>
      <c r="AD37" s="17">
        <f>'Rolling report'!CW37*'With Action'!$Y$6</f>
        <v>-5.000000000000001E-2</v>
      </c>
      <c r="AE37" s="17">
        <f>'Rolling report'!CX37*'With Action'!$Y$6</f>
        <v>0.40000000000000008</v>
      </c>
      <c r="AF37" s="17">
        <f>'Rolling report'!CY37*'With Action'!$Y$6</f>
        <v>-10.200000000000003</v>
      </c>
      <c r="AG37" s="17">
        <f>'Rolling report'!CZ37*'With Action'!$Y$6</f>
        <v>0</v>
      </c>
      <c r="AH37" s="17">
        <f>'Rolling report'!DA37*'With Action'!$Y$6</f>
        <v>0</v>
      </c>
      <c r="AI37" s="17">
        <f>'Rolling report'!DB37*'With Action'!$Y$6</f>
        <v>0</v>
      </c>
      <c r="AJ37" s="17">
        <f>'Rolling report'!DC37*'With Action'!$Y$6</f>
        <v>0</v>
      </c>
      <c r="AK37" s="17">
        <f>'Rolling report'!DD37*'With Action'!$Y$6</f>
        <v>0</v>
      </c>
      <c r="AL37" s="17">
        <f>'Rolling report'!DE37*'With Action'!$Y$6</f>
        <v>0</v>
      </c>
      <c r="AM37" s="17">
        <f>'Rolling report'!DF37*'With Action'!$Y$6</f>
        <v>0</v>
      </c>
      <c r="AN37" s="17">
        <f>'Rolling report'!DG37*'With Action'!$Y$6</f>
        <v>0</v>
      </c>
      <c r="AO37" s="17">
        <f>'Rolling report'!DH37*'With Action'!$Y$6</f>
        <v>0</v>
      </c>
      <c r="AP37" s="17">
        <f>'Rolling report'!DI37*'With Action'!$Y$6</f>
        <v>0</v>
      </c>
    </row>
    <row r="38" spans="1:42" x14ac:dyDescent="0.25">
      <c r="A38" s="4" t="s">
        <v>65</v>
      </c>
      <c r="B38" s="6" t="s">
        <v>66</v>
      </c>
      <c r="I38" s="17">
        <f>'Rolling report'!CB38*'With Action'!$Y$6</f>
        <v>8.8000000000000025</v>
      </c>
      <c r="J38" s="17">
        <f>'Rolling report'!CC38*'With Action'!$Y$6</f>
        <v>1.2500000000000002</v>
      </c>
      <c r="K38" s="17">
        <f>'Rolling report'!CD38*'With Action'!$Y$6</f>
        <v>1.3000000000000003</v>
      </c>
      <c r="L38" s="17">
        <f>'Rolling report'!CE38*'With Action'!$Y$6</f>
        <v>1.6000000000000003</v>
      </c>
      <c r="M38" s="17">
        <f>'Rolling report'!CF38*'With Action'!$Y$6</f>
        <v>1.1000000000000003</v>
      </c>
      <c r="N38" s="17">
        <f>'Rolling report'!CG38*'With Action'!$Y$6</f>
        <v>0.95000000000000018</v>
      </c>
      <c r="O38" s="17">
        <f>'Rolling report'!CH38*'With Action'!$Y$6</f>
        <v>0.80000000000000016</v>
      </c>
      <c r="P38" s="17">
        <f>'Rolling report'!CI38*'With Action'!$Y$6</f>
        <v>0.35000000000000009</v>
      </c>
      <c r="Q38" s="17">
        <f>'Rolling report'!CJ38*'With Action'!$Y$6</f>
        <v>0.95000000000000018</v>
      </c>
      <c r="R38" s="17">
        <f>'Rolling report'!CK38*'With Action'!$Y$6</f>
        <v>0.50000000000000011</v>
      </c>
      <c r="S38" s="17">
        <f>'Rolling report'!CL38*'With Action'!$Y$6</f>
        <v>0.45000000000000007</v>
      </c>
      <c r="T38" s="17">
        <f>'Rolling report'!CM38*'With Action'!$Y$6</f>
        <v>1.0500000000000003</v>
      </c>
      <c r="U38" s="17">
        <f>'Rolling report'!CN38*'With Action'!$Y$6</f>
        <v>0.20000000000000004</v>
      </c>
      <c r="V38" s="17">
        <f>'Rolling report'!CO38*'With Action'!$Y$6</f>
        <v>0.35000000000000009</v>
      </c>
      <c r="W38" s="17">
        <f>'Rolling report'!CP38*'With Action'!$Y$6</f>
        <v>0.65000000000000013</v>
      </c>
      <c r="X38" s="17">
        <f>'Rolling report'!CQ38*'With Action'!$Y$6</f>
        <v>0.50000000000000011</v>
      </c>
      <c r="Y38" s="17">
        <f>'Rolling report'!CR38*'With Action'!$Y$6</f>
        <v>0.30000000000000004</v>
      </c>
      <c r="Z38" s="17">
        <f>'Rolling report'!CS38*'With Action'!$Y$6</f>
        <v>0.40000000000000008</v>
      </c>
      <c r="AA38" s="17">
        <f>'Rolling report'!CT38*'With Action'!$Y$6</f>
        <v>0.45000000000000007</v>
      </c>
      <c r="AB38" s="17">
        <f>'Rolling report'!CU38*'With Action'!$Y$6</f>
        <v>0.40000000000000008</v>
      </c>
      <c r="AC38" s="17">
        <f>'Rolling report'!CV38*'With Action'!$Y$6</f>
        <v>0.8500000000000002</v>
      </c>
      <c r="AD38" s="17">
        <f>'Rolling report'!CW38*'With Action'!$Y$6</f>
        <v>-0.30000000000000004</v>
      </c>
      <c r="AE38" s="17">
        <f>'Rolling report'!CX38*'With Action'!$Y$6</f>
        <v>0.30000000000000004</v>
      </c>
      <c r="AF38" s="17">
        <f>'Rolling report'!CY38*'With Action'!$Y$6</f>
        <v>-23.200000000000003</v>
      </c>
      <c r="AG38" s="17">
        <f>'Rolling report'!CZ38*'With Action'!$Y$6</f>
        <v>0</v>
      </c>
      <c r="AH38" s="17">
        <f>'Rolling report'!DA38*'With Action'!$Y$6</f>
        <v>0</v>
      </c>
      <c r="AI38" s="17">
        <f>'Rolling report'!DB38*'With Action'!$Y$6</f>
        <v>0</v>
      </c>
      <c r="AJ38" s="17">
        <f>'Rolling report'!DC38*'With Action'!$Y$6</f>
        <v>0</v>
      </c>
      <c r="AK38" s="17">
        <f>'Rolling report'!DD38*'With Action'!$Y$6</f>
        <v>0</v>
      </c>
      <c r="AL38" s="17">
        <f>'Rolling report'!DE38*'With Action'!$Y$6</f>
        <v>0</v>
      </c>
      <c r="AM38" s="17">
        <f>'Rolling report'!DF38*'With Action'!$Y$6</f>
        <v>0</v>
      </c>
      <c r="AN38" s="17">
        <f>'Rolling report'!DG38*'With Action'!$Y$6</f>
        <v>0</v>
      </c>
      <c r="AO38" s="17">
        <f>'Rolling report'!DH38*'With Action'!$Y$6</f>
        <v>0</v>
      </c>
      <c r="AP38" s="17">
        <f>'Rolling report'!DI38*'With Action'!$Y$6</f>
        <v>0</v>
      </c>
    </row>
    <row r="39" spans="1:42" x14ac:dyDescent="0.25">
      <c r="A39" s="4" t="s">
        <v>67</v>
      </c>
      <c r="B39" s="6" t="s">
        <v>68</v>
      </c>
      <c r="I39" s="17">
        <f>'Rolling report'!CB39*'With Action'!$Y$6</f>
        <v>9.2000000000000011</v>
      </c>
      <c r="J39" s="17">
        <f>'Rolling report'!CC39*'With Action'!$Y$6</f>
        <v>2.6500000000000004</v>
      </c>
      <c r="K39" s="17">
        <f>'Rolling report'!CD39*'With Action'!$Y$6</f>
        <v>1.7000000000000004</v>
      </c>
      <c r="L39" s="17">
        <f>'Rolling report'!CE39*'With Action'!$Y$6</f>
        <v>1.9000000000000004</v>
      </c>
      <c r="M39" s="17">
        <f>'Rolling report'!CF39*'With Action'!$Y$6</f>
        <v>1.1500000000000001</v>
      </c>
      <c r="N39" s="17">
        <f>'Rolling report'!CG39*'With Action'!$Y$6</f>
        <v>0.95000000000000018</v>
      </c>
      <c r="O39" s="17">
        <f>'Rolling report'!CH39*'With Action'!$Y$6</f>
        <v>1.0000000000000002</v>
      </c>
      <c r="P39" s="17">
        <f>'Rolling report'!CI39*'With Action'!$Y$6</f>
        <v>0.8500000000000002</v>
      </c>
      <c r="Q39" s="17">
        <f>'Rolling report'!CJ39*'With Action'!$Y$6</f>
        <v>1.7500000000000004</v>
      </c>
      <c r="R39" s="17">
        <f>'Rolling report'!CK39*'With Action'!$Y$6</f>
        <v>1.3500000000000003</v>
      </c>
      <c r="S39" s="17">
        <f>'Rolling report'!CL39*'With Action'!$Y$6</f>
        <v>0.65000000000000013</v>
      </c>
      <c r="T39" s="17">
        <f>'Rolling report'!CM39*'With Action'!$Y$6</f>
        <v>1.8500000000000003</v>
      </c>
      <c r="U39" s="17">
        <f>'Rolling report'!CN39*'With Action'!$Y$6</f>
        <v>0.90000000000000013</v>
      </c>
      <c r="V39" s="17">
        <f>'Rolling report'!CO39*'With Action'!$Y$6</f>
        <v>1.0500000000000003</v>
      </c>
      <c r="W39" s="17">
        <f>'Rolling report'!CP39*'With Action'!$Y$6</f>
        <v>0.8500000000000002</v>
      </c>
      <c r="X39" s="17">
        <f>'Rolling report'!CQ39*'With Action'!$Y$6</f>
        <v>0.25000000000000006</v>
      </c>
      <c r="Y39" s="17">
        <f>'Rolling report'!CR39*'With Action'!$Y$6</f>
        <v>0.70000000000000018</v>
      </c>
      <c r="Z39" s="17">
        <f>'Rolling report'!CS39*'With Action'!$Y$6</f>
        <v>0.40000000000000008</v>
      </c>
      <c r="AA39" s="17">
        <f>'Rolling report'!CT39*'With Action'!$Y$6</f>
        <v>0.80000000000000016</v>
      </c>
      <c r="AB39" s="17">
        <f>'Rolling report'!CU39*'With Action'!$Y$6</f>
        <v>0.25000000000000006</v>
      </c>
      <c r="AC39" s="17">
        <f>'Rolling report'!CV39*'With Action'!$Y$6</f>
        <v>1.9500000000000004</v>
      </c>
      <c r="AD39" s="17">
        <f>'Rolling report'!CW39*'With Action'!$Y$6</f>
        <v>0.10000000000000002</v>
      </c>
      <c r="AE39" s="17">
        <f>'Rolling report'!CX39*'With Action'!$Y$6</f>
        <v>0.90000000000000013</v>
      </c>
      <c r="AF39" s="17">
        <f>'Rolling report'!CY39*'With Action'!$Y$6</f>
        <v>-33.150000000000006</v>
      </c>
      <c r="AG39" s="17">
        <f>'Rolling report'!CZ39*'With Action'!$Y$6</f>
        <v>0</v>
      </c>
      <c r="AH39" s="17">
        <f>'Rolling report'!DA39*'With Action'!$Y$6</f>
        <v>0</v>
      </c>
      <c r="AI39" s="17">
        <f>'Rolling report'!DB39*'With Action'!$Y$6</f>
        <v>0</v>
      </c>
      <c r="AJ39" s="17">
        <f>'Rolling report'!DC39*'With Action'!$Y$6</f>
        <v>0</v>
      </c>
      <c r="AK39" s="17">
        <f>'Rolling report'!DD39*'With Action'!$Y$6</f>
        <v>0</v>
      </c>
      <c r="AL39" s="17">
        <f>'Rolling report'!DE39*'With Action'!$Y$6</f>
        <v>0</v>
      </c>
      <c r="AM39" s="17">
        <f>'Rolling report'!DF39*'With Action'!$Y$6</f>
        <v>0</v>
      </c>
      <c r="AN39" s="17">
        <f>'Rolling report'!DG39*'With Action'!$Y$6</f>
        <v>0</v>
      </c>
      <c r="AO39" s="17">
        <f>'Rolling report'!DH39*'With Action'!$Y$6</f>
        <v>0</v>
      </c>
      <c r="AP39" s="17">
        <f>'Rolling report'!DI39*'With Action'!$Y$6</f>
        <v>0</v>
      </c>
    </row>
    <row r="40" spans="1:42" x14ac:dyDescent="0.25">
      <c r="A40" s="4" t="s">
        <v>69</v>
      </c>
      <c r="B40" s="6" t="s">
        <v>70</v>
      </c>
      <c r="I40" s="17">
        <f>'Rolling report'!CB40*'With Action'!$Y$6</f>
        <v>1.2000000000000002</v>
      </c>
      <c r="J40" s="17">
        <f>'Rolling report'!CC40*'With Action'!$Y$6</f>
        <v>0.65000000000000013</v>
      </c>
      <c r="K40" s="17">
        <f>'Rolling report'!CD40*'With Action'!$Y$6</f>
        <v>0.55000000000000016</v>
      </c>
      <c r="L40" s="17">
        <f>'Rolling report'!CE40*'With Action'!$Y$6</f>
        <v>0.20000000000000004</v>
      </c>
      <c r="M40" s="17">
        <f>'Rolling report'!CF40*'With Action'!$Y$6</f>
        <v>0.25000000000000006</v>
      </c>
      <c r="N40" s="17">
        <f>'Rolling report'!CG40*'With Action'!$Y$6</f>
        <v>0.35000000000000009</v>
      </c>
      <c r="O40" s="17">
        <f>'Rolling report'!CH40*'With Action'!$Y$6</f>
        <v>0.10000000000000002</v>
      </c>
      <c r="P40" s="17">
        <f>'Rolling report'!CI40*'With Action'!$Y$6</f>
        <v>5.000000000000001E-2</v>
      </c>
      <c r="Q40" s="17">
        <f>'Rolling report'!CJ40*'With Action'!$Y$6</f>
        <v>0.35000000000000009</v>
      </c>
      <c r="R40" s="17">
        <f>'Rolling report'!CK40*'With Action'!$Y$6</f>
        <v>0</v>
      </c>
      <c r="S40" s="17">
        <f>'Rolling report'!CL40*'With Action'!$Y$6</f>
        <v>0</v>
      </c>
      <c r="T40" s="17">
        <f>'Rolling report'!CM40*'With Action'!$Y$6</f>
        <v>5.000000000000001E-2</v>
      </c>
      <c r="U40" s="17">
        <f>'Rolling report'!CN40*'With Action'!$Y$6</f>
        <v>0.30000000000000004</v>
      </c>
      <c r="V40" s="17">
        <f>'Rolling report'!CO40*'With Action'!$Y$6</f>
        <v>0</v>
      </c>
      <c r="W40" s="17">
        <f>'Rolling report'!CP40*'With Action'!$Y$6</f>
        <v>5.000000000000001E-2</v>
      </c>
      <c r="X40" s="17">
        <f>'Rolling report'!CQ40*'With Action'!$Y$6</f>
        <v>0.10000000000000002</v>
      </c>
      <c r="Y40" s="17">
        <f>'Rolling report'!CR40*'With Action'!$Y$6</f>
        <v>0</v>
      </c>
      <c r="Z40" s="17">
        <f>'Rolling report'!CS40*'With Action'!$Y$6</f>
        <v>0</v>
      </c>
      <c r="AA40" s="17">
        <f>'Rolling report'!CT40*'With Action'!$Y$6</f>
        <v>0.40000000000000008</v>
      </c>
      <c r="AB40" s="17">
        <f>'Rolling report'!CU40*'With Action'!$Y$6</f>
        <v>0</v>
      </c>
      <c r="AC40" s="17">
        <f>'Rolling report'!CV40*'With Action'!$Y$6</f>
        <v>0</v>
      </c>
      <c r="AD40" s="17">
        <f>'Rolling report'!CW40*'With Action'!$Y$6</f>
        <v>0</v>
      </c>
      <c r="AE40" s="17">
        <f>'Rolling report'!CX40*'With Action'!$Y$6</f>
        <v>5.000000000000001E-2</v>
      </c>
      <c r="AF40" s="17">
        <f>'Rolling report'!CY40*'With Action'!$Y$6</f>
        <v>-4.6500000000000012</v>
      </c>
      <c r="AG40" s="17">
        <f>'Rolling report'!CZ40*'With Action'!$Y$6</f>
        <v>0</v>
      </c>
      <c r="AH40" s="17">
        <f>'Rolling report'!DA40*'With Action'!$Y$6</f>
        <v>0</v>
      </c>
      <c r="AI40" s="17">
        <f>'Rolling report'!DB40*'With Action'!$Y$6</f>
        <v>0</v>
      </c>
      <c r="AJ40" s="17">
        <f>'Rolling report'!DC40*'With Action'!$Y$6</f>
        <v>0</v>
      </c>
      <c r="AK40" s="17">
        <f>'Rolling report'!DD40*'With Action'!$Y$6</f>
        <v>0</v>
      </c>
      <c r="AL40" s="17">
        <f>'Rolling report'!DE40*'With Action'!$Y$6</f>
        <v>0</v>
      </c>
      <c r="AM40" s="17">
        <f>'Rolling report'!DF40*'With Action'!$Y$6</f>
        <v>0</v>
      </c>
      <c r="AN40" s="17">
        <f>'Rolling report'!DG40*'With Action'!$Y$6</f>
        <v>0</v>
      </c>
      <c r="AO40" s="17">
        <f>'Rolling report'!DH40*'With Action'!$Y$6</f>
        <v>0</v>
      </c>
      <c r="AP40" s="17">
        <f>'Rolling report'!DI40*'With Action'!$Y$6</f>
        <v>0</v>
      </c>
    </row>
    <row r="41" spans="1:42" x14ac:dyDescent="0.25">
      <c r="A41" s="4" t="s">
        <v>71</v>
      </c>
      <c r="B41" s="6" t="s">
        <v>72</v>
      </c>
      <c r="I41" s="17">
        <f>'Rolling report'!CB41*'With Action'!$Y$6</f>
        <v>2.6500000000000004</v>
      </c>
      <c r="J41" s="17">
        <f>'Rolling report'!CC41*'With Action'!$Y$6</f>
        <v>0.65000000000000013</v>
      </c>
      <c r="K41" s="17">
        <f>'Rolling report'!CD41*'With Action'!$Y$6</f>
        <v>5.000000000000001E-2</v>
      </c>
      <c r="L41" s="17">
        <f>'Rolling report'!CE41*'With Action'!$Y$6</f>
        <v>0.35000000000000009</v>
      </c>
      <c r="M41" s="17">
        <f>'Rolling report'!CF41*'With Action'!$Y$6</f>
        <v>0.20000000000000004</v>
      </c>
      <c r="N41" s="17">
        <f>'Rolling report'!CG41*'With Action'!$Y$6</f>
        <v>0</v>
      </c>
      <c r="O41" s="17">
        <f>'Rolling report'!CH41*'With Action'!$Y$6</f>
        <v>0</v>
      </c>
      <c r="P41" s="17">
        <f>'Rolling report'!CI41*'With Action'!$Y$6</f>
        <v>0.15000000000000002</v>
      </c>
      <c r="Q41" s="17">
        <f>'Rolling report'!CJ41*'With Action'!$Y$6</f>
        <v>0.30000000000000004</v>
      </c>
      <c r="R41" s="17">
        <f>'Rolling report'!CK41*'With Action'!$Y$6</f>
        <v>0.20000000000000004</v>
      </c>
      <c r="S41" s="17">
        <f>'Rolling report'!CL41*'With Action'!$Y$6</f>
        <v>0</v>
      </c>
      <c r="T41" s="17">
        <f>'Rolling report'!CM41*'With Action'!$Y$6</f>
        <v>0.50000000000000011</v>
      </c>
      <c r="U41" s="17">
        <f>'Rolling report'!CN41*'With Action'!$Y$6</f>
        <v>0.60000000000000009</v>
      </c>
      <c r="V41" s="17">
        <f>'Rolling report'!CO41*'With Action'!$Y$6</f>
        <v>5.000000000000001E-2</v>
      </c>
      <c r="W41" s="17">
        <f>'Rolling report'!CP41*'With Action'!$Y$6</f>
        <v>0.60000000000000009</v>
      </c>
      <c r="X41" s="17">
        <f>'Rolling report'!CQ41*'With Action'!$Y$6</f>
        <v>0.25000000000000006</v>
      </c>
      <c r="Y41" s="17">
        <f>'Rolling report'!CR41*'With Action'!$Y$6</f>
        <v>0.10000000000000002</v>
      </c>
      <c r="Z41" s="17">
        <f>'Rolling report'!CS41*'With Action'!$Y$6</f>
        <v>0.10000000000000002</v>
      </c>
      <c r="AA41" s="17">
        <f>'Rolling report'!CT41*'With Action'!$Y$6</f>
        <v>0</v>
      </c>
      <c r="AB41" s="17">
        <f>'Rolling report'!CU41*'With Action'!$Y$6</f>
        <v>0.10000000000000002</v>
      </c>
      <c r="AC41" s="17">
        <f>'Rolling report'!CV41*'With Action'!$Y$6</f>
        <v>0.10000000000000002</v>
      </c>
      <c r="AD41" s="17">
        <f>'Rolling report'!CW41*'With Action'!$Y$6</f>
        <v>5.000000000000001E-2</v>
      </c>
      <c r="AE41" s="17">
        <f>'Rolling report'!CX41*'With Action'!$Y$6</f>
        <v>0.10000000000000002</v>
      </c>
      <c r="AF41" s="17">
        <f>'Rolling report'!CY41*'With Action'!$Y$6</f>
        <v>-7.1000000000000014</v>
      </c>
      <c r="AG41" s="17">
        <f>'Rolling report'!CZ41*'With Action'!$Y$6</f>
        <v>0</v>
      </c>
      <c r="AH41" s="17">
        <f>'Rolling report'!DA41*'With Action'!$Y$6</f>
        <v>0</v>
      </c>
      <c r="AI41" s="17">
        <f>'Rolling report'!DB41*'With Action'!$Y$6</f>
        <v>0</v>
      </c>
      <c r="AJ41" s="17">
        <f>'Rolling report'!DC41*'With Action'!$Y$6</f>
        <v>0</v>
      </c>
      <c r="AK41" s="17">
        <f>'Rolling report'!DD41*'With Action'!$Y$6</f>
        <v>0</v>
      </c>
      <c r="AL41" s="17">
        <f>'Rolling report'!DE41*'With Action'!$Y$6</f>
        <v>0</v>
      </c>
      <c r="AM41" s="17">
        <f>'Rolling report'!DF41*'With Action'!$Y$6</f>
        <v>0</v>
      </c>
      <c r="AN41" s="17">
        <f>'Rolling report'!DG41*'With Action'!$Y$6</f>
        <v>0</v>
      </c>
      <c r="AO41" s="17">
        <f>'Rolling report'!DH41*'With Action'!$Y$6</f>
        <v>0</v>
      </c>
      <c r="AP41" s="17">
        <f>'Rolling report'!DI41*'With Action'!$Y$6</f>
        <v>0</v>
      </c>
    </row>
    <row r="42" spans="1:42" x14ac:dyDescent="0.25">
      <c r="A42" s="6" t="s">
        <v>73</v>
      </c>
      <c r="B42" s="6" t="s">
        <v>74</v>
      </c>
      <c r="I42" s="17">
        <f>'Rolling report'!CB42*'With Action'!$Y$6</f>
        <v>17.650000000000002</v>
      </c>
      <c r="J42" s="17">
        <f>'Rolling report'!CC42*'With Action'!$Y$6</f>
        <v>2.4000000000000004</v>
      </c>
      <c r="K42" s="17">
        <f>'Rolling report'!CD42*'With Action'!$Y$6</f>
        <v>3.8500000000000005</v>
      </c>
      <c r="L42" s="17">
        <f>'Rolling report'!CE42*'With Action'!$Y$6</f>
        <v>4.1500000000000012</v>
      </c>
      <c r="M42" s="17">
        <f>'Rolling report'!CF42*'With Action'!$Y$6</f>
        <v>2.1500000000000004</v>
      </c>
      <c r="N42" s="17">
        <f>'Rolling report'!CG42*'With Action'!$Y$6</f>
        <v>1.9000000000000004</v>
      </c>
      <c r="O42" s="17">
        <f>'Rolling report'!CH42*'With Action'!$Y$6</f>
        <v>4.1000000000000005</v>
      </c>
      <c r="P42" s="17">
        <f>'Rolling report'!CI42*'With Action'!$Y$6</f>
        <v>2.2000000000000006</v>
      </c>
      <c r="Q42" s="17">
        <f>'Rolling report'!CJ42*'With Action'!$Y$6</f>
        <v>2.3500000000000005</v>
      </c>
      <c r="R42" s="17">
        <f>'Rolling report'!CK42*'With Action'!$Y$6</f>
        <v>2.4000000000000004</v>
      </c>
      <c r="S42" s="17">
        <f>'Rolling report'!CL42*'With Action'!$Y$6</f>
        <v>1.3000000000000003</v>
      </c>
      <c r="T42" s="17">
        <f>'Rolling report'!CM42*'With Action'!$Y$6</f>
        <v>1.6500000000000004</v>
      </c>
      <c r="U42" s="17">
        <f>'Rolling report'!CN42*'With Action'!$Y$6</f>
        <v>1.5500000000000003</v>
      </c>
      <c r="V42" s="17">
        <f>'Rolling report'!CO42*'With Action'!$Y$6</f>
        <v>1.3000000000000003</v>
      </c>
      <c r="W42" s="17">
        <f>'Rolling report'!CP42*'With Action'!$Y$6</f>
        <v>1.0000000000000002</v>
      </c>
      <c r="X42" s="17">
        <f>'Rolling report'!CQ42*'With Action'!$Y$6</f>
        <v>1.2500000000000002</v>
      </c>
      <c r="Y42" s="17">
        <f>'Rolling report'!CR42*'With Action'!$Y$6</f>
        <v>1.4500000000000002</v>
      </c>
      <c r="Z42" s="17">
        <f>'Rolling report'!CS42*'With Action'!$Y$6</f>
        <v>0.90000000000000013</v>
      </c>
      <c r="AA42" s="17">
        <f>'Rolling report'!CT42*'With Action'!$Y$6</f>
        <v>1.0000000000000002</v>
      </c>
      <c r="AB42" s="17">
        <f>'Rolling report'!CU42*'With Action'!$Y$6</f>
        <v>0.65000000000000013</v>
      </c>
      <c r="AC42" s="17">
        <f>'Rolling report'!CV42*'With Action'!$Y$6</f>
        <v>1.4000000000000004</v>
      </c>
      <c r="AD42" s="17">
        <f>'Rolling report'!CW42*'With Action'!$Y$6</f>
        <v>5.000000000000001E-2</v>
      </c>
      <c r="AE42" s="17">
        <f>'Rolling report'!CX42*'With Action'!$Y$6</f>
        <v>1.1000000000000003</v>
      </c>
      <c r="AF42" s="17">
        <f>'Rolling report'!CY42*'With Action'!$Y$6</f>
        <v>-57.750000000000014</v>
      </c>
      <c r="AG42" s="17">
        <f>'Rolling report'!CZ42*'With Action'!$Y$6</f>
        <v>0</v>
      </c>
      <c r="AH42" s="17">
        <f>'Rolling report'!DA42*'With Action'!$Y$6</f>
        <v>0</v>
      </c>
      <c r="AI42" s="17">
        <f>'Rolling report'!DB42*'With Action'!$Y$6</f>
        <v>0</v>
      </c>
      <c r="AJ42" s="17">
        <f>'Rolling report'!DC42*'With Action'!$Y$6</f>
        <v>0</v>
      </c>
      <c r="AK42" s="17">
        <f>'Rolling report'!DD42*'With Action'!$Y$6</f>
        <v>0</v>
      </c>
      <c r="AL42" s="17">
        <f>'Rolling report'!DE42*'With Action'!$Y$6</f>
        <v>0</v>
      </c>
      <c r="AM42" s="17">
        <f>'Rolling report'!DF42*'With Action'!$Y$6</f>
        <v>0</v>
      </c>
      <c r="AN42" s="17">
        <f>'Rolling report'!DG42*'With Action'!$Y$6</f>
        <v>0</v>
      </c>
      <c r="AO42" s="17">
        <f>'Rolling report'!DH42*'With Action'!$Y$6</f>
        <v>0</v>
      </c>
      <c r="AP42" s="17">
        <f>'Rolling report'!DI42*'With Action'!$Y$6</f>
        <v>0</v>
      </c>
    </row>
    <row r="43" spans="1:42" x14ac:dyDescent="0.25">
      <c r="A43" s="6" t="s">
        <v>75</v>
      </c>
      <c r="B43" s="6" t="s">
        <v>76</v>
      </c>
      <c r="I43" s="17">
        <f>'Rolling report'!CB43*'With Action'!$Y$6</f>
        <v>25.100000000000005</v>
      </c>
      <c r="J43" s="17">
        <f>'Rolling report'!CC43*'With Action'!$Y$6</f>
        <v>4.4500000000000011</v>
      </c>
      <c r="K43" s="17">
        <f>'Rolling report'!CD43*'With Action'!$Y$6</f>
        <v>2.6500000000000004</v>
      </c>
      <c r="L43" s="17">
        <f>'Rolling report'!CE43*'With Action'!$Y$6</f>
        <v>4.1500000000000012</v>
      </c>
      <c r="M43" s="17">
        <f>'Rolling report'!CF43*'With Action'!$Y$6</f>
        <v>4.5000000000000009</v>
      </c>
      <c r="N43" s="17">
        <f>'Rolling report'!CG43*'With Action'!$Y$6</f>
        <v>4.8500000000000005</v>
      </c>
      <c r="O43" s="17">
        <f>'Rolling report'!CH43*'With Action'!$Y$6</f>
        <v>4.1500000000000012</v>
      </c>
      <c r="P43" s="17">
        <f>'Rolling report'!CI43*'With Action'!$Y$6</f>
        <v>2.1000000000000005</v>
      </c>
      <c r="Q43" s="17">
        <f>'Rolling report'!CJ43*'With Action'!$Y$6</f>
        <v>2.7500000000000004</v>
      </c>
      <c r="R43" s="17">
        <f>'Rolling report'!CK43*'With Action'!$Y$6</f>
        <v>2.8500000000000005</v>
      </c>
      <c r="S43" s="17">
        <f>'Rolling report'!CL43*'With Action'!$Y$6</f>
        <v>1.6500000000000004</v>
      </c>
      <c r="T43" s="17">
        <f>'Rolling report'!CM43*'With Action'!$Y$6</f>
        <v>3.8500000000000005</v>
      </c>
      <c r="U43" s="17">
        <f>'Rolling report'!CN43*'With Action'!$Y$6</f>
        <v>2.1000000000000005</v>
      </c>
      <c r="V43" s="17">
        <f>'Rolling report'!CO43*'With Action'!$Y$6</f>
        <v>1.8500000000000003</v>
      </c>
      <c r="W43" s="17">
        <f>'Rolling report'!CP43*'With Action'!$Y$6</f>
        <v>1.5000000000000002</v>
      </c>
      <c r="X43" s="17">
        <f>'Rolling report'!CQ43*'With Action'!$Y$6</f>
        <v>1.2500000000000002</v>
      </c>
      <c r="Y43" s="17">
        <f>'Rolling report'!CR43*'With Action'!$Y$6</f>
        <v>1.0000000000000002</v>
      </c>
      <c r="Z43" s="17">
        <f>'Rolling report'!CS43*'With Action'!$Y$6</f>
        <v>1.2500000000000002</v>
      </c>
      <c r="AA43" s="17">
        <f>'Rolling report'!CT43*'With Action'!$Y$6</f>
        <v>1.0000000000000002</v>
      </c>
      <c r="AB43" s="17">
        <f>'Rolling report'!CU43*'With Action'!$Y$6</f>
        <v>1.0500000000000003</v>
      </c>
      <c r="AC43" s="17">
        <f>'Rolling report'!CV43*'With Action'!$Y$6</f>
        <v>2.2000000000000006</v>
      </c>
      <c r="AD43" s="17">
        <f>'Rolling report'!CW43*'With Action'!$Y$6</f>
        <v>0.25000000000000006</v>
      </c>
      <c r="AE43" s="17">
        <f>'Rolling report'!CX43*'With Action'!$Y$6</f>
        <v>0.95000000000000018</v>
      </c>
      <c r="AF43" s="17">
        <f>'Rolling report'!CY43*'With Action'!$Y$6</f>
        <v>-77.450000000000017</v>
      </c>
      <c r="AG43" s="17">
        <f>'Rolling report'!CZ43*'With Action'!$Y$6</f>
        <v>0</v>
      </c>
      <c r="AH43" s="17">
        <f>'Rolling report'!DA43*'With Action'!$Y$6</f>
        <v>0</v>
      </c>
      <c r="AI43" s="17">
        <f>'Rolling report'!DB43*'With Action'!$Y$6</f>
        <v>0</v>
      </c>
      <c r="AJ43" s="17">
        <f>'Rolling report'!DC43*'With Action'!$Y$6</f>
        <v>0</v>
      </c>
      <c r="AK43" s="17">
        <f>'Rolling report'!DD43*'With Action'!$Y$6</f>
        <v>0</v>
      </c>
      <c r="AL43" s="17">
        <f>'Rolling report'!DE43*'With Action'!$Y$6</f>
        <v>0</v>
      </c>
      <c r="AM43" s="17">
        <f>'Rolling report'!DF43*'With Action'!$Y$6</f>
        <v>0</v>
      </c>
      <c r="AN43" s="17">
        <f>'Rolling report'!DG43*'With Action'!$Y$6</f>
        <v>0</v>
      </c>
      <c r="AO43" s="17">
        <f>'Rolling report'!DH43*'With Action'!$Y$6</f>
        <v>0</v>
      </c>
      <c r="AP43" s="17">
        <f>'Rolling report'!DI43*'With Action'!$Y$6</f>
        <v>0</v>
      </c>
    </row>
    <row r="44" spans="1:42" x14ac:dyDescent="0.25">
      <c r="A44" s="6" t="s">
        <v>77</v>
      </c>
      <c r="B44" s="6" t="s">
        <v>78</v>
      </c>
      <c r="I44" s="17">
        <f>'Rolling report'!CB44*'With Action'!$Y$6</f>
        <v>2.5000000000000004</v>
      </c>
      <c r="J44" s="17">
        <f>'Rolling report'!CC44*'With Action'!$Y$6</f>
        <v>0.50000000000000011</v>
      </c>
      <c r="K44" s="17">
        <f>'Rolling report'!CD44*'With Action'!$Y$6</f>
        <v>1.3000000000000003</v>
      </c>
      <c r="L44" s="17">
        <f>'Rolling report'!CE44*'With Action'!$Y$6</f>
        <v>0.15000000000000002</v>
      </c>
      <c r="M44" s="17">
        <f>'Rolling report'!CF44*'With Action'!$Y$6</f>
        <v>0.35000000000000009</v>
      </c>
      <c r="N44" s="17">
        <f>'Rolling report'!CG44*'With Action'!$Y$6</f>
        <v>0.30000000000000004</v>
      </c>
      <c r="O44" s="17">
        <f>'Rolling report'!CH44*'With Action'!$Y$6</f>
        <v>0.50000000000000011</v>
      </c>
      <c r="P44" s="17">
        <f>'Rolling report'!CI44*'With Action'!$Y$6</f>
        <v>0.25000000000000006</v>
      </c>
      <c r="Q44" s="17">
        <f>'Rolling report'!CJ44*'With Action'!$Y$6</f>
        <v>0.20000000000000004</v>
      </c>
      <c r="R44" s="17">
        <f>'Rolling report'!CK44*'With Action'!$Y$6</f>
        <v>0.20000000000000004</v>
      </c>
      <c r="S44" s="17">
        <f>'Rolling report'!CL44*'With Action'!$Y$6</f>
        <v>0.10000000000000002</v>
      </c>
      <c r="T44" s="17">
        <f>'Rolling report'!CM44*'With Action'!$Y$6</f>
        <v>5.000000000000001E-2</v>
      </c>
      <c r="U44" s="17">
        <f>'Rolling report'!CN44*'With Action'!$Y$6</f>
        <v>0.10000000000000002</v>
      </c>
      <c r="V44" s="17">
        <f>'Rolling report'!CO44*'With Action'!$Y$6</f>
        <v>0.40000000000000008</v>
      </c>
      <c r="W44" s="17">
        <f>'Rolling report'!CP44*'With Action'!$Y$6</f>
        <v>0.20000000000000004</v>
      </c>
      <c r="X44" s="17">
        <f>'Rolling report'!CQ44*'With Action'!$Y$6</f>
        <v>0.10000000000000002</v>
      </c>
      <c r="Y44" s="17">
        <f>'Rolling report'!CR44*'With Action'!$Y$6</f>
        <v>0.30000000000000004</v>
      </c>
      <c r="Z44" s="17">
        <f>'Rolling report'!CS44*'With Action'!$Y$6</f>
        <v>0.10000000000000002</v>
      </c>
      <c r="AA44" s="17">
        <f>'Rolling report'!CT44*'With Action'!$Y$6</f>
        <v>0.15000000000000002</v>
      </c>
      <c r="AB44" s="17">
        <f>'Rolling report'!CU44*'With Action'!$Y$6</f>
        <v>0.35000000000000009</v>
      </c>
      <c r="AC44" s="17">
        <f>'Rolling report'!CV44*'With Action'!$Y$6</f>
        <v>0.25000000000000006</v>
      </c>
      <c r="AD44" s="17">
        <f>'Rolling report'!CW44*'With Action'!$Y$6</f>
        <v>0.35000000000000009</v>
      </c>
      <c r="AE44" s="17">
        <f>'Rolling report'!CX44*'With Action'!$Y$6</f>
        <v>0.45000000000000007</v>
      </c>
      <c r="AF44" s="17">
        <f>'Rolling report'!CY44*'With Action'!$Y$6</f>
        <v>-9.1500000000000021</v>
      </c>
      <c r="AG44" s="17">
        <f>'Rolling report'!CZ44*'With Action'!$Y$6</f>
        <v>0</v>
      </c>
      <c r="AH44" s="17">
        <f>'Rolling report'!DA44*'With Action'!$Y$6</f>
        <v>0</v>
      </c>
      <c r="AI44" s="17">
        <f>'Rolling report'!DB44*'With Action'!$Y$6</f>
        <v>0</v>
      </c>
      <c r="AJ44" s="17">
        <f>'Rolling report'!DC44*'With Action'!$Y$6</f>
        <v>0</v>
      </c>
      <c r="AK44" s="17">
        <f>'Rolling report'!DD44*'With Action'!$Y$6</f>
        <v>0</v>
      </c>
      <c r="AL44" s="17">
        <f>'Rolling report'!DE44*'With Action'!$Y$6</f>
        <v>0</v>
      </c>
      <c r="AM44" s="17">
        <f>'Rolling report'!DF44*'With Action'!$Y$6</f>
        <v>0</v>
      </c>
      <c r="AN44" s="17">
        <f>'Rolling report'!DG44*'With Action'!$Y$6</f>
        <v>0</v>
      </c>
      <c r="AO44" s="17">
        <f>'Rolling report'!DH44*'With Action'!$Y$6</f>
        <v>0</v>
      </c>
      <c r="AP44" s="17">
        <f>'Rolling report'!DI44*'With Action'!$Y$6</f>
        <v>0</v>
      </c>
    </row>
    <row r="45" spans="1:42" x14ac:dyDescent="0.25">
      <c r="A45" s="6" t="s">
        <v>79</v>
      </c>
      <c r="B45" s="6" t="s">
        <v>80</v>
      </c>
      <c r="I45" s="17">
        <f>'Rolling report'!CB45*'With Action'!$Y$6</f>
        <v>11.750000000000002</v>
      </c>
      <c r="J45" s="17">
        <f>'Rolling report'!CC45*'With Action'!$Y$6</f>
        <v>2.9000000000000004</v>
      </c>
      <c r="K45" s="17">
        <f>'Rolling report'!CD45*'With Action'!$Y$6</f>
        <v>1.9500000000000004</v>
      </c>
      <c r="L45" s="17">
        <f>'Rolling report'!CE45*'With Action'!$Y$6</f>
        <v>2.4500000000000006</v>
      </c>
      <c r="M45" s="17">
        <f>'Rolling report'!CF45*'With Action'!$Y$6</f>
        <v>1.8000000000000003</v>
      </c>
      <c r="N45" s="17">
        <f>'Rolling report'!CG45*'With Action'!$Y$6</f>
        <v>1.4000000000000004</v>
      </c>
      <c r="O45" s="17">
        <f>'Rolling report'!CH45*'With Action'!$Y$6</f>
        <v>2.9000000000000004</v>
      </c>
      <c r="P45" s="17">
        <f>'Rolling report'!CI45*'With Action'!$Y$6</f>
        <v>1.3500000000000003</v>
      </c>
      <c r="Q45" s="17">
        <f>'Rolling report'!CJ45*'With Action'!$Y$6</f>
        <v>2.2500000000000004</v>
      </c>
      <c r="R45" s="17">
        <f>'Rolling report'!CK45*'With Action'!$Y$6</f>
        <v>1.4500000000000002</v>
      </c>
      <c r="S45" s="17">
        <f>'Rolling report'!CL45*'With Action'!$Y$6</f>
        <v>0.90000000000000013</v>
      </c>
      <c r="T45" s="17">
        <f>'Rolling report'!CM45*'With Action'!$Y$6</f>
        <v>1.0000000000000002</v>
      </c>
      <c r="U45" s="17">
        <f>'Rolling report'!CN45*'With Action'!$Y$6</f>
        <v>0.60000000000000009</v>
      </c>
      <c r="V45" s="17">
        <f>'Rolling report'!CO45*'With Action'!$Y$6</f>
        <v>0.90000000000000013</v>
      </c>
      <c r="W45" s="17">
        <f>'Rolling report'!CP45*'With Action'!$Y$6</f>
        <v>0.40000000000000008</v>
      </c>
      <c r="X45" s="17">
        <f>'Rolling report'!CQ45*'With Action'!$Y$6</f>
        <v>0.70000000000000018</v>
      </c>
      <c r="Y45" s="17">
        <f>'Rolling report'!CR45*'With Action'!$Y$6</f>
        <v>0.55000000000000016</v>
      </c>
      <c r="Z45" s="17">
        <f>'Rolling report'!CS45*'With Action'!$Y$6</f>
        <v>0.50000000000000011</v>
      </c>
      <c r="AA45" s="17">
        <f>'Rolling report'!CT45*'With Action'!$Y$6</f>
        <v>0.90000000000000013</v>
      </c>
      <c r="AB45" s="17">
        <f>'Rolling report'!CU45*'With Action'!$Y$6</f>
        <v>0.35000000000000009</v>
      </c>
      <c r="AC45" s="17">
        <f>'Rolling report'!CV45*'With Action'!$Y$6</f>
        <v>1.0000000000000002</v>
      </c>
      <c r="AD45" s="17">
        <f>'Rolling report'!CW45*'With Action'!$Y$6</f>
        <v>0.25000000000000006</v>
      </c>
      <c r="AE45" s="17">
        <f>'Rolling report'!CX45*'With Action'!$Y$6</f>
        <v>0.20000000000000004</v>
      </c>
      <c r="AF45" s="17">
        <f>'Rolling report'!CY45*'With Action'!$Y$6</f>
        <v>-38.45000000000001</v>
      </c>
      <c r="AG45" s="17">
        <f>'Rolling report'!CZ45*'With Action'!$Y$6</f>
        <v>0</v>
      </c>
      <c r="AH45" s="17">
        <f>'Rolling report'!DA45*'With Action'!$Y$6</f>
        <v>0</v>
      </c>
      <c r="AI45" s="17">
        <f>'Rolling report'!DB45*'With Action'!$Y$6</f>
        <v>0</v>
      </c>
      <c r="AJ45" s="17">
        <f>'Rolling report'!DC45*'With Action'!$Y$6</f>
        <v>0</v>
      </c>
      <c r="AK45" s="17">
        <f>'Rolling report'!DD45*'With Action'!$Y$6</f>
        <v>0</v>
      </c>
      <c r="AL45" s="17">
        <f>'Rolling report'!DE45*'With Action'!$Y$6</f>
        <v>0</v>
      </c>
      <c r="AM45" s="17">
        <f>'Rolling report'!DF45*'With Action'!$Y$6</f>
        <v>0</v>
      </c>
      <c r="AN45" s="17">
        <f>'Rolling report'!DG45*'With Action'!$Y$6</f>
        <v>0</v>
      </c>
      <c r="AO45" s="17">
        <f>'Rolling report'!DH45*'With Action'!$Y$6</f>
        <v>0</v>
      </c>
      <c r="AP45" s="17">
        <f>'Rolling report'!DI45*'With Action'!$Y$6</f>
        <v>0</v>
      </c>
    </row>
    <row r="46" spans="1:42" x14ac:dyDescent="0.25">
      <c r="A46" s="6" t="s">
        <v>81</v>
      </c>
      <c r="B46" s="6" t="s">
        <v>82</v>
      </c>
      <c r="I46" s="17">
        <f>'Rolling report'!CB46*'With Action'!$Y$6</f>
        <v>1.0000000000000002</v>
      </c>
      <c r="J46" s="17">
        <f>'Rolling report'!CC46*'With Action'!$Y$6</f>
        <v>0.25000000000000006</v>
      </c>
      <c r="K46" s="17">
        <f>'Rolling report'!CD46*'With Action'!$Y$6</f>
        <v>0</v>
      </c>
      <c r="L46" s="17">
        <f>'Rolling report'!CE46*'With Action'!$Y$6</f>
        <v>0.30000000000000004</v>
      </c>
      <c r="M46" s="17">
        <f>'Rolling report'!CF46*'With Action'!$Y$6</f>
        <v>0.50000000000000011</v>
      </c>
      <c r="N46" s="17">
        <f>'Rolling report'!CG46*'With Action'!$Y$6</f>
        <v>0.10000000000000002</v>
      </c>
      <c r="O46" s="17">
        <f>'Rolling report'!CH46*'With Action'!$Y$6</f>
        <v>0.15000000000000002</v>
      </c>
      <c r="P46" s="17">
        <f>'Rolling report'!CI46*'With Action'!$Y$6</f>
        <v>0.40000000000000008</v>
      </c>
      <c r="Q46" s="17">
        <f>'Rolling report'!CJ46*'With Action'!$Y$6</f>
        <v>0.15000000000000002</v>
      </c>
      <c r="R46" s="17">
        <f>'Rolling report'!CK46*'With Action'!$Y$6</f>
        <v>0.10000000000000002</v>
      </c>
      <c r="S46" s="17">
        <f>'Rolling report'!CL46*'With Action'!$Y$6</f>
        <v>0.30000000000000004</v>
      </c>
      <c r="T46" s="17">
        <f>'Rolling report'!CM46*'With Action'!$Y$6</f>
        <v>5.000000000000001E-2</v>
      </c>
      <c r="U46" s="17">
        <f>'Rolling report'!CN46*'With Action'!$Y$6</f>
        <v>0</v>
      </c>
      <c r="V46" s="17">
        <f>'Rolling report'!CO46*'With Action'!$Y$6</f>
        <v>5.000000000000001E-2</v>
      </c>
      <c r="W46" s="17">
        <f>'Rolling report'!CP46*'With Action'!$Y$6</f>
        <v>0.10000000000000002</v>
      </c>
      <c r="X46" s="17">
        <f>'Rolling report'!CQ46*'With Action'!$Y$6</f>
        <v>5.000000000000001E-2</v>
      </c>
      <c r="Y46" s="17">
        <f>'Rolling report'!CR46*'With Action'!$Y$6</f>
        <v>0</v>
      </c>
      <c r="Z46" s="17">
        <f>'Rolling report'!CS46*'With Action'!$Y$6</f>
        <v>5.000000000000001E-2</v>
      </c>
      <c r="AA46" s="17">
        <f>'Rolling report'!CT46*'With Action'!$Y$6</f>
        <v>0</v>
      </c>
      <c r="AB46" s="17">
        <f>'Rolling report'!CU46*'With Action'!$Y$6</f>
        <v>5.000000000000001E-2</v>
      </c>
      <c r="AC46" s="17">
        <f>'Rolling report'!CV46*'With Action'!$Y$6</f>
        <v>0.10000000000000002</v>
      </c>
      <c r="AD46" s="17">
        <f>'Rolling report'!CW46*'With Action'!$Y$6</f>
        <v>0.15000000000000002</v>
      </c>
      <c r="AE46" s="17">
        <f>'Rolling report'!CX46*'With Action'!$Y$6</f>
        <v>-5.000000000000001E-2</v>
      </c>
      <c r="AF46" s="17">
        <f>'Rolling report'!CY46*'With Action'!$Y$6</f>
        <v>-3.8000000000000007</v>
      </c>
      <c r="AG46" s="17">
        <f>'Rolling report'!CZ46*'With Action'!$Y$6</f>
        <v>0</v>
      </c>
      <c r="AH46" s="17">
        <f>'Rolling report'!DA46*'With Action'!$Y$6</f>
        <v>0</v>
      </c>
      <c r="AI46" s="17">
        <f>'Rolling report'!DB46*'With Action'!$Y$6</f>
        <v>0</v>
      </c>
      <c r="AJ46" s="17">
        <f>'Rolling report'!DC46*'With Action'!$Y$6</f>
        <v>0</v>
      </c>
      <c r="AK46" s="17">
        <f>'Rolling report'!DD46*'With Action'!$Y$6</f>
        <v>0</v>
      </c>
      <c r="AL46" s="17">
        <f>'Rolling report'!DE46*'With Action'!$Y$6</f>
        <v>0</v>
      </c>
      <c r="AM46" s="17">
        <f>'Rolling report'!DF46*'With Action'!$Y$6</f>
        <v>0</v>
      </c>
      <c r="AN46" s="17">
        <f>'Rolling report'!DG46*'With Action'!$Y$6</f>
        <v>0</v>
      </c>
      <c r="AO46" s="17">
        <f>'Rolling report'!DH46*'With Action'!$Y$6</f>
        <v>0</v>
      </c>
      <c r="AP46" s="17">
        <f>'Rolling report'!DI46*'With Action'!$Y$6</f>
        <v>0</v>
      </c>
    </row>
    <row r="47" spans="1:42" x14ac:dyDescent="0.25">
      <c r="A47" s="6" t="s">
        <v>83</v>
      </c>
      <c r="B47" s="6" t="s">
        <v>84</v>
      </c>
      <c r="I47" s="17">
        <f>'Rolling report'!CB47*'With Action'!$Y$6</f>
        <v>7.950000000000002</v>
      </c>
      <c r="J47" s="17">
        <f>'Rolling report'!CC47*'With Action'!$Y$6</f>
        <v>0.90000000000000013</v>
      </c>
      <c r="K47" s="17">
        <f>'Rolling report'!CD47*'With Action'!$Y$6</f>
        <v>1.7500000000000004</v>
      </c>
      <c r="L47" s="17">
        <f>'Rolling report'!CE47*'With Action'!$Y$6</f>
        <v>2.3000000000000003</v>
      </c>
      <c r="M47" s="17">
        <f>'Rolling report'!CF47*'With Action'!$Y$6</f>
        <v>0.8500000000000002</v>
      </c>
      <c r="N47" s="17">
        <f>'Rolling report'!CG47*'With Action'!$Y$6</f>
        <v>1.3500000000000003</v>
      </c>
      <c r="O47" s="17">
        <f>'Rolling report'!CH47*'With Action'!$Y$6</f>
        <v>0.90000000000000013</v>
      </c>
      <c r="P47" s="17">
        <f>'Rolling report'!CI47*'With Action'!$Y$6</f>
        <v>0.90000000000000013</v>
      </c>
      <c r="Q47" s="17">
        <f>'Rolling report'!CJ47*'With Action'!$Y$6</f>
        <v>0.65000000000000013</v>
      </c>
      <c r="R47" s="17">
        <f>'Rolling report'!CK47*'With Action'!$Y$6</f>
        <v>0.95000000000000018</v>
      </c>
      <c r="S47" s="17">
        <f>'Rolling report'!CL47*'With Action'!$Y$6</f>
        <v>5.000000000000001E-2</v>
      </c>
      <c r="T47" s="17">
        <f>'Rolling report'!CM47*'With Action'!$Y$6</f>
        <v>0.70000000000000018</v>
      </c>
      <c r="U47" s="17">
        <f>'Rolling report'!CN47*'With Action'!$Y$6</f>
        <v>0.80000000000000016</v>
      </c>
      <c r="V47" s="17">
        <f>'Rolling report'!CO47*'With Action'!$Y$6</f>
        <v>1.0500000000000003</v>
      </c>
      <c r="W47" s="17">
        <f>'Rolling report'!CP47*'With Action'!$Y$6</f>
        <v>0.45000000000000007</v>
      </c>
      <c r="X47" s="17">
        <f>'Rolling report'!CQ47*'With Action'!$Y$6</f>
        <v>0.20000000000000004</v>
      </c>
      <c r="Y47" s="17">
        <f>'Rolling report'!CR47*'With Action'!$Y$6</f>
        <v>0.45000000000000007</v>
      </c>
      <c r="Z47" s="17">
        <f>'Rolling report'!CS47*'With Action'!$Y$6</f>
        <v>0.55000000000000016</v>
      </c>
      <c r="AA47" s="17">
        <f>'Rolling report'!CT47*'With Action'!$Y$6</f>
        <v>0.35000000000000009</v>
      </c>
      <c r="AB47" s="17">
        <f>'Rolling report'!CU47*'With Action'!$Y$6</f>
        <v>0.45000000000000007</v>
      </c>
      <c r="AC47" s="17">
        <f>'Rolling report'!CV47*'With Action'!$Y$6</f>
        <v>1.0000000000000002</v>
      </c>
      <c r="AD47" s="17">
        <f>'Rolling report'!CW47*'With Action'!$Y$6</f>
        <v>0.8500000000000002</v>
      </c>
      <c r="AE47" s="17">
        <f>'Rolling report'!CX47*'With Action'!$Y$6</f>
        <v>0.40000000000000008</v>
      </c>
      <c r="AF47" s="17">
        <f>'Rolling report'!CY47*'With Action'!$Y$6</f>
        <v>-25.800000000000004</v>
      </c>
      <c r="AG47" s="17">
        <f>'Rolling report'!CZ47*'With Action'!$Y$6</f>
        <v>0</v>
      </c>
      <c r="AH47" s="17">
        <f>'Rolling report'!DA47*'With Action'!$Y$6</f>
        <v>0</v>
      </c>
      <c r="AI47" s="17">
        <f>'Rolling report'!DB47*'With Action'!$Y$6</f>
        <v>0</v>
      </c>
      <c r="AJ47" s="17">
        <f>'Rolling report'!DC47*'With Action'!$Y$6</f>
        <v>0</v>
      </c>
      <c r="AK47" s="17">
        <f>'Rolling report'!DD47*'With Action'!$Y$6</f>
        <v>0</v>
      </c>
      <c r="AL47" s="17">
        <f>'Rolling report'!DE47*'With Action'!$Y$6</f>
        <v>0</v>
      </c>
      <c r="AM47" s="17">
        <f>'Rolling report'!DF47*'With Action'!$Y$6</f>
        <v>0</v>
      </c>
      <c r="AN47" s="17">
        <f>'Rolling report'!DG47*'With Action'!$Y$6</f>
        <v>0</v>
      </c>
      <c r="AO47" s="17">
        <f>'Rolling report'!DH47*'With Action'!$Y$6</f>
        <v>0</v>
      </c>
      <c r="AP47" s="17">
        <f>'Rolling report'!DI47*'With Action'!$Y$6</f>
        <v>0</v>
      </c>
    </row>
    <row r="48" spans="1:42" x14ac:dyDescent="0.25">
      <c r="A48" s="6" t="s">
        <v>85</v>
      </c>
      <c r="B48" s="6" t="s">
        <v>86</v>
      </c>
      <c r="I48" s="17">
        <f>'Rolling report'!CB48*'With Action'!$Y$6</f>
        <v>6.2000000000000011</v>
      </c>
      <c r="J48" s="17">
        <f>'Rolling report'!CC48*'With Action'!$Y$6</f>
        <v>1.1500000000000001</v>
      </c>
      <c r="K48" s="17">
        <f>'Rolling report'!CD48*'With Action'!$Y$6</f>
        <v>1.3000000000000003</v>
      </c>
      <c r="L48" s="17">
        <f>'Rolling report'!CE48*'With Action'!$Y$6</f>
        <v>1.6500000000000004</v>
      </c>
      <c r="M48" s="17">
        <f>'Rolling report'!CF48*'With Action'!$Y$6</f>
        <v>0.65000000000000013</v>
      </c>
      <c r="N48" s="17">
        <f>'Rolling report'!CG48*'With Action'!$Y$6</f>
        <v>0.60000000000000009</v>
      </c>
      <c r="O48" s="17">
        <f>'Rolling report'!CH48*'With Action'!$Y$6</f>
        <v>0.60000000000000009</v>
      </c>
      <c r="P48" s="17">
        <f>'Rolling report'!CI48*'With Action'!$Y$6</f>
        <v>0.50000000000000011</v>
      </c>
      <c r="Q48" s="17">
        <f>'Rolling report'!CJ48*'With Action'!$Y$6</f>
        <v>0.80000000000000016</v>
      </c>
      <c r="R48" s="17">
        <f>'Rolling report'!CK48*'With Action'!$Y$6</f>
        <v>0.70000000000000018</v>
      </c>
      <c r="S48" s="17">
        <f>'Rolling report'!CL48*'With Action'!$Y$6</f>
        <v>0.30000000000000004</v>
      </c>
      <c r="T48" s="17">
        <f>'Rolling report'!CM48*'With Action'!$Y$6</f>
        <v>0.80000000000000016</v>
      </c>
      <c r="U48" s="17">
        <f>'Rolling report'!CN48*'With Action'!$Y$6</f>
        <v>0.50000000000000011</v>
      </c>
      <c r="V48" s="17">
        <f>'Rolling report'!CO48*'With Action'!$Y$6</f>
        <v>0.30000000000000004</v>
      </c>
      <c r="W48" s="17">
        <f>'Rolling report'!CP48*'With Action'!$Y$6</f>
        <v>0.35000000000000009</v>
      </c>
      <c r="X48" s="17">
        <f>'Rolling report'!CQ48*'With Action'!$Y$6</f>
        <v>0.10000000000000002</v>
      </c>
      <c r="Y48" s="17">
        <f>'Rolling report'!CR48*'With Action'!$Y$6</f>
        <v>0.15000000000000002</v>
      </c>
      <c r="Z48" s="17">
        <f>'Rolling report'!CS48*'With Action'!$Y$6</f>
        <v>0.10000000000000002</v>
      </c>
      <c r="AA48" s="17">
        <f>'Rolling report'!CT48*'With Action'!$Y$6</f>
        <v>0.10000000000000002</v>
      </c>
      <c r="AB48" s="17">
        <f>'Rolling report'!CU48*'With Action'!$Y$6</f>
        <v>0.50000000000000011</v>
      </c>
      <c r="AC48" s="17">
        <f>'Rolling report'!CV48*'With Action'!$Y$6</f>
        <v>0.95000000000000018</v>
      </c>
      <c r="AD48" s="17">
        <f>'Rolling report'!CW48*'With Action'!$Y$6</f>
        <v>-0.10000000000000002</v>
      </c>
      <c r="AE48" s="17">
        <f>'Rolling report'!CX48*'With Action'!$Y$6</f>
        <v>0.30000000000000004</v>
      </c>
      <c r="AF48" s="17">
        <f>'Rolling report'!CY48*'With Action'!$Y$6</f>
        <v>-18.500000000000004</v>
      </c>
      <c r="AG48" s="17">
        <f>'Rolling report'!CZ48*'With Action'!$Y$6</f>
        <v>0</v>
      </c>
      <c r="AH48" s="17">
        <f>'Rolling report'!DA48*'With Action'!$Y$6</f>
        <v>0</v>
      </c>
      <c r="AI48" s="17">
        <f>'Rolling report'!DB48*'With Action'!$Y$6</f>
        <v>0</v>
      </c>
      <c r="AJ48" s="17">
        <f>'Rolling report'!DC48*'With Action'!$Y$6</f>
        <v>0</v>
      </c>
      <c r="AK48" s="17">
        <f>'Rolling report'!DD48*'With Action'!$Y$6</f>
        <v>0</v>
      </c>
      <c r="AL48" s="17">
        <f>'Rolling report'!DE48*'With Action'!$Y$6</f>
        <v>0</v>
      </c>
      <c r="AM48" s="17">
        <f>'Rolling report'!DF48*'With Action'!$Y$6</f>
        <v>0</v>
      </c>
      <c r="AN48" s="17">
        <f>'Rolling report'!DG48*'With Action'!$Y$6</f>
        <v>0</v>
      </c>
      <c r="AO48" s="17">
        <f>'Rolling report'!DH48*'With Action'!$Y$6</f>
        <v>0</v>
      </c>
      <c r="AP48" s="17">
        <f>'Rolling report'!DI48*'With Action'!$Y$6</f>
        <v>0</v>
      </c>
    </row>
    <row r="49" spans="1:42" x14ac:dyDescent="0.25">
      <c r="A49" s="6" t="s">
        <v>87</v>
      </c>
      <c r="B49" s="6" t="s">
        <v>88</v>
      </c>
      <c r="I49" s="17">
        <f>'Rolling report'!CB49*'With Action'!$Y$6</f>
        <v>27.350000000000005</v>
      </c>
      <c r="J49" s="17">
        <f>'Rolling report'!CC49*'With Action'!$Y$6</f>
        <v>3.4500000000000006</v>
      </c>
      <c r="K49" s="17">
        <f>'Rolling report'!CD49*'With Action'!$Y$6</f>
        <v>3.5000000000000009</v>
      </c>
      <c r="L49" s="17">
        <f>'Rolling report'!CE49*'With Action'!$Y$6</f>
        <v>5.6000000000000014</v>
      </c>
      <c r="M49" s="17">
        <f>'Rolling report'!CF49*'With Action'!$Y$6</f>
        <v>2.4500000000000006</v>
      </c>
      <c r="N49" s="17">
        <f>'Rolling report'!CG49*'With Action'!$Y$6</f>
        <v>2.6500000000000004</v>
      </c>
      <c r="O49" s="17">
        <f>'Rolling report'!CH49*'With Action'!$Y$6</f>
        <v>3.5500000000000007</v>
      </c>
      <c r="P49" s="17">
        <f>'Rolling report'!CI49*'With Action'!$Y$6</f>
        <v>1.7500000000000004</v>
      </c>
      <c r="Q49" s="17">
        <f>'Rolling report'!CJ49*'With Action'!$Y$6</f>
        <v>2.2500000000000004</v>
      </c>
      <c r="R49" s="17">
        <f>'Rolling report'!CK49*'With Action'!$Y$6</f>
        <v>2.4000000000000004</v>
      </c>
      <c r="S49" s="17">
        <f>'Rolling report'!CL49*'With Action'!$Y$6</f>
        <v>1.4500000000000002</v>
      </c>
      <c r="T49" s="17">
        <f>'Rolling report'!CM49*'With Action'!$Y$6</f>
        <v>1.6500000000000004</v>
      </c>
      <c r="U49" s="17">
        <f>'Rolling report'!CN49*'With Action'!$Y$6</f>
        <v>1.9500000000000004</v>
      </c>
      <c r="V49" s="17">
        <f>'Rolling report'!CO49*'With Action'!$Y$6</f>
        <v>1.1000000000000003</v>
      </c>
      <c r="W49" s="17">
        <f>'Rolling report'!CP49*'With Action'!$Y$6</f>
        <v>0.95000000000000018</v>
      </c>
      <c r="X49" s="17">
        <f>'Rolling report'!CQ49*'With Action'!$Y$6</f>
        <v>0.75000000000000011</v>
      </c>
      <c r="Y49" s="17">
        <f>'Rolling report'!CR49*'With Action'!$Y$6</f>
        <v>1.2500000000000002</v>
      </c>
      <c r="Z49" s="17">
        <f>'Rolling report'!CS49*'With Action'!$Y$6</f>
        <v>1.3000000000000003</v>
      </c>
      <c r="AA49" s="17">
        <f>'Rolling report'!CT49*'With Action'!$Y$6</f>
        <v>1.6000000000000003</v>
      </c>
      <c r="AB49" s="17">
        <f>'Rolling report'!CU49*'With Action'!$Y$6</f>
        <v>1.8000000000000003</v>
      </c>
      <c r="AC49" s="17">
        <f>'Rolling report'!CV49*'With Action'!$Y$6</f>
        <v>1.3500000000000003</v>
      </c>
      <c r="AD49" s="17">
        <f>'Rolling report'!CW49*'With Action'!$Y$6</f>
        <v>0.15000000000000002</v>
      </c>
      <c r="AE49" s="17">
        <f>'Rolling report'!CX49*'With Action'!$Y$6</f>
        <v>0.70000000000000018</v>
      </c>
      <c r="AF49" s="17">
        <f>'Rolling report'!CY49*'With Action'!$Y$6</f>
        <v>-70.950000000000017</v>
      </c>
      <c r="AG49" s="17">
        <f>'Rolling report'!CZ49*'With Action'!$Y$6</f>
        <v>0</v>
      </c>
      <c r="AH49" s="17">
        <f>'Rolling report'!DA49*'With Action'!$Y$6</f>
        <v>0</v>
      </c>
      <c r="AI49" s="17">
        <f>'Rolling report'!DB49*'With Action'!$Y$6</f>
        <v>0</v>
      </c>
      <c r="AJ49" s="17">
        <f>'Rolling report'!DC49*'With Action'!$Y$6</f>
        <v>0</v>
      </c>
      <c r="AK49" s="17">
        <f>'Rolling report'!DD49*'With Action'!$Y$6</f>
        <v>0</v>
      </c>
      <c r="AL49" s="17">
        <f>'Rolling report'!DE49*'With Action'!$Y$6</f>
        <v>0</v>
      </c>
      <c r="AM49" s="17">
        <f>'Rolling report'!DF49*'With Action'!$Y$6</f>
        <v>0</v>
      </c>
      <c r="AN49" s="17">
        <f>'Rolling report'!DG49*'With Action'!$Y$6</f>
        <v>0</v>
      </c>
      <c r="AO49" s="17">
        <f>'Rolling report'!DH49*'With Action'!$Y$6</f>
        <v>0</v>
      </c>
      <c r="AP49" s="17">
        <f>'Rolling report'!DI49*'With Action'!$Y$6</f>
        <v>0</v>
      </c>
    </row>
    <row r="50" spans="1:42" x14ac:dyDescent="0.25">
      <c r="A50" s="6" t="s">
        <v>89</v>
      </c>
      <c r="B50" s="6" t="s">
        <v>90</v>
      </c>
      <c r="I50" s="17">
        <f>'Rolling report'!CB50*'With Action'!$Y$6</f>
        <v>4.2500000000000009</v>
      </c>
      <c r="J50" s="17">
        <f>'Rolling report'!CC50*'With Action'!$Y$6</f>
        <v>0.50000000000000011</v>
      </c>
      <c r="K50" s="17">
        <f>'Rolling report'!CD50*'With Action'!$Y$6</f>
        <v>0.20000000000000004</v>
      </c>
      <c r="L50" s="17">
        <f>'Rolling report'!CE50*'With Action'!$Y$6</f>
        <v>1.0000000000000002</v>
      </c>
      <c r="M50" s="17">
        <f>'Rolling report'!CF50*'With Action'!$Y$6</f>
        <v>0.35000000000000009</v>
      </c>
      <c r="N50" s="17">
        <f>'Rolling report'!CG50*'With Action'!$Y$6</f>
        <v>0.10000000000000002</v>
      </c>
      <c r="O50" s="17">
        <f>'Rolling report'!CH50*'With Action'!$Y$6</f>
        <v>0.50000000000000011</v>
      </c>
      <c r="P50" s="17">
        <f>'Rolling report'!CI50*'With Action'!$Y$6</f>
        <v>0.65000000000000013</v>
      </c>
      <c r="Q50" s="17">
        <f>'Rolling report'!CJ50*'With Action'!$Y$6</f>
        <v>0.55000000000000016</v>
      </c>
      <c r="R50" s="17">
        <f>'Rolling report'!CK50*'With Action'!$Y$6</f>
        <v>0.30000000000000004</v>
      </c>
      <c r="S50" s="17">
        <f>'Rolling report'!CL50*'With Action'!$Y$6</f>
        <v>0.20000000000000004</v>
      </c>
      <c r="T50" s="17">
        <f>'Rolling report'!CM50*'With Action'!$Y$6</f>
        <v>0.10000000000000002</v>
      </c>
      <c r="U50" s="17">
        <f>'Rolling report'!CN50*'With Action'!$Y$6</f>
        <v>0.45000000000000007</v>
      </c>
      <c r="V50" s="17">
        <f>'Rolling report'!CO50*'With Action'!$Y$6</f>
        <v>0.10000000000000002</v>
      </c>
      <c r="W50" s="17">
        <f>'Rolling report'!CP50*'With Action'!$Y$6</f>
        <v>0.50000000000000011</v>
      </c>
      <c r="X50" s="17">
        <f>'Rolling report'!CQ50*'With Action'!$Y$6</f>
        <v>0.30000000000000004</v>
      </c>
      <c r="Y50" s="17">
        <f>'Rolling report'!CR50*'With Action'!$Y$6</f>
        <v>0.40000000000000008</v>
      </c>
      <c r="Z50" s="17">
        <f>'Rolling report'!CS50*'With Action'!$Y$6</f>
        <v>0.25000000000000006</v>
      </c>
      <c r="AA50" s="17">
        <f>'Rolling report'!CT50*'With Action'!$Y$6</f>
        <v>5.000000000000001E-2</v>
      </c>
      <c r="AB50" s="17">
        <f>'Rolling report'!CU50*'With Action'!$Y$6</f>
        <v>0.60000000000000009</v>
      </c>
      <c r="AC50" s="17">
        <f>'Rolling report'!CV50*'With Action'!$Y$6</f>
        <v>0.30000000000000004</v>
      </c>
      <c r="AD50" s="17">
        <f>'Rolling report'!CW50*'With Action'!$Y$6</f>
        <v>5.000000000000001E-2</v>
      </c>
      <c r="AE50" s="17">
        <f>'Rolling report'!CX50*'With Action'!$Y$6</f>
        <v>0.30000000000000004</v>
      </c>
      <c r="AF50" s="17">
        <f>'Rolling report'!CY50*'With Action'!$Y$6</f>
        <v>-12.000000000000002</v>
      </c>
      <c r="AG50" s="17">
        <f>'Rolling report'!CZ50*'With Action'!$Y$6</f>
        <v>0</v>
      </c>
      <c r="AH50" s="17">
        <f>'Rolling report'!DA50*'With Action'!$Y$6</f>
        <v>0</v>
      </c>
      <c r="AI50" s="17">
        <f>'Rolling report'!DB50*'With Action'!$Y$6</f>
        <v>0</v>
      </c>
      <c r="AJ50" s="17">
        <f>'Rolling report'!DC50*'With Action'!$Y$6</f>
        <v>0</v>
      </c>
      <c r="AK50" s="17">
        <f>'Rolling report'!DD50*'With Action'!$Y$6</f>
        <v>0</v>
      </c>
      <c r="AL50" s="17">
        <f>'Rolling report'!DE50*'With Action'!$Y$6</f>
        <v>0</v>
      </c>
      <c r="AM50" s="17">
        <f>'Rolling report'!DF50*'With Action'!$Y$6</f>
        <v>0</v>
      </c>
      <c r="AN50" s="17">
        <f>'Rolling report'!DG50*'With Action'!$Y$6</f>
        <v>0</v>
      </c>
      <c r="AO50" s="17">
        <f>'Rolling report'!DH50*'With Action'!$Y$6</f>
        <v>0</v>
      </c>
      <c r="AP50" s="17">
        <f>'Rolling report'!DI50*'With Action'!$Y$6</f>
        <v>0</v>
      </c>
    </row>
    <row r="51" spans="1:42" x14ac:dyDescent="0.25">
      <c r="A51" s="6" t="s">
        <v>91</v>
      </c>
      <c r="B51" s="6" t="s">
        <v>92</v>
      </c>
      <c r="I51" s="17">
        <f>'Rolling report'!CB51*'With Action'!$Y$6</f>
        <v>32.250000000000007</v>
      </c>
      <c r="J51" s="17">
        <f>'Rolling report'!CC51*'With Action'!$Y$6</f>
        <v>5.4000000000000012</v>
      </c>
      <c r="K51" s="17">
        <f>'Rolling report'!CD51*'With Action'!$Y$6</f>
        <v>3.9500000000000006</v>
      </c>
      <c r="L51" s="17">
        <f>'Rolling report'!CE51*'With Action'!$Y$6</f>
        <v>5.7000000000000011</v>
      </c>
      <c r="M51" s="17">
        <f>'Rolling report'!CF51*'With Action'!$Y$6</f>
        <v>2.8500000000000005</v>
      </c>
      <c r="N51" s="17">
        <f>'Rolling report'!CG51*'With Action'!$Y$6</f>
        <v>3.8000000000000007</v>
      </c>
      <c r="O51" s="17">
        <f>'Rolling report'!CH51*'With Action'!$Y$6</f>
        <v>4.4000000000000012</v>
      </c>
      <c r="P51" s="17">
        <f>'Rolling report'!CI51*'With Action'!$Y$6</f>
        <v>2.3000000000000003</v>
      </c>
      <c r="Q51" s="17">
        <f>'Rolling report'!CJ51*'With Action'!$Y$6</f>
        <v>1.9000000000000004</v>
      </c>
      <c r="R51" s="17">
        <f>'Rolling report'!CK51*'With Action'!$Y$6</f>
        <v>2.5000000000000004</v>
      </c>
      <c r="S51" s="17">
        <f>'Rolling report'!CL51*'With Action'!$Y$6</f>
        <v>2.6000000000000005</v>
      </c>
      <c r="T51" s="17">
        <f>'Rolling report'!CM51*'With Action'!$Y$6</f>
        <v>2.2000000000000006</v>
      </c>
      <c r="U51" s="17">
        <f>'Rolling report'!CN51*'With Action'!$Y$6</f>
        <v>3.1500000000000008</v>
      </c>
      <c r="V51" s="17">
        <f>'Rolling report'!CO51*'With Action'!$Y$6</f>
        <v>2.4000000000000004</v>
      </c>
      <c r="W51" s="17">
        <f>'Rolling report'!CP51*'With Action'!$Y$6</f>
        <v>1.5000000000000002</v>
      </c>
      <c r="X51" s="17">
        <f>'Rolling report'!CQ51*'With Action'!$Y$6</f>
        <v>1.4500000000000002</v>
      </c>
      <c r="Y51" s="17">
        <f>'Rolling report'!CR51*'With Action'!$Y$6</f>
        <v>1.8500000000000003</v>
      </c>
      <c r="Z51" s="17">
        <f>'Rolling report'!CS51*'With Action'!$Y$6</f>
        <v>1.4000000000000004</v>
      </c>
      <c r="AA51" s="17">
        <f>'Rolling report'!CT51*'With Action'!$Y$6</f>
        <v>1.4500000000000002</v>
      </c>
      <c r="AB51" s="17">
        <f>'Rolling report'!CU51*'With Action'!$Y$6</f>
        <v>1.4000000000000004</v>
      </c>
      <c r="AC51" s="17">
        <f>'Rolling report'!CV51*'With Action'!$Y$6</f>
        <v>1.7500000000000004</v>
      </c>
      <c r="AD51" s="17">
        <f>'Rolling report'!CW51*'With Action'!$Y$6</f>
        <v>0.95000000000000018</v>
      </c>
      <c r="AE51" s="17">
        <f>'Rolling report'!CX51*'With Action'!$Y$6</f>
        <v>0.90000000000000013</v>
      </c>
      <c r="AF51" s="17">
        <f>'Rolling report'!CY51*'With Action'!$Y$6</f>
        <v>-88.050000000000011</v>
      </c>
      <c r="AG51" s="17">
        <f>'Rolling report'!CZ51*'With Action'!$Y$6</f>
        <v>0</v>
      </c>
      <c r="AH51" s="17">
        <f>'Rolling report'!DA51*'With Action'!$Y$6</f>
        <v>0</v>
      </c>
      <c r="AI51" s="17">
        <f>'Rolling report'!DB51*'With Action'!$Y$6</f>
        <v>0</v>
      </c>
      <c r="AJ51" s="17">
        <f>'Rolling report'!DC51*'With Action'!$Y$6</f>
        <v>0</v>
      </c>
      <c r="AK51" s="17">
        <f>'Rolling report'!DD51*'With Action'!$Y$6</f>
        <v>0</v>
      </c>
      <c r="AL51" s="17">
        <f>'Rolling report'!DE51*'With Action'!$Y$6</f>
        <v>0</v>
      </c>
      <c r="AM51" s="17">
        <f>'Rolling report'!DF51*'With Action'!$Y$6</f>
        <v>0</v>
      </c>
      <c r="AN51" s="17">
        <f>'Rolling report'!DG51*'With Action'!$Y$6</f>
        <v>0</v>
      </c>
      <c r="AO51" s="17">
        <f>'Rolling report'!DH51*'With Action'!$Y$6</f>
        <v>0</v>
      </c>
      <c r="AP51" s="17">
        <f>'Rolling report'!DI51*'With Action'!$Y$6</f>
        <v>0</v>
      </c>
    </row>
    <row r="52" spans="1:42" x14ac:dyDescent="0.25">
      <c r="A52" s="6" t="s">
        <v>93</v>
      </c>
      <c r="B52" s="6" t="s">
        <v>94</v>
      </c>
      <c r="I52" s="17">
        <f>'Rolling report'!CB52*'With Action'!$Y$6</f>
        <v>1.3000000000000003</v>
      </c>
      <c r="J52" s="17">
        <f>'Rolling report'!CC52*'With Action'!$Y$6</f>
        <v>0.15000000000000002</v>
      </c>
      <c r="K52" s="17">
        <f>'Rolling report'!CD52*'With Action'!$Y$6</f>
        <v>0.15000000000000002</v>
      </c>
      <c r="L52" s="17">
        <f>'Rolling report'!CE52*'With Action'!$Y$6</f>
        <v>0.10000000000000002</v>
      </c>
      <c r="M52" s="17">
        <f>'Rolling report'!CF52*'With Action'!$Y$6</f>
        <v>0.25000000000000006</v>
      </c>
      <c r="N52" s="17">
        <f>'Rolling report'!CG52*'With Action'!$Y$6</f>
        <v>0.25000000000000006</v>
      </c>
      <c r="O52" s="17">
        <f>'Rolling report'!CH52*'With Action'!$Y$6</f>
        <v>0.8500000000000002</v>
      </c>
      <c r="P52" s="17">
        <f>'Rolling report'!CI52*'With Action'!$Y$6</f>
        <v>0.35000000000000009</v>
      </c>
      <c r="Q52" s="17">
        <f>'Rolling report'!CJ52*'With Action'!$Y$6</f>
        <v>0.55000000000000016</v>
      </c>
      <c r="R52" s="17">
        <f>'Rolling report'!CK52*'With Action'!$Y$6</f>
        <v>5.000000000000001E-2</v>
      </c>
      <c r="S52" s="17">
        <f>'Rolling report'!CL52*'With Action'!$Y$6</f>
        <v>0.15000000000000002</v>
      </c>
      <c r="T52" s="17">
        <f>'Rolling report'!CM52*'With Action'!$Y$6</f>
        <v>0.35000000000000009</v>
      </c>
      <c r="U52" s="17">
        <f>'Rolling report'!CN52*'With Action'!$Y$6</f>
        <v>0.35000000000000009</v>
      </c>
      <c r="V52" s="17">
        <f>'Rolling report'!CO52*'With Action'!$Y$6</f>
        <v>0</v>
      </c>
      <c r="W52" s="17">
        <f>'Rolling report'!CP52*'With Action'!$Y$6</f>
        <v>0.25000000000000006</v>
      </c>
      <c r="X52" s="17">
        <f>'Rolling report'!CQ52*'With Action'!$Y$6</f>
        <v>0</v>
      </c>
      <c r="Y52" s="17">
        <f>'Rolling report'!CR52*'With Action'!$Y$6</f>
        <v>0.20000000000000004</v>
      </c>
      <c r="Z52" s="17">
        <f>'Rolling report'!CS52*'With Action'!$Y$6</f>
        <v>0.25000000000000006</v>
      </c>
      <c r="AA52" s="17">
        <f>'Rolling report'!CT52*'With Action'!$Y$6</f>
        <v>0.30000000000000004</v>
      </c>
      <c r="AB52" s="17">
        <f>'Rolling report'!CU52*'With Action'!$Y$6</f>
        <v>0</v>
      </c>
      <c r="AC52" s="17">
        <f>'Rolling report'!CV52*'With Action'!$Y$6</f>
        <v>0</v>
      </c>
      <c r="AD52" s="17">
        <f>'Rolling report'!CW52*'With Action'!$Y$6</f>
        <v>0.10000000000000002</v>
      </c>
      <c r="AE52" s="17">
        <f>'Rolling report'!CX52*'With Action'!$Y$6</f>
        <v>5.000000000000001E-2</v>
      </c>
      <c r="AF52" s="17">
        <f>'Rolling report'!CY52*'With Action'!$Y$6</f>
        <v>-6.0000000000000009</v>
      </c>
      <c r="AG52" s="17">
        <f>'Rolling report'!CZ52*'With Action'!$Y$6</f>
        <v>0</v>
      </c>
      <c r="AH52" s="17">
        <f>'Rolling report'!DA52*'With Action'!$Y$6</f>
        <v>0</v>
      </c>
      <c r="AI52" s="17">
        <f>'Rolling report'!DB52*'With Action'!$Y$6</f>
        <v>0</v>
      </c>
      <c r="AJ52" s="17">
        <f>'Rolling report'!DC52*'With Action'!$Y$6</f>
        <v>0</v>
      </c>
      <c r="AK52" s="17">
        <f>'Rolling report'!DD52*'With Action'!$Y$6</f>
        <v>0</v>
      </c>
      <c r="AL52" s="17">
        <f>'Rolling report'!DE52*'With Action'!$Y$6</f>
        <v>0</v>
      </c>
      <c r="AM52" s="17">
        <f>'Rolling report'!DF52*'With Action'!$Y$6</f>
        <v>0</v>
      </c>
      <c r="AN52" s="17">
        <f>'Rolling report'!DG52*'With Action'!$Y$6</f>
        <v>0</v>
      </c>
      <c r="AO52" s="17">
        <f>'Rolling report'!DH52*'With Action'!$Y$6</f>
        <v>0</v>
      </c>
      <c r="AP52" s="17">
        <f>'Rolling report'!DI52*'With Action'!$Y$6</f>
        <v>0</v>
      </c>
    </row>
    <row r="53" spans="1:42" x14ac:dyDescent="0.25">
      <c r="A53" s="4" t="s">
        <v>95</v>
      </c>
      <c r="B53" s="6" t="s">
        <v>96</v>
      </c>
      <c r="I53" s="17">
        <f>'Rolling report'!CB53*'With Action'!$Y$6</f>
        <v>18.300000000000004</v>
      </c>
      <c r="J53" s="17">
        <f>'Rolling report'!CC53*'With Action'!$Y$6</f>
        <v>4.2500000000000009</v>
      </c>
      <c r="K53" s="17">
        <f>'Rolling report'!CD53*'With Action'!$Y$6</f>
        <v>3.1500000000000008</v>
      </c>
      <c r="L53" s="17">
        <f>'Rolling report'!CE53*'With Action'!$Y$6</f>
        <v>4.0500000000000007</v>
      </c>
      <c r="M53" s="17">
        <f>'Rolling report'!CF53*'With Action'!$Y$6</f>
        <v>2.5000000000000004</v>
      </c>
      <c r="N53" s="17">
        <f>'Rolling report'!CG53*'With Action'!$Y$6</f>
        <v>3.2000000000000006</v>
      </c>
      <c r="O53" s="17">
        <f>'Rolling report'!CH53*'With Action'!$Y$6</f>
        <v>2.7500000000000004</v>
      </c>
      <c r="P53" s="17">
        <f>'Rolling report'!CI53*'With Action'!$Y$6</f>
        <v>2.1500000000000004</v>
      </c>
      <c r="Q53" s="17">
        <f>'Rolling report'!CJ53*'With Action'!$Y$6</f>
        <v>1.8000000000000003</v>
      </c>
      <c r="R53" s="17">
        <f>'Rolling report'!CK53*'With Action'!$Y$6</f>
        <v>1.5000000000000002</v>
      </c>
      <c r="S53" s="17">
        <f>'Rolling report'!CL53*'With Action'!$Y$6</f>
        <v>1.1000000000000003</v>
      </c>
      <c r="T53" s="17">
        <f>'Rolling report'!CM53*'With Action'!$Y$6</f>
        <v>2.6500000000000004</v>
      </c>
      <c r="U53" s="17">
        <f>'Rolling report'!CN53*'With Action'!$Y$6</f>
        <v>1.3000000000000003</v>
      </c>
      <c r="V53" s="17">
        <f>'Rolling report'!CO53*'With Action'!$Y$6</f>
        <v>1.2000000000000002</v>
      </c>
      <c r="W53" s="17">
        <f>'Rolling report'!CP53*'With Action'!$Y$6</f>
        <v>0.90000000000000013</v>
      </c>
      <c r="X53" s="17">
        <f>'Rolling report'!CQ53*'With Action'!$Y$6</f>
        <v>1.1500000000000001</v>
      </c>
      <c r="Y53" s="17">
        <f>'Rolling report'!CR53*'With Action'!$Y$6</f>
        <v>1.9500000000000004</v>
      </c>
      <c r="Z53" s="17">
        <f>'Rolling report'!CS53*'With Action'!$Y$6</f>
        <v>1.1000000000000003</v>
      </c>
      <c r="AA53" s="17">
        <f>'Rolling report'!CT53*'With Action'!$Y$6</f>
        <v>1.2000000000000002</v>
      </c>
      <c r="AB53" s="17">
        <f>'Rolling report'!CU53*'With Action'!$Y$6</f>
        <v>1.0000000000000002</v>
      </c>
      <c r="AC53" s="17">
        <f>'Rolling report'!CV53*'With Action'!$Y$6</f>
        <v>1.7500000000000004</v>
      </c>
      <c r="AD53" s="17">
        <f>'Rolling report'!CW53*'With Action'!$Y$6</f>
        <v>1.0000000000000002</v>
      </c>
      <c r="AE53" s="17">
        <f>'Rolling report'!CX53*'With Action'!$Y$6</f>
        <v>0.80000000000000016</v>
      </c>
      <c r="AF53" s="17">
        <f>'Rolling report'!CY53*'With Action'!$Y$6</f>
        <v>-60.750000000000014</v>
      </c>
      <c r="AG53" s="17">
        <f>'Rolling report'!CZ53*'With Action'!$Y$6</f>
        <v>0</v>
      </c>
      <c r="AH53" s="17">
        <f>'Rolling report'!DA53*'With Action'!$Y$6</f>
        <v>0</v>
      </c>
      <c r="AI53" s="17">
        <f>'Rolling report'!DB53*'With Action'!$Y$6</f>
        <v>0</v>
      </c>
      <c r="AJ53" s="17">
        <f>'Rolling report'!DC53*'With Action'!$Y$6</f>
        <v>0</v>
      </c>
      <c r="AK53" s="17">
        <f>'Rolling report'!DD53*'With Action'!$Y$6</f>
        <v>0</v>
      </c>
      <c r="AL53" s="17">
        <f>'Rolling report'!DE53*'With Action'!$Y$6</f>
        <v>0</v>
      </c>
      <c r="AM53" s="17">
        <f>'Rolling report'!DF53*'With Action'!$Y$6</f>
        <v>0</v>
      </c>
      <c r="AN53" s="17">
        <f>'Rolling report'!DG53*'With Action'!$Y$6</f>
        <v>0</v>
      </c>
      <c r="AO53" s="17">
        <f>'Rolling report'!DH53*'With Action'!$Y$6</f>
        <v>0</v>
      </c>
      <c r="AP53" s="17">
        <f>'Rolling report'!DI53*'With Action'!$Y$6</f>
        <v>0</v>
      </c>
    </row>
    <row r="54" spans="1:42" x14ac:dyDescent="0.25">
      <c r="A54" s="4" t="s">
        <v>97</v>
      </c>
      <c r="B54" s="6" t="s">
        <v>98</v>
      </c>
      <c r="I54" s="17">
        <f>'Rolling report'!CB54*'With Action'!$Y$6</f>
        <v>8.3500000000000014</v>
      </c>
      <c r="J54" s="17">
        <f>'Rolling report'!CC54*'With Action'!$Y$6</f>
        <v>1.9000000000000004</v>
      </c>
      <c r="K54" s="17">
        <f>'Rolling report'!CD54*'With Action'!$Y$6</f>
        <v>1.0500000000000003</v>
      </c>
      <c r="L54" s="17">
        <f>'Rolling report'!CE54*'With Action'!$Y$6</f>
        <v>1.3000000000000003</v>
      </c>
      <c r="M54" s="17">
        <f>'Rolling report'!CF54*'With Action'!$Y$6</f>
        <v>0.90000000000000013</v>
      </c>
      <c r="N54" s="17">
        <f>'Rolling report'!CG54*'With Action'!$Y$6</f>
        <v>1.6500000000000004</v>
      </c>
      <c r="O54" s="17">
        <f>'Rolling report'!CH54*'With Action'!$Y$6</f>
        <v>1.9000000000000004</v>
      </c>
      <c r="P54" s="17">
        <f>'Rolling report'!CI54*'With Action'!$Y$6</f>
        <v>1.1500000000000001</v>
      </c>
      <c r="Q54" s="17">
        <f>'Rolling report'!CJ54*'With Action'!$Y$6</f>
        <v>0.40000000000000008</v>
      </c>
      <c r="R54" s="17">
        <f>'Rolling report'!CK54*'With Action'!$Y$6</f>
        <v>0.55000000000000016</v>
      </c>
      <c r="S54" s="17">
        <f>'Rolling report'!CL54*'With Action'!$Y$6</f>
        <v>0.45000000000000007</v>
      </c>
      <c r="T54" s="17">
        <f>'Rolling report'!CM54*'With Action'!$Y$6</f>
        <v>0.80000000000000016</v>
      </c>
      <c r="U54" s="17">
        <f>'Rolling report'!CN54*'With Action'!$Y$6</f>
        <v>0.65000000000000013</v>
      </c>
      <c r="V54" s="17">
        <f>'Rolling report'!CO54*'With Action'!$Y$6</f>
        <v>0.40000000000000008</v>
      </c>
      <c r="W54" s="17">
        <f>'Rolling report'!CP54*'With Action'!$Y$6</f>
        <v>1.0000000000000002</v>
      </c>
      <c r="X54" s="17">
        <f>'Rolling report'!CQ54*'With Action'!$Y$6</f>
        <v>0.20000000000000004</v>
      </c>
      <c r="Y54" s="17">
        <f>'Rolling report'!CR54*'With Action'!$Y$6</f>
        <v>0.40000000000000008</v>
      </c>
      <c r="Z54" s="17">
        <f>'Rolling report'!CS54*'With Action'!$Y$6</f>
        <v>0.25000000000000006</v>
      </c>
      <c r="AA54" s="17">
        <f>'Rolling report'!CT54*'With Action'!$Y$6</f>
        <v>0.65000000000000013</v>
      </c>
      <c r="AB54" s="17">
        <f>'Rolling report'!CU54*'With Action'!$Y$6</f>
        <v>0.25000000000000006</v>
      </c>
      <c r="AC54" s="17">
        <f>'Rolling report'!CV54*'With Action'!$Y$6</f>
        <v>0.65000000000000013</v>
      </c>
      <c r="AD54" s="17">
        <f>'Rolling report'!CW54*'With Action'!$Y$6</f>
        <v>0</v>
      </c>
      <c r="AE54" s="17">
        <f>'Rolling report'!CX54*'With Action'!$Y$6</f>
        <v>0.8500000000000002</v>
      </c>
      <c r="AF54" s="17">
        <f>'Rolling report'!CY54*'With Action'!$Y$6</f>
        <v>-25.700000000000006</v>
      </c>
      <c r="AG54" s="17">
        <f>'Rolling report'!CZ54*'With Action'!$Y$6</f>
        <v>0</v>
      </c>
      <c r="AH54" s="17">
        <f>'Rolling report'!DA54*'With Action'!$Y$6</f>
        <v>0</v>
      </c>
      <c r="AI54" s="17">
        <f>'Rolling report'!DB54*'With Action'!$Y$6</f>
        <v>0</v>
      </c>
      <c r="AJ54" s="17">
        <f>'Rolling report'!DC54*'With Action'!$Y$6</f>
        <v>0</v>
      </c>
      <c r="AK54" s="17">
        <f>'Rolling report'!DD54*'With Action'!$Y$6</f>
        <v>0</v>
      </c>
      <c r="AL54" s="17">
        <f>'Rolling report'!DE54*'With Action'!$Y$6</f>
        <v>0</v>
      </c>
      <c r="AM54" s="17">
        <f>'Rolling report'!DF54*'With Action'!$Y$6</f>
        <v>0</v>
      </c>
      <c r="AN54" s="17">
        <f>'Rolling report'!DG54*'With Action'!$Y$6</f>
        <v>0</v>
      </c>
      <c r="AO54" s="17">
        <f>'Rolling report'!DH54*'With Action'!$Y$6</f>
        <v>0</v>
      </c>
      <c r="AP54" s="17">
        <f>'Rolling report'!DI54*'With Action'!$Y$6</f>
        <v>0</v>
      </c>
    </row>
    <row r="55" spans="1:42" x14ac:dyDescent="0.25">
      <c r="A55" s="4" t="s">
        <v>99</v>
      </c>
      <c r="B55" s="6" t="s">
        <v>100</v>
      </c>
      <c r="I55" s="17">
        <f>'Rolling report'!CB55*'With Action'!$Y$6</f>
        <v>5.4500000000000011</v>
      </c>
      <c r="J55" s="17">
        <f>'Rolling report'!CC55*'With Action'!$Y$6</f>
        <v>0.30000000000000004</v>
      </c>
      <c r="K55" s="17">
        <f>'Rolling report'!CD55*'With Action'!$Y$6</f>
        <v>0.70000000000000018</v>
      </c>
      <c r="L55" s="17">
        <f>'Rolling report'!CE55*'With Action'!$Y$6</f>
        <v>0.50000000000000011</v>
      </c>
      <c r="M55" s="17">
        <f>'Rolling report'!CF55*'With Action'!$Y$6</f>
        <v>0.35000000000000009</v>
      </c>
      <c r="N55" s="17">
        <f>'Rolling report'!CG55*'With Action'!$Y$6</f>
        <v>0.95000000000000018</v>
      </c>
      <c r="O55" s="17">
        <f>'Rolling report'!CH55*'With Action'!$Y$6</f>
        <v>0.55000000000000016</v>
      </c>
      <c r="P55" s="17">
        <f>'Rolling report'!CI55*'With Action'!$Y$6</f>
        <v>0.50000000000000011</v>
      </c>
      <c r="Q55" s="17">
        <f>'Rolling report'!CJ55*'With Action'!$Y$6</f>
        <v>0.75000000000000011</v>
      </c>
      <c r="R55" s="17">
        <f>'Rolling report'!CK55*'With Action'!$Y$6</f>
        <v>0.25000000000000006</v>
      </c>
      <c r="S55" s="17">
        <f>'Rolling report'!CL55*'With Action'!$Y$6</f>
        <v>0.40000000000000008</v>
      </c>
      <c r="T55" s="17">
        <f>'Rolling report'!CM55*'With Action'!$Y$6</f>
        <v>0.25000000000000006</v>
      </c>
      <c r="U55" s="17">
        <f>'Rolling report'!CN55*'With Action'!$Y$6</f>
        <v>0.50000000000000011</v>
      </c>
      <c r="V55" s="17">
        <f>'Rolling report'!CO55*'With Action'!$Y$6</f>
        <v>0.25000000000000006</v>
      </c>
      <c r="W55" s="17">
        <f>'Rolling report'!CP55*'With Action'!$Y$6</f>
        <v>5.000000000000001E-2</v>
      </c>
      <c r="X55" s="17">
        <f>'Rolling report'!CQ55*'With Action'!$Y$6</f>
        <v>0.15000000000000002</v>
      </c>
      <c r="Y55" s="17">
        <f>'Rolling report'!CR55*'With Action'!$Y$6</f>
        <v>0.30000000000000004</v>
      </c>
      <c r="Z55" s="17">
        <f>'Rolling report'!CS55*'With Action'!$Y$6</f>
        <v>0.25000000000000006</v>
      </c>
      <c r="AA55" s="17">
        <f>'Rolling report'!CT55*'With Action'!$Y$6</f>
        <v>0.30000000000000004</v>
      </c>
      <c r="AB55" s="17">
        <f>'Rolling report'!CU55*'With Action'!$Y$6</f>
        <v>0.25000000000000006</v>
      </c>
      <c r="AC55" s="17">
        <f>'Rolling report'!CV55*'With Action'!$Y$6</f>
        <v>0.65000000000000013</v>
      </c>
      <c r="AD55" s="17">
        <f>'Rolling report'!CW55*'With Action'!$Y$6</f>
        <v>0.10000000000000002</v>
      </c>
      <c r="AE55" s="17">
        <f>'Rolling report'!CX55*'With Action'!$Y$6</f>
        <v>0.25000000000000006</v>
      </c>
      <c r="AF55" s="17">
        <f>'Rolling report'!CY55*'With Action'!$Y$6</f>
        <v>-14.000000000000004</v>
      </c>
      <c r="AG55" s="17">
        <f>'Rolling report'!CZ55*'With Action'!$Y$6</f>
        <v>0</v>
      </c>
      <c r="AH55" s="17">
        <f>'Rolling report'!DA55*'With Action'!$Y$6</f>
        <v>0</v>
      </c>
      <c r="AI55" s="17">
        <f>'Rolling report'!DB55*'With Action'!$Y$6</f>
        <v>0</v>
      </c>
      <c r="AJ55" s="17">
        <f>'Rolling report'!DC55*'With Action'!$Y$6</f>
        <v>0</v>
      </c>
      <c r="AK55" s="17">
        <f>'Rolling report'!DD55*'With Action'!$Y$6</f>
        <v>0</v>
      </c>
      <c r="AL55" s="17">
        <f>'Rolling report'!DE55*'With Action'!$Y$6</f>
        <v>0</v>
      </c>
      <c r="AM55" s="17">
        <f>'Rolling report'!DF55*'With Action'!$Y$6</f>
        <v>0</v>
      </c>
      <c r="AN55" s="17">
        <f>'Rolling report'!DG55*'With Action'!$Y$6</f>
        <v>0</v>
      </c>
      <c r="AO55" s="17">
        <f>'Rolling report'!DH55*'With Action'!$Y$6</f>
        <v>0</v>
      </c>
      <c r="AP55" s="17">
        <f>'Rolling report'!DI55*'With Action'!$Y$6</f>
        <v>0</v>
      </c>
    </row>
    <row r="56" spans="1:42" x14ac:dyDescent="0.25">
      <c r="A56" s="4" t="s">
        <v>101</v>
      </c>
      <c r="B56" s="6" t="s">
        <v>102</v>
      </c>
      <c r="I56" s="17">
        <f>'Rolling report'!CB56*'With Action'!$Y$6</f>
        <v>0.8500000000000002</v>
      </c>
      <c r="J56" s="17">
        <f>'Rolling report'!CC56*'With Action'!$Y$6</f>
        <v>0.40000000000000008</v>
      </c>
      <c r="K56" s="17">
        <f>'Rolling report'!CD56*'With Action'!$Y$6</f>
        <v>0</v>
      </c>
      <c r="L56" s="17">
        <f>'Rolling report'!CE56*'With Action'!$Y$6</f>
        <v>0.20000000000000004</v>
      </c>
      <c r="M56" s="17">
        <f>'Rolling report'!CF56*'With Action'!$Y$6</f>
        <v>5.000000000000001E-2</v>
      </c>
      <c r="N56" s="17">
        <f>'Rolling report'!CG56*'With Action'!$Y$6</f>
        <v>0.10000000000000002</v>
      </c>
      <c r="O56" s="17">
        <f>'Rolling report'!CH56*'With Action'!$Y$6</f>
        <v>0.40000000000000008</v>
      </c>
      <c r="P56" s="17">
        <f>'Rolling report'!CI56*'With Action'!$Y$6</f>
        <v>0</v>
      </c>
      <c r="Q56" s="17">
        <f>'Rolling report'!CJ56*'With Action'!$Y$6</f>
        <v>0</v>
      </c>
      <c r="R56" s="17">
        <f>'Rolling report'!CK56*'With Action'!$Y$6</f>
        <v>0</v>
      </c>
      <c r="S56" s="17">
        <f>'Rolling report'!CL56*'With Action'!$Y$6</f>
        <v>0.25000000000000006</v>
      </c>
      <c r="T56" s="17">
        <f>'Rolling report'!CM56*'With Action'!$Y$6</f>
        <v>-0.40000000000000008</v>
      </c>
      <c r="U56" s="17">
        <f>'Rolling report'!CN56*'With Action'!$Y$6</f>
        <v>0.40000000000000008</v>
      </c>
      <c r="V56" s="17">
        <f>'Rolling report'!CO56*'With Action'!$Y$6</f>
        <v>0</v>
      </c>
      <c r="W56" s="17">
        <f>'Rolling report'!CP56*'With Action'!$Y$6</f>
        <v>0</v>
      </c>
      <c r="X56" s="17">
        <f>'Rolling report'!CQ56*'With Action'!$Y$6</f>
        <v>0</v>
      </c>
      <c r="Y56" s="17">
        <f>'Rolling report'!CR56*'With Action'!$Y$6</f>
        <v>0</v>
      </c>
      <c r="Z56" s="17">
        <f>'Rolling report'!CS56*'With Action'!$Y$6</f>
        <v>0</v>
      </c>
      <c r="AA56" s="17">
        <f>'Rolling report'!CT56*'With Action'!$Y$6</f>
        <v>0.25000000000000006</v>
      </c>
      <c r="AB56" s="17">
        <f>'Rolling report'!CU56*'With Action'!$Y$6</f>
        <v>0</v>
      </c>
      <c r="AC56" s="17">
        <f>'Rolling report'!CV56*'With Action'!$Y$6</f>
        <v>0.25000000000000006</v>
      </c>
      <c r="AD56" s="17">
        <f>'Rolling report'!CW56*'With Action'!$Y$6</f>
        <v>-0.60000000000000009</v>
      </c>
      <c r="AE56" s="17">
        <f>'Rolling report'!CX56*'With Action'!$Y$6</f>
        <v>0</v>
      </c>
      <c r="AF56" s="17">
        <f>'Rolling report'!CY56*'With Action'!$Y$6</f>
        <v>-2.1500000000000004</v>
      </c>
      <c r="AG56" s="17">
        <f>'Rolling report'!CZ56*'With Action'!$Y$6</f>
        <v>0</v>
      </c>
      <c r="AH56" s="17">
        <f>'Rolling report'!DA56*'With Action'!$Y$6</f>
        <v>0</v>
      </c>
      <c r="AI56" s="17">
        <f>'Rolling report'!DB56*'With Action'!$Y$6</f>
        <v>0</v>
      </c>
      <c r="AJ56" s="17">
        <f>'Rolling report'!DC56*'With Action'!$Y$6</f>
        <v>0</v>
      </c>
      <c r="AK56" s="17">
        <f>'Rolling report'!DD56*'With Action'!$Y$6</f>
        <v>0</v>
      </c>
      <c r="AL56" s="17">
        <f>'Rolling report'!DE56*'With Action'!$Y$6</f>
        <v>0</v>
      </c>
      <c r="AM56" s="17">
        <f>'Rolling report'!DF56*'With Action'!$Y$6</f>
        <v>0</v>
      </c>
      <c r="AN56" s="17">
        <f>'Rolling report'!DG56*'With Action'!$Y$6</f>
        <v>0</v>
      </c>
      <c r="AO56" s="17">
        <f>'Rolling report'!DH56*'With Action'!$Y$6</f>
        <v>0</v>
      </c>
      <c r="AP56" s="17">
        <f>'Rolling report'!DI56*'With Action'!$Y$6</f>
        <v>0</v>
      </c>
    </row>
    <row r="57" spans="1:42" x14ac:dyDescent="0.25">
      <c r="A57" s="4" t="s">
        <v>103</v>
      </c>
      <c r="B57" s="6" t="s">
        <v>104</v>
      </c>
      <c r="I57" s="17">
        <f>'Rolling report'!CB57*'With Action'!$Y$6</f>
        <v>8.1000000000000014</v>
      </c>
      <c r="J57" s="17">
        <f>'Rolling report'!CC57*'With Action'!$Y$6</f>
        <v>0.55000000000000016</v>
      </c>
      <c r="K57" s="17">
        <f>'Rolling report'!CD57*'With Action'!$Y$6</f>
        <v>0.60000000000000009</v>
      </c>
      <c r="L57" s="17">
        <f>'Rolling report'!CE57*'With Action'!$Y$6</f>
        <v>1.1500000000000001</v>
      </c>
      <c r="M57" s="17">
        <f>'Rolling report'!CF57*'With Action'!$Y$6</f>
        <v>0.45000000000000007</v>
      </c>
      <c r="N57" s="17">
        <f>'Rolling report'!CG57*'With Action'!$Y$6</f>
        <v>1.1500000000000001</v>
      </c>
      <c r="O57" s="17">
        <f>'Rolling report'!CH57*'With Action'!$Y$6</f>
        <v>0.70000000000000018</v>
      </c>
      <c r="P57" s="17">
        <f>'Rolling report'!CI57*'With Action'!$Y$6</f>
        <v>0.25000000000000006</v>
      </c>
      <c r="Q57" s="17">
        <f>'Rolling report'!CJ57*'With Action'!$Y$6</f>
        <v>0.90000000000000013</v>
      </c>
      <c r="R57" s="17">
        <f>'Rolling report'!CK57*'With Action'!$Y$6</f>
        <v>0.75000000000000011</v>
      </c>
      <c r="S57" s="17">
        <f>'Rolling report'!CL57*'With Action'!$Y$6</f>
        <v>0.40000000000000008</v>
      </c>
      <c r="T57" s="17">
        <f>'Rolling report'!CM57*'With Action'!$Y$6</f>
        <v>0.55000000000000016</v>
      </c>
      <c r="U57" s="17">
        <f>'Rolling report'!CN57*'With Action'!$Y$6</f>
        <v>0.50000000000000011</v>
      </c>
      <c r="V57" s="17">
        <f>'Rolling report'!CO57*'With Action'!$Y$6</f>
        <v>0.45000000000000007</v>
      </c>
      <c r="W57" s="17">
        <f>'Rolling report'!CP57*'With Action'!$Y$6</f>
        <v>5.000000000000001E-2</v>
      </c>
      <c r="X57" s="17">
        <f>'Rolling report'!CQ57*'With Action'!$Y$6</f>
        <v>0.20000000000000004</v>
      </c>
      <c r="Y57" s="17">
        <f>'Rolling report'!CR57*'With Action'!$Y$6</f>
        <v>0.25000000000000006</v>
      </c>
      <c r="Z57" s="17">
        <f>'Rolling report'!CS57*'With Action'!$Y$6</f>
        <v>0.25000000000000006</v>
      </c>
      <c r="AA57" s="17">
        <f>'Rolling report'!CT57*'With Action'!$Y$6</f>
        <v>0.55000000000000016</v>
      </c>
      <c r="AB57" s="17">
        <f>'Rolling report'!CU57*'With Action'!$Y$6</f>
        <v>0.8500000000000002</v>
      </c>
      <c r="AC57" s="17">
        <f>'Rolling report'!CV57*'With Action'!$Y$6</f>
        <v>0.70000000000000018</v>
      </c>
      <c r="AD57" s="17">
        <f>'Rolling report'!CW57*'With Action'!$Y$6</f>
        <v>-5.000000000000001E-2</v>
      </c>
      <c r="AE57" s="17">
        <f>'Rolling report'!CX57*'With Action'!$Y$6</f>
        <v>0.40000000000000008</v>
      </c>
      <c r="AF57" s="17">
        <f>'Rolling report'!CY57*'With Action'!$Y$6</f>
        <v>-19.700000000000003</v>
      </c>
      <c r="AG57" s="17">
        <f>'Rolling report'!CZ57*'With Action'!$Y$6</f>
        <v>0</v>
      </c>
      <c r="AH57" s="17">
        <f>'Rolling report'!DA57*'With Action'!$Y$6</f>
        <v>0</v>
      </c>
      <c r="AI57" s="17">
        <f>'Rolling report'!DB57*'With Action'!$Y$6</f>
        <v>0</v>
      </c>
      <c r="AJ57" s="17">
        <f>'Rolling report'!DC57*'With Action'!$Y$6</f>
        <v>0</v>
      </c>
      <c r="AK57" s="17">
        <f>'Rolling report'!DD57*'With Action'!$Y$6</f>
        <v>0</v>
      </c>
      <c r="AL57" s="17">
        <f>'Rolling report'!DE57*'With Action'!$Y$6</f>
        <v>0</v>
      </c>
      <c r="AM57" s="17">
        <f>'Rolling report'!DF57*'With Action'!$Y$6</f>
        <v>0</v>
      </c>
      <c r="AN57" s="17">
        <f>'Rolling report'!DG57*'With Action'!$Y$6</f>
        <v>0</v>
      </c>
      <c r="AO57" s="17">
        <f>'Rolling report'!DH57*'With Action'!$Y$6</f>
        <v>0</v>
      </c>
      <c r="AP57" s="17">
        <f>'Rolling report'!DI57*'With Action'!$Y$6</f>
        <v>0</v>
      </c>
    </row>
    <row r="58" spans="1:42" x14ac:dyDescent="0.25">
      <c r="A58" s="4" t="s">
        <v>105</v>
      </c>
      <c r="B58" s="6" t="s">
        <v>106</v>
      </c>
      <c r="I58" s="17">
        <f>'Rolling report'!CB58*'With Action'!$Y$6</f>
        <v>48.650000000000013</v>
      </c>
      <c r="J58" s="17">
        <f>'Rolling report'!CC58*'With Action'!$Y$6</f>
        <v>8.7500000000000018</v>
      </c>
      <c r="K58" s="17">
        <f>'Rolling report'!CD58*'With Action'!$Y$6</f>
        <v>6.2000000000000011</v>
      </c>
      <c r="L58" s="17">
        <f>'Rolling report'!CE58*'With Action'!$Y$6</f>
        <v>7.950000000000002</v>
      </c>
      <c r="M58" s="17">
        <f>'Rolling report'!CF58*'With Action'!$Y$6</f>
        <v>7.2500000000000018</v>
      </c>
      <c r="N58" s="17">
        <f>'Rolling report'!CG58*'With Action'!$Y$6</f>
        <v>5.4500000000000011</v>
      </c>
      <c r="O58" s="17">
        <f>'Rolling report'!CH58*'With Action'!$Y$6</f>
        <v>6.5500000000000016</v>
      </c>
      <c r="P58" s="17">
        <f>'Rolling report'!CI58*'With Action'!$Y$6</f>
        <v>2.2000000000000006</v>
      </c>
      <c r="Q58" s="17">
        <f>'Rolling report'!CJ58*'With Action'!$Y$6</f>
        <v>5.4000000000000012</v>
      </c>
      <c r="R58" s="17">
        <f>'Rolling report'!CK58*'With Action'!$Y$6</f>
        <v>3.2000000000000006</v>
      </c>
      <c r="S58" s="17">
        <f>'Rolling report'!CL58*'With Action'!$Y$6</f>
        <v>2.5500000000000007</v>
      </c>
      <c r="T58" s="17">
        <f>'Rolling report'!CM58*'With Action'!$Y$6</f>
        <v>4.3500000000000005</v>
      </c>
      <c r="U58" s="17">
        <f>'Rolling report'!CN58*'With Action'!$Y$6</f>
        <v>3.7000000000000006</v>
      </c>
      <c r="V58" s="17">
        <f>'Rolling report'!CO58*'With Action'!$Y$6</f>
        <v>2.6000000000000005</v>
      </c>
      <c r="W58" s="17">
        <f>'Rolling report'!CP58*'With Action'!$Y$6</f>
        <v>2.8000000000000007</v>
      </c>
      <c r="X58" s="17">
        <f>'Rolling report'!CQ58*'With Action'!$Y$6</f>
        <v>1.3500000000000003</v>
      </c>
      <c r="Y58" s="17">
        <f>'Rolling report'!CR58*'With Action'!$Y$6</f>
        <v>1.8000000000000003</v>
      </c>
      <c r="Z58" s="17">
        <f>'Rolling report'!CS58*'With Action'!$Y$6</f>
        <v>2.1000000000000005</v>
      </c>
      <c r="AA58" s="17">
        <f>'Rolling report'!CT58*'With Action'!$Y$6</f>
        <v>1.7000000000000004</v>
      </c>
      <c r="AB58" s="17">
        <f>'Rolling report'!CU58*'With Action'!$Y$6</f>
        <v>1.7000000000000004</v>
      </c>
      <c r="AC58" s="17">
        <f>'Rolling report'!CV58*'With Action'!$Y$6</f>
        <v>3.2000000000000006</v>
      </c>
      <c r="AD58" s="17">
        <f>'Rolling report'!CW58*'With Action'!$Y$6</f>
        <v>0.45000000000000007</v>
      </c>
      <c r="AE58" s="17">
        <f>'Rolling report'!CX58*'With Action'!$Y$6</f>
        <v>1.6500000000000004</v>
      </c>
      <c r="AF58" s="17">
        <f>'Rolling report'!CY58*'With Action'!$Y$6</f>
        <v>-131.55000000000001</v>
      </c>
      <c r="AG58" s="17">
        <f>'Rolling report'!CZ58*'With Action'!$Y$6</f>
        <v>0</v>
      </c>
      <c r="AH58" s="17">
        <f>'Rolling report'!DA58*'With Action'!$Y$6</f>
        <v>0</v>
      </c>
      <c r="AI58" s="17">
        <f>'Rolling report'!DB58*'With Action'!$Y$6</f>
        <v>0</v>
      </c>
      <c r="AJ58" s="17">
        <f>'Rolling report'!DC58*'With Action'!$Y$6</f>
        <v>0</v>
      </c>
      <c r="AK58" s="17">
        <f>'Rolling report'!DD58*'With Action'!$Y$6</f>
        <v>0</v>
      </c>
      <c r="AL58" s="17">
        <f>'Rolling report'!DE58*'With Action'!$Y$6</f>
        <v>0</v>
      </c>
      <c r="AM58" s="17">
        <f>'Rolling report'!DF58*'With Action'!$Y$6</f>
        <v>0</v>
      </c>
      <c r="AN58" s="17">
        <f>'Rolling report'!DG58*'With Action'!$Y$6</f>
        <v>0</v>
      </c>
      <c r="AO58" s="17">
        <f>'Rolling report'!DH58*'With Action'!$Y$6</f>
        <v>0</v>
      </c>
      <c r="AP58" s="17">
        <f>'Rolling report'!DI58*'With Action'!$Y$6</f>
        <v>0</v>
      </c>
    </row>
    <row r="59" spans="1:42" x14ac:dyDescent="0.25">
      <c r="A59" s="4" t="s">
        <v>107</v>
      </c>
      <c r="B59" s="6" t="s">
        <v>108</v>
      </c>
      <c r="I59" s="17">
        <f>'Rolling report'!CB59*'With Action'!$Y$6</f>
        <v>9.0000000000000018</v>
      </c>
      <c r="J59" s="17">
        <f>'Rolling report'!CC59*'With Action'!$Y$6</f>
        <v>1.0500000000000003</v>
      </c>
      <c r="K59" s="17">
        <f>'Rolling report'!CD59*'With Action'!$Y$6</f>
        <v>0.90000000000000013</v>
      </c>
      <c r="L59" s="17">
        <f>'Rolling report'!CE59*'With Action'!$Y$6</f>
        <v>0.8500000000000002</v>
      </c>
      <c r="M59" s="17">
        <f>'Rolling report'!CF59*'With Action'!$Y$6</f>
        <v>1.2500000000000002</v>
      </c>
      <c r="N59" s="17">
        <f>'Rolling report'!CG59*'With Action'!$Y$6</f>
        <v>0.45000000000000007</v>
      </c>
      <c r="O59" s="17">
        <f>'Rolling report'!CH59*'With Action'!$Y$6</f>
        <v>1.5000000000000002</v>
      </c>
      <c r="P59" s="17">
        <f>'Rolling report'!CI59*'With Action'!$Y$6</f>
        <v>0.65000000000000013</v>
      </c>
      <c r="Q59" s="17">
        <f>'Rolling report'!CJ59*'With Action'!$Y$6</f>
        <v>0.50000000000000011</v>
      </c>
      <c r="R59" s="17">
        <f>'Rolling report'!CK59*'With Action'!$Y$6</f>
        <v>0.60000000000000009</v>
      </c>
      <c r="S59" s="17">
        <f>'Rolling report'!CL59*'With Action'!$Y$6</f>
        <v>0.35000000000000009</v>
      </c>
      <c r="T59" s="17">
        <f>'Rolling report'!CM59*'With Action'!$Y$6</f>
        <v>0.95000000000000018</v>
      </c>
      <c r="U59" s="17">
        <f>'Rolling report'!CN59*'With Action'!$Y$6</f>
        <v>0.70000000000000018</v>
      </c>
      <c r="V59" s="17">
        <f>'Rolling report'!CO59*'With Action'!$Y$6</f>
        <v>0.65000000000000013</v>
      </c>
      <c r="W59" s="17">
        <f>'Rolling report'!CP59*'With Action'!$Y$6</f>
        <v>0.70000000000000018</v>
      </c>
      <c r="X59" s="17">
        <f>'Rolling report'!CQ59*'With Action'!$Y$6</f>
        <v>0.70000000000000018</v>
      </c>
      <c r="Y59" s="17">
        <f>'Rolling report'!CR59*'With Action'!$Y$6</f>
        <v>0.30000000000000004</v>
      </c>
      <c r="Z59" s="17">
        <f>'Rolling report'!CS59*'With Action'!$Y$6</f>
        <v>0.95000000000000018</v>
      </c>
      <c r="AA59" s="17">
        <f>'Rolling report'!CT59*'With Action'!$Y$6</f>
        <v>0.80000000000000016</v>
      </c>
      <c r="AB59" s="17">
        <f>'Rolling report'!CU59*'With Action'!$Y$6</f>
        <v>0.50000000000000011</v>
      </c>
      <c r="AC59" s="17">
        <f>'Rolling report'!CV59*'With Action'!$Y$6</f>
        <v>0.55000000000000016</v>
      </c>
      <c r="AD59" s="17">
        <f>'Rolling report'!CW59*'With Action'!$Y$6</f>
        <v>0.40000000000000008</v>
      </c>
      <c r="AE59" s="17">
        <f>'Rolling report'!CX59*'With Action'!$Y$6</f>
        <v>0.35000000000000009</v>
      </c>
      <c r="AF59" s="17">
        <f>'Rolling report'!CY59*'With Action'!$Y$6</f>
        <v>-24.650000000000006</v>
      </c>
      <c r="AG59" s="17">
        <f>'Rolling report'!CZ59*'With Action'!$Y$6</f>
        <v>0</v>
      </c>
      <c r="AH59" s="17">
        <f>'Rolling report'!DA59*'With Action'!$Y$6</f>
        <v>0</v>
      </c>
      <c r="AI59" s="17">
        <f>'Rolling report'!DB59*'With Action'!$Y$6</f>
        <v>0</v>
      </c>
      <c r="AJ59" s="17">
        <f>'Rolling report'!DC59*'With Action'!$Y$6</f>
        <v>0</v>
      </c>
      <c r="AK59" s="17">
        <f>'Rolling report'!DD59*'With Action'!$Y$6</f>
        <v>0</v>
      </c>
      <c r="AL59" s="17">
        <f>'Rolling report'!DE59*'With Action'!$Y$6</f>
        <v>0</v>
      </c>
      <c r="AM59" s="17">
        <f>'Rolling report'!DF59*'With Action'!$Y$6</f>
        <v>0</v>
      </c>
      <c r="AN59" s="17">
        <f>'Rolling report'!DG59*'With Action'!$Y$6</f>
        <v>0</v>
      </c>
      <c r="AO59" s="17">
        <f>'Rolling report'!DH59*'With Action'!$Y$6</f>
        <v>0</v>
      </c>
      <c r="AP59" s="17">
        <f>'Rolling report'!DI59*'With Action'!$Y$6</f>
        <v>0</v>
      </c>
    </row>
    <row r="60" spans="1:42" x14ac:dyDescent="0.25">
      <c r="A60" s="4" t="s">
        <v>109</v>
      </c>
      <c r="B60" s="6" t="s">
        <v>110</v>
      </c>
      <c r="I60" s="17">
        <f>'Rolling report'!CB60*'With Action'!$Y$6</f>
        <v>3.2500000000000004</v>
      </c>
      <c r="J60" s="17">
        <f>'Rolling report'!CC60*'With Action'!$Y$6</f>
        <v>0.35000000000000009</v>
      </c>
      <c r="K60" s="17">
        <f>'Rolling report'!CD60*'With Action'!$Y$6</f>
        <v>0.60000000000000009</v>
      </c>
      <c r="L60" s="17">
        <f>'Rolling report'!CE60*'With Action'!$Y$6</f>
        <v>1.0000000000000002</v>
      </c>
      <c r="M60" s="17">
        <f>'Rolling report'!CF60*'With Action'!$Y$6</f>
        <v>0.15000000000000002</v>
      </c>
      <c r="N60" s="17">
        <f>'Rolling report'!CG60*'With Action'!$Y$6</f>
        <v>0.40000000000000008</v>
      </c>
      <c r="O60" s="17">
        <f>'Rolling report'!CH60*'With Action'!$Y$6</f>
        <v>0.55000000000000016</v>
      </c>
      <c r="P60" s="17">
        <f>'Rolling report'!CI60*'With Action'!$Y$6</f>
        <v>0.15000000000000002</v>
      </c>
      <c r="Q60" s="17">
        <f>'Rolling report'!CJ60*'With Action'!$Y$6</f>
        <v>0.35000000000000009</v>
      </c>
      <c r="R60" s="17">
        <f>'Rolling report'!CK60*'With Action'!$Y$6</f>
        <v>0.30000000000000004</v>
      </c>
      <c r="S60" s="17">
        <f>'Rolling report'!CL60*'With Action'!$Y$6</f>
        <v>0.25000000000000006</v>
      </c>
      <c r="T60" s="17">
        <f>'Rolling report'!CM60*'With Action'!$Y$6</f>
        <v>0.25000000000000006</v>
      </c>
      <c r="U60" s="17">
        <f>'Rolling report'!CN60*'With Action'!$Y$6</f>
        <v>0.45000000000000007</v>
      </c>
      <c r="V60" s="17">
        <f>'Rolling report'!CO60*'With Action'!$Y$6</f>
        <v>0.15000000000000002</v>
      </c>
      <c r="W60" s="17">
        <f>'Rolling report'!CP60*'With Action'!$Y$6</f>
        <v>0.20000000000000004</v>
      </c>
      <c r="X60" s="17">
        <f>'Rolling report'!CQ60*'With Action'!$Y$6</f>
        <v>0.10000000000000002</v>
      </c>
      <c r="Y60" s="17">
        <f>'Rolling report'!CR60*'With Action'!$Y$6</f>
        <v>0.15000000000000002</v>
      </c>
      <c r="Z60" s="17">
        <f>'Rolling report'!CS60*'With Action'!$Y$6</f>
        <v>0.15000000000000002</v>
      </c>
      <c r="AA60" s="17">
        <f>'Rolling report'!CT60*'With Action'!$Y$6</f>
        <v>0.40000000000000008</v>
      </c>
      <c r="AB60" s="17">
        <f>'Rolling report'!CU60*'With Action'!$Y$6</f>
        <v>0.15000000000000002</v>
      </c>
      <c r="AC60" s="17">
        <f>'Rolling report'!CV60*'With Action'!$Y$6</f>
        <v>0.10000000000000002</v>
      </c>
      <c r="AD60" s="17">
        <f>'Rolling report'!CW60*'With Action'!$Y$6</f>
        <v>5.000000000000001E-2</v>
      </c>
      <c r="AE60" s="17">
        <f>'Rolling report'!CX60*'With Action'!$Y$6</f>
        <v>0.10000000000000002</v>
      </c>
      <c r="AF60" s="17">
        <f>'Rolling report'!CY60*'With Action'!$Y$6</f>
        <v>-9.6000000000000014</v>
      </c>
      <c r="AG60" s="17">
        <f>'Rolling report'!CZ60*'With Action'!$Y$6</f>
        <v>0</v>
      </c>
      <c r="AH60" s="17">
        <f>'Rolling report'!DA60*'With Action'!$Y$6</f>
        <v>0</v>
      </c>
      <c r="AI60" s="17">
        <f>'Rolling report'!DB60*'With Action'!$Y$6</f>
        <v>0</v>
      </c>
      <c r="AJ60" s="17">
        <f>'Rolling report'!DC60*'With Action'!$Y$6</f>
        <v>0</v>
      </c>
      <c r="AK60" s="17">
        <f>'Rolling report'!DD60*'With Action'!$Y$6</f>
        <v>0</v>
      </c>
      <c r="AL60" s="17">
        <f>'Rolling report'!DE60*'With Action'!$Y$6</f>
        <v>0</v>
      </c>
      <c r="AM60" s="17">
        <f>'Rolling report'!DF60*'With Action'!$Y$6</f>
        <v>0</v>
      </c>
      <c r="AN60" s="17">
        <f>'Rolling report'!DG60*'With Action'!$Y$6</f>
        <v>0</v>
      </c>
      <c r="AO60" s="17">
        <f>'Rolling report'!DH60*'With Action'!$Y$6</f>
        <v>0</v>
      </c>
      <c r="AP60" s="17">
        <f>'Rolling report'!DI60*'With Action'!$Y$6</f>
        <v>0</v>
      </c>
    </row>
    <row r="61" spans="1:42" x14ac:dyDescent="0.25">
      <c r="A61" s="4" t="s">
        <v>111</v>
      </c>
      <c r="B61" s="6" t="s">
        <v>112</v>
      </c>
      <c r="I61" s="17">
        <f>'Rolling report'!CB61*'With Action'!$Y$6</f>
        <v>0.75000000000000011</v>
      </c>
      <c r="J61" s="17">
        <f>'Rolling report'!CC61*'With Action'!$Y$6</f>
        <v>0.50000000000000011</v>
      </c>
      <c r="K61" s="17">
        <f>'Rolling report'!CD61*'With Action'!$Y$6</f>
        <v>5.000000000000001E-2</v>
      </c>
      <c r="L61" s="17">
        <f>'Rolling report'!CE61*'With Action'!$Y$6</f>
        <v>5.000000000000001E-2</v>
      </c>
      <c r="M61" s="17">
        <f>'Rolling report'!CF61*'With Action'!$Y$6</f>
        <v>0</v>
      </c>
      <c r="N61" s="17">
        <f>'Rolling report'!CG61*'With Action'!$Y$6</f>
        <v>0.15000000000000002</v>
      </c>
      <c r="O61" s="17">
        <f>'Rolling report'!CH61*'With Action'!$Y$6</f>
        <v>0.50000000000000011</v>
      </c>
      <c r="P61" s="17">
        <f>'Rolling report'!CI61*'With Action'!$Y$6</f>
        <v>0</v>
      </c>
      <c r="Q61" s="17">
        <f>'Rolling report'!CJ61*'With Action'!$Y$6</f>
        <v>0</v>
      </c>
      <c r="R61" s="17">
        <f>'Rolling report'!CK61*'With Action'!$Y$6</f>
        <v>0</v>
      </c>
      <c r="S61" s="17">
        <f>'Rolling report'!CL61*'With Action'!$Y$6</f>
        <v>0.25000000000000006</v>
      </c>
      <c r="T61" s="17">
        <f>'Rolling report'!CM61*'With Action'!$Y$6</f>
        <v>-0.45000000000000007</v>
      </c>
      <c r="U61" s="17">
        <f>'Rolling report'!CN61*'With Action'!$Y$6</f>
        <v>0.45000000000000007</v>
      </c>
      <c r="V61" s="17">
        <f>'Rolling report'!CO61*'With Action'!$Y$6</f>
        <v>0</v>
      </c>
      <c r="W61" s="17">
        <f>'Rolling report'!CP61*'With Action'!$Y$6</f>
        <v>0</v>
      </c>
      <c r="X61" s="17">
        <f>'Rolling report'!CQ61*'With Action'!$Y$6</f>
        <v>0</v>
      </c>
      <c r="Y61" s="17">
        <f>'Rolling report'!CR61*'With Action'!$Y$6</f>
        <v>0</v>
      </c>
      <c r="Z61" s="17">
        <f>'Rolling report'!CS61*'With Action'!$Y$6</f>
        <v>0</v>
      </c>
      <c r="AA61" s="17">
        <f>'Rolling report'!CT61*'With Action'!$Y$6</f>
        <v>0.25000000000000006</v>
      </c>
      <c r="AB61" s="17">
        <f>'Rolling report'!CU61*'With Action'!$Y$6</f>
        <v>0</v>
      </c>
      <c r="AC61" s="17">
        <f>'Rolling report'!CV61*'With Action'!$Y$6</f>
        <v>0.25000000000000006</v>
      </c>
      <c r="AD61" s="17">
        <f>'Rolling report'!CW61*'With Action'!$Y$6</f>
        <v>-0.75000000000000011</v>
      </c>
      <c r="AE61" s="17">
        <f>'Rolling report'!CX61*'With Action'!$Y$6</f>
        <v>0.10000000000000002</v>
      </c>
      <c r="AF61" s="17">
        <f>'Rolling report'!CY61*'With Action'!$Y$6</f>
        <v>-2.1000000000000005</v>
      </c>
      <c r="AG61" s="17">
        <f>'Rolling report'!CZ61*'With Action'!$Y$6</f>
        <v>0</v>
      </c>
      <c r="AH61" s="17">
        <f>'Rolling report'!DA61*'With Action'!$Y$6</f>
        <v>0</v>
      </c>
      <c r="AI61" s="17">
        <f>'Rolling report'!DB61*'With Action'!$Y$6</f>
        <v>0</v>
      </c>
      <c r="AJ61" s="17">
        <f>'Rolling report'!DC61*'With Action'!$Y$6</f>
        <v>0</v>
      </c>
      <c r="AK61" s="17">
        <f>'Rolling report'!DD61*'With Action'!$Y$6</f>
        <v>0</v>
      </c>
      <c r="AL61" s="17">
        <f>'Rolling report'!DE61*'With Action'!$Y$6</f>
        <v>0</v>
      </c>
      <c r="AM61" s="17">
        <f>'Rolling report'!DF61*'With Action'!$Y$6</f>
        <v>0</v>
      </c>
      <c r="AN61" s="17">
        <f>'Rolling report'!DG61*'With Action'!$Y$6</f>
        <v>0</v>
      </c>
      <c r="AO61" s="17">
        <f>'Rolling report'!DH61*'With Action'!$Y$6</f>
        <v>0</v>
      </c>
      <c r="AP61" s="17">
        <f>'Rolling report'!DI61*'With Action'!$Y$6</f>
        <v>0</v>
      </c>
    </row>
    <row r="62" spans="1:42" x14ac:dyDescent="0.25">
      <c r="A62" s="4" t="s">
        <v>113</v>
      </c>
      <c r="B62" s="6" t="s">
        <v>114</v>
      </c>
      <c r="I62" s="17">
        <f>'Rolling report'!CB62*'With Action'!$Y$6</f>
        <v>3.5000000000000009</v>
      </c>
      <c r="J62" s="17">
        <f>'Rolling report'!CC62*'With Action'!$Y$6</f>
        <v>0.15000000000000002</v>
      </c>
      <c r="K62" s="17">
        <f>'Rolling report'!CD62*'With Action'!$Y$6</f>
        <v>0.35000000000000009</v>
      </c>
      <c r="L62" s="17">
        <f>'Rolling report'!CE62*'With Action'!$Y$6</f>
        <v>0.8500000000000002</v>
      </c>
      <c r="M62" s="17">
        <f>'Rolling report'!CF62*'With Action'!$Y$6</f>
        <v>0.40000000000000008</v>
      </c>
      <c r="N62" s="17">
        <f>'Rolling report'!CG62*'With Action'!$Y$6</f>
        <v>0.65000000000000013</v>
      </c>
      <c r="O62" s="17">
        <f>'Rolling report'!CH62*'With Action'!$Y$6</f>
        <v>0.65000000000000013</v>
      </c>
      <c r="P62" s="17">
        <f>'Rolling report'!CI62*'With Action'!$Y$6</f>
        <v>0.70000000000000018</v>
      </c>
      <c r="Q62" s="17">
        <f>'Rolling report'!CJ62*'With Action'!$Y$6</f>
        <v>0.90000000000000013</v>
      </c>
      <c r="R62" s="17">
        <f>'Rolling report'!CK62*'With Action'!$Y$6</f>
        <v>0.40000000000000008</v>
      </c>
      <c r="S62" s="17">
        <f>'Rolling report'!CL62*'With Action'!$Y$6</f>
        <v>0.15000000000000002</v>
      </c>
      <c r="T62" s="17">
        <f>'Rolling report'!CM62*'With Action'!$Y$6</f>
        <v>0.70000000000000018</v>
      </c>
      <c r="U62" s="17">
        <f>'Rolling report'!CN62*'With Action'!$Y$6</f>
        <v>0.30000000000000004</v>
      </c>
      <c r="V62" s="17">
        <f>'Rolling report'!CO62*'With Action'!$Y$6</f>
        <v>0.30000000000000004</v>
      </c>
      <c r="W62" s="17">
        <f>'Rolling report'!CP62*'With Action'!$Y$6</f>
        <v>0.60000000000000009</v>
      </c>
      <c r="X62" s="17">
        <f>'Rolling report'!CQ62*'With Action'!$Y$6</f>
        <v>0.25000000000000006</v>
      </c>
      <c r="Y62" s="17">
        <f>'Rolling report'!CR62*'With Action'!$Y$6</f>
        <v>0.30000000000000004</v>
      </c>
      <c r="Z62" s="17">
        <f>'Rolling report'!CS62*'With Action'!$Y$6</f>
        <v>0.20000000000000004</v>
      </c>
      <c r="AA62" s="17">
        <f>'Rolling report'!CT62*'With Action'!$Y$6</f>
        <v>0.35000000000000009</v>
      </c>
      <c r="AB62" s="17">
        <f>'Rolling report'!CU62*'With Action'!$Y$6</f>
        <v>0.40000000000000008</v>
      </c>
      <c r="AC62" s="17">
        <f>'Rolling report'!CV62*'With Action'!$Y$6</f>
        <v>0.70000000000000018</v>
      </c>
      <c r="AD62" s="17">
        <f>'Rolling report'!CW62*'With Action'!$Y$6</f>
        <v>0.35000000000000009</v>
      </c>
      <c r="AE62" s="17">
        <f>'Rolling report'!CX62*'With Action'!$Y$6</f>
        <v>0.15000000000000002</v>
      </c>
      <c r="AF62" s="17">
        <f>'Rolling report'!CY62*'With Action'!$Y$6</f>
        <v>-13.300000000000002</v>
      </c>
      <c r="AG62" s="17">
        <f>'Rolling report'!CZ62*'With Action'!$Y$6</f>
        <v>0</v>
      </c>
      <c r="AH62" s="17">
        <f>'Rolling report'!DA62*'With Action'!$Y$6</f>
        <v>0</v>
      </c>
      <c r="AI62" s="17">
        <f>'Rolling report'!DB62*'With Action'!$Y$6</f>
        <v>0</v>
      </c>
      <c r="AJ62" s="17">
        <f>'Rolling report'!DC62*'With Action'!$Y$6</f>
        <v>0</v>
      </c>
      <c r="AK62" s="17">
        <f>'Rolling report'!DD62*'With Action'!$Y$6</f>
        <v>0</v>
      </c>
      <c r="AL62" s="17">
        <f>'Rolling report'!DE62*'With Action'!$Y$6</f>
        <v>0</v>
      </c>
      <c r="AM62" s="17">
        <f>'Rolling report'!DF62*'With Action'!$Y$6</f>
        <v>0</v>
      </c>
      <c r="AN62" s="17">
        <f>'Rolling report'!DG62*'With Action'!$Y$6</f>
        <v>0</v>
      </c>
      <c r="AO62" s="17">
        <f>'Rolling report'!DH62*'With Action'!$Y$6</f>
        <v>0</v>
      </c>
      <c r="AP62" s="17">
        <f>'Rolling report'!DI62*'With Action'!$Y$6</f>
        <v>0</v>
      </c>
    </row>
    <row r="63" spans="1:42" x14ac:dyDescent="0.25">
      <c r="A63" s="4" t="s">
        <v>115</v>
      </c>
      <c r="B63" s="6" t="s">
        <v>116</v>
      </c>
      <c r="I63" s="17">
        <f>'Rolling report'!CB63*'With Action'!$Y$6</f>
        <v>7.4500000000000011</v>
      </c>
      <c r="J63" s="17">
        <f>'Rolling report'!CC63*'With Action'!$Y$6</f>
        <v>0.80000000000000016</v>
      </c>
      <c r="K63" s="17">
        <f>'Rolling report'!CD63*'With Action'!$Y$6</f>
        <v>1.3000000000000003</v>
      </c>
      <c r="L63" s="17">
        <f>'Rolling report'!CE63*'With Action'!$Y$6</f>
        <v>1.2500000000000002</v>
      </c>
      <c r="M63" s="17">
        <f>'Rolling report'!CF63*'With Action'!$Y$6</f>
        <v>1.3000000000000003</v>
      </c>
      <c r="N63" s="17">
        <f>'Rolling report'!CG63*'With Action'!$Y$6</f>
        <v>0.75000000000000011</v>
      </c>
      <c r="O63" s="17">
        <f>'Rolling report'!CH63*'With Action'!$Y$6</f>
        <v>2.3500000000000005</v>
      </c>
      <c r="P63" s="17">
        <f>'Rolling report'!CI63*'With Action'!$Y$6</f>
        <v>1.4500000000000002</v>
      </c>
      <c r="Q63" s="17">
        <f>'Rolling report'!CJ63*'With Action'!$Y$6</f>
        <v>0.80000000000000016</v>
      </c>
      <c r="R63" s="17">
        <f>'Rolling report'!CK63*'With Action'!$Y$6</f>
        <v>0.55000000000000016</v>
      </c>
      <c r="S63" s="17">
        <f>'Rolling report'!CL63*'With Action'!$Y$6</f>
        <v>0.75000000000000011</v>
      </c>
      <c r="T63" s="17">
        <f>'Rolling report'!CM63*'With Action'!$Y$6</f>
        <v>1.0000000000000002</v>
      </c>
      <c r="U63" s="17">
        <f>'Rolling report'!CN63*'With Action'!$Y$6</f>
        <v>1.0500000000000003</v>
      </c>
      <c r="V63" s="17">
        <f>'Rolling report'!CO63*'With Action'!$Y$6</f>
        <v>1.3500000000000003</v>
      </c>
      <c r="W63" s="17">
        <f>'Rolling report'!CP63*'With Action'!$Y$6</f>
        <v>0.8500000000000002</v>
      </c>
      <c r="X63" s="17">
        <f>'Rolling report'!CQ63*'With Action'!$Y$6</f>
        <v>0.40000000000000008</v>
      </c>
      <c r="Y63" s="17">
        <f>'Rolling report'!CR63*'With Action'!$Y$6</f>
        <v>0.45000000000000007</v>
      </c>
      <c r="Z63" s="17">
        <f>'Rolling report'!CS63*'With Action'!$Y$6</f>
        <v>0.60000000000000009</v>
      </c>
      <c r="AA63" s="17">
        <f>'Rolling report'!CT63*'With Action'!$Y$6</f>
        <v>0.60000000000000009</v>
      </c>
      <c r="AB63" s="17">
        <f>'Rolling report'!CU63*'With Action'!$Y$6</f>
        <v>0.65000000000000013</v>
      </c>
      <c r="AC63" s="17">
        <f>'Rolling report'!CV63*'With Action'!$Y$6</f>
        <v>0.55000000000000016</v>
      </c>
      <c r="AD63" s="17">
        <f>'Rolling report'!CW63*'With Action'!$Y$6</f>
        <v>5.000000000000001E-2</v>
      </c>
      <c r="AE63" s="17">
        <f>'Rolling report'!CX63*'With Action'!$Y$6</f>
        <v>0.45000000000000007</v>
      </c>
      <c r="AF63" s="17">
        <f>'Rolling report'!CY63*'With Action'!$Y$6</f>
        <v>-26.750000000000004</v>
      </c>
      <c r="AG63" s="17">
        <f>'Rolling report'!CZ63*'With Action'!$Y$6</f>
        <v>0</v>
      </c>
      <c r="AH63" s="17">
        <f>'Rolling report'!DA63*'With Action'!$Y$6</f>
        <v>0</v>
      </c>
      <c r="AI63" s="17">
        <f>'Rolling report'!DB63*'With Action'!$Y$6</f>
        <v>0</v>
      </c>
      <c r="AJ63" s="17">
        <f>'Rolling report'!DC63*'With Action'!$Y$6</f>
        <v>0</v>
      </c>
      <c r="AK63" s="17">
        <f>'Rolling report'!DD63*'With Action'!$Y$6</f>
        <v>0</v>
      </c>
      <c r="AL63" s="17">
        <f>'Rolling report'!DE63*'With Action'!$Y$6</f>
        <v>0</v>
      </c>
      <c r="AM63" s="17">
        <f>'Rolling report'!DF63*'With Action'!$Y$6</f>
        <v>0</v>
      </c>
      <c r="AN63" s="17">
        <f>'Rolling report'!DG63*'With Action'!$Y$6</f>
        <v>0</v>
      </c>
      <c r="AO63" s="17">
        <f>'Rolling report'!DH63*'With Action'!$Y$6</f>
        <v>0</v>
      </c>
      <c r="AP63" s="17">
        <f>'Rolling report'!DI63*'With Action'!$Y$6</f>
        <v>0</v>
      </c>
    </row>
    <row r="64" spans="1:42" x14ac:dyDescent="0.25">
      <c r="A64" s="4" t="s">
        <v>117</v>
      </c>
      <c r="B64" s="6" t="s">
        <v>118</v>
      </c>
      <c r="I64" s="17">
        <f>'Rolling report'!CB64*'With Action'!$Y$6</f>
        <v>31.100000000000005</v>
      </c>
      <c r="J64" s="17">
        <f>'Rolling report'!CC64*'With Action'!$Y$6</f>
        <v>5.2500000000000009</v>
      </c>
      <c r="K64" s="17">
        <f>'Rolling report'!CD64*'With Action'!$Y$6</f>
        <v>3.7000000000000006</v>
      </c>
      <c r="L64" s="17">
        <f>'Rolling report'!CE64*'With Action'!$Y$6</f>
        <v>5.1000000000000014</v>
      </c>
      <c r="M64" s="17">
        <f>'Rolling report'!CF64*'With Action'!$Y$6</f>
        <v>3.9000000000000008</v>
      </c>
      <c r="N64" s="17">
        <f>'Rolling report'!CG64*'With Action'!$Y$6</f>
        <v>3.4000000000000008</v>
      </c>
      <c r="O64" s="17">
        <f>'Rolling report'!CH64*'With Action'!$Y$6</f>
        <v>5.0500000000000007</v>
      </c>
      <c r="P64" s="17">
        <f>'Rolling report'!CI64*'With Action'!$Y$6</f>
        <v>2.6500000000000004</v>
      </c>
      <c r="Q64" s="17">
        <f>'Rolling report'!CJ64*'With Action'!$Y$6</f>
        <v>3.7500000000000009</v>
      </c>
      <c r="R64" s="17">
        <f>'Rolling report'!CK64*'With Action'!$Y$6</f>
        <v>3.0500000000000007</v>
      </c>
      <c r="S64" s="17">
        <f>'Rolling report'!CL64*'With Action'!$Y$6</f>
        <v>2.5000000000000004</v>
      </c>
      <c r="T64" s="17">
        <f>'Rolling report'!CM64*'With Action'!$Y$6</f>
        <v>2.7000000000000006</v>
      </c>
      <c r="U64" s="17">
        <f>'Rolling report'!CN64*'With Action'!$Y$6</f>
        <v>2.0000000000000004</v>
      </c>
      <c r="V64" s="17">
        <f>'Rolling report'!CO64*'With Action'!$Y$6</f>
        <v>1.3000000000000003</v>
      </c>
      <c r="W64" s="17">
        <f>'Rolling report'!CP64*'With Action'!$Y$6</f>
        <v>1.3500000000000003</v>
      </c>
      <c r="X64" s="17">
        <f>'Rolling report'!CQ64*'With Action'!$Y$6</f>
        <v>1.4000000000000004</v>
      </c>
      <c r="Y64" s="17">
        <f>'Rolling report'!CR64*'With Action'!$Y$6</f>
        <v>1.4000000000000004</v>
      </c>
      <c r="Z64" s="17">
        <f>'Rolling report'!CS64*'With Action'!$Y$6</f>
        <v>1.1000000000000003</v>
      </c>
      <c r="AA64" s="17">
        <f>'Rolling report'!CT64*'With Action'!$Y$6</f>
        <v>1.1000000000000003</v>
      </c>
      <c r="AB64" s="17">
        <f>'Rolling report'!CU64*'With Action'!$Y$6</f>
        <v>0.70000000000000018</v>
      </c>
      <c r="AC64" s="17">
        <f>'Rolling report'!CV64*'With Action'!$Y$6</f>
        <v>2.8000000000000007</v>
      </c>
      <c r="AD64" s="17">
        <f>'Rolling report'!CW64*'With Action'!$Y$6</f>
        <v>0.50000000000000011</v>
      </c>
      <c r="AE64" s="17">
        <f>'Rolling report'!CX64*'With Action'!$Y$6</f>
        <v>0.80000000000000016</v>
      </c>
      <c r="AF64" s="17">
        <f>'Rolling report'!CY64*'With Action'!$Y$6</f>
        <v>-86.600000000000023</v>
      </c>
      <c r="AG64" s="17">
        <f>'Rolling report'!CZ64*'With Action'!$Y$6</f>
        <v>0</v>
      </c>
      <c r="AH64" s="17">
        <f>'Rolling report'!DA64*'With Action'!$Y$6</f>
        <v>0</v>
      </c>
      <c r="AI64" s="17">
        <f>'Rolling report'!DB64*'With Action'!$Y$6</f>
        <v>0</v>
      </c>
      <c r="AJ64" s="17">
        <f>'Rolling report'!DC64*'With Action'!$Y$6</f>
        <v>0</v>
      </c>
      <c r="AK64" s="17">
        <f>'Rolling report'!DD64*'With Action'!$Y$6</f>
        <v>0</v>
      </c>
      <c r="AL64" s="17">
        <f>'Rolling report'!DE64*'With Action'!$Y$6</f>
        <v>0</v>
      </c>
      <c r="AM64" s="17">
        <f>'Rolling report'!DF64*'With Action'!$Y$6</f>
        <v>0</v>
      </c>
      <c r="AN64" s="17">
        <f>'Rolling report'!DG64*'With Action'!$Y$6</f>
        <v>0</v>
      </c>
      <c r="AO64" s="17">
        <f>'Rolling report'!DH64*'With Action'!$Y$6</f>
        <v>0</v>
      </c>
      <c r="AP64" s="17">
        <f>'Rolling report'!DI64*'With Action'!$Y$6</f>
        <v>0</v>
      </c>
    </row>
    <row r="65" spans="1:42" x14ac:dyDescent="0.25">
      <c r="A65" s="4" t="s">
        <v>119</v>
      </c>
      <c r="B65" s="6" t="s">
        <v>120</v>
      </c>
      <c r="I65" s="17">
        <f>'Rolling report'!CB65*'With Action'!$Y$6</f>
        <v>4.7500000000000009</v>
      </c>
      <c r="J65" s="17">
        <f>'Rolling report'!CC65*'With Action'!$Y$6</f>
        <v>1.0000000000000002</v>
      </c>
      <c r="K65" s="17">
        <f>'Rolling report'!CD65*'With Action'!$Y$6</f>
        <v>0.50000000000000011</v>
      </c>
      <c r="L65" s="17">
        <f>'Rolling report'!CE65*'With Action'!$Y$6</f>
        <v>0.60000000000000009</v>
      </c>
      <c r="M65" s="17">
        <f>'Rolling report'!CF65*'With Action'!$Y$6</f>
        <v>0.55000000000000016</v>
      </c>
      <c r="N65" s="17">
        <f>'Rolling report'!CG65*'With Action'!$Y$6</f>
        <v>1.0500000000000003</v>
      </c>
      <c r="O65" s="17">
        <f>'Rolling report'!CH65*'With Action'!$Y$6</f>
        <v>1.3000000000000003</v>
      </c>
      <c r="P65" s="17">
        <f>'Rolling report'!CI65*'With Action'!$Y$6</f>
        <v>0.90000000000000013</v>
      </c>
      <c r="Q65" s="17">
        <f>'Rolling report'!CJ65*'With Action'!$Y$6</f>
        <v>0.70000000000000018</v>
      </c>
      <c r="R65" s="17">
        <f>'Rolling report'!CK65*'With Action'!$Y$6</f>
        <v>0.80000000000000016</v>
      </c>
      <c r="S65" s="17">
        <f>'Rolling report'!CL65*'With Action'!$Y$6</f>
        <v>0.20000000000000004</v>
      </c>
      <c r="T65" s="17">
        <f>'Rolling report'!CM65*'With Action'!$Y$6</f>
        <v>1.1000000000000003</v>
      </c>
      <c r="U65" s="17">
        <f>'Rolling report'!CN65*'With Action'!$Y$6</f>
        <v>0.60000000000000009</v>
      </c>
      <c r="V65" s="17">
        <f>'Rolling report'!CO65*'With Action'!$Y$6</f>
        <v>0.30000000000000004</v>
      </c>
      <c r="W65" s="17">
        <f>'Rolling report'!CP65*'With Action'!$Y$6</f>
        <v>0.20000000000000004</v>
      </c>
      <c r="X65" s="17">
        <f>'Rolling report'!CQ65*'With Action'!$Y$6</f>
        <v>0.35000000000000009</v>
      </c>
      <c r="Y65" s="17">
        <f>'Rolling report'!CR65*'With Action'!$Y$6</f>
        <v>0.35000000000000009</v>
      </c>
      <c r="Z65" s="17">
        <f>'Rolling report'!CS65*'With Action'!$Y$6</f>
        <v>0.35000000000000009</v>
      </c>
      <c r="AA65" s="17">
        <f>'Rolling report'!CT65*'With Action'!$Y$6</f>
        <v>0.25000000000000006</v>
      </c>
      <c r="AB65" s="17">
        <f>'Rolling report'!CU65*'With Action'!$Y$6</f>
        <v>0.50000000000000011</v>
      </c>
      <c r="AC65" s="17">
        <f>'Rolling report'!CV65*'With Action'!$Y$6</f>
        <v>0.20000000000000004</v>
      </c>
      <c r="AD65" s="17">
        <f>'Rolling report'!CW65*'With Action'!$Y$6</f>
        <v>0</v>
      </c>
      <c r="AE65" s="17">
        <f>'Rolling report'!CX65*'With Action'!$Y$6</f>
        <v>0.35000000000000009</v>
      </c>
      <c r="AF65" s="17">
        <f>'Rolling report'!CY65*'With Action'!$Y$6</f>
        <v>-16.900000000000002</v>
      </c>
      <c r="AG65" s="17">
        <f>'Rolling report'!CZ65*'With Action'!$Y$6</f>
        <v>0</v>
      </c>
      <c r="AH65" s="17">
        <f>'Rolling report'!DA65*'With Action'!$Y$6</f>
        <v>0</v>
      </c>
      <c r="AI65" s="17">
        <f>'Rolling report'!DB65*'With Action'!$Y$6</f>
        <v>0</v>
      </c>
      <c r="AJ65" s="17">
        <f>'Rolling report'!DC65*'With Action'!$Y$6</f>
        <v>0</v>
      </c>
      <c r="AK65" s="17">
        <f>'Rolling report'!DD65*'With Action'!$Y$6</f>
        <v>0</v>
      </c>
      <c r="AL65" s="17">
        <f>'Rolling report'!DE65*'With Action'!$Y$6</f>
        <v>0</v>
      </c>
      <c r="AM65" s="17">
        <f>'Rolling report'!DF65*'With Action'!$Y$6</f>
        <v>0</v>
      </c>
      <c r="AN65" s="17">
        <f>'Rolling report'!DG65*'With Action'!$Y$6</f>
        <v>0</v>
      </c>
      <c r="AO65" s="17">
        <f>'Rolling report'!DH65*'With Action'!$Y$6</f>
        <v>0</v>
      </c>
      <c r="AP65" s="17">
        <f>'Rolling report'!DI65*'With Action'!$Y$6</f>
        <v>0</v>
      </c>
    </row>
    <row r="66" spans="1:42" x14ac:dyDescent="0.25">
      <c r="A66" s="4" t="s">
        <v>121</v>
      </c>
      <c r="B66" s="6" t="s">
        <v>122</v>
      </c>
      <c r="I66" s="17">
        <f>'Rolling report'!CB66*'With Action'!$Y$6</f>
        <v>5.8000000000000007</v>
      </c>
      <c r="J66" s="17">
        <f>'Rolling report'!CC66*'With Action'!$Y$6</f>
        <v>0.60000000000000009</v>
      </c>
      <c r="K66" s="17">
        <f>'Rolling report'!CD66*'With Action'!$Y$6</f>
        <v>0.60000000000000009</v>
      </c>
      <c r="L66" s="17">
        <f>'Rolling report'!CE66*'With Action'!$Y$6</f>
        <v>1.4500000000000002</v>
      </c>
      <c r="M66" s="17">
        <f>'Rolling report'!CF66*'With Action'!$Y$6</f>
        <v>0.50000000000000011</v>
      </c>
      <c r="N66" s="17">
        <f>'Rolling report'!CG66*'With Action'!$Y$6</f>
        <v>0.75000000000000011</v>
      </c>
      <c r="O66" s="17">
        <f>'Rolling report'!CH66*'With Action'!$Y$6</f>
        <v>1.0000000000000002</v>
      </c>
      <c r="P66" s="17">
        <f>'Rolling report'!CI66*'With Action'!$Y$6</f>
        <v>0.50000000000000011</v>
      </c>
      <c r="Q66" s="17">
        <f>'Rolling report'!CJ66*'With Action'!$Y$6</f>
        <v>0.90000000000000013</v>
      </c>
      <c r="R66" s="17">
        <f>'Rolling report'!CK66*'With Action'!$Y$6</f>
        <v>0.55000000000000016</v>
      </c>
      <c r="S66" s="17">
        <f>'Rolling report'!CL66*'With Action'!$Y$6</f>
        <v>0.60000000000000009</v>
      </c>
      <c r="T66" s="17">
        <f>'Rolling report'!CM66*'With Action'!$Y$6</f>
        <v>0.30000000000000004</v>
      </c>
      <c r="U66" s="17">
        <f>'Rolling report'!CN66*'With Action'!$Y$6</f>
        <v>0.50000000000000011</v>
      </c>
      <c r="V66" s="17">
        <f>'Rolling report'!CO66*'With Action'!$Y$6</f>
        <v>0.70000000000000018</v>
      </c>
      <c r="W66" s="17">
        <f>'Rolling report'!CP66*'With Action'!$Y$6</f>
        <v>0.45000000000000007</v>
      </c>
      <c r="X66" s="17">
        <f>'Rolling report'!CQ66*'With Action'!$Y$6</f>
        <v>0.40000000000000008</v>
      </c>
      <c r="Y66" s="17">
        <f>'Rolling report'!CR66*'With Action'!$Y$6</f>
        <v>0.70000000000000018</v>
      </c>
      <c r="Z66" s="17">
        <f>'Rolling report'!CS66*'With Action'!$Y$6</f>
        <v>0.55000000000000016</v>
      </c>
      <c r="AA66" s="17">
        <f>'Rolling report'!CT66*'With Action'!$Y$6</f>
        <v>0.65000000000000013</v>
      </c>
      <c r="AB66" s="17">
        <f>'Rolling report'!CU66*'With Action'!$Y$6</f>
        <v>0.40000000000000008</v>
      </c>
      <c r="AC66" s="17">
        <f>'Rolling report'!CV66*'With Action'!$Y$6</f>
        <v>0.80000000000000016</v>
      </c>
      <c r="AD66" s="17">
        <f>'Rolling report'!CW66*'With Action'!$Y$6</f>
        <v>0.30000000000000004</v>
      </c>
      <c r="AE66" s="17">
        <f>'Rolling report'!CX66*'With Action'!$Y$6</f>
        <v>0.55000000000000016</v>
      </c>
      <c r="AF66" s="17">
        <f>'Rolling report'!CY66*'With Action'!$Y$6</f>
        <v>-19.550000000000004</v>
      </c>
      <c r="AG66" s="17">
        <f>'Rolling report'!CZ66*'With Action'!$Y$6</f>
        <v>0</v>
      </c>
      <c r="AH66" s="17">
        <f>'Rolling report'!DA66*'With Action'!$Y$6</f>
        <v>0</v>
      </c>
      <c r="AI66" s="17">
        <f>'Rolling report'!DB66*'With Action'!$Y$6</f>
        <v>0</v>
      </c>
      <c r="AJ66" s="17">
        <f>'Rolling report'!DC66*'With Action'!$Y$6</f>
        <v>0</v>
      </c>
      <c r="AK66" s="17">
        <f>'Rolling report'!DD66*'With Action'!$Y$6</f>
        <v>0</v>
      </c>
      <c r="AL66" s="17">
        <f>'Rolling report'!DE66*'With Action'!$Y$6</f>
        <v>0</v>
      </c>
      <c r="AM66" s="17">
        <f>'Rolling report'!DF66*'With Action'!$Y$6</f>
        <v>0</v>
      </c>
      <c r="AN66" s="17">
        <f>'Rolling report'!DG66*'With Action'!$Y$6</f>
        <v>0</v>
      </c>
      <c r="AO66" s="17">
        <f>'Rolling report'!DH66*'With Action'!$Y$6</f>
        <v>0</v>
      </c>
      <c r="AP66" s="17">
        <f>'Rolling report'!DI66*'With Action'!$Y$6</f>
        <v>0</v>
      </c>
    </row>
    <row r="67" spans="1:42" x14ac:dyDescent="0.25">
      <c r="A67" s="4" t="s">
        <v>123</v>
      </c>
      <c r="B67" s="6" t="s">
        <v>124</v>
      </c>
      <c r="I67" s="17">
        <f>'Rolling report'!CB67*'With Action'!$Y$6</f>
        <v>4.2000000000000011</v>
      </c>
      <c r="J67" s="17">
        <f>'Rolling report'!CC67*'With Action'!$Y$6</f>
        <v>0.60000000000000009</v>
      </c>
      <c r="K67" s="17">
        <f>'Rolling report'!CD67*'With Action'!$Y$6</f>
        <v>0.95000000000000018</v>
      </c>
      <c r="L67" s="17">
        <f>'Rolling report'!CE67*'With Action'!$Y$6</f>
        <v>0.70000000000000018</v>
      </c>
      <c r="M67" s="17">
        <f>'Rolling report'!CF67*'With Action'!$Y$6</f>
        <v>0.50000000000000011</v>
      </c>
      <c r="N67" s="17">
        <f>'Rolling report'!CG67*'With Action'!$Y$6</f>
        <v>0.50000000000000011</v>
      </c>
      <c r="O67" s="17">
        <f>'Rolling report'!CH67*'With Action'!$Y$6</f>
        <v>0.45000000000000007</v>
      </c>
      <c r="P67" s="17">
        <f>'Rolling report'!CI67*'With Action'!$Y$6</f>
        <v>0.25000000000000006</v>
      </c>
      <c r="Q67" s="17">
        <f>'Rolling report'!CJ67*'With Action'!$Y$6</f>
        <v>5.000000000000001E-2</v>
      </c>
      <c r="R67" s="17">
        <f>'Rolling report'!CK67*'With Action'!$Y$6</f>
        <v>0.20000000000000004</v>
      </c>
      <c r="S67" s="17">
        <f>'Rolling report'!CL67*'With Action'!$Y$6</f>
        <v>0.20000000000000004</v>
      </c>
      <c r="T67" s="17">
        <f>'Rolling report'!CM67*'With Action'!$Y$6</f>
        <v>0.40000000000000008</v>
      </c>
      <c r="U67" s="17">
        <f>'Rolling report'!CN67*'With Action'!$Y$6</f>
        <v>0.20000000000000004</v>
      </c>
      <c r="V67" s="17">
        <f>'Rolling report'!CO67*'With Action'!$Y$6</f>
        <v>0.10000000000000002</v>
      </c>
      <c r="W67" s="17">
        <f>'Rolling report'!CP67*'With Action'!$Y$6</f>
        <v>0.20000000000000004</v>
      </c>
      <c r="X67" s="17">
        <f>'Rolling report'!CQ67*'With Action'!$Y$6</f>
        <v>0.10000000000000002</v>
      </c>
      <c r="Y67" s="17">
        <f>'Rolling report'!CR67*'With Action'!$Y$6</f>
        <v>0.10000000000000002</v>
      </c>
      <c r="Z67" s="17">
        <f>'Rolling report'!CS67*'With Action'!$Y$6</f>
        <v>0.45000000000000007</v>
      </c>
      <c r="AA67" s="17">
        <f>'Rolling report'!CT67*'With Action'!$Y$6</f>
        <v>0.25000000000000006</v>
      </c>
      <c r="AB67" s="17">
        <f>'Rolling report'!CU67*'With Action'!$Y$6</f>
        <v>0.10000000000000002</v>
      </c>
      <c r="AC67" s="17">
        <f>'Rolling report'!CV67*'With Action'!$Y$6</f>
        <v>0.30000000000000004</v>
      </c>
      <c r="AD67" s="17">
        <f>'Rolling report'!CW67*'With Action'!$Y$6</f>
        <v>-0.10000000000000002</v>
      </c>
      <c r="AE67" s="17">
        <f>'Rolling report'!CX67*'With Action'!$Y$6</f>
        <v>5.000000000000001E-2</v>
      </c>
      <c r="AF67" s="17">
        <f>'Rolling report'!CY67*'With Action'!$Y$6</f>
        <v>-10.750000000000002</v>
      </c>
      <c r="AG67" s="17">
        <f>'Rolling report'!CZ67*'With Action'!$Y$6</f>
        <v>0</v>
      </c>
      <c r="AH67" s="17">
        <f>'Rolling report'!DA67*'With Action'!$Y$6</f>
        <v>0</v>
      </c>
      <c r="AI67" s="17">
        <f>'Rolling report'!DB67*'With Action'!$Y$6</f>
        <v>0</v>
      </c>
      <c r="AJ67" s="17">
        <f>'Rolling report'!DC67*'With Action'!$Y$6</f>
        <v>0</v>
      </c>
      <c r="AK67" s="17">
        <f>'Rolling report'!DD67*'With Action'!$Y$6</f>
        <v>0</v>
      </c>
      <c r="AL67" s="17">
        <f>'Rolling report'!DE67*'With Action'!$Y$6</f>
        <v>0</v>
      </c>
      <c r="AM67" s="17">
        <f>'Rolling report'!DF67*'With Action'!$Y$6</f>
        <v>0</v>
      </c>
      <c r="AN67" s="17">
        <f>'Rolling report'!DG67*'With Action'!$Y$6</f>
        <v>0</v>
      </c>
      <c r="AO67" s="17">
        <f>'Rolling report'!DH67*'With Action'!$Y$6</f>
        <v>0</v>
      </c>
      <c r="AP67" s="17">
        <f>'Rolling report'!DI67*'With Action'!$Y$6</f>
        <v>0</v>
      </c>
    </row>
    <row r="68" spans="1:42" x14ac:dyDescent="0.25">
      <c r="A68" s="4" t="s">
        <v>125</v>
      </c>
      <c r="B68" s="6" t="s">
        <v>126</v>
      </c>
      <c r="I68" s="17">
        <f>'Rolling report'!CB68*'With Action'!$Y$6</f>
        <v>0.50000000000000011</v>
      </c>
      <c r="J68" s="17">
        <f>'Rolling report'!CC68*'With Action'!$Y$6</f>
        <v>0.75000000000000011</v>
      </c>
      <c r="K68" s="17">
        <f>'Rolling report'!CD68*'With Action'!$Y$6</f>
        <v>0</v>
      </c>
      <c r="L68" s="17">
        <f>'Rolling report'!CE68*'With Action'!$Y$6</f>
        <v>0</v>
      </c>
      <c r="M68" s="17">
        <f>'Rolling report'!CF68*'With Action'!$Y$6</f>
        <v>0</v>
      </c>
      <c r="N68" s="17">
        <f>'Rolling report'!CG68*'With Action'!$Y$6</f>
        <v>0.25000000000000006</v>
      </c>
      <c r="O68" s="17">
        <f>'Rolling report'!CH68*'With Action'!$Y$6</f>
        <v>0.50000000000000011</v>
      </c>
      <c r="P68" s="17">
        <f>'Rolling report'!CI68*'With Action'!$Y$6</f>
        <v>0</v>
      </c>
      <c r="Q68" s="17">
        <f>'Rolling report'!CJ68*'With Action'!$Y$6</f>
        <v>0</v>
      </c>
      <c r="R68" s="17">
        <f>'Rolling report'!CK68*'With Action'!$Y$6</f>
        <v>0</v>
      </c>
      <c r="S68" s="17">
        <f>'Rolling report'!CL68*'With Action'!$Y$6</f>
        <v>0.25000000000000006</v>
      </c>
      <c r="T68" s="17">
        <f>'Rolling report'!CM68*'With Action'!$Y$6</f>
        <v>0</v>
      </c>
      <c r="U68" s="17">
        <f>'Rolling report'!CN68*'With Action'!$Y$6</f>
        <v>0</v>
      </c>
      <c r="V68" s="17">
        <f>'Rolling report'!CO68*'With Action'!$Y$6</f>
        <v>0</v>
      </c>
      <c r="W68" s="17">
        <f>'Rolling report'!CP68*'With Action'!$Y$6</f>
        <v>0</v>
      </c>
      <c r="X68" s="17">
        <f>'Rolling report'!CQ68*'With Action'!$Y$6</f>
        <v>0</v>
      </c>
      <c r="Y68" s="17">
        <f>'Rolling report'!CR68*'With Action'!$Y$6</f>
        <v>0</v>
      </c>
      <c r="Z68" s="17">
        <f>'Rolling report'!CS68*'With Action'!$Y$6</f>
        <v>0</v>
      </c>
      <c r="AA68" s="17">
        <f>'Rolling report'!CT68*'With Action'!$Y$6</f>
        <v>0.25000000000000006</v>
      </c>
      <c r="AB68" s="17">
        <f>'Rolling report'!CU68*'With Action'!$Y$6</f>
        <v>0</v>
      </c>
      <c r="AC68" s="17">
        <f>'Rolling report'!CV68*'With Action'!$Y$6</f>
        <v>0.25000000000000006</v>
      </c>
      <c r="AD68" s="17">
        <f>'Rolling report'!CW68*'With Action'!$Y$6</f>
        <v>-0.75000000000000011</v>
      </c>
      <c r="AE68" s="17">
        <f>'Rolling report'!CX68*'With Action'!$Y$6</f>
        <v>0</v>
      </c>
      <c r="AF68" s="17">
        <f>'Rolling report'!CY68*'With Action'!$Y$6</f>
        <v>-2.0000000000000004</v>
      </c>
      <c r="AG68" s="17">
        <f>'Rolling report'!CZ68*'With Action'!$Y$6</f>
        <v>0</v>
      </c>
      <c r="AH68" s="17">
        <f>'Rolling report'!DA68*'With Action'!$Y$6</f>
        <v>0</v>
      </c>
      <c r="AI68" s="17">
        <f>'Rolling report'!DB68*'With Action'!$Y$6</f>
        <v>0</v>
      </c>
      <c r="AJ68" s="17">
        <f>'Rolling report'!DC68*'With Action'!$Y$6</f>
        <v>0</v>
      </c>
      <c r="AK68" s="17">
        <f>'Rolling report'!DD68*'With Action'!$Y$6</f>
        <v>0</v>
      </c>
      <c r="AL68" s="17">
        <f>'Rolling report'!DE68*'With Action'!$Y$6</f>
        <v>0</v>
      </c>
      <c r="AM68" s="17">
        <f>'Rolling report'!DF68*'With Action'!$Y$6</f>
        <v>0</v>
      </c>
      <c r="AN68" s="17">
        <f>'Rolling report'!DG68*'With Action'!$Y$6</f>
        <v>0</v>
      </c>
      <c r="AO68" s="17">
        <f>'Rolling report'!DH68*'With Action'!$Y$6</f>
        <v>0</v>
      </c>
      <c r="AP68" s="17">
        <f>'Rolling report'!DI68*'With Action'!$Y$6</f>
        <v>0</v>
      </c>
    </row>
    <row r="69" spans="1:42" x14ac:dyDescent="0.25">
      <c r="A69" s="4" t="s">
        <v>127</v>
      </c>
      <c r="B69" s="6" t="s">
        <v>128</v>
      </c>
      <c r="I69" s="17">
        <f>'Rolling report'!CB69*'With Action'!$Y$6</f>
        <v>7.0000000000000018</v>
      </c>
      <c r="J69" s="17">
        <f>'Rolling report'!CC69*'With Action'!$Y$6</f>
        <v>0.80000000000000016</v>
      </c>
      <c r="K69" s="17">
        <f>'Rolling report'!CD69*'With Action'!$Y$6</f>
        <v>1.4500000000000002</v>
      </c>
      <c r="L69" s="17">
        <f>'Rolling report'!CE69*'With Action'!$Y$6</f>
        <v>0.75000000000000011</v>
      </c>
      <c r="M69" s="17">
        <f>'Rolling report'!CF69*'With Action'!$Y$6</f>
        <v>0.30000000000000004</v>
      </c>
      <c r="N69" s="17">
        <f>'Rolling report'!CG69*'With Action'!$Y$6</f>
        <v>0.65000000000000013</v>
      </c>
      <c r="O69" s="17">
        <f>'Rolling report'!CH69*'With Action'!$Y$6</f>
        <v>0.30000000000000004</v>
      </c>
      <c r="P69" s="17">
        <f>'Rolling report'!CI69*'With Action'!$Y$6</f>
        <v>0.15000000000000002</v>
      </c>
      <c r="Q69" s="17">
        <f>'Rolling report'!CJ69*'With Action'!$Y$6</f>
        <v>0.70000000000000018</v>
      </c>
      <c r="R69" s="17">
        <f>'Rolling report'!CK69*'With Action'!$Y$6</f>
        <v>0.55000000000000016</v>
      </c>
      <c r="S69" s="17">
        <f>'Rolling report'!CL69*'With Action'!$Y$6</f>
        <v>0.75000000000000011</v>
      </c>
      <c r="T69" s="17">
        <f>'Rolling report'!CM69*'With Action'!$Y$6</f>
        <v>0.45000000000000007</v>
      </c>
      <c r="U69" s="17">
        <f>'Rolling report'!CN69*'With Action'!$Y$6</f>
        <v>0.45000000000000007</v>
      </c>
      <c r="V69" s="17">
        <f>'Rolling report'!CO69*'With Action'!$Y$6</f>
        <v>0.30000000000000004</v>
      </c>
      <c r="W69" s="17">
        <f>'Rolling report'!CP69*'With Action'!$Y$6</f>
        <v>0.15000000000000002</v>
      </c>
      <c r="X69" s="17">
        <f>'Rolling report'!CQ69*'With Action'!$Y$6</f>
        <v>0.30000000000000004</v>
      </c>
      <c r="Y69" s="17">
        <f>'Rolling report'!CR69*'With Action'!$Y$6</f>
        <v>0.45000000000000007</v>
      </c>
      <c r="Z69" s="17">
        <f>'Rolling report'!CS69*'With Action'!$Y$6</f>
        <v>0.20000000000000004</v>
      </c>
      <c r="AA69" s="17">
        <f>'Rolling report'!CT69*'With Action'!$Y$6</f>
        <v>0.35000000000000009</v>
      </c>
      <c r="AB69" s="17">
        <f>'Rolling report'!CU69*'With Action'!$Y$6</f>
        <v>0.10000000000000002</v>
      </c>
      <c r="AC69" s="17">
        <f>'Rolling report'!CV69*'With Action'!$Y$6</f>
        <v>0.40000000000000008</v>
      </c>
      <c r="AD69" s="17">
        <f>'Rolling report'!CW69*'With Action'!$Y$6</f>
        <v>0.10000000000000002</v>
      </c>
      <c r="AE69" s="17">
        <f>'Rolling report'!CX69*'With Action'!$Y$6</f>
        <v>0</v>
      </c>
      <c r="AF69" s="17">
        <f>'Rolling report'!CY69*'With Action'!$Y$6</f>
        <v>-16.650000000000002</v>
      </c>
      <c r="AG69" s="17">
        <f>'Rolling report'!CZ69*'With Action'!$Y$6</f>
        <v>0</v>
      </c>
      <c r="AH69" s="17">
        <f>'Rolling report'!DA69*'With Action'!$Y$6</f>
        <v>0</v>
      </c>
      <c r="AI69" s="17">
        <f>'Rolling report'!DB69*'With Action'!$Y$6</f>
        <v>0</v>
      </c>
      <c r="AJ69" s="17">
        <f>'Rolling report'!DC69*'With Action'!$Y$6</f>
        <v>0</v>
      </c>
      <c r="AK69" s="17">
        <f>'Rolling report'!DD69*'With Action'!$Y$6</f>
        <v>0</v>
      </c>
      <c r="AL69" s="17">
        <f>'Rolling report'!DE69*'With Action'!$Y$6</f>
        <v>0</v>
      </c>
      <c r="AM69" s="17">
        <f>'Rolling report'!DF69*'With Action'!$Y$6</f>
        <v>0</v>
      </c>
      <c r="AN69" s="17">
        <f>'Rolling report'!DG69*'With Action'!$Y$6</f>
        <v>0</v>
      </c>
      <c r="AO69" s="17">
        <f>'Rolling report'!DH69*'With Action'!$Y$6</f>
        <v>0</v>
      </c>
      <c r="AP69" s="17">
        <f>'Rolling report'!DI69*'With Action'!$Y$6</f>
        <v>0</v>
      </c>
    </row>
    <row r="70" spans="1:42" x14ac:dyDescent="0.25">
      <c r="A70" s="4" t="s">
        <v>129</v>
      </c>
      <c r="B70" s="6" t="s">
        <v>130</v>
      </c>
      <c r="I70" s="17">
        <f>'Rolling report'!CB70*'With Action'!$Y$6</f>
        <v>7.7500000000000018</v>
      </c>
      <c r="J70" s="17">
        <f>'Rolling report'!CC70*'With Action'!$Y$6</f>
        <v>1.6000000000000003</v>
      </c>
      <c r="K70" s="17">
        <f>'Rolling report'!CD70*'With Action'!$Y$6</f>
        <v>1.7500000000000004</v>
      </c>
      <c r="L70" s="17">
        <f>'Rolling report'!CE70*'With Action'!$Y$6</f>
        <v>1.5500000000000003</v>
      </c>
      <c r="M70" s="17">
        <f>'Rolling report'!CF70*'With Action'!$Y$6</f>
        <v>0.80000000000000016</v>
      </c>
      <c r="N70" s="17">
        <f>'Rolling report'!CG70*'With Action'!$Y$6</f>
        <v>0.60000000000000009</v>
      </c>
      <c r="O70" s="17">
        <f>'Rolling report'!CH70*'With Action'!$Y$6</f>
        <v>1.1500000000000001</v>
      </c>
      <c r="P70" s="17">
        <f>'Rolling report'!CI70*'With Action'!$Y$6</f>
        <v>0.80000000000000016</v>
      </c>
      <c r="Q70" s="17">
        <f>'Rolling report'!CJ70*'With Action'!$Y$6</f>
        <v>1.0500000000000003</v>
      </c>
      <c r="R70" s="17">
        <f>'Rolling report'!CK70*'With Action'!$Y$6</f>
        <v>0.60000000000000009</v>
      </c>
      <c r="S70" s="17">
        <f>'Rolling report'!CL70*'With Action'!$Y$6</f>
        <v>0.15000000000000002</v>
      </c>
      <c r="T70" s="17">
        <f>'Rolling report'!CM70*'With Action'!$Y$6</f>
        <v>0.45000000000000007</v>
      </c>
      <c r="U70" s="17">
        <f>'Rolling report'!CN70*'With Action'!$Y$6</f>
        <v>0.75000000000000011</v>
      </c>
      <c r="V70" s="17">
        <f>'Rolling report'!CO70*'With Action'!$Y$6</f>
        <v>1.3000000000000003</v>
      </c>
      <c r="W70" s="17">
        <f>'Rolling report'!CP70*'With Action'!$Y$6</f>
        <v>0.60000000000000009</v>
      </c>
      <c r="X70" s="17">
        <f>'Rolling report'!CQ70*'With Action'!$Y$6</f>
        <v>0.40000000000000008</v>
      </c>
      <c r="Y70" s="17">
        <f>'Rolling report'!CR70*'With Action'!$Y$6</f>
        <v>0.80000000000000016</v>
      </c>
      <c r="Z70" s="17">
        <f>'Rolling report'!CS70*'With Action'!$Y$6</f>
        <v>0.45000000000000007</v>
      </c>
      <c r="AA70" s="17">
        <f>'Rolling report'!CT70*'With Action'!$Y$6</f>
        <v>0.60000000000000009</v>
      </c>
      <c r="AB70" s="17">
        <f>'Rolling report'!CU70*'With Action'!$Y$6</f>
        <v>0.55000000000000016</v>
      </c>
      <c r="AC70" s="17">
        <f>'Rolling report'!CV70*'With Action'!$Y$6</f>
        <v>0.45000000000000007</v>
      </c>
      <c r="AD70" s="17">
        <f>'Rolling report'!CW70*'With Action'!$Y$6</f>
        <v>0.30000000000000004</v>
      </c>
      <c r="AE70" s="17">
        <f>'Rolling report'!CX70*'With Action'!$Y$6</f>
        <v>0.65000000000000013</v>
      </c>
      <c r="AF70" s="17">
        <f>'Rolling report'!CY70*'With Action'!$Y$6</f>
        <v>-25.100000000000005</v>
      </c>
      <c r="AG70" s="17">
        <f>'Rolling report'!CZ70*'With Action'!$Y$6</f>
        <v>0</v>
      </c>
      <c r="AH70" s="17">
        <f>'Rolling report'!DA70*'With Action'!$Y$6</f>
        <v>0</v>
      </c>
      <c r="AI70" s="17">
        <f>'Rolling report'!DB70*'With Action'!$Y$6</f>
        <v>0</v>
      </c>
      <c r="AJ70" s="17">
        <f>'Rolling report'!DC70*'With Action'!$Y$6</f>
        <v>0</v>
      </c>
      <c r="AK70" s="17">
        <f>'Rolling report'!DD70*'With Action'!$Y$6</f>
        <v>0</v>
      </c>
      <c r="AL70" s="17">
        <f>'Rolling report'!DE70*'With Action'!$Y$6</f>
        <v>0</v>
      </c>
      <c r="AM70" s="17">
        <f>'Rolling report'!DF70*'With Action'!$Y$6</f>
        <v>0</v>
      </c>
      <c r="AN70" s="17">
        <f>'Rolling report'!DG70*'With Action'!$Y$6</f>
        <v>0</v>
      </c>
      <c r="AO70" s="17">
        <f>'Rolling report'!DH70*'With Action'!$Y$6</f>
        <v>0</v>
      </c>
      <c r="AP70" s="17">
        <f>'Rolling report'!DI70*'With Action'!$Y$6</f>
        <v>0</v>
      </c>
    </row>
    <row r="71" spans="1:42" x14ac:dyDescent="0.25">
      <c r="A71" s="4" t="s">
        <v>131</v>
      </c>
      <c r="B71" s="6" t="s">
        <v>132</v>
      </c>
      <c r="I71" s="17">
        <f>'Rolling report'!CB71*'With Action'!$Y$6</f>
        <v>54.800000000000011</v>
      </c>
      <c r="J71" s="17">
        <f>'Rolling report'!CC71*'With Action'!$Y$6</f>
        <v>7.6000000000000014</v>
      </c>
      <c r="K71" s="17">
        <f>'Rolling report'!CD71*'With Action'!$Y$6</f>
        <v>7.0000000000000018</v>
      </c>
      <c r="L71" s="17">
        <f>'Rolling report'!CE71*'With Action'!$Y$6</f>
        <v>8.4000000000000021</v>
      </c>
      <c r="M71" s="17">
        <f>'Rolling report'!CF71*'With Action'!$Y$6</f>
        <v>4.7500000000000009</v>
      </c>
      <c r="N71" s="17">
        <f>'Rolling report'!CG71*'With Action'!$Y$6</f>
        <v>5.0000000000000009</v>
      </c>
      <c r="O71" s="17">
        <f>'Rolling report'!CH71*'With Action'!$Y$6</f>
        <v>8.6500000000000021</v>
      </c>
      <c r="P71" s="17">
        <f>'Rolling report'!CI71*'With Action'!$Y$6</f>
        <v>4.6000000000000005</v>
      </c>
      <c r="Q71" s="17">
        <f>'Rolling report'!CJ71*'With Action'!$Y$6</f>
        <v>4.8500000000000005</v>
      </c>
      <c r="R71" s="17">
        <f>'Rolling report'!CK71*'With Action'!$Y$6</f>
        <v>3.9000000000000008</v>
      </c>
      <c r="S71" s="17">
        <f>'Rolling report'!CL71*'With Action'!$Y$6</f>
        <v>3.0500000000000007</v>
      </c>
      <c r="T71" s="17">
        <f>'Rolling report'!CM71*'With Action'!$Y$6</f>
        <v>4.5000000000000009</v>
      </c>
      <c r="U71" s="17">
        <f>'Rolling report'!CN71*'With Action'!$Y$6</f>
        <v>4.5000000000000009</v>
      </c>
      <c r="V71" s="17">
        <f>'Rolling report'!CO71*'With Action'!$Y$6</f>
        <v>3.8000000000000007</v>
      </c>
      <c r="W71" s="17">
        <f>'Rolling report'!CP71*'With Action'!$Y$6</f>
        <v>2.4500000000000006</v>
      </c>
      <c r="X71" s="17">
        <f>'Rolling report'!CQ71*'With Action'!$Y$6</f>
        <v>2.1500000000000004</v>
      </c>
      <c r="Y71" s="17">
        <f>'Rolling report'!CR71*'With Action'!$Y$6</f>
        <v>2.6000000000000005</v>
      </c>
      <c r="Z71" s="17">
        <f>'Rolling report'!CS71*'With Action'!$Y$6</f>
        <v>2.0000000000000004</v>
      </c>
      <c r="AA71" s="17">
        <f>'Rolling report'!CT71*'With Action'!$Y$6</f>
        <v>1.7500000000000004</v>
      </c>
      <c r="AB71" s="17">
        <f>'Rolling report'!CU71*'With Action'!$Y$6</f>
        <v>1.7000000000000004</v>
      </c>
      <c r="AC71" s="17">
        <f>'Rolling report'!CV71*'With Action'!$Y$6</f>
        <v>4.0000000000000009</v>
      </c>
      <c r="AD71" s="17">
        <f>'Rolling report'!CW71*'With Action'!$Y$6</f>
        <v>0.40000000000000008</v>
      </c>
      <c r="AE71" s="17">
        <f>'Rolling report'!CX71*'With Action'!$Y$6</f>
        <v>1.2500000000000002</v>
      </c>
      <c r="AF71" s="17">
        <f>'Rolling report'!CY71*'With Action'!$Y$6</f>
        <v>-143.70000000000002</v>
      </c>
      <c r="AG71" s="17">
        <f>'Rolling report'!CZ71*'With Action'!$Y$6</f>
        <v>0</v>
      </c>
      <c r="AH71" s="17">
        <f>'Rolling report'!DA71*'With Action'!$Y$6</f>
        <v>0</v>
      </c>
      <c r="AI71" s="17">
        <f>'Rolling report'!DB71*'With Action'!$Y$6</f>
        <v>0</v>
      </c>
      <c r="AJ71" s="17">
        <f>'Rolling report'!DC71*'With Action'!$Y$6</f>
        <v>0</v>
      </c>
      <c r="AK71" s="17">
        <f>'Rolling report'!DD71*'With Action'!$Y$6</f>
        <v>0</v>
      </c>
      <c r="AL71" s="17">
        <f>'Rolling report'!DE71*'With Action'!$Y$6</f>
        <v>0</v>
      </c>
      <c r="AM71" s="17">
        <f>'Rolling report'!DF71*'With Action'!$Y$6</f>
        <v>0</v>
      </c>
      <c r="AN71" s="17">
        <f>'Rolling report'!DG71*'With Action'!$Y$6</f>
        <v>0</v>
      </c>
      <c r="AO71" s="17">
        <f>'Rolling report'!DH71*'With Action'!$Y$6</f>
        <v>0</v>
      </c>
      <c r="AP71" s="17">
        <f>'Rolling report'!DI71*'With Action'!$Y$6</f>
        <v>0</v>
      </c>
    </row>
    <row r="72" spans="1:42" x14ac:dyDescent="0.25">
      <c r="A72" s="4" t="s">
        <v>133</v>
      </c>
      <c r="B72" s="6" t="s">
        <v>134</v>
      </c>
      <c r="I72" s="17">
        <f>'Rolling report'!CB72*'With Action'!$Y$6</f>
        <v>3.0000000000000004</v>
      </c>
      <c r="J72" s="17">
        <f>'Rolling report'!CC72*'With Action'!$Y$6</f>
        <v>0.8500000000000002</v>
      </c>
      <c r="K72" s="17">
        <f>'Rolling report'!CD72*'With Action'!$Y$6</f>
        <v>0.20000000000000004</v>
      </c>
      <c r="L72" s="17">
        <f>'Rolling report'!CE72*'With Action'!$Y$6</f>
        <v>0.55000000000000016</v>
      </c>
      <c r="M72" s="17">
        <f>'Rolling report'!CF72*'With Action'!$Y$6</f>
        <v>0.50000000000000011</v>
      </c>
      <c r="N72" s="17">
        <f>'Rolling report'!CG72*'With Action'!$Y$6</f>
        <v>0.25000000000000006</v>
      </c>
      <c r="O72" s="17">
        <f>'Rolling report'!CH72*'With Action'!$Y$6</f>
        <v>0.30000000000000004</v>
      </c>
      <c r="P72" s="17">
        <f>'Rolling report'!CI72*'With Action'!$Y$6</f>
        <v>0.20000000000000004</v>
      </c>
      <c r="Q72" s="17">
        <f>'Rolling report'!CJ72*'With Action'!$Y$6</f>
        <v>0.15000000000000002</v>
      </c>
      <c r="R72" s="17">
        <f>'Rolling report'!CK72*'With Action'!$Y$6</f>
        <v>0.20000000000000004</v>
      </c>
      <c r="S72" s="17">
        <f>'Rolling report'!CL72*'With Action'!$Y$6</f>
        <v>0.15000000000000002</v>
      </c>
      <c r="T72" s="17">
        <f>'Rolling report'!CM72*'With Action'!$Y$6</f>
        <v>0.25000000000000006</v>
      </c>
      <c r="U72" s="17">
        <f>'Rolling report'!CN72*'With Action'!$Y$6</f>
        <v>0.15000000000000002</v>
      </c>
      <c r="V72" s="17">
        <f>'Rolling report'!CO72*'With Action'!$Y$6</f>
        <v>0.25000000000000006</v>
      </c>
      <c r="W72" s="17">
        <f>'Rolling report'!CP72*'With Action'!$Y$6</f>
        <v>0.40000000000000008</v>
      </c>
      <c r="X72" s="17">
        <f>'Rolling report'!CQ72*'With Action'!$Y$6</f>
        <v>5.000000000000001E-2</v>
      </c>
      <c r="Y72" s="17">
        <f>'Rolling report'!CR72*'With Action'!$Y$6</f>
        <v>0.35000000000000009</v>
      </c>
      <c r="Z72" s="17">
        <f>'Rolling report'!CS72*'With Action'!$Y$6</f>
        <v>0.20000000000000004</v>
      </c>
      <c r="AA72" s="17">
        <f>'Rolling report'!CT72*'With Action'!$Y$6</f>
        <v>0.20000000000000004</v>
      </c>
      <c r="AB72" s="17">
        <f>'Rolling report'!CU72*'With Action'!$Y$6</f>
        <v>0</v>
      </c>
      <c r="AC72" s="17">
        <f>'Rolling report'!CV72*'With Action'!$Y$6</f>
        <v>0.20000000000000004</v>
      </c>
      <c r="AD72" s="17">
        <f>'Rolling report'!CW72*'With Action'!$Y$6</f>
        <v>5.000000000000001E-2</v>
      </c>
      <c r="AE72" s="17">
        <f>'Rolling report'!CX72*'With Action'!$Y$6</f>
        <v>0.10000000000000002</v>
      </c>
      <c r="AF72" s="17">
        <f>'Rolling report'!CY72*'With Action'!$Y$6</f>
        <v>-8.5500000000000025</v>
      </c>
      <c r="AG72" s="17">
        <f>'Rolling report'!CZ72*'With Action'!$Y$6</f>
        <v>0</v>
      </c>
      <c r="AH72" s="17">
        <f>'Rolling report'!DA72*'With Action'!$Y$6</f>
        <v>0</v>
      </c>
      <c r="AI72" s="17">
        <f>'Rolling report'!DB72*'With Action'!$Y$6</f>
        <v>0</v>
      </c>
      <c r="AJ72" s="17">
        <f>'Rolling report'!DC72*'With Action'!$Y$6</f>
        <v>0</v>
      </c>
      <c r="AK72" s="17">
        <f>'Rolling report'!DD72*'With Action'!$Y$6</f>
        <v>0</v>
      </c>
      <c r="AL72" s="17">
        <f>'Rolling report'!DE72*'With Action'!$Y$6</f>
        <v>0</v>
      </c>
      <c r="AM72" s="17">
        <f>'Rolling report'!DF72*'With Action'!$Y$6</f>
        <v>0</v>
      </c>
      <c r="AN72" s="17">
        <f>'Rolling report'!DG72*'With Action'!$Y$6</f>
        <v>0</v>
      </c>
      <c r="AO72" s="17">
        <f>'Rolling report'!DH72*'With Action'!$Y$6</f>
        <v>0</v>
      </c>
      <c r="AP72" s="17">
        <f>'Rolling report'!DI72*'With Action'!$Y$6</f>
        <v>0</v>
      </c>
    </row>
    <row r="73" spans="1:42" x14ac:dyDescent="0.25">
      <c r="A73" s="4" t="s">
        <v>135</v>
      </c>
      <c r="B73" s="6" t="s">
        <v>136</v>
      </c>
      <c r="I73" s="17">
        <f>'Rolling report'!CB73*'With Action'!$Y$6</f>
        <v>5.3500000000000014</v>
      </c>
      <c r="J73" s="17">
        <f>'Rolling report'!CC73*'With Action'!$Y$6</f>
        <v>1.0500000000000003</v>
      </c>
      <c r="K73" s="17">
        <f>'Rolling report'!CD73*'With Action'!$Y$6</f>
        <v>0.40000000000000008</v>
      </c>
      <c r="L73" s="17">
        <f>'Rolling report'!CE73*'With Action'!$Y$6</f>
        <v>1.2000000000000002</v>
      </c>
      <c r="M73" s="17">
        <f>'Rolling report'!CF73*'With Action'!$Y$6</f>
        <v>0.70000000000000018</v>
      </c>
      <c r="N73" s="17">
        <f>'Rolling report'!CG73*'With Action'!$Y$6</f>
        <v>0.50000000000000011</v>
      </c>
      <c r="O73" s="17">
        <f>'Rolling report'!CH73*'With Action'!$Y$6</f>
        <v>1.5500000000000003</v>
      </c>
      <c r="P73" s="17">
        <f>'Rolling report'!CI73*'With Action'!$Y$6</f>
        <v>0.70000000000000018</v>
      </c>
      <c r="Q73" s="17">
        <f>'Rolling report'!CJ73*'With Action'!$Y$6</f>
        <v>0.15000000000000002</v>
      </c>
      <c r="R73" s="17">
        <f>'Rolling report'!CK73*'With Action'!$Y$6</f>
        <v>0.35000000000000009</v>
      </c>
      <c r="S73" s="17">
        <f>'Rolling report'!CL73*'With Action'!$Y$6</f>
        <v>0.25000000000000006</v>
      </c>
      <c r="T73" s="17">
        <f>'Rolling report'!CM73*'With Action'!$Y$6</f>
        <v>0.50000000000000011</v>
      </c>
      <c r="U73" s="17">
        <f>'Rolling report'!CN73*'With Action'!$Y$6</f>
        <v>0.25000000000000006</v>
      </c>
      <c r="V73" s="17">
        <f>'Rolling report'!CO73*'With Action'!$Y$6</f>
        <v>0.60000000000000009</v>
      </c>
      <c r="W73" s="17">
        <f>'Rolling report'!CP73*'With Action'!$Y$6</f>
        <v>0.20000000000000004</v>
      </c>
      <c r="X73" s="17">
        <f>'Rolling report'!CQ73*'With Action'!$Y$6</f>
        <v>0.30000000000000004</v>
      </c>
      <c r="Y73" s="17">
        <f>'Rolling report'!CR73*'With Action'!$Y$6</f>
        <v>0.35000000000000009</v>
      </c>
      <c r="Z73" s="17">
        <f>'Rolling report'!CS73*'With Action'!$Y$6</f>
        <v>0.15000000000000002</v>
      </c>
      <c r="AA73" s="17">
        <f>'Rolling report'!CT73*'With Action'!$Y$6</f>
        <v>0.30000000000000004</v>
      </c>
      <c r="AB73" s="17">
        <f>'Rolling report'!CU73*'With Action'!$Y$6</f>
        <v>0.65000000000000013</v>
      </c>
      <c r="AC73" s="17">
        <f>'Rolling report'!CV73*'With Action'!$Y$6</f>
        <v>0.50000000000000011</v>
      </c>
      <c r="AD73" s="17">
        <f>'Rolling report'!CW73*'With Action'!$Y$6</f>
        <v>0.30000000000000004</v>
      </c>
      <c r="AE73" s="17">
        <f>'Rolling report'!CX73*'With Action'!$Y$6</f>
        <v>0.35000000000000009</v>
      </c>
      <c r="AF73" s="17">
        <f>'Rolling report'!CY73*'With Action'!$Y$6</f>
        <v>-16.650000000000002</v>
      </c>
      <c r="AG73" s="17">
        <f>'Rolling report'!CZ73*'With Action'!$Y$6</f>
        <v>0</v>
      </c>
      <c r="AH73" s="17">
        <f>'Rolling report'!DA73*'With Action'!$Y$6</f>
        <v>0</v>
      </c>
      <c r="AI73" s="17">
        <f>'Rolling report'!DB73*'With Action'!$Y$6</f>
        <v>0</v>
      </c>
      <c r="AJ73" s="17">
        <f>'Rolling report'!DC73*'With Action'!$Y$6</f>
        <v>0</v>
      </c>
      <c r="AK73" s="17">
        <f>'Rolling report'!DD73*'With Action'!$Y$6</f>
        <v>0</v>
      </c>
      <c r="AL73" s="17">
        <f>'Rolling report'!DE73*'With Action'!$Y$6</f>
        <v>0</v>
      </c>
      <c r="AM73" s="17">
        <f>'Rolling report'!DF73*'With Action'!$Y$6</f>
        <v>0</v>
      </c>
      <c r="AN73" s="17">
        <f>'Rolling report'!DG73*'With Action'!$Y$6</f>
        <v>0</v>
      </c>
      <c r="AO73" s="17">
        <f>'Rolling report'!DH73*'With Action'!$Y$6</f>
        <v>0</v>
      </c>
      <c r="AP73" s="17">
        <f>'Rolling report'!DI73*'With Action'!$Y$6</f>
        <v>0</v>
      </c>
    </row>
    <row r="74" spans="1:42" x14ac:dyDescent="0.25">
      <c r="A74" s="4" t="s">
        <v>137</v>
      </c>
      <c r="B74" s="6" t="s">
        <v>138</v>
      </c>
      <c r="I74" s="17">
        <f>'Rolling report'!CB74*'With Action'!$Y$6</f>
        <v>5.7000000000000011</v>
      </c>
      <c r="J74" s="17">
        <f>'Rolling report'!CC74*'With Action'!$Y$6</f>
        <v>0.8500000000000002</v>
      </c>
      <c r="K74" s="17">
        <f>'Rolling report'!CD74*'With Action'!$Y$6</f>
        <v>0.65000000000000013</v>
      </c>
      <c r="L74" s="17">
        <f>'Rolling report'!CE74*'With Action'!$Y$6</f>
        <v>0.90000000000000013</v>
      </c>
      <c r="M74" s="17">
        <f>'Rolling report'!CF74*'With Action'!$Y$6</f>
        <v>0.65000000000000013</v>
      </c>
      <c r="N74" s="17">
        <f>'Rolling report'!CG74*'With Action'!$Y$6</f>
        <v>0.20000000000000004</v>
      </c>
      <c r="O74" s="17">
        <f>'Rolling report'!CH74*'With Action'!$Y$6</f>
        <v>1.2000000000000002</v>
      </c>
      <c r="P74" s="17">
        <f>'Rolling report'!CI74*'With Action'!$Y$6</f>
        <v>1.0500000000000003</v>
      </c>
      <c r="Q74" s="17">
        <f>'Rolling report'!CJ74*'With Action'!$Y$6</f>
        <v>0.60000000000000009</v>
      </c>
      <c r="R74" s="17">
        <f>'Rolling report'!CK74*'With Action'!$Y$6</f>
        <v>0.70000000000000018</v>
      </c>
      <c r="S74" s="17">
        <f>'Rolling report'!CL74*'With Action'!$Y$6</f>
        <v>0.55000000000000016</v>
      </c>
      <c r="T74" s="17">
        <f>'Rolling report'!CM74*'With Action'!$Y$6</f>
        <v>0.60000000000000009</v>
      </c>
      <c r="U74" s="17">
        <f>'Rolling report'!CN74*'With Action'!$Y$6</f>
        <v>0.90000000000000013</v>
      </c>
      <c r="V74" s="17">
        <f>'Rolling report'!CO74*'With Action'!$Y$6</f>
        <v>0.25000000000000006</v>
      </c>
      <c r="W74" s="17">
        <f>'Rolling report'!CP74*'With Action'!$Y$6</f>
        <v>0.25000000000000006</v>
      </c>
      <c r="X74" s="17">
        <f>'Rolling report'!CQ74*'With Action'!$Y$6</f>
        <v>0.55000000000000016</v>
      </c>
      <c r="Y74" s="17">
        <f>'Rolling report'!CR74*'With Action'!$Y$6</f>
        <v>0.55000000000000016</v>
      </c>
      <c r="Z74" s="17">
        <f>'Rolling report'!CS74*'With Action'!$Y$6</f>
        <v>0.35000000000000009</v>
      </c>
      <c r="AA74" s="17">
        <f>'Rolling report'!CT74*'With Action'!$Y$6</f>
        <v>0.60000000000000009</v>
      </c>
      <c r="AB74" s="17">
        <f>'Rolling report'!CU74*'With Action'!$Y$6</f>
        <v>0.50000000000000011</v>
      </c>
      <c r="AC74" s="17">
        <f>'Rolling report'!CV74*'With Action'!$Y$6</f>
        <v>0.30000000000000004</v>
      </c>
      <c r="AD74" s="17">
        <f>'Rolling report'!CW74*'With Action'!$Y$6</f>
        <v>0.15000000000000002</v>
      </c>
      <c r="AE74" s="17">
        <f>'Rolling report'!CX74*'With Action'!$Y$6</f>
        <v>0.10000000000000002</v>
      </c>
      <c r="AF74" s="17">
        <f>'Rolling report'!CY74*'With Action'!$Y$6</f>
        <v>-18.150000000000002</v>
      </c>
      <c r="AG74" s="17">
        <f>'Rolling report'!CZ74*'With Action'!$Y$6</f>
        <v>0</v>
      </c>
      <c r="AH74" s="17">
        <f>'Rolling report'!DA74*'With Action'!$Y$6</f>
        <v>0</v>
      </c>
      <c r="AI74" s="17">
        <f>'Rolling report'!DB74*'With Action'!$Y$6</f>
        <v>0</v>
      </c>
      <c r="AJ74" s="17">
        <f>'Rolling report'!DC74*'With Action'!$Y$6</f>
        <v>0</v>
      </c>
      <c r="AK74" s="17">
        <f>'Rolling report'!DD74*'With Action'!$Y$6</f>
        <v>0</v>
      </c>
      <c r="AL74" s="17">
        <f>'Rolling report'!DE74*'With Action'!$Y$6</f>
        <v>0</v>
      </c>
      <c r="AM74" s="17">
        <f>'Rolling report'!DF74*'With Action'!$Y$6</f>
        <v>0</v>
      </c>
      <c r="AN74" s="17">
        <f>'Rolling report'!DG74*'With Action'!$Y$6</f>
        <v>0</v>
      </c>
      <c r="AO74" s="17">
        <f>'Rolling report'!DH74*'With Action'!$Y$6</f>
        <v>0</v>
      </c>
      <c r="AP74" s="17">
        <f>'Rolling report'!DI74*'With Action'!$Y$6</f>
        <v>0</v>
      </c>
    </row>
    <row r="75" spans="1:42" x14ac:dyDescent="0.25">
      <c r="A75" s="4" t="s">
        <v>139</v>
      </c>
      <c r="B75" s="6" t="s">
        <v>140</v>
      </c>
      <c r="I75" s="17">
        <f>'Rolling report'!CB75*'With Action'!$Y$6</f>
        <v>1.1000000000000003</v>
      </c>
      <c r="J75" s="17">
        <f>'Rolling report'!CC75*'With Action'!$Y$6</f>
        <v>0.15000000000000002</v>
      </c>
      <c r="K75" s="17">
        <f>'Rolling report'!CD75*'With Action'!$Y$6</f>
        <v>5.000000000000001E-2</v>
      </c>
      <c r="L75" s="17">
        <f>'Rolling report'!CE75*'With Action'!$Y$6</f>
        <v>5.000000000000001E-2</v>
      </c>
      <c r="M75" s="17">
        <f>'Rolling report'!CF75*'With Action'!$Y$6</f>
        <v>0.15000000000000002</v>
      </c>
      <c r="N75" s="17">
        <f>'Rolling report'!CG75*'With Action'!$Y$6</f>
        <v>0.45000000000000007</v>
      </c>
      <c r="O75" s="17">
        <f>'Rolling report'!CH75*'With Action'!$Y$6</f>
        <v>0.35000000000000009</v>
      </c>
      <c r="P75" s="17">
        <f>'Rolling report'!CI75*'With Action'!$Y$6</f>
        <v>0</v>
      </c>
      <c r="Q75" s="17">
        <f>'Rolling report'!CJ75*'With Action'!$Y$6</f>
        <v>0.20000000000000004</v>
      </c>
      <c r="R75" s="17">
        <f>'Rolling report'!CK75*'With Action'!$Y$6</f>
        <v>0.15000000000000002</v>
      </c>
      <c r="S75" s="17">
        <f>'Rolling report'!CL75*'With Action'!$Y$6</f>
        <v>0</v>
      </c>
      <c r="T75" s="17">
        <f>'Rolling report'!CM75*'With Action'!$Y$6</f>
        <v>0.20000000000000004</v>
      </c>
      <c r="U75" s="17">
        <f>'Rolling report'!CN75*'With Action'!$Y$6</f>
        <v>0.10000000000000002</v>
      </c>
      <c r="V75" s="17">
        <f>'Rolling report'!CO75*'With Action'!$Y$6</f>
        <v>5.000000000000001E-2</v>
      </c>
      <c r="W75" s="17">
        <f>'Rolling report'!CP75*'With Action'!$Y$6</f>
        <v>0</v>
      </c>
      <c r="X75" s="17">
        <f>'Rolling report'!CQ75*'With Action'!$Y$6</f>
        <v>0</v>
      </c>
      <c r="Y75" s="17">
        <f>'Rolling report'!CR75*'With Action'!$Y$6</f>
        <v>0</v>
      </c>
      <c r="Z75" s="17">
        <f>'Rolling report'!CS75*'With Action'!$Y$6</f>
        <v>0</v>
      </c>
      <c r="AA75" s="17">
        <f>'Rolling report'!CT75*'With Action'!$Y$6</f>
        <v>0.10000000000000002</v>
      </c>
      <c r="AB75" s="17">
        <f>'Rolling report'!CU75*'With Action'!$Y$6</f>
        <v>5.000000000000001E-2</v>
      </c>
      <c r="AC75" s="17">
        <f>'Rolling report'!CV75*'With Action'!$Y$6</f>
        <v>0</v>
      </c>
      <c r="AD75" s="17">
        <f>'Rolling report'!CW75*'With Action'!$Y$6</f>
        <v>0.10000000000000002</v>
      </c>
      <c r="AE75" s="17">
        <f>'Rolling report'!CX75*'With Action'!$Y$6</f>
        <v>5.000000000000001E-2</v>
      </c>
      <c r="AF75" s="17">
        <f>'Rolling report'!CY75*'With Action'!$Y$6</f>
        <v>-3.3000000000000007</v>
      </c>
      <c r="AG75" s="17">
        <f>'Rolling report'!CZ75*'With Action'!$Y$6</f>
        <v>0</v>
      </c>
      <c r="AH75" s="17">
        <f>'Rolling report'!DA75*'With Action'!$Y$6</f>
        <v>0</v>
      </c>
      <c r="AI75" s="17">
        <f>'Rolling report'!DB75*'With Action'!$Y$6</f>
        <v>0</v>
      </c>
      <c r="AJ75" s="17">
        <f>'Rolling report'!DC75*'With Action'!$Y$6</f>
        <v>0</v>
      </c>
      <c r="AK75" s="17">
        <f>'Rolling report'!DD75*'With Action'!$Y$6</f>
        <v>0</v>
      </c>
      <c r="AL75" s="17">
        <f>'Rolling report'!DE75*'With Action'!$Y$6</f>
        <v>0</v>
      </c>
      <c r="AM75" s="17">
        <f>'Rolling report'!DF75*'With Action'!$Y$6</f>
        <v>0</v>
      </c>
      <c r="AN75" s="17">
        <f>'Rolling report'!DG75*'With Action'!$Y$6</f>
        <v>0</v>
      </c>
      <c r="AO75" s="17">
        <f>'Rolling report'!DH75*'With Action'!$Y$6</f>
        <v>0</v>
      </c>
      <c r="AP75" s="17">
        <f>'Rolling report'!DI75*'With Action'!$Y$6</f>
        <v>0</v>
      </c>
    </row>
    <row r="76" spans="1:42" x14ac:dyDescent="0.25">
      <c r="A76" s="4" t="s">
        <v>141</v>
      </c>
      <c r="B76" s="6" t="s">
        <v>142</v>
      </c>
      <c r="I76" s="17">
        <f>'Rolling report'!CB76*'With Action'!$Y$6</f>
        <v>7.5000000000000018</v>
      </c>
      <c r="J76" s="17">
        <f>'Rolling report'!CC76*'With Action'!$Y$6</f>
        <v>1.6500000000000004</v>
      </c>
      <c r="K76" s="17">
        <f>'Rolling report'!CD76*'With Action'!$Y$6</f>
        <v>1.7000000000000004</v>
      </c>
      <c r="L76" s="17">
        <f>'Rolling report'!CE76*'With Action'!$Y$6</f>
        <v>1.5000000000000002</v>
      </c>
      <c r="M76" s="17">
        <f>'Rolling report'!CF76*'With Action'!$Y$6</f>
        <v>1.1000000000000003</v>
      </c>
      <c r="N76" s="17">
        <f>'Rolling report'!CG76*'With Action'!$Y$6</f>
        <v>0.65000000000000013</v>
      </c>
      <c r="O76" s="17">
        <f>'Rolling report'!CH76*'With Action'!$Y$6</f>
        <v>0.45000000000000007</v>
      </c>
      <c r="P76" s="17">
        <f>'Rolling report'!CI76*'With Action'!$Y$6</f>
        <v>0.65000000000000013</v>
      </c>
      <c r="Q76" s="17">
        <f>'Rolling report'!CJ76*'With Action'!$Y$6</f>
        <v>0.80000000000000016</v>
      </c>
      <c r="R76" s="17">
        <f>'Rolling report'!CK76*'With Action'!$Y$6</f>
        <v>1.0000000000000002</v>
      </c>
      <c r="S76" s="17">
        <f>'Rolling report'!CL76*'With Action'!$Y$6</f>
        <v>0.50000000000000011</v>
      </c>
      <c r="T76" s="17">
        <f>'Rolling report'!CM76*'With Action'!$Y$6</f>
        <v>1.0500000000000003</v>
      </c>
      <c r="U76" s="17">
        <f>'Rolling report'!CN76*'With Action'!$Y$6</f>
        <v>0.65000000000000013</v>
      </c>
      <c r="V76" s="17">
        <f>'Rolling report'!CO76*'With Action'!$Y$6</f>
        <v>0.35000000000000009</v>
      </c>
      <c r="W76" s="17">
        <f>'Rolling report'!CP76*'With Action'!$Y$6</f>
        <v>0.55000000000000016</v>
      </c>
      <c r="X76" s="17">
        <f>'Rolling report'!CQ76*'With Action'!$Y$6</f>
        <v>0.25000000000000006</v>
      </c>
      <c r="Y76" s="17">
        <f>'Rolling report'!CR76*'With Action'!$Y$6</f>
        <v>0.30000000000000004</v>
      </c>
      <c r="Z76" s="17">
        <f>'Rolling report'!CS76*'With Action'!$Y$6</f>
        <v>0.45000000000000007</v>
      </c>
      <c r="AA76" s="17">
        <f>'Rolling report'!CT76*'With Action'!$Y$6</f>
        <v>0.75000000000000011</v>
      </c>
      <c r="AB76" s="17">
        <f>'Rolling report'!CU76*'With Action'!$Y$6</f>
        <v>0.40000000000000008</v>
      </c>
      <c r="AC76" s="17">
        <f>'Rolling report'!CV76*'With Action'!$Y$6</f>
        <v>0.70000000000000018</v>
      </c>
      <c r="AD76" s="17">
        <f>'Rolling report'!CW76*'With Action'!$Y$6</f>
        <v>0</v>
      </c>
      <c r="AE76" s="17">
        <f>'Rolling report'!CX76*'With Action'!$Y$6</f>
        <v>0.30000000000000004</v>
      </c>
      <c r="AF76" s="17">
        <f>'Rolling report'!CY76*'With Action'!$Y$6</f>
        <v>-23.250000000000004</v>
      </c>
      <c r="AG76" s="17">
        <f>'Rolling report'!CZ76*'With Action'!$Y$6</f>
        <v>0</v>
      </c>
      <c r="AH76" s="17">
        <f>'Rolling report'!DA76*'With Action'!$Y$6</f>
        <v>0</v>
      </c>
      <c r="AI76" s="17">
        <f>'Rolling report'!DB76*'With Action'!$Y$6</f>
        <v>0</v>
      </c>
      <c r="AJ76" s="17">
        <f>'Rolling report'!DC76*'With Action'!$Y$6</f>
        <v>0</v>
      </c>
      <c r="AK76" s="17">
        <f>'Rolling report'!DD76*'With Action'!$Y$6</f>
        <v>0</v>
      </c>
      <c r="AL76" s="17">
        <f>'Rolling report'!DE76*'With Action'!$Y$6</f>
        <v>0</v>
      </c>
      <c r="AM76" s="17">
        <f>'Rolling report'!DF76*'With Action'!$Y$6</f>
        <v>0</v>
      </c>
      <c r="AN76" s="17">
        <f>'Rolling report'!DG76*'With Action'!$Y$6</f>
        <v>0</v>
      </c>
      <c r="AO76" s="17">
        <f>'Rolling report'!DH76*'With Action'!$Y$6</f>
        <v>0</v>
      </c>
      <c r="AP76" s="17">
        <f>'Rolling report'!DI76*'With Action'!$Y$6</f>
        <v>0</v>
      </c>
    </row>
    <row r="77" spans="1:42" x14ac:dyDescent="0.25">
      <c r="A77" s="4" t="s">
        <v>143</v>
      </c>
      <c r="B77" s="6" t="s">
        <v>144</v>
      </c>
      <c r="I77" s="17">
        <f>'Rolling report'!CB77*'With Action'!$Y$6</f>
        <v>16.600000000000005</v>
      </c>
      <c r="J77" s="17">
        <f>'Rolling report'!CC77*'With Action'!$Y$6</f>
        <v>4.3000000000000007</v>
      </c>
      <c r="K77" s="17">
        <f>'Rolling report'!CD77*'With Action'!$Y$6</f>
        <v>4.0500000000000007</v>
      </c>
      <c r="L77" s="17">
        <f>'Rolling report'!CE77*'With Action'!$Y$6</f>
        <v>4.1000000000000005</v>
      </c>
      <c r="M77" s="17">
        <f>'Rolling report'!CF77*'With Action'!$Y$6</f>
        <v>2.6500000000000004</v>
      </c>
      <c r="N77" s="17">
        <f>'Rolling report'!CG77*'With Action'!$Y$6</f>
        <v>1.6000000000000003</v>
      </c>
      <c r="O77" s="17">
        <f>'Rolling report'!CH77*'With Action'!$Y$6</f>
        <v>3.7000000000000006</v>
      </c>
      <c r="P77" s="17">
        <f>'Rolling report'!CI77*'With Action'!$Y$6</f>
        <v>2.0000000000000004</v>
      </c>
      <c r="Q77" s="17">
        <f>'Rolling report'!CJ77*'With Action'!$Y$6</f>
        <v>2.2500000000000004</v>
      </c>
      <c r="R77" s="17">
        <f>'Rolling report'!CK77*'With Action'!$Y$6</f>
        <v>1.2500000000000002</v>
      </c>
      <c r="S77" s="17">
        <f>'Rolling report'!CL77*'With Action'!$Y$6</f>
        <v>0.90000000000000013</v>
      </c>
      <c r="T77" s="17">
        <f>'Rolling report'!CM77*'With Action'!$Y$6</f>
        <v>1.5500000000000003</v>
      </c>
      <c r="U77" s="17">
        <f>'Rolling report'!CN77*'With Action'!$Y$6</f>
        <v>1.1500000000000001</v>
      </c>
      <c r="V77" s="17">
        <f>'Rolling report'!CO77*'With Action'!$Y$6</f>
        <v>0.70000000000000018</v>
      </c>
      <c r="W77" s="17">
        <f>'Rolling report'!CP77*'With Action'!$Y$6</f>
        <v>1.8500000000000003</v>
      </c>
      <c r="X77" s="17">
        <f>'Rolling report'!CQ77*'With Action'!$Y$6</f>
        <v>0.70000000000000018</v>
      </c>
      <c r="Y77" s="17">
        <f>'Rolling report'!CR77*'With Action'!$Y$6</f>
        <v>1.0500000000000003</v>
      </c>
      <c r="Z77" s="17">
        <f>'Rolling report'!CS77*'With Action'!$Y$6</f>
        <v>1.1500000000000001</v>
      </c>
      <c r="AA77" s="17">
        <f>'Rolling report'!CT77*'With Action'!$Y$6</f>
        <v>1.2000000000000002</v>
      </c>
      <c r="AB77" s="17">
        <f>'Rolling report'!CU77*'With Action'!$Y$6</f>
        <v>0.8500000000000002</v>
      </c>
      <c r="AC77" s="17">
        <f>'Rolling report'!CV77*'With Action'!$Y$6</f>
        <v>1.2000000000000002</v>
      </c>
      <c r="AD77" s="17">
        <f>'Rolling report'!CW77*'With Action'!$Y$6</f>
        <v>0.80000000000000016</v>
      </c>
      <c r="AE77" s="17">
        <f>'Rolling report'!CX77*'With Action'!$Y$6</f>
        <v>0.55000000000000016</v>
      </c>
      <c r="AF77" s="17">
        <f>'Rolling report'!CY77*'With Action'!$Y$6</f>
        <v>-56.150000000000013</v>
      </c>
      <c r="AG77" s="17">
        <f>'Rolling report'!CZ77*'With Action'!$Y$6</f>
        <v>0</v>
      </c>
      <c r="AH77" s="17">
        <f>'Rolling report'!DA77*'With Action'!$Y$6</f>
        <v>0</v>
      </c>
      <c r="AI77" s="17">
        <f>'Rolling report'!DB77*'With Action'!$Y$6</f>
        <v>0</v>
      </c>
      <c r="AJ77" s="17">
        <f>'Rolling report'!DC77*'With Action'!$Y$6</f>
        <v>0</v>
      </c>
      <c r="AK77" s="17">
        <f>'Rolling report'!DD77*'With Action'!$Y$6</f>
        <v>0</v>
      </c>
      <c r="AL77" s="17">
        <f>'Rolling report'!DE77*'With Action'!$Y$6</f>
        <v>0</v>
      </c>
      <c r="AM77" s="17">
        <f>'Rolling report'!DF77*'With Action'!$Y$6</f>
        <v>0</v>
      </c>
      <c r="AN77" s="17">
        <f>'Rolling report'!DG77*'With Action'!$Y$6</f>
        <v>0</v>
      </c>
      <c r="AO77" s="17">
        <f>'Rolling report'!DH77*'With Action'!$Y$6</f>
        <v>0</v>
      </c>
      <c r="AP77" s="17">
        <f>'Rolling report'!DI77*'With Action'!$Y$6</f>
        <v>0</v>
      </c>
    </row>
    <row r="78" spans="1:42" x14ac:dyDescent="0.25">
      <c r="A78" s="4" t="s">
        <v>145</v>
      </c>
      <c r="B78" s="6" t="s">
        <v>146</v>
      </c>
      <c r="I78" s="17">
        <f>'Rolling report'!CB78*'With Action'!$Y$6</f>
        <v>12.200000000000003</v>
      </c>
      <c r="J78" s="17">
        <f>'Rolling report'!CC78*'With Action'!$Y$6</f>
        <v>1.5500000000000003</v>
      </c>
      <c r="K78" s="17">
        <f>'Rolling report'!CD78*'With Action'!$Y$6</f>
        <v>1.2500000000000002</v>
      </c>
      <c r="L78" s="17">
        <f>'Rolling report'!CE78*'With Action'!$Y$6</f>
        <v>1.2500000000000002</v>
      </c>
      <c r="M78" s="17">
        <f>'Rolling report'!CF78*'With Action'!$Y$6</f>
        <v>1.0000000000000002</v>
      </c>
      <c r="N78" s="17">
        <f>'Rolling report'!CG78*'With Action'!$Y$6</f>
        <v>0.65000000000000013</v>
      </c>
      <c r="O78" s="17">
        <f>'Rolling report'!CH78*'With Action'!$Y$6</f>
        <v>2.8500000000000005</v>
      </c>
      <c r="P78" s="17">
        <f>'Rolling report'!CI78*'With Action'!$Y$6</f>
        <v>0.65000000000000013</v>
      </c>
      <c r="Q78" s="17">
        <f>'Rolling report'!CJ78*'With Action'!$Y$6</f>
        <v>1.5500000000000003</v>
      </c>
      <c r="R78" s="17">
        <f>'Rolling report'!CK78*'With Action'!$Y$6</f>
        <v>1.1000000000000003</v>
      </c>
      <c r="S78" s="17">
        <f>'Rolling report'!CL78*'With Action'!$Y$6</f>
        <v>0.30000000000000004</v>
      </c>
      <c r="T78" s="17">
        <f>'Rolling report'!CM78*'With Action'!$Y$6</f>
        <v>1.4000000000000004</v>
      </c>
      <c r="U78" s="17">
        <f>'Rolling report'!CN78*'With Action'!$Y$6</f>
        <v>0.60000000000000009</v>
      </c>
      <c r="V78" s="17">
        <f>'Rolling report'!CO78*'With Action'!$Y$6</f>
        <v>0.65000000000000013</v>
      </c>
      <c r="W78" s="17">
        <f>'Rolling report'!CP78*'With Action'!$Y$6</f>
        <v>0.30000000000000004</v>
      </c>
      <c r="X78" s="17">
        <f>'Rolling report'!CQ78*'With Action'!$Y$6</f>
        <v>0.15000000000000002</v>
      </c>
      <c r="Y78" s="17">
        <f>'Rolling report'!CR78*'With Action'!$Y$6</f>
        <v>0.55000000000000016</v>
      </c>
      <c r="Z78" s="17">
        <f>'Rolling report'!CS78*'With Action'!$Y$6</f>
        <v>0.50000000000000011</v>
      </c>
      <c r="AA78" s="17">
        <f>'Rolling report'!CT78*'With Action'!$Y$6</f>
        <v>0.70000000000000018</v>
      </c>
      <c r="AB78" s="17">
        <f>'Rolling report'!CU78*'With Action'!$Y$6</f>
        <v>0.90000000000000013</v>
      </c>
      <c r="AC78" s="17">
        <f>'Rolling report'!CV78*'With Action'!$Y$6</f>
        <v>0.75000000000000011</v>
      </c>
      <c r="AD78" s="17">
        <f>'Rolling report'!CW78*'With Action'!$Y$6</f>
        <v>0.25000000000000006</v>
      </c>
      <c r="AE78" s="17">
        <f>'Rolling report'!CX78*'With Action'!$Y$6</f>
        <v>0.65000000000000013</v>
      </c>
      <c r="AF78" s="17">
        <f>'Rolling report'!CY78*'With Action'!$Y$6</f>
        <v>-31.750000000000007</v>
      </c>
      <c r="AG78" s="17">
        <f>'Rolling report'!CZ78*'With Action'!$Y$6</f>
        <v>0</v>
      </c>
      <c r="AH78" s="17">
        <f>'Rolling report'!DA78*'With Action'!$Y$6</f>
        <v>0</v>
      </c>
      <c r="AI78" s="17">
        <f>'Rolling report'!DB78*'With Action'!$Y$6</f>
        <v>0</v>
      </c>
      <c r="AJ78" s="17">
        <f>'Rolling report'!DC78*'With Action'!$Y$6</f>
        <v>0</v>
      </c>
      <c r="AK78" s="17">
        <f>'Rolling report'!DD78*'With Action'!$Y$6</f>
        <v>0</v>
      </c>
      <c r="AL78" s="17">
        <f>'Rolling report'!DE78*'With Action'!$Y$6</f>
        <v>0</v>
      </c>
      <c r="AM78" s="17">
        <f>'Rolling report'!DF78*'With Action'!$Y$6</f>
        <v>0</v>
      </c>
      <c r="AN78" s="17">
        <f>'Rolling report'!DG78*'With Action'!$Y$6</f>
        <v>0</v>
      </c>
      <c r="AO78" s="17">
        <f>'Rolling report'!DH78*'With Action'!$Y$6</f>
        <v>0</v>
      </c>
      <c r="AP78" s="17">
        <f>'Rolling report'!DI78*'With Action'!$Y$6</f>
        <v>0</v>
      </c>
    </row>
    <row r="79" spans="1:42" x14ac:dyDescent="0.25">
      <c r="A79" s="4" t="s">
        <v>147</v>
      </c>
      <c r="B79" s="6" t="s">
        <v>148</v>
      </c>
      <c r="I79" s="17">
        <f>'Rolling report'!CB79*'With Action'!$Y$6</f>
        <v>1.8500000000000003</v>
      </c>
      <c r="J79" s="17">
        <f>'Rolling report'!CC79*'With Action'!$Y$6</f>
        <v>0.55000000000000016</v>
      </c>
      <c r="K79" s="17">
        <f>'Rolling report'!CD79*'With Action'!$Y$6</f>
        <v>0.10000000000000002</v>
      </c>
      <c r="L79" s="17">
        <f>'Rolling report'!CE79*'With Action'!$Y$6</f>
        <v>5.000000000000001E-2</v>
      </c>
      <c r="M79" s="17">
        <f>'Rolling report'!CF79*'With Action'!$Y$6</f>
        <v>5.000000000000001E-2</v>
      </c>
      <c r="N79" s="17">
        <f>'Rolling report'!CG79*'With Action'!$Y$6</f>
        <v>0.15000000000000002</v>
      </c>
      <c r="O79" s="17">
        <f>'Rolling report'!CH79*'With Action'!$Y$6</f>
        <v>0.55000000000000016</v>
      </c>
      <c r="P79" s="17">
        <f>'Rolling report'!CI79*'With Action'!$Y$6</f>
        <v>5.000000000000001E-2</v>
      </c>
      <c r="Q79" s="17">
        <f>'Rolling report'!CJ79*'With Action'!$Y$6</f>
        <v>0.25000000000000006</v>
      </c>
      <c r="R79" s="17">
        <f>'Rolling report'!CK79*'With Action'!$Y$6</f>
        <v>0</v>
      </c>
      <c r="S79" s="17">
        <f>'Rolling report'!CL79*'With Action'!$Y$6</f>
        <v>0</v>
      </c>
      <c r="T79" s="17">
        <f>'Rolling report'!CM79*'With Action'!$Y$6</f>
        <v>0.20000000000000004</v>
      </c>
      <c r="U79" s="17">
        <f>'Rolling report'!CN79*'With Action'!$Y$6</f>
        <v>0.70000000000000018</v>
      </c>
      <c r="V79" s="17">
        <f>'Rolling report'!CO79*'With Action'!$Y$6</f>
        <v>0.20000000000000004</v>
      </c>
      <c r="W79" s="17">
        <f>'Rolling report'!CP79*'With Action'!$Y$6</f>
        <v>0.20000000000000004</v>
      </c>
      <c r="X79" s="17">
        <f>'Rolling report'!CQ79*'With Action'!$Y$6</f>
        <v>0</v>
      </c>
      <c r="Y79" s="17">
        <f>'Rolling report'!CR79*'With Action'!$Y$6</f>
        <v>0.15000000000000002</v>
      </c>
      <c r="Z79" s="17">
        <f>'Rolling report'!CS79*'With Action'!$Y$6</f>
        <v>0.15000000000000002</v>
      </c>
      <c r="AA79" s="17">
        <f>'Rolling report'!CT79*'With Action'!$Y$6</f>
        <v>0.15000000000000002</v>
      </c>
      <c r="AB79" s="17">
        <f>'Rolling report'!CU79*'With Action'!$Y$6</f>
        <v>0.20000000000000004</v>
      </c>
      <c r="AC79" s="17">
        <f>'Rolling report'!CV79*'With Action'!$Y$6</f>
        <v>0.10000000000000002</v>
      </c>
      <c r="AD79" s="17">
        <f>'Rolling report'!CW79*'With Action'!$Y$6</f>
        <v>0</v>
      </c>
      <c r="AE79" s="17">
        <f>'Rolling report'!CX79*'With Action'!$Y$6</f>
        <v>0.20000000000000004</v>
      </c>
      <c r="AF79" s="17">
        <f>'Rolling report'!CY79*'With Action'!$Y$6</f>
        <v>-5.8500000000000014</v>
      </c>
      <c r="AG79" s="17">
        <f>'Rolling report'!CZ79*'With Action'!$Y$6</f>
        <v>0</v>
      </c>
      <c r="AH79" s="17">
        <f>'Rolling report'!DA79*'With Action'!$Y$6</f>
        <v>0</v>
      </c>
      <c r="AI79" s="17">
        <f>'Rolling report'!DB79*'With Action'!$Y$6</f>
        <v>0</v>
      </c>
      <c r="AJ79" s="17">
        <f>'Rolling report'!DC79*'With Action'!$Y$6</f>
        <v>0</v>
      </c>
      <c r="AK79" s="17">
        <f>'Rolling report'!DD79*'With Action'!$Y$6</f>
        <v>0</v>
      </c>
      <c r="AL79" s="17">
        <f>'Rolling report'!DE79*'With Action'!$Y$6</f>
        <v>0</v>
      </c>
      <c r="AM79" s="17">
        <f>'Rolling report'!DF79*'With Action'!$Y$6</f>
        <v>0</v>
      </c>
      <c r="AN79" s="17">
        <f>'Rolling report'!DG79*'With Action'!$Y$6</f>
        <v>0</v>
      </c>
      <c r="AO79" s="17">
        <f>'Rolling report'!DH79*'With Action'!$Y$6</f>
        <v>0</v>
      </c>
      <c r="AP79" s="17">
        <f>'Rolling report'!DI79*'With Action'!$Y$6</f>
        <v>0</v>
      </c>
    </row>
    <row r="80" spans="1:42" x14ac:dyDescent="0.25">
      <c r="A80" s="4" t="s">
        <v>149</v>
      </c>
      <c r="B80" s="6" t="s">
        <v>150</v>
      </c>
      <c r="I80" s="17">
        <f>'Rolling report'!CB80*'With Action'!$Y$6</f>
        <v>12.900000000000002</v>
      </c>
      <c r="J80" s="17">
        <f>'Rolling report'!CC80*'With Action'!$Y$6</f>
        <v>2.2500000000000004</v>
      </c>
      <c r="K80" s="17">
        <f>'Rolling report'!CD80*'With Action'!$Y$6</f>
        <v>2.0000000000000004</v>
      </c>
      <c r="L80" s="17">
        <f>'Rolling report'!CE80*'With Action'!$Y$6</f>
        <v>2.6500000000000004</v>
      </c>
      <c r="M80" s="17">
        <f>'Rolling report'!CF80*'With Action'!$Y$6</f>
        <v>2.1000000000000005</v>
      </c>
      <c r="N80" s="17">
        <f>'Rolling report'!CG80*'With Action'!$Y$6</f>
        <v>1.8500000000000003</v>
      </c>
      <c r="O80" s="17">
        <f>'Rolling report'!CH80*'With Action'!$Y$6</f>
        <v>2.0000000000000004</v>
      </c>
      <c r="P80" s="17">
        <f>'Rolling report'!CI80*'With Action'!$Y$6</f>
        <v>1.0500000000000003</v>
      </c>
      <c r="Q80" s="17">
        <f>'Rolling report'!CJ80*'With Action'!$Y$6</f>
        <v>1.5500000000000003</v>
      </c>
      <c r="R80" s="17">
        <f>'Rolling report'!CK80*'With Action'!$Y$6</f>
        <v>1.3000000000000003</v>
      </c>
      <c r="S80" s="17">
        <f>'Rolling report'!CL80*'With Action'!$Y$6</f>
        <v>0.65000000000000013</v>
      </c>
      <c r="T80" s="17">
        <f>'Rolling report'!CM80*'With Action'!$Y$6</f>
        <v>1.0000000000000002</v>
      </c>
      <c r="U80" s="17">
        <f>'Rolling report'!CN80*'With Action'!$Y$6</f>
        <v>1.0500000000000003</v>
      </c>
      <c r="V80" s="17">
        <f>'Rolling report'!CO80*'With Action'!$Y$6</f>
        <v>0.60000000000000009</v>
      </c>
      <c r="W80" s="17">
        <f>'Rolling report'!CP80*'With Action'!$Y$6</f>
        <v>1.2500000000000002</v>
      </c>
      <c r="X80" s="17">
        <f>'Rolling report'!CQ80*'With Action'!$Y$6</f>
        <v>0.70000000000000018</v>
      </c>
      <c r="Y80" s="17">
        <f>'Rolling report'!CR80*'With Action'!$Y$6</f>
        <v>0.65000000000000013</v>
      </c>
      <c r="Z80" s="17">
        <f>'Rolling report'!CS80*'With Action'!$Y$6</f>
        <v>0.20000000000000004</v>
      </c>
      <c r="AA80" s="17">
        <f>'Rolling report'!CT80*'With Action'!$Y$6</f>
        <v>0.95000000000000018</v>
      </c>
      <c r="AB80" s="17">
        <f>'Rolling report'!CU80*'With Action'!$Y$6</f>
        <v>1.1500000000000001</v>
      </c>
      <c r="AC80" s="17">
        <f>'Rolling report'!CV80*'With Action'!$Y$6</f>
        <v>0.8500000000000002</v>
      </c>
      <c r="AD80" s="17">
        <f>'Rolling report'!CW80*'With Action'!$Y$6</f>
        <v>0.60000000000000009</v>
      </c>
      <c r="AE80" s="17">
        <f>'Rolling report'!CX80*'With Action'!$Y$6</f>
        <v>0.40000000000000008</v>
      </c>
      <c r="AF80" s="17">
        <f>'Rolling report'!CY80*'With Action'!$Y$6</f>
        <v>-39.70000000000001</v>
      </c>
      <c r="AG80" s="17">
        <f>'Rolling report'!CZ80*'With Action'!$Y$6</f>
        <v>0</v>
      </c>
      <c r="AH80" s="17">
        <f>'Rolling report'!DA80*'With Action'!$Y$6</f>
        <v>0</v>
      </c>
      <c r="AI80" s="17">
        <f>'Rolling report'!DB80*'With Action'!$Y$6</f>
        <v>0</v>
      </c>
      <c r="AJ80" s="17">
        <f>'Rolling report'!DC80*'With Action'!$Y$6</f>
        <v>0</v>
      </c>
      <c r="AK80" s="17">
        <f>'Rolling report'!DD80*'With Action'!$Y$6</f>
        <v>0</v>
      </c>
      <c r="AL80" s="17">
        <f>'Rolling report'!DE80*'With Action'!$Y$6</f>
        <v>0</v>
      </c>
      <c r="AM80" s="17">
        <f>'Rolling report'!DF80*'With Action'!$Y$6</f>
        <v>0</v>
      </c>
      <c r="AN80" s="17">
        <f>'Rolling report'!DG80*'With Action'!$Y$6</f>
        <v>0</v>
      </c>
      <c r="AO80" s="17">
        <f>'Rolling report'!DH80*'With Action'!$Y$6</f>
        <v>0</v>
      </c>
      <c r="AP80" s="17">
        <f>'Rolling report'!DI80*'With Action'!$Y$6</f>
        <v>0</v>
      </c>
    </row>
    <row r="81" spans="1:42" x14ac:dyDescent="0.25">
      <c r="A81" s="4" t="s">
        <v>151</v>
      </c>
      <c r="B81" s="6" t="s">
        <v>152</v>
      </c>
      <c r="I81" s="17">
        <f>'Rolling report'!CB81*'With Action'!$Y$6</f>
        <v>7.7500000000000018</v>
      </c>
      <c r="J81" s="17">
        <f>'Rolling report'!CC81*'With Action'!$Y$6</f>
        <v>1.0000000000000002</v>
      </c>
      <c r="K81" s="17">
        <f>'Rolling report'!CD81*'With Action'!$Y$6</f>
        <v>0.55000000000000016</v>
      </c>
      <c r="L81" s="17">
        <f>'Rolling report'!CE81*'With Action'!$Y$6</f>
        <v>1.2500000000000002</v>
      </c>
      <c r="M81" s="17">
        <f>'Rolling report'!CF81*'With Action'!$Y$6</f>
        <v>0.40000000000000008</v>
      </c>
      <c r="N81" s="17">
        <f>'Rolling report'!CG81*'With Action'!$Y$6</f>
        <v>0.70000000000000018</v>
      </c>
      <c r="O81" s="17">
        <f>'Rolling report'!CH81*'With Action'!$Y$6</f>
        <v>1.0500000000000003</v>
      </c>
      <c r="P81" s="17">
        <f>'Rolling report'!CI81*'With Action'!$Y$6</f>
        <v>0.55000000000000016</v>
      </c>
      <c r="Q81" s="17">
        <f>'Rolling report'!CJ81*'With Action'!$Y$6</f>
        <v>0.80000000000000016</v>
      </c>
      <c r="R81" s="17">
        <f>'Rolling report'!CK81*'With Action'!$Y$6</f>
        <v>1.3000000000000003</v>
      </c>
      <c r="S81" s="17">
        <f>'Rolling report'!CL81*'With Action'!$Y$6</f>
        <v>0.45000000000000007</v>
      </c>
      <c r="T81" s="17">
        <f>'Rolling report'!CM81*'With Action'!$Y$6</f>
        <v>0.25000000000000006</v>
      </c>
      <c r="U81" s="17">
        <f>'Rolling report'!CN81*'With Action'!$Y$6</f>
        <v>0.70000000000000018</v>
      </c>
      <c r="V81" s="17">
        <f>'Rolling report'!CO81*'With Action'!$Y$6</f>
        <v>0.50000000000000011</v>
      </c>
      <c r="W81" s="17">
        <f>'Rolling report'!CP81*'With Action'!$Y$6</f>
        <v>0.35000000000000009</v>
      </c>
      <c r="X81" s="17">
        <f>'Rolling report'!CQ81*'With Action'!$Y$6</f>
        <v>0.35000000000000009</v>
      </c>
      <c r="Y81" s="17">
        <f>'Rolling report'!CR81*'With Action'!$Y$6</f>
        <v>0.40000000000000008</v>
      </c>
      <c r="Z81" s="17">
        <f>'Rolling report'!CS81*'With Action'!$Y$6</f>
        <v>0.25000000000000006</v>
      </c>
      <c r="AA81" s="17">
        <f>'Rolling report'!CT81*'With Action'!$Y$6</f>
        <v>0.60000000000000009</v>
      </c>
      <c r="AB81" s="17">
        <f>'Rolling report'!CU81*'With Action'!$Y$6</f>
        <v>0.45000000000000007</v>
      </c>
      <c r="AC81" s="17">
        <f>'Rolling report'!CV81*'With Action'!$Y$6</f>
        <v>0.60000000000000009</v>
      </c>
      <c r="AD81" s="17">
        <f>'Rolling report'!CW81*'With Action'!$Y$6</f>
        <v>5.000000000000001E-2</v>
      </c>
      <c r="AE81" s="17">
        <f>'Rolling report'!CX81*'With Action'!$Y$6</f>
        <v>0.20000000000000004</v>
      </c>
      <c r="AF81" s="17">
        <f>'Rolling report'!CY81*'With Action'!$Y$6</f>
        <v>-20.500000000000004</v>
      </c>
      <c r="AG81" s="17">
        <f>'Rolling report'!CZ81*'With Action'!$Y$6</f>
        <v>0</v>
      </c>
      <c r="AH81" s="17">
        <f>'Rolling report'!DA81*'With Action'!$Y$6</f>
        <v>0</v>
      </c>
      <c r="AI81" s="17">
        <f>'Rolling report'!DB81*'With Action'!$Y$6</f>
        <v>0</v>
      </c>
      <c r="AJ81" s="17">
        <f>'Rolling report'!DC81*'With Action'!$Y$6</f>
        <v>0</v>
      </c>
      <c r="AK81" s="17">
        <f>'Rolling report'!DD81*'With Action'!$Y$6</f>
        <v>0</v>
      </c>
      <c r="AL81" s="17">
        <f>'Rolling report'!DE81*'With Action'!$Y$6</f>
        <v>0</v>
      </c>
      <c r="AM81" s="17">
        <f>'Rolling report'!DF81*'With Action'!$Y$6</f>
        <v>0</v>
      </c>
      <c r="AN81" s="17">
        <f>'Rolling report'!DG81*'With Action'!$Y$6</f>
        <v>0</v>
      </c>
      <c r="AO81" s="17">
        <f>'Rolling report'!DH81*'With Action'!$Y$6</f>
        <v>0</v>
      </c>
      <c r="AP81" s="17">
        <f>'Rolling report'!DI81*'With Action'!$Y$6</f>
        <v>0</v>
      </c>
    </row>
    <row r="82" spans="1:42" x14ac:dyDescent="0.25">
      <c r="A82" s="4" t="s">
        <v>153</v>
      </c>
      <c r="B82" s="6" t="s">
        <v>154</v>
      </c>
      <c r="I82" s="17">
        <f>'Rolling report'!CB82*'With Action'!$Y$6</f>
        <v>18.150000000000002</v>
      </c>
      <c r="J82" s="17">
        <f>'Rolling report'!CC82*'With Action'!$Y$6</f>
        <v>2.2500000000000004</v>
      </c>
      <c r="K82" s="17">
        <f>'Rolling report'!CD82*'With Action'!$Y$6</f>
        <v>3.4500000000000006</v>
      </c>
      <c r="L82" s="17">
        <f>'Rolling report'!CE82*'With Action'!$Y$6</f>
        <v>4.1500000000000012</v>
      </c>
      <c r="M82" s="17">
        <f>'Rolling report'!CF82*'With Action'!$Y$6</f>
        <v>1.9000000000000004</v>
      </c>
      <c r="N82" s="17">
        <f>'Rolling report'!CG82*'With Action'!$Y$6</f>
        <v>2.0000000000000004</v>
      </c>
      <c r="O82" s="17">
        <f>'Rolling report'!CH82*'With Action'!$Y$6</f>
        <v>3.2000000000000006</v>
      </c>
      <c r="P82" s="17">
        <f>'Rolling report'!CI82*'With Action'!$Y$6</f>
        <v>0.95000000000000018</v>
      </c>
      <c r="Q82" s="17">
        <f>'Rolling report'!CJ82*'With Action'!$Y$6</f>
        <v>3.0000000000000004</v>
      </c>
      <c r="R82" s="17">
        <f>'Rolling report'!CK82*'With Action'!$Y$6</f>
        <v>1.5500000000000003</v>
      </c>
      <c r="S82" s="17">
        <f>'Rolling report'!CL82*'With Action'!$Y$6</f>
        <v>0.65000000000000013</v>
      </c>
      <c r="T82" s="17">
        <f>'Rolling report'!CM82*'With Action'!$Y$6</f>
        <v>1.1500000000000001</v>
      </c>
      <c r="U82" s="17">
        <f>'Rolling report'!CN82*'With Action'!$Y$6</f>
        <v>2.1000000000000005</v>
      </c>
      <c r="V82" s="17">
        <f>'Rolling report'!CO82*'With Action'!$Y$6</f>
        <v>1.0000000000000002</v>
      </c>
      <c r="W82" s="17">
        <f>'Rolling report'!CP82*'With Action'!$Y$6</f>
        <v>0.70000000000000018</v>
      </c>
      <c r="X82" s="17">
        <f>'Rolling report'!CQ82*'With Action'!$Y$6</f>
        <v>0.70000000000000018</v>
      </c>
      <c r="Y82" s="17">
        <f>'Rolling report'!CR82*'With Action'!$Y$6</f>
        <v>1.4500000000000002</v>
      </c>
      <c r="Z82" s="17">
        <f>'Rolling report'!CS82*'With Action'!$Y$6</f>
        <v>0.55000000000000016</v>
      </c>
      <c r="AA82" s="17">
        <f>'Rolling report'!CT82*'With Action'!$Y$6</f>
        <v>0.55000000000000016</v>
      </c>
      <c r="AB82" s="17">
        <f>'Rolling report'!CU82*'With Action'!$Y$6</f>
        <v>1.0000000000000002</v>
      </c>
      <c r="AC82" s="17">
        <f>'Rolling report'!CV82*'With Action'!$Y$6</f>
        <v>2.0000000000000004</v>
      </c>
      <c r="AD82" s="17">
        <f>'Rolling report'!CW82*'With Action'!$Y$6</f>
        <v>0.30000000000000004</v>
      </c>
      <c r="AE82" s="17">
        <f>'Rolling report'!CX82*'With Action'!$Y$6</f>
        <v>0.55000000000000016</v>
      </c>
      <c r="AF82" s="17">
        <f>'Rolling report'!CY82*'With Action'!$Y$6</f>
        <v>-53.300000000000011</v>
      </c>
      <c r="AG82" s="17">
        <f>'Rolling report'!CZ82*'With Action'!$Y$6</f>
        <v>0</v>
      </c>
      <c r="AH82" s="17">
        <f>'Rolling report'!DA82*'With Action'!$Y$6</f>
        <v>0</v>
      </c>
      <c r="AI82" s="17">
        <f>'Rolling report'!DB82*'With Action'!$Y$6</f>
        <v>0</v>
      </c>
      <c r="AJ82" s="17">
        <f>'Rolling report'!DC82*'With Action'!$Y$6</f>
        <v>0</v>
      </c>
      <c r="AK82" s="17">
        <f>'Rolling report'!DD82*'With Action'!$Y$6</f>
        <v>0</v>
      </c>
      <c r="AL82" s="17">
        <f>'Rolling report'!DE82*'With Action'!$Y$6</f>
        <v>0</v>
      </c>
      <c r="AM82" s="17">
        <f>'Rolling report'!DF82*'With Action'!$Y$6</f>
        <v>0</v>
      </c>
      <c r="AN82" s="17">
        <f>'Rolling report'!DG82*'With Action'!$Y$6</f>
        <v>0</v>
      </c>
      <c r="AO82" s="17">
        <f>'Rolling report'!DH82*'With Action'!$Y$6</f>
        <v>0</v>
      </c>
      <c r="AP82" s="17">
        <f>'Rolling report'!DI82*'With Action'!$Y$6</f>
        <v>0</v>
      </c>
    </row>
    <row r="83" spans="1:42" x14ac:dyDescent="0.25">
      <c r="A83" s="4" t="s">
        <v>155</v>
      </c>
      <c r="B83" s="6" t="s">
        <v>156</v>
      </c>
      <c r="I83" s="17">
        <f>'Rolling report'!CB83*'With Action'!$Y$6</f>
        <v>3.2500000000000004</v>
      </c>
      <c r="J83" s="17">
        <f>'Rolling report'!CC83*'With Action'!$Y$6</f>
        <v>0.55000000000000016</v>
      </c>
      <c r="K83" s="17">
        <f>'Rolling report'!CD83*'With Action'!$Y$6</f>
        <v>0.75000000000000011</v>
      </c>
      <c r="L83" s="17">
        <f>'Rolling report'!CE83*'With Action'!$Y$6</f>
        <v>0.8500000000000002</v>
      </c>
      <c r="M83" s="17">
        <f>'Rolling report'!CF83*'With Action'!$Y$6</f>
        <v>0.25000000000000006</v>
      </c>
      <c r="N83" s="17">
        <f>'Rolling report'!CG83*'With Action'!$Y$6</f>
        <v>0.35000000000000009</v>
      </c>
      <c r="O83" s="17">
        <f>'Rolling report'!CH83*'With Action'!$Y$6</f>
        <v>0.60000000000000009</v>
      </c>
      <c r="P83" s="17">
        <f>'Rolling report'!CI83*'With Action'!$Y$6</f>
        <v>0.15000000000000002</v>
      </c>
      <c r="Q83" s="17">
        <f>'Rolling report'!CJ83*'With Action'!$Y$6</f>
        <v>0.10000000000000002</v>
      </c>
      <c r="R83" s="17">
        <f>'Rolling report'!CK83*'With Action'!$Y$6</f>
        <v>0.30000000000000004</v>
      </c>
      <c r="S83" s="17">
        <f>'Rolling report'!CL83*'With Action'!$Y$6</f>
        <v>0.40000000000000008</v>
      </c>
      <c r="T83" s="17">
        <f>'Rolling report'!CM83*'With Action'!$Y$6</f>
        <v>0.75000000000000011</v>
      </c>
      <c r="U83" s="17">
        <f>'Rolling report'!CN83*'With Action'!$Y$6</f>
        <v>0.35000000000000009</v>
      </c>
      <c r="V83" s="17">
        <f>'Rolling report'!CO83*'With Action'!$Y$6</f>
        <v>0.30000000000000004</v>
      </c>
      <c r="W83" s="17">
        <f>'Rolling report'!CP83*'With Action'!$Y$6</f>
        <v>0.40000000000000008</v>
      </c>
      <c r="X83" s="17">
        <f>'Rolling report'!CQ83*'With Action'!$Y$6</f>
        <v>0.15000000000000002</v>
      </c>
      <c r="Y83" s="17">
        <f>'Rolling report'!CR83*'With Action'!$Y$6</f>
        <v>0.10000000000000002</v>
      </c>
      <c r="Z83" s="17">
        <f>'Rolling report'!CS83*'With Action'!$Y$6</f>
        <v>0.10000000000000002</v>
      </c>
      <c r="AA83" s="17">
        <f>'Rolling report'!CT83*'With Action'!$Y$6</f>
        <v>0.30000000000000004</v>
      </c>
      <c r="AB83" s="17">
        <f>'Rolling report'!CU83*'With Action'!$Y$6</f>
        <v>0.40000000000000008</v>
      </c>
      <c r="AC83" s="17">
        <f>'Rolling report'!CV83*'With Action'!$Y$6</f>
        <v>0.80000000000000016</v>
      </c>
      <c r="AD83" s="17">
        <f>'Rolling report'!CW83*'With Action'!$Y$6</f>
        <v>-5.000000000000001E-2</v>
      </c>
      <c r="AE83" s="17">
        <f>'Rolling report'!CX83*'With Action'!$Y$6</f>
        <v>0.30000000000000004</v>
      </c>
      <c r="AF83" s="17">
        <f>'Rolling report'!CY83*'With Action'!$Y$6</f>
        <v>-11.450000000000003</v>
      </c>
      <c r="AG83" s="17">
        <f>'Rolling report'!CZ83*'With Action'!$Y$6</f>
        <v>0</v>
      </c>
      <c r="AH83" s="17">
        <f>'Rolling report'!DA83*'With Action'!$Y$6</f>
        <v>0</v>
      </c>
      <c r="AI83" s="17">
        <f>'Rolling report'!DB83*'With Action'!$Y$6</f>
        <v>0</v>
      </c>
      <c r="AJ83" s="17">
        <f>'Rolling report'!DC83*'With Action'!$Y$6</f>
        <v>0</v>
      </c>
      <c r="AK83" s="17">
        <f>'Rolling report'!DD83*'With Action'!$Y$6</f>
        <v>0</v>
      </c>
      <c r="AL83" s="17">
        <f>'Rolling report'!DE83*'With Action'!$Y$6</f>
        <v>0</v>
      </c>
      <c r="AM83" s="17">
        <f>'Rolling report'!DF83*'With Action'!$Y$6</f>
        <v>0</v>
      </c>
      <c r="AN83" s="17">
        <f>'Rolling report'!DG83*'With Action'!$Y$6</f>
        <v>0</v>
      </c>
      <c r="AO83" s="17">
        <f>'Rolling report'!DH83*'With Action'!$Y$6</f>
        <v>0</v>
      </c>
      <c r="AP83" s="17">
        <f>'Rolling report'!DI83*'With Action'!$Y$6</f>
        <v>0</v>
      </c>
    </row>
    <row r="84" spans="1:42" x14ac:dyDescent="0.25">
      <c r="A84" s="4" t="s">
        <v>157</v>
      </c>
      <c r="B84" s="6" t="s">
        <v>158</v>
      </c>
      <c r="I84" s="17">
        <f>'Rolling report'!CB84*'With Action'!$Y$6</f>
        <v>0.90000000000000013</v>
      </c>
      <c r="J84" s="17">
        <f>'Rolling report'!CC84*'With Action'!$Y$6</f>
        <v>0.35000000000000009</v>
      </c>
      <c r="K84" s="17">
        <f>'Rolling report'!CD84*'With Action'!$Y$6</f>
        <v>0.15000000000000002</v>
      </c>
      <c r="L84" s="17">
        <f>'Rolling report'!CE84*'With Action'!$Y$6</f>
        <v>0</v>
      </c>
      <c r="M84" s="17">
        <f>'Rolling report'!CF84*'With Action'!$Y$6</f>
        <v>5.000000000000001E-2</v>
      </c>
      <c r="N84" s="17">
        <f>'Rolling report'!CG84*'With Action'!$Y$6</f>
        <v>0.15000000000000002</v>
      </c>
      <c r="O84" s="17">
        <f>'Rolling report'!CH84*'With Action'!$Y$6</f>
        <v>0.40000000000000008</v>
      </c>
      <c r="P84" s="17">
        <f>'Rolling report'!CI84*'With Action'!$Y$6</f>
        <v>0</v>
      </c>
      <c r="Q84" s="17">
        <f>'Rolling report'!CJ84*'With Action'!$Y$6</f>
        <v>0</v>
      </c>
      <c r="R84" s="17">
        <f>'Rolling report'!CK84*'With Action'!$Y$6</f>
        <v>0.15000000000000002</v>
      </c>
      <c r="S84" s="17">
        <f>'Rolling report'!CL84*'With Action'!$Y$6</f>
        <v>0.10000000000000002</v>
      </c>
      <c r="T84" s="17">
        <f>'Rolling report'!CM84*'With Action'!$Y$6</f>
        <v>0.40000000000000008</v>
      </c>
      <c r="U84" s="17">
        <f>'Rolling report'!CN84*'With Action'!$Y$6</f>
        <v>5.000000000000001E-2</v>
      </c>
      <c r="V84" s="17">
        <f>'Rolling report'!CO84*'With Action'!$Y$6</f>
        <v>5.000000000000001E-2</v>
      </c>
      <c r="W84" s="17">
        <f>'Rolling report'!CP84*'With Action'!$Y$6</f>
        <v>0.15000000000000002</v>
      </c>
      <c r="X84" s="17">
        <f>'Rolling report'!CQ84*'With Action'!$Y$6</f>
        <v>0</v>
      </c>
      <c r="Y84" s="17">
        <f>'Rolling report'!CR84*'With Action'!$Y$6</f>
        <v>0</v>
      </c>
      <c r="Z84" s="17">
        <f>'Rolling report'!CS84*'With Action'!$Y$6</f>
        <v>5.000000000000001E-2</v>
      </c>
      <c r="AA84" s="17">
        <f>'Rolling report'!CT84*'With Action'!$Y$6</f>
        <v>0.10000000000000002</v>
      </c>
      <c r="AB84" s="17">
        <f>'Rolling report'!CU84*'With Action'!$Y$6</f>
        <v>0.35000000000000009</v>
      </c>
      <c r="AC84" s="17">
        <f>'Rolling report'!CV84*'With Action'!$Y$6</f>
        <v>0.15000000000000002</v>
      </c>
      <c r="AD84" s="17">
        <f>'Rolling report'!CW84*'With Action'!$Y$6</f>
        <v>-0.10000000000000002</v>
      </c>
      <c r="AE84" s="17">
        <f>'Rolling report'!CX84*'With Action'!$Y$6</f>
        <v>0.10000000000000002</v>
      </c>
      <c r="AF84" s="17">
        <f>'Rolling report'!CY84*'With Action'!$Y$6</f>
        <v>-3.5500000000000007</v>
      </c>
      <c r="AG84" s="17">
        <f>'Rolling report'!CZ84*'With Action'!$Y$6</f>
        <v>0</v>
      </c>
      <c r="AH84" s="17">
        <f>'Rolling report'!DA84*'With Action'!$Y$6</f>
        <v>0</v>
      </c>
      <c r="AI84" s="17">
        <f>'Rolling report'!DB84*'With Action'!$Y$6</f>
        <v>0</v>
      </c>
      <c r="AJ84" s="17">
        <f>'Rolling report'!DC84*'With Action'!$Y$6</f>
        <v>0</v>
      </c>
      <c r="AK84" s="17">
        <f>'Rolling report'!DD84*'With Action'!$Y$6</f>
        <v>0</v>
      </c>
      <c r="AL84" s="17">
        <f>'Rolling report'!DE84*'With Action'!$Y$6</f>
        <v>0</v>
      </c>
      <c r="AM84" s="17">
        <f>'Rolling report'!DF84*'With Action'!$Y$6</f>
        <v>0</v>
      </c>
      <c r="AN84" s="17">
        <f>'Rolling report'!DG84*'With Action'!$Y$6</f>
        <v>0</v>
      </c>
      <c r="AO84" s="17">
        <f>'Rolling report'!DH84*'With Action'!$Y$6</f>
        <v>0</v>
      </c>
      <c r="AP84" s="17">
        <f>'Rolling report'!DI84*'With Action'!$Y$6</f>
        <v>0</v>
      </c>
    </row>
    <row r="85" spans="1:42" x14ac:dyDescent="0.25">
      <c r="A85" s="4" t="s">
        <v>159</v>
      </c>
      <c r="B85" s="6" t="s">
        <v>160</v>
      </c>
      <c r="I85" s="17">
        <f>'Rolling report'!CB85*'With Action'!$Y$6</f>
        <v>6.5500000000000016</v>
      </c>
      <c r="J85" s="17">
        <f>'Rolling report'!CC85*'With Action'!$Y$6</f>
        <v>0.80000000000000016</v>
      </c>
      <c r="K85" s="17">
        <f>'Rolling report'!CD85*'With Action'!$Y$6</f>
        <v>0.15000000000000002</v>
      </c>
      <c r="L85" s="17">
        <f>'Rolling report'!CE85*'With Action'!$Y$6</f>
        <v>0.55000000000000016</v>
      </c>
      <c r="M85" s="17">
        <f>'Rolling report'!CF85*'With Action'!$Y$6</f>
        <v>0.70000000000000018</v>
      </c>
      <c r="N85" s="17">
        <f>'Rolling report'!CG85*'With Action'!$Y$6</f>
        <v>0.55000000000000016</v>
      </c>
      <c r="O85" s="17">
        <f>'Rolling report'!CH85*'With Action'!$Y$6</f>
        <v>1.2500000000000002</v>
      </c>
      <c r="P85" s="17">
        <f>'Rolling report'!CI85*'With Action'!$Y$6</f>
        <v>0.8500000000000002</v>
      </c>
      <c r="Q85" s="17">
        <f>'Rolling report'!CJ85*'With Action'!$Y$6</f>
        <v>0.40000000000000008</v>
      </c>
      <c r="R85" s="17">
        <f>'Rolling report'!CK85*'With Action'!$Y$6</f>
        <v>0.75000000000000011</v>
      </c>
      <c r="S85" s="17">
        <f>'Rolling report'!CL85*'With Action'!$Y$6</f>
        <v>0.65000000000000013</v>
      </c>
      <c r="T85" s="17">
        <f>'Rolling report'!CM85*'With Action'!$Y$6</f>
        <v>0.50000000000000011</v>
      </c>
      <c r="U85" s="17">
        <f>'Rolling report'!CN85*'With Action'!$Y$6</f>
        <v>0.90000000000000013</v>
      </c>
      <c r="V85" s="17">
        <f>'Rolling report'!CO85*'With Action'!$Y$6</f>
        <v>0.75000000000000011</v>
      </c>
      <c r="W85" s="17">
        <f>'Rolling report'!CP85*'With Action'!$Y$6</f>
        <v>0.15000000000000002</v>
      </c>
      <c r="X85" s="17">
        <f>'Rolling report'!CQ85*'With Action'!$Y$6</f>
        <v>0.40000000000000008</v>
      </c>
      <c r="Y85" s="17">
        <f>'Rolling report'!CR85*'With Action'!$Y$6</f>
        <v>0.60000000000000009</v>
      </c>
      <c r="Z85" s="17">
        <f>'Rolling report'!CS85*'With Action'!$Y$6</f>
        <v>5.000000000000001E-2</v>
      </c>
      <c r="AA85" s="17">
        <f>'Rolling report'!CT85*'With Action'!$Y$6</f>
        <v>0.70000000000000018</v>
      </c>
      <c r="AB85" s="17">
        <f>'Rolling report'!CU85*'With Action'!$Y$6</f>
        <v>0.45000000000000007</v>
      </c>
      <c r="AC85" s="17">
        <f>'Rolling report'!CV85*'With Action'!$Y$6</f>
        <v>0.55000000000000016</v>
      </c>
      <c r="AD85" s="17">
        <f>'Rolling report'!CW85*'With Action'!$Y$6</f>
        <v>0.15000000000000002</v>
      </c>
      <c r="AE85" s="17">
        <f>'Rolling report'!CX85*'With Action'!$Y$6</f>
        <v>0.35000000000000009</v>
      </c>
      <c r="AF85" s="17">
        <f>'Rolling report'!CY85*'With Action'!$Y$6</f>
        <v>-18.750000000000004</v>
      </c>
      <c r="AG85" s="17">
        <f>'Rolling report'!CZ85*'With Action'!$Y$6</f>
        <v>0</v>
      </c>
      <c r="AH85" s="17">
        <f>'Rolling report'!DA85*'With Action'!$Y$6</f>
        <v>0</v>
      </c>
      <c r="AI85" s="17">
        <f>'Rolling report'!DB85*'With Action'!$Y$6</f>
        <v>0</v>
      </c>
      <c r="AJ85" s="17">
        <f>'Rolling report'!DC85*'With Action'!$Y$6</f>
        <v>0</v>
      </c>
      <c r="AK85" s="17">
        <f>'Rolling report'!DD85*'With Action'!$Y$6</f>
        <v>0</v>
      </c>
      <c r="AL85" s="17">
        <f>'Rolling report'!DE85*'With Action'!$Y$6</f>
        <v>0</v>
      </c>
      <c r="AM85" s="17">
        <f>'Rolling report'!DF85*'With Action'!$Y$6</f>
        <v>0</v>
      </c>
      <c r="AN85" s="17">
        <f>'Rolling report'!DG85*'With Action'!$Y$6</f>
        <v>0</v>
      </c>
      <c r="AO85" s="17">
        <f>'Rolling report'!DH85*'With Action'!$Y$6</f>
        <v>0</v>
      </c>
      <c r="AP85" s="17">
        <f>'Rolling report'!DI85*'With Action'!$Y$6</f>
        <v>0</v>
      </c>
    </row>
    <row r="86" spans="1:42" x14ac:dyDescent="0.25">
      <c r="A86" s="4" t="s">
        <v>161</v>
      </c>
      <c r="B86" s="6" t="s">
        <v>162</v>
      </c>
      <c r="I86" s="17">
        <f>'Rolling report'!CB86*'With Action'!$Y$6</f>
        <v>2.6000000000000005</v>
      </c>
      <c r="J86" s="17">
        <f>'Rolling report'!CC86*'With Action'!$Y$6</f>
        <v>1.0500000000000003</v>
      </c>
      <c r="K86" s="17">
        <f>'Rolling report'!CD86*'With Action'!$Y$6</f>
        <v>0.15000000000000002</v>
      </c>
      <c r="L86" s="17">
        <f>'Rolling report'!CE86*'With Action'!$Y$6</f>
        <v>0.50000000000000011</v>
      </c>
      <c r="M86" s="17">
        <f>'Rolling report'!CF86*'With Action'!$Y$6</f>
        <v>0.25000000000000006</v>
      </c>
      <c r="N86" s="17">
        <f>'Rolling report'!CG86*'With Action'!$Y$6</f>
        <v>0.30000000000000004</v>
      </c>
      <c r="O86" s="17">
        <f>'Rolling report'!CH86*'With Action'!$Y$6</f>
        <v>0.35000000000000009</v>
      </c>
      <c r="P86" s="17">
        <f>'Rolling report'!CI86*'With Action'!$Y$6</f>
        <v>0.35000000000000009</v>
      </c>
      <c r="Q86" s="17">
        <f>'Rolling report'!CJ86*'With Action'!$Y$6</f>
        <v>0.20000000000000004</v>
      </c>
      <c r="R86" s="17">
        <f>'Rolling report'!CK86*'With Action'!$Y$6</f>
        <v>0.25000000000000006</v>
      </c>
      <c r="S86" s="17">
        <f>'Rolling report'!CL86*'With Action'!$Y$6</f>
        <v>0.35000000000000009</v>
      </c>
      <c r="T86" s="17">
        <f>'Rolling report'!CM86*'With Action'!$Y$6</f>
        <v>0.35000000000000009</v>
      </c>
      <c r="U86" s="17">
        <f>'Rolling report'!CN86*'With Action'!$Y$6</f>
        <v>0.25000000000000006</v>
      </c>
      <c r="V86" s="17">
        <f>'Rolling report'!CO86*'With Action'!$Y$6</f>
        <v>0.30000000000000004</v>
      </c>
      <c r="W86" s="17">
        <f>'Rolling report'!CP86*'With Action'!$Y$6</f>
        <v>0.45000000000000007</v>
      </c>
      <c r="X86" s="17">
        <f>'Rolling report'!CQ86*'With Action'!$Y$6</f>
        <v>-5.000000000000001E-2</v>
      </c>
      <c r="Y86" s="17">
        <f>'Rolling report'!CR86*'With Action'!$Y$6</f>
        <v>0.25000000000000006</v>
      </c>
      <c r="Z86" s="17">
        <f>'Rolling report'!CS86*'With Action'!$Y$6</f>
        <v>0.15000000000000002</v>
      </c>
      <c r="AA86" s="17">
        <f>'Rolling report'!CT86*'With Action'!$Y$6</f>
        <v>0.15000000000000002</v>
      </c>
      <c r="AB86" s="17">
        <f>'Rolling report'!CU86*'With Action'!$Y$6</f>
        <v>0.25000000000000006</v>
      </c>
      <c r="AC86" s="17">
        <f>'Rolling report'!CV86*'With Action'!$Y$6</f>
        <v>0.55000000000000016</v>
      </c>
      <c r="AD86" s="17">
        <f>'Rolling report'!CW86*'With Action'!$Y$6</f>
        <v>0.10000000000000002</v>
      </c>
      <c r="AE86" s="17">
        <f>'Rolling report'!CX86*'With Action'!$Y$6</f>
        <v>0.15000000000000002</v>
      </c>
      <c r="AF86" s="17">
        <f>'Rolling report'!CY86*'With Action'!$Y$6</f>
        <v>-9.2500000000000018</v>
      </c>
      <c r="AG86" s="17">
        <f>'Rolling report'!CZ86*'With Action'!$Y$6</f>
        <v>0</v>
      </c>
      <c r="AH86" s="17">
        <f>'Rolling report'!DA86*'With Action'!$Y$6</f>
        <v>0</v>
      </c>
      <c r="AI86" s="17">
        <f>'Rolling report'!DB86*'With Action'!$Y$6</f>
        <v>0</v>
      </c>
      <c r="AJ86" s="17">
        <f>'Rolling report'!DC86*'With Action'!$Y$6</f>
        <v>0</v>
      </c>
      <c r="AK86" s="17">
        <f>'Rolling report'!DD86*'With Action'!$Y$6</f>
        <v>0</v>
      </c>
      <c r="AL86" s="17">
        <f>'Rolling report'!DE86*'With Action'!$Y$6</f>
        <v>0</v>
      </c>
      <c r="AM86" s="17">
        <f>'Rolling report'!DF86*'With Action'!$Y$6</f>
        <v>0</v>
      </c>
      <c r="AN86" s="17">
        <f>'Rolling report'!DG86*'With Action'!$Y$6</f>
        <v>0</v>
      </c>
      <c r="AO86" s="17">
        <f>'Rolling report'!DH86*'With Action'!$Y$6</f>
        <v>0</v>
      </c>
      <c r="AP86" s="17">
        <f>'Rolling report'!DI86*'With Action'!$Y$6</f>
        <v>0</v>
      </c>
    </row>
    <row r="87" spans="1:42" x14ac:dyDescent="0.25">
      <c r="A87" s="4" t="s">
        <v>163</v>
      </c>
      <c r="B87" s="6" t="s">
        <v>164</v>
      </c>
      <c r="I87" s="17">
        <f>'Rolling report'!CB87*'With Action'!$Y$6</f>
        <v>5.8000000000000007</v>
      </c>
      <c r="J87" s="17">
        <f>'Rolling report'!CC87*'With Action'!$Y$6</f>
        <v>1.1500000000000001</v>
      </c>
      <c r="K87" s="17">
        <f>'Rolling report'!CD87*'With Action'!$Y$6</f>
        <v>1.1500000000000001</v>
      </c>
      <c r="L87" s="17">
        <f>'Rolling report'!CE87*'With Action'!$Y$6</f>
        <v>1.9000000000000004</v>
      </c>
      <c r="M87" s="17">
        <f>'Rolling report'!CF87*'With Action'!$Y$6</f>
        <v>1.1500000000000001</v>
      </c>
      <c r="N87" s="17">
        <f>'Rolling report'!CG87*'With Action'!$Y$6</f>
        <v>0.95000000000000018</v>
      </c>
      <c r="O87" s="17">
        <f>'Rolling report'!CH87*'With Action'!$Y$6</f>
        <v>1.5500000000000003</v>
      </c>
      <c r="P87" s="17">
        <f>'Rolling report'!CI87*'With Action'!$Y$6</f>
        <v>0.35000000000000009</v>
      </c>
      <c r="Q87" s="17">
        <f>'Rolling report'!CJ87*'With Action'!$Y$6</f>
        <v>0.75000000000000011</v>
      </c>
      <c r="R87" s="17">
        <f>'Rolling report'!CK87*'With Action'!$Y$6</f>
        <v>0.65000000000000013</v>
      </c>
      <c r="S87" s="17">
        <f>'Rolling report'!CL87*'With Action'!$Y$6</f>
        <v>0.15000000000000002</v>
      </c>
      <c r="T87" s="17">
        <f>'Rolling report'!CM87*'With Action'!$Y$6</f>
        <v>0.75000000000000011</v>
      </c>
      <c r="U87" s="17">
        <f>'Rolling report'!CN87*'With Action'!$Y$6</f>
        <v>0.40000000000000008</v>
      </c>
      <c r="V87" s="17">
        <f>'Rolling report'!CO87*'With Action'!$Y$6</f>
        <v>0.60000000000000009</v>
      </c>
      <c r="W87" s="17">
        <f>'Rolling report'!CP87*'With Action'!$Y$6</f>
        <v>0.60000000000000009</v>
      </c>
      <c r="X87" s="17">
        <f>'Rolling report'!CQ87*'With Action'!$Y$6</f>
        <v>0.65000000000000013</v>
      </c>
      <c r="Y87" s="17">
        <f>'Rolling report'!CR87*'With Action'!$Y$6</f>
        <v>0.25000000000000006</v>
      </c>
      <c r="Z87" s="17">
        <f>'Rolling report'!CS87*'With Action'!$Y$6</f>
        <v>0.45000000000000007</v>
      </c>
      <c r="AA87" s="17">
        <f>'Rolling report'!CT87*'With Action'!$Y$6</f>
        <v>0.75000000000000011</v>
      </c>
      <c r="AB87" s="17">
        <f>'Rolling report'!CU87*'With Action'!$Y$6</f>
        <v>0.40000000000000008</v>
      </c>
      <c r="AC87" s="17">
        <f>'Rolling report'!CV87*'With Action'!$Y$6</f>
        <v>1.2500000000000002</v>
      </c>
      <c r="AD87" s="17">
        <f>'Rolling report'!CW87*'With Action'!$Y$6</f>
        <v>0.15000000000000002</v>
      </c>
      <c r="AE87" s="17">
        <f>'Rolling report'!CX87*'With Action'!$Y$6</f>
        <v>0.75000000000000011</v>
      </c>
      <c r="AF87" s="17">
        <f>'Rolling report'!CY87*'With Action'!$Y$6</f>
        <v>-22.550000000000004</v>
      </c>
      <c r="AG87" s="17">
        <f>'Rolling report'!CZ87*'With Action'!$Y$6</f>
        <v>0</v>
      </c>
      <c r="AH87" s="17">
        <f>'Rolling report'!DA87*'With Action'!$Y$6</f>
        <v>0</v>
      </c>
      <c r="AI87" s="17">
        <f>'Rolling report'!DB87*'With Action'!$Y$6</f>
        <v>0</v>
      </c>
      <c r="AJ87" s="17">
        <f>'Rolling report'!DC87*'With Action'!$Y$6</f>
        <v>0</v>
      </c>
      <c r="AK87" s="17">
        <f>'Rolling report'!DD87*'With Action'!$Y$6</f>
        <v>0</v>
      </c>
      <c r="AL87" s="17">
        <f>'Rolling report'!DE87*'With Action'!$Y$6</f>
        <v>0</v>
      </c>
      <c r="AM87" s="17">
        <f>'Rolling report'!DF87*'With Action'!$Y$6</f>
        <v>0</v>
      </c>
      <c r="AN87" s="17">
        <f>'Rolling report'!DG87*'With Action'!$Y$6</f>
        <v>0</v>
      </c>
      <c r="AO87" s="17">
        <f>'Rolling report'!DH87*'With Action'!$Y$6</f>
        <v>0</v>
      </c>
      <c r="AP87" s="17">
        <f>'Rolling report'!DI87*'With Action'!$Y$6</f>
        <v>0</v>
      </c>
    </row>
    <row r="88" spans="1:42" x14ac:dyDescent="0.25">
      <c r="A88" s="4" t="s">
        <v>165</v>
      </c>
      <c r="B88" s="6" t="s">
        <v>166</v>
      </c>
      <c r="I88" s="17">
        <f>'Rolling report'!CB88*'With Action'!$Y$6</f>
        <v>1.0500000000000003</v>
      </c>
      <c r="J88" s="17">
        <f>'Rolling report'!CC88*'With Action'!$Y$6</f>
        <v>0.20000000000000004</v>
      </c>
      <c r="K88" s="17">
        <f>'Rolling report'!CD88*'With Action'!$Y$6</f>
        <v>0</v>
      </c>
      <c r="L88" s="17">
        <f>'Rolling report'!CE88*'With Action'!$Y$6</f>
        <v>0</v>
      </c>
      <c r="M88" s="17">
        <f>'Rolling report'!CF88*'With Action'!$Y$6</f>
        <v>0</v>
      </c>
      <c r="N88" s="17">
        <f>'Rolling report'!CG88*'With Action'!$Y$6</f>
        <v>0.25000000000000006</v>
      </c>
      <c r="O88" s="17">
        <f>'Rolling report'!CH88*'With Action'!$Y$6</f>
        <v>0.50000000000000011</v>
      </c>
      <c r="P88" s="17">
        <f>'Rolling report'!CI88*'With Action'!$Y$6</f>
        <v>0</v>
      </c>
      <c r="Q88" s="17">
        <f>'Rolling report'!CJ88*'With Action'!$Y$6</f>
        <v>0</v>
      </c>
      <c r="R88" s="17">
        <f>'Rolling report'!CK88*'With Action'!$Y$6</f>
        <v>0</v>
      </c>
      <c r="S88" s="17">
        <f>'Rolling report'!CL88*'With Action'!$Y$6</f>
        <v>0.25000000000000006</v>
      </c>
      <c r="T88" s="17">
        <f>'Rolling report'!CM88*'With Action'!$Y$6</f>
        <v>-0.55000000000000016</v>
      </c>
      <c r="U88" s="17">
        <f>'Rolling report'!CN88*'With Action'!$Y$6</f>
        <v>0.55000000000000016</v>
      </c>
      <c r="V88" s="17">
        <f>'Rolling report'!CO88*'With Action'!$Y$6</f>
        <v>0</v>
      </c>
      <c r="W88" s="17">
        <f>'Rolling report'!CP88*'With Action'!$Y$6</f>
        <v>0</v>
      </c>
      <c r="X88" s="17">
        <f>'Rolling report'!CQ88*'With Action'!$Y$6</f>
        <v>0</v>
      </c>
      <c r="Y88" s="17">
        <f>'Rolling report'!CR88*'With Action'!$Y$6</f>
        <v>0</v>
      </c>
      <c r="Z88" s="17">
        <f>'Rolling report'!CS88*'With Action'!$Y$6</f>
        <v>0</v>
      </c>
      <c r="AA88" s="17">
        <f>'Rolling report'!CT88*'With Action'!$Y$6</f>
        <v>0.25000000000000006</v>
      </c>
      <c r="AB88" s="17">
        <f>'Rolling report'!CU88*'With Action'!$Y$6</f>
        <v>0</v>
      </c>
      <c r="AC88" s="17">
        <f>'Rolling report'!CV88*'With Action'!$Y$6</f>
        <v>0.25000000000000006</v>
      </c>
      <c r="AD88" s="17">
        <f>'Rolling report'!CW88*'With Action'!$Y$6</f>
        <v>-0.60000000000000009</v>
      </c>
      <c r="AE88" s="17">
        <f>'Rolling report'!CX88*'With Action'!$Y$6</f>
        <v>0</v>
      </c>
      <c r="AF88" s="17">
        <f>'Rolling report'!CY88*'With Action'!$Y$6</f>
        <v>-2.1500000000000004</v>
      </c>
      <c r="AG88" s="17">
        <f>'Rolling report'!CZ88*'With Action'!$Y$6</f>
        <v>0</v>
      </c>
      <c r="AH88" s="17">
        <f>'Rolling report'!DA88*'With Action'!$Y$6</f>
        <v>0</v>
      </c>
      <c r="AI88" s="17">
        <f>'Rolling report'!DB88*'With Action'!$Y$6</f>
        <v>0</v>
      </c>
      <c r="AJ88" s="17">
        <f>'Rolling report'!DC88*'With Action'!$Y$6</f>
        <v>0</v>
      </c>
      <c r="AK88" s="17">
        <f>'Rolling report'!DD88*'With Action'!$Y$6</f>
        <v>0</v>
      </c>
      <c r="AL88" s="17">
        <f>'Rolling report'!DE88*'With Action'!$Y$6</f>
        <v>0</v>
      </c>
      <c r="AM88" s="17">
        <f>'Rolling report'!DF88*'With Action'!$Y$6</f>
        <v>0</v>
      </c>
      <c r="AN88" s="17">
        <f>'Rolling report'!DG88*'With Action'!$Y$6</f>
        <v>0</v>
      </c>
      <c r="AO88" s="17">
        <f>'Rolling report'!DH88*'With Action'!$Y$6</f>
        <v>0</v>
      </c>
      <c r="AP88" s="17">
        <f>'Rolling report'!DI88*'With Action'!$Y$6</f>
        <v>0</v>
      </c>
    </row>
    <row r="89" spans="1:42" x14ac:dyDescent="0.25">
      <c r="A89" s="4" t="s">
        <v>167</v>
      </c>
      <c r="B89" s="6" t="s">
        <v>168</v>
      </c>
      <c r="I89" s="17">
        <f>'Rolling report'!CB89*'With Action'!$Y$6</f>
        <v>7.1000000000000014</v>
      </c>
      <c r="J89" s="17">
        <f>'Rolling report'!CC89*'With Action'!$Y$6</f>
        <v>0.8500000000000002</v>
      </c>
      <c r="K89" s="17">
        <f>'Rolling report'!CD89*'With Action'!$Y$6</f>
        <v>0.45000000000000007</v>
      </c>
      <c r="L89" s="17">
        <f>'Rolling report'!CE89*'With Action'!$Y$6</f>
        <v>1.2000000000000002</v>
      </c>
      <c r="M89" s="17">
        <f>'Rolling report'!CF89*'With Action'!$Y$6</f>
        <v>0.55000000000000016</v>
      </c>
      <c r="N89" s="17">
        <f>'Rolling report'!CG89*'With Action'!$Y$6</f>
        <v>0.30000000000000004</v>
      </c>
      <c r="O89" s="17">
        <f>'Rolling report'!CH89*'With Action'!$Y$6</f>
        <v>0.65000000000000013</v>
      </c>
      <c r="P89" s="17">
        <f>'Rolling report'!CI89*'With Action'!$Y$6</f>
        <v>0.50000000000000011</v>
      </c>
      <c r="Q89" s="17">
        <f>'Rolling report'!CJ89*'With Action'!$Y$6</f>
        <v>0.55000000000000016</v>
      </c>
      <c r="R89" s="17">
        <f>'Rolling report'!CK89*'With Action'!$Y$6</f>
        <v>5.000000000000001E-2</v>
      </c>
      <c r="S89" s="17">
        <f>'Rolling report'!CL89*'With Action'!$Y$6</f>
        <v>0.20000000000000004</v>
      </c>
      <c r="T89" s="17">
        <f>'Rolling report'!CM89*'With Action'!$Y$6</f>
        <v>0.40000000000000008</v>
      </c>
      <c r="U89" s="17">
        <f>'Rolling report'!CN89*'With Action'!$Y$6</f>
        <v>0.75000000000000011</v>
      </c>
      <c r="V89" s="17">
        <f>'Rolling report'!CO89*'With Action'!$Y$6</f>
        <v>0.25000000000000006</v>
      </c>
      <c r="W89" s="17">
        <f>'Rolling report'!CP89*'With Action'!$Y$6</f>
        <v>0.50000000000000011</v>
      </c>
      <c r="X89" s="17">
        <f>'Rolling report'!CQ89*'With Action'!$Y$6</f>
        <v>0.50000000000000011</v>
      </c>
      <c r="Y89" s="17">
        <f>'Rolling report'!CR89*'With Action'!$Y$6</f>
        <v>5.000000000000001E-2</v>
      </c>
      <c r="Z89" s="17">
        <f>'Rolling report'!CS89*'With Action'!$Y$6</f>
        <v>0.20000000000000004</v>
      </c>
      <c r="AA89" s="17">
        <f>'Rolling report'!CT89*'With Action'!$Y$6</f>
        <v>0.70000000000000018</v>
      </c>
      <c r="AB89" s="17">
        <f>'Rolling report'!CU89*'With Action'!$Y$6</f>
        <v>5.000000000000001E-2</v>
      </c>
      <c r="AC89" s="17">
        <f>'Rolling report'!CV89*'With Action'!$Y$6</f>
        <v>0.30000000000000004</v>
      </c>
      <c r="AD89" s="17">
        <f>'Rolling report'!CW89*'With Action'!$Y$6</f>
        <v>-5.000000000000001E-2</v>
      </c>
      <c r="AE89" s="17">
        <f>'Rolling report'!CX89*'With Action'!$Y$6</f>
        <v>5.000000000000001E-2</v>
      </c>
      <c r="AF89" s="17">
        <f>'Rolling report'!CY89*'With Action'!$Y$6</f>
        <v>-16.100000000000001</v>
      </c>
      <c r="AG89" s="17">
        <f>'Rolling report'!CZ89*'With Action'!$Y$6</f>
        <v>0</v>
      </c>
      <c r="AH89" s="17">
        <f>'Rolling report'!DA89*'With Action'!$Y$6</f>
        <v>0</v>
      </c>
      <c r="AI89" s="17">
        <f>'Rolling report'!DB89*'With Action'!$Y$6</f>
        <v>0</v>
      </c>
      <c r="AJ89" s="17">
        <f>'Rolling report'!DC89*'With Action'!$Y$6</f>
        <v>0</v>
      </c>
      <c r="AK89" s="17">
        <f>'Rolling report'!DD89*'With Action'!$Y$6</f>
        <v>0</v>
      </c>
      <c r="AL89" s="17">
        <f>'Rolling report'!DE89*'With Action'!$Y$6</f>
        <v>0</v>
      </c>
      <c r="AM89" s="17">
        <f>'Rolling report'!DF89*'With Action'!$Y$6</f>
        <v>0</v>
      </c>
      <c r="AN89" s="17">
        <f>'Rolling report'!DG89*'With Action'!$Y$6</f>
        <v>0</v>
      </c>
      <c r="AO89" s="17">
        <f>'Rolling report'!DH89*'With Action'!$Y$6</f>
        <v>0</v>
      </c>
      <c r="AP89" s="17">
        <f>'Rolling report'!DI89*'With Action'!$Y$6</f>
        <v>0</v>
      </c>
    </row>
    <row r="90" spans="1:42" x14ac:dyDescent="0.25">
      <c r="A90" s="4" t="s">
        <v>169</v>
      </c>
      <c r="B90" s="6" t="s">
        <v>170</v>
      </c>
      <c r="I90" s="17">
        <f>'Rolling report'!CB90*'With Action'!$Y$6</f>
        <v>3.4500000000000006</v>
      </c>
      <c r="J90" s="17">
        <f>'Rolling report'!CC90*'With Action'!$Y$6</f>
        <v>0.55000000000000016</v>
      </c>
      <c r="K90" s="17">
        <f>'Rolling report'!CD90*'With Action'!$Y$6</f>
        <v>0.30000000000000004</v>
      </c>
      <c r="L90" s="17">
        <f>'Rolling report'!CE90*'With Action'!$Y$6</f>
        <v>0.60000000000000009</v>
      </c>
      <c r="M90" s="17">
        <f>'Rolling report'!CF90*'With Action'!$Y$6</f>
        <v>0.30000000000000004</v>
      </c>
      <c r="N90" s="17">
        <f>'Rolling report'!CG90*'With Action'!$Y$6</f>
        <v>1.5500000000000003</v>
      </c>
      <c r="O90" s="17">
        <f>'Rolling report'!CH90*'With Action'!$Y$6</f>
        <v>0.65000000000000013</v>
      </c>
      <c r="P90" s="17">
        <f>'Rolling report'!CI90*'With Action'!$Y$6</f>
        <v>5.000000000000001E-2</v>
      </c>
      <c r="Q90" s="17">
        <f>'Rolling report'!CJ90*'With Action'!$Y$6</f>
        <v>0.45000000000000007</v>
      </c>
      <c r="R90" s="17">
        <f>'Rolling report'!CK90*'With Action'!$Y$6</f>
        <v>0.40000000000000008</v>
      </c>
      <c r="S90" s="17">
        <f>'Rolling report'!CL90*'With Action'!$Y$6</f>
        <v>0.30000000000000004</v>
      </c>
      <c r="T90" s="17">
        <f>'Rolling report'!CM90*'With Action'!$Y$6</f>
        <v>0.40000000000000008</v>
      </c>
      <c r="U90" s="17">
        <f>'Rolling report'!CN90*'With Action'!$Y$6</f>
        <v>0.15000000000000002</v>
      </c>
      <c r="V90" s="17">
        <f>'Rolling report'!CO90*'With Action'!$Y$6</f>
        <v>0.15000000000000002</v>
      </c>
      <c r="W90" s="17">
        <f>'Rolling report'!CP90*'With Action'!$Y$6</f>
        <v>0.30000000000000004</v>
      </c>
      <c r="X90" s="17">
        <f>'Rolling report'!CQ90*'With Action'!$Y$6</f>
        <v>0.15000000000000002</v>
      </c>
      <c r="Y90" s="17">
        <f>'Rolling report'!CR90*'With Action'!$Y$6</f>
        <v>0.10000000000000002</v>
      </c>
      <c r="Z90" s="17">
        <f>'Rolling report'!CS90*'With Action'!$Y$6</f>
        <v>0.35000000000000009</v>
      </c>
      <c r="AA90" s="17">
        <f>'Rolling report'!CT90*'With Action'!$Y$6</f>
        <v>0.35000000000000009</v>
      </c>
      <c r="AB90" s="17">
        <f>'Rolling report'!CU90*'With Action'!$Y$6</f>
        <v>0.35000000000000009</v>
      </c>
      <c r="AC90" s="17">
        <f>'Rolling report'!CV90*'With Action'!$Y$6</f>
        <v>-0.15000000000000002</v>
      </c>
      <c r="AD90" s="17">
        <f>'Rolling report'!CW90*'With Action'!$Y$6</f>
        <v>0.50000000000000011</v>
      </c>
      <c r="AE90" s="17">
        <f>'Rolling report'!CX90*'With Action'!$Y$6</f>
        <v>0.15000000000000002</v>
      </c>
      <c r="AF90" s="17">
        <f>'Rolling report'!CY90*'With Action'!$Y$6</f>
        <v>-11.400000000000002</v>
      </c>
      <c r="AG90" s="17">
        <f>'Rolling report'!CZ90*'With Action'!$Y$6</f>
        <v>0</v>
      </c>
      <c r="AH90" s="17">
        <f>'Rolling report'!DA90*'With Action'!$Y$6</f>
        <v>0</v>
      </c>
      <c r="AI90" s="17">
        <f>'Rolling report'!DB90*'With Action'!$Y$6</f>
        <v>0</v>
      </c>
      <c r="AJ90" s="17">
        <f>'Rolling report'!DC90*'With Action'!$Y$6</f>
        <v>0</v>
      </c>
      <c r="AK90" s="17">
        <f>'Rolling report'!DD90*'With Action'!$Y$6</f>
        <v>0</v>
      </c>
      <c r="AL90" s="17">
        <f>'Rolling report'!DE90*'With Action'!$Y$6</f>
        <v>0</v>
      </c>
      <c r="AM90" s="17">
        <f>'Rolling report'!DF90*'With Action'!$Y$6</f>
        <v>0</v>
      </c>
      <c r="AN90" s="17">
        <f>'Rolling report'!DG90*'With Action'!$Y$6</f>
        <v>0</v>
      </c>
      <c r="AO90" s="17">
        <f>'Rolling report'!DH90*'With Action'!$Y$6</f>
        <v>0</v>
      </c>
      <c r="AP90" s="17">
        <f>'Rolling report'!DI90*'With Action'!$Y$6</f>
        <v>0</v>
      </c>
    </row>
    <row r="91" spans="1:42" x14ac:dyDescent="0.25">
      <c r="A91" s="4" t="s">
        <v>171</v>
      </c>
      <c r="B91" s="6" t="s">
        <v>172</v>
      </c>
      <c r="I91" s="17">
        <f>'Rolling report'!CB91*'With Action'!$Y$6</f>
        <v>4.1500000000000012</v>
      </c>
      <c r="J91" s="17">
        <f>'Rolling report'!CC91*'With Action'!$Y$6</f>
        <v>0.50000000000000011</v>
      </c>
      <c r="K91" s="17">
        <f>'Rolling report'!CD91*'With Action'!$Y$6</f>
        <v>0.8500000000000002</v>
      </c>
      <c r="L91" s="17">
        <f>'Rolling report'!CE91*'With Action'!$Y$6</f>
        <v>1.1000000000000003</v>
      </c>
      <c r="M91" s="17">
        <f>'Rolling report'!CF91*'With Action'!$Y$6</f>
        <v>0.25000000000000006</v>
      </c>
      <c r="N91" s="17">
        <f>'Rolling report'!CG91*'With Action'!$Y$6</f>
        <v>0.35000000000000009</v>
      </c>
      <c r="O91" s="17">
        <f>'Rolling report'!CH91*'With Action'!$Y$6</f>
        <v>1.0000000000000002</v>
      </c>
      <c r="P91" s="17">
        <f>'Rolling report'!CI91*'With Action'!$Y$6</f>
        <v>0.65000000000000013</v>
      </c>
      <c r="Q91" s="17">
        <f>'Rolling report'!CJ91*'With Action'!$Y$6</f>
        <v>0.70000000000000018</v>
      </c>
      <c r="R91" s="17">
        <f>'Rolling report'!CK91*'With Action'!$Y$6</f>
        <v>0.35000000000000009</v>
      </c>
      <c r="S91" s="17">
        <f>'Rolling report'!CL91*'With Action'!$Y$6</f>
        <v>0.20000000000000004</v>
      </c>
      <c r="T91" s="17">
        <f>'Rolling report'!CM91*'With Action'!$Y$6</f>
        <v>0.80000000000000016</v>
      </c>
      <c r="U91" s="17">
        <f>'Rolling report'!CN91*'With Action'!$Y$6</f>
        <v>0.30000000000000004</v>
      </c>
      <c r="V91" s="17">
        <f>'Rolling report'!CO91*'With Action'!$Y$6</f>
        <v>0.40000000000000008</v>
      </c>
      <c r="W91" s="17">
        <f>'Rolling report'!CP91*'With Action'!$Y$6</f>
        <v>0.10000000000000002</v>
      </c>
      <c r="X91" s="17">
        <f>'Rolling report'!CQ91*'With Action'!$Y$6</f>
        <v>0.25000000000000006</v>
      </c>
      <c r="Y91" s="17">
        <f>'Rolling report'!CR91*'With Action'!$Y$6</f>
        <v>0.20000000000000004</v>
      </c>
      <c r="Z91" s="17">
        <f>'Rolling report'!CS91*'With Action'!$Y$6</f>
        <v>0.30000000000000004</v>
      </c>
      <c r="AA91" s="17">
        <f>'Rolling report'!CT91*'With Action'!$Y$6</f>
        <v>0.90000000000000013</v>
      </c>
      <c r="AB91" s="17">
        <f>'Rolling report'!CU91*'With Action'!$Y$6</f>
        <v>0.50000000000000011</v>
      </c>
      <c r="AC91" s="17">
        <f>'Rolling report'!CV91*'With Action'!$Y$6</f>
        <v>0.55000000000000016</v>
      </c>
      <c r="AD91" s="17">
        <f>'Rolling report'!CW91*'With Action'!$Y$6</f>
        <v>0</v>
      </c>
      <c r="AE91" s="17">
        <f>'Rolling report'!CX91*'With Action'!$Y$6</f>
        <v>0.25000000000000006</v>
      </c>
      <c r="AF91" s="17">
        <f>'Rolling report'!CY91*'With Action'!$Y$6</f>
        <v>-14.650000000000002</v>
      </c>
      <c r="AG91" s="17">
        <f>'Rolling report'!CZ91*'With Action'!$Y$6</f>
        <v>0</v>
      </c>
      <c r="AH91" s="17">
        <f>'Rolling report'!DA91*'With Action'!$Y$6</f>
        <v>0</v>
      </c>
      <c r="AI91" s="17">
        <f>'Rolling report'!DB91*'With Action'!$Y$6</f>
        <v>0</v>
      </c>
      <c r="AJ91" s="17">
        <f>'Rolling report'!DC91*'With Action'!$Y$6</f>
        <v>0</v>
      </c>
      <c r="AK91" s="17">
        <f>'Rolling report'!DD91*'With Action'!$Y$6</f>
        <v>0</v>
      </c>
      <c r="AL91" s="17">
        <f>'Rolling report'!DE91*'With Action'!$Y$6</f>
        <v>0</v>
      </c>
      <c r="AM91" s="17">
        <f>'Rolling report'!DF91*'With Action'!$Y$6</f>
        <v>0</v>
      </c>
      <c r="AN91" s="17">
        <f>'Rolling report'!DG91*'With Action'!$Y$6</f>
        <v>0</v>
      </c>
      <c r="AO91" s="17">
        <f>'Rolling report'!DH91*'With Action'!$Y$6</f>
        <v>0</v>
      </c>
      <c r="AP91" s="17">
        <f>'Rolling report'!DI91*'With Action'!$Y$6</f>
        <v>0</v>
      </c>
    </row>
    <row r="92" spans="1:42" x14ac:dyDescent="0.25">
      <c r="A92" s="4" t="s">
        <v>173</v>
      </c>
      <c r="B92" s="6" t="s">
        <v>174</v>
      </c>
      <c r="I92" s="17">
        <f>'Rolling report'!CB92*'With Action'!$Y$6</f>
        <v>20.800000000000004</v>
      </c>
      <c r="J92" s="17">
        <f>'Rolling report'!CC92*'With Action'!$Y$6</f>
        <v>3.4500000000000006</v>
      </c>
      <c r="K92" s="17">
        <f>'Rolling report'!CD92*'With Action'!$Y$6</f>
        <v>3.6500000000000008</v>
      </c>
      <c r="L92" s="17">
        <f>'Rolling report'!CE92*'With Action'!$Y$6</f>
        <v>4.0500000000000007</v>
      </c>
      <c r="M92" s="17">
        <f>'Rolling report'!CF92*'With Action'!$Y$6</f>
        <v>2.0000000000000004</v>
      </c>
      <c r="N92" s="17">
        <f>'Rolling report'!CG92*'With Action'!$Y$6</f>
        <v>2.7500000000000004</v>
      </c>
      <c r="O92" s="17">
        <f>'Rolling report'!CH92*'With Action'!$Y$6</f>
        <v>2.9000000000000004</v>
      </c>
      <c r="P92" s="17">
        <f>'Rolling report'!CI92*'With Action'!$Y$6</f>
        <v>1.7500000000000004</v>
      </c>
      <c r="Q92" s="17">
        <f>'Rolling report'!CJ92*'With Action'!$Y$6</f>
        <v>1.6000000000000003</v>
      </c>
      <c r="R92" s="17">
        <f>'Rolling report'!CK92*'With Action'!$Y$6</f>
        <v>1.3000000000000003</v>
      </c>
      <c r="S92" s="17">
        <f>'Rolling report'!CL92*'With Action'!$Y$6</f>
        <v>0.95000000000000018</v>
      </c>
      <c r="T92" s="17">
        <f>'Rolling report'!CM92*'With Action'!$Y$6</f>
        <v>2.0000000000000004</v>
      </c>
      <c r="U92" s="17">
        <f>'Rolling report'!CN92*'With Action'!$Y$6</f>
        <v>2.0500000000000003</v>
      </c>
      <c r="V92" s="17">
        <f>'Rolling report'!CO92*'With Action'!$Y$6</f>
        <v>2.4500000000000006</v>
      </c>
      <c r="W92" s="17">
        <f>'Rolling report'!CP92*'With Action'!$Y$6</f>
        <v>1.2500000000000002</v>
      </c>
      <c r="X92" s="17">
        <f>'Rolling report'!CQ92*'With Action'!$Y$6</f>
        <v>1.0500000000000003</v>
      </c>
      <c r="Y92" s="17">
        <f>'Rolling report'!CR92*'With Action'!$Y$6</f>
        <v>1.4500000000000002</v>
      </c>
      <c r="Z92" s="17">
        <f>'Rolling report'!CS92*'With Action'!$Y$6</f>
        <v>1.0000000000000002</v>
      </c>
      <c r="AA92" s="17">
        <f>'Rolling report'!CT92*'With Action'!$Y$6</f>
        <v>0.70000000000000018</v>
      </c>
      <c r="AB92" s="17">
        <f>'Rolling report'!CU92*'With Action'!$Y$6</f>
        <v>0.90000000000000013</v>
      </c>
      <c r="AC92" s="17">
        <f>'Rolling report'!CV92*'With Action'!$Y$6</f>
        <v>1.5000000000000002</v>
      </c>
      <c r="AD92" s="17">
        <f>'Rolling report'!CW92*'With Action'!$Y$6</f>
        <v>0.20000000000000004</v>
      </c>
      <c r="AE92" s="17">
        <f>'Rolling report'!CX92*'With Action'!$Y$6</f>
        <v>0.40000000000000008</v>
      </c>
      <c r="AF92" s="17">
        <f>'Rolling report'!CY92*'With Action'!$Y$6</f>
        <v>-60.150000000000013</v>
      </c>
      <c r="AG92" s="17">
        <f>'Rolling report'!CZ92*'With Action'!$Y$6</f>
        <v>0</v>
      </c>
      <c r="AH92" s="17">
        <f>'Rolling report'!DA92*'With Action'!$Y$6</f>
        <v>0</v>
      </c>
      <c r="AI92" s="17">
        <f>'Rolling report'!DB92*'With Action'!$Y$6</f>
        <v>0</v>
      </c>
      <c r="AJ92" s="17">
        <f>'Rolling report'!DC92*'With Action'!$Y$6</f>
        <v>0</v>
      </c>
      <c r="AK92" s="17">
        <f>'Rolling report'!DD92*'With Action'!$Y$6</f>
        <v>0</v>
      </c>
      <c r="AL92" s="17">
        <f>'Rolling report'!DE92*'With Action'!$Y$6</f>
        <v>0</v>
      </c>
      <c r="AM92" s="17">
        <f>'Rolling report'!DF92*'With Action'!$Y$6</f>
        <v>0</v>
      </c>
      <c r="AN92" s="17">
        <f>'Rolling report'!DG92*'With Action'!$Y$6</f>
        <v>0</v>
      </c>
      <c r="AO92" s="17">
        <f>'Rolling report'!DH92*'With Action'!$Y$6</f>
        <v>0</v>
      </c>
      <c r="AP92" s="17">
        <f>'Rolling report'!DI92*'With Action'!$Y$6</f>
        <v>0</v>
      </c>
    </row>
    <row r="93" spans="1:42" x14ac:dyDescent="0.25">
      <c r="A93" s="4" t="s">
        <v>175</v>
      </c>
      <c r="B93" s="6" t="s">
        <v>176</v>
      </c>
      <c r="I93" s="17">
        <f>'Rolling report'!CB93*'With Action'!$Y$6</f>
        <v>1.3000000000000003</v>
      </c>
      <c r="J93" s="17">
        <f>'Rolling report'!CC93*'With Action'!$Y$6</f>
        <v>0.15000000000000002</v>
      </c>
      <c r="K93" s="17">
        <f>'Rolling report'!CD93*'With Action'!$Y$6</f>
        <v>0.20000000000000004</v>
      </c>
      <c r="L93" s="17">
        <f>'Rolling report'!CE93*'With Action'!$Y$6</f>
        <v>0.15000000000000002</v>
      </c>
      <c r="M93" s="17">
        <f>'Rolling report'!CF93*'With Action'!$Y$6</f>
        <v>0.10000000000000002</v>
      </c>
      <c r="N93" s="17">
        <f>'Rolling report'!CG93*'With Action'!$Y$6</f>
        <v>0.10000000000000002</v>
      </c>
      <c r="O93" s="17">
        <f>'Rolling report'!CH93*'With Action'!$Y$6</f>
        <v>0.10000000000000002</v>
      </c>
      <c r="P93" s="17">
        <f>'Rolling report'!CI93*'With Action'!$Y$6</f>
        <v>5.000000000000001E-2</v>
      </c>
      <c r="Q93" s="17">
        <f>'Rolling report'!CJ93*'With Action'!$Y$6</f>
        <v>0</v>
      </c>
      <c r="R93" s="17">
        <f>'Rolling report'!CK93*'With Action'!$Y$6</f>
        <v>0</v>
      </c>
      <c r="S93" s="17">
        <f>'Rolling report'!CL93*'With Action'!$Y$6</f>
        <v>0.15000000000000002</v>
      </c>
      <c r="T93" s="17">
        <f>'Rolling report'!CM93*'With Action'!$Y$6</f>
        <v>0.15000000000000002</v>
      </c>
      <c r="U93" s="17">
        <f>'Rolling report'!CN93*'With Action'!$Y$6</f>
        <v>5.000000000000001E-2</v>
      </c>
      <c r="V93" s="17">
        <f>'Rolling report'!CO93*'With Action'!$Y$6</f>
        <v>5.000000000000001E-2</v>
      </c>
      <c r="W93" s="17">
        <f>'Rolling report'!CP93*'With Action'!$Y$6</f>
        <v>0.10000000000000002</v>
      </c>
      <c r="X93" s="17">
        <f>'Rolling report'!CQ93*'With Action'!$Y$6</f>
        <v>0.25000000000000006</v>
      </c>
      <c r="Y93" s="17">
        <f>'Rolling report'!CR93*'With Action'!$Y$6</f>
        <v>0.15000000000000002</v>
      </c>
      <c r="Z93" s="17">
        <f>'Rolling report'!CS93*'With Action'!$Y$6</f>
        <v>0.10000000000000002</v>
      </c>
      <c r="AA93" s="17">
        <f>'Rolling report'!CT93*'With Action'!$Y$6</f>
        <v>0</v>
      </c>
      <c r="AB93" s="17">
        <f>'Rolling report'!CU93*'With Action'!$Y$6</f>
        <v>0.25000000000000006</v>
      </c>
      <c r="AC93" s="17">
        <f>'Rolling report'!CV93*'With Action'!$Y$6</f>
        <v>0.20000000000000004</v>
      </c>
      <c r="AD93" s="17">
        <f>'Rolling report'!CW93*'With Action'!$Y$6</f>
        <v>0</v>
      </c>
      <c r="AE93" s="17">
        <f>'Rolling report'!CX93*'With Action'!$Y$6</f>
        <v>0.25000000000000006</v>
      </c>
      <c r="AF93" s="17">
        <f>'Rolling report'!CY93*'With Action'!$Y$6</f>
        <v>-3.8500000000000005</v>
      </c>
      <c r="AG93" s="17">
        <f>'Rolling report'!CZ93*'With Action'!$Y$6</f>
        <v>0</v>
      </c>
      <c r="AH93" s="17">
        <f>'Rolling report'!DA93*'With Action'!$Y$6</f>
        <v>0</v>
      </c>
      <c r="AI93" s="17">
        <f>'Rolling report'!DB93*'With Action'!$Y$6</f>
        <v>0</v>
      </c>
      <c r="AJ93" s="17">
        <f>'Rolling report'!DC93*'With Action'!$Y$6</f>
        <v>0</v>
      </c>
      <c r="AK93" s="17">
        <f>'Rolling report'!DD93*'With Action'!$Y$6</f>
        <v>0</v>
      </c>
      <c r="AL93" s="17">
        <f>'Rolling report'!DE93*'With Action'!$Y$6</f>
        <v>0</v>
      </c>
      <c r="AM93" s="17">
        <f>'Rolling report'!DF93*'With Action'!$Y$6</f>
        <v>0</v>
      </c>
      <c r="AN93" s="17">
        <f>'Rolling report'!DG93*'With Action'!$Y$6</f>
        <v>0</v>
      </c>
      <c r="AO93" s="17">
        <f>'Rolling report'!DH93*'With Action'!$Y$6</f>
        <v>0</v>
      </c>
      <c r="AP93" s="17">
        <f>'Rolling report'!DI93*'With Action'!$Y$6</f>
        <v>0</v>
      </c>
    </row>
    <row r="94" spans="1:42" x14ac:dyDescent="0.25">
      <c r="A94" s="4" t="s">
        <v>177</v>
      </c>
      <c r="B94" s="6" t="s">
        <v>178</v>
      </c>
      <c r="I94" s="17">
        <f>'Rolling report'!CB94*'With Action'!$Y$6</f>
        <v>2.7000000000000006</v>
      </c>
      <c r="J94" s="17">
        <f>'Rolling report'!CC94*'With Action'!$Y$6</f>
        <v>0.15000000000000002</v>
      </c>
      <c r="K94" s="17">
        <f>'Rolling report'!CD94*'With Action'!$Y$6</f>
        <v>0.30000000000000004</v>
      </c>
      <c r="L94" s="17">
        <f>'Rolling report'!CE94*'With Action'!$Y$6</f>
        <v>0.30000000000000004</v>
      </c>
      <c r="M94" s="17">
        <f>'Rolling report'!CF94*'With Action'!$Y$6</f>
        <v>0.60000000000000009</v>
      </c>
      <c r="N94" s="17">
        <f>'Rolling report'!CG94*'With Action'!$Y$6</f>
        <v>1.3000000000000003</v>
      </c>
      <c r="O94" s="17">
        <f>'Rolling report'!CH94*'With Action'!$Y$6</f>
        <v>0.40000000000000008</v>
      </c>
      <c r="P94" s="17">
        <f>'Rolling report'!CI94*'With Action'!$Y$6</f>
        <v>0</v>
      </c>
      <c r="Q94" s="17">
        <f>'Rolling report'!CJ94*'With Action'!$Y$6</f>
        <v>0.20000000000000004</v>
      </c>
      <c r="R94" s="17">
        <f>'Rolling report'!CK94*'With Action'!$Y$6</f>
        <v>0.65000000000000013</v>
      </c>
      <c r="S94" s="17">
        <f>'Rolling report'!CL94*'With Action'!$Y$6</f>
        <v>0</v>
      </c>
      <c r="T94" s="17">
        <f>'Rolling report'!CM94*'With Action'!$Y$6</f>
        <v>0.35000000000000009</v>
      </c>
      <c r="U94" s="17">
        <f>'Rolling report'!CN94*'With Action'!$Y$6</f>
        <v>0.45000000000000007</v>
      </c>
      <c r="V94" s="17">
        <f>'Rolling report'!CO94*'With Action'!$Y$6</f>
        <v>0.20000000000000004</v>
      </c>
      <c r="W94" s="17">
        <f>'Rolling report'!CP94*'With Action'!$Y$6</f>
        <v>0.10000000000000002</v>
      </c>
      <c r="X94" s="17">
        <f>'Rolling report'!CQ94*'With Action'!$Y$6</f>
        <v>0.25000000000000006</v>
      </c>
      <c r="Y94" s="17">
        <f>'Rolling report'!CR94*'With Action'!$Y$6</f>
        <v>0</v>
      </c>
      <c r="Z94" s="17">
        <f>'Rolling report'!CS94*'With Action'!$Y$6</f>
        <v>0</v>
      </c>
      <c r="AA94" s="17">
        <f>'Rolling report'!CT94*'With Action'!$Y$6</f>
        <v>5.000000000000001E-2</v>
      </c>
      <c r="AB94" s="17">
        <f>'Rolling report'!CU94*'With Action'!$Y$6</f>
        <v>0.20000000000000004</v>
      </c>
      <c r="AC94" s="17">
        <f>'Rolling report'!CV94*'With Action'!$Y$6</f>
        <v>0.45000000000000007</v>
      </c>
      <c r="AD94" s="17">
        <f>'Rolling report'!CW94*'With Action'!$Y$6</f>
        <v>-0.15000000000000002</v>
      </c>
      <c r="AE94" s="17">
        <f>'Rolling report'!CX94*'With Action'!$Y$6</f>
        <v>5.000000000000001E-2</v>
      </c>
      <c r="AF94" s="17">
        <f>'Rolling report'!CY94*'With Action'!$Y$6</f>
        <v>-8.5500000000000025</v>
      </c>
      <c r="AG94" s="17">
        <f>'Rolling report'!CZ94*'With Action'!$Y$6</f>
        <v>0</v>
      </c>
      <c r="AH94" s="17">
        <f>'Rolling report'!DA94*'With Action'!$Y$6</f>
        <v>0</v>
      </c>
      <c r="AI94" s="17">
        <f>'Rolling report'!DB94*'With Action'!$Y$6</f>
        <v>0</v>
      </c>
      <c r="AJ94" s="17">
        <f>'Rolling report'!DC94*'With Action'!$Y$6</f>
        <v>0</v>
      </c>
      <c r="AK94" s="17">
        <f>'Rolling report'!DD94*'With Action'!$Y$6</f>
        <v>0</v>
      </c>
      <c r="AL94" s="17">
        <f>'Rolling report'!DE94*'With Action'!$Y$6</f>
        <v>0</v>
      </c>
      <c r="AM94" s="17">
        <f>'Rolling report'!DF94*'With Action'!$Y$6</f>
        <v>0</v>
      </c>
      <c r="AN94" s="17">
        <f>'Rolling report'!DG94*'With Action'!$Y$6</f>
        <v>0</v>
      </c>
      <c r="AO94" s="17">
        <f>'Rolling report'!DH94*'With Action'!$Y$6</f>
        <v>0</v>
      </c>
      <c r="AP94" s="17">
        <f>'Rolling report'!DI94*'With Action'!$Y$6</f>
        <v>0</v>
      </c>
    </row>
    <row r="95" spans="1:42" x14ac:dyDescent="0.25">
      <c r="A95" s="4" t="s">
        <v>179</v>
      </c>
      <c r="B95" s="6" t="s">
        <v>180</v>
      </c>
      <c r="I95" s="17">
        <f>'Rolling report'!CB95*'With Action'!$Y$6</f>
        <v>8.8000000000000025</v>
      </c>
      <c r="J95" s="17">
        <f>'Rolling report'!CC95*'With Action'!$Y$6</f>
        <v>1.9000000000000004</v>
      </c>
      <c r="K95" s="17">
        <f>'Rolling report'!CD95*'With Action'!$Y$6</f>
        <v>0.80000000000000016</v>
      </c>
      <c r="L95" s="17">
        <f>'Rolling report'!CE95*'With Action'!$Y$6</f>
        <v>0.90000000000000013</v>
      </c>
      <c r="M95" s="17">
        <f>'Rolling report'!CF95*'With Action'!$Y$6</f>
        <v>0.75000000000000011</v>
      </c>
      <c r="N95" s="17">
        <f>'Rolling report'!CG95*'With Action'!$Y$6</f>
        <v>0.45000000000000007</v>
      </c>
      <c r="O95" s="17">
        <f>'Rolling report'!CH95*'With Action'!$Y$6</f>
        <v>1.0000000000000002</v>
      </c>
      <c r="P95" s="17">
        <f>'Rolling report'!CI95*'With Action'!$Y$6</f>
        <v>0.65000000000000013</v>
      </c>
      <c r="Q95" s="17">
        <f>'Rolling report'!CJ95*'With Action'!$Y$6</f>
        <v>0.95000000000000018</v>
      </c>
      <c r="R95" s="17">
        <f>'Rolling report'!CK95*'With Action'!$Y$6</f>
        <v>0.55000000000000016</v>
      </c>
      <c r="S95" s="17">
        <f>'Rolling report'!CL95*'With Action'!$Y$6</f>
        <v>0.80000000000000016</v>
      </c>
      <c r="T95" s="17">
        <f>'Rolling report'!CM95*'With Action'!$Y$6</f>
        <v>0.75000000000000011</v>
      </c>
      <c r="U95" s="17">
        <f>'Rolling report'!CN95*'With Action'!$Y$6</f>
        <v>0.45000000000000007</v>
      </c>
      <c r="V95" s="17">
        <f>'Rolling report'!CO95*'With Action'!$Y$6</f>
        <v>0.30000000000000004</v>
      </c>
      <c r="W95" s="17">
        <f>'Rolling report'!CP95*'With Action'!$Y$6</f>
        <v>0.30000000000000004</v>
      </c>
      <c r="X95" s="17">
        <f>'Rolling report'!CQ95*'With Action'!$Y$6</f>
        <v>0.10000000000000002</v>
      </c>
      <c r="Y95" s="17">
        <f>'Rolling report'!CR95*'With Action'!$Y$6</f>
        <v>0.20000000000000004</v>
      </c>
      <c r="Z95" s="17">
        <f>'Rolling report'!CS95*'With Action'!$Y$6</f>
        <v>0.60000000000000009</v>
      </c>
      <c r="AA95" s="17">
        <f>'Rolling report'!CT95*'With Action'!$Y$6</f>
        <v>0.25000000000000006</v>
      </c>
      <c r="AB95" s="17">
        <f>'Rolling report'!CU95*'With Action'!$Y$6</f>
        <v>0.30000000000000004</v>
      </c>
      <c r="AC95" s="17">
        <f>'Rolling report'!CV95*'With Action'!$Y$6</f>
        <v>0.60000000000000009</v>
      </c>
      <c r="AD95" s="17">
        <f>'Rolling report'!CW95*'With Action'!$Y$6</f>
        <v>-5.000000000000001E-2</v>
      </c>
      <c r="AE95" s="17">
        <f>'Rolling report'!CX95*'With Action'!$Y$6</f>
        <v>0.45000000000000007</v>
      </c>
      <c r="AF95" s="17">
        <f>'Rolling report'!CY95*'With Action'!$Y$6</f>
        <v>-21.800000000000004</v>
      </c>
      <c r="AG95" s="17">
        <f>'Rolling report'!CZ95*'With Action'!$Y$6</f>
        <v>0</v>
      </c>
      <c r="AH95" s="17">
        <f>'Rolling report'!DA95*'With Action'!$Y$6</f>
        <v>0</v>
      </c>
      <c r="AI95" s="17">
        <f>'Rolling report'!DB95*'With Action'!$Y$6</f>
        <v>0</v>
      </c>
      <c r="AJ95" s="17">
        <f>'Rolling report'!DC95*'With Action'!$Y$6</f>
        <v>0</v>
      </c>
      <c r="AK95" s="17">
        <f>'Rolling report'!DD95*'With Action'!$Y$6</f>
        <v>0</v>
      </c>
      <c r="AL95" s="17">
        <f>'Rolling report'!DE95*'With Action'!$Y$6</f>
        <v>0</v>
      </c>
      <c r="AM95" s="17">
        <f>'Rolling report'!DF95*'With Action'!$Y$6</f>
        <v>0</v>
      </c>
      <c r="AN95" s="17">
        <f>'Rolling report'!DG95*'With Action'!$Y$6</f>
        <v>0</v>
      </c>
      <c r="AO95" s="17">
        <f>'Rolling report'!DH95*'With Action'!$Y$6</f>
        <v>0</v>
      </c>
      <c r="AP95" s="17">
        <f>'Rolling report'!DI95*'With Action'!$Y$6</f>
        <v>0</v>
      </c>
    </row>
    <row r="96" spans="1:42" x14ac:dyDescent="0.25">
      <c r="A96" s="4" t="s">
        <v>181</v>
      </c>
      <c r="B96" s="6" t="s">
        <v>182</v>
      </c>
      <c r="I96" s="17">
        <f>'Rolling report'!CB96*'With Action'!$Y$6</f>
        <v>6.7000000000000011</v>
      </c>
      <c r="J96" s="17">
        <f>'Rolling report'!CC96*'With Action'!$Y$6</f>
        <v>1.6000000000000003</v>
      </c>
      <c r="K96" s="17">
        <f>'Rolling report'!CD96*'With Action'!$Y$6</f>
        <v>1.0500000000000003</v>
      </c>
      <c r="L96" s="17">
        <f>'Rolling report'!CE96*'With Action'!$Y$6</f>
        <v>1.9500000000000004</v>
      </c>
      <c r="M96" s="17">
        <f>'Rolling report'!CF96*'With Action'!$Y$6</f>
        <v>0.60000000000000009</v>
      </c>
      <c r="N96" s="17">
        <f>'Rolling report'!CG96*'With Action'!$Y$6</f>
        <v>0</v>
      </c>
      <c r="O96" s="17">
        <f>'Rolling report'!CH96*'With Action'!$Y$6</f>
        <v>2.3000000000000003</v>
      </c>
      <c r="P96" s="17">
        <f>'Rolling report'!CI96*'With Action'!$Y$6</f>
        <v>0.95000000000000018</v>
      </c>
      <c r="Q96" s="17">
        <f>'Rolling report'!CJ96*'With Action'!$Y$6</f>
        <v>1.0000000000000002</v>
      </c>
      <c r="R96" s="17">
        <f>'Rolling report'!CK96*'With Action'!$Y$6</f>
        <v>0.70000000000000018</v>
      </c>
      <c r="S96" s="17">
        <f>'Rolling report'!CL96*'With Action'!$Y$6</f>
        <v>0.15000000000000002</v>
      </c>
      <c r="T96" s="17">
        <f>'Rolling report'!CM96*'With Action'!$Y$6</f>
        <v>0.25000000000000006</v>
      </c>
      <c r="U96" s="17">
        <f>'Rolling report'!CN96*'With Action'!$Y$6</f>
        <v>1.0500000000000003</v>
      </c>
      <c r="V96" s="17">
        <f>'Rolling report'!CO96*'With Action'!$Y$6</f>
        <v>0.40000000000000008</v>
      </c>
      <c r="W96" s="17">
        <f>'Rolling report'!CP96*'With Action'!$Y$6</f>
        <v>0.60000000000000009</v>
      </c>
      <c r="X96" s="17">
        <f>'Rolling report'!CQ96*'With Action'!$Y$6</f>
        <v>0.20000000000000004</v>
      </c>
      <c r="Y96" s="17">
        <f>'Rolling report'!CR96*'With Action'!$Y$6</f>
        <v>0.35000000000000009</v>
      </c>
      <c r="Z96" s="17">
        <f>'Rolling report'!CS96*'With Action'!$Y$6</f>
        <v>0</v>
      </c>
      <c r="AA96" s="17">
        <f>'Rolling report'!CT96*'With Action'!$Y$6</f>
        <v>0.30000000000000004</v>
      </c>
      <c r="AB96" s="17">
        <f>'Rolling report'!CU96*'With Action'!$Y$6</f>
        <v>0.60000000000000009</v>
      </c>
      <c r="AC96" s="17">
        <f>'Rolling report'!CV96*'With Action'!$Y$6</f>
        <v>0.30000000000000004</v>
      </c>
      <c r="AD96" s="17">
        <f>'Rolling report'!CW96*'With Action'!$Y$6</f>
        <v>0.35000000000000009</v>
      </c>
      <c r="AE96" s="17">
        <f>'Rolling report'!CX96*'With Action'!$Y$6</f>
        <v>0.60000000000000009</v>
      </c>
      <c r="AF96" s="17">
        <f>'Rolling report'!CY96*'With Action'!$Y$6</f>
        <v>-22.000000000000004</v>
      </c>
      <c r="AG96" s="17">
        <f>'Rolling report'!CZ96*'With Action'!$Y$6</f>
        <v>0</v>
      </c>
      <c r="AH96" s="17">
        <f>'Rolling report'!DA96*'With Action'!$Y$6</f>
        <v>0</v>
      </c>
      <c r="AI96" s="17">
        <f>'Rolling report'!DB96*'With Action'!$Y$6</f>
        <v>0</v>
      </c>
      <c r="AJ96" s="17">
        <f>'Rolling report'!DC96*'With Action'!$Y$6</f>
        <v>0</v>
      </c>
      <c r="AK96" s="17">
        <f>'Rolling report'!DD96*'With Action'!$Y$6</f>
        <v>0</v>
      </c>
      <c r="AL96" s="17">
        <f>'Rolling report'!DE96*'With Action'!$Y$6</f>
        <v>0</v>
      </c>
      <c r="AM96" s="17">
        <f>'Rolling report'!DF96*'With Action'!$Y$6</f>
        <v>0</v>
      </c>
      <c r="AN96" s="17">
        <f>'Rolling report'!DG96*'With Action'!$Y$6</f>
        <v>0</v>
      </c>
      <c r="AO96" s="17">
        <f>'Rolling report'!DH96*'With Action'!$Y$6</f>
        <v>0</v>
      </c>
      <c r="AP96" s="17">
        <f>'Rolling report'!DI96*'With Action'!$Y$6</f>
        <v>0</v>
      </c>
    </row>
    <row r="97" spans="1:42" x14ac:dyDescent="0.25">
      <c r="A97" s="4" t="s">
        <v>183</v>
      </c>
      <c r="B97" s="6" t="s">
        <v>184</v>
      </c>
      <c r="I97" s="17">
        <f>'Rolling report'!CB97*'With Action'!$Y$6</f>
        <v>5.2500000000000009</v>
      </c>
      <c r="J97" s="17">
        <f>'Rolling report'!CC97*'With Action'!$Y$6</f>
        <v>0.60000000000000009</v>
      </c>
      <c r="K97" s="17">
        <f>'Rolling report'!CD97*'With Action'!$Y$6</f>
        <v>0.80000000000000016</v>
      </c>
      <c r="L97" s="17">
        <f>'Rolling report'!CE97*'With Action'!$Y$6</f>
        <v>0.95000000000000018</v>
      </c>
      <c r="M97" s="17">
        <f>'Rolling report'!CF97*'With Action'!$Y$6</f>
        <v>0.35000000000000009</v>
      </c>
      <c r="N97" s="17">
        <f>'Rolling report'!CG97*'With Action'!$Y$6</f>
        <v>0.40000000000000008</v>
      </c>
      <c r="O97" s="17">
        <f>'Rolling report'!CH97*'With Action'!$Y$6</f>
        <v>0.8500000000000002</v>
      </c>
      <c r="P97" s="17">
        <f>'Rolling report'!CI97*'With Action'!$Y$6</f>
        <v>0.25000000000000006</v>
      </c>
      <c r="Q97" s="17">
        <f>'Rolling report'!CJ97*'With Action'!$Y$6</f>
        <v>0.45000000000000007</v>
      </c>
      <c r="R97" s="17">
        <f>'Rolling report'!CK97*'With Action'!$Y$6</f>
        <v>5.000000000000001E-2</v>
      </c>
      <c r="S97" s="17">
        <f>'Rolling report'!CL97*'With Action'!$Y$6</f>
        <v>0.20000000000000004</v>
      </c>
      <c r="T97" s="17">
        <f>'Rolling report'!CM97*'With Action'!$Y$6</f>
        <v>0.50000000000000011</v>
      </c>
      <c r="U97" s="17">
        <f>'Rolling report'!CN97*'With Action'!$Y$6</f>
        <v>5.000000000000001E-2</v>
      </c>
      <c r="V97" s="17">
        <f>'Rolling report'!CO97*'With Action'!$Y$6</f>
        <v>5.000000000000001E-2</v>
      </c>
      <c r="W97" s="17">
        <f>'Rolling report'!CP97*'With Action'!$Y$6</f>
        <v>0.25000000000000006</v>
      </c>
      <c r="X97" s="17">
        <f>'Rolling report'!CQ97*'With Action'!$Y$6</f>
        <v>0.15000000000000002</v>
      </c>
      <c r="Y97" s="17">
        <f>'Rolling report'!CR97*'With Action'!$Y$6</f>
        <v>0.20000000000000004</v>
      </c>
      <c r="Z97" s="17">
        <f>'Rolling report'!CS97*'With Action'!$Y$6</f>
        <v>0.30000000000000004</v>
      </c>
      <c r="AA97" s="17">
        <f>'Rolling report'!CT97*'With Action'!$Y$6</f>
        <v>0.20000000000000004</v>
      </c>
      <c r="AB97" s="17">
        <f>'Rolling report'!CU97*'With Action'!$Y$6</f>
        <v>0.15000000000000002</v>
      </c>
      <c r="AC97" s="17">
        <f>'Rolling report'!CV97*'With Action'!$Y$6</f>
        <v>-5.000000000000001E-2</v>
      </c>
      <c r="AD97" s="17">
        <f>'Rolling report'!CW97*'With Action'!$Y$6</f>
        <v>0.35000000000000009</v>
      </c>
      <c r="AE97" s="17">
        <f>'Rolling report'!CX97*'With Action'!$Y$6</f>
        <v>5.000000000000001E-2</v>
      </c>
      <c r="AF97" s="17">
        <f>'Rolling report'!CY97*'With Action'!$Y$6</f>
        <v>-12.350000000000003</v>
      </c>
      <c r="AG97" s="17">
        <f>'Rolling report'!CZ97*'With Action'!$Y$6</f>
        <v>0</v>
      </c>
      <c r="AH97" s="17">
        <f>'Rolling report'!DA97*'With Action'!$Y$6</f>
        <v>0</v>
      </c>
      <c r="AI97" s="17">
        <f>'Rolling report'!DB97*'With Action'!$Y$6</f>
        <v>0</v>
      </c>
      <c r="AJ97" s="17">
        <f>'Rolling report'!DC97*'With Action'!$Y$6</f>
        <v>0</v>
      </c>
      <c r="AK97" s="17">
        <f>'Rolling report'!DD97*'With Action'!$Y$6</f>
        <v>0</v>
      </c>
      <c r="AL97" s="17">
        <f>'Rolling report'!DE97*'With Action'!$Y$6</f>
        <v>0</v>
      </c>
      <c r="AM97" s="17">
        <f>'Rolling report'!DF97*'With Action'!$Y$6</f>
        <v>0</v>
      </c>
      <c r="AN97" s="17">
        <f>'Rolling report'!DG97*'With Action'!$Y$6</f>
        <v>0</v>
      </c>
      <c r="AO97" s="17">
        <f>'Rolling report'!DH97*'With Action'!$Y$6</f>
        <v>0</v>
      </c>
      <c r="AP97" s="17">
        <f>'Rolling report'!DI97*'With Action'!$Y$6</f>
        <v>0</v>
      </c>
    </row>
    <row r="98" spans="1:42" x14ac:dyDescent="0.25">
      <c r="A98" s="4" t="s">
        <v>185</v>
      </c>
      <c r="B98" s="6" t="s">
        <v>186</v>
      </c>
      <c r="I98" s="17">
        <f>'Rolling report'!CB98*'With Action'!$Y$6</f>
        <v>14.950000000000003</v>
      </c>
      <c r="J98" s="17">
        <f>'Rolling report'!CC98*'With Action'!$Y$6</f>
        <v>1.9000000000000004</v>
      </c>
      <c r="K98" s="17">
        <f>'Rolling report'!CD98*'With Action'!$Y$6</f>
        <v>2.1000000000000005</v>
      </c>
      <c r="L98" s="17">
        <f>'Rolling report'!CE98*'With Action'!$Y$6</f>
        <v>3.8000000000000007</v>
      </c>
      <c r="M98" s="17">
        <f>'Rolling report'!CF98*'With Action'!$Y$6</f>
        <v>2.3500000000000005</v>
      </c>
      <c r="N98" s="17">
        <f>'Rolling report'!CG98*'With Action'!$Y$6</f>
        <v>2.0000000000000004</v>
      </c>
      <c r="O98" s="17">
        <f>'Rolling report'!CH98*'With Action'!$Y$6</f>
        <v>3.5500000000000007</v>
      </c>
      <c r="P98" s="17">
        <f>'Rolling report'!CI98*'With Action'!$Y$6</f>
        <v>1.3500000000000003</v>
      </c>
      <c r="Q98" s="17">
        <f>'Rolling report'!CJ98*'With Action'!$Y$6</f>
        <v>2.1500000000000004</v>
      </c>
      <c r="R98" s="17">
        <f>'Rolling report'!CK98*'With Action'!$Y$6</f>
        <v>2.2000000000000006</v>
      </c>
      <c r="S98" s="17">
        <f>'Rolling report'!CL98*'With Action'!$Y$6</f>
        <v>0.60000000000000009</v>
      </c>
      <c r="T98" s="17">
        <f>'Rolling report'!CM98*'With Action'!$Y$6</f>
        <v>2.6000000000000005</v>
      </c>
      <c r="U98" s="17">
        <f>'Rolling report'!CN98*'With Action'!$Y$6</f>
        <v>1.7000000000000004</v>
      </c>
      <c r="V98" s="17">
        <f>'Rolling report'!CO98*'With Action'!$Y$6</f>
        <v>1.2000000000000002</v>
      </c>
      <c r="W98" s="17">
        <f>'Rolling report'!CP98*'With Action'!$Y$6</f>
        <v>0.90000000000000013</v>
      </c>
      <c r="X98" s="17">
        <f>'Rolling report'!CQ98*'With Action'!$Y$6</f>
        <v>1.0000000000000002</v>
      </c>
      <c r="Y98" s="17">
        <f>'Rolling report'!CR98*'With Action'!$Y$6</f>
        <v>0.75000000000000011</v>
      </c>
      <c r="Z98" s="17">
        <f>'Rolling report'!CS98*'With Action'!$Y$6</f>
        <v>1.5000000000000002</v>
      </c>
      <c r="AA98" s="17">
        <f>'Rolling report'!CT98*'With Action'!$Y$6</f>
        <v>0.65000000000000013</v>
      </c>
      <c r="AB98" s="17">
        <f>'Rolling report'!CU98*'With Action'!$Y$6</f>
        <v>0.8500000000000002</v>
      </c>
      <c r="AC98" s="17">
        <f>'Rolling report'!CV98*'With Action'!$Y$6</f>
        <v>0.65000000000000013</v>
      </c>
      <c r="AD98" s="17">
        <f>'Rolling report'!CW98*'With Action'!$Y$6</f>
        <v>1.1500000000000001</v>
      </c>
      <c r="AE98" s="17">
        <f>'Rolling report'!CX98*'With Action'!$Y$6</f>
        <v>0.60000000000000009</v>
      </c>
      <c r="AF98" s="17">
        <f>'Rolling report'!CY98*'With Action'!$Y$6</f>
        <v>-50.500000000000007</v>
      </c>
      <c r="AG98" s="17">
        <f>'Rolling report'!CZ98*'With Action'!$Y$6</f>
        <v>0</v>
      </c>
      <c r="AH98" s="17">
        <f>'Rolling report'!DA98*'With Action'!$Y$6</f>
        <v>0</v>
      </c>
      <c r="AI98" s="17">
        <f>'Rolling report'!DB98*'With Action'!$Y$6</f>
        <v>0</v>
      </c>
      <c r="AJ98" s="17">
        <f>'Rolling report'!DC98*'With Action'!$Y$6</f>
        <v>0</v>
      </c>
      <c r="AK98" s="17">
        <f>'Rolling report'!DD98*'With Action'!$Y$6</f>
        <v>0</v>
      </c>
      <c r="AL98" s="17">
        <f>'Rolling report'!DE98*'With Action'!$Y$6</f>
        <v>0</v>
      </c>
      <c r="AM98" s="17">
        <f>'Rolling report'!DF98*'With Action'!$Y$6</f>
        <v>0</v>
      </c>
      <c r="AN98" s="17">
        <f>'Rolling report'!DG98*'With Action'!$Y$6</f>
        <v>0</v>
      </c>
      <c r="AO98" s="17">
        <f>'Rolling report'!DH98*'With Action'!$Y$6</f>
        <v>0</v>
      </c>
      <c r="AP98" s="17">
        <f>'Rolling report'!DI98*'With Action'!$Y$6</f>
        <v>0</v>
      </c>
    </row>
    <row r="99" spans="1:42" x14ac:dyDescent="0.25">
      <c r="A99" s="4" t="s">
        <v>187</v>
      </c>
      <c r="B99" s="6" t="s">
        <v>188</v>
      </c>
      <c r="I99" s="17">
        <f>'Rolling report'!CB99*'With Action'!$Y$6</f>
        <v>5.4000000000000012</v>
      </c>
      <c r="J99" s="17">
        <f>'Rolling report'!CC99*'With Action'!$Y$6</f>
        <v>1.6000000000000003</v>
      </c>
      <c r="K99" s="17">
        <f>'Rolling report'!CD99*'With Action'!$Y$6</f>
        <v>0.45000000000000007</v>
      </c>
      <c r="L99" s="17">
        <f>'Rolling report'!CE99*'With Action'!$Y$6</f>
        <v>2.5000000000000004</v>
      </c>
      <c r="M99" s="17">
        <f>'Rolling report'!CF99*'With Action'!$Y$6</f>
        <v>1.0000000000000002</v>
      </c>
      <c r="N99" s="17">
        <f>'Rolling report'!CG99*'With Action'!$Y$6</f>
        <v>0.50000000000000011</v>
      </c>
      <c r="O99" s="17">
        <f>'Rolling report'!CH99*'With Action'!$Y$6</f>
        <v>1.0500000000000003</v>
      </c>
      <c r="P99" s="17">
        <f>'Rolling report'!CI99*'With Action'!$Y$6</f>
        <v>0.45000000000000007</v>
      </c>
      <c r="Q99" s="17">
        <f>'Rolling report'!CJ99*'With Action'!$Y$6</f>
        <v>0.8500000000000002</v>
      </c>
      <c r="R99" s="17">
        <f>'Rolling report'!CK99*'With Action'!$Y$6</f>
        <v>0.50000000000000011</v>
      </c>
      <c r="S99" s="17">
        <f>'Rolling report'!CL99*'With Action'!$Y$6</f>
        <v>0.95000000000000018</v>
      </c>
      <c r="T99" s="17">
        <f>'Rolling report'!CM99*'With Action'!$Y$6</f>
        <v>0.80000000000000016</v>
      </c>
      <c r="U99" s="17">
        <f>'Rolling report'!CN99*'With Action'!$Y$6</f>
        <v>0.8500000000000002</v>
      </c>
      <c r="V99" s="17">
        <f>'Rolling report'!CO99*'With Action'!$Y$6</f>
        <v>0.65000000000000013</v>
      </c>
      <c r="W99" s="17">
        <f>'Rolling report'!CP99*'With Action'!$Y$6</f>
        <v>0.75000000000000011</v>
      </c>
      <c r="X99" s="17">
        <f>'Rolling report'!CQ99*'With Action'!$Y$6</f>
        <v>0.35000000000000009</v>
      </c>
      <c r="Y99" s="17">
        <f>'Rolling report'!CR99*'With Action'!$Y$6</f>
        <v>0.40000000000000008</v>
      </c>
      <c r="Z99" s="17">
        <f>'Rolling report'!CS99*'With Action'!$Y$6</f>
        <v>1.2500000000000002</v>
      </c>
      <c r="AA99" s="17">
        <f>'Rolling report'!CT99*'With Action'!$Y$6</f>
        <v>0.70000000000000018</v>
      </c>
      <c r="AB99" s="17">
        <f>'Rolling report'!CU99*'With Action'!$Y$6</f>
        <v>0.60000000000000009</v>
      </c>
      <c r="AC99" s="17">
        <f>'Rolling report'!CV99*'With Action'!$Y$6</f>
        <v>0.55000000000000016</v>
      </c>
      <c r="AD99" s="17">
        <f>'Rolling report'!CW99*'With Action'!$Y$6</f>
        <v>0.60000000000000009</v>
      </c>
      <c r="AE99" s="17">
        <f>'Rolling report'!CX99*'With Action'!$Y$6</f>
        <v>0.15000000000000002</v>
      </c>
      <c r="AF99" s="17">
        <f>'Rolling report'!CY99*'With Action'!$Y$6</f>
        <v>-22.900000000000006</v>
      </c>
      <c r="AG99" s="17">
        <f>'Rolling report'!CZ99*'With Action'!$Y$6</f>
        <v>0</v>
      </c>
      <c r="AH99" s="17">
        <f>'Rolling report'!DA99*'With Action'!$Y$6</f>
        <v>0</v>
      </c>
      <c r="AI99" s="17">
        <f>'Rolling report'!DB99*'With Action'!$Y$6</f>
        <v>0</v>
      </c>
      <c r="AJ99" s="17">
        <f>'Rolling report'!DC99*'With Action'!$Y$6</f>
        <v>0</v>
      </c>
      <c r="AK99" s="17">
        <f>'Rolling report'!DD99*'With Action'!$Y$6</f>
        <v>0</v>
      </c>
      <c r="AL99" s="17">
        <f>'Rolling report'!DE99*'With Action'!$Y$6</f>
        <v>0</v>
      </c>
      <c r="AM99" s="17">
        <f>'Rolling report'!DF99*'With Action'!$Y$6</f>
        <v>0</v>
      </c>
      <c r="AN99" s="17">
        <f>'Rolling report'!DG99*'With Action'!$Y$6</f>
        <v>0</v>
      </c>
      <c r="AO99" s="17">
        <f>'Rolling report'!DH99*'With Action'!$Y$6</f>
        <v>0</v>
      </c>
      <c r="AP99" s="17">
        <f>'Rolling report'!DI99*'With Action'!$Y$6</f>
        <v>0</v>
      </c>
    </row>
    <row r="100" spans="1:42" x14ac:dyDescent="0.25">
      <c r="A100" s="4" t="s">
        <v>189</v>
      </c>
      <c r="B100" s="6" t="s">
        <v>190</v>
      </c>
      <c r="I100" s="17">
        <f>'Rolling report'!CB100*'With Action'!$Y$6</f>
        <v>3.1000000000000005</v>
      </c>
      <c r="J100" s="17">
        <f>'Rolling report'!CC100*'With Action'!$Y$6</f>
        <v>1.1000000000000003</v>
      </c>
      <c r="K100" s="17">
        <f>'Rolling report'!CD100*'With Action'!$Y$6</f>
        <v>0.60000000000000009</v>
      </c>
      <c r="L100" s="17">
        <f>'Rolling report'!CE100*'With Action'!$Y$6</f>
        <v>0.50000000000000011</v>
      </c>
      <c r="M100" s="17">
        <f>'Rolling report'!CF100*'With Action'!$Y$6</f>
        <v>0.35000000000000009</v>
      </c>
      <c r="N100" s="17">
        <f>'Rolling report'!CG100*'With Action'!$Y$6</f>
        <v>0.60000000000000009</v>
      </c>
      <c r="O100" s="17">
        <f>'Rolling report'!CH100*'With Action'!$Y$6</f>
        <v>0.50000000000000011</v>
      </c>
      <c r="P100" s="17">
        <f>'Rolling report'!CI100*'With Action'!$Y$6</f>
        <v>0.55000000000000016</v>
      </c>
      <c r="Q100" s="17">
        <f>'Rolling report'!CJ100*'With Action'!$Y$6</f>
        <v>0.8500000000000002</v>
      </c>
      <c r="R100" s="17">
        <f>'Rolling report'!CK100*'With Action'!$Y$6</f>
        <v>0.35000000000000009</v>
      </c>
      <c r="S100" s="17">
        <f>'Rolling report'!CL100*'With Action'!$Y$6</f>
        <v>0.15000000000000002</v>
      </c>
      <c r="T100" s="17">
        <f>'Rolling report'!CM100*'With Action'!$Y$6</f>
        <v>0.25000000000000006</v>
      </c>
      <c r="U100" s="17">
        <f>'Rolling report'!CN100*'With Action'!$Y$6</f>
        <v>0.8500000000000002</v>
      </c>
      <c r="V100" s="17">
        <f>'Rolling report'!CO100*'With Action'!$Y$6</f>
        <v>0.10000000000000002</v>
      </c>
      <c r="W100" s="17">
        <f>'Rolling report'!CP100*'With Action'!$Y$6</f>
        <v>0.10000000000000002</v>
      </c>
      <c r="X100" s="17">
        <f>'Rolling report'!CQ100*'With Action'!$Y$6</f>
        <v>0</v>
      </c>
      <c r="Y100" s="17">
        <f>'Rolling report'!CR100*'With Action'!$Y$6</f>
        <v>0.20000000000000004</v>
      </c>
      <c r="Z100" s="17">
        <f>'Rolling report'!CS100*'With Action'!$Y$6</f>
        <v>0.30000000000000004</v>
      </c>
      <c r="AA100" s="17">
        <f>'Rolling report'!CT100*'With Action'!$Y$6</f>
        <v>0</v>
      </c>
      <c r="AB100" s="17">
        <f>'Rolling report'!CU100*'With Action'!$Y$6</f>
        <v>0.15000000000000002</v>
      </c>
      <c r="AC100" s="17">
        <f>'Rolling report'!CV100*'With Action'!$Y$6</f>
        <v>0.20000000000000004</v>
      </c>
      <c r="AD100" s="17">
        <f>'Rolling report'!CW100*'With Action'!$Y$6</f>
        <v>0.35000000000000009</v>
      </c>
      <c r="AE100" s="17">
        <f>'Rolling report'!CX100*'With Action'!$Y$6</f>
        <v>0.10000000000000002</v>
      </c>
      <c r="AF100" s="17">
        <f>'Rolling report'!CY100*'With Action'!$Y$6</f>
        <v>-11.250000000000002</v>
      </c>
      <c r="AG100" s="17">
        <f>'Rolling report'!CZ100*'With Action'!$Y$6</f>
        <v>0</v>
      </c>
      <c r="AH100" s="17">
        <f>'Rolling report'!DA100*'With Action'!$Y$6</f>
        <v>0</v>
      </c>
      <c r="AI100" s="17">
        <f>'Rolling report'!DB100*'With Action'!$Y$6</f>
        <v>0</v>
      </c>
      <c r="AJ100" s="17">
        <f>'Rolling report'!DC100*'With Action'!$Y$6</f>
        <v>0</v>
      </c>
      <c r="AK100" s="17">
        <f>'Rolling report'!DD100*'With Action'!$Y$6</f>
        <v>0</v>
      </c>
      <c r="AL100" s="17">
        <f>'Rolling report'!DE100*'With Action'!$Y$6</f>
        <v>0</v>
      </c>
      <c r="AM100" s="17">
        <f>'Rolling report'!DF100*'With Action'!$Y$6</f>
        <v>0</v>
      </c>
      <c r="AN100" s="17">
        <f>'Rolling report'!DG100*'With Action'!$Y$6</f>
        <v>0</v>
      </c>
      <c r="AO100" s="17">
        <f>'Rolling report'!DH100*'With Action'!$Y$6</f>
        <v>0</v>
      </c>
      <c r="AP100" s="17">
        <f>'Rolling report'!DI100*'With Action'!$Y$6</f>
        <v>0</v>
      </c>
    </row>
    <row r="101" spans="1:42" x14ac:dyDescent="0.25">
      <c r="A101" s="4" t="s">
        <v>191</v>
      </c>
      <c r="B101" s="6" t="s">
        <v>192</v>
      </c>
      <c r="I101" s="17">
        <f>'Rolling report'!CB101*'With Action'!$Y$6</f>
        <v>16.000000000000004</v>
      </c>
      <c r="J101" s="17">
        <f>'Rolling report'!CC101*'With Action'!$Y$6</f>
        <v>2.8500000000000005</v>
      </c>
      <c r="K101" s="17">
        <f>'Rolling report'!CD101*'With Action'!$Y$6</f>
        <v>2.8500000000000005</v>
      </c>
      <c r="L101" s="17">
        <f>'Rolling report'!CE101*'With Action'!$Y$6</f>
        <v>2.4500000000000006</v>
      </c>
      <c r="M101" s="17">
        <f>'Rolling report'!CF101*'With Action'!$Y$6</f>
        <v>1.3500000000000003</v>
      </c>
      <c r="N101" s="17">
        <f>'Rolling report'!CG101*'With Action'!$Y$6</f>
        <v>1.2500000000000002</v>
      </c>
      <c r="O101" s="17">
        <f>'Rolling report'!CH101*'With Action'!$Y$6</f>
        <v>2.2500000000000004</v>
      </c>
      <c r="P101" s="17">
        <f>'Rolling report'!CI101*'With Action'!$Y$6</f>
        <v>1.5000000000000002</v>
      </c>
      <c r="Q101" s="17">
        <f>'Rolling report'!CJ101*'With Action'!$Y$6</f>
        <v>1.9500000000000004</v>
      </c>
      <c r="R101" s="17">
        <f>'Rolling report'!CK101*'With Action'!$Y$6</f>
        <v>0.8500000000000002</v>
      </c>
      <c r="S101" s="17">
        <f>'Rolling report'!CL101*'With Action'!$Y$6</f>
        <v>0.45000000000000007</v>
      </c>
      <c r="T101" s="17">
        <f>'Rolling report'!CM101*'With Action'!$Y$6</f>
        <v>1.0500000000000003</v>
      </c>
      <c r="U101" s="17">
        <f>'Rolling report'!CN101*'With Action'!$Y$6</f>
        <v>1.3500000000000003</v>
      </c>
      <c r="V101" s="17">
        <f>'Rolling report'!CO101*'With Action'!$Y$6</f>
        <v>1.0000000000000002</v>
      </c>
      <c r="W101" s="17">
        <f>'Rolling report'!CP101*'With Action'!$Y$6</f>
        <v>1.7500000000000004</v>
      </c>
      <c r="X101" s="17">
        <f>'Rolling report'!CQ101*'With Action'!$Y$6</f>
        <v>0.8500000000000002</v>
      </c>
      <c r="Y101" s="17">
        <f>'Rolling report'!CR101*'With Action'!$Y$6</f>
        <v>1.1500000000000001</v>
      </c>
      <c r="Z101" s="17">
        <f>'Rolling report'!CS101*'With Action'!$Y$6</f>
        <v>0.40000000000000008</v>
      </c>
      <c r="AA101" s="17">
        <f>'Rolling report'!CT101*'With Action'!$Y$6</f>
        <v>0.95000000000000018</v>
      </c>
      <c r="AB101" s="17">
        <f>'Rolling report'!CU101*'With Action'!$Y$6</f>
        <v>1.0000000000000002</v>
      </c>
      <c r="AC101" s="17">
        <f>'Rolling report'!CV101*'With Action'!$Y$6</f>
        <v>1.1000000000000003</v>
      </c>
      <c r="AD101" s="17">
        <f>'Rolling report'!CW101*'With Action'!$Y$6</f>
        <v>0</v>
      </c>
      <c r="AE101" s="17">
        <f>'Rolling report'!CX101*'With Action'!$Y$6</f>
        <v>0.8500000000000002</v>
      </c>
      <c r="AF101" s="17">
        <f>'Rolling report'!CY101*'With Action'!$Y$6</f>
        <v>-45.20000000000001</v>
      </c>
      <c r="AG101" s="17">
        <f>'Rolling report'!CZ101*'With Action'!$Y$6</f>
        <v>0</v>
      </c>
      <c r="AH101" s="17">
        <f>'Rolling report'!DA101*'With Action'!$Y$6</f>
        <v>0</v>
      </c>
      <c r="AI101" s="17">
        <f>'Rolling report'!DB101*'With Action'!$Y$6</f>
        <v>0</v>
      </c>
      <c r="AJ101" s="17">
        <f>'Rolling report'!DC101*'With Action'!$Y$6</f>
        <v>0</v>
      </c>
      <c r="AK101" s="17">
        <f>'Rolling report'!DD101*'With Action'!$Y$6</f>
        <v>0</v>
      </c>
      <c r="AL101" s="17">
        <f>'Rolling report'!DE101*'With Action'!$Y$6</f>
        <v>0</v>
      </c>
      <c r="AM101" s="17">
        <f>'Rolling report'!DF101*'With Action'!$Y$6</f>
        <v>0</v>
      </c>
      <c r="AN101" s="17">
        <f>'Rolling report'!DG101*'With Action'!$Y$6</f>
        <v>0</v>
      </c>
      <c r="AO101" s="17">
        <f>'Rolling report'!DH101*'With Action'!$Y$6</f>
        <v>0</v>
      </c>
      <c r="AP101" s="17">
        <f>'Rolling report'!DI101*'With Action'!$Y$6</f>
        <v>0</v>
      </c>
    </row>
    <row r="102" spans="1:42" x14ac:dyDescent="0.25">
      <c r="A102" s="4" t="s">
        <v>193</v>
      </c>
      <c r="B102" s="6" t="s">
        <v>194</v>
      </c>
      <c r="I102" s="17">
        <f>'Rolling report'!CB102*'With Action'!$Y$6</f>
        <v>1.7000000000000004</v>
      </c>
      <c r="J102" s="17">
        <f>'Rolling report'!CC102*'With Action'!$Y$6</f>
        <v>5.000000000000001E-2</v>
      </c>
      <c r="K102" s="17">
        <f>'Rolling report'!CD102*'With Action'!$Y$6</f>
        <v>5.000000000000001E-2</v>
      </c>
      <c r="L102" s="17">
        <f>'Rolling report'!CE102*'With Action'!$Y$6</f>
        <v>0.30000000000000004</v>
      </c>
      <c r="M102" s="17">
        <f>'Rolling report'!CF102*'With Action'!$Y$6</f>
        <v>0.20000000000000004</v>
      </c>
      <c r="N102" s="17">
        <f>'Rolling report'!CG102*'With Action'!$Y$6</f>
        <v>0.25000000000000006</v>
      </c>
      <c r="O102" s="17">
        <f>'Rolling report'!CH102*'With Action'!$Y$6</f>
        <v>0.15000000000000002</v>
      </c>
      <c r="P102" s="17">
        <f>'Rolling report'!CI102*'With Action'!$Y$6</f>
        <v>0</v>
      </c>
      <c r="Q102" s="17">
        <f>'Rolling report'!CJ102*'With Action'!$Y$6</f>
        <v>0.35000000000000009</v>
      </c>
      <c r="R102" s="17">
        <f>'Rolling report'!CK102*'With Action'!$Y$6</f>
        <v>0.30000000000000004</v>
      </c>
      <c r="S102" s="17">
        <f>'Rolling report'!CL102*'With Action'!$Y$6</f>
        <v>0</v>
      </c>
      <c r="T102" s="17">
        <f>'Rolling report'!CM102*'With Action'!$Y$6</f>
        <v>0</v>
      </c>
      <c r="U102" s="17">
        <f>'Rolling report'!CN102*'With Action'!$Y$6</f>
        <v>0.10000000000000002</v>
      </c>
      <c r="V102" s="17">
        <f>'Rolling report'!CO102*'With Action'!$Y$6</f>
        <v>5.000000000000001E-2</v>
      </c>
      <c r="W102" s="17">
        <f>'Rolling report'!CP102*'With Action'!$Y$6</f>
        <v>0.20000000000000004</v>
      </c>
      <c r="X102" s="17">
        <f>'Rolling report'!CQ102*'With Action'!$Y$6</f>
        <v>0</v>
      </c>
      <c r="Y102" s="17">
        <f>'Rolling report'!CR102*'With Action'!$Y$6</f>
        <v>5.000000000000001E-2</v>
      </c>
      <c r="Z102" s="17">
        <f>'Rolling report'!CS102*'With Action'!$Y$6</f>
        <v>0.10000000000000002</v>
      </c>
      <c r="AA102" s="17">
        <f>'Rolling report'!CT102*'With Action'!$Y$6</f>
        <v>0.15000000000000002</v>
      </c>
      <c r="AB102" s="17">
        <f>'Rolling report'!CU102*'With Action'!$Y$6</f>
        <v>0</v>
      </c>
      <c r="AC102" s="17">
        <f>'Rolling report'!CV102*'With Action'!$Y$6</f>
        <v>0.15000000000000002</v>
      </c>
      <c r="AD102" s="17">
        <f>'Rolling report'!CW102*'With Action'!$Y$6</f>
        <v>-0.10000000000000002</v>
      </c>
      <c r="AE102" s="17">
        <f>'Rolling report'!CX102*'With Action'!$Y$6</f>
        <v>0.10000000000000002</v>
      </c>
      <c r="AF102" s="17">
        <f>'Rolling report'!CY102*'With Action'!$Y$6</f>
        <v>-4.1500000000000012</v>
      </c>
      <c r="AG102" s="17">
        <f>'Rolling report'!CZ102*'With Action'!$Y$6</f>
        <v>0</v>
      </c>
      <c r="AH102" s="17">
        <f>'Rolling report'!DA102*'With Action'!$Y$6</f>
        <v>0</v>
      </c>
      <c r="AI102" s="17">
        <f>'Rolling report'!DB102*'With Action'!$Y$6</f>
        <v>0</v>
      </c>
      <c r="AJ102" s="17">
        <f>'Rolling report'!DC102*'With Action'!$Y$6</f>
        <v>0</v>
      </c>
      <c r="AK102" s="17">
        <f>'Rolling report'!DD102*'With Action'!$Y$6</f>
        <v>0</v>
      </c>
      <c r="AL102" s="17">
        <f>'Rolling report'!DE102*'With Action'!$Y$6</f>
        <v>0</v>
      </c>
      <c r="AM102" s="17">
        <f>'Rolling report'!DF102*'With Action'!$Y$6</f>
        <v>0</v>
      </c>
      <c r="AN102" s="17">
        <f>'Rolling report'!DG102*'With Action'!$Y$6</f>
        <v>0</v>
      </c>
      <c r="AO102" s="17">
        <f>'Rolling report'!DH102*'With Action'!$Y$6</f>
        <v>0</v>
      </c>
      <c r="AP102" s="17">
        <f>'Rolling report'!DI102*'With Action'!$Y$6</f>
        <v>0</v>
      </c>
    </row>
    <row r="103" spans="1:42" x14ac:dyDescent="0.25">
      <c r="A103" s="4" t="s">
        <v>195</v>
      </c>
      <c r="B103" s="6" t="s">
        <v>196</v>
      </c>
      <c r="I103" s="17">
        <f>'Rolling report'!CB103*'With Action'!$Y$6</f>
        <v>31.950000000000006</v>
      </c>
      <c r="J103" s="17">
        <f>'Rolling report'!CC103*'With Action'!$Y$6</f>
        <v>5.9500000000000011</v>
      </c>
      <c r="K103" s="17">
        <f>'Rolling report'!CD103*'With Action'!$Y$6</f>
        <v>4.9500000000000011</v>
      </c>
      <c r="L103" s="17">
        <f>'Rolling report'!CE103*'With Action'!$Y$6</f>
        <v>7.4000000000000012</v>
      </c>
      <c r="M103" s="17">
        <f>'Rolling report'!CF103*'With Action'!$Y$6</f>
        <v>4.0000000000000009</v>
      </c>
      <c r="N103" s="17">
        <f>'Rolling report'!CG103*'With Action'!$Y$6</f>
        <v>3.2500000000000004</v>
      </c>
      <c r="O103" s="17">
        <f>'Rolling report'!CH103*'With Action'!$Y$6</f>
        <v>4.7000000000000011</v>
      </c>
      <c r="P103" s="17">
        <f>'Rolling report'!CI103*'With Action'!$Y$6</f>
        <v>1.9500000000000004</v>
      </c>
      <c r="Q103" s="17">
        <f>'Rolling report'!CJ103*'With Action'!$Y$6</f>
        <v>3.0000000000000004</v>
      </c>
      <c r="R103" s="17">
        <f>'Rolling report'!CK103*'With Action'!$Y$6</f>
        <v>2.9000000000000004</v>
      </c>
      <c r="S103" s="17">
        <f>'Rolling report'!CL103*'With Action'!$Y$6</f>
        <v>3.0000000000000004</v>
      </c>
      <c r="T103" s="17">
        <f>'Rolling report'!CM103*'With Action'!$Y$6</f>
        <v>3.2500000000000004</v>
      </c>
      <c r="U103" s="17">
        <f>'Rolling report'!CN103*'With Action'!$Y$6</f>
        <v>2.4500000000000006</v>
      </c>
      <c r="V103" s="17">
        <f>'Rolling report'!CO103*'With Action'!$Y$6</f>
        <v>2.2000000000000006</v>
      </c>
      <c r="W103" s="17">
        <f>'Rolling report'!CP103*'With Action'!$Y$6</f>
        <v>1.0500000000000003</v>
      </c>
      <c r="X103" s="17">
        <f>'Rolling report'!CQ103*'With Action'!$Y$6</f>
        <v>1.3500000000000003</v>
      </c>
      <c r="Y103" s="17">
        <f>'Rolling report'!CR103*'With Action'!$Y$6</f>
        <v>1.4500000000000002</v>
      </c>
      <c r="Z103" s="17">
        <f>'Rolling report'!CS103*'With Action'!$Y$6</f>
        <v>1.0500000000000003</v>
      </c>
      <c r="AA103" s="17">
        <f>'Rolling report'!CT103*'With Action'!$Y$6</f>
        <v>1.7500000000000004</v>
      </c>
      <c r="AB103" s="17">
        <f>'Rolling report'!CU103*'With Action'!$Y$6</f>
        <v>1.6000000000000003</v>
      </c>
      <c r="AC103" s="17">
        <f>'Rolling report'!CV103*'With Action'!$Y$6</f>
        <v>2.9500000000000006</v>
      </c>
      <c r="AD103" s="17">
        <f>'Rolling report'!CW103*'With Action'!$Y$6</f>
        <v>1.2000000000000002</v>
      </c>
      <c r="AE103" s="17">
        <f>'Rolling report'!CX103*'With Action'!$Y$6</f>
        <v>1.1500000000000001</v>
      </c>
      <c r="AF103" s="17">
        <f>'Rolling report'!CY103*'With Action'!$Y$6</f>
        <v>-94.500000000000014</v>
      </c>
      <c r="AG103" s="17">
        <f>'Rolling report'!CZ103*'With Action'!$Y$6</f>
        <v>0</v>
      </c>
      <c r="AH103" s="17">
        <f>'Rolling report'!DA103*'With Action'!$Y$6</f>
        <v>0</v>
      </c>
      <c r="AI103" s="17">
        <f>'Rolling report'!DB103*'With Action'!$Y$6</f>
        <v>0</v>
      </c>
      <c r="AJ103" s="17">
        <f>'Rolling report'!DC103*'With Action'!$Y$6</f>
        <v>0</v>
      </c>
      <c r="AK103" s="17">
        <f>'Rolling report'!DD103*'With Action'!$Y$6</f>
        <v>0</v>
      </c>
      <c r="AL103" s="17">
        <f>'Rolling report'!DE103*'With Action'!$Y$6</f>
        <v>0</v>
      </c>
      <c r="AM103" s="17">
        <f>'Rolling report'!DF103*'With Action'!$Y$6</f>
        <v>0</v>
      </c>
      <c r="AN103" s="17">
        <f>'Rolling report'!DG103*'With Action'!$Y$6</f>
        <v>0</v>
      </c>
      <c r="AO103" s="17">
        <f>'Rolling report'!DH103*'With Action'!$Y$6</f>
        <v>0</v>
      </c>
      <c r="AP103" s="17">
        <f>'Rolling report'!DI103*'With Action'!$Y$6</f>
        <v>0</v>
      </c>
    </row>
    <row r="104" spans="1:42" x14ac:dyDescent="0.25">
      <c r="A104" s="4" t="s">
        <v>197</v>
      </c>
      <c r="B104" s="6" t="s">
        <v>198</v>
      </c>
      <c r="I104" s="17">
        <f>'Rolling report'!CB104*'With Action'!$Y$6</f>
        <v>2.5500000000000007</v>
      </c>
      <c r="J104" s="17">
        <f>'Rolling report'!CC104*'With Action'!$Y$6</f>
        <v>0.55000000000000016</v>
      </c>
      <c r="K104" s="17">
        <f>'Rolling report'!CD104*'With Action'!$Y$6</f>
        <v>0.55000000000000016</v>
      </c>
      <c r="L104" s="17">
        <f>'Rolling report'!CE104*'With Action'!$Y$6</f>
        <v>0.10000000000000002</v>
      </c>
      <c r="M104" s="17">
        <f>'Rolling report'!CF104*'With Action'!$Y$6</f>
        <v>0.20000000000000004</v>
      </c>
      <c r="N104" s="17">
        <f>'Rolling report'!CG104*'With Action'!$Y$6</f>
        <v>0.50000000000000011</v>
      </c>
      <c r="O104" s="17">
        <f>'Rolling report'!CH104*'With Action'!$Y$6</f>
        <v>0.40000000000000008</v>
      </c>
      <c r="P104" s="17">
        <f>'Rolling report'!CI104*'With Action'!$Y$6</f>
        <v>5.000000000000001E-2</v>
      </c>
      <c r="Q104" s="17">
        <f>'Rolling report'!CJ104*'With Action'!$Y$6</f>
        <v>0.50000000000000011</v>
      </c>
      <c r="R104" s="17">
        <f>'Rolling report'!CK104*'With Action'!$Y$6</f>
        <v>0.80000000000000016</v>
      </c>
      <c r="S104" s="17">
        <f>'Rolling report'!CL104*'With Action'!$Y$6</f>
        <v>0.20000000000000004</v>
      </c>
      <c r="T104" s="17">
        <f>'Rolling report'!CM104*'With Action'!$Y$6</f>
        <v>0.35000000000000009</v>
      </c>
      <c r="U104" s="17">
        <f>'Rolling report'!CN104*'With Action'!$Y$6</f>
        <v>0.10000000000000002</v>
      </c>
      <c r="V104" s="17">
        <f>'Rolling report'!CO104*'With Action'!$Y$6</f>
        <v>0.35000000000000009</v>
      </c>
      <c r="W104" s="17">
        <f>'Rolling report'!CP104*'With Action'!$Y$6</f>
        <v>0.65000000000000013</v>
      </c>
      <c r="X104" s="17">
        <f>'Rolling report'!CQ104*'With Action'!$Y$6</f>
        <v>0.15000000000000002</v>
      </c>
      <c r="Y104" s="17">
        <f>'Rolling report'!CR104*'With Action'!$Y$6</f>
        <v>0.25000000000000006</v>
      </c>
      <c r="Z104" s="17">
        <f>'Rolling report'!CS104*'With Action'!$Y$6</f>
        <v>0.15000000000000002</v>
      </c>
      <c r="AA104" s="17">
        <f>'Rolling report'!CT104*'With Action'!$Y$6</f>
        <v>0.25000000000000006</v>
      </c>
      <c r="AB104" s="17">
        <f>'Rolling report'!CU104*'With Action'!$Y$6</f>
        <v>5.000000000000001E-2</v>
      </c>
      <c r="AC104" s="17">
        <f>'Rolling report'!CV104*'With Action'!$Y$6</f>
        <v>0.20000000000000004</v>
      </c>
      <c r="AD104" s="17">
        <f>'Rolling report'!CW104*'With Action'!$Y$6</f>
        <v>0.20000000000000004</v>
      </c>
      <c r="AE104" s="17">
        <f>'Rolling report'!CX104*'With Action'!$Y$6</f>
        <v>0.20000000000000004</v>
      </c>
      <c r="AF104" s="17">
        <f>'Rolling report'!CY104*'With Action'!$Y$6</f>
        <v>-9.3000000000000025</v>
      </c>
      <c r="AG104" s="17">
        <f>'Rolling report'!CZ104*'With Action'!$Y$6</f>
        <v>0</v>
      </c>
      <c r="AH104" s="17">
        <f>'Rolling report'!DA104*'With Action'!$Y$6</f>
        <v>0</v>
      </c>
      <c r="AI104" s="17">
        <f>'Rolling report'!DB104*'With Action'!$Y$6</f>
        <v>0</v>
      </c>
      <c r="AJ104" s="17">
        <f>'Rolling report'!DC104*'With Action'!$Y$6</f>
        <v>0</v>
      </c>
      <c r="AK104" s="17">
        <f>'Rolling report'!DD104*'With Action'!$Y$6</f>
        <v>0</v>
      </c>
      <c r="AL104" s="17">
        <f>'Rolling report'!DE104*'With Action'!$Y$6</f>
        <v>0</v>
      </c>
      <c r="AM104" s="17">
        <f>'Rolling report'!DF104*'With Action'!$Y$6</f>
        <v>0</v>
      </c>
      <c r="AN104" s="17">
        <f>'Rolling report'!DG104*'With Action'!$Y$6</f>
        <v>0</v>
      </c>
      <c r="AO104" s="17">
        <f>'Rolling report'!DH104*'With Action'!$Y$6</f>
        <v>0</v>
      </c>
      <c r="AP104" s="17">
        <f>'Rolling report'!DI104*'With Action'!$Y$6</f>
        <v>0</v>
      </c>
    </row>
    <row r="105" spans="1:42" x14ac:dyDescent="0.25">
      <c r="A105" s="4" t="s">
        <v>199</v>
      </c>
      <c r="B105" s="6" t="s">
        <v>200</v>
      </c>
      <c r="I105" s="17">
        <f>'Rolling report'!CB105*'With Action'!$Y$6</f>
        <v>3.4500000000000006</v>
      </c>
      <c r="J105" s="17">
        <f>'Rolling report'!CC105*'With Action'!$Y$6</f>
        <v>0.70000000000000018</v>
      </c>
      <c r="K105" s="17">
        <f>'Rolling report'!CD105*'With Action'!$Y$6</f>
        <v>0.45000000000000007</v>
      </c>
      <c r="L105" s="17">
        <f>'Rolling report'!CE105*'With Action'!$Y$6</f>
        <v>0.45000000000000007</v>
      </c>
      <c r="M105" s="17">
        <f>'Rolling report'!CF105*'With Action'!$Y$6</f>
        <v>5.000000000000001E-2</v>
      </c>
      <c r="N105" s="17">
        <f>'Rolling report'!CG105*'With Action'!$Y$6</f>
        <v>0.10000000000000002</v>
      </c>
      <c r="O105" s="17">
        <f>'Rolling report'!CH105*'With Action'!$Y$6</f>
        <v>0.40000000000000008</v>
      </c>
      <c r="P105" s="17">
        <f>'Rolling report'!CI105*'With Action'!$Y$6</f>
        <v>0.55000000000000016</v>
      </c>
      <c r="Q105" s="17">
        <f>'Rolling report'!CJ105*'With Action'!$Y$6</f>
        <v>0.10000000000000002</v>
      </c>
      <c r="R105" s="17">
        <f>'Rolling report'!CK105*'With Action'!$Y$6</f>
        <v>0.60000000000000009</v>
      </c>
      <c r="S105" s="17">
        <f>'Rolling report'!CL105*'With Action'!$Y$6</f>
        <v>0.55000000000000016</v>
      </c>
      <c r="T105" s="17">
        <f>'Rolling report'!CM105*'With Action'!$Y$6</f>
        <v>0.35000000000000009</v>
      </c>
      <c r="U105" s="17">
        <f>'Rolling report'!CN105*'With Action'!$Y$6</f>
        <v>0.10000000000000002</v>
      </c>
      <c r="V105" s="17">
        <f>'Rolling report'!CO105*'With Action'!$Y$6</f>
        <v>5.000000000000001E-2</v>
      </c>
      <c r="W105" s="17">
        <f>'Rolling report'!CP105*'With Action'!$Y$6</f>
        <v>0.30000000000000004</v>
      </c>
      <c r="X105" s="17">
        <f>'Rolling report'!CQ105*'With Action'!$Y$6</f>
        <v>0</v>
      </c>
      <c r="Y105" s="17">
        <f>'Rolling report'!CR105*'With Action'!$Y$6</f>
        <v>0.20000000000000004</v>
      </c>
      <c r="Z105" s="17">
        <f>'Rolling report'!CS105*'With Action'!$Y$6</f>
        <v>0.15000000000000002</v>
      </c>
      <c r="AA105" s="17">
        <f>'Rolling report'!CT105*'With Action'!$Y$6</f>
        <v>0.25000000000000006</v>
      </c>
      <c r="AB105" s="17">
        <f>'Rolling report'!CU105*'With Action'!$Y$6</f>
        <v>5.000000000000001E-2</v>
      </c>
      <c r="AC105" s="17">
        <f>'Rolling report'!CV105*'With Action'!$Y$6</f>
        <v>0</v>
      </c>
      <c r="AD105" s="17">
        <f>'Rolling report'!CW105*'With Action'!$Y$6</f>
        <v>0.30000000000000004</v>
      </c>
      <c r="AE105" s="17">
        <f>'Rolling report'!CX105*'With Action'!$Y$6</f>
        <v>0</v>
      </c>
      <c r="AF105" s="17">
        <f>'Rolling report'!CY105*'With Action'!$Y$6</f>
        <v>-9.1500000000000021</v>
      </c>
      <c r="AG105" s="17">
        <f>'Rolling report'!CZ105*'With Action'!$Y$6</f>
        <v>0</v>
      </c>
      <c r="AH105" s="17">
        <f>'Rolling report'!DA105*'With Action'!$Y$6</f>
        <v>0</v>
      </c>
      <c r="AI105" s="17">
        <f>'Rolling report'!DB105*'With Action'!$Y$6</f>
        <v>0</v>
      </c>
      <c r="AJ105" s="17">
        <f>'Rolling report'!DC105*'With Action'!$Y$6</f>
        <v>0</v>
      </c>
      <c r="AK105" s="17">
        <f>'Rolling report'!DD105*'With Action'!$Y$6</f>
        <v>0</v>
      </c>
      <c r="AL105" s="17">
        <f>'Rolling report'!DE105*'With Action'!$Y$6</f>
        <v>0</v>
      </c>
      <c r="AM105" s="17">
        <f>'Rolling report'!DF105*'With Action'!$Y$6</f>
        <v>0</v>
      </c>
      <c r="AN105" s="17">
        <f>'Rolling report'!DG105*'With Action'!$Y$6</f>
        <v>0</v>
      </c>
      <c r="AO105" s="17">
        <f>'Rolling report'!DH105*'With Action'!$Y$6</f>
        <v>0</v>
      </c>
      <c r="AP105" s="17">
        <f>'Rolling report'!DI105*'With Action'!$Y$6</f>
        <v>0</v>
      </c>
    </row>
    <row r="106" spans="1:42" x14ac:dyDescent="0.25">
      <c r="A106" s="4" t="s">
        <v>201</v>
      </c>
      <c r="B106" s="6" t="s">
        <v>202</v>
      </c>
      <c r="I106" s="17">
        <f>'Rolling report'!CB106*'With Action'!$Y$6</f>
        <v>1.7000000000000004</v>
      </c>
      <c r="J106" s="17">
        <f>'Rolling report'!CC106*'With Action'!$Y$6</f>
        <v>0.15000000000000002</v>
      </c>
      <c r="K106" s="17">
        <f>'Rolling report'!CD106*'With Action'!$Y$6</f>
        <v>0.45000000000000007</v>
      </c>
      <c r="L106" s="17">
        <f>'Rolling report'!CE106*'With Action'!$Y$6</f>
        <v>0.90000000000000013</v>
      </c>
      <c r="M106" s="17">
        <f>'Rolling report'!CF106*'With Action'!$Y$6</f>
        <v>0.45000000000000007</v>
      </c>
      <c r="N106" s="17">
        <f>'Rolling report'!CG106*'With Action'!$Y$6</f>
        <v>0.30000000000000004</v>
      </c>
      <c r="O106" s="17">
        <f>'Rolling report'!CH106*'With Action'!$Y$6</f>
        <v>0.70000000000000018</v>
      </c>
      <c r="P106" s="17">
        <f>'Rolling report'!CI106*'With Action'!$Y$6</f>
        <v>0.10000000000000002</v>
      </c>
      <c r="Q106" s="17">
        <f>'Rolling report'!CJ106*'With Action'!$Y$6</f>
        <v>0.30000000000000004</v>
      </c>
      <c r="R106" s="17">
        <f>'Rolling report'!CK106*'With Action'!$Y$6</f>
        <v>0.10000000000000002</v>
      </c>
      <c r="S106" s="17">
        <f>'Rolling report'!CL106*'With Action'!$Y$6</f>
        <v>0.45000000000000007</v>
      </c>
      <c r="T106" s="17">
        <f>'Rolling report'!CM106*'With Action'!$Y$6</f>
        <v>0.30000000000000004</v>
      </c>
      <c r="U106" s="17">
        <f>'Rolling report'!CN106*'With Action'!$Y$6</f>
        <v>0.20000000000000004</v>
      </c>
      <c r="V106" s="17">
        <f>'Rolling report'!CO106*'With Action'!$Y$6</f>
        <v>0.35000000000000009</v>
      </c>
      <c r="W106" s="17">
        <f>'Rolling report'!CP106*'With Action'!$Y$6</f>
        <v>0.10000000000000002</v>
      </c>
      <c r="X106" s="17">
        <f>'Rolling report'!CQ106*'With Action'!$Y$6</f>
        <v>0.50000000000000011</v>
      </c>
      <c r="Y106" s="17">
        <f>'Rolling report'!CR106*'With Action'!$Y$6</f>
        <v>0</v>
      </c>
      <c r="Z106" s="17">
        <f>'Rolling report'!CS106*'With Action'!$Y$6</f>
        <v>0</v>
      </c>
      <c r="AA106" s="17">
        <f>'Rolling report'!CT106*'With Action'!$Y$6</f>
        <v>0.25000000000000006</v>
      </c>
      <c r="AB106" s="17">
        <f>'Rolling report'!CU106*'With Action'!$Y$6</f>
        <v>0.30000000000000004</v>
      </c>
      <c r="AC106" s="17">
        <f>'Rolling report'!CV106*'With Action'!$Y$6</f>
        <v>0.15000000000000002</v>
      </c>
      <c r="AD106" s="17">
        <f>'Rolling report'!CW106*'With Action'!$Y$6</f>
        <v>0.15000000000000002</v>
      </c>
      <c r="AE106" s="17">
        <f>'Rolling report'!CX106*'With Action'!$Y$6</f>
        <v>0.10000000000000002</v>
      </c>
      <c r="AF106" s="17">
        <f>'Rolling report'!CY106*'With Action'!$Y$6</f>
        <v>-8.0000000000000018</v>
      </c>
      <c r="AG106" s="17">
        <f>'Rolling report'!CZ106*'With Action'!$Y$6</f>
        <v>0</v>
      </c>
      <c r="AH106" s="17">
        <f>'Rolling report'!DA106*'With Action'!$Y$6</f>
        <v>0</v>
      </c>
      <c r="AI106" s="17">
        <f>'Rolling report'!DB106*'With Action'!$Y$6</f>
        <v>0</v>
      </c>
      <c r="AJ106" s="17">
        <f>'Rolling report'!DC106*'With Action'!$Y$6</f>
        <v>0</v>
      </c>
      <c r="AK106" s="17">
        <f>'Rolling report'!DD106*'With Action'!$Y$6</f>
        <v>0</v>
      </c>
      <c r="AL106" s="17">
        <f>'Rolling report'!DE106*'With Action'!$Y$6</f>
        <v>0</v>
      </c>
      <c r="AM106" s="17">
        <f>'Rolling report'!DF106*'With Action'!$Y$6</f>
        <v>0</v>
      </c>
      <c r="AN106" s="17">
        <f>'Rolling report'!DG106*'With Action'!$Y$6</f>
        <v>0</v>
      </c>
      <c r="AO106" s="17">
        <f>'Rolling report'!DH106*'With Action'!$Y$6</f>
        <v>0</v>
      </c>
      <c r="AP106" s="17">
        <f>'Rolling report'!DI106*'With Action'!$Y$6</f>
        <v>0</v>
      </c>
    </row>
    <row r="107" spans="1:42" x14ac:dyDescent="0.25">
      <c r="A107" s="4" t="s">
        <v>203</v>
      </c>
      <c r="B107" s="6" t="s">
        <v>204</v>
      </c>
      <c r="I107" s="17">
        <f>'Rolling report'!CB107*'With Action'!$Y$6</f>
        <v>3.8500000000000005</v>
      </c>
      <c r="J107" s="17">
        <f>'Rolling report'!CC107*'With Action'!$Y$6</f>
        <v>0.30000000000000004</v>
      </c>
      <c r="K107" s="17">
        <f>'Rolling report'!CD107*'With Action'!$Y$6</f>
        <v>0.60000000000000009</v>
      </c>
      <c r="L107" s="17">
        <f>'Rolling report'!CE107*'With Action'!$Y$6</f>
        <v>0.50000000000000011</v>
      </c>
      <c r="M107" s="17">
        <f>'Rolling report'!CF107*'With Action'!$Y$6</f>
        <v>0.50000000000000011</v>
      </c>
      <c r="N107" s="17">
        <f>'Rolling report'!CG107*'With Action'!$Y$6</f>
        <v>0.45000000000000007</v>
      </c>
      <c r="O107" s="17">
        <f>'Rolling report'!CH107*'With Action'!$Y$6</f>
        <v>0.55000000000000016</v>
      </c>
      <c r="P107" s="17">
        <f>'Rolling report'!CI107*'With Action'!$Y$6</f>
        <v>0.40000000000000008</v>
      </c>
      <c r="Q107" s="17">
        <f>'Rolling report'!CJ107*'With Action'!$Y$6</f>
        <v>0.65000000000000013</v>
      </c>
      <c r="R107" s="17">
        <f>'Rolling report'!CK107*'With Action'!$Y$6</f>
        <v>0.30000000000000004</v>
      </c>
      <c r="S107" s="17">
        <f>'Rolling report'!CL107*'With Action'!$Y$6</f>
        <v>0.30000000000000004</v>
      </c>
      <c r="T107" s="17">
        <f>'Rolling report'!CM107*'With Action'!$Y$6</f>
        <v>0.25000000000000006</v>
      </c>
      <c r="U107" s="17">
        <f>'Rolling report'!CN107*'With Action'!$Y$6</f>
        <v>0.20000000000000004</v>
      </c>
      <c r="V107" s="17">
        <f>'Rolling report'!CO107*'With Action'!$Y$6</f>
        <v>0.35000000000000009</v>
      </c>
      <c r="W107" s="17">
        <f>'Rolling report'!CP107*'With Action'!$Y$6</f>
        <v>0.30000000000000004</v>
      </c>
      <c r="X107" s="17">
        <f>'Rolling report'!CQ107*'With Action'!$Y$6</f>
        <v>0.25000000000000006</v>
      </c>
      <c r="Y107" s="17">
        <f>'Rolling report'!CR107*'With Action'!$Y$6</f>
        <v>0.25000000000000006</v>
      </c>
      <c r="Z107" s="17">
        <f>'Rolling report'!CS107*'With Action'!$Y$6</f>
        <v>0.10000000000000002</v>
      </c>
      <c r="AA107" s="17">
        <f>'Rolling report'!CT107*'With Action'!$Y$6</f>
        <v>0.15000000000000002</v>
      </c>
      <c r="AB107" s="17">
        <f>'Rolling report'!CU107*'With Action'!$Y$6</f>
        <v>0</v>
      </c>
      <c r="AC107" s="17">
        <f>'Rolling report'!CV107*'With Action'!$Y$6</f>
        <v>0.50000000000000011</v>
      </c>
      <c r="AD107" s="17">
        <f>'Rolling report'!CW107*'With Action'!$Y$6</f>
        <v>-5.000000000000001E-2</v>
      </c>
      <c r="AE107" s="17">
        <f>'Rolling report'!CX107*'With Action'!$Y$6</f>
        <v>0.25000000000000006</v>
      </c>
      <c r="AF107" s="17">
        <f>'Rolling report'!CY107*'With Action'!$Y$6</f>
        <v>-10.950000000000003</v>
      </c>
      <c r="AG107" s="17">
        <f>'Rolling report'!CZ107*'With Action'!$Y$6</f>
        <v>0</v>
      </c>
      <c r="AH107" s="17">
        <f>'Rolling report'!DA107*'With Action'!$Y$6</f>
        <v>0</v>
      </c>
      <c r="AI107" s="17">
        <f>'Rolling report'!DB107*'With Action'!$Y$6</f>
        <v>0</v>
      </c>
      <c r="AJ107" s="17">
        <f>'Rolling report'!DC107*'With Action'!$Y$6</f>
        <v>0</v>
      </c>
      <c r="AK107" s="17">
        <f>'Rolling report'!DD107*'With Action'!$Y$6</f>
        <v>0</v>
      </c>
      <c r="AL107" s="17">
        <f>'Rolling report'!DE107*'With Action'!$Y$6</f>
        <v>0</v>
      </c>
      <c r="AM107" s="17">
        <f>'Rolling report'!DF107*'With Action'!$Y$6</f>
        <v>0</v>
      </c>
      <c r="AN107" s="17">
        <f>'Rolling report'!DG107*'With Action'!$Y$6</f>
        <v>0</v>
      </c>
      <c r="AO107" s="17">
        <f>'Rolling report'!DH107*'With Action'!$Y$6</f>
        <v>0</v>
      </c>
      <c r="AP107" s="17">
        <f>'Rolling report'!DI107*'With Action'!$Y$6</f>
        <v>0</v>
      </c>
    </row>
    <row r="108" spans="1:42" x14ac:dyDescent="0.25">
      <c r="A108" s="4" t="s">
        <v>205</v>
      </c>
      <c r="B108" s="6" t="s">
        <v>206</v>
      </c>
      <c r="I108" s="17">
        <f>'Rolling report'!CB108*'With Action'!$Y$6</f>
        <v>5.1500000000000012</v>
      </c>
      <c r="J108" s="17">
        <f>'Rolling report'!CC108*'With Action'!$Y$6</f>
        <v>1.5500000000000003</v>
      </c>
      <c r="K108" s="17">
        <f>'Rolling report'!CD108*'With Action'!$Y$6</f>
        <v>0.55000000000000016</v>
      </c>
      <c r="L108" s="17">
        <f>'Rolling report'!CE108*'With Action'!$Y$6</f>
        <v>0.8500000000000002</v>
      </c>
      <c r="M108" s="17">
        <f>'Rolling report'!CF108*'With Action'!$Y$6</f>
        <v>0.75000000000000011</v>
      </c>
      <c r="N108" s="17">
        <f>'Rolling report'!CG108*'With Action'!$Y$6</f>
        <v>0.60000000000000009</v>
      </c>
      <c r="O108" s="17">
        <f>'Rolling report'!CH108*'With Action'!$Y$6</f>
        <v>1.2500000000000002</v>
      </c>
      <c r="P108" s="17">
        <f>'Rolling report'!CI108*'With Action'!$Y$6</f>
        <v>0.55000000000000016</v>
      </c>
      <c r="Q108" s="17">
        <f>'Rolling report'!CJ108*'With Action'!$Y$6</f>
        <v>0.45000000000000007</v>
      </c>
      <c r="R108" s="17">
        <f>'Rolling report'!CK108*'With Action'!$Y$6</f>
        <v>0.40000000000000008</v>
      </c>
      <c r="S108" s="17">
        <f>'Rolling report'!CL108*'With Action'!$Y$6</f>
        <v>0.30000000000000004</v>
      </c>
      <c r="T108" s="17">
        <f>'Rolling report'!CM108*'With Action'!$Y$6</f>
        <v>0.95000000000000018</v>
      </c>
      <c r="U108" s="17">
        <f>'Rolling report'!CN108*'With Action'!$Y$6</f>
        <v>0.8500000000000002</v>
      </c>
      <c r="V108" s="17">
        <f>'Rolling report'!CO108*'With Action'!$Y$6</f>
        <v>0.75000000000000011</v>
      </c>
      <c r="W108" s="17">
        <f>'Rolling report'!CP108*'With Action'!$Y$6</f>
        <v>0.65000000000000013</v>
      </c>
      <c r="X108" s="17">
        <f>'Rolling report'!CQ108*'With Action'!$Y$6</f>
        <v>0.10000000000000002</v>
      </c>
      <c r="Y108" s="17">
        <f>'Rolling report'!CR108*'With Action'!$Y$6</f>
        <v>0.45000000000000007</v>
      </c>
      <c r="Z108" s="17">
        <f>'Rolling report'!CS108*'With Action'!$Y$6</f>
        <v>0.55000000000000016</v>
      </c>
      <c r="AA108" s="17">
        <f>'Rolling report'!CT108*'With Action'!$Y$6</f>
        <v>0.45000000000000007</v>
      </c>
      <c r="AB108" s="17">
        <f>'Rolling report'!CU108*'With Action'!$Y$6</f>
        <v>0.60000000000000009</v>
      </c>
      <c r="AC108" s="17">
        <f>'Rolling report'!CV108*'With Action'!$Y$6</f>
        <v>0.55000000000000016</v>
      </c>
      <c r="AD108" s="17">
        <f>'Rolling report'!CW108*'With Action'!$Y$6</f>
        <v>0.15000000000000002</v>
      </c>
      <c r="AE108" s="17">
        <f>'Rolling report'!CX108*'With Action'!$Y$6</f>
        <v>0.10000000000000002</v>
      </c>
      <c r="AF108" s="17">
        <f>'Rolling report'!CY108*'With Action'!$Y$6</f>
        <v>-18.550000000000004</v>
      </c>
      <c r="AG108" s="17">
        <f>'Rolling report'!CZ108*'With Action'!$Y$6</f>
        <v>0</v>
      </c>
      <c r="AH108" s="17">
        <f>'Rolling report'!DA108*'With Action'!$Y$6</f>
        <v>0</v>
      </c>
      <c r="AI108" s="17">
        <f>'Rolling report'!DB108*'With Action'!$Y$6</f>
        <v>0</v>
      </c>
      <c r="AJ108" s="17">
        <f>'Rolling report'!DC108*'With Action'!$Y$6</f>
        <v>0</v>
      </c>
      <c r="AK108" s="17">
        <f>'Rolling report'!DD108*'With Action'!$Y$6</f>
        <v>0</v>
      </c>
      <c r="AL108" s="17">
        <f>'Rolling report'!DE108*'With Action'!$Y$6</f>
        <v>0</v>
      </c>
      <c r="AM108" s="17">
        <f>'Rolling report'!DF108*'With Action'!$Y$6</f>
        <v>0</v>
      </c>
      <c r="AN108" s="17">
        <f>'Rolling report'!DG108*'With Action'!$Y$6</f>
        <v>0</v>
      </c>
      <c r="AO108" s="17">
        <f>'Rolling report'!DH108*'With Action'!$Y$6</f>
        <v>0</v>
      </c>
      <c r="AP108" s="17">
        <f>'Rolling report'!DI108*'With Action'!$Y$6</f>
        <v>0</v>
      </c>
    </row>
    <row r="109" spans="1:42" x14ac:dyDescent="0.25">
      <c r="A109" s="4" t="s">
        <v>207</v>
      </c>
      <c r="B109" s="6" t="s">
        <v>208</v>
      </c>
      <c r="I109" s="17">
        <f>'Rolling report'!CB109*'With Action'!$Y$6</f>
        <v>0.8500000000000002</v>
      </c>
      <c r="J109" s="17">
        <f>'Rolling report'!CC109*'With Action'!$Y$6</f>
        <v>0.40000000000000008</v>
      </c>
      <c r="K109" s="17">
        <f>'Rolling report'!CD109*'With Action'!$Y$6</f>
        <v>0.35000000000000009</v>
      </c>
      <c r="L109" s="17">
        <f>'Rolling report'!CE109*'With Action'!$Y$6</f>
        <v>0.10000000000000002</v>
      </c>
      <c r="M109" s="17">
        <f>'Rolling report'!CF109*'With Action'!$Y$6</f>
        <v>0.45000000000000007</v>
      </c>
      <c r="N109" s="17">
        <f>'Rolling report'!CG109*'With Action'!$Y$6</f>
        <v>0.20000000000000004</v>
      </c>
      <c r="O109" s="17">
        <f>'Rolling report'!CH109*'With Action'!$Y$6</f>
        <v>0.60000000000000009</v>
      </c>
      <c r="P109" s="17">
        <f>'Rolling report'!CI109*'With Action'!$Y$6</f>
        <v>0</v>
      </c>
      <c r="Q109" s="17">
        <f>'Rolling report'!CJ109*'With Action'!$Y$6</f>
        <v>0.50000000000000011</v>
      </c>
      <c r="R109" s="17">
        <f>'Rolling report'!CK109*'With Action'!$Y$6</f>
        <v>0.10000000000000002</v>
      </c>
      <c r="S109" s="17">
        <f>'Rolling report'!CL109*'With Action'!$Y$6</f>
        <v>0.10000000000000002</v>
      </c>
      <c r="T109" s="17">
        <f>'Rolling report'!CM109*'With Action'!$Y$6</f>
        <v>0.10000000000000002</v>
      </c>
      <c r="U109" s="17">
        <f>'Rolling report'!CN109*'With Action'!$Y$6</f>
        <v>0.30000000000000004</v>
      </c>
      <c r="V109" s="17">
        <f>'Rolling report'!CO109*'With Action'!$Y$6</f>
        <v>0.15000000000000002</v>
      </c>
      <c r="W109" s="17">
        <f>'Rolling report'!CP109*'With Action'!$Y$6</f>
        <v>0</v>
      </c>
      <c r="X109" s="17">
        <f>'Rolling report'!CQ109*'With Action'!$Y$6</f>
        <v>0.10000000000000002</v>
      </c>
      <c r="Y109" s="17">
        <f>'Rolling report'!CR109*'With Action'!$Y$6</f>
        <v>0.10000000000000002</v>
      </c>
      <c r="Z109" s="17">
        <f>'Rolling report'!CS109*'With Action'!$Y$6</f>
        <v>0</v>
      </c>
      <c r="AA109" s="17">
        <f>'Rolling report'!CT109*'With Action'!$Y$6</f>
        <v>0.10000000000000002</v>
      </c>
      <c r="AB109" s="17">
        <f>'Rolling report'!CU109*'With Action'!$Y$6</f>
        <v>0</v>
      </c>
      <c r="AC109" s="17">
        <f>'Rolling report'!CV109*'With Action'!$Y$6</f>
        <v>0.15000000000000002</v>
      </c>
      <c r="AD109" s="17">
        <f>'Rolling report'!CW109*'With Action'!$Y$6</f>
        <v>-0.10000000000000002</v>
      </c>
      <c r="AE109" s="17">
        <f>'Rolling report'!CX109*'With Action'!$Y$6</f>
        <v>5.000000000000001E-2</v>
      </c>
      <c r="AF109" s="17">
        <f>'Rolling report'!CY109*'With Action'!$Y$6</f>
        <v>-4.6000000000000005</v>
      </c>
      <c r="AG109" s="17">
        <f>'Rolling report'!CZ109*'With Action'!$Y$6</f>
        <v>0</v>
      </c>
      <c r="AH109" s="17">
        <f>'Rolling report'!DA109*'With Action'!$Y$6</f>
        <v>0</v>
      </c>
      <c r="AI109" s="17">
        <f>'Rolling report'!DB109*'With Action'!$Y$6</f>
        <v>0</v>
      </c>
      <c r="AJ109" s="17">
        <f>'Rolling report'!DC109*'With Action'!$Y$6</f>
        <v>0</v>
      </c>
      <c r="AK109" s="17">
        <f>'Rolling report'!DD109*'With Action'!$Y$6</f>
        <v>0</v>
      </c>
      <c r="AL109" s="17">
        <f>'Rolling report'!DE109*'With Action'!$Y$6</f>
        <v>0</v>
      </c>
      <c r="AM109" s="17">
        <f>'Rolling report'!DF109*'With Action'!$Y$6</f>
        <v>0</v>
      </c>
      <c r="AN109" s="17">
        <f>'Rolling report'!DG109*'With Action'!$Y$6</f>
        <v>0</v>
      </c>
      <c r="AO109" s="17">
        <f>'Rolling report'!DH109*'With Action'!$Y$6</f>
        <v>0</v>
      </c>
      <c r="AP109" s="17">
        <f>'Rolling report'!DI109*'With Action'!$Y$6</f>
        <v>0</v>
      </c>
    </row>
    <row r="110" spans="1:42" x14ac:dyDescent="0.25">
      <c r="A110" s="4" t="s">
        <v>209</v>
      </c>
      <c r="B110" s="6" t="s">
        <v>210</v>
      </c>
      <c r="I110" s="17">
        <f>'Rolling report'!CB110*'With Action'!$Y$6</f>
        <v>12.100000000000003</v>
      </c>
      <c r="J110" s="17">
        <f>'Rolling report'!CC110*'With Action'!$Y$6</f>
        <v>1.9000000000000004</v>
      </c>
      <c r="K110" s="17">
        <f>'Rolling report'!CD110*'With Action'!$Y$6</f>
        <v>1.4500000000000002</v>
      </c>
      <c r="L110" s="17">
        <f>'Rolling report'!CE110*'With Action'!$Y$6</f>
        <v>1.5000000000000002</v>
      </c>
      <c r="M110" s="17">
        <f>'Rolling report'!CF110*'With Action'!$Y$6</f>
        <v>1.4500000000000002</v>
      </c>
      <c r="N110" s="17">
        <f>'Rolling report'!CG110*'With Action'!$Y$6</f>
        <v>0.80000000000000016</v>
      </c>
      <c r="O110" s="17">
        <f>'Rolling report'!CH110*'With Action'!$Y$6</f>
        <v>2.1000000000000005</v>
      </c>
      <c r="P110" s="17">
        <f>'Rolling report'!CI110*'With Action'!$Y$6</f>
        <v>0.40000000000000008</v>
      </c>
      <c r="Q110" s="17">
        <f>'Rolling report'!CJ110*'With Action'!$Y$6</f>
        <v>0.75000000000000011</v>
      </c>
      <c r="R110" s="17">
        <f>'Rolling report'!CK110*'With Action'!$Y$6</f>
        <v>1.0000000000000002</v>
      </c>
      <c r="S110" s="17">
        <f>'Rolling report'!CL110*'With Action'!$Y$6</f>
        <v>0.90000000000000013</v>
      </c>
      <c r="T110" s="17">
        <f>'Rolling report'!CM110*'With Action'!$Y$6</f>
        <v>1.1500000000000001</v>
      </c>
      <c r="U110" s="17">
        <f>'Rolling report'!CN110*'With Action'!$Y$6</f>
        <v>1.0500000000000003</v>
      </c>
      <c r="V110" s="17">
        <f>'Rolling report'!CO110*'With Action'!$Y$6</f>
        <v>0.90000000000000013</v>
      </c>
      <c r="W110" s="17">
        <f>'Rolling report'!CP110*'With Action'!$Y$6</f>
        <v>0.40000000000000008</v>
      </c>
      <c r="X110" s="17">
        <f>'Rolling report'!CQ110*'With Action'!$Y$6</f>
        <v>0.25000000000000006</v>
      </c>
      <c r="Y110" s="17">
        <f>'Rolling report'!CR110*'With Action'!$Y$6</f>
        <v>0.70000000000000018</v>
      </c>
      <c r="Z110" s="17">
        <f>'Rolling report'!CS110*'With Action'!$Y$6</f>
        <v>0.65000000000000013</v>
      </c>
      <c r="AA110" s="17">
        <f>'Rolling report'!CT110*'With Action'!$Y$6</f>
        <v>0.60000000000000009</v>
      </c>
      <c r="AB110" s="17">
        <f>'Rolling report'!CU110*'With Action'!$Y$6</f>
        <v>0.30000000000000004</v>
      </c>
      <c r="AC110" s="17">
        <f>'Rolling report'!CV110*'With Action'!$Y$6</f>
        <v>0.75000000000000011</v>
      </c>
      <c r="AD110" s="17">
        <f>'Rolling report'!CW110*'With Action'!$Y$6</f>
        <v>0.10000000000000002</v>
      </c>
      <c r="AE110" s="17">
        <f>'Rolling report'!CX110*'With Action'!$Y$6</f>
        <v>0.30000000000000004</v>
      </c>
      <c r="AF110" s="17">
        <f>'Rolling report'!CY110*'With Action'!$Y$6</f>
        <v>-31.500000000000007</v>
      </c>
      <c r="AG110" s="17">
        <f>'Rolling report'!CZ110*'With Action'!$Y$6</f>
        <v>0</v>
      </c>
      <c r="AH110" s="17">
        <f>'Rolling report'!DA110*'With Action'!$Y$6</f>
        <v>0</v>
      </c>
      <c r="AI110" s="17">
        <f>'Rolling report'!DB110*'With Action'!$Y$6</f>
        <v>0</v>
      </c>
      <c r="AJ110" s="17">
        <f>'Rolling report'!DC110*'With Action'!$Y$6</f>
        <v>0</v>
      </c>
      <c r="AK110" s="17">
        <f>'Rolling report'!DD110*'With Action'!$Y$6</f>
        <v>0</v>
      </c>
      <c r="AL110" s="17">
        <f>'Rolling report'!DE110*'With Action'!$Y$6</f>
        <v>0</v>
      </c>
      <c r="AM110" s="17">
        <f>'Rolling report'!DF110*'With Action'!$Y$6</f>
        <v>0</v>
      </c>
      <c r="AN110" s="17">
        <f>'Rolling report'!DG110*'With Action'!$Y$6</f>
        <v>0</v>
      </c>
      <c r="AO110" s="17">
        <f>'Rolling report'!DH110*'With Action'!$Y$6</f>
        <v>0</v>
      </c>
      <c r="AP110" s="17">
        <f>'Rolling report'!DI110*'With Action'!$Y$6</f>
        <v>0</v>
      </c>
    </row>
    <row r="111" spans="1:42" x14ac:dyDescent="0.25">
      <c r="A111" s="4" t="s">
        <v>211</v>
      </c>
      <c r="B111" s="6" t="s">
        <v>212</v>
      </c>
      <c r="I111" s="17">
        <f>'Rolling report'!CB111*'With Action'!$Y$6</f>
        <v>1.0500000000000003</v>
      </c>
      <c r="J111" s="17">
        <f>'Rolling report'!CC111*'With Action'!$Y$6</f>
        <v>0.20000000000000004</v>
      </c>
      <c r="K111" s="17">
        <f>'Rolling report'!CD111*'With Action'!$Y$6</f>
        <v>0.25000000000000006</v>
      </c>
      <c r="L111" s="17">
        <f>'Rolling report'!CE111*'With Action'!$Y$6</f>
        <v>0.30000000000000004</v>
      </c>
      <c r="M111" s="17">
        <f>'Rolling report'!CF111*'With Action'!$Y$6</f>
        <v>0.40000000000000008</v>
      </c>
      <c r="N111" s="17">
        <f>'Rolling report'!CG111*'With Action'!$Y$6</f>
        <v>0.20000000000000004</v>
      </c>
      <c r="O111" s="17">
        <f>'Rolling report'!CH111*'With Action'!$Y$6</f>
        <v>0.15000000000000002</v>
      </c>
      <c r="P111" s="17">
        <f>'Rolling report'!CI111*'With Action'!$Y$6</f>
        <v>0</v>
      </c>
      <c r="Q111" s="17">
        <f>'Rolling report'!CJ111*'With Action'!$Y$6</f>
        <v>0.20000000000000004</v>
      </c>
      <c r="R111" s="17">
        <f>'Rolling report'!CK111*'With Action'!$Y$6</f>
        <v>0.25000000000000006</v>
      </c>
      <c r="S111" s="17">
        <f>'Rolling report'!CL111*'With Action'!$Y$6</f>
        <v>5.000000000000001E-2</v>
      </c>
      <c r="T111" s="17">
        <f>'Rolling report'!CM111*'With Action'!$Y$6</f>
        <v>0.15000000000000002</v>
      </c>
      <c r="U111" s="17">
        <f>'Rolling report'!CN111*'With Action'!$Y$6</f>
        <v>0</v>
      </c>
      <c r="V111" s="17">
        <f>'Rolling report'!CO111*'With Action'!$Y$6</f>
        <v>0</v>
      </c>
      <c r="W111" s="17">
        <f>'Rolling report'!CP111*'With Action'!$Y$6</f>
        <v>5.000000000000001E-2</v>
      </c>
      <c r="X111" s="17">
        <f>'Rolling report'!CQ111*'With Action'!$Y$6</f>
        <v>0.10000000000000002</v>
      </c>
      <c r="Y111" s="17">
        <f>'Rolling report'!CR111*'With Action'!$Y$6</f>
        <v>0.20000000000000004</v>
      </c>
      <c r="Z111" s="17">
        <f>'Rolling report'!CS111*'With Action'!$Y$6</f>
        <v>0.10000000000000002</v>
      </c>
      <c r="AA111" s="17">
        <f>'Rolling report'!CT111*'With Action'!$Y$6</f>
        <v>0.10000000000000002</v>
      </c>
      <c r="AB111" s="17">
        <f>'Rolling report'!CU111*'With Action'!$Y$6</f>
        <v>0.10000000000000002</v>
      </c>
      <c r="AC111" s="17">
        <f>'Rolling report'!CV111*'With Action'!$Y$6</f>
        <v>0.10000000000000002</v>
      </c>
      <c r="AD111" s="17">
        <f>'Rolling report'!CW111*'With Action'!$Y$6</f>
        <v>0</v>
      </c>
      <c r="AE111" s="17">
        <f>'Rolling report'!CX111*'With Action'!$Y$6</f>
        <v>0.30000000000000004</v>
      </c>
      <c r="AF111" s="17">
        <f>'Rolling report'!CY111*'With Action'!$Y$6</f>
        <v>-4.2500000000000009</v>
      </c>
      <c r="AG111" s="17">
        <f>'Rolling report'!CZ111*'With Action'!$Y$6</f>
        <v>0</v>
      </c>
      <c r="AH111" s="17">
        <f>'Rolling report'!DA111*'With Action'!$Y$6</f>
        <v>0</v>
      </c>
      <c r="AI111" s="17">
        <f>'Rolling report'!DB111*'With Action'!$Y$6</f>
        <v>0</v>
      </c>
      <c r="AJ111" s="17">
        <f>'Rolling report'!DC111*'With Action'!$Y$6</f>
        <v>0</v>
      </c>
      <c r="AK111" s="17">
        <f>'Rolling report'!DD111*'With Action'!$Y$6</f>
        <v>0</v>
      </c>
      <c r="AL111" s="17">
        <f>'Rolling report'!DE111*'With Action'!$Y$6</f>
        <v>0</v>
      </c>
      <c r="AM111" s="17">
        <f>'Rolling report'!DF111*'With Action'!$Y$6</f>
        <v>0</v>
      </c>
      <c r="AN111" s="17">
        <f>'Rolling report'!DG111*'With Action'!$Y$6</f>
        <v>0</v>
      </c>
      <c r="AO111" s="17">
        <f>'Rolling report'!DH111*'With Action'!$Y$6</f>
        <v>0</v>
      </c>
      <c r="AP111" s="17">
        <f>'Rolling report'!DI111*'With Action'!$Y$6</f>
        <v>0</v>
      </c>
    </row>
    <row r="112" spans="1:42" x14ac:dyDescent="0.25">
      <c r="A112" s="4" t="s">
        <v>213</v>
      </c>
      <c r="B112" s="6" t="s">
        <v>214</v>
      </c>
      <c r="I112" s="17">
        <f>'Rolling report'!CB112*'With Action'!$Y$6</f>
        <v>2.1000000000000005</v>
      </c>
      <c r="J112" s="17">
        <f>'Rolling report'!CC112*'With Action'!$Y$6</f>
        <v>0.30000000000000004</v>
      </c>
      <c r="K112" s="17">
        <f>'Rolling report'!CD112*'With Action'!$Y$6</f>
        <v>0.10000000000000002</v>
      </c>
      <c r="L112" s="17">
        <f>'Rolling report'!CE112*'With Action'!$Y$6</f>
        <v>0.30000000000000004</v>
      </c>
      <c r="M112" s="17">
        <f>'Rolling report'!CF112*'With Action'!$Y$6</f>
        <v>0.30000000000000004</v>
      </c>
      <c r="N112" s="17">
        <f>'Rolling report'!CG112*'With Action'!$Y$6</f>
        <v>0.20000000000000004</v>
      </c>
      <c r="O112" s="17">
        <f>'Rolling report'!CH112*'With Action'!$Y$6</f>
        <v>0.25000000000000006</v>
      </c>
      <c r="P112" s="17">
        <f>'Rolling report'!CI112*'With Action'!$Y$6</f>
        <v>0.35000000000000009</v>
      </c>
      <c r="Q112" s="17">
        <f>'Rolling report'!CJ112*'With Action'!$Y$6</f>
        <v>0.10000000000000002</v>
      </c>
      <c r="R112" s="17">
        <f>'Rolling report'!CK112*'With Action'!$Y$6</f>
        <v>5.000000000000001E-2</v>
      </c>
      <c r="S112" s="17">
        <f>'Rolling report'!CL112*'With Action'!$Y$6</f>
        <v>0.25000000000000006</v>
      </c>
      <c r="T112" s="17">
        <f>'Rolling report'!CM112*'With Action'!$Y$6</f>
        <v>0.30000000000000004</v>
      </c>
      <c r="U112" s="17">
        <f>'Rolling report'!CN112*'With Action'!$Y$6</f>
        <v>0.40000000000000008</v>
      </c>
      <c r="V112" s="17">
        <f>'Rolling report'!CO112*'With Action'!$Y$6</f>
        <v>0.10000000000000002</v>
      </c>
      <c r="W112" s="17">
        <f>'Rolling report'!CP112*'With Action'!$Y$6</f>
        <v>0.25000000000000006</v>
      </c>
      <c r="X112" s="17">
        <f>'Rolling report'!CQ112*'With Action'!$Y$6</f>
        <v>0</v>
      </c>
      <c r="Y112" s="17">
        <f>'Rolling report'!CR112*'With Action'!$Y$6</f>
        <v>0.10000000000000002</v>
      </c>
      <c r="Z112" s="17">
        <f>'Rolling report'!CS112*'With Action'!$Y$6</f>
        <v>5.000000000000001E-2</v>
      </c>
      <c r="AA112" s="17">
        <f>'Rolling report'!CT112*'With Action'!$Y$6</f>
        <v>5.000000000000001E-2</v>
      </c>
      <c r="AB112" s="17">
        <f>'Rolling report'!CU112*'With Action'!$Y$6</f>
        <v>0.20000000000000004</v>
      </c>
      <c r="AC112" s="17">
        <f>'Rolling report'!CV112*'With Action'!$Y$6</f>
        <v>0.15000000000000002</v>
      </c>
      <c r="AD112" s="17">
        <f>'Rolling report'!CW112*'With Action'!$Y$6</f>
        <v>0.20000000000000004</v>
      </c>
      <c r="AE112" s="17">
        <f>'Rolling report'!CX112*'With Action'!$Y$6</f>
        <v>0.10000000000000002</v>
      </c>
      <c r="AF112" s="17">
        <f>'Rolling report'!CY112*'With Action'!$Y$6</f>
        <v>-6.2000000000000011</v>
      </c>
      <c r="AG112" s="17">
        <f>'Rolling report'!CZ112*'With Action'!$Y$6</f>
        <v>0</v>
      </c>
      <c r="AH112" s="17">
        <f>'Rolling report'!DA112*'With Action'!$Y$6</f>
        <v>0</v>
      </c>
      <c r="AI112" s="17">
        <f>'Rolling report'!DB112*'With Action'!$Y$6</f>
        <v>0</v>
      </c>
      <c r="AJ112" s="17">
        <f>'Rolling report'!DC112*'With Action'!$Y$6</f>
        <v>0</v>
      </c>
      <c r="AK112" s="17">
        <f>'Rolling report'!DD112*'With Action'!$Y$6</f>
        <v>0</v>
      </c>
      <c r="AL112" s="17">
        <f>'Rolling report'!DE112*'With Action'!$Y$6</f>
        <v>0</v>
      </c>
      <c r="AM112" s="17">
        <f>'Rolling report'!DF112*'With Action'!$Y$6</f>
        <v>0</v>
      </c>
      <c r="AN112" s="17">
        <f>'Rolling report'!DG112*'With Action'!$Y$6</f>
        <v>0</v>
      </c>
      <c r="AO112" s="17">
        <f>'Rolling report'!DH112*'With Action'!$Y$6</f>
        <v>0</v>
      </c>
      <c r="AP112" s="17">
        <f>'Rolling report'!DI112*'With Action'!$Y$6</f>
        <v>0</v>
      </c>
    </row>
    <row r="113" spans="1:42" x14ac:dyDescent="0.25">
      <c r="A113" s="4" t="s">
        <v>215</v>
      </c>
      <c r="B113" s="6" t="s">
        <v>216</v>
      </c>
      <c r="I113" s="17">
        <f>'Rolling report'!CB113*'With Action'!$Y$6</f>
        <v>1.2000000000000002</v>
      </c>
      <c r="J113" s="17">
        <f>'Rolling report'!CC113*'With Action'!$Y$6</f>
        <v>0.30000000000000004</v>
      </c>
      <c r="K113" s="17">
        <f>'Rolling report'!CD113*'With Action'!$Y$6</f>
        <v>0.10000000000000002</v>
      </c>
      <c r="L113" s="17">
        <f>'Rolling report'!CE113*'With Action'!$Y$6</f>
        <v>0.35000000000000009</v>
      </c>
      <c r="M113" s="17">
        <f>'Rolling report'!CF113*'With Action'!$Y$6</f>
        <v>0.15000000000000002</v>
      </c>
      <c r="N113" s="17">
        <f>'Rolling report'!CG113*'With Action'!$Y$6</f>
        <v>0.8500000000000002</v>
      </c>
      <c r="O113" s="17">
        <f>'Rolling report'!CH113*'With Action'!$Y$6</f>
        <v>0.30000000000000004</v>
      </c>
      <c r="P113" s="17">
        <f>'Rolling report'!CI113*'With Action'!$Y$6</f>
        <v>0.20000000000000004</v>
      </c>
      <c r="Q113" s="17">
        <f>'Rolling report'!CJ113*'With Action'!$Y$6</f>
        <v>0.10000000000000002</v>
      </c>
      <c r="R113" s="17">
        <f>'Rolling report'!CK113*'With Action'!$Y$6</f>
        <v>0.50000000000000011</v>
      </c>
      <c r="S113" s="17">
        <f>'Rolling report'!CL113*'With Action'!$Y$6</f>
        <v>0.20000000000000004</v>
      </c>
      <c r="T113" s="17">
        <f>'Rolling report'!CM113*'With Action'!$Y$6</f>
        <v>0</v>
      </c>
      <c r="U113" s="17">
        <f>'Rolling report'!CN113*'With Action'!$Y$6</f>
        <v>0.15000000000000002</v>
      </c>
      <c r="V113" s="17">
        <f>'Rolling report'!CO113*'With Action'!$Y$6</f>
        <v>0</v>
      </c>
      <c r="W113" s="17">
        <f>'Rolling report'!CP113*'With Action'!$Y$6</f>
        <v>0.30000000000000004</v>
      </c>
      <c r="X113" s="17">
        <f>'Rolling report'!CQ113*'With Action'!$Y$6</f>
        <v>0.20000000000000004</v>
      </c>
      <c r="Y113" s="17">
        <f>'Rolling report'!CR113*'With Action'!$Y$6</f>
        <v>0.30000000000000004</v>
      </c>
      <c r="Z113" s="17">
        <f>'Rolling report'!CS113*'With Action'!$Y$6</f>
        <v>0</v>
      </c>
      <c r="AA113" s="17">
        <f>'Rolling report'!CT113*'With Action'!$Y$6</f>
        <v>0.15000000000000002</v>
      </c>
      <c r="AB113" s="17">
        <f>'Rolling report'!CU113*'With Action'!$Y$6</f>
        <v>0.20000000000000004</v>
      </c>
      <c r="AC113" s="17">
        <f>'Rolling report'!CV113*'With Action'!$Y$6</f>
        <v>0.10000000000000002</v>
      </c>
      <c r="AD113" s="17">
        <f>'Rolling report'!CW113*'With Action'!$Y$6</f>
        <v>5.000000000000001E-2</v>
      </c>
      <c r="AE113" s="17">
        <f>'Rolling report'!CX113*'With Action'!$Y$6</f>
        <v>0.10000000000000002</v>
      </c>
      <c r="AF113" s="17">
        <f>'Rolling report'!CY113*'With Action'!$Y$6</f>
        <v>-5.8000000000000007</v>
      </c>
      <c r="AG113" s="17">
        <f>'Rolling report'!CZ113*'With Action'!$Y$6</f>
        <v>0</v>
      </c>
      <c r="AH113" s="17">
        <f>'Rolling report'!DA113*'With Action'!$Y$6</f>
        <v>0</v>
      </c>
      <c r="AI113" s="17">
        <f>'Rolling report'!DB113*'With Action'!$Y$6</f>
        <v>0</v>
      </c>
      <c r="AJ113" s="17">
        <f>'Rolling report'!DC113*'With Action'!$Y$6</f>
        <v>0</v>
      </c>
      <c r="AK113" s="17">
        <f>'Rolling report'!DD113*'With Action'!$Y$6</f>
        <v>0</v>
      </c>
      <c r="AL113" s="17">
        <f>'Rolling report'!DE113*'With Action'!$Y$6</f>
        <v>0</v>
      </c>
      <c r="AM113" s="17">
        <f>'Rolling report'!DF113*'With Action'!$Y$6</f>
        <v>0</v>
      </c>
      <c r="AN113" s="17">
        <f>'Rolling report'!DG113*'With Action'!$Y$6</f>
        <v>0</v>
      </c>
      <c r="AO113" s="17">
        <f>'Rolling report'!DH113*'With Action'!$Y$6</f>
        <v>0</v>
      </c>
      <c r="AP113" s="17">
        <f>'Rolling report'!DI113*'With Action'!$Y$6</f>
        <v>0</v>
      </c>
    </row>
    <row r="114" spans="1:42" x14ac:dyDescent="0.25">
      <c r="A114" s="4" t="s">
        <v>217</v>
      </c>
      <c r="B114" s="6" t="s">
        <v>218</v>
      </c>
      <c r="I114" s="17">
        <f>'Rolling report'!CB114*'With Action'!$Y$6</f>
        <v>2.5500000000000007</v>
      </c>
      <c r="J114" s="17">
        <f>'Rolling report'!CC114*'With Action'!$Y$6</f>
        <v>1.1000000000000003</v>
      </c>
      <c r="K114" s="17">
        <f>'Rolling report'!CD114*'With Action'!$Y$6</f>
        <v>0.25000000000000006</v>
      </c>
      <c r="L114" s="17">
        <f>'Rolling report'!CE114*'With Action'!$Y$6</f>
        <v>0.25000000000000006</v>
      </c>
      <c r="M114" s="17">
        <f>'Rolling report'!CF114*'With Action'!$Y$6</f>
        <v>0.55000000000000016</v>
      </c>
      <c r="N114" s="17">
        <f>'Rolling report'!CG114*'With Action'!$Y$6</f>
        <v>0.25000000000000006</v>
      </c>
      <c r="O114" s="17">
        <f>'Rolling report'!CH114*'With Action'!$Y$6</f>
        <v>0.75000000000000011</v>
      </c>
      <c r="P114" s="17">
        <f>'Rolling report'!CI114*'With Action'!$Y$6</f>
        <v>0.50000000000000011</v>
      </c>
      <c r="Q114" s="17">
        <f>'Rolling report'!CJ114*'With Action'!$Y$6</f>
        <v>5.000000000000001E-2</v>
      </c>
      <c r="R114" s="17">
        <f>'Rolling report'!CK114*'With Action'!$Y$6</f>
        <v>0</v>
      </c>
      <c r="S114" s="17">
        <f>'Rolling report'!CL114*'With Action'!$Y$6</f>
        <v>0.15000000000000002</v>
      </c>
      <c r="T114" s="17">
        <f>'Rolling report'!CM114*'With Action'!$Y$6</f>
        <v>0.20000000000000004</v>
      </c>
      <c r="U114" s="17">
        <f>'Rolling report'!CN114*'With Action'!$Y$6</f>
        <v>0.45000000000000007</v>
      </c>
      <c r="V114" s="17">
        <f>'Rolling report'!CO114*'With Action'!$Y$6</f>
        <v>0.30000000000000004</v>
      </c>
      <c r="W114" s="17">
        <f>'Rolling report'!CP114*'With Action'!$Y$6</f>
        <v>0.15000000000000002</v>
      </c>
      <c r="X114" s="17">
        <f>'Rolling report'!CQ114*'With Action'!$Y$6</f>
        <v>0.20000000000000004</v>
      </c>
      <c r="Y114" s="17">
        <f>'Rolling report'!CR114*'With Action'!$Y$6</f>
        <v>0.20000000000000004</v>
      </c>
      <c r="Z114" s="17">
        <f>'Rolling report'!CS114*'With Action'!$Y$6</f>
        <v>0.10000000000000002</v>
      </c>
      <c r="AA114" s="17">
        <f>'Rolling report'!CT114*'With Action'!$Y$6</f>
        <v>0.10000000000000002</v>
      </c>
      <c r="AB114" s="17">
        <f>'Rolling report'!CU114*'With Action'!$Y$6</f>
        <v>0.45000000000000007</v>
      </c>
      <c r="AC114" s="17">
        <f>'Rolling report'!CV114*'With Action'!$Y$6</f>
        <v>0.45000000000000007</v>
      </c>
      <c r="AD114" s="17">
        <f>'Rolling report'!CW114*'With Action'!$Y$6</f>
        <v>0.15000000000000002</v>
      </c>
      <c r="AE114" s="17">
        <f>'Rolling report'!CX114*'With Action'!$Y$6</f>
        <v>0.45000000000000007</v>
      </c>
      <c r="AF114" s="17">
        <f>'Rolling report'!CY114*'With Action'!$Y$6</f>
        <v>-9.6000000000000014</v>
      </c>
      <c r="AG114" s="17">
        <f>'Rolling report'!CZ114*'With Action'!$Y$6</f>
        <v>0</v>
      </c>
      <c r="AH114" s="17">
        <f>'Rolling report'!DA114*'With Action'!$Y$6</f>
        <v>0</v>
      </c>
      <c r="AI114" s="17">
        <f>'Rolling report'!DB114*'With Action'!$Y$6</f>
        <v>0</v>
      </c>
      <c r="AJ114" s="17">
        <f>'Rolling report'!DC114*'With Action'!$Y$6</f>
        <v>0</v>
      </c>
      <c r="AK114" s="17">
        <f>'Rolling report'!DD114*'With Action'!$Y$6</f>
        <v>0</v>
      </c>
      <c r="AL114" s="17">
        <f>'Rolling report'!DE114*'With Action'!$Y$6</f>
        <v>0</v>
      </c>
      <c r="AM114" s="17">
        <f>'Rolling report'!DF114*'With Action'!$Y$6</f>
        <v>0</v>
      </c>
      <c r="AN114" s="17">
        <f>'Rolling report'!DG114*'With Action'!$Y$6</f>
        <v>0</v>
      </c>
      <c r="AO114" s="17">
        <f>'Rolling report'!DH114*'With Action'!$Y$6</f>
        <v>0</v>
      </c>
      <c r="AP114" s="17">
        <f>'Rolling report'!DI114*'With Action'!$Y$6</f>
        <v>0</v>
      </c>
    </row>
    <row r="115" spans="1:42" x14ac:dyDescent="0.25">
      <c r="A115" s="4" t="s">
        <v>219</v>
      </c>
      <c r="B115" s="6" t="s">
        <v>220</v>
      </c>
      <c r="I115" s="17">
        <f>'Rolling report'!CB115*'With Action'!$Y$6</f>
        <v>0.70000000000000018</v>
      </c>
      <c r="J115" s="17">
        <f>'Rolling report'!CC115*'With Action'!$Y$6</f>
        <v>0.55000000000000016</v>
      </c>
      <c r="K115" s="17">
        <f>'Rolling report'!CD115*'With Action'!$Y$6</f>
        <v>0</v>
      </c>
      <c r="L115" s="17">
        <f>'Rolling report'!CE115*'With Action'!$Y$6</f>
        <v>0</v>
      </c>
      <c r="M115" s="17">
        <f>'Rolling report'!CF115*'With Action'!$Y$6</f>
        <v>0</v>
      </c>
      <c r="N115" s="17">
        <f>'Rolling report'!CG115*'With Action'!$Y$6</f>
        <v>0.35000000000000009</v>
      </c>
      <c r="O115" s="17">
        <f>'Rolling report'!CH115*'With Action'!$Y$6</f>
        <v>0.40000000000000008</v>
      </c>
      <c r="P115" s="17">
        <f>'Rolling report'!CI115*'With Action'!$Y$6</f>
        <v>0</v>
      </c>
      <c r="Q115" s="17">
        <f>'Rolling report'!CJ115*'With Action'!$Y$6</f>
        <v>0</v>
      </c>
      <c r="R115" s="17">
        <f>'Rolling report'!CK115*'With Action'!$Y$6</f>
        <v>0.30000000000000004</v>
      </c>
      <c r="S115" s="17">
        <f>'Rolling report'!CL115*'With Action'!$Y$6</f>
        <v>5.000000000000001E-2</v>
      </c>
      <c r="T115" s="17">
        <f>'Rolling report'!CM115*'With Action'!$Y$6</f>
        <v>0.45000000000000007</v>
      </c>
      <c r="U115" s="17">
        <f>'Rolling report'!CN115*'With Action'!$Y$6</f>
        <v>5.000000000000001E-2</v>
      </c>
      <c r="V115" s="17">
        <f>'Rolling report'!CO115*'With Action'!$Y$6</f>
        <v>0.45000000000000007</v>
      </c>
      <c r="W115" s="17">
        <f>'Rolling report'!CP115*'With Action'!$Y$6</f>
        <v>5.000000000000001E-2</v>
      </c>
      <c r="X115" s="17">
        <f>'Rolling report'!CQ115*'With Action'!$Y$6</f>
        <v>5.000000000000001E-2</v>
      </c>
      <c r="Y115" s="17">
        <f>'Rolling report'!CR115*'With Action'!$Y$6</f>
        <v>0.10000000000000002</v>
      </c>
      <c r="Z115" s="17">
        <f>'Rolling report'!CS115*'With Action'!$Y$6</f>
        <v>0</v>
      </c>
      <c r="AA115" s="17">
        <f>'Rolling report'!CT115*'With Action'!$Y$6</f>
        <v>5.000000000000001E-2</v>
      </c>
      <c r="AB115" s="17">
        <f>'Rolling report'!CU115*'With Action'!$Y$6</f>
        <v>0.25000000000000006</v>
      </c>
      <c r="AC115" s="17">
        <f>'Rolling report'!CV115*'With Action'!$Y$6</f>
        <v>0.15000000000000002</v>
      </c>
      <c r="AD115" s="17">
        <f>'Rolling report'!CW115*'With Action'!$Y$6</f>
        <v>0</v>
      </c>
      <c r="AE115" s="17">
        <f>'Rolling report'!CX115*'With Action'!$Y$6</f>
        <v>0.20000000000000004</v>
      </c>
      <c r="AF115" s="17">
        <f>'Rolling report'!CY115*'With Action'!$Y$6</f>
        <v>-4.1500000000000012</v>
      </c>
      <c r="AG115" s="17">
        <f>'Rolling report'!CZ115*'With Action'!$Y$6</f>
        <v>0</v>
      </c>
      <c r="AH115" s="17">
        <f>'Rolling report'!DA115*'With Action'!$Y$6</f>
        <v>0</v>
      </c>
      <c r="AI115" s="17">
        <f>'Rolling report'!DB115*'With Action'!$Y$6</f>
        <v>0</v>
      </c>
      <c r="AJ115" s="17">
        <f>'Rolling report'!DC115*'With Action'!$Y$6</f>
        <v>0</v>
      </c>
      <c r="AK115" s="17">
        <f>'Rolling report'!DD115*'With Action'!$Y$6</f>
        <v>0</v>
      </c>
      <c r="AL115" s="17">
        <f>'Rolling report'!DE115*'With Action'!$Y$6</f>
        <v>0</v>
      </c>
      <c r="AM115" s="17">
        <f>'Rolling report'!DF115*'With Action'!$Y$6</f>
        <v>0</v>
      </c>
      <c r="AN115" s="17">
        <f>'Rolling report'!DG115*'With Action'!$Y$6</f>
        <v>0</v>
      </c>
      <c r="AO115" s="17">
        <f>'Rolling report'!DH115*'With Action'!$Y$6</f>
        <v>0</v>
      </c>
      <c r="AP115" s="17">
        <f>'Rolling report'!DI115*'With Action'!$Y$6</f>
        <v>0</v>
      </c>
    </row>
    <row r="116" spans="1:42" x14ac:dyDescent="0.25">
      <c r="A116" s="4" t="s">
        <v>221</v>
      </c>
      <c r="B116" s="6" t="s">
        <v>222</v>
      </c>
      <c r="I116" s="17">
        <f>'Rolling report'!CB116*'With Action'!$Y$6</f>
        <v>3.5500000000000007</v>
      </c>
      <c r="J116" s="17">
        <f>'Rolling report'!CC116*'With Action'!$Y$6</f>
        <v>0.90000000000000013</v>
      </c>
      <c r="K116" s="17">
        <f>'Rolling report'!CD116*'With Action'!$Y$6</f>
        <v>0.50000000000000011</v>
      </c>
      <c r="L116" s="17">
        <f>'Rolling report'!CE116*'With Action'!$Y$6</f>
        <v>0.8500000000000002</v>
      </c>
      <c r="M116" s="17">
        <f>'Rolling report'!CF116*'With Action'!$Y$6</f>
        <v>0.65000000000000013</v>
      </c>
      <c r="N116" s="17">
        <f>'Rolling report'!CG116*'With Action'!$Y$6</f>
        <v>0.45000000000000007</v>
      </c>
      <c r="O116" s="17">
        <f>'Rolling report'!CH116*'With Action'!$Y$6</f>
        <v>0.55000000000000016</v>
      </c>
      <c r="P116" s="17">
        <f>'Rolling report'!CI116*'With Action'!$Y$6</f>
        <v>0.30000000000000004</v>
      </c>
      <c r="Q116" s="17">
        <f>'Rolling report'!CJ116*'With Action'!$Y$6</f>
        <v>0.30000000000000004</v>
      </c>
      <c r="R116" s="17">
        <f>'Rolling report'!CK116*'With Action'!$Y$6</f>
        <v>0.60000000000000009</v>
      </c>
      <c r="S116" s="17">
        <f>'Rolling report'!CL116*'With Action'!$Y$6</f>
        <v>0.10000000000000002</v>
      </c>
      <c r="T116" s="17">
        <f>'Rolling report'!CM116*'With Action'!$Y$6</f>
        <v>0.10000000000000002</v>
      </c>
      <c r="U116" s="17">
        <f>'Rolling report'!CN116*'With Action'!$Y$6</f>
        <v>5.000000000000001E-2</v>
      </c>
      <c r="V116" s="17">
        <f>'Rolling report'!CO116*'With Action'!$Y$6</f>
        <v>0.35000000000000009</v>
      </c>
      <c r="W116" s="17">
        <f>'Rolling report'!CP116*'With Action'!$Y$6</f>
        <v>0.15000000000000002</v>
      </c>
      <c r="X116" s="17">
        <f>'Rolling report'!CQ116*'With Action'!$Y$6</f>
        <v>0</v>
      </c>
      <c r="Y116" s="17">
        <f>'Rolling report'!CR116*'With Action'!$Y$6</f>
        <v>0.30000000000000004</v>
      </c>
      <c r="Z116" s="17">
        <f>'Rolling report'!CS116*'With Action'!$Y$6</f>
        <v>0</v>
      </c>
      <c r="AA116" s="17">
        <f>'Rolling report'!CT116*'With Action'!$Y$6</f>
        <v>0.15000000000000002</v>
      </c>
      <c r="AB116" s="17">
        <f>'Rolling report'!CU116*'With Action'!$Y$6</f>
        <v>0.10000000000000002</v>
      </c>
      <c r="AC116" s="17">
        <f>'Rolling report'!CV116*'With Action'!$Y$6</f>
        <v>0.25000000000000006</v>
      </c>
      <c r="AD116" s="17">
        <f>'Rolling report'!CW116*'With Action'!$Y$6</f>
        <v>-5.000000000000001E-2</v>
      </c>
      <c r="AE116" s="17">
        <f>'Rolling report'!CX116*'With Action'!$Y$6</f>
        <v>0.10000000000000002</v>
      </c>
      <c r="AF116" s="17">
        <f>'Rolling report'!CY116*'With Action'!$Y$6</f>
        <v>-10.250000000000002</v>
      </c>
      <c r="AG116" s="17">
        <f>'Rolling report'!CZ116*'With Action'!$Y$6</f>
        <v>0</v>
      </c>
      <c r="AH116" s="17">
        <f>'Rolling report'!DA116*'With Action'!$Y$6</f>
        <v>0</v>
      </c>
      <c r="AI116" s="17">
        <f>'Rolling report'!DB116*'With Action'!$Y$6</f>
        <v>0</v>
      </c>
      <c r="AJ116" s="17">
        <f>'Rolling report'!DC116*'With Action'!$Y$6</f>
        <v>0</v>
      </c>
      <c r="AK116" s="17">
        <f>'Rolling report'!DD116*'With Action'!$Y$6</f>
        <v>0</v>
      </c>
      <c r="AL116" s="17">
        <f>'Rolling report'!DE116*'With Action'!$Y$6</f>
        <v>0</v>
      </c>
      <c r="AM116" s="17">
        <f>'Rolling report'!DF116*'With Action'!$Y$6</f>
        <v>0</v>
      </c>
      <c r="AN116" s="17">
        <f>'Rolling report'!DG116*'With Action'!$Y$6</f>
        <v>0</v>
      </c>
      <c r="AO116" s="17">
        <f>'Rolling report'!DH116*'With Action'!$Y$6</f>
        <v>0</v>
      </c>
      <c r="AP116" s="17">
        <f>'Rolling report'!DI116*'With Action'!$Y$6</f>
        <v>0</v>
      </c>
    </row>
    <row r="117" spans="1:42" x14ac:dyDescent="0.25">
      <c r="A117" s="4" t="s">
        <v>223</v>
      </c>
      <c r="B117" s="6" t="s">
        <v>224</v>
      </c>
      <c r="I117" s="17">
        <f>'Rolling report'!CB117*'With Action'!$Y$6</f>
        <v>8.0500000000000007</v>
      </c>
      <c r="J117" s="17">
        <f>'Rolling report'!CC117*'With Action'!$Y$6</f>
        <v>1.3000000000000003</v>
      </c>
      <c r="K117" s="17">
        <f>'Rolling report'!CD117*'With Action'!$Y$6</f>
        <v>1.3500000000000003</v>
      </c>
      <c r="L117" s="17">
        <f>'Rolling report'!CE117*'With Action'!$Y$6</f>
        <v>1.2500000000000002</v>
      </c>
      <c r="M117" s="17">
        <f>'Rolling report'!CF117*'With Action'!$Y$6</f>
        <v>0.90000000000000013</v>
      </c>
      <c r="N117" s="17">
        <f>'Rolling report'!CG117*'With Action'!$Y$6</f>
        <v>0.65000000000000013</v>
      </c>
      <c r="O117" s="17">
        <f>'Rolling report'!CH117*'With Action'!$Y$6</f>
        <v>2.2000000000000006</v>
      </c>
      <c r="P117" s="17">
        <f>'Rolling report'!CI117*'With Action'!$Y$6</f>
        <v>1.0500000000000003</v>
      </c>
      <c r="Q117" s="17">
        <f>'Rolling report'!CJ117*'With Action'!$Y$6</f>
        <v>1.4500000000000002</v>
      </c>
      <c r="R117" s="17">
        <f>'Rolling report'!CK117*'With Action'!$Y$6</f>
        <v>1.0000000000000002</v>
      </c>
      <c r="S117" s="17">
        <f>'Rolling report'!CL117*'With Action'!$Y$6</f>
        <v>0.75000000000000011</v>
      </c>
      <c r="T117" s="17">
        <f>'Rolling report'!CM117*'With Action'!$Y$6</f>
        <v>1.1000000000000003</v>
      </c>
      <c r="U117" s="17">
        <f>'Rolling report'!CN117*'With Action'!$Y$6</f>
        <v>0.90000000000000013</v>
      </c>
      <c r="V117" s="17">
        <f>'Rolling report'!CO117*'With Action'!$Y$6</f>
        <v>1.1500000000000001</v>
      </c>
      <c r="W117" s="17">
        <f>'Rolling report'!CP117*'With Action'!$Y$6</f>
        <v>0.35000000000000009</v>
      </c>
      <c r="X117" s="17">
        <f>'Rolling report'!CQ117*'With Action'!$Y$6</f>
        <v>0.55000000000000016</v>
      </c>
      <c r="Y117" s="17">
        <f>'Rolling report'!CR117*'With Action'!$Y$6</f>
        <v>0.55000000000000016</v>
      </c>
      <c r="Z117" s="17">
        <f>'Rolling report'!CS117*'With Action'!$Y$6</f>
        <v>0.20000000000000004</v>
      </c>
      <c r="AA117" s="17">
        <f>'Rolling report'!CT117*'With Action'!$Y$6</f>
        <v>0.45000000000000007</v>
      </c>
      <c r="AB117" s="17">
        <f>'Rolling report'!CU117*'With Action'!$Y$6</f>
        <v>0.35000000000000009</v>
      </c>
      <c r="AC117" s="17">
        <f>'Rolling report'!CV117*'With Action'!$Y$6</f>
        <v>0.30000000000000004</v>
      </c>
      <c r="AD117" s="17">
        <f>'Rolling report'!CW117*'With Action'!$Y$6</f>
        <v>0.20000000000000004</v>
      </c>
      <c r="AE117" s="17">
        <f>'Rolling report'!CX117*'With Action'!$Y$6</f>
        <v>0.30000000000000004</v>
      </c>
      <c r="AF117" s="17">
        <f>'Rolling report'!CY117*'With Action'!$Y$6</f>
        <v>-26.350000000000005</v>
      </c>
      <c r="AG117" s="17">
        <f>'Rolling report'!CZ117*'With Action'!$Y$6</f>
        <v>0</v>
      </c>
      <c r="AH117" s="17">
        <f>'Rolling report'!DA117*'With Action'!$Y$6</f>
        <v>0</v>
      </c>
      <c r="AI117" s="17">
        <f>'Rolling report'!DB117*'With Action'!$Y$6</f>
        <v>0</v>
      </c>
      <c r="AJ117" s="17">
        <f>'Rolling report'!DC117*'With Action'!$Y$6</f>
        <v>0</v>
      </c>
      <c r="AK117" s="17">
        <f>'Rolling report'!DD117*'With Action'!$Y$6</f>
        <v>0</v>
      </c>
      <c r="AL117" s="17">
        <f>'Rolling report'!DE117*'With Action'!$Y$6</f>
        <v>0</v>
      </c>
      <c r="AM117" s="17">
        <f>'Rolling report'!DF117*'With Action'!$Y$6</f>
        <v>0</v>
      </c>
      <c r="AN117" s="17">
        <f>'Rolling report'!DG117*'With Action'!$Y$6</f>
        <v>0</v>
      </c>
      <c r="AO117" s="17">
        <f>'Rolling report'!DH117*'With Action'!$Y$6</f>
        <v>0</v>
      </c>
      <c r="AP117" s="17">
        <f>'Rolling report'!DI117*'With Action'!$Y$6</f>
        <v>0</v>
      </c>
    </row>
    <row r="118" spans="1:42" x14ac:dyDescent="0.25">
      <c r="A118" s="4" t="s">
        <v>225</v>
      </c>
      <c r="B118" s="6" t="s">
        <v>226</v>
      </c>
      <c r="I118" s="17">
        <f>'Rolling report'!CB118*'With Action'!$Y$6</f>
        <v>7.6000000000000014</v>
      </c>
      <c r="J118" s="17">
        <f>'Rolling report'!CC118*'With Action'!$Y$6</f>
        <v>1.4000000000000004</v>
      </c>
      <c r="K118" s="17">
        <f>'Rolling report'!CD118*'With Action'!$Y$6</f>
        <v>1.4500000000000002</v>
      </c>
      <c r="L118" s="17">
        <f>'Rolling report'!CE118*'With Action'!$Y$6</f>
        <v>2.1500000000000004</v>
      </c>
      <c r="M118" s="17">
        <f>'Rolling report'!CF118*'With Action'!$Y$6</f>
        <v>1.2000000000000002</v>
      </c>
      <c r="N118" s="17">
        <f>'Rolling report'!CG118*'With Action'!$Y$6</f>
        <v>1.1000000000000003</v>
      </c>
      <c r="O118" s="17">
        <f>'Rolling report'!CH118*'With Action'!$Y$6</f>
        <v>1.2000000000000002</v>
      </c>
      <c r="P118" s="17">
        <f>'Rolling report'!CI118*'With Action'!$Y$6</f>
        <v>0.8500000000000002</v>
      </c>
      <c r="Q118" s="17">
        <f>'Rolling report'!CJ118*'With Action'!$Y$6</f>
        <v>0.55000000000000016</v>
      </c>
      <c r="R118" s="17">
        <f>'Rolling report'!CK118*'With Action'!$Y$6</f>
        <v>0.75000000000000011</v>
      </c>
      <c r="S118" s="17">
        <f>'Rolling report'!CL118*'With Action'!$Y$6</f>
        <v>0.40000000000000008</v>
      </c>
      <c r="T118" s="17">
        <f>'Rolling report'!CM118*'With Action'!$Y$6</f>
        <v>0.50000000000000011</v>
      </c>
      <c r="U118" s="17">
        <f>'Rolling report'!CN118*'With Action'!$Y$6</f>
        <v>0.8500000000000002</v>
      </c>
      <c r="V118" s="17">
        <f>'Rolling report'!CO118*'With Action'!$Y$6</f>
        <v>0.95000000000000018</v>
      </c>
      <c r="W118" s="17">
        <f>'Rolling report'!CP118*'With Action'!$Y$6</f>
        <v>1.0000000000000002</v>
      </c>
      <c r="X118" s="17">
        <f>'Rolling report'!CQ118*'With Action'!$Y$6</f>
        <v>0.55000000000000016</v>
      </c>
      <c r="Y118" s="17">
        <f>'Rolling report'!CR118*'With Action'!$Y$6</f>
        <v>0.20000000000000004</v>
      </c>
      <c r="Z118" s="17">
        <f>'Rolling report'!CS118*'With Action'!$Y$6</f>
        <v>0.35000000000000009</v>
      </c>
      <c r="AA118" s="17">
        <f>'Rolling report'!CT118*'With Action'!$Y$6</f>
        <v>0.45000000000000007</v>
      </c>
      <c r="AB118" s="17">
        <f>'Rolling report'!CU118*'With Action'!$Y$6</f>
        <v>1.1500000000000001</v>
      </c>
      <c r="AC118" s="17">
        <f>'Rolling report'!CV118*'With Action'!$Y$6</f>
        <v>1.1000000000000003</v>
      </c>
      <c r="AD118" s="17">
        <f>'Rolling report'!CW118*'With Action'!$Y$6</f>
        <v>0.40000000000000008</v>
      </c>
      <c r="AE118" s="17">
        <f>'Rolling report'!CX118*'With Action'!$Y$6</f>
        <v>0.8500000000000002</v>
      </c>
      <c r="AF118" s="17">
        <f>'Rolling report'!CY118*'With Action'!$Y$6</f>
        <v>-27.000000000000004</v>
      </c>
      <c r="AG118" s="17">
        <f>'Rolling report'!CZ118*'With Action'!$Y$6</f>
        <v>0</v>
      </c>
      <c r="AH118" s="17">
        <f>'Rolling report'!DA118*'With Action'!$Y$6</f>
        <v>0</v>
      </c>
      <c r="AI118" s="17">
        <f>'Rolling report'!DB118*'With Action'!$Y$6</f>
        <v>0</v>
      </c>
      <c r="AJ118" s="17">
        <f>'Rolling report'!DC118*'With Action'!$Y$6</f>
        <v>0</v>
      </c>
      <c r="AK118" s="17">
        <f>'Rolling report'!DD118*'With Action'!$Y$6</f>
        <v>0</v>
      </c>
      <c r="AL118" s="17">
        <f>'Rolling report'!DE118*'With Action'!$Y$6</f>
        <v>0</v>
      </c>
      <c r="AM118" s="17">
        <f>'Rolling report'!DF118*'With Action'!$Y$6</f>
        <v>0</v>
      </c>
      <c r="AN118" s="17">
        <f>'Rolling report'!DG118*'With Action'!$Y$6</f>
        <v>0</v>
      </c>
      <c r="AO118" s="17">
        <f>'Rolling report'!DH118*'With Action'!$Y$6</f>
        <v>0</v>
      </c>
      <c r="AP118" s="17">
        <f>'Rolling report'!DI118*'With Action'!$Y$6</f>
        <v>0</v>
      </c>
    </row>
    <row r="119" spans="1:42" x14ac:dyDescent="0.25">
      <c r="A119" s="4" t="s">
        <v>227</v>
      </c>
      <c r="B119" s="6" t="s">
        <v>228</v>
      </c>
      <c r="I119" s="17">
        <f>'Rolling report'!CB119*'With Action'!$Y$6</f>
        <v>0.70000000000000018</v>
      </c>
      <c r="J119" s="17">
        <f>'Rolling report'!CC119*'With Action'!$Y$6</f>
        <v>0.55000000000000016</v>
      </c>
      <c r="K119" s="17">
        <f>'Rolling report'!CD119*'With Action'!$Y$6</f>
        <v>0</v>
      </c>
      <c r="L119" s="17">
        <f>'Rolling report'!CE119*'With Action'!$Y$6</f>
        <v>0</v>
      </c>
      <c r="M119" s="17">
        <f>'Rolling report'!CF119*'With Action'!$Y$6</f>
        <v>0</v>
      </c>
      <c r="N119" s="17">
        <f>'Rolling report'!CG119*'With Action'!$Y$6</f>
        <v>0.25000000000000006</v>
      </c>
      <c r="O119" s="17">
        <f>'Rolling report'!CH119*'With Action'!$Y$6</f>
        <v>0.50000000000000011</v>
      </c>
      <c r="P119" s="17">
        <f>'Rolling report'!CI119*'With Action'!$Y$6</f>
        <v>0</v>
      </c>
      <c r="Q119" s="17">
        <f>'Rolling report'!CJ119*'With Action'!$Y$6</f>
        <v>0</v>
      </c>
      <c r="R119" s="17">
        <f>'Rolling report'!CK119*'With Action'!$Y$6</f>
        <v>0</v>
      </c>
      <c r="S119" s="17">
        <f>'Rolling report'!CL119*'With Action'!$Y$6</f>
        <v>0.25000000000000006</v>
      </c>
      <c r="T119" s="17">
        <f>'Rolling report'!CM119*'With Action'!$Y$6</f>
        <v>-0.35000000000000009</v>
      </c>
      <c r="U119" s="17">
        <f>'Rolling report'!CN119*'With Action'!$Y$6</f>
        <v>0.35000000000000009</v>
      </c>
      <c r="V119" s="17">
        <f>'Rolling report'!CO119*'With Action'!$Y$6</f>
        <v>0</v>
      </c>
      <c r="W119" s="17">
        <f>'Rolling report'!CP119*'With Action'!$Y$6</f>
        <v>0</v>
      </c>
      <c r="X119" s="17">
        <f>'Rolling report'!CQ119*'With Action'!$Y$6</f>
        <v>0</v>
      </c>
      <c r="Y119" s="17">
        <f>'Rolling report'!CR119*'With Action'!$Y$6</f>
        <v>0</v>
      </c>
      <c r="Z119" s="17">
        <f>'Rolling report'!CS119*'With Action'!$Y$6</f>
        <v>0</v>
      </c>
      <c r="AA119" s="17">
        <f>'Rolling report'!CT119*'With Action'!$Y$6</f>
        <v>0.25000000000000006</v>
      </c>
      <c r="AB119" s="17">
        <f>'Rolling report'!CU119*'With Action'!$Y$6</f>
        <v>0</v>
      </c>
      <c r="AC119" s="17">
        <f>'Rolling report'!CV119*'With Action'!$Y$6</f>
        <v>0.25000000000000006</v>
      </c>
      <c r="AD119" s="17">
        <f>'Rolling report'!CW119*'With Action'!$Y$6</f>
        <v>-0.30000000000000004</v>
      </c>
      <c r="AE119" s="17">
        <f>'Rolling report'!CX119*'With Action'!$Y$6</f>
        <v>0</v>
      </c>
      <c r="AF119" s="17">
        <f>'Rolling report'!CY119*'With Action'!$Y$6</f>
        <v>-2.4500000000000006</v>
      </c>
      <c r="AG119" s="17">
        <f>'Rolling report'!CZ119*'With Action'!$Y$6</f>
        <v>0</v>
      </c>
      <c r="AH119" s="17">
        <f>'Rolling report'!DA119*'With Action'!$Y$6</f>
        <v>0</v>
      </c>
      <c r="AI119" s="17">
        <f>'Rolling report'!DB119*'With Action'!$Y$6</f>
        <v>0</v>
      </c>
      <c r="AJ119" s="17">
        <f>'Rolling report'!DC119*'With Action'!$Y$6</f>
        <v>0</v>
      </c>
      <c r="AK119" s="17">
        <f>'Rolling report'!DD119*'With Action'!$Y$6</f>
        <v>0</v>
      </c>
      <c r="AL119" s="17">
        <f>'Rolling report'!DE119*'With Action'!$Y$6</f>
        <v>0</v>
      </c>
      <c r="AM119" s="17">
        <f>'Rolling report'!DF119*'With Action'!$Y$6</f>
        <v>0</v>
      </c>
      <c r="AN119" s="17">
        <f>'Rolling report'!DG119*'With Action'!$Y$6</f>
        <v>0</v>
      </c>
      <c r="AO119" s="17">
        <f>'Rolling report'!DH119*'With Action'!$Y$6</f>
        <v>0</v>
      </c>
      <c r="AP119" s="17">
        <f>'Rolling report'!DI119*'With Action'!$Y$6</f>
        <v>0</v>
      </c>
    </row>
    <row r="120" spans="1:42" x14ac:dyDescent="0.25">
      <c r="A120" s="4" t="s">
        <v>229</v>
      </c>
      <c r="B120" s="6" t="s">
        <v>230</v>
      </c>
      <c r="I120" s="17">
        <f>'Rolling report'!CB120*'With Action'!$Y$6</f>
        <v>3.6000000000000005</v>
      </c>
      <c r="J120" s="17">
        <f>'Rolling report'!CC120*'With Action'!$Y$6</f>
        <v>0.40000000000000008</v>
      </c>
      <c r="K120" s="17">
        <f>'Rolling report'!CD120*'With Action'!$Y$6</f>
        <v>0.45000000000000007</v>
      </c>
      <c r="L120" s="17">
        <f>'Rolling report'!CE120*'With Action'!$Y$6</f>
        <v>0.90000000000000013</v>
      </c>
      <c r="M120" s="17">
        <f>'Rolling report'!CF120*'With Action'!$Y$6</f>
        <v>0.45000000000000007</v>
      </c>
      <c r="N120" s="17">
        <f>'Rolling report'!CG120*'With Action'!$Y$6</f>
        <v>0.25000000000000006</v>
      </c>
      <c r="O120" s="17">
        <f>'Rolling report'!CH120*'With Action'!$Y$6</f>
        <v>0.80000000000000016</v>
      </c>
      <c r="P120" s="17">
        <f>'Rolling report'!CI120*'With Action'!$Y$6</f>
        <v>0</v>
      </c>
      <c r="Q120" s="17">
        <f>'Rolling report'!CJ120*'With Action'!$Y$6</f>
        <v>0.80000000000000016</v>
      </c>
      <c r="R120" s="17">
        <f>'Rolling report'!CK120*'With Action'!$Y$6</f>
        <v>0.25000000000000006</v>
      </c>
      <c r="S120" s="17">
        <f>'Rolling report'!CL120*'With Action'!$Y$6</f>
        <v>0.15000000000000002</v>
      </c>
      <c r="T120" s="17">
        <f>'Rolling report'!CM120*'With Action'!$Y$6</f>
        <v>0.65000000000000013</v>
      </c>
      <c r="U120" s="17">
        <f>'Rolling report'!CN120*'With Action'!$Y$6</f>
        <v>0.40000000000000008</v>
      </c>
      <c r="V120" s="17">
        <f>'Rolling report'!CO120*'With Action'!$Y$6</f>
        <v>0</v>
      </c>
      <c r="W120" s="17">
        <f>'Rolling report'!CP120*'With Action'!$Y$6</f>
        <v>0</v>
      </c>
      <c r="X120" s="17">
        <f>'Rolling report'!CQ120*'With Action'!$Y$6</f>
        <v>0</v>
      </c>
      <c r="Y120" s="17">
        <f>'Rolling report'!CR120*'With Action'!$Y$6</f>
        <v>0.10000000000000002</v>
      </c>
      <c r="Z120" s="17">
        <f>'Rolling report'!CS120*'With Action'!$Y$6</f>
        <v>0.35000000000000009</v>
      </c>
      <c r="AA120" s="17">
        <f>'Rolling report'!CT120*'With Action'!$Y$6</f>
        <v>0.20000000000000004</v>
      </c>
      <c r="AB120" s="17">
        <f>'Rolling report'!CU120*'With Action'!$Y$6</f>
        <v>0.30000000000000004</v>
      </c>
      <c r="AC120" s="17">
        <f>'Rolling report'!CV120*'With Action'!$Y$6</f>
        <v>0.10000000000000002</v>
      </c>
      <c r="AD120" s="17">
        <f>'Rolling report'!CW120*'With Action'!$Y$6</f>
        <v>0.15000000000000002</v>
      </c>
      <c r="AE120" s="17">
        <f>'Rolling report'!CX120*'With Action'!$Y$6</f>
        <v>5.000000000000001E-2</v>
      </c>
      <c r="AF120" s="17">
        <f>'Rolling report'!CY120*'With Action'!$Y$6</f>
        <v>-10.350000000000001</v>
      </c>
      <c r="AG120" s="17">
        <f>'Rolling report'!CZ120*'With Action'!$Y$6</f>
        <v>0</v>
      </c>
      <c r="AH120" s="17">
        <f>'Rolling report'!DA120*'With Action'!$Y$6</f>
        <v>0</v>
      </c>
      <c r="AI120" s="17">
        <f>'Rolling report'!DB120*'With Action'!$Y$6</f>
        <v>0</v>
      </c>
      <c r="AJ120" s="17">
        <f>'Rolling report'!DC120*'With Action'!$Y$6</f>
        <v>0</v>
      </c>
      <c r="AK120" s="17">
        <f>'Rolling report'!DD120*'With Action'!$Y$6</f>
        <v>0</v>
      </c>
      <c r="AL120" s="17">
        <f>'Rolling report'!DE120*'With Action'!$Y$6</f>
        <v>0</v>
      </c>
      <c r="AM120" s="17">
        <f>'Rolling report'!DF120*'With Action'!$Y$6</f>
        <v>0</v>
      </c>
      <c r="AN120" s="17">
        <f>'Rolling report'!DG120*'With Action'!$Y$6</f>
        <v>0</v>
      </c>
      <c r="AO120" s="17">
        <f>'Rolling report'!DH120*'With Action'!$Y$6</f>
        <v>0</v>
      </c>
      <c r="AP120" s="17">
        <f>'Rolling report'!DI120*'With Action'!$Y$6</f>
        <v>0</v>
      </c>
    </row>
    <row r="121" spans="1:42" x14ac:dyDescent="0.25">
      <c r="A121" s="4" t="s">
        <v>231</v>
      </c>
      <c r="B121" s="6" t="s">
        <v>232</v>
      </c>
      <c r="I121" s="17">
        <f>'Rolling report'!CB121*'With Action'!$Y$6</f>
        <v>21.100000000000005</v>
      </c>
      <c r="J121" s="17">
        <f>'Rolling report'!CC121*'With Action'!$Y$6</f>
        <v>3.2500000000000004</v>
      </c>
      <c r="K121" s="17">
        <f>'Rolling report'!CD121*'With Action'!$Y$6</f>
        <v>5.1500000000000012</v>
      </c>
      <c r="L121" s="17">
        <f>'Rolling report'!CE121*'With Action'!$Y$6</f>
        <v>4.5500000000000007</v>
      </c>
      <c r="M121" s="17">
        <f>'Rolling report'!CF121*'With Action'!$Y$6</f>
        <v>3.2000000000000006</v>
      </c>
      <c r="N121" s="17">
        <f>'Rolling report'!CG121*'With Action'!$Y$6</f>
        <v>2.2000000000000006</v>
      </c>
      <c r="O121" s="17">
        <f>'Rolling report'!CH121*'With Action'!$Y$6</f>
        <v>3.0500000000000007</v>
      </c>
      <c r="P121" s="17">
        <f>'Rolling report'!CI121*'With Action'!$Y$6</f>
        <v>1.6500000000000004</v>
      </c>
      <c r="Q121" s="17">
        <f>'Rolling report'!CJ121*'With Action'!$Y$6</f>
        <v>2.3500000000000005</v>
      </c>
      <c r="R121" s="17">
        <f>'Rolling report'!CK121*'With Action'!$Y$6</f>
        <v>2.0500000000000003</v>
      </c>
      <c r="S121" s="17">
        <f>'Rolling report'!CL121*'With Action'!$Y$6</f>
        <v>1.3500000000000003</v>
      </c>
      <c r="T121" s="17">
        <f>'Rolling report'!CM121*'With Action'!$Y$6</f>
        <v>2.1000000000000005</v>
      </c>
      <c r="U121" s="17">
        <f>'Rolling report'!CN121*'With Action'!$Y$6</f>
        <v>1.7500000000000004</v>
      </c>
      <c r="V121" s="17">
        <f>'Rolling report'!CO121*'With Action'!$Y$6</f>
        <v>1.1000000000000003</v>
      </c>
      <c r="W121" s="17">
        <f>'Rolling report'!CP121*'With Action'!$Y$6</f>
        <v>0.95000000000000018</v>
      </c>
      <c r="X121" s="17">
        <f>'Rolling report'!CQ121*'With Action'!$Y$6</f>
        <v>1.2500000000000002</v>
      </c>
      <c r="Y121" s="17">
        <f>'Rolling report'!CR121*'With Action'!$Y$6</f>
        <v>0.70000000000000018</v>
      </c>
      <c r="Z121" s="17">
        <f>'Rolling report'!CS121*'With Action'!$Y$6</f>
        <v>0.55000000000000016</v>
      </c>
      <c r="AA121" s="17">
        <f>'Rolling report'!CT121*'With Action'!$Y$6</f>
        <v>0.60000000000000009</v>
      </c>
      <c r="AB121" s="17">
        <f>'Rolling report'!CU121*'With Action'!$Y$6</f>
        <v>0.80000000000000016</v>
      </c>
      <c r="AC121" s="17">
        <f>'Rolling report'!CV121*'With Action'!$Y$6</f>
        <v>0.90000000000000013</v>
      </c>
      <c r="AD121" s="17">
        <f>'Rolling report'!CW121*'With Action'!$Y$6</f>
        <v>0.55000000000000016</v>
      </c>
      <c r="AE121" s="17">
        <f>'Rolling report'!CX121*'With Action'!$Y$6</f>
        <v>0.60000000000000009</v>
      </c>
      <c r="AF121" s="17">
        <f>'Rolling report'!CY121*'With Action'!$Y$6</f>
        <v>-61.750000000000014</v>
      </c>
      <c r="AG121" s="17">
        <f>'Rolling report'!CZ121*'With Action'!$Y$6</f>
        <v>0</v>
      </c>
      <c r="AH121" s="17">
        <f>'Rolling report'!DA121*'With Action'!$Y$6</f>
        <v>0</v>
      </c>
      <c r="AI121" s="17">
        <f>'Rolling report'!DB121*'With Action'!$Y$6</f>
        <v>0</v>
      </c>
      <c r="AJ121" s="17">
        <f>'Rolling report'!DC121*'With Action'!$Y$6</f>
        <v>0</v>
      </c>
      <c r="AK121" s="17">
        <f>'Rolling report'!DD121*'With Action'!$Y$6</f>
        <v>0</v>
      </c>
      <c r="AL121" s="17">
        <f>'Rolling report'!DE121*'With Action'!$Y$6</f>
        <v>0</v>
      </c>
      <c r="AM121" s="17">
        <f>'Rolling report'!DF121*'With Action'!$Y$6</f>
        <v>0</v>
      </c>
      <c r="AN121" s="17">
        <f>'Rolling report'!DG121*'With Action'!$Y$6</f>
        <v>0</v>
      </c>
      <c r="AO121" s="17">
        <f>'Rolling report'!DH121*'With Action'!$Y$6</f>
        <v>0</v>
      </c>
      <c r="AP121" s="17">
        <f>'Rolling report'!DI121*'With Action'!$Y$6</f>
        <v>0</v>
      </c>
    </row>
    <row r="122" spans="1:42" x14ac:dyDescent="0.25">
      <c r="A122" s="4" t="s">
        <v>233</v>
      </c>
      <c r="B122" s="6" t="s">
        <v>234</v>
      </c>
      <c r="I122" s="17">
        <f>'Rolling report'!CB122*'With Action'!$Y$6</f>
        <v>6.2000000000000011</v>
      </c>
      <c r="J122" s="17">
        <f>'Rolling report'!CC122*'With Action'!$Y$6</f>
        <v>1.3000000000000003</v>
      </c>
      <c r="K122" s="17">
        <f>'Rolling report'!CD122*'With Action'!$Y$6</f>
        <v>0.65000000000000013</v>
      </c>
      <c r="L122" s="17">
        <f>'Rolling report'!CE122*'With Action'!$Y$6</f>
        <v>1.8500000000000003</v>
      </c>
      <c r="M122" s="17">
        <f>'Rolling report'!CF122*'With Action'!$Y$6</f>
        <v>0.55000000000000016</v>
      </c>
      <c r="N122" s="17">
        <f>'Rolling report'!CG122*'With Action'!$Y$6</f>
        <v>0.20000000000000004</v>
      </c>
      <c r="O122" s="17">
        <f>'Rolling report'!CH122*'With Action'!$Y$6</f>
        <v>1.4000000000000004</v>
      </c>
      <c r="P122" s="17">
        <f>'Rolling report'!CI122*'With Action'!$Y$6</f>
        <v>0.60000000000000009</v>
      </c>
      <c r="Q122" s="17">
        <f>'Rolling report'!CJ122*'With Action'!$Y$6</f>
        <v>0.75000000000000011</v>
      </c>
      <c r="R122" s="17">
        <f>'Rolling report'!CK122*'With Action'!$Y$6</f>
        <v>0.25000000000000006</v>
      </c>
      <c r="S122" s="17">
        <f>'Rolling report'!CL122*'With Action'!$Y$6</f>
        <v>0.30000000000000004</v>
      </c>
      <c r="T122" s="17">
        <f>'Rolling report'!CM122*'With Action'!$Y$6</f>
        <v>0.15000000000000002</v>
      </c>
      <c r="U122" s="17">
        <f>'Rolling report'!CN122*'With Action'!$Y$6</f>
        <v>0.35000000000000009</v>
      </c>
      <c r="V122" s="17">
        <f>'Rolling report'!CO122*'With Action'!$Y$6</f>
        <v>0.15000000000000002</v>
      </c>
      <c r="W122" s="17">
        <f>'Rolling report'!CP122*'With Action'!$Y$6</f>
        <v>0.15000000000000002</v>
      </c>
      <c r="X122" s="17">
        <f>'Rolling report'!CQ122*'With Action'!$Y$6</f>
        <v>0.30000000000000004</v>
      </c>
      <c r="Y122" s="17">
        <f>'Rolling report'!CR122*'With Action'!$Y$6</f>
        <v>0.25000000000000006</v>
      </c>
      <c r="Z122" s="17">
        <f>'Rolling report'!CS122*'With Action'!$Y$6</f>
        <v>0.20000000000000004</v>
      </c>
      <c r="AA122" s="17">
        <f>'Rolling report'!CT122*'With Action'!$Y$6</f>
        <v>0.55000000000000016</v>
      </c>
      <c r="AB122" s="17">
        <f>'Rolling report'!CU122*'With Action'!$Y$6</f>
        <v>0.45000000000000007</v>
      </c>
      <c r="AC122" s="17">
        <f>'Rolling report'!CV122*'With Action'!$Y$6</f>
        <v>1.1000000000000003</v>
      </c>
      <c r="AD122" s="17">
        <f>'Rolling report'!CW122*'With Action'!$Y$6</f>
        <v>-0.15000000000000002</v>
      </c>
      <c r="AE122" s="17">
        <f>'Rolling report'!CX122*'With Action'!$Y$6</f>
        <v>0.40000000000000008</v>
      </c>
      <c r="AF122" s="17">
        <f>'Rolling report'!CY122*'With Action'!$Y$6</f>
        <v>-17.950000000000003</v>
      </c>
      <c r="AG122" s="17">
        <f>'Rolling report'!CZ122*'With Action'!$Y$6</f>
        <v>0</v>
      </c>
      <c r="AH122" s="17">
        <f>'Rolling report'!DA122*'With Action'!$Y$6</f>
        <v>0</v>
      </c>
      <c r="AI122" s="17">
        <f>'Rolling report'!DB122*'With Action'!$Y$6</f>
        <v>0</v>
      </c>
      <c r="AJ122" s="17">
        <f>'Rolling report'!DC122*'With Action'!$Y$6</f>
        <v>0</v>
      </c>
      <c r="AK122" s="17">
        <f>'Rolling report'!DD122*'With Action'!$Y$6</f>
        <v>0</v>
      </c>
      <c r="AL122" s="17">
        <f>'Rolling report'!DE122*'With Action'!$Y$6</f>
        <v>0</v>
      </c>
      <c r="AM122" s="17">
        <f>'Rolling report'!DF122*'With Action'!$Y$6</f>
        <v>0</v>
      </c>
      <c r="AN122" s="17">
        <f>'Rolling report'!DG122*'With Action'!$Y$6</f>
        <v>0</v>
      </c>
      <c r="AO122" s="17">
        <f>'Rolling report'!DH122*'With Action'!$Y$6</f>
        <v>0</v>
      </c>
      <c r="AP122" s="17">
        <f>'Rolling report'!DI122*'With Action'!$Y$6</f>
        <v>0</v>
      </c>
    </row>
    <row r="123" spans="1:42" x14ac:dyDescent="0.25">
      <c r="A123" s="4" t="s">
        <v>235</v>
      </c>
      <c r="B123" s="6" t="s">
        <v>236</v>
      </c>
      <c r="I123" s="17">
        <f>'Rolling report'!CB123*'With Action'!$Y$6</f>
        <v>1.0000000000000002</v>
      </c>
      <c r="J123" s="17">
        <f>'Rolling report'!CC123*'With Action'!$Y$6</f>
        <v>0.25000000000000006</v>
      </c>
      <c r="K123" s="17">
        <f>'Rolling report'!CD123*'With Action'!$Y$6</f>
        <v>0</v>
      </c>
      <c r="L123" s="17">
        <f>'Rolling report'!CE123*'With Action'!$Y$6</f>
        <v>0</v>
      </c>
      <c r="M123" s="17">
        <f>'Rolling report'!CF123*'With Action'!$Y$6</f>
        <v>0.25000000000000006</v>
      </c>
      <c r="N123" s="17">
        <f>'Rolling report'!CG123*'With Action'!$Y$6</f>
        <v>5.000000000000001E-2</v>
      </c>
      <c r="O123" s="17">
        <f>'Rolling report'!CH123*'With Action'!$Y$6</f>
        <v>0.45000000000000007</v>
      </c>
      <c r="P123" s="17">
        <f>'Rolling report'!CI123*'With Action'!$Y$6</f>
        <v>0</v>
      </c>
      <c r="Q123" s="17">
        <f>'Rolling report'!CJ123*'With Action'!$Y$6</f>
        <v>0</v>
      </c>
      <c r="R123" s="17">
        <f>'Rolling report'!CK123*'With Action'!$Y$6</f>
        <v>0</v>
      </c>
      <c r="S123" s="17">
        <f>'Rolling report'!CL123*'With Action'!$Y$6</f>
        <v>0.25000000000000006</v>
      </c>
      <c r="T123" s="17">
        <f>'Rolling report'!CM123*'With Action'!$Y$6</f>
        <v>0</v>
      </c>
      <c r="U123" s="17">
        <f>'Rolling report'!CN123*'With Action'!$Y$6</f>
        <v>0.10000000000000002</v>
      </c>
      <c r="V123" s="17">
        <f>'Rolling report'!CO123*'With Action'!$Y$6</f>
        <v>0.25000000000000006</v>
      </c>
      <c r="W123" s="17">
        <f>'Rolling report'!CP123*'With Action'!$Y$6</f>
        <v>5.000000000000001E-2</v>
      </c>
      <c r="X123" s="17">
        <f>'Rolling report'!CQ123*'With Action'!$Y$6</f>
        <v>0</v>
      </c>
      <c r="Y123" s="17">
        <f>'Rolling report'!CR123*'With Action'!$Y$6</f>
        <v>5.000000000000001E-2</v>
      </c>
      <c r="Z123" s="17">
        <f>'Rolling report'!CS123*'With Action'!$Y$6</f>
        <v>0.10000000000000002</v>
      </c>
      <c r="AA123" s="17">
        <f>'Rolling report'!CT123*'With Action'!$Y$6</f>
        <v>0.10000000000000002</v>
      </c>
      <c r="AB123" s="17">
        <f>'Rolling report'!CU123*'With Action'!$Y$6</f>
        <v>0</v>
      </c>
      <c r="AC123" s="17">
        <f>'Rolling report'!CV123*'With Action'!$Y$6</f>
        <v>0</v>
      </c>
      <c r="AD123" s="17">
        <f>'Rolling report'!CW123*'With Action'!$Y$6</f>
        <v>5.000000000000001E-2</v>
      </c>
      <c r="AE123" s="17">
        <f>'Rolling report'!CX123*'With Action'!$Y$6</f>
        <v>0</v>
      </c>
      <c r="AF123" s="17">
        <f>'Rolling report'!CY123*'With Action'!$Y$6</f>
        <v>-2.9500000000000006</v>
      </c>
      <c r="AG123" s="17">
        <f>'Rolling report'!CZ123*'With Action'!$Y$6</f>
        <v>0</v>
      </c>
      <c r="AH123" s="17">
        <f>'Rolling report'!DA123*'With Action'!$Y$6</f>
        <v>0</v>
      </c>
      <c r="AI123" s="17">
        <f>'Rolling report'!DB123*'With Action'!$Y$6</f>
        <v>0</v>
      </c>
      <c r="AJ123" s="17">
        <f>'Rolling report'!DC123*'With Action'!$Y$6</f>
        <v>0</v>
      </c>
      <c r="AK123" s="17">
        <f>'Rolling report'!DD123*'With Action'!$Y$6</f>
        <v>0</v>
      </c>
      <c r="AL123" s="17">
        <f>'Rolling report'!DE123*'With Action'!$Y$6</f>
        <v>0</v>
      </c>
      <c r="AM123" s="17">
        <f>'Rolling report'!DF123*'With Action'!$Y$6</f>
        <v>0</v>
      </c>
      <c r="AN123" s="17">
        <f>'Rolling report'!DG123*'With Action'!$Y$6</f>
        <v>0</v>
      </c>
      <c r="AO123" s="17">
        <f>'Rolling report'!DH123*'With Action'!$Y$6</f>
        <v>0</v>
      </c>
      <c r="AP123" s="17">
        <f>'Rolling report'!DI123*'With Action'!$Y$6</f>
        <v>0</v>
      </c>
    </row>
    <row r="124" spans="1:42" x14ac:dyDescent="0.25">
      <c r="A124" s="4" t="s">
        <v>237</v>
      </c>
      <c r="B124" s="6" t="s">
        <v>238</v>
      </c>
      <c r="I124" s="17">
        <f>'Rolling report'!CB124*'With Action'!$Y$6</f>
        <v>3.7500000000000009</v>
      </c>
      <c r="J124" s="17">
        <f>'Rolling report'!CC124*'With Action'!$Y$6</f>
        <v>1.1000000000000003</v>
      </c>
      <c r="K124" s="17">
        <f>'Rolling report'!CD124*'With Action'!$Y$6</f>
        <v>0.20000000000000004</v>
      </c>
      <c r="L124" s="17">
        <f>'Rolling report'!CE124*'With Action'!$Y$6</f>
        <v>0.70000000000000018</v>
      </c>
      <c r="M124" s="17">
        <f>'Rolling report'!CF124*'With Action'!$Y$6</f>
        <v>0.55000000000000016</v>
      </c>
      <c r="N124" s="17">
        <f>'Rolling report'!CG124*'With Action'!$Y$6</f>
        <v>0.45000000000000007</v>
      </c>
      <c r="O124" s="17">
        <f>'Rolling report'!CH124*'With Action'!$Y$6</f>
        <v>0.40000000000000008</v>
      </c>
      <c r="P124" s="17">
        <f>'Rolling report'!CI124*'With Action'!$Y$6</f>
        <v>5.000000000000001E-2</v>
      </c>
      <c r="Q124" s="17">
        <f>'Rolling report'!CJ124*'With Action'!$Y$6</f>
        <v>0.45000000000000007</v>
      </c>
      <c r="R124" s="17">
        <f>'Rolling report'!CK124*'With Action'!$Y$6</f>
        <v>0.10000000000000002</v>
      </c>
      <c r="S124" s="17">
        <f>'Rolling report'!CL124*'With Action'!$Y$6</f>
        <v>0.35000000000000009</v>
      </c>
      <c r="T124" s="17">
        <f>'Rolling report'!CM124*'With Action'!$Y$6</f>
        <v>0.55000000000000016</v>
      </c>
      <c r="U124" s="17">
        <f>'Rolling report'!CN124*'With Action'!$Y$6</f>
        <v>0.50000000000000011</v>
      </c>
      <c r="V124" s="17">
        <f>'Rolling report'!CO124*'With Action'!$Y$6</f>
        <v>0.20000000000000004</v>
      </c>
      <c r="W124" s="17">
        <f>'Rolling report'!CP124*'With Action'!$Y$6</f>
        <v>5.000000000000001E-2</v>
      </c>
      <c r="X124" s="17">
        <f>'Rolling report'!CQ124*'With Action'!$Y$6</f>
        <v>5.000000000000001E-2</v>
      </c>
      <c r="Y124" s="17">
        <f>'Rolling report'!CR124*'With Action'!$Y$6</f>
        <v>5.000000000000001E-2</v>
      </c>
      <c r="Z124" s="17">
        <f>'Rolling report'!CS124*'With Action'!$Y$6</f>
        <v>0.15000000000000002</v>
      </c>
      <c r="AA124" s="17">
        <f>'Rolling report'!CT124*'With Action'!$Y$6</f>
        <v>0</v>
      </c>
      <c r="AB124" s="17">
        <f>'Rolling report'!CU124*'With Action'!$Y$6</f>
        <v>5.000000000000001E-2</v>
      </c>
      <c r="AC124" s="17">
        <f>'Rolling report'!CV124*'With Action'!$Y$6</f>
        <v>0.20000000000000004</v>
      </c>
      <c r="AD124" s="17">
        <f>'Rolling report'!CW124*'With Action'!$Y$6</f>
        <v>-0.15000000000000002</v>
      </c>
      <c r="AE124" s="17">
        <f>'Rolling report'!CX124*'With Action'!$Y$6</f>
        <v>0.10000000000000002</v>
      </c>
      <c r="AF124" s="17">
        <f>'Rolling report'!CY124*'With Action'!$Y$6</f>
        <v>-9.8500000000000014</v>
      </c>
      <c r="AG124" s="17">
        <f>'Rolling report'!CZ124*'With Action'!$Y$6</f>
        <v>0</v>
      </c>
      <c r="AH124" s="17">
        <f>'Rolling report'!DA124*'With Action'!$Y$6</f>
        <v>0</v>
      </c>
      <c r="AI124" s="17">
        <f>'Rolling report'!DB124*'With Action'!$Y$6</f>
        <v>0</v>
      </c>
      <c r="AJ124" s="17">
        <f>'Rolling report'!DC124*'With Action'!$Y$6</f>
        <v>0</v>
      </c>
      <c r="AK124" s="17">
        <f>'Rolling report'!DD124*'With Action'!$Y$6</f>
        <v>0</v>
      </c>
      <c r="AL124" s="17">
        <f>'Rolling report'!DE124*'With Action'!$Y$6</f>
        <v>0</v>
      </c>
      <c r="AM124" s="17">
        <f>'Rolling report'!DF124*'With Action'!$Y$6</f>
        <v>0</v>
      </c>
      <c r="AN124" s="17">
        <f>'Rolling report'!DG124*'With Action'!$Y$6</f>
        <v>0</v>
      </c>
      <c r="AO124" s="17">
        <f>'Rolling report'!DH124*'With Action'!$Y$6</f>
        <v>0</v>
      </c>
      <c r="AP124" s="17">
        <f>'Rolling report'!DI124*'With Action'!$Y$6</f>
        <v>0</v>
      </c>
    </row>
    <row r="125" spans="1:42" x14ac:dyDescent="0.25">
      <c r="A125" s="4" t="s">
        <v>239</v>
      </c>
      <c r="B125" s="6" t="s">
        <v>240</v>
      </c>
      <c r="I125" s="17">
        <f>'Rolling report'!CB125*'With Action'!$Y$6</f>
        <v>3.3000000000000007</v>
      </c>
      <c r="J125" s="17">
        <f>'Rolling report'!CC125*'With Action'!$Y$6</f>
        <v>0.40000000000000008</v>
      </c>
      <c r="K125" s="17">
        <f>'Rolling report'!CD125*'With Action'!$Y$6</f>
        <v>0.30000000000000004</v>
      </c>
      <c r="L125" s="17">
        <f>'Rolling report'!CE125*'With Action'!$Y$6</f>
        <v>0.30000000000000004</v>
      </c>
      <c r="M125" s="17">
        <f>'Rolling report'!CF125*'With Action'!$Y$6</f>
        <v>5.000000000000001E-2</v>
      </c>
      <c r="N125" s="17">
        <f>'Rolling report'!CG125*'With Action'!$Y$6</f>
        <v>0.20000000000000004</v>
      </c>
      <c r="O125" s="17">
        <f>'Rolling report'!CH125*'With Action'!$Y$6</f>
        <v>0.15000000000000002</v>
      </c>
      <c r="P125" s="17">
        <f>'Rolling report'!CI125*'With Action'!$Y$6</f>
        <v>0.30000000000000004</v>
      </c>
      <c r="Q125" s="17">
        <f>'Rolling report'!CJ125*'With Action'!$Y$6</f>
        <v>0.20000000000000004</v>
      </c>
      <c r="R125" s="17">
        <f>'Rolling report'!CK125*'With Action'!$Y$6</f>
        <v>0.25000000000000006</v>
      </c>
      <c r="S125" s="17">
        <f>'Rolling report'!CL125*'With Action'!$Y$6</f>
        <v>5.000000000000001E-2</v>
      </c>
      <c r="T125" s="17">
        <f>'Rolling report'!CM125*'With Action'!$Y$6</f>
        <v>0.25000000000000006</v>
      </c>
      <c r="U125" s="17">
        <f>'Rolling report'!CN125*'With Action'!$Y$6</f>
        <v>5.000000000000001E-2</v>
      </c>
      <c r="V125" s="17">
        <f>'Rolling report'!CO125*'With Action'!$Y$6</f>
        <v>0.25000000000000006</v>
      </c>
      <c r="W125" s="17">
        <f>'Rolling report'!CP125*'With Action'!$Y$6</f>
        <v>5.000000000000001E-2</v>
      </c>
      <c r="X125" s="17">
        <f>'Rolling report'!CQ125*'With Action'!$Y$6</f>
        <v>5.000000000000001E-2</v>
      </c>
      <c r="Y125" s="17">
        <f>'Rolling report'!CR125*'With Action'!$Y$6</f>
        <v>0</v>
      </c>
      <c r="Z125" s="17">
        <f>'Rolling report'!CS125*'With Action'!$Y$6</f>
        <v>0</v>
      </c>
      <c r="AA125" s="17">
        <f>'Rolling report'!CT125*'With Action'!$Y$6</f>
        <v>0.45000000000000007</v>
      </c>
      <c r="AB125" s="17">
        <f>'Rolling report'!CU125*'With Action'!$Y$6</f>
        <v>5.000000000000001E-2</v>
      </c>
      <c r="AC125" s="17">
        <f>'Rolling report'!CV125*'With Action'!$Y$6</f>
        <v>0.35000000000000009</v>
      </c>
      <c r="AD125" s="17">
        <f>'Rolling report'!CW125*'With Action'!$Y$6</f>
        <v>-0.15000000000000002</v>
      </c>
      <c r="AE125" s="17">
        <f>'Rolling report'!CX125*'With Action'!$Y$6</f>
        <v>-5.000000000000001E-2</v>
      </c>
      <c r="AF125" s="17">
        <f>'Rolling report'!CY125*'With Action'!$Y$6</f>
        <v>-6.8000000000000016</v>
      </c>
      <c r="AG125" s="17">
        <f>'Rolling report'!CZ125*'With Action'!$Y$6</f>
        <v>0</v>
      </c>
      <c r="AH125" s="17">
        <f>'Rolling report'!DA125*'With Action'!$Y$6</f>
        <v>0</v>
      </c>
      <c r="AI125" s="17">
        <f>'Rolling report'!DB125*'With Action'!$Y$6</f>
        <v>0</v>
      </c>
      <c r="AJ125" s="17">
        <f>'Rolling report'!DC125*'With Action'!$Y$6</f>
        <v>0</v>
      </c>
      <c r="AK125" s="17">
        <f>'Rolling report'!DD125*'With Action'!$Y$6</f>
        <v>0</v>
      </c>
      <c r="AL125" s="17">
        <f>'Rolling report'!DE125*'With Action'!$Y$6</f>
        <v>0</v>
      </c>
      <c r="AM125" s="17">
        <f>'Rolling report'!DF125*'With Action'!$Y$6</f>
        <v>0</v>
      </c>
      <c r="AN125" s="17">
        <f>'Rolling report'!DG125*'With Action'!$Y$6</f>
        <v>0</v>
      </c>
      <c r="AO125" s="17">
        <f>'Rolling report'!DH125*'With Action'!$Y$6</f>
        <v>0</v>
      </c>
      <c r="AP125" s="17">
        <f>'Rolling report'!DI125*'With Action'!$Y$6</f>
        <v>0</v>
      </c>
    </row>
    <row r="126" spans="1:42" x14ac:dyDescent="0.25">
      <c r="A126" s="4" t="s">
        <v>241</v>
      </c>
      <c r="B126" s="6" t="s">
        <v>242</v>
      </c>
      <c r="I126" s="17">
        <f>'Rolling report'!CB126*'With Action'!$Y$6</f>
        <v>7.1000000000000014</v>
      </c>
      <c r="J126" s="17">
        <f>'Rolling report'!CC126*'With Action'!$Y$6</f>
        <v>0.8500000000000002</v>
      </c>
      <c r="K126" s="17">
        <f>'Rolling report'!CD126*'With Action'!$Y$6</f>
        <v>1.6500000000000004</v>
      </c>
      <c r="L126" s="17">
        <f>'Rolling report'!CE126*'With Action'!$Y$6</f>
        <v>1.4500000000000002</v>
      </c>
      <c r="M126" s="17">
        <f>'Rolling report'!CF126*'With Action'!$Y$6</f>
        <v>1.0000000000000002</v>
      </c>
      <c r="N126" s="17">
        <f>'Rolling report'!CG126*'With Action'!$Y$6</f>
        <v>0.45000000000000007</v>
      </c>
      <c r="O126" s="17">
        <f>'Rolling report'!CH126*'With Action'!$Y$6</f>
        <v>0.80000000000000016</v>
      </c>
      <c r="P126" s="17">
        <f>'Rolling report'!CI126*'With Action'!$Y$6</f>
        <v>0.50000000000000011</v>
      </c>
      <c r="Q126" s="17">
        <f>'Rolling report'!CJ126*'With Action'!$Y$6</f>
        <v>1.2000000000000002</v>
      </c>
      <c r="R126" s="17">
        <f>'Rolling report'!CK126*'With Action'!$Y$6</f>
        <v>0.45000000000000007</v>
      </c>
      <c r="S126" s="17">
        <f>'Rolling report'!CL126*'With Action'!$Y$6</f>
        <v>0.30000000000000004</v>
      </c>
      <c r="T126" s="17">
        <f>'Rolling report'!CM126*'With Action'!$Y$6</f>
        <v>0.50000000000000011</v>
      </c>
      <c r="U126" s="17">
        <f>'Rolling report'!CN126*'With Action'!$Y$6</f>
        <v>0.30000000000000004</v>
      </c>
      <c r="V126" s="17">
        <f>'Rolling report'!CO126*'With Action'!$Y$6</f>
        <v>0.70000000000000018</v>
      </c>
      <c r="W126" s="17">
        <f>'Rolling report'!CP126*'With Action'!$Y$6</f>
        <v>0.35000000000000009</v>
      </c>
      <c r="X126" s="17">
        <f>'Rolling report'!CQ126*'With Action'!$Y$6</f>
        <v>0.50000000000000011</v>
      </c>
      <c r="Y126" s="17">
        <f>'Rolling report'!CR126*'With Action'!$Y$6</f>
        <v>0.30000000000000004</v>
      </c>
      <c r="Z126" s="17">
        <f>'Rolling report'!CS126*'With Action'!$Y$6</f>
        <v>0.50000000000000011</v>
      </c>
      <c r="AA126" s="17">
        <f>'Rolling report'!CT126*'With Action'!$Y$6</f>
        <v>0.40000000000000008</v>
      </c>
      <c r="AB126" s="17">
        <f>'Rolling report'!CU126*'With Action'!$Y$6</f>
        <v>0.40000000000000008</v>
      </c>
      <c r="AC126" s="17">
        <f>'Rolling report'!CV126*'With Action'!$Y$6</f>
        <v>1.2000000000000002</v>
      </c>
      <c r="AD126" s="17">
        <f>'Rolling report'!CW126*'With Action'!$Y$6</f>
        <v>-0.15000000000000002</v>
      </c>
      <c r="AE126" s="17">
        <f>'Rolling report'!CX126*'With Action'!$Y$6</f>
        <v>0.50000000000000011</v>
      </c>
      <c r="AF126" s="17">
        <f>'Rolling report'!CY126*'With Action'!$Y$6</f>
        <v>-21.250000000000004</v>
      </c>
      <c r="AG126" s="17">
        <f>'Rolling report'!CZ126*'With Action'!$Y$6</f>
        <v>0</v>
      </c>
      <c r="AH126" s="17">
        <f>'Rolling report'!DA126*'With Action'!$Y$6</f>
        <v>0</v>
      </c>
      <c r="AI126" s="17">
        <f>'Rolling report'!DB126*'With Action'!$Y$6</f>
        <v>0</v>
      </c>
      <c r="AJ126" s="17">
        <f>'Rolling report'!DC126*'With Action'!$Y$6</f>
        <v>0</v>
      </c>
      <c r="AK126" s="17">
        <f>'Rolling report'!DD126*'With Action'!$Y$6</f>
        <v>0</v>
      </c>
      <c r="AL126" s="17">
        <f>'Rolling report'!DE126*'With Action'!$Y$6</f>
        <v>0</v>
      </c>
      <c r="AM126" s="17">
        <f>'Rolling report'!DF126*'With Action'!$Y$6</f>
        <v>0</v>
      </c>
      <c r="AN126" s="17">
        <f>'Rolling report'!DG126*'With Action'!$Y$6</f>
        <v>0</v>
      </c>
      <c r="AO126" s="17">
        <f>'Rolling report'!DH126*'With Action'!$Y$6</f>
        <v>0</v>
      </c>
      <c r="AP126" s="17">
        <f>'Rolling report'!DI126*'With Action'!$Y$6</f>
        <v>0</v>
      </c>
    </row>
    <row r="127" spans="1:42" x14ac:dyDescent="0.25">
      <c r="A127" s="4" t="s">
        <v>243</v>
      </c>
      <c r="B127" s="6" t="s">
        <v>244</v>
      </c>
      <c r="I127" s="17">
        <f>'Rolling report'!CB127*'With Action'!$Y$6</f>
        <v>1.4500000000000002</v>
      </c>
      <c r="J127" s="17">
        <f>'Rolling report'!CC127*'With Action'!$Y$6</f>
        <v>0.15000000000000002</v>
      </c>
      <c r="K127" s="17">
        <f>'Rolling report'!CD127*'With Action'!$Y$6</f>
        <v>0.15000000000000002</v>
      </c>
      <c r="L127" s="17">
        <f>'Rolling report'!CE127*'With Action'!$Y$6</f>
        <v>0.15000000000000002</v>
      </c>
      <c r="M127" s="17">
        <f>'Rolling report'!CF127*'With Action'!$Y$6</f>
        <v>0.50000000000000011</v>
      </c>
      <c r="N127" s="17">
        <f>'Rolling report'!CG127*'With Action'!$Y$6</f>
        <v>0.20000000000000004</v>
      </c>
      <c r="O127" s="17">
        <f>'Rolling report'!CH127*'With Action'!$Y$6</f>
        <v>0.15000000000000002</v>
      </c>
      <c r="P127" s="17">
        <f>'Rolling report'!CI127*'With Action'!$Y$6</f>
        <v>0</v>
      </c>
      <c r="Q127" s="17">
        <f>'Rolling report'!CJ127*'With Action'!$Y$6</f>
        <v>0.20000000000000004</v>
      </c>
      <c r="R127" s="17">
        <f>'Rolling report'!CK127*'With Action'!$Y$6</f>
        <v>5.000000000000001E-2</v>
      </c>
      <c r="S127" s="17">
        <f>'Rolling report'!CL127*'With Action'!$Y$6</f>
        <v>0</v>
      </c>
      <c r="T127" s="17">
        <f>'Rolling report'!CM127*'With Action'!$Y$6</f>
        <v>0.10000000000000002</v>
      </c>
      <c r="U127" s="17">
        <f>'Rolling report'!CN127*'With Action'!$Y$6</f>
        <v>0</v>
      </c>
      <c r="V127" s="17">
        <f>'Rolling report'!CO127*'With Action'!$Y$6</f>
        <v>0</v>
      </c>
      <c r="W127" s="17">
        <f>'Rolling report'!CP127*'With Action'!$Y$6</f>
        <v>0</v>
      </c>
      <c r="X127" s="17">
        <f>'Rolling report'!CQ127*'With Action'!$Y$6</f>
        <v>0</v>
      </c>
      <c r="Y127" s="17">
        <f>'Rolling report'!CR127*'With Action'!$Y$6</f>
        <v>0.30000000000000004</v>
      </c>
      <c r="Z127" s="17">
        <f>'Rolling report'!CS127*'With Action'!$Y$6</f>
        <v>0</v>
      </c>
      <c r="AA127" s="17">
        <f>'Rolling report'!CT127*'With Action'!$Y$6</f>
        <v>0</v>
      </c>
      <c r="AB127" s="17">
        <f>'Rolling report'!CU127*'With Action'!$Y$6</f>
        <v>0.30000000000000004</v>
      </c>
      <c r="AC127" s="17">
        <f>'Rolling report'!CV127*'With Action'!$Y$6</f>
        <v>0.20000000000000004</v>
      </c>
      <c r="AD127" s="17">
        <f>'Rolling report'!CW127*'With Action'!$Y$6</f>
        <v>0</v>
      </c>
      <c r="AE127" s="17">
        <f>'Rolling report'!CX127*'With Action'!$Y$6</f>
        <v>0</v>
      </c>
      <c r="AF127" s="17">
        <f>'Rolling report'!CY127*'With Action'!$Y$6</f>
        <v>-3.9000000000000008</v>
      </c>
      <c r="AG127" s="17">
        <f>'Rolling report'!CZ127*'With Action'!$Y$6</f>
        <v>0</v>
      </c>
      <c r="AH127" s="17">
        <f>'Rolling report'!DA127*'With Action'!$Y$6</f>
        <v>0</v>
      </c>
      <c r="AI127" s="17">
        <f>'Rolling report'!DB127*'With Action'!$Y$6</f>
        <v>0</v>
      </c>
      <c r="AJ127" s="17">
        <f>'Rolling report'!DC127*'With Action'!$Y$6</f>
        <v>0</v>
      </c>
      <c r="AK127" s="17">
        <f>'Rolling report'!DD127*'With Action'!$Y$6</f>
        <v>0</v>
      </c>
      <c r="AL127" s="17">
        <f>'Rolling report'!DE127*'With Action'!$Y$6</f>
        <v>0</v>
      </c>
      <c r="AM127" s="17">
        <f>'Rolling report'!DF127*'With Action'!$Y$6</f>
        <v>0</v>
      </c>
      <c r="AN127" s="17">
        <f>'Rolling report'!DG127*'With Action'!$Y$6</f>
        <v>0</v>
      </c>
      <c r="AO127" s="17">
        <f>'Rolling report'!DH127*'With Action'!$Y$6</f>
        <v>0</v>
      </c>
      <c r="AP127" s="17">
        <f>'Rolling report'!DI127*'With Action'!$Y$6</f>
        <v>0</v>
      </c>
    </row>
    <row r="128" spans="1:42" x14ac:dyDescent="0.25">
      <c r="A128" s="4" t="s">
        <v>245</v>
      </c>
      <c r="B128" s="6" t="s">
        <v>246</v>
      </c>
      <c r="I128" s="17">
        <f>'Rolling report'!CB128*'With Action'!$Y$6</f>
        <v>12.150000000000002</v>
      </c>
      <c r="J128" s="17">
        <f>'Rolling report'!CC128*'With Action'!$Y$6</f>
        <v>2.3500000000000005</v>
      </c>
      <c r="K128" s="17">
        <f>'Rolling report'!CD128*'With Action'!$Y$6</f>
        <v>2.0000000000000004</v>
      </c>
      <c r="L128" s="17">
        <f>'Rolling report'!CE128*'With Action'!$Y$6</f>
        <v>2.3000000000000003</v>
      </c>
      <c r="M128" s="17">
        <f>'Rolling report'!CF128*'With Action'!$Y$6</f>
        <v>1.5500000000000003</v>
      </c>
      <c r="N128" s="17">
        <f>'Rolling report'!CG128*'With Action'!$Y$6</f>
        <v>1.1500000000000001</v>
      </c>
      <c r="O128" s="17">
        <f>'Rolling report'!CH128*'With Action'!$Y$6</f>
        <v>2.2500000000000004</v>
      </c>
      <c r="P128" s="17">
        <f>'Rolling report'!CI128*'With Action'!$Y$6</f>
        <v>1.6500000000000004</v>
      </c>
      <c r="Q128" s="17">
        <f>'Rolling report'!CJ128*'With Action'!$Y$6</f>
        <v>0.45000000000000007</v>
      </c>
      <c r="R128" s="17">
        <f>'Rolling report'!CK128*'With Action'!$Y$6</f>
        <v>1.0000000000000002</v>
      </c>
      <c r="S128" s="17">
        <f>'Rolling report'!CL128*'With Action'!$Y$6</f>
        <v>1.0500000000000003</v>
      </c>
      <c r="T128" s="17">
        <f>'Rolling report'!CM128*'With Action'!$Y$6</f>
        <v>1.2000000000000002</v>
      </c>
      <c r="U128" s="17">
        <f>'Rolling report'!CN128*'With Action'!$Y$6</f>
        <v>0.70000000000000018</v>
      </c>
      <c r="V128" s="17">
        <f>'Rolling report'!CO128*'With Action'!$Y$6</f>
        <v>1.0500000000000003</v>
      </c>
      <c r="W128" s="17">
        <f>'Rolling report'!CP128*'With Action'!$Y$6</f>
        <v>1.1500000000000001</v>
      </c>
      <c r="X128" s="17">
        <f>'Rolling report'!CQ128*'With Action'!$Y$6</f>
        <v>0.75000000000000011</v>
      </c>
      <c r="Y128" s="17">
        <f>'Rolling report'!CR128*'With Action'!$Y$6</f>
        <v>0.20000000000000004</v>
      </c>
      <c r="Z128" s="17">
        <f>'Rolling report'!CS128*'With Action'!$Y$6</f>
        <v>0.25000000000000006</v>
      </c>
      <c r="AA128" s="17">
        <f>'Rolling report'!CT128*'With Action'!$Y$6</f>
        <v>1.0000000000000002</v>
      </c>
      <c r="AB128" s="17">
        <f>'Rolling report'!CU128*'With Action'!$Y$6</f>
        <v>0.65000000000000013</v>
      </c>
      <c r="AC128" s="17">
        <f>'Rolling report'!CV128*'With Action'!$Y$6</f>
        <v>0.30000000000000004</v>
      </c>
      <c r="AD128" s="17">
        <f>'Rolling report'!CW128*'With Action'!$Y$6</f>
        <v>0.30000000000000004</v>
      </c>
      <c r="AE128" s="17">
        <f>'Rolling report'!CX128*'With Action'!$Y$6</f>
        <v>0.95000000000000018</v>
      </c>
      <c r="AF128" s="17">
        <f>'Rolling report'!CY128*'With Action'!$Y$6</f>
        <v>-36.400000000000006</v>
      </c>
      <c r="AG128" s="17">
        <f>'Rolling report'!CZ128*'With Action'!$Y$6</f>
        <v>0</v>
      </c>
      <c r="AH128" s="17">
        <f>'Rolling report'!DA128*'With Action'!$Y$6</f>
        <v>0</v>
      </c>
      <c r="AI128" s="17">
        <f>'Rolling report'!DB128*'With Action'!$Y$6</f>
        <v>0</v>
      </c>
      <c r="AJ128" s="17">
        <f>'Rolling report'!DC128*'With Action'!$Y$6</f>
        <v>0</v>
      </c>
      <c r="AK128" s="17">
        <f>'Rolling report'!DD128*'With Action'!$Y$6</f>
        <v>0</v>
      </c>
      <c r="AL128" s="17">
        <f>'Rolling report'!DE128*'With Action'!$Y$6</f>
        <v>0</v>
      </c>
      <c r="AM128" s="17">
        <f>'Rolling report'!DF128*'With Action'!$Y$6</f>
        <v>0</v>
      </c>
      <c r="AN128" s="17">
        <f>'Rolling report'!DG128*'With Action'!$Y$6</f>
        <v>0</v>
      </c>
      <c r="AO128" s="17">
        <f>'Rolling report'!DH128*'With Action'!$Y$6</f>
        <v>0</v>
      </c>
      <c r="AP128" s="17">
        <f>'Rolling report'!DI128*'With Action'!$Y$6</f>
        <v>0</v>
      </c>
    </row>
    <row r="129" spans="1:42" x14ac:dyDescent="0.25">
      <c r="A129" s="4" t="s">
        <v>247</v>
      </c>
      <c r="B129" s="6" t="s">
        <v>248</v>
      </c>
      <c r="I129" s="17">
        <f>'Rolling report'!CB129*'With Action'!$Y$6</f>
        <v>5.3500000000000014</v>
      </c>
      <c r="J129" s="17">
        <f>'Rolling report'!CC129*'With Action'!$Y$6</f>
        <v>0.95000000000000018</v>
      </c>
      <c r="K129" s="17">
        <f>'Rolling report'!CD129*'With Action'!$Y$6</f>
        <v>0.80000000000000016</v>
      </c>
      <c r="L129" s="17">
        <f>'Rolling report'!CE129*'With Action'!$Y$6</f>
        <v>0.60000000000000009</v>
      </c>
      <c r="M129" s="17">
        <f>'Rolling report'!CF129*'With Action'!$Y$6</f>
        <v>0.50000000000000011</v>
      </c>
      <c r="N129" s="17">
        <f>'Rolling report'!CG129*'With Action'!$Y$6</f>
        <v>0.65000000000000013</v>
      </c>
      <c r="O129" s="17">
        <f>'Rolling report'!CH129*'With Action'!$Y$6</f>
        <v>0.8500000000000002</v>
      </c>
      <c r="P129" s="17">
        <f>'Rolling report'!CI129*'With Action'!$Y$6</f>
        <v>0.45000000000000007</v>
      </c>
      <c r="Q129" s="17">
        <f>'Rolling report'!CJ129*'With Action'!$Y$6</f>
        <v>0.45000000000000007</v>
      </c>
      <c r="R129" s="17">
        <f>'Rolling report'!CK129*'With Action'!$Y$6</f>
        <v>0.40000000000000008</v>
      </c>
      <c r="S129" s="17">
        <f>'Rolling report'!CL129*'With Action'!$Y$6</f>
        <v>0.10000000000000002</v>
      </c>
      <c r="T129" s="17">
        <f>'Rolling report'!CM129*'With Action'!$Y$6</f>
        <v>0.10000000000000002</v>
      </c>
      <c r="U129" s="17">
        <f>'Rolling report'!CN129*'With Action'!$Y$6</f>
        <v>0.55000000000000016</v>
      </c>
      <c r="V129" s="17">
        <f>'Rolling report'!CO129*'With Action'!$Y$6</f>
        <v>0.20000000000000004</v>
      </c>
      <c r="W129" s="17">
        <f>'Rolling report'!CP129*'With Action'!$Y$6</f>
        <v>0.35000000000000009</v>
      </c>
      <c r="X129" s="17">
        <f>'Rolling report'!CQ129*'With Action'!$Y$6</f>
        <v>0.15000000000000002</v>
      </c>
      <c r="Y129" s="17">
        <f>'Rolling report'!CR129*'With Action'!$Y$6</f>
        <v>0.30000000000000004</v>
      </c>
      <c r="Z129" s="17">
        <f>'Rolling report'!CS129*'With Action'!$Y$6</f>
        <v>5.000000000000001E-2</v>
      </c>
      <c r="AA129" s="17">
        <f>'Rolling report'!CT129*'With Action'!$Y$6</f>
        <v>0.35000000000000009</v>
      </c>
      <c r="AB129" s="17">
        <f>'Rolling report'!CU129*'With Action'!$Y$6</f>
        <v>0.40000000000000008</v>
      </c>
      <c r="AC129" s="17">
        <f>'Rolling report'!CV129*'With Action'!$Y$6</f>
        <v>0.65000000000000013</v>
      </c>
      <c r="AD129" s="17">
        <f>'Rolling report'!CW129*'With Action'!$Y$6</f>
        <v>0.20000000000000004</v>
      </c>
      <c r="AE129" s="17">
        <f>'Rolling report'!CX129*'With Action'!$Y$6</f>
        <v>0.40000000000000008</v>
      </c>
      <c r="AF129" s="17">
        <f>'Rolling report'!CY129*'With Action'!$Y$6</f>
        <v>-14.800000000000002</v>
      </c>
      <c r="AG129" s="17">
        <f>'Rolling report'!CZ129*'With Action'!$Y$6</f>
        <v>0</v>
      </c>
      <c r="AH129" s="17">
        <f>'Rolling report'!DA129*'With Action'!$Y$6</f>
        <v>0</v>
      </c>
      <c r="AI129" s="17">
        <f>'Rolling report'!DB129*'With Action'!$Y$6</f>
        <v>0</v>
      </c>
      <c r="AJ129" s="17">
        <f>'Rolling report'!DC129*'With Action'!$Y$6</f>
        <v>0</v>
      </c>
      <c r="AK129" s="17">
        <f>'Rolling report'!DD129*'With Action'!$Y$6</f>
        <v>0</v>
      </c>
      <c r="AL129" s="17">
        <f>'Rolling report'!DE129*'With Action'!$Y$6</f>
        <v>0</v>
      </c>
      <c r="AM129" s="17">
        <f>'Rolling report'!DF129*'With Action'!$Y$6</f>
        <v>0</v>
      </c>
      <c r="AN129" s="17">
        <f>'Rolling report'!DG129*'With Action'!$Y$6</f>
        <v>0</v>
      </c>
      <c r="AO129" s="17">
        <f>'Rolling report'!DH129*'With Action'!$Y$6</f>
        <v>0</v>
      </c>
      <c r="AP129" s="17">
        <f>'Rolling report'!DI129*'With Action'!$Y$6</f>
        <v>0</v>
      </c>
    </row>
    <row r="130" spans="1:42" x14ac:dyDescent="0.25">
      <c r="A130" s="4" t="s">
        <v>249</v>
      </c>
      <c r="B130" s="6" t="s">
        <v>250</v>
      </c>
      <c r="I130" s="17">
        <f>'Rolling report'!CB130*'With Action'!$Y$6</f>
        <v>2.0000000000000004</v>
      </c>
      <c r="J130" s="17">
        <f>'Rolling report'!CC130*'With Action'!$Y$6</f>
        <v>0.25000000000000006</v>
      </c>
      <c r="K130" s="17">
        <f>'Rolling report'!CD130*'With Action'!$Y$6</f>
        <v>0.40000000000000008</v>
      </c>
      <c r="L130" s="17">
        <f>'Rolling report'!CE130*'With Action'!$Y$6</f>
        <v>0.80000000000000016</v>
      </c>
      <c r="M130" s="17">
        <f>'Rolling report'!CF130*'With Action'!$Y$6</f>
        <v>0.25000000000000006</v>
      </c>
      <c r="N130" s="17">
        <f>'Rolling report'!CG130*'With Action'!$Y$6</f>
        <v>0.15000000000000002</v>
      </c>
      <c r="O130" s="17">
        <f>'Rolling report'!CH130*'With Action'!$Y$6</f>
        <v>0.25000000000000006</v>
      </c>
      <c r="P130" s="17">
        <f>'Rolling report'!CI130*'With Action'!$Y$6</f>
        <v>0</v>
      </c>
      <c r="Q130" s="17">
        <f>'Rolling report'!CJ130*'With Action'!$Y$6</f>
        <v>0.15000000000000002</v>
      </c>
      <c r="R130" s="17">
        <f>'Rolling report'!CK130*'With Action'!$Y$6</f>
        <v>0.10000000000000002</v>
      </c>
      <c r="S130" s="17">
        <f>'Rolling report'!CL130*'With Action'!$Y$6</f>
        <v>0.10000000000000002</v>
      </c>
      <c r="T130" s="17">
        <f>'Rolling report'!CM130*'With Action'!$Y$6</f>
        <v>0.25000000000000006</v>
      </c>
      <c r="U130" s="17">
        <f>'Rolling report'!CN130*'With Action'!$Y$6</f>
        <v>0.15000000000000002</v>
      </c>
      <c r="V130" s="17">
        <f>'Rolling report'!CO130*'With Action'!$Y$6</f>
        <v>0.15000000000000002</v>
      </c>
      <c r="W130" s="17">
        <f>'Rolling report'!CP130*'With Action'!$Y$6</f>
        <v>0.45000000000000007</v>
      </c>
      <c r="X130" s="17">
        <f>'Rolling report'!CQ130*'With Action'!$Y$6</f>
        <v>0.20000000000000004</v>
      </c>
      <c r="Y130" s="17">
        <f>'Rolling report'!CR130*'With Action'!$Y$6</f>
        <v>0.30000000000000004</v>
      </c>
      <c r="Z130" s="17">
        <f>'Rolling report'!CS130*'With Action'!$Y$6</f>
        <v>0</v>
      </c>
      <c r="AA130" s="17">
        <f>'Rolling report'!CT130*'With Action'!$Y$6</f>
        <v>5.000000000000001E-2</v>
      </c>
      <c r="AB130" s="17">
        <f>'Rolling report'!CU130*'With Action'!$Y$6</f>
        <v>0.20000000000000004</v>
      </c>
      <c r="AC130" s="17">
        <f>'Rolling report'!CV130*'With Action'!$Y$6</f>
        <v>0</v>
      </c>
      <c r="AD130" s="17">
        <f>'Rolling report'!CW130*'With Action'!$Y$6</f>
        <v>0.15000000000000002</v>
      </c>
      <c r="AE130" s="17">
        <f>'Rolling report'!CX130*'With Action'!$Y$6</f>
        <v>0</v>
      </c>
      <c r="AF130" s="17">
        <f>'Rolling report'!CY130*'With Action'!$Y$6</f>
        <v>-6.3500000000000014</v>
      </c>
      <c r="AG130" s="17">
        <f>'Rolling report'!CZ130*'With Action'!$Y$6</f>
        <v>0</v>
      </c>
      <c r="AH130" s="17">
        <f>'Rolling report'!DA130*'With Action'!$Y$6</f>
        <v>0</v>
      </c>
      <c r="AI130" s="17">
        <f>'Rolling report'!DB130*'With Action'!$Y$6</f>
        <v>0</v>
      </c>
      <c r="AJ130" s="17">
        <f>'Rolling report'!DC130*'With Action'!$Y$6</f>
        <v>0</v>
      </c>
      <c r="AK130" s="17">
        <f>'Rolling report'!DD130*'With Action'!$Y$6</f>
        <v>0</v>
      </c>
      <c r="AL130" s="17">
        <f>'Rolling report'!DE130*'With Action'!$Y$6</f>
        <v>0</v>
      </c>
      <c r="AM130" s="17">
        <f>'Rolling report'!DF130*'With Action'!$Y$6</f>
        <v>0</v>
      </c>
      <c r="AN130" s="17">
        <f>'Rolling report'!DG130*'With Action'!$Y$6</f>
        <v>0</v>
      </c>
      <c r="AO130" s="17">
        <f>'Rolling report'!DH130*'With Action'!$Y$6</f>
        <v>0</v>
      </c>
      <c r="AP130" s="17">
        <f>'Rolling report'!DI130*'With Action'!$Y$6</f>
        <v>0</v>
      </c>
    </row>
    <row r="131" spans="1:42" x14ac:dyDescent="0.25">
      <c r="A131" s="4" t="s">
        <v>251</v>
      </c>
      <c r="B131" s="6" t="s">
        <v>252</v>
      </c>
      <c r="I131" s="17">
        <f>'Rolling report'!CB131*'With Action'!$Y$6</f>
        <v>1.0500000000000003</v>
      </c>
      <c r="J131" s="17">
        <f>'Rolling report'!CC131*'With Action'!$Y$6</f>
        <v>0.30000000000000004</v>
      </c>
      <c r="K131" s="17">
        <f>'Rolling report'!CD131*'With Action'!$Y$6</f>
        <v>0.45000000000000007</v>
      </c>
      <c r="L131" s="17">
        <f>'Rolling report'!CE131*'With Action'!$Y$6</f>
        <v>0.25000000000000006</v>
      </c>
      <c r="M131" s="17">
        <f>'Rolling report'!CF131*'With Action'!$Y$6</f>
        <v>0.30000000000000004</v>
      </c>
      <c r="N131" s="17">
        <f>'Rolling report'!CG131*'With Action'!$Y$6</f>
        <v>0.50000000000000011</v>
      </c>
      <c r="O131" s="17">
        <f>'Rolling report'!CH131*'With Action'!$Y$6</f>
        <v>0.15000000000000002</v>
      </c>
      <c r="P131" s="17">
        <f>'Rolling report'!CI131*'With Action'!$Y$6</f>
        <v>0.10000000000000002</v>
      </c>
      <c r="Q131" s="17">
        <f>'Rolling report'!CJ131*'With Action'!$Y$6</f>
        <v>0.15000000000000002</v>
      </c>
      <c r="R131" s="17">
        <f>'Rolling report'!CK131*'With Action'!$Y$6</f>
        <v>5.000000000000001E-2</v>
      </c>
      <c r="S131" s="17">
        <f>'Rolling report'!CL131*'With Action'!$Y$6</f>
        <v>5.000000000000001E-2</v>
      </c>
      <c r="T131" s="17">
        <f>'Rolling report'!CM131*'With Action'!$Y$6</f>
        <v>0.30000000000000004</v>
      </c>
      <c r="U131" s="17">
        <f>'Rolling report'!CN131*'With Action'!$Y$6</f>
        <v>0.35000000000000009</v>
      </c>
      <c r="V131" s="17">
        <f>'Rolling report'!CO131*'With Action'!$Y$6</f>
        <v>0.15000000000000002</v>
      </c>
      <c r="W131" s="17">
        <f>'Rolling report'!CP131*'With Action'!$Y$6</f>
        <v>0</v>
      </c>
      <c r="X131" s="17">
        <f>'Rolling report'!CQ131*'With Action'!$Y$6</f>
        <v>0</v>
      </c>
      <c r="Y131" s="17">
        <f>'Rolling report'!CR131*'With Action'!$Y$6</f>
        <v>0</v>
      </c>
      <c r="Z131" s="17">
        <f>'Rolling report'!CS131*'With Action'!$Y$6</f>
        <v>0.15000000000000002</v>
      </c>
      <c r="AA131" s="17">
        <f>'Rolling report'!CT131*'With Action'!$Y$6</f>
        <v>0.10000000000000002</v>
      </c>
      <c r="AB131" s="17">
        <f>'Rolling report'!CU131*'With Action'!$Y$6</f>
        <v>0</v>
      </c>
      <c r="AC131" s="17">
        <f>'Rolling report'!CV131*'With Action'!$Y$6</f>
        <v>0.10000000000000002</v>
      </c>
      <c r="AD131" s="17">
        <f>'Rolling report'!CW131*'With Action'!$Y$6</f>
        <v>0.15000000000000002</v>
      </c>
      <c r="AE131" s="17">
        <f>'Rolling report'!CX131*'With Action'!$Y$6</f>
        <v>5.000000000000001E-2</v>
      </c>
      <c r="AF131" s="17">
        <f>'Rolling report'!CY131*'With Action'!$Y$6</f>
        <v>-4.7000000000000011</v>
      </c>
      <c r="AG131" s="17">
        <f>'Rolling report'!CZ131*'With Action'!$Y$6</f>
        <v>0</v>
      </c>
      <c r="AH131" s="17">
        <f>'Rolling report'!DA131*'With Action'!$Y$6</f>
        <v>0</v>
      </c>
      <c r="AI131" s="17">
        <f>'Rolling report'!DB131*'With Action'!$Y$6</f>
        <v>0</v>
      </c>
      <c r="AJ131" s="17">
        <f>'Rolling report'!DC131*'With Action'!$Y$6</f>
        <v>0</v>
      </c>
      <c r="AK131" s="17">
        <f>'Rolling report'!DD131*'With Action'!$Y$6</f>
        <v>0</v>
      </c>
      <c r="AL131" s="17">
        <f>'Rolling report'!DE131*'With Action'!$Y$6</f>
        <v>0</v>
      </c>
      <c r="AM131" s="17">
        <f>'Rolling report'!DF131*'With Action'!$Y$6</f>
        <v>0</v>
      </c>
      <c r="AN131" s="17">
        <f>'Rolling report'!DG131*'With Action'!$Y$6</f>
        <v>0</v>
      </c>
      <c r="AO131" s="17">
        <f>'Rolling report'!DH131*'With Action'!$Y$6</f>
        <v>0</v>
      </c>
      <c r="AP131" s="17">
        <f>'Rolling report'!DI131*'With Action'!$Y$6</f>
        <v>0</v>
      </c>
    </row>
    <row r="132" spans="1:42" x14ac:dyDescent="0.25">
      <c r="A132" s="4" t="s">
        <v>253</v>
      </c>
      <c r="B132" s="6" t="s">
        <v>254</v>
      </c>
      <c r="I132" s="17">
        <f>'Rolling report'!CB132*'With Action'!$Y$6</f>
        <v>18.350000000000005</v>
      </c>
      <c r="J132" s="17">
        <f>'Rolling report'!CC132*'With Action'!$Y$6</f>
        <v>3.1000000000000005</v>
      </c>
      <c r="K132" s="17">
        <f>'Rolling report'!CD132*'With Action'!$Y$6</f>
        <v>3.2500000000000004</v>
      </c>
      <c r="L132" s="17">
        <f>'Rolling report'!CE132*'With Action'!$Y$6</f>
        <v>3.4500000000000006</v>
      </c>
      <c r="M132" s="17">
        <f>'Rolling report'!CF132*'With Action'!$Y$6</f>
        <v>3.0500000000000007</v>
      </c>
      <c r="N132" s="17">
        <f>'Rolling report'!CG132*'With Action'!$Y$6</f>
        <v>2.0500000000000003</v>
      </c>
      <c r="O132" s="17">
        <f>'Rolling report'!CH132*'With Action'!$Y$6</f>
        <v>3.6000000000000005</v>
      </c>
      <c r="P132" s="17">
        <f>'Rolling report'!CI132*'With Action'!$Y$6</f>
        <v>2.3000000000000003</v>
      </c>
      <c r="Q132" s="17">
        <f>'Rolling report'!CJ132*'With Action'!$Y$6</f>
        <v>2.3500000000000005</v>
      </c>
      <c r="R132" s="17">
        <f>'Rolling report'!CK132*'With Action'!$Y$6</f>
        <v>2.4500000000000006</v>
      </c>
      <c r="S132" s="17">
        <f>'Rolling report'!CL132*'With Action'!$Y$6</f>
        <v>0.95000000000000018</v>
      </c>
      <c r="T132" s="17">
        <f>'Rolling report'!CM132*'With Action'!$Y$6</f>
        <v>1.5000000000000002</v>
      </c>
      <c r="U132" s="17">
        <f>'Rolling report'!CN132*'With Action'!$Y$6</f>
        <v>1.8500000000000003</v>
      </c>
      <c r="V132" s="17">
        <f>'Rolling report'!CO132*'With Action'!$Y$6</f>
        <v>2.1500000000000004</v>
      </c>
      <c r="W132" s="17">
        <f>'Rolling report'!CP132*'With Action'!$Y$6</f>
        <v>1.2500000000000002</v>
      </c>
      <c r="X132" s="17">
        <f>'Rolling report'!CQ132*'With Action'!$Y$6</f>
        <v>1.3000000000000003</v>
      </c>
      <c r="Y132" s="17">
        <f>'Rolling report'!CR132*'With Action'!$Y$6</f>
        <v>0.60000000000000009</v>
      </c>
      <c r="Z132" s="17">
        <f>'Rolling report'!CS132*'With Action'!$Y$6</f>
        <v>1.1500000000000001</v>
      </c>
      <c r="AA132" s="17">
        <f>'Rolling report'!CT132*'With Action'!$Y$6</f>
        <v>0.8500000000000002</v>
      </c>
      <c r="AB132" s="17">
        <f>'Rolling report'!CU132*'With Action'!$Y$6</f>
        <v>0.80000000000000016</v>
      </c>
      <c r="AC132" s="17">
        <f>'Rolling report'!CV132*'With Action'!$Y$6</f>
        <v>1.0000000000000002</v>
      </c>
      <c r="AD132" s="17">
        <f>'Rolling report'!CW132*'With Action'!$Y$6</f>
        <v>5.000000000000001E-2</v>
      </c>
      <c r="AE132" s="17">
        <f>'Rolling report'!CX132*'With Action'!$Y$6</f>
        <v>0.8500000000000002</v>
      </c>
      <c r="AF132" s="17">
        <f>'Rolling report'!CY132*'With Action'!$Y$6</f>
        <v>-58.250000000000014</v>
      </c>
      <c r="AG132" s="17">
        <f>'Rolling report'!CZ132*'With Action'!$Y$6</f>
        <v>0</v>
      </c>
      <c r="AH132" s="17">
        <f>'Rolling report'!DA132*'With Action'!$Y$6</f>
        <v>0</v>
      </c>
      <c r="AI132" s="17">
        <f>'Rolling report'!DB132*'With Action'!$Y$6</f>
        <v>0</v>
      </c>
      <c r="AJ132" s="17">
        <f>'Rolling report'!DC132*'With Action'!$Y$6</f>
        <v>0</v>
      </c>
      <c r="AK132" s="17">
        <f>'Rolling report'!DD132*'With Action'!$Y$6</f>
        <v>0</v>
      </c>
      <c r="AL132" s="17">
        <f>'Rolling report'!DE132*'With Action'!$Y$6</f>
        <v>0</v>
      </c>
      <c r="AM132" s="17">
        <f>'Rolling report'!DF132*'With Action'!$Y$6</f>
        <v>0</v>
      </c>
      <c r="AN132" s="17">
        <f>'Rolling report'!DG132*'With Action'!$Y$6</f>
        <v>0</v>
      </c>
      <c r="AO132" s="17">
        <f>'Rolling report'!DH132*'With Action'!$Y$6</f>
        <v>0</v>
      </c>
      <c r="AP132" s="17">
        <f>'Rolling report'!DI132*'With Action'!$Y$6</f>
        <v>0</v>
      </c>
    </row>
    <row r="133" spans="1:42" x14ac:dyDescent="0.25">
      <c r="A133" s="4" t="s">
        <v>255</v>
      </c>
      <c r="B133" s="6" t="s">
        <v>256</v>
      </c>
      <c r="I133" s="17">
        <f>'Rolling report'!CB133*'With Action'!$Y$6</f>
        <v>2.5500000000000007</v>
      </c>
      <c r="J133" s="17">
        <f>'Rolling report'!CC133*'With Action'!$Y$6</f>
        <v>0.15000000000000002</v>
      </c>
      <c r="K133" s="17">
        <f>'Rolling report'!CD133*'With Action'!$Y$6</f>
        <v>0.40000000000000008</v>
      </c>
      <c r="L133" s="17">
        <f>'Rolling report'!CE133*'With Action'!$Y$6</f>
        <v>0.60000000000000009</v>
      </c>
      <c r="M133" s="17">
        <f>'Rolling report'!CF133*'With Action'!$Y$6</f>
        <v>0.50000000000000011</v>
      </c>
      <c r="N133" s="17">
        <f>'Rolling report'!CG133*'With Action'!$Y$6</f>
        <v>0.15000000000000002</v>
      </c>
      <c r="O133" s="17">
        <f>'Rolling report'!CH133*'With Action'!$Y$6</f>
        <v>0.15000000000000002</v>
      </c>
      <c r="P133" s="17">
        <f>'Rolling report'!CI133*'With Action'!$Y$6</f>
        <v>0.10000000000000002</v>
      </c>
      <c r="Q133" s="17">
        <f>'Rolling report'!CJ133*'With Action'!$Y$6</f>
        <v>0.10000000000000002</v>
      </c>
      <c r="R133" s="17">
        <f>'Rolling report'!CK133*'With Action'!$Y$6</f>
        <v>0.15000000000000002</v>
      </c>
      <c r="S133" s="17">
        <f>'Rolling report'!CL133*'With Action'!$Y$6</f>
        <v>0.10000000000000002</v>
      </c>
      <c r="T133" s="17">
        <f>'Rolling report'!CM133*'With Action'!$Y$6</f>
        <v>0.25000000000000006</v>
      </c>
      <c r="U133" s="17">
        <f>'Rolling report'!CN133*'With Action'!$Y$6</f>
        <v>0.15000000000000002</v>
      </c>
      <c r="V133" s="17">
        <f>'Rolling report'!CO133*'With Action'!$Y$6</f>
        <v>0.20000000000000004</v>
      </c>
      <c r="W133" s="17">
        <f>'Rolling report'!CP133*'With Action'!$Y$6</f>
        <v>0.25000000000000006</v>
      </c>
      <c r="X133" s="17">
        <f>'Rolling report'!CQ133*'With Action'!$Y$6</f>
        <v>0.15000000000000002</v>
      </c>
      <c r="Y133" s="17">
        <f>'Rolling report'!CR133*'With Action'!$Y$6</f>
        <v>0.25000000000000006</v>
      </c>
      <c r="Z133" s="17">
        <f>'Rolling report'!CS133*'With Action'!$Y$6</f>
        <v>0.10000000000000002</v>
      </c>
      <c r="AA133" s="17">
        <f>'Rolling report'!CT133*'With Action'!$Y$6</f>
        <v>0</v>
      </c>
      <c r="AB133" s="17">
        <f>'Rolling report'!CU133*'With Action'!$Y$6</f>
        <v>0</v>
      </c>
      <c r="AC133" s="17">
        <f>'Rolling report'!CV133*'With Action'!$Y$6</f>
        <v>0.25000000000000006</v>
      </c>
      <c r="AD133" s="17">
        <f>'Rolling report'!CW133*'With Action'!$Y$6</f>
        <v>5.000000000000001E-2</v>
      </c>
      <c r="AE133" s="17">
        <f>'Rolling report'!CX133*'With Action'!$Y$6</f>
        <v>5.000000000000001E-2</v>
      </c>
      <c r="AF133" s="17">
        <f>'Rolling report'!CY133*'With Action'!$Y$6</f>
        <v>-6.6500000000000012</v>
      </c>
      <c r="AG133" s="17">
        <f>'Rolling report'!CZ133*'With Action'!$Y$6</f>
        <v>0</v>
      </c>
      <c r="AH133" s="17">
        <f>'Rolling report'!DA133*'With Action'!$Y$6</f>
        <v>0</v>
      </c>
      <c r="AI133" s="17">
        <f>'Rolling report'!DB133*'With Action'!$Y$6</f>
        <v>0</v>
      </c>
      <c r="AJ133" s="17">
        <f>'Rolling report'!DC133*'With Action'!$Y$6</f>
        <v>0</v>
      </c>
      <c r="AK133" s="17">
        <f>'Rolling report'!DD133*'With Action'!$Y$6</f>
        <v>0</v>
      </c>
      <c r="AL133" s="17">
        <f>'Rolling report'!DE133*'With Action'!$Y$6</f>
        <v>0</v>
      </c>
      <c r="AM133" s="17">
        <f>'Rolling report'!DF133*'With Action'!$Y$6</f>
        <v>0</v>
      </c>
      <c r="AN133" s="17">
        <f>'Rolling report'!DG133*'With Action'!$Y$6</f>
        <v>0</v>
      </c>
      <c r="AO133" s="17">
        <f>'Rolling report'!DH133*'With Action'!$Y$6</f>
        <v>0</v>
      </c>
      <c r="AP133" s="17">
        <f>'Rolling report'!DI133*'With Action'!$Y$6</f>
        <v>0</v>
      </c>
    </row>
    <row r="134" spans="1:42" x14ac:dyDescent="0.25">
      <c r="A134" s="4" t="s">
        <v>257</v>
      </c>
      <c r="B134" s="6" t="s">
        <v>258</v>
      </c>
      <c r="I134" s="17">
        <f>'Rolling report'!CB134*'With Action'!$Y$6</f>
        <v>49.20000000000001</v>
      </c>
      <c r="J134" s="17">
        <f>'Rolling report'!CC134*'With Action'!$Y$6</f>
        <v>7.5000000000000018</v>
      </c>
      <c r="K134" s="17">
        <f>'Rolling report'!CD134*'With Action'!$Y$6</f>
        <v>7.950000000000002</v>
      </c>
      <c r="L134" s="17">
        <f>'Rolling report'!CE134*'With Action'!$Y$6</f>
        <v>8.5500000000000025</v>
      </c>
      <c r="M134" s="17">
        <f>'Rolling report'!CF134*'With Action'!$Y$6</f>
        <v>6.4500000000000011</v>
      </c>
      <c r="N134" s="17">
        <f>'Rolling report'!CG134*'With Action'!$Y$6</f>
        <v>5.1000000000000014</v>
      </c>
      <c r="O134" s="17">
        <f>'Rolling report'!CH134*'With Action'!$Y$6</f>
        <v>8.0500000000000007</v>
      </c>
      <c r="P134" s="17">
        <f>'Rolling report'!CI134*'With Action'!$Y$6</f>
        <v>3.0000000000000004</v>
      </c>
      <c r="Q134" s="17">
        <f>'Rolling report'!CJ134*'With Action'!$Y$6</f>
        <v>5.7500000000000009</v>
      </c>
      <c r="R134" s="17">
        <f>'Rolling report'!CK134*'With Action'!$Y$6</f>
        <v>4.6500000000000012</v>
      </c>
      <c r="S134" s="17">
        <f>'Rolling report'!CL134*'With Action'!$Y$6</f>
        <v>3.2500000000000004</v>
      </c>
      <c r="T134" s="17">
        <f>'Rolling report'!CM134*'With Action'!$Y$6</f>
        <v>5.0000000000000009</v>
      </c>
      <c r="U134" s="17">
        <f>'Rolling report'!CN134*'With Action'!$Y$6</f>
        <v>3.3000000000000007</v>
      </c>
      <c r="V134" s="17">
        <f>'Rolling report'!CO134*'With Action'!$Y$6</f>
        <v>3.0000000000000004</v>
      </c>
      <c r="W134" s="17">
        <f>'Rolling report'!CP134*'With Action'!$Y$6</f>
        <v>3.3000000000000007</v>
      </c>
      <c r="X134" s="17">
        <f>'Rolling report'!CQ134*'With Action'!$Y$6</f>
        <v>1.7000000000000004</v>
      </c>
      <c r="Y134" s="17">
        <f>'Rolling report'!CR134*'With Action'!$Y$6</f>
        <v>1.5500000000000003</v>
      </c>
      <c r="Z134" s="17">
        <f>'Rolling report'!CS134*'With Action'!$Y$6</f>
        <v>2.8500000000000005</v>
      </c>
      <c r="AA134" s="17">
        <f>'Rolling report'!CT134*'With Action'!$Y$6</f>
        <v>2.4500000000000006</v>
      </c>
      <c r="AB134" s="17">
        <f>'Rolling report'!CU134*'With Action'!$Y$6</f>
        <v>1.6000000000000003</v>
      </c>
      <c r="AC134" s="17">
        <f>'Rolling report'!CV134*'With Action'!$Y$6</f>
        <v>2.0500000000000003</v>
      </c>
      <c r="AD134" s="17">
        <f>'Rolling report'!CW134*'With Action'!$Y$6</f>
        <v>0.90000000000000013</v>
      </c>
      <c r="AE134" s="17">
        <f>'Rolling report'!CX134*'With Action'!$Y$6</f>
        <v>1.5500000000000003</v>
      </c>
      <c r="AF134" s="17">
        <f>'Rolling report'!CY134*'With Action'!$Y$6</f>
        <v>-138.70000000000002</v>
      </c>
      <c r="AG134" s="17">
        <f>'Rolling report'!CZ134*'With Action'!$Y$6</f>
        <v>0</v>
      </c>
      <c r="AH134" s="17">
        <f>'Rolling report'!DA134*'With Action'!$Y$6</f>
        <v>0</v>
      </c>
      <c r="AI134" s="17">
        <f>'Rolling report'!DB134*'With Action'!$Y$6</f>
        <v>0</v>
      </c>
      <c r="AJ134" s="17">
        <f>'Rolling report'!DC134*'With Action'!$Y$6</f>
        <v>0</v>
      </c>
      <c r="AK134" s="17">
        <f>'Rolling report'!DD134*'With Action'!$Y$6</f>
        <v>0</v>
      </c>
      <c r="AL134" s="17">
        <f>'Rolling report'!DE134*'With Action'!$Y$6</f>
        <v>0</v>
      </c>
      <c r="AM134" s="17">
        <f>'Rolling report'!DF134*'With Action'!$Y$6</f>
        <v>0</v>
      </c>
      <c r="AN134" s="17">
        <f>'Rolling report'!DG134*'With Action'!$Y$6</f>
        <v>0</v>
      </c>
      <c r="AO134" s="17">
        <f>'Rolling report'!DH134*'With Action'!$Y$6</f>
        <v>0</v>
      </c>
      <c r="AP134" s="17">
        <f>'Rolling report'!DI134*'With Action'!$Y$6</f>
        <v>0</v>
      </c>
    </row>
    <row r="135" spans="1:42" x14ac:dyDescent="0.25">
      <c r="A135" s="4" t="s">
        <v>259</v>
      </c>
      <c r="B135" s="6" t="s">
        <v>260</v>
      </c>
      <c r="I135" s="17">
        <f>'Rolling report'!CB135*'With Action'!$Y$6</f>
        <v>4.2000000000000011</v>
      </c>
      <c r="J135" s="17">
        <f>'Rolling report'!CC135*'With Action'!$Y$6</f>
        <v>0.80000000000000016</v>
      </c>
      <c r="K135" s="17">
        <f>'Rolling report'!CD135*'With Action'!$Y$6</f>
        <v>1.3500000000000003</v>
      </c>
      <c r="L135" s="17">
        <f>'Rolling report'!CE135*'With Action'!$Y$6</f>
        <v>0.55000000000000016</v>
      </c>
      <c r="M135" s="17">
        <f>'Rolling report'!CF135*'With Action'!$Y$6</f>
        <v>0.35000000000000009</v>
      </c>
      <c r="N135" s="17">
        <f>'Rolling report'!CG135*'With Action'!$Y$6</f>
        <v>0.70000000000000018</v>
      </c>
      <c r="O135" s="17">
        <f>'Rolling report'!CH135*'With Action'!$Y$6</f>
        <v>0.60000000000000009</v>
      </c>
      <c r="P135" s="17">
        <f>'Rolling report'!CI135*'With Action'!$Y$6</f>
        <v>0.45000000000000007</v>
      </c>
      <c r="Q135" s="17">
        <f>'Rolling report'!CJ135*'With Action'!$Y$6</f>
        <v>0.15000000000000002</v>
      </c>
      <c r="R135" s="17">
        <f>'Rolling report'!CK135*'With Action'!$Y$6</f>
        <v>0.55000000000000016</v>
      </c>
      <c r="S135" s="17">
        <f>'Rolling report'!CL135*'With Action'!$Y$6</f>
        <v>0.30000000000000004</v>
      </c>
      <c r="T135" s="17">
        <f>'Rolling report'!CM135*'With Action'!$Y$6</f>
        <v>0.10000000000000002</v>
      </c>
      <c r="U135" s="17">
        <f>'Rolling report'!CN135*'With Action'!$Y$6</f>
        <v>0.35000000000000009</v>
      </c>
      <c r="V135" s="17">
        <f>'Rolling report'!CO135*'With Action'!$Y$6</f>
        <v>0.20000000000000004</v>
      </c>
      <c r="W135" s="17">
        <f>'Rolling report'!CP135*'With Action'!$Y$6</f>
        <v>0.25000000000000006</v>
      </c>
      <c r="X135" s="17">
        <f>'Rolling report'!CQ135*'With Action'!$Y$6</f>
        <v>0.30000000000000004</v>
      </c>
      <c r="Y135" s="17">
        <f>'Rolling report'!CR135*'With Action'!$Y$6</f>
        <v>0.40000000000000008</v>
      </c>
      <c r="Z135" s="17">
        <f>'Rolling report'!CS135*'With Action'!$Y$6</f>
        <v>5.000000000000001E-2</v>
      </c>
      <c r="AA135" s="17">
        <f>'Rolling report'!CT135*'With Action'!$Y$6</f>
        <v>0.55000000000000016</v>
      </c>
      <c r="AB135" s="17">
        <f>'Rolling report'!CU135*'With Action'!$Y$6</f>
        <v>0.35000000000000009</v>
      </c>
      <c r="AC135" s="17">
        <f>'Rolling report'!CV135*'With Action'!$Y$6</f>
        <v>0.25000000000000006</v>
      </c>
      <c r="AD135" s="17">
        <f>'Rolling report'!CW135*'With Action'!$Y$6</f>
        <v>0.35000000000000009</v>
      </c>
      <c r="AE135" s="17">
        <f>'Rolling report'!CX135*'With Action'!$Y$6</f>
        <v>0.20000000000000004</v>
      </c>
      <c r="AF135" s="17">
        <f>'Rolling report'!CY135*'With Action'!$Y$6</f>
        <v>-13.350000000000003</v>
      </c>
      <c r="AG135" s="17">
        <f>'Rolling report'!CZ135*'With Action'!$Y$6</f>
        <v>0</v>
      </c>
      <c r="AH135" s="17">
        <f>'Rolling report'!DA135*'With Action'!$Y$6</f>
        <v>0</v>
      </c>
      <c r="AI135" s="17">
        <f>'Rolling report'!DB135*'With Action'!$Y$6</f>
        <v>0</v>
      </c>
      <c r="AJ135" s="17">
        <f>'Rolling report'!DC135*'With Action'!$Y$6</f>
        <v>0</v>
      </c>
      <c r="AK135" s="17">
        <f>'Rolling report'!DD135*'With Action'!$Y$6</f>
        <v>0</v>
      </c>
      <c r="AL135" s="17">
        <f>'Rolling report'!DE135*'With Action'!$Y$6</f>
        <v>0</v>
      </c>
      <c r="AM135" s="17">
        <f>'Rolling report'!DF135*'With Action'!$Y$6</f>
        <v>0</v>
      </c>
      <c r="AN135" s="17">
        <f>'Rolling report'!DG135*'With Action'!$Y$6</f>
        <v>0</v>
      </c>
      <c r="AO135" s="17">
        <f>'Rolling report'!DH135*'With Action'!$Y$6</f>
        <v>0</v>
      </c>
      <c r="AP135" s="17">
        <f>'Rolling report'!DI135*'With Action'!$Y$6</f>
        <v>0</v>
      </c>
    </row>
    <row r="136" spans="1:42" x14ac:dyDescent="0.25">
      <c r="A136" s="4" t="s">
        <v>261</v>
      </c>
      <c r="B136" s="6" t="s">
        <v>262</v>
      </c>
      <c r="I136" s="17">
        <f>'Rolling report'!CB136*'With Action'!$Y$6</f>
        <v>3.3000000000000007</v>
      </c>
      <c r="J136" s="17">
        <f>'Rolling report'!CC136*'With Action'!$Y$6</f>
        <v>0.95000000000000018</v>
      </c>
      <c r="K136" s="17">
        <f>'Rolling report'!CD136*'With Action'!$Y$6</f>
        <v>0.60000000000000009</v>
      </c>
      <c r="L136" s="17">
        <f>'Rolling report'!CE136*'With Action'!$Y$6</f>
        <v>0.55000000000000016</v>
      </c>
      <c r="M136" s="17">
        <f>'Rolling report'!CF136*'With Action'!$Y$6</f>
        <v>0.35000000000000009</v>
      </c>
      <c r="N136" s="17">
        <f>'Rolling report'!CG136*'With Action'!$Y$6</f>
        <v>0.20000000000000004</v>
      </c>
      <c r="O136" s="17">
        <f>'Rolling report'!CH136*'With Action'!$Y$6</f>
        <v>0.70000000000000018</v>
      </c>
      <c r="P136" s="17">
        <f>'Rolling report'!CI136*'With Action'!$Y$6</f>
        <v>0.45000000000000007</v>
      </c>
      <c r="Q136" s="17">
        <f>'Rolling report'!CJ136*'With Action'!$Y$6</f>
        <v>0.35000000000000009</v>
      </c>
      <c r="R136" s="17">
        <f>'Rolling report'!CK136*'With Action'!$Y$6</f>
        <v>0.35000000000000009</v>
      </c>
      <c r="S136" s="17">
        <f>'Rolling report'!CL136*'With Action'!$Y$6</f>
        <v>5.000000000000001E-2</v>
      </c>
      <c r="T136" s="17">
        <f>'Rolling report'!CM136*'With Action'!$Y$6</f>
        <v>0.35000000000000009</v>
      </c>
      <c r="U136" s="17">
        <f>'Rolling report'!CN136*'With Action'!$Y$6</f>
        <v>0.25000000000000006</v>
      </c>
      <c r="V136" s="17">
        <f>'Rolling report'!CO136*'With Action'!$Y$6</f>
        <v>0.10000000000000002</v>
      </c>
      <c r="W136" s="17">
        <f>'Rolling report'!CP136*'With Action'!$Y$6</f>
        <v>0.20000000000000004</v>
      </c>
      <c r="X136" s="17">
        <f>'Rolling report'!CQ136*'With Action'!$Y$6</f>
        <v>0.10000000000000002</v>
      </c>
      <c r="Y136" s="17">
        <f>'Rolling report'!CR136*'With Action'!$Y$6</f>
        <v>0.10000000000000002</v>
      </c>
      <c r="Z136" s="17">
        <f>'Rolling report'!CS136*'With Action'!$Y$6</f>
        <v>0.40000000000000008</v>
      </c>
      <c r="AA136" s="17">
        <f>'Rolling report'!CT136*'With Action'!$Y$6</f>
        <v>0.10000000000000002</v>
      </c>
      <c r="AB136" s="17">
        <f>'Rolling report'!CU136*'With Action'!$Y$6</f>
        <v>0.20000000000000004</v>
      </c>
      <c r="AC136" s="17">
        <f>'Rolling report'!CV136*'With Action'!$Y$6</f>
        <v>0.45000000000000007</v>
      </c>
      <c r="AD136" s="17">
        <f>'Rolling report'!CW136*'With Action'!$Y$6</f>
        <v>0.40000000000000008</v>
      </c>
      <c r="AE136" s="17">
        <f>'Rolling report'!CX136*'With Action'!$Y$6</f>
        <v>0.10000000000000002</v>
      </c>
      <c r="AF136" s="17">
        <f>'Rolling report'!CY136*'With Action'!$Y$6</f>
        <v>-10.600000000000001</v>
      </c>
      <c r="AG136" s="17">
        <f>'Rolling report'!CZ136*'With Action'!$Y$6</f>
        <v>0</v>
      </c>
      <c r="AH136" s="17">
        <f>'Rolling report'!DA136*'With Action'!$Y$6</f>
        <v>0</v>
      </c>
      <c r="AI136" s="17">
        <f>'Rolling report'!DB136*'With Action'!$Y$6</f>
        <v>0</v>
      </c>
      <c r="AJ136" s="17">
        <f>'Rolling report'!DC136*'With Action'!$Y$6</f>
        <v>0</v>
      </c>
      <c r="AK136" s="17">
        <f>'Rolling report'!DD136*'With Action'!$Y$6</f>
        <v>0</v>
      </c>
      <c r="AL136" s="17">
        <f>'Rolling report'!DE136*'With Action'!$Y$6</f>
        <v>0</v>
      </c>
      <c r="AM136" s="17">
        <f>'Rolling report'!DF136*'With Action'!$Y$6</f>
        <v>0</v>
      </c>
      <c r="AN136" s="17">
        <f>'Rolling report'!DG136*'With Action'!$Y$6</f>
        <v>0</v>
      </c>
      <c r="AO136" s="17">
        <f>'Rolling report'!DH136*'With Action'!$Y$6</f>
        <v>0</v>
      </c>
      <c r="AP136" s="17">
        <f>'Rolling report'!DI136*'With Action'!$Y$6</f>
        <v>0</v>
      </c>
    </row>
    <row r="137" spans="1:42" x14ac:dyDescent="0.25">
      <c r="A137" s="4" t="s">
        <v>263</v>
      </c>
      <c r="B137" s="6" t="s">
        <v>264</v>
      </c>
      <c r="I137" s="17">
        <f>'Rolling report'!CB137*'With Action'!$Y$6</f>
        <v>1.9000000000000004</v>
      </c>
      <c r="J137" s="17">
        <f>'Rolling report'!CC137*'With Action'!$Y$6</f>
        <v>0.25000000000000006</v>
      </c>
      <c r="K137" s="17">
        <f>'Rolling report'!CD137*'With Action'!$Y$6</f>
        <v>0.60000000000000009</v>
      </c>
      <c r="L137" s="17">
        <f>'Rolling report'!CE137*'With Action'!$Y$6</f>
        <v>0.30000000000000004</v>
      </c>
      <c r="M137" s="17">
        <f>'Rolling report'!CF137*'With Action'!$Y$6</f>
        <v>0.30000000000000004</v>
      </c>
      <c r="N137" s="17">
        <f>'Rolling report'!CG137*'With Action'!$Y$6</f>
        <v>0.10000000000000002</v>
      </c>
      <c r="O137" s="17">
        <f>'Rolling report'!CH137*'With Action'!$Y$6</f>
        <v>0.70000000000000018</v>
      </c>
      <c r="P137" s="17">
        <f>'Rolling report'!CI137*'With Action'!$Y$6</f>
        <v>5.000000000000001E-2</v>
      </c>
      <c r="Q137" s="17">
        <f>'Rolling report'!CJ137*'With Action'!$Y$6</f>
        <v>0</v>
      </c>
      <c r="R137" s="17">
        <f>'Rolling report'!CK137*'With Action'!$Y$6</f>
        <v>0.10000000000000002</v>
      </c>
      <c r="S137" s="17">
        <f>'Rolling report'!CL137*'With Action'!$Y$6</f>
        <v>0.10000000000000002</v>
      </c>
      <c r="T137" s="17">
        <f>'Rolling report'!CM137*'With Action'!$Y$6</f>
        <v>0.15000000000000002</v>
      </c>
      <c r="U137" s="17">
        <f>'Rolling report'!CN137*'With Action'!$Y$6</f>
        <v>0.10000000000000002</v>
      </c>
      <c r="V137" s="17">
        <f>'Rolling report'!CO137*'With Action'!$Y$6</f>
        <v>0.35000000000000009</v>
      </c>
      <c r="W137" s="17">
        <f>'Rolling report'!CP137*'With Action'!$Y$6</f>
        <v>0.15000000000000002</v>
      </c>
      <c r="X137" s="17">
        <f>'Rolling report'!CQ137*'With Action'!$Y$6</f>
        <v>0</v>
      </c>
      <c r="Y137" s="17">
        <f>'Rolling report'!CR137*'With Action'!$Y$6</f>
        <v>0</v>
      </c>
      <c r="Z137" s="17">
        <f>'Rolling report'!CS137*'With Action'!$Y$6</f>
        <v>0.10000000000000002</v>
      </c>
      <c r="AA137" s="17">
        <f>'Rolling report'!CT137*'With Action'!$Y$6</f>
        <v>0.10000000000000002</v>
      </c>
      <c r="AB137" s="17">
        <f>'Rolling report'!CU137*'With Action'!$Y$6</f>
        <v>0.20000000000000004</v>
      </c>
      <c r="AC137" s="17">
        <f>'Rolling report'!CV137*'With Action'!$Y$6</f>
        <v>0.45000000000000007</v>
      </c>
      <c r="AD137" s="17">
        <f>'Rolling report'!CW137*'With Action'!$Y$6</f>
        <v>5.000000000000001E-2</v>
      </c>
      <c r="AE137" s="17">
        <f>'Rolling report'!CX137*'With Action'!$Y$6</f>
        <v>0.10000000000000002</v>
      </c>
      <c r="AF137" s="17">
        <f>'Rolling report'!CY137*'With Action'!$Y$6</f>
        <v>-6.1500000000000012</v>
      </c>
      <c r="AG137" s="17">
        <f>'Rolling report'!CZ137*'With Action'!$Y$6</f>
        <v>0</v>
      </c>
      <c r="AH137" s="17">
        <f>'Rolling report'!DA137*'With Action'!$Y$6</f>
        <v>0</v>
      </c>
      <c r="AI137" s="17">
        <f>'Rolling report'!DB137*'With Action'!$Y$6</f>
        <v>0</v>
      </c>
      <c r="AJ137" s="17">
        <f>'Rolling report'!DC137*'With Action'!$Y$6</f>
        <v>0</v>
      </c>
      <c r="AK137" s="17">
        <f>'Rolling report'!DD137*'With Action'!$Y$6</f>
        <v>0</v>
      </c>
      <c r="AL137" s="17">
        <f>'Rolling report'!DE137*'With Action'!$Y$6</f>
        <v>0</v>
      </c>
      <c r="AM137" s="17">
        <f>'Rolling report'!DF137*'With Action'!$Y$6</f>
        <v>0</v>
      </c>
      <c r="AN137" s="17">
        <f>'Rolling report'!DG137*'With Action'!$Y$6</f>
        <v>0</v>
      </c>
      <c r="AO137" s="17">
        <f>'Rolling report'!DH137*'With Action'!$Y$6</f>
        <v>0</v>
      </c>
      <c r="AP137" s="17">
        <f>'Rolling report'!DI137*'With Action'!$Y$6</f>
        <v>0</v>
      </c>
    </row>
    <row r="138" spans="1:42" x14ac:dyDescent="0.25">
      <c r="A138" s="4" t="s">
        <v>265</v>
      </c>
      <c r="B138" s="6" t="s">
        <v>266</v>
      </c>
      <c r="I138" s="17">
        <f>'Rolling report'!CB138*'With Action'!$Y$6</f>
        <v>2.9000000000000004</v>
      </c>
      <c r="J138" s="17">
        <f>'Rolling report'!CC138*'With Action'!$Y$6</f>
        <v>0.60000000000000009</v>
      </c>
      <c r="K138" s="17">
        <f>'Rolling report'!CD138*'With Action'!$Y$6</f>
        <v>0.55000000000000016</v>
      </c>
      <c r="L138" s="17">
        <f>'Rolling report'!CE138*'With Action'!$Y$6</f>
        <v>0.35000000000000009</v>
      </c>
      <c r="M138" s="17">
        <f>'Rolling report'!CF138*'With Action'!$Y$6</f>
        <v>0.55000000000000016</v>
      </c>
      <c r="N138" s="17">
        <f>'Rolling report'!CG138*'With Action'!$Y$6</f>
        <v>0.45000000000000007</v>
      </c>
      <c r="O138" s="17">
        <f>'Rolling report'!CH138*'With Action'!$Y$6</f>
        <v>0.70000000000000018</v>
      </c>
      <c r="P138" s="17">
        <f>'Rolling report'!CI138*'With Action'!$Y$6</f>
        <v>0.30000000000000004</v>
      </c>
      <c r="Q138" s="17">
        <f>'Rolling report'!CJ138*'With Action'!$Y$6</f>
        <v>0.30000000000000004</v>
      </c>
      <c r="R138" s="17">
        <f>'Rolling report'!CK138*'With Action'!$Y$6</f>
        <v>0.30000000000000004</v>
      </c>
      <c r="S138" s="17">
        <f>'Rolling report'!CL138*'With Action'!$Y$6</f>
        <v>0.25000000000000006</v>
      </c>
      <c r="T138" s="17">
        <f>'Rolling report'!CM138*'With Action'!$Y$6</f>
        <v>0.45000000000000007</v>
      </c>
      <c r="U138" s="17">
        <f>'Rolling report'!CN138*'With Action'!$Y$6</f>
        <v>0.45000000000000007</v>
      </c>
      <c r="V138" s="17">
        <f>'Rolling report'!CO138*'With Action'!$Y$6</f>
        <v>0.25000000000000006</v>
      </c>
      <c r="W138" s="17">
        <f>'Rolling report'!CP138*'With Action'!$Y$6</f>
        <v>0.40000000000000008</v>
      </c>
      <c r="X138" s="17">
        <f>'Rolling report'!CQ138*'With Action'!$Y$6</f>
        <v>0.25000000000000006</v>
      </c>
      <c r="Y138" s="17">
        <f>'Rolling report'!CR138*'With Action'!$Y$6</f>
        <v>0</v>
      </c>
      <c r="Z138" s="17">
        <f>'Rolling report'!CS138*'With Action'!$Y$6</f>
        <v>0.25000000000000006</v>
      </c>
      <c r="AA138" s="17">
        <f>'Rolling report'!CT138*'With Action'!$Y$6</f>
        <v>0.55000000000000016</v>
      </c>
      <c r="AB138" s="17">
        <f>'Rolling report'!CU138*'With Action'!$Y$6</f>
        <v>0</v>
      </c>
      <c r="AC138" s="17">
        <f>'Rolling report'!CV138*'With Action'!$Y$6</f>
        <v>0.10000000000000002</v>
      </c>
      <c r="AD138" s="17">
        <f>'Rolling report'!CW138*'With Action'!$Y$6</f>
        <v>0</v>
      </c>
      <c r="AE138" s="17">
        <f>'Rolling report'!CX138*'With Action'!$Y$6</f>
        <v>-5.000000000000001E-2</v>
      </c>
      <c r="AF138" s="17">
        <f>'Rolling report'!CY138*'With Action'!$Y$6</f>
        <v>-9.9000000000000021</v>
      </c>
      <c r="AG138" s="17">
        <f>'Rolling report'!CZ138*'With Action'!$Y$6</f>
        <v>0</v>
      </c>
      <c r="AH138" s="17">
        <f>'Rolling report'!DA138*'With Action'!$Y$6</f>
        <v>0</v>
      </c>
      <c r="AI138" s="17">
        <f>'Rolling report'!DB138*'With Action'!$Y$6</f>
        <v>0</v>
      </c>
      <c r="AJ138" s="17">
        <f>'Rolling report'!DC138*'With Action'!$Y$6</f>
        <v>0</v>
      </c>
      <c r="AK138" s="17">
        <f>'Rolling report'!DD138*'With Action'!$Y$6</f>
        <v>0</v>
      </c>
      <c r="AL138" s="17">
        <f>'Rolling report'!DE138*'With Action'!$Y$6</f>
        <v>0</v>
      </c>
      <c r="AM138" s="17">
        <f>'Rolling report'!DF138*'With Action'!$Y$6</f>
        <v>0</v>
      </c>
      <c r="AN138" s="17">
        <f>'Rolling report'!DG138*'With Action'!$Y$6</f>
        <v>0</v>
      </c>
      <c r="AO138" s="17">
        <f>'Rolling report'!DH138*'With Action'!$Y$6</f>
        <v>0</v>
      </c>
      <c r="AP138" s="17">
        <f>'Rolling report'!DI138*'With Action'!$Y$6</f>
        <v>0</v>
      </c>
    </row>
    <row r="139" spans="1:42" x14ac:dyDescent="0.25">
      <c r="A139" s="4" t="s">
        <v>267</v>
      </c>
      <c r="B139" s="6" t="s">
        <v>268</v>
      </c>
      <c r="I139" s="17">
        <f>'Rolling report'!CB139*'With Action'!$Y$6</f>
        <v>1.5000000000000002</v>
      </c>
      <c r="J139" s="17">
        <f>'Rolling report'!CC139*'With Action'!$Y$6</f>
        <v>5.000000000000001E-2</v>
      </c>
      <c r="K139" s="17">
        <f>'Rolling report'!CD139*'With Action'!$Y$6</f>
        <v>0.45000000000000007</v>
      </c>
      <c r="L139" s="17">
        <f>'Rolling report'!CE139*'With Action'!$Y$6</f>
        <v>0.10000000000000002</v>
      </c>
      <c r="M139" s="17">
        <f>'Rolling report'!CF139*'With Action'!$Y$6</f>
        <v>0.15000000000000002</v>
      </c>
      <c r="N139" s="17">
        <f>'Rolling report'!CG139*'With Action'!$Y$6</f>
        <v>0.70000000000000018</v>
      </c>
      <c r="O139" s="17">
        <f>'Rolling report'!CH139*'With Action'!$Y$6</f>
        <v>0.25000000000000006</v>
      </c>
      <c r="P139" s="17">
        <f>'Rolling report'!CI139*'With Action'!$Y$6</f>
        <v>0</v>
      </c>
      <c r="Q139" s="17">
        <f>'Rolling report'!CJ139*'With Action'!$Y$6</f>
        <v>0.30000000000000004</v>
      </c>
      <c r="R139" s="17">
        <f>'Rolling report'!CK139*'With Action'!$Y$6</f>
        <v>0.20000000000000004</v>
      </c>
      <c r="S139" s="17">
        <f>'Rolling report'!CL139*'With Action'!$Y$6</f>
        <v>0.20000000000000004</v>
      </c>
      <c r="T139" s="17">
        <f>'Rolling report'!CM139*'With Action'!$Y$6</f>
        <v>0.25000000000000006</v>
      </c>
      <c r="U139" s="17">
        <f>'Rolling report'!CN139*'With Action'!$Y$6</f>
        <v>0.10000000000000002</v>
      </c>
      <c r="V139" s="17">
        <f>'Rolling report'!CO139*'With Action'!$Y$6</f>
        <v>0.25000000000000006</v>
      </c>
      <c r="W139" s="17">
        <f>'Rolling report'!CP139*'With Action'!$Y$6</f>
        <v>5.000000000000001E-2</v>
      </c>
      <c r="X139" s="17">
        <f>'Rolling report'!CQ139*'With Action'!$Y$6</f>
        <v>0.20000000000000004</v>
      </c>
      <c r="Y139" s="17">
        <f>'Rolling report'!CR139*'With Action'!$Y$6</f>
        <v>0.15000000000000002</v>
      </c>
      <c r="Z139" s="17">
        <f>'Rolling report'!CS139*'With Action'!$Y$6</f>
        <v>5.000000000000001E-2</v>
      </c>
      <c r="AA139" s="17">
        <f>'Rolling report'!CT139*'With Action'!$Y$6</f>
        <v>0.15000000000000002</v>
      </c>
      <c r="AB139" s="17">
        <f>'Rolling report'!CU139*'With Action'!$Y$6</f>
        <v>5.000000000000001E-2</v>
      </c>
      <c r="AC139" s="17">
        <f>'Rolling report'!CV139*'With Action'!$Y$6</f>
        <v>0.25000000000000006</v>
      </c>
      <c r="AD139" s="17">
        <f>'Rolling report'!CW139*'With Action'!$Y$6</f>
        <v>5.000000000000001E-2</v>
      </c>
      <c r="AE139" s="17">
        <f>'Rolling report'!CX139*'With Action'!$Y$6</f>
        <v>0.30000000000000004</v>
      </c>
      <c r="AF139" s="17">
        <f>'Rolling report'!CY139*'With Action'!$Y$6</f>
        <v>-5.7500000000000009</v>
      </c>
      <c r="AG139" s="17">
        <f>'Rolling report'!CZ139*'With Action'!$Y$6</f>
        <v>0</v>
      </c>
      <c r="AH139" s="17">
        <f>'Rolling report'!DA139*'With Action'!$Y$6</f>
        <v>0</v>
      </c>
      <c r="AI139" s="17">
        <f>'Rolling report'!DB139*'With Action'!$Y$6</f>
        <v>0</v>
      </c>
      <c r="AJ139" s="17">
        <f>'Rolling report'!DC139*'With Action'!$Y$6</f>
        <v>0</v>
      </c>
      <c r="AK139" s="17">
        <f>'Rolling report'!DD139*'With Action'!$Y$6</f>
        <v>0</v>
      </c>
      <c r="AL139" s="17">
        <f>'Rolling report'!DE139*'With Action'!$Y$6</f>
        <v>0</v>
      </c>
      <c r="AM139" s="17">
        <f>'Rolling report'!DF139*'With Action'!$Y$6</f>
        <v>0</v>
      </c>
      <c r="AN139" s="17">
        <f>'Rolling report'!DG139*'With Action'!$Y$6</f>
        <v>0</v>
      </c>
      <c r="AO139" s="17">
        <f>'Rolling report'!DH139*'With Action'!$Y$6</f>
        <v>0</v>
      </c>
      <c r="AP139" s="17">
        <f>'Rolling report'!DI139*'With Action'!$Y$6</f>
        <v>0</v>
      </c>
    </row>
    <row r="140" spans="1:42" x14ac:dyDescent="0.25">
      <c r="A140" s="4" t="s">
        <v>269</v>
      </c>
      <c r="B140" s="6" t="s">
        <v>270</v>
      </c>
      <c r="I140" s="17">
        <f>'Rolling report'!CB140*'With Action'!$Y$6</f>
        <v>3.8500000000000005</v>
      </c>
      <c r="J140" s="17">
        <f>'Rolling report'!CC140*'With Action'!$Y$6</f>
        <v>0.35000000000000009</v>
      </c>
      <c r="K140" s="17">
        <f>'Rolling report'!CD140*'With Action'!$Y$6</f>
        <v>0.45000000000000007</v>
      </c>
      <c r="L140" s="17">
        <f>'Rolling report'!CE140*'With Action'!$Y$6</f>
        <v>0.45000000000000007</v>
      </c>
      <c r="M140" s="17">
        <f>'Rolling report'!CF140*'With Action'!$Y$6</f>
        <v>0.70000000000000018</v>
      </c>
      <c r="N140" s="17">
        <f>'Rolling report'!CG140*'With Action'!$Y$6</f>
        <v>0.20000000000000004</v>
      </c>
      <c r="O140" s="17">
        <f>'Rolling report'!CH140*'With Action'!$Y$6</f>
        <v>0.40000000000000008</v>
      </c>
      <c r="P140" s="17">
        <f>'Rolling report'!CI140*'With Action'!$Y$6</f>
        <v>0.25000000000000006</v>
      </c>
      <c r="Q140" s="17">
        <f>'Rolling report'!CJ140*'With Action'!$Y$6</f>
        <v>0</v>
      </c>
      <c r="R140" s="17">
        <f>'Rolling report'!CK140*'With Action'!$Y$6</f>
        <v>5.000000000000001E-2</v>
      </c>
      <c r="S140" s="17">
        <f>'Rolling report'!CL140*'With Action'!$Y$6</f>
        <v>0.30000000000000004</v>
      </c>
      <c r="T140" s="17">
        <f>'Rolling report'!CM140*'With Action'!$Y$6</f>
        <v>0.35000000000000009</v>
      </c>
      <c r="U140" s="17">
        <f>'Rolling report'!CN140*'With Action'!$Y$6</f>
        <v>0.10000000000000002</v>
      </c>
      <c r="V140" s="17">
        <f>'Rolling report'!CO140*'With Action'!$Y$6</f>
        <v>0.15000000000000002</v>
      </c>
      <c r="W140" s="17">
        <f>'Rolling report'!CP140*'With Action'!$Y$6</f>
        <v>0.20000000000000004</v>
      </c>
      <c r="X140" s="17">
        <f>'Rolling report'!CQ140*'With Action'!$Y$6</f>
        <v>0</v>
      </c>
      <c r="Y140" s="17">
        <f>'Rolling report'!CR140*'With Action'!$Y$6</f>
        <v>0.10000000000000002</v>
      </c>
      <c r="Z140" s="17">
        <f>'Rolling report'!CS140*'With Action'!$Y$6</f>
        <v>0</v>
      </c>
      <c r="AA140" s="17">
        <f>'Rolling report'!CT140*'With Action'!$Y$6</f>
        <v>0.10000000000000002</v>
      </c>
      <c r="AB140" s="17">
        <f>'Rolling report'!CU140*'With Action'!$Y$6</f>
        <v>5.000000000000001E-2</v>
      </c>
      <c r="AC140" s="17">
        <f>'Rolling report'!CV140*'With Action'!$Y$6</f>
        <v>0.10000000000000002</v>
      </c>
      <c r="AD140" s="17">
        <f>'Rolling report'!CW140*'With Action'!$Y$6</f>
        <v>-0.10000000000000002</v>
      </c>
      <c r="AE140" s="17">
        <f>'Rolling report'!CX140*'With Action'!$Y$6</f>
        <v>0.10000000000000002</v>
      </c>
      <c r="AF140" s="17">
        <f>'Rolling report'!CY140*'With Action'!$Y$6</f>
        <v>-8.1500000000000021</v>
      </c>
      <c r="AG140" s="17">
        <f>'Rolling report'!CZ140*'With Action'!$Y$6</f>
        <v>0</v>
      </c>
      <c r="AH140" s="17">
        <f>'Rolling report'!DA140*'With Action'!$Y$6</f>
        <v>0</v>
      </c>
      <c r="AI140" s="17">
        <f>'Rolling report'!DB140*'With Action'!$Y$6</f>
        <v>0</v>
      </c>
      <c r="AJ140" s="17">
        <f>'Rolling report'!DC140*'With Action'!$Y$6</f>
        <v>0</v>
      </c>
      <c r="AK140" s="17">
        <f>'Rolling report'!DD140*'With Action'!$Y$6</f>
        <v>0</v>
      </c>
      <c r="AL140" s="17">
        <f>'Rolling report'!DE140*'With Action'!$Y$6</f>
        <v>0</v>
      </c>
      <c r="AM140" s="17">
        <f>'Rolling report'!DF140*'With Action'!$Y$6</f>
        <v>0</v>
      </c>
      <c r="AN140" s="17">
        <f>'Rolling report'!DG140*'With Action'!$Y$6</f>
        <v>0</v>
      </c>
      <c r="AO140" s="17">
        <f>'Rolling report'!DH140*'With Action'!$Y$6</f>
        <v>0</v>
      </c>
      <c r="AP140" s="17">
        <f>'Rolling report'!DI140*'With Action'!$Y$6</f>
        <v>0</v>
      </c>
    </row>
    <row r="141" spans="1:42" x14ac:dyDescent="0.25">
      <c r="A141" s="4" t="s">
        <v>271</v>
      </c>
      <c r="B141" s="6" t="s">
        <v>272</v>
      </c>
      <c r="I141" s="17">
        <f>'Rolling report'!CB141*'With Action'!$Y$6</f>
        <v>5.2500000000000009</v>
      </c>
      <c r="J141" s="17">
        <f>'Rolling report'!CC141*'With Action'!$Y$6</f>
        <v>0.60000000000000009</v>
      </c>
      <c r="K141" s="17">
        <f>'Rolling report'!CD141*'With Action'!$Y$6</f>
        <v>0.90000000000000013</v>
      </c>
      <c r="L141" s="17">
        <f>'Rolling report'!CE141*'With Action'!$Y$6</f>
        <v>0.55000000000000016</v>
      </c>
      <c r="M141" s="17">
        <f>'Rolling report'!CF141*'With Action'!$Y$6</f>
        <v>0.95000000000000018</v>
      </c>
      <c r="N141" s="17">
        <f>'Rolling report'!CG141*'With Action'!$Y$6</f>
        <v>0.30000000000000004</v>
      </c>
      <c r="O141" s="17">
        <f>'Rolling report'!CH141*'With Action'!$Y$6</f>
        <v>0.65000000000000013</v>
      </c>
      <c r="P141" s="17">
        <f>'Rolling report'!CI141*'With Action'!$Y$6</f>
        <v>0.35000000000000009</v>
      </c>
      <c r="Q141" s="17">
        <f>'Rolling report'!CJ141*'With Action'!$Y$6</f>
        <v>0.25000000000000006</v>
      </c>
      <c r="R141" s="17">
        <f>'Rolling report'!CK141*'With Action'!$Y$6</f>
        <v>0.70000000000000018</v>
      </c>
      <c r="S141" s="17">
        <f>'Rolling report'!CL141*'With Action'!$Y$6</f>
        <v>0.45000000000000007</v>
      </c>
      <c r="T141" s="17">
        <f>'Rolling report'!CM141*'With Action'!$Y$6</f>
        <v>0.35000000000000009</v>
      </c>
      <c r="U141" s="17">
        <f>'Rolling report'!CN141*'With Action'!$Y$6</f>
        <v>0.30000000000000004</v>
      </c>
      <c r="V141" s="17">
        <f>'Rolling report'!CO141*'With Action'!$Y$6</f>
        <v>0.30000000000000004</v>
      </c>
      <c r="W141" s="17">
        <f>'Rolling report'!CP141*'With Action'!$Y$6</f>
        <v>0.35000000000000009</v>
      </c>
      <c r="X141" s="17">
        <f>'Rolling report'!CQ141*'With Action'!$Y$6</f>
        <v>0.15000000000000002</v>
      </c>
      <c r="Y141" s="17">
        <f>'Rolling report'!CR141*'With Action'!$Y$6</f>
        <v>0.70000000000000018</v>
      </c>
      <c r="Z141" s="17">
        <f>'Rolling report'!CS141*'With Action'!$Y$6</f>
        <v>0.15000000000000002</v>
      </c>
      <c r="AA141" s="17">
        <f>'Rolling report'!CT141*'With Action'!$Y$6</f>
        <v>0.50000000000000011</v>
      </c>
      <c r="AB141" s="17">
        <f>'Rolling report'!CU141*'With Action'!$Y$6</f>
        <v>0.30000000000000004</v>
      </c>
      <c r="AC141" s="17">
        <f>'Rolling report'!CV141*'With Action'!$Y$6</f>
        <v>0.60000000000000009</v>
      </c>
      <c r="AD141" s="17">
        <f>'Rolling report'!CW141*'With Action'!$Y$6</f>
        <v>-5.000000000000001E-2</v>
      </c>
      <c r="AE141" s="17">
        <f>'Rolling report'!CX141*'With Action'!$Y$6</f>
        <v>0.40000000000000008</v>
      </c>
      <c r="AF141" s="17">
        <f>'Rolling report'!CY141*'With Action'!$Y$6</f>
        <v>-15.000000000000004</v>
      </c>
      <c r="AG141" s="17">
        <f>'Rolling report'!CZ141*'With Action'!$Y$6</f>
        <v>0</v>
      </c>
      <c r="AH141" s="17">
        <f>'Rolling report'!DA141*'With Action'!$Y$6</f>
        <v>0</v>
      </c>
      <c r="AI141" s="17">
        <f>'Rolling report'!DB141*'With Action'!$Y$6</f>
        <v>0</v>
      </c>
      <c r="AJ141" s="17">
        <f>'Rolling report'!DC141*'With Action'!$Y$6</f>
        <v>0</v>
      </c>
      <c r="AK141" s="17">
        <f>'Rolling report'!DD141*'With Action'!$Y$6</f>
        <v>0</v>
      </c>
      <c r="AL141" s="17">
        <f>'Rolling report'!DE141*'With Action'!$Y$6</f>
        <v>0</v>
      </c>
      <c r="AM141" s="17">
        <f>'Rolling report'!DF141*'With Action'!$Y$6</f>
        <v>0</v>
      </c>
      <c r="AN141" s="17">
        <f>'Rolling report'!DG141*'With Action'!$Y$6</f>
        <v>0</v>
      </c>
      <c r="AO141" s="17">
        <f>'Rolling report'!DH141*'With Action'!$Y$6</f>
        <v>0</v>
      </c>
      <c r="AP141" s="17">
        <f>'Rolling report'!DI141*'With Action'!$Y$6</f>
        <v>0</v>
      </c>
    </row>
    <row r="142" spans="1:42" x14ac:dyDescent="0.25">
      <c r="A142" s="4" t="s">
        <v>273</v>
      </c>
      <c r="B142" s="6" t="s">
        <v>274</v>
      </c>
      <c r="I142" s="17">
        <f>'Rolling report'!CB142*'With Action'!$Y$6</f>
        <v>4.8000000000000007</v>
      </c>
      <c r="J142" s="17">
        <f>'Rolling report'!CC142*'With Action'!$Y$6</f>
        <v>1.5000000000000002</v>
      </c>
      <c r="K142" s="17">
        <f>'Rolling report'!CD142*'With Action'!$Y$6</f>
        <v>0.65000000000000013</v>
      </c>
      <c r="L142" s="17">
        <f>'Rolling report'!CE142*'With Action'!$Y$6</f>
        <v>0.45000000000000007</v>
      </c>
      <c r="M142" s="17">
        <f>'Rolling report'!CF142*'With Action'!$Y$6</f>
        <v>0.65000000000000013</v>
      </c>
      <c r="N142" s="17">
        <f>'Rolling report'!CG142*'With Action'!$Y$6</f>
        <v>0.35000000000000009</v>
      </c>
      <c r="O142" s="17">
        <f>'Rolling report'!CH142*'With Action'!$Y$6</f>
        <v>1.0500000000000003</v>
      </c>
      <c r="P142" s="17">
        <f>'Rolling report'!CI142*'With Action'!$Y$6</f>
        <v>0.20000000000000004</v>
      </c>
      <c r="Q142" s="17">
        <f>'Rolling report'!CJ142*'With Action'!$Y$6</f>
        <v>0.35000000000000009</v>
      </c>
      <c r="R142" s="17">
        <f>'Rolling report'!CK142*'With Action'!$Y$6</f>
        <v>0.60000000000000009</v>
      </c>
      <c r="S142" s="17">
        <f>'Rolling report'!CL142*'With Action'!$Y$6</f>
        <v>0</v>
      </c>
      <c r="T142" s="17">
        <f>'Rolling report'!CM142*'With Action'!$Y$6</f>
        <v>0.25000000000000006</v>
      </c>
      <c r="U142" s="17">
        <f>'Rolling report'!CN142*'With Action'!$Y$6</f>
        <v>0.15000000000000002</v>
      </c>
      <c r="V142" s="17">
        <f>'Rolling report'!CO142*'With Action'!$Y$6</f>
        <v>0.80000000000000016</v>
      </c>
      <c r="W142" s="17">
        <f>'Rolling report'!CP142*'With Action'!$Y$6</f>
        <v>0.30000000000000004</v>
      </c>
      <c r="X142" s="17">
        <f>'Rolling report'!CQ142*'With Action'!$Y$6</f>
        <v>0</v>
      </c>
      <c r="Y142" s="17">
        <f>'Rolling report'!CR142*'With Action'!$Y$6</f>
        <v>0.20000000000000004</v>
      </c>
      <c r="Z142" s="17">
        <f>'Rolling report'!CS142*'With Action'!$Y$6</f>
        <v>0.30000000000000004</v>
      </c>
      <c r="AA142" s="17">
        <f>'Rolling report'!CT142*'With Action'!$Y$6</f>
        <v>0</v>
      </c>
      <c r="AB142" s="17">
        <f>'Rolling report'!CU142*'With Action'!$Y$6</f>
        <v>0.45000000000000007</v>
      </c>
      <c r="AC142" s="17">
        <f>'Rolling report'!CV142*'With Action'!$Y$6</f>
        <v>0.20000000000000004</v>
      </c>
      <c r="AD142" s="17">
        <f>'Rolling report'!CW142*'With Action'!$Y$6</f>
        <v>0.25000000000000006</v>
      </c>
      <c r="AE142" s="17">
        <f>'Rolling report'!CX142*'With Action'!$Y$6</f>
        <v>0.15000000000000002</v>
      </c>
      <c r="AF142" s="17">
        <f>'Rolling report'!CY142*'With Action'!$Y$6</f>
        <v>-13.650000000000002</v>
      </c>
      <c r="AG142" s="17">
        <f>'Rolling report'!CZ142*'With Action'!$Y$6</f>
        <v>0</v>
      </c>
      <c r="AH142" s="17">
        <f>'Rolling report'!DA142*'With Action'!$Y$6</f>
        <v>0</v>
      </c>
      <c r="AI142" s="17">
        <f>'Rolling report'!DB142*'With Action'!$Y$6</f>
        <v>0</v>
      </c>
      <c r="AJ142" s="17">
        <f>'Rolling report'!DC142*'With Action'!$Y$6</f>
        <v>0</v>
      </c>
      <c r="AK142" s="17">
        <f>'Rolling report'!DD142*'With Action'!$Y$6</f>
        <v>0</v>
      </c>
      <c r="AL142" s="17">
        <f>'Rolling report'!DE142*'With Action'!$Y$6</f>
        <v>0</v>
      </c>
      <c r="AM142" s="17">
        <f>'Rolling report'!DF142*'With Action'!$Y$6</f>
        <v>0</v>
      </c>
      <c r="AN142" s="17">
        <f>'Rolling report'!DG142*'With Action'!$Y$6</f>
        <v>0</v>
      </c>
      <c r="AO142" s="17">
        <f>'Rolling report'!DH142*'With Action'!$Y$6</f>
        <v>0</v>
      </c>
      <c r="AP142" s="17">
        <f>'Rolling report'!DI142*'With Action'!$Y$6</f>
        <v>0</v>
      </c>
    </row>
    <row r="143" spans="1:42" x14ac:dyDescent="0.25">
      <c r="A143" s="4" t="s">
        <v>275</v>
      </c>
      <c r="B143" s="6" t="s">
        <v>276</v>
      </c>
      <c r="I143" s="17">
        <f>'Rolling report'!CB143*'With Action'!$Y$6</f>
        <v>2.9500000000000006</v>
      </c>
      <c r="J143" s="17">
        <f>'Rolling report'!CC143*'With Action'!$Y$6</f>
        <v>0.15000000000000002</v>
      </c>
      <c r="K143" s="17">
        <f>'Rolling report'!CD143*'With Action'!$Y$6</f>
        <v>0.25000000000000006</v>
      </c>
      <c r="L143" s="17">
        <f>'Rolling report'!CE143*'With Action'!$Y$6</f>
        <v>0.30000000000000004</v>
      </c>
      <c r="M143" s="17">
        <f>'Rolling report'!CF143*'With Action'!$Y$6</f>
        <v>0.40000000000000008</v>
      </c>
      <c r="N143" s="17">
        <f>'Rolling report'!CG143*'With Action'!$Y$6</f>
        <v>0.60000000000000009</v>
      </c>
      <c r="O143" s="17">
        <f>'Rolling report'!CH143*'With Action'!$Y$6</f>
        <v>1.0000000000000002</v>
      </c>
      <c r="P143" s="17">
        <f>'Rolling report'!CI143*'With Action'!$Y$6</f>
        <v>0.10000000000000002</v>
      </c>
      <c r="Q143" s="17">
        <f>'Rolling report'!CJ143*'With Action'!$Y$6</f>
        <v>0.15000000000000002</v>
      </c>
      <c r="R143" s="17">
        <f>'Rolling report'!CK143*'With Action'!$Y$6</f>
        <v>0.35000000000000009</v>
      </c>
      <c r="S143" s="17">
        <f>'Rolling report'!CL143*'With Action'!$Y$6</f>
        <v>0.55000000000000016</v>
      </c>
      <c r="T143" s="17">
        <f>'Rolling report'!CM143*'With Action'!$Y$6</f>
        <v>0.25000000000000006</v>
      </c>
      <c r="U143" s="17">
        <f>'Rolling report'!CN143*'With Action'!$Y$6</f>
        <v>0.15000000000000002</v>
      </c>
      <c r="V143" s="17">
        <f>'Rolling report'!CO143*'With Action'!$Y$6</f>
        <v>0.30000000000000004</v>
      </c>
      <c r="W143" s="17">
        <f>'Rolling report'!CP143*'With Action'!$Y$6</f>
        <v>0.50000000000000011</v>
      </c>
      <c r="X143" s="17">
        <f>'Rolling report'!CQ143*'With Action'!$Y$6</f>
        <v>0.10000000000000002</v>
      </c>
      <c r="Y143" s="17">
        <f>'Rolling report'!CR143*'With Action'!$Y$6</f>
        <v>0.10000000000000002</v>
      </c>
      <c r="Z143" s="17">
        <f>'Rolling report'!CS143*'With Action'!$Y$6</f>
        <v>0.20000000000000004</v>
      </c>
      <c r="AA143" s="17">
        <f>'Rolling report'!CT143*'With Action'!$Y$6</f>
        <v>5.000000000000001E-2</v>
      </c>
      <c r="AB143" s="17">
        <f>'Rolling report'!CU143*'With Action'!$Y$6</f>
        <v>5.000000000000001E-2</v>
      </c>
      <c r="AC143" s="17">
        <f>'Rolling report'!CV143*'With Action'!$Y$6</f>
        <v>0.15000000000000002</v>
      </c>
      <c r="AD143" s="17">
        <f>'Rolling report'!CW143*'With Action'!$Y$6</f>
        <v>0.30000000000000004</v>
      </c>
      <c r="AE143" s="17">
        <f>'Rolling report'!CX143*'With Action'!$Y$6</f>
        <v>0</v>
      </c>
      <c r="AF143" s="17">
        <f>'Rolling report'!CY143*'With Action'!$Y$6</f>
        <v>-8.9500000000000011</v>
      </c>
      <c r="AG143" s="17">
        <f>'Rolling report'!CZ143*'With Action'!$Y$6</f>
        <v>0</v>
      </c>
      <c r="AH143" s="17">
        <f>'Rolling report'!DA143*'With Action'!$Y$6</f>
        <v>0</v>
      </c>
      <c r="AI143" s="17">
        <f>'Rolling report'!DB143*'With Action'!$Y$6</f>
        <v>0</v>
      </c>
      <c r="AJ143" s="17">
        <f>'Rolling report'!DC143*'With Action'!$Y$6</f>
        <v>0</v>
      </c>
      <c r="AK143" s="17">
        <f>'Rolling report'!DD143*'With Action'!$Y$6</f>
        <v>0</v>
      </c>
      <c r="AL143" s="17">
        <f>'Rolling report'!DE143*'With Action'!$Y$6</f>
        <v>0</v>
      </c>
      <c r="AM143" s="17">
        <f>'Rolling report'!DF143*'With Action'!$Y$6</f>
        <v>0</v>
      </c>
      <c r="AN143" s="17">
        <f>'Rolling report'!DG143*'With Action'!$Y$6</f>
        <v>0</v>
      </c>
      <c r="AO143" s="17">
        <f>'Rolling report'!DH143*'With Action'!$Y$6</f>
        <v>0</v>
      </c>
      <c r="AP143" s="17">
        <f>'Rolling report'!DI143*'With Action'!$Y$6</f>
        <v>0</v>
      </c>
    </row>
    <row r="144" spans="1:42" x14ac:dyDescent="0.25">
      <c r="A144" s="4" t="s">
        <v>277</v>
      </c>
      <c r="B144" s="6" t="s">
        <v>278</v>
      </c>
      <c r="I144" s="17">
        <f>'Rolling report'!CB144*'With Action'!$Y$6</f>
        <v>0.65000000000000013</v>
      </c>
      <c r="J144" s="17">
        <f>'Rolling report'!CC144*'With Action'!$Y$6</f>
        <v>0.60000000000000009</v>
      </c>
      <c r="K144" s="17">
        <f>'Rolling report'!CD144*'With Action'!$Y$6</f>
        <v>0</v>
      </c>
      <c r="L144" s="17">
        <f>'Rolling report'!CE144*'With Action'!$Y$6</f>
        <v>0.30000000000000004</v>
      </c>
      <c r="M144" s="17">
        <f>'Rolling report'!CF144*'With Action'!$Y$6</f>
        <v>0.15000000000000002</v>
      </c>
      <c r="N144" s="17">
        <f>'Rolling report'!CG144*'With Action'!$Y$6</f>
        <v>0</v>
      </c>
      <c r="O144" s="17">
        <f>'Rolling report'!CH144*'With Action'!$Y$6</f>
        <v>0.30000000000000004</v>
      </c>
      <c r="P144" s="17">
        <f>'Rolling report'!CI144*'With Action'!$Y$6</f>
        <v>0</v>
      </c>
      <c r="Q144" s="17">
        <f>'Rolling report'!CJ144*'With Action'!$Y$6</f>
        <v>0</v>
      </c>
      <c r="R144" s="17">
        <f>'Rolling report'!CK144*'With Action'!$Y$6</f>
        <v>5.000000000000001E-2</v>
      </c>
      <c r="S144" s="17">
        <f>'Rolling report'!CL144*'With Action'!$Y$6</f>
        <v>0.20000000000000004</v>
      </c>
      <c r="T144" s="17">
        <f>'Rolling report'!CM144*'With Action'!$Y$6</f>
        <v>0.10000000000000002</v>
      </c>
      <c r="U144" s="17">
        <f>'Rolling report'!CN144*'With Action'!$Y$6</f>
        <v>0.10000000000000002</v>
      </c>
      <c r="V144" s="17">
        <f>'Rolling report'!CO144*'With Action'!$Y$6</f>
        <v>5.000000000000001E-2</v>
      </c>
      <c r="W144" s="17">
        <f>'Rolling report'!CP144*'With Action'!$Y$6</f>
        <v>0</v>
      </c>
      <c r="X144" s="17">
        <f>'Rolling report'!CQ144*'With Action'!$Y$6</f>
        <v>0</v>
      </c>
      <c r="Y144" s="17">
        <f>'Rolling report'!CR144*'With Action'!$Y$6</f>
        <v>0</v>
      </c>
      <c r="Z144" s="17">
        <f>'Rolling report'!CS144*'With Action'!$Y$6</f>
        <v>0.10000000000000002</v>
      </c>
      <c r="AA144" s="17">
        <f>'Rolling report'!CT144*'With Action'!$Y$6</f>
        <v>5.000000000000001E-2</v>
      </c>
      <c r="AB144" s="17">
        <f>'Rolling report'!CU144*'With Action'!$Y$6</f>
        <v>0</v>
      </c>
      <c r="AC144" s="17">
        <f>'Rolling report'!CV144*'With Action'!$Y$6</f>
        <v>0.10000000000000002</v>
      </c>
      <c r="AD144" s="17">
        <f>'Rolling report'!CW144*'With Action'!$Y$6</f>
        <v>0.15000000000000002</v>
      </c>
      <c r="AE144" s="17">
        <f>'Rolling report'!CX144*'With Action'!$Y$6</f>
        <v>0.10000000000000002</v>
      </c>
      <c r="AF144" s="17">
        <f>'Rolling report'!CY144*'With Action'!$Y$6</f>
        <v>-3.0000000000000004</v>
      </c>
      <c r="AG144" s="17">
        <f>'Rolling report'!CZ144*'With Action'!$Y$6</f>
        <v>0</v>
      </c>
      <c r="AH144" s="17">
        <f>'Rolling report'!DA144*'With Action'!$Y$6</f>
        <v>0</v>
      </c>
      <c r="AI144" s="17">
        <f>'Rolling report'!DB144*'With Action'!$Y$6</f>
        <v>0</v>
      </c>
      <c r="AJ144" s="17">
        <f>'Rolling report'!DC144*'With Action'!$Y$6</f>
        <v>0</v>
      </c>
      <c r="AK144" s="17">
        <f>'Rolling report'!DD144*'With Action'!$Y$6</f>
        <v>0</v>
      </c>
      <c r="AL144" s="17">
        <f>'Rolling report'!DE144*'With Action'!$Y$6</f>
        <v>0</v>
      </c>
      <c r="AM144" s="17">
        <f>'Rolling report'!DF144*'With Action'!$Y$6</f>
        <v>0</v>
      </c>
      <c r="AN144" s="17">
        <f>'Rolling report'!DG144*'With Action'!$Y$6</f>
        <v>0</v>
      </c>
      <c r="AO144" s="17">
        <f>'Rolling report'!DH144*'With Action'!$Y$6</f>
        <v>0</v>
      </c>
      <c r="AP144" s="17">
        <f>'Rolling report'!DI144*'With Action'!$Y$6</f>
        <v>0</v>
      </c>
    </row>
    <row r="145" spans="1:42" x14ac:dyDescent="0.25">
      <c r="A145" s="4" t="s">
        <v>279</v>
      </c>
      <c r="B145" s="6" t="s">
        <v>280</v>
      </c>
      <c r="I145" s="17">
        <f>'Rolling report'!CB145*'With Action'!$Y$6</f>
        <v>6.1000000000000014</v>
      </c>
      <c r="J145" s="17">
        <f>'Rolling report'!CC145*'With Action'!$Y$6</f>
        <v>0.40000000000000008</v>
      </c>
      <c r="K145" s="17">
        <f>'Rolling report'!CD145*'With Action'!$Y$6</f>
        <v>0.40000000000000008</v>
      </c>
      <c r="L145" s="17">
        <f>'Rolling report'!CE145*'With Action'!$Y$6</f>
        <v>0.90000000000000013</v>
      </c>
      <c r="M145" s="17">
        <f>'Rolling report'!CF145*'With Action'!$Y$6</f>
        <v>0.35000000000000009</v>
      </c>
      <c r="N145" s="17">
        <f>'Rolling report'!CG145*'With Action'!$Y$6</f>
        <v>0.30000000000000004</v>
      </c>
      <c r="O145" s="17">
        <f>'Rolling report'!CH145*'With Action'!$Y$6</f>
        <v>0.70000000000000018</v>
      </c>
      <c r="P145" s="17">
        <f>'Rolling report'!CI145*'With Action'!$Y$6</f>
        <v>0.40000000000000008</v>
      </c>
      <c r="Q145" s="17">
        <f>'Rolling report'!CJ145*'With Action'!$Y$6</f>
        <v>0.25000000000000006</v>
      </c>
      <c r="R145" s="17">
        <f>'Rolling report'!CK145*'With Action'!$Y$6</f>
        <v>0.20000000000000004</v>
      </c>
      <c r="S145" s="17">
        <f>'Rolling report'!CL145*'With Action'!$Y$6</f>
        <v>0.40000000000000008</v>
      </c>
      <c r="T145" s="17">
        <f>'Rolling report'!CM145*'With Action'!$Y$6</f>
        <v>0.45000000000000007</v>
      </c>
      <c r="U145" s="17">
        <f>'Rolling report'!CN145*'With Action'!$Y$6</f>
        <v>0.35000000000000009</v>
      </c>
      <c r="V145" s="17">
        <f>'Rolling report'!CO145*'With Action'!$Y$6</f>
        <v>0.90000000000000013</v>
      </c>
      <c r="W145" s="17">
        <f>'Rolling report'!CP145*'With Action'!$Y$6</f>
        <v>0.20000000000000004</v>
      </c>
      <c r="X145" s="17">
        <f>'Rolling report'!CQ145*'With Action'!$Y$6</f>
        <v>0.10000000000000002</v>
      </c>
      <c r="Y145" s="17">
        <f>'Rolling report'!CR145*'With Action'!$Y$6</f>
        <v>0.10000000000000002</v>
      </c>
      <c r="Z145" s="17">
        <f>'Rolling report'!CS145*'With Action'!$Y$6</f>
        <v>0.25000000000000006</v>
      </c>
      <c r="AA145" s="17">
        <f>'Rolling report'!CT145*'With Action'!$Y$6</f>
        <v>0.40000000000000008</v>
      </c>
      <c r="AB145" s="17">
        <f>'Rolling report'!CU145*'With Action'!$Y$6</f>
        <v>0.75000000000000011</v>
      </c>
      <c r="AC145" s="17">
        <f>'Rolling report'!CV145*'With Action'!$Y$6</f>
        <v>0.8500000000000002</v>
      </c>
      <c r="AD145" s="17">
        <f>'Rolling report'!CW145*'With Action'!$Y$6</f>
        <v>0.10000000000000002</v>
      </c>
      <c r="AE145" s="17">
        <f>'Rolling report'!CX145*'With Action'!$Y$6</f>
        <v>0.30000000000000004</v>
      </c>
      <c r="AF145" s="17">
        <f>'Rolling report'!CY145*'With Action'!$Y$6</f>
        <v>-15.150000000000002</v>
      </c>
      <c r="AG145" s="17">
        <f>'Rolling report'!CZ145*'With Action'!$Y$6</f>
        <v>0</v>
      </c>
      <c r="AH145" s="17">
        <f>'Rolling report'!DA145*'With Action'!$Y$6</f>
        <v>0</v>
      </c>
      <c r="AI145" s="17">
        <f>'Rolling report'!DB145*'With Action'!$Y$6</f>
        <v>0</v>
      </c>
      <c r="AJ145" s="17">
        <f>'Rolling report'!DC145*'With Action'!$Y$6</f>
        <v>0</v>
      </c>
      <c r="AK145" s="17">
        <f>'Rolling report'!DD145*'With Action'!$Y$6</f>
        <v>0</v>
      </c>
      <c r="AL145" s="17">
        <f>'Rolling report'!DE145*'With Action'!$Y$6</f>
        <v>0</v>
      </c>
      <c r="AM145" s="17">
        <f>'Rolling report'!DF145*'With Action'!$Y$6</f>
        <v>0</v>
      </c>
      <c r="AN145" s="17">
        <f>'Rolling report'!DG145*'With Action'!$Y$6</f>
        <v>0</v>
      </c>
      <c r="AO145" s="17">
        <f>'Rolling report'!DH145*'With Action'!$Y$6</f>
        <v>0</v>
      </c>
      <c r="AP145" s="17">
        <f>'Rolling report'!DI145*'With Action'!$Y$6</f>
        <v>0</v>
      </c>
    </row>
    <row r="146" spans="1:42" x14ac:dyDescent="0.25">
      <c r="A146" s="4" t="s">
        <v>281</v>
      </c>
      <c r="B146" s="6" t="s">
        <v>282</v>
      </c>
      <c r="I146" s="17">
        <f>'Rolling report'!CB146*'With Action'!$Y$6</f>
        <v>11.600000000000001</v>
      </c>
      <c r="J146" s="17">
        <f>'Rolling report'!CC146*'With Action'!$Y$6</f>
        <v>1.9000000000000004</v>
      </c>
      <c r="K146" s="17">
        <f>'Rolling report'!CD146*'With Action'!$Y$6</f>
        <v>2.1000000000000005</v>
      </c>
      <c r="L146" s="17">
        <f>'Rolling report'!CE146*'With Action'!$Y$6</f>
        <v>2.3500000000000005</v>
      </c>
      <c r="M146" s="17">
        <f>'Rolling report'!CF146*'With Action'!$Y$6</f>
        <v>1.4000000000000004</v>
      </c>
      <c r="N146" s="17">
        <f>'Rolling report'!CG146*'With Action'!$Y$6</f>
        <v>1.6500000000000004</v>
      </c>
      <c r="O146" s="17">
        <f>'Rolling report'!CH146*'With Action'!$Y$6</f>
        <v>2.3500000000000005</v>
      </c>
      <c r="P146" s="17">
        <f>'Rolling report'!CI146*'With Action'!$Y$6</f>
        <v>0.80000000000000016</v>
      </c>
      <c r="Q146" s="17">
        <f>'Rolling report'!CJ146*'With Action'!$Y$6</f>
        <v>1.2500000000000002</v>
      </c>
      <c r="R146" s="17">
        <f>'Rolling report'!CK146*'With Action'!$Y$6</f>
        <v>1.3000000000000003</v>
      </c>
      <c r="S146" s="17">
        <f>'Rolling report'!CL146*'With Action'!$Y$6</f>
        <v>1.0000000000000002</v>
      </c>
      <c r="T146" s="17">
        <f>'Rolling report'!CM146*'With Action'!$Y$6</f>
        <v>0.90000000000000013</v>
      </c>
      <c r="U146" s="17">
        <f>'Rolling report'!CN146*'With Action'!$Y$6</f>
        <v>0.90000000000000013</v>
      </c>
      <c r="V146" s="17">
        <f>'Rolling report'!CO146*'With Action'!$Y$6</f>
        <v>0.50000000000000011</v>
      </c>
      <c r="W146" s="17">
        <f>'Rolling report'!CP146*'With Action'!$Y$6</f>
        <v>0.75000000000000011</v>
      </c>
      <c r="X146" s="17">
        <f>'Rolling report'!CQ146*'With Action'!$Y$6</f>
        <v>0.55000000000000016</v>
      </c>
      <c r="Y146" s="17">
        <f>'Rolling report'!CR146*'With Action'!$Y$6</f>
        <v>0.80000000000000016</v>
      </c>
      <c r="Z146" s="17">
        <f>'Rolling report'!CS146*'With Action'!$Y$6</f>
        <v>1.0000000000000002</v>
      </c>
      <c r="AA146" s="17">
        <f>'Rolling report'!CT146*'With Action'!$Y$6</f>
        <v>0.90000000000000013</v>
      </c>
      <c r="AB146" s="17">
        <f>'Rolling report'!CU146*'With Action'!$Y$6</f>
        <v>0.70000000000000018</v>
      </c>
      <c r="AC146" s="17">
        <f>'Rolling report'!CV146*'With Action'!$Y$6</f>
        <v>0.65000000000000013</v>
      </c>
      <c r="AD146" s="17">
        <f>'Rolling report'!CW146*'With Action'!$Y$6</f>
        <v>0.20000000000000004</v>
      </c>
      <c r="AE146" s="17">
        <f>'Rolling report'!CX146*'With Action'!$Y$6</f>
        <v>0.65000000000000013</v>
      </c>
      <c r="AF146" s="17">
        <f>'Rolling report'!CY146*'With Action'!$Y$6</f>
        <v>-36.20000000000001</v>
      </c>
      <c r="AG146" s="17">
        <f>'Rolling report'!CZ146*'With Action'!$Y$6</f>
        <v>0</v>
      </c>
      <c r="AH146" s="17">
        <f>'Rolling report'!DA146*'With Action'!$Y$6</f>
        <v>0</v>
      </c>
      <c r="AI146" s="17">
        <f>'Rolling report'!DB146*'With Action'!$Y$6</f>
        <v>0</v>
      </c>
      <c r="AJ146" s="17">
        <f>'Rolling report'!DC146*'With Action'!$Y$6</f>
        <v>0</v>
      </c>
      <c r="AK146" s="17">
        <f>'Rolling report'!DD146*'With Action'!$Y$6</f>
        <v>0</v>
      </c>
      <c r="AL146" s="17">
        <f>'Rolling report'!DE146*'With Action'!$Y$6</f>
        <v>0</v>
      </c>
      <c r="AM146" s="17">
        <f>'Rolling report'!DF146*'With Action'!$Y$6</f>
        <v>0</v>
      </c>
      <c r="AN146" s="17">
        <f>'Rolling report'!DG146*'With Action'!$Y$6</f>
        <v>0</v>
      </c>
      <c r="AO146" s="17">
        <f>'Rolling report'!DH146*'With Action'!$Y$6</f>
        <v>0</v>
      </c>
      <c r="AP146" s="17">
        <f>'Rolling report'!DI146*'With Action'!$Y$6</f>
        <v>0</v>
      </c>
    </row>
    <row r="147" spans="1:42" x14ac:dyDescent="0.25">
      <c r="A147" s="4" t="s">
        <v>283</v>
      </c>
      <c r="B147" s="6" t="s">
        <v>284</v>
      </c>
      <c r="I147" s="17">
        <f>'Rolling report'!CB147*'With Action'!$Y$6</f>
        <v>2.5000000000000004</v>
      </c>
      <c r="J147" s="17">
        <f>'Rolling report'!CC147*'With Action'!$Y$6</f>
        <v>0.70000000000000018</v>
      </c>
      <c r="K147" s="17">
        <f>'Rolling report'!CD147*'With Action'!$Y$6</f>
        <v>1.1000000000000003</v>
      </c>
      <c r="L147" s="17">
        <f>'Rolling report'!CE147*'With Action'!$Y$6</f>
        <v>1.0000000000000002</v>
      </c>
      <c r="M147" s="17">
        <f>'Rolling report'!CF147*'With Action'!$Y$6</f>
        <v>0.80000000000000016</v>
      </c>
      <c r="N147" s="17">
        <f>'Rolling report'!CG147*'With Action'!$Y$6</f>
        <v>0.45000000000000007</v>
      </c>
      <c r="O147" s="17">
        <f>'Rolling report'!CH147*'With Action'!$Y$6</f>
        <v>0.55000000000000016</v>
      </c>
      <c r="P147" s="17">
        <f>'Rolling report'!CI147*'With Action'!$Y$6</f>
        <v>0.50000000000000011</v>
      </c>
      <c r="Q147" s="17">
        <f>'Rolling report'!CJ147*'With Action'!$Y$6</f>
        <v>0.65000000000000013</v>
      </c>
      <c r="R147" s="17">
        <f>'Rolling report'!CK147*'With Action'!$Y$6</f>
        <v>0.40000000000000008</v>
      </c>
      <c r="S147" s="17">
        <f>'Rolling report'!CL147*'With Action'!$Y$6</f>
        <v>0.25000000000000006</v>
      </c>
      <c r="T147" s="17">
        <f>'Rolling report'!CM147*'With Action'!$Y$6</f>
        <v>0.55000000000000016</v>
      </c>
      <c r="U147" s="17">
        <f>'Rolling report'!CN147*'With Action'!$Y$6</f>
        <v>0.20000000000000004</v>
      </c>
      <c r="V147" s="17">
        <f>'Rolling report'!CO147*'With Action'!$Y$6</f>
        <v>0.15000000000000002</v>
      </c>
      <c r="W147" s="17">
        <f>'Rolling report'!CP147*'With Action'!$Y$6</f>
        <v>0.10000000000000002</v>
      </c>
      <c r="X147" s="17">
        <f>'Rolling report'!CQ147*'With Action'!$Y$6</f>
        <v>0.15000000000000002</v>
      </c>
      <c r="Y147" s="17">
        <f>'Rolling report'!CR147*'With Action'!$Y$6</f>
        <v>5.000000000000001E-2</v>
      </c>
      <c r="Z147" s="17">
        <f>'Rolling report'!CS147*'With Action'!$Y$6</f>
        <v>0.10000000000000002</v>
      </c>
      <c r="AA147" s="17">
        <f>'Rolling report'!CT147*'With Action'!$Y$6</f>
        <v>0.40000000000000008</v>
      </c>
      <c r="AB147" s="17">
        <f>'Rolling report'!CU147*'With Action'!$Y$6</f>
        <v>0.15000000000000002</v>
      </c>
      <c r="AC147" s="17">
        <f>'Rolling report'!CV147*'With Action'!$Y$6</f>
        <v>0.40000000000000008</v>
      </c>
      <c r="AD147" s="17">
        <f>'Rolling report'!CW147*'With Action'!$Y$6</f>
        <v>0</v>
      </c>
      <c r="AE147" s="17">
        <f>'Rolling report'!CX147*'With Action'!$Y$6</f>
        <v>5.000000000000001E-2</v>
      </c>
      <c r="AF147" s="17">
        <f>'Rolling report'!CY147*'With Action'!$Y$6</f>
        <v>-11.200000000000003</v>
      </c>
      <c r="AG147" s="17">
        <f>'Rolling report'!CZ147*'With Action'!$Y$6</f>
        <v>0</v>
      </c>
      <c r="AH147" s="17">
        <f>'Rolling report'!DA147*'With Action'!$Y$6</f>
        <v>0</v>
      </c>
      <c r="AI147" s="17">
        <f>'Rolling report'!DB147*'With Action'!$Y$6</f>
        <v>0</v>
      </c>
      <c r="AJ147" s="17">
        <f>'Rolling report'!DC147*'With Action'!$Y$6</f>
        <v>0</v>
      </c>
      <c r="AK147" s="17">
        <f>'Rolling report'!DD147*'With Action'!$Y$6</f>
        <v>0</v>
      </c>
      <c r="AL147" s="17">
        <f>'Rolling report'!DE147*'With Action'!$Y$6</f>
        <v>0</v>
      </c>
      <c r="AM147" s="17">
        <f>'Rolling report'!DF147*'With Action'!$Y$6</f>
        <v>0</v>
      </c>
      <c r="AN147" s="17">
        <f>'Rolling report'!DG147*'With Action'!$Y$6</f>
        <v>0</v>
      </c>
      <c r="AO147" s="17">
        <f>'Rolling report'!DH147*'With Action'!$Y$6</f>
        <v>0</v>
      </c>
      <c r="AP147" s="17">
        <f>'Rolling report'!DI147*'With Action'!$Y$6</f>
        <v>0</v>
      </c>
    </row>
    <row r="148" spans="1:42" x14ac:dyDescent="0.25">
      <c r="A148" s="4" t="s">
        <v>285</v>
      </c>
      <c r="B148" s="6" t="s">
        <v>286</v>
      </c>
      <c r="I148" s="17">
        <f>'Rolling report'!CB148*'With Action'!$Y$6</f>
        <v>16.950000000000003</v>
      </c>
      <c r="J148" s="17">
        <f>'Rolling report'!CC148*'With Action'!$Y$6</f>
        <v>1.9000000000000004</v>
      </c>
      <c r="K148" s="17">
        <f>'Rolling report'!CD148*'With Action'!$Y$6</f>
        <v>1.8000000000000003</v>
      </c>
      <c r="L148" s="17">
        <f>'Rolling report'!CE148*'With Action'!$Y$6</f>
        <v>2.9500000000000006</v>
      </c>
      <c r="M148" s="17">
        <f>'Rolling report'!CF148*'With Action'!$Y$6</f>
        <v>2.3500000000000005</v>
      </c>
      <c r="N148" s="17">
        <f>'Rolling report'!CG148*'With Action'!$Y$6</f>
        <v>2.1500000000000004</v>
      </c>
      <c r="O148" s="17">
        <f>'Rolling report'!CH148*'With Action'!$Y$6</f>
        <v>2.4500000000000006</v>
      </c>
      <c r="P148" s="17">
        <f>'Rolling report'!CI148*'With Action'!$Y$6</f>
        <v>1.0000000000000002</v>
      </c>
      <c r="Q148" s="17">
        <f>'Rolling report'!CJ148*'With Action'!$Y$6</f>
        <v>1.3000000000000003</v>
      </c>
      <c r="R148" s="17">
        <f>'Rolling report'!CK148*'With Action'!$Y$6</f>
        <v>1.1500000000000001</v>
      </c>
      <c r="S148" s="17">
        <f>'Rolling report'!CL148*'With Action'!$Y$6</f>
        <v>1.4000000000000004</v>
      </c>
      <c r="T148" s="17">
        <f>'Rolling report'!CM148*'With Action'!$Y$6</f>
        <v>1.4000000000000004</v>
      </c>
      <c r="U148" s="17">
        <f>'Rolling report'!CN148*'With Action'!$Y$6</f>
        <v>1.5000000000000002</v>
      </c>
      <c r="V148" s="17">
        <f>'Rolling report'!CO148*'With Action'!$Y$6</f>
        <v>0.80000000000000016</v>
      </c>
      <c r="W148" s="17">
        <f>'Rolling report'!CP148*'With Action'!$Y$6</f>
        <v>1.0500000000000003</v>
      </c>
      <c r="X148" s="17">
        <f>'Rolling report'!CQ148*'With Action'!$Y$6</f>
        <v>1.1500000000000001</v>
      </c>
      <c r="Y148" s="17">
        <f>'Rolling report'!CR148*'With Action'!$Y$6</f>
        <v>0.30000000000000004</v>
      </c>
      <c r="Z148" s="17">
        <f>'Rolling report'!CS148*'With Action'!$Y$6</f>
        <v>0.8500000000000002</v>
      </c>
      <c r="AA148" s="17">
        <f>'Rolling report'!CT148*'With Action'!$Y$6</f>
        <v>0.15000000000000002</v>
      </c>
      <c r="AB148" s="17">
        <f>'Rolling report'!CU148*'With Action'!$Y$6</f>
        <v>0.90000000000000013</v>
      </c>
      <c r="AC148" s="17">
        <f>'Rolling report'!CV148*'With Action'!$Y$6</f>
        <v>1.2000000000000002</v>
      </c>
      <c r="AD148" s="17">
        <f>'Rolling report'!CW148*'With Action'!$Y$6</f>
        <v>0.20000000000000004</v>
      </c>
      <c r="AE148" s="17">
        <f>'Rolling report'!CX148*'With Action'!$Y$6</f>
        <v>0.55000000000000016</v>
      </c>
      <c r="AF148" s="17">
        <f>'Rolling report'!CY148*'With Action'!$Y$6</f>
        <v>-45.45000000000001</v>
      </c>
      <c r="AG148" s="17">
        <f>'Rolling report'!CZ148*'With Action'!$Y$6</f>
        <v>0</v>
      </c>
      <c r="AH148" s="17">
        <f>'Rolling report'!DA148*'With Action'!$Y$6</f>
        <v>0</v>
      </c>
      <c r="AI148" s="17">
        <f>'Rolling report'!DB148*'With Action'!$Y$6</f>
        <v>0</v>
      </c>
      <c r="AJ148" s="17">
        <f>'Rolling report'!DC148*'With Action'!$Y$6</f>
        <v>0</v>
      </c>
      <c r="AK148" s="17">
        <f>'Rolling report'!DD148*'With Action'!$Y$6</f>
        <v>0</v>
      </c>
      <c r="AL148" s="17">
        <f>'Rolling report'!DE148*'With Action'!$Y$6</f>
        <v>0</v>
      </c>
      <c r="AM148" s="17">
        <f>'Rolling report'!DF148*'With Action'!$Y$6</f>
        <v>0</v>
      </c>
      <c r="AN148" s="17">
        <f>'Rolling report'!DG148*'With Action'!$Y$6</f>
        <v>0</v>
      </c>
      <c r="AO148" s="17">
        <f>'Rolling report'!DH148*'With Action'!$Y$6</f>
        <v>0</v>
      </c>
      <c r="AP148" s="17">
        <f>'Rolling report'!DI148*'With Action'!$Y$6</f>
        <v>0</v>
      </c>
    </row>
    <row r="149" spans="1:42" x14ac:dyDescent="0.25">
      <c r="A149" s="4" t="s">
        <v>287</v>
      </c>
      <c r="B149" s="6" t="s">
        <v>288</v>
      </c>
      <c r="I149" s="17">
        <f>'Rolling report'!CB149*'With Action'!$Y$6</f>
        <v>6.6500000000000012</v>
      </c>
      <c r="J149" s="17">
        <f>'Rolling report'!CC149*'With Action'!$Y$6</f>
        <v>0.8500000000000002</v>
      </c>
      <c r="K149" s="17">
        <f>'Rolling report'!CD149*'With Action'!$Y$6</f>
        <v>1.1000000000000003</v>
      </c>
      <c r="L149" s="17">
        <f>'Rolling report'!CE149*'With Action'!$Y$6</f>
        <v>0.90000000000000013</v>
      </c>
      <c r="M149" s="17">
        <f>'Rolling report'!CF149*'With Action'!$Y$6</f>
        <v>0.40000000000000008</v>
      </c>
      <c r="N149" s="17">
        <f>'Rolling report'!CG149*'With Action'!$Y$6</f>
        <v>1.5000000000000002</v>
      </c>
      <c r="O149" s="17">
        <f>'Rolling report'!CH149*'With Action'!$Y$6</f>
        <v>2.3000000000000003</v>
      </c>
      <c r="P149" s="17">
        <f>'Rolling report'!CI149*'With Action'!$Y$6</f>
        <v>0.65000000000000013</v>
      </c>
      <c r="Q149" s="17">
        <f>'Rolling report'!CJ149*'With Action'!$Y$6</f>
        <v>0.60000000000000009</v>
      </c>
      <c r="R149" s="17">
        <f>'Rolling report'!CK149*'With Action'!$Y$6</f>
        <v>0.65000000000000013</v>
      </c>
      <c r="S149" s="17">
        <f>'Rolling report'!CL149*'With Action'!$Y$6</f>
        <v>0.75000000000000011</v>
      </c>
      <c r="T149" s="17">
        <f>'Rolling report'!CM149*'With Action'!$Y$6</f>
        <v>0.45000000000000007</v>
      </c>
      <c r="U149" s="17">
        <f>'Rolling report'!CN149*'With Action'!$Y$6</f>
        <v>1.1000000000000003</v>
      </c>
      <c r="V149" s="17">
        <f>'Rolling report'!CO149*'With Action'!$Y$6</f>
        <v>0.8500000000000002</v>
      </c>
      <c r="W149" s="17">
        <f>'Rolling report'!CP149*'With Action'!$Y$6</f>
        <v>0.15000000000000002</v>
      </c>
      <c r="X149" s="17">
        <f>'Rolling report'!CQ149*'With Action'!$Y$6</f>
        <v>0.35000000000000009</v>
      </c>
      <c r="Y149" s="17">
        <f>'Rolling report'!CR149*'With Action'!$Y$6</f>
        <v>0.40000000000000008</v>
      </c>
      <c r="Z149" s="17">
        <f>'Rolling report'!CS149*'With Action'!$Y$6</f>
        <v>0.40000000000000008</v>
      </c>
      <c r="AA149" s="17">
        <f>'Rolling report'!CT149*'With Action'!$Y$6</f>
        <v>0.70000000000000018</v>
      </c>
      <c r="AB149" s="17">
        <f>'Rolling report'!CU149*'With Action'!$Y$6</f>
        <v>0.45000000000000007</v>
      </c>
      <c r="AC149" s="17">
        <f>'Rolling report'!CV149*'With Action'!$Y$6</f>
        <v>0.15000000000000002</v>
      </c>
      <c r="AD149" s="17">
        <f>'Rolling report'!CW149*'With Action'!$Y$6</f>
        <v>5.000000000000001E-2</v>
      </c>
      <c r="AE149" s="17">
        <f>'Rolling report'!CX149*'With Action'!$Y$6</f>
        <v>0.15000000000000002</v>
      </c>
      <c r="AF149" s="17">
        <f>'Rolling report'!CY149*'With Action'!$Y$6</f>
        <v>-21.550000000000004</v>
      </c>
      <c r="AG149" s="17">
        <f>'Rolling report'!CZ149*'With Action'!$Y$6</f>
        <v>0</v>
      </c>
      <c r="AH149" s="17">
        <f>'Rolling report'!DA149*'With Action'!$Y$6</f>
        <v>0</v>
      </c>
      <c r="AI149" s="17">
        <f>'Rolling report'!DB149*'With Action'!$Y$6</f>
        <v>0</v>
      </c>
      <c r="AJ149" s="17">
        <f>'Rolling report'!DC149*'With Action'!$Y$6</f>
        <v>0</v>
      </c>
      <c r="AK149" s="17">
        <f>'Rolling report'!DD149*'With Action'!$Y$6</f>
        <v>0</v>
      </c>
      <c r="AL149" s="17">
        <f>'Rolling report'!DE149*'With Action'!$Y$6</f>
        <v>0</v>
      </c>
      <c r="AM149" s="17">
        <f>'Rolling report'!DF149*'With Action'!$Y$6</f>
        <v>0</v>
      </c>
      <c r="AN149" s="17">
        <f>'Rolling report'!DG149*'With Action'!$Y$6</f>
        <v>0</v>
      </c>
      <c r="AO149" s="17">
        <f>'Rolling report'!DH149*'With Action'!$Y$6</f>
        <v>0</v>
      </c>
      <c r="AP149" s="17">
        <f>'Rolling report'!DI149*'With Action'!$Y$6</f>
        <v>0</v>
      </c>
    </row>
    <row r="150" spans="1:42" x14ac:dyDescent="0.25">
      <c r="A150" s="4" t="s">
        <v>289</v>
      </c>
      <c r="B150" s="6" t="s">
        <v>290</v>
      </c>
      <c r="I150" s="17">
        <f>'Rolling report'!CB150*'With Action'!$Y$6</f>
        <v>9.7000000000000011</v>
      </c>
      <c r="J150" s="17">
        <f>'Rolling report'!CC150*'With Action'!$Y$6</f>
        <v>4.9000000000000012</v>
      </c>
      <c r="K150" s="17">
        <f>'Rolling report'!CD150*'With Action'!$Y$6</f>
        <v>1.3500000000000003</v>
      </c>
      <c r="L150" s="17">
        <f>'Rolling report'!CE150*'With Action'!$Y$6</f>
        <v>2.4500000000000006</v>
      </c>
      <c r="M150" s="17">
        <f>'Rolling report'!CF150*'With Action'!$Y$6</f>
        <v>1.4000000000000004</v>
      </c>
      <c r="N150" s="17">
        <f>'Rolling report'!CG150*'With Action'!$Y$6</f>
        <v>1.5500000000000003</v>
      </c>
      <c r="O150" s="17">
        <f>'Rolling report'!CH150*'With Action'!$Y$6</f>
        <v>0.65000000000000013</v>
      </c>
      <c r="P150" s="17">
        <f>'Rolling report'!CI150*'With Action'!$Y$6</f>
        <v>0.60000000000000009</v>
      </c>
      <c r="Q150" s="17">
        <f>'Rolling report'!CJ150*'With Action'!$Y$6</f>
        <v>0.8500000000000002</v>
      </c>
      <c r="R150" s="17">
        <f>'Rolling report'!CK150*'With Action'!$Y$6</f>
        <v>0.60000000000000009</v>
      </c>
      <c r="S150" s="17">
        <f>'Rolling report'!CL150*'With Action'!$Y$6</f>
        <v>1.5000000000000002</v>
      </c>
      <c r="T150" s="17">
        <f>'Rolling report'!CM150*'With Action'!$Y$6</f>
        <v>0.40000000000000008</v>
      </c>
      <c r="U150" s="17">
        <f>'Rolling report'!CN150*'With Action'!$Y$6</f>
        <v>0.60000000000000009</v>
      </c>
      <c r="V150" s="17">
        <f>'Rolling report'!CO150*'With Action'!$Y$6</f>
        <v>0.15000000000000002</v>
      </c>
      <c r="W150" s="17">
        <f>'Rolling report'!CP150*'With Action'!$Y$6</f>
        <v>0.25000000000000006</v>
      </c>
      <c r="X150" s="17">
        <f>'Rolling report'!CQ150*'With Action'!$Y$6</f>
        <v>0.50000000000000011</v>
      </c>
      <c r="Y150" s="17">
        <f>'Rolling report'!CR150*'With Action'!$Y$6</f>
        <v>0.8500000000000002</v>
      </c>
      <c r="Z150" s="17">
        <f>'Rolling report'!CS150*'With Action'!$Y$6</f>
        <v>0.25000000000000006</v>
      </c>
      <c r="AA150" s="17">
        <f>'Rolling report'!CT150*'With Action'!$Y$6</f>
        <v>0.30000000000000004</v>
      </c>
      <c r="AB150" s="17">
        <f>'Rolling report'!CU150*'With Action'!$Y$6</f>
        <v>0.45000000000000007</v>
      </c>
      <c r="AC150" s="17">
        <f>'Rolling report'!CV150*'With Action'!$Y$6</f>
        <v>1.1000000000000003</v>
      </c>
      <c r="AD150" s="17">
        <f>'Rolling report'!CW150*'With Action'!$Y$6</f>
        <v>0.30000000000000004</v>
      </c>
      <c r="AE150" s="17">
        <f>'Rolling report'!CX150*'With Action'!$Y$6</f>
        <v>0.15000000000000002</v>
      </c>
      <c r="AF150" s="17">
        <f>'Rolling report'!CY150*'With Action'!$Y$6</f>
        <v>-30.850000000000005</v>
      </c>
      <c r="AG150" s="17">
        <f>'Rolling report'!CZ150*'With Action'!$Y$6</f>
        <v>0</v>
      </c>
      <c r="AH150" s="17">
        <f>'Rolling report'!DA150*'With Action'!$Y$6</f>
        <v>0</v>
      </c>
      <c r="AI150" s="17">
        <f>'Rolling report'!DB150*'With Action'!$Y$6</f>
        <v>0</v>
      </c>
      <c r="AJ150" s="17">
        <f>'Rolling report'!DC150*'With Action'!$Y$6</f>
        <v>0</v>
      </c>
      <c r="AK150" s="17">
        <f>'Rolling report'!DD150*'With Action'!$Y$6</f>
        <v>0</v>
      </c>
      <c r="AL150" s="17">
        <f>'Rolling report'!DE150*'With Action'!$Y$6</f>
        <v>0</v>
      </c>
      <c r="AM150" s="17">
        <f>'Rolling report'!DF150*'With Action'!$Y$6</f>
        <v>0</v>
      </c>
      <c r="AN150" s="17">
        <f>'Rolling report'!DG150*'With Action'!$Y$6</f>
        <v>0</v>
      </c>
      <c r="AO150" s="17">
        <f>'Rolling report'!DH150*'With Action'!$Y$6</f>
        <v>0</v>
      </c>
      <c r="AP150" s="17">
        <f>'Rolling report'!DI150*'With Action'!$Y$6</f>
        <v>0</v>
      </c>
    </row>
    <row r="151" spans="1:42" x14ac:dyDescent="0.25">
      <c r="A151" s="4" t="s">
        <v>291</v>
      </c>
      <c r="B151" s="6" t="s">
        <v>292</v>
      </c>
      <c r="I151" s="17">
        <f>'Rolling report'!CB151*'With Action'!$Y$6</f>
        <v>32.850000000000009</v>
      </c>
      <c r="J151" s="17">
        <f>'Rolling report'!CC151*'With Action'!$Y$6</f>
        <v>7.6000000000000014</v>
      </c>
      <c r="K151" s="17">
        <f>'Rolling report'!CD151*'With Action'!$Y$6</f>
        <v>5.0000000000000009</v>
      </c>
      <c r="L151" s="17">
        <f>'Rolling report'!CE151*'With Action'!$Y$6</f>
        <v>6.2000000000000011</v>
      </c>
      <c r="M151" s="17">
        <f>'Rolling report'!CF151*'With Action'!$Y$6</f>
        <v>3.4000000000000008</v>
      </c>
      <c r="N151" s="17">
        <f>'Rolling report'!CG151*'With Action'!$Y$6</f>
        <v>3.1500000000000008</v>
      </c>
      <c r="O151" s="17">
        <f>'Rolling report'!CH151*'With Action'!$Y$6</f>
        <v>4.7000000000000011</v>
      </c>
      <c r="P151" s="17">
        <f>'Rolling report'!CI151*'With Action'!$Y$6</f>
        <v>3.8000000000000007</v>
      </c>
      <c r="Q151" s="17">
        <f>'Rolling report'!CJ151*'With Action'!$Y$6</f>
        <v>3.3000000000000007</v>
      </c>
      <c r="R151" s="17">
        <f>'Rolling report'!CK151*'With Action'!$Y$6</f>
        <v>2.7000000000000006</v>
      </c>
      <c r="S151" s="17">
        <f>'Rolling report'!CL151*'With Action'!$Y$6</f>
        <v>2.1000000000000005</v>
      </c>
      <c r="T151" s="17">
        <f>'Rolling report'!CM151*'With Action'!$Y$6</f>
        <v>3.0000000000000004</v>
      </c>
      <c r="U151" s="17">
        <f>'Rolling report'!CN151*'With Action'!$Y$6</f>
        <v>1.8500000000000003</v>
      </c>
      <c r="V151" s="17">
        <f>'Rolling report'!CO151*'With Action'!$Y$6</f>
        <v>2.0500000000000003</v>
      </c>
      <c r="W151" s="17">
        <f>'Rolling report'!CP151*'With Action'!$Y$6</f>
        <v>1.4500000000000002</v>
      </c>
      <c r="X151" s="17">
        <f>'Rolling report'!CQ151*'With Action'!$Y$6</f>
        <v>1.0500000000000003</v>
      </c>
      <c r="Y151" s="17">
        <f>'Rolling report'!CR151*'With Action'!$Y$6</f>
        <v>1.4000000000000004</v>
      </c>
      <c r="Z151" s="17">
        <f>'Rolling report'!CS151*'With Action'!$Y$6</f>
        <v>1.0500000000000003</v>
      </c>
      <c r="AA151" s="17">
        <f>'Rolling report'!CT151*'With Action'!$Y$6</f>
        <v>0.80000000000000016</v>
      </c>
      <c r="AB151" s="17">
        <f>'Rolling report'!CU151*'With Action'!$Y$6</f>
        <v>1.0500000000000003</v>
      </c>
      <c r="AC151" s="17">
        <f>'Rolling report'!CV151*'With Action'!$Y$6</f>
        <v>1.9000000000000004</v>
      </c>
      <c r="AD151" s="17">
        <f>'Rolling report'!CW151*'With Action'!$Y$6</f>
        <v>-0.25000000000000006</v>
      </c>
      <c r="AE151" s="17">
        <f>'Rolling report'!CX151*'With Action'!$Y$6</f>
        <v>1.1000000000000003</v>
      </c>
      <c r="AF151" s="17">
        <f>'Rolling report'!CY151*'With Action'!$Y$6</f>
        <v>-91.250000000000014</v>
      </c>
      <c r="AG151" s="17">
        <f>'Rolling report'!CZ151*'With Action'!$Y$6</f>
        <v>0</v>
      </c>
      <c r="AH151" s="17">
        <f>'Rolling report'!DA151*'With Action'!$Y$6</f>
        <v>0</v>
      </c>
      <c r="AI151" s="17">
        <f>'Rolling report'!DB151*'With Action'!$Y$6</f>
        <v>0</v>
      </c>
      <c r="AJ151" s="17">
        <f>'Rolling report'!DC151*'With Action'!$Y$6</f>
        <v>0</v>
      </c>
      <c r="AK151" s="17">
        <f>'Rolling report'!DD151*'With Action'!$Y$6</f>
        <v>0</v>
      </c>
      <c r="AL151" s="17">
        <f>'Rolling report'!DE151*'With Action'!$Y$6</f>
        <v>0</v>
      </c>
      <c r="AM151" s="17">
        <f>'Rolling report'!DF151*'With Action'!$Y$6</f>
        <v>0</v>
      </c>
      <c r="AN151" s="17">
        <f>'Rolling report'!DG151*'With Action'!$Y$6</f>
        <v>0</v>
      </c>
      <c r="AO151" s="17">
        <f>'Rolling report'!DH151*'With Action'!$Y$6</f>
        <v>0</v>
      </c>
      <c r="AP151" s="17">
        <f>'Rolling report'!DI151*'With Action'!$Y$6</f>
        <v>0</v>
      </c>
    </row>
    <row r="152" spans="1:42" x14ac:dyDescent="0.25">
      <c r="A152" s="4" t="s">
        <v>293</v>
      </c>
      <c r="B152" s="6" t="s">
        <v>294</v>
      </c>
      <c r="I152" s="17">
        <f>'Rolling report'!CB152*'With Action'!$Y$6</f>
        <v>8.5500000000000025</v>
      </c>
      <c r="J152" s="17">
        <f>'Rolling report'!CC152*'With Action'!$Y$6</f>
        <v>1.6500000000000004</v>
      </c>
      <c r="K152" s="17">
        <f>'Rolling report'!CD152*'With Action'!$Y$6</f>
        <v>0.8500000000000002</v>
      </c>
      <c r="L152" s="17">
        <f>'Rolling report'!CE152*'With Action'!$Y$6</f>
        <v>1.2500000000000002</v>
      </c>
      <c r="M152" s="17">
        <f>'Rolling report'!CF152*'With Action'!$Y$6</f>
        <v>0.80000000000000016</v>
      </c>
      <c r="N152" s="17">
        <f>'Rolling report'!CG152*'With Action'!$Y$6</f>
        <v>1.3000000000000003</v>
      </c>
      <c r="O152" s="17">
        <f>'Rolling report'!CH152*'With Action'!$Y$6</f>
        <v>1.3500000000000003</v>
      </c>
      <c r="P152" s="17">
        <f>'Rolling report'!CI152*'With Action'!$Y$6</f>
        <v>0.60000000000000009</v>
      </c>
      <c r="Q152" s="17">
        <f>'Rolling report'!CJ152*'With Action'!$Y$6</f>
        <v>0.95000000000000018</v>
      </c>
      <c r="R152" s="17">
        <f>'Rolling report'!CK152*'With Action'!$Y$6</f>
        <v>0.80000000000000016</v>
      </c>
      <c r="S152" s="17">
        <f>'Rolling report'!CL152*'With Action'!$Y$6</f>
        <v>0.35000000000000009</v>
      </c>
      <c r="T152" s="17">
        <f>'Rolling report'!CM152*'With Action'!$Y$6</f>
        <v>0.75000000000000011</v>
      </c>
      <c r="U152" s="17">
        <f>'Rolling report'!CN152*'With Action'!$Y$6</f>
        <v>1.1000000000000003</v>
      </c>
      <c r="V152" s="17">
        <f>'Rolling report'!CO152*'With Action'!$Y$6</f>
        <v>0.90000000000000013</v>
      </c>
      <c r="W152" s="17">
        <f>'Rolling report'!CP152*'With Action'!$Y$6</f>
        <v>0.60000000000000009</v>
      </c>
      <c r="X152" s="17">
        <f>'Rolling report'!CQ152*'With Action'!$Y$6</f>
        <v>0.35000000000000009</v>
      </c>
      <c r="Y152" s="17">
        <f>'Rolling report'!CR152*'With Action'!$Y$6</f>
        <v>1.1000000000000003</v>
      </c>
      <c r="Z152" s="17">
        <f>'Rolling report'!CS152*'With Action'!$Y$6</f>
        <v>0.45000000000000007</v>
      </c>
      <c r="AA152" s="17">
        <f>'Rolling report'!CT152*'With Action'!$Y$6</f>
        <v>0.75000000000000011</v>
      </c>
      <c r="AB152" s="17">
        <f>'Rolling report'!CU152*'With Action'!$Y$6</f>
        <v>0.8500000000000002</v>
      </c>
      <c r="AC152" s="17">
        <f>'Rolling report'!CV152*'With Action'!$Y$6</f>
        <v>0.90000000000000013</v>
      </c>
      <c r="AD152" s="17">
        <f>'Rolling report'!CW152*'With Action'!$Y$6</f>
        <v>0.70000000000000018</v>
      </c>
      <c r="AE152" s="17">
        <f>'Rolling report'!CX152*'With Action'!$Y$6</f>
        <v>0.30000000000000004</v>
      </c>
      <c r="AF152" s="17">
        <f>'Rolling report'!CY152*'With Action'!$Y$6</f>
        <v>-27.200000000000006</v>
      </c>
      <c r="AG152" s="17">
        <f>'Rolling report'!CZ152*'With Action'!$Y$6</f>
        <v>0</v>
      </c>
      <c r="AH152" s="17">
        <f>'Rolling report'!DA152*'With Action'!$Y$6</f>
        <v>0</v>
      </c>
      <c r="AI152" s="17">
        <f>'Rolling report'!DB152*'With Action'!$Y$6</f>
        <v>0</v>
      </c>
      <c r="AJ152" s="17">
        <f>'Rolling report'!DC152*'With Action'!$Y$6</f>
        <v>0</v>
      </c>
      <c r="AK152" s="17">
        <f>'Rolling report'!DD152*'With Action'!$Y$6</f>
        <v>0</v>
      </c>
      <c r="AL152" s="17">
        <f>'Rolling report'!DE152*'With Action'!$Y$6</f>
        <v>0</v>
      </c>
      <c r="AM152" s="17">
        <f>'Rolling report'!DF152*'With Action'!$Y$6</f>
        <v>0</v>
      </c>
      <c r="AN152" s="17">
        <f>'Rolling report'!DG152*'With Action'!$Y$6</f>
        <v>0</v>
      </c>
      <c r="AO152" s="17">
        <f>'Rolling report'!DH152*'With Action'!$Y$6</f>
        <v>0</v>
      </c>
      <c r="AP152" s="17">
        <f>'Rolling report'!DI152*'With Action'!$Y$6</f>
        <v>0</v>
      </c>
    </row>
    <row r="153" spans="1:42" x14ac:dyDescent="0.25">
      <c r="A153" s="4" t="s">
        <v>295</v>
      </c>
      <c r="B153" s="6" t="s">
        <v>296</v>
      </c>
      <c r="I153" s="17">
        <f>'Rolling report'!CB153*'With Action'!$Y$6</f>
        <v>2.2500000000000004</v>
      </c>
      <c r="J153" s="17">
        <f>'Rolling report'!CC153*'With Action'!$Y$6</f>
        <v>0.25000000000000006</v>
      </c>
      <c r="K153" s="17">
        <f>'Rolling report'!CD153*'With Action'!$Y$6</f>
        <v>0.60000000000000009</v>
      </c>
      <c r="L153" s="17">
        <f>'Rolling report'!CE153*'With Action'!$Y$6</f>
        <v>0.35000000000000009</v>
      </c>
      <c r="M153" s="17">
        <f>'Rolling report'!CF153*'With Action'!$Y$6</f>
        <v>0.55000000000000016</v>
      </c>
      <c r="N153" s="17">
        <f>'Rolling report'!CG153*'With Action'!$Y$6</f>
        <v>0.30000000000000004</v>
      </c>
      <c r="O153" s="17">
        <f>'Rolling report'!CH153*'With Action'!$Y$6</f>
        <v>0.15000000000000002</v>
      </c>
      <c r="P153" s="17">
        <f>'Rolling report'!CI153*'With Action'!$Y$6</f>
        <v>0</v>
      </c>
      <c r="Q153" s="17">
        <f>'Rolling report'!CJ153*'With Action'!$Y$6</f>
        <v>0</v>
      </c>
      <c r="R153" s="17">
        <f>'Rolling report'!CK153*'With Action'!$Y$6</f>
        <v>0.15000000000000002</v>
      </c>
      <c r="S153" s="17">
        <f>'Rolling report'!CL153*'With Action'!$Y$6</f>
        <v>5.000000000000001E-2</v>
      </c>
      <c r="T153" s="17">
        <f>'Rolling report'!CM153*'With Action'!$Y$6</f>
        <v>0.30000000000000004</v>
      </c>
      <c r="U153" s="17">
        <f>'Rolling report'!CN153*'With Action'!$Y$6</f>
        <v>5.000000000000001E-2</v>
      </c>
      <c r="V153" s="17">
        <f>'Rolling report'!CO153*'With Action'!$Y$6</f>
        <v>0</v>
      </c>
      <c r="W153" s="17">
        <f>'Rolling report'!CP153*'With Action'!$Y$6</f>
        <v>5.000000000000001E-2</v>
      </c>
      <c r="X153" s="17">
        <f>'Rolling report'!CQ153*'With Action'!$Y$6</f>
        <v>5.000000000000001E-2</v>
      </c>
      <c r="Y153" s="17">
        <f>'Rolling report'!CR153*'With Action'!$Y$6</f>
        <v>0.15000000000000002</v>
      </c>
      <c r="Z153" s="17">
        <f>'Rolling report'!CS153*'With Action'!$Y$6</f>
        <v>5.000000000000001E-2</v>
      </c>
      <c r="AA153" s="17">
        <f>'Rolling report'!CT153*'With Action'!$Y$6</f>
        <v>0.20000000000000004</v>
      </c>
      <c r="AB153" s="17">
        <f>'Rolling report'!CU153*'With Action'!$Y$6</f>
        <v>5.000000000000001E-2</v>
      </c>
      <c r="AC153" s="17">
        <f>'Rolling report'!CV153*'With Action'!$Y$6</f>
        <v>0.50000000000000011</v>
      </c>
      <c r="AD153" s="17">
        <f>'Rolling report'!CW153*'With Action'!$Y$6</f>
        <v>-0.10000000000000002</v>
      </c>
      <c r="AE153" s="17">
        <f>'Rolling report'!CX153*'With Action'!$Y$6</f>
        <v>0</v>
      </c>
      <c r="AF153" s="17">
        <f>'Rolling report'!CY153*'With Action'!$Y$6</f>
        <v>-5.9500000000000011</v>
      </c>
      <c r="AG153" s="17">
        <f>'Rolling report'!CZ153*'With Action'!$Y$6</f>
        <v>0</v>
      </c>
      <c r="AH153" s="17">
        <f>'Rolling report'!DA153*'With Action'!$Y$6</f>
        <v>0</v>
      </c>
      <c r="AI153" s="17">
        <f>'Rolling report'!DB153*'With Action'!$Y$6</f>
        <v>0</v>
      </c>
      <c r="AJ153" s="17">
        <f>'Rolling report'!DC153*'With Action'!$Y$6</f>
        <v>0</v>
      </c>
      <c r="AK153" s="17">
        <f>'Rolling report'!DD153*'With Action'!$Y$6</f>
        <v>0</v>
      </c>
      <c r="AL153" s="17">
        <f>'Rolling report'!DE153*'With Action'!$Y$6</f>
        <v>0</v>
      </c>
      <c r="AM153" s="17">
        <f>'Rolling report'!DF153*'With Action'!$Y$6</f>
        <v>0</v>
      </c>
      <c r="AN153" s="17">
        <f>'Rolling report'!DG153*'With Action'!$Y$6</f>
        <v>0</v>
      </c>
      <c r="AO153" s="17">
        <f>'Rolling report'!DH153*'With Action'!$Y$6</f>
        <v>0</v>
      </c>
      <c r="AP153" s="17">
        <f>'Rolling report'!DI153*'With Action'!$Y$6</f>
        <v>0</v>
      </c>
    </row>
    <row r="154" spans="1:42" x14ac:dyDescent="0.25">
      <c r="A154" s="4" t="s">
        <v>297</v>
      </c>
      <c r="B154" s="6" t="s">
        <v>298</v>
      </c>
      <c r="I154" s="17">
        <f>'Rolling report'!CB154*'With Action'!$Y$6</f>
        <v>16.350000000000001</v>
      </c>
      <c r="J154" s="17">
        <f>'Rolling report'!CC154*'With Action'!$Y$6</f>
        <v>2.0500000000000003</v>
      </c>
      <c r="K154" s="17">
        <f>'Rolling report'!CD154*'With Action'!$Y$6</f>
        <v>3.7000000000000006</v>
      </c>
      <c r="L154" s="17">
        <f>'Rolling report'!CE154*'With Action'!$Y$6</f>
        <v>5.1500000000000012</v>
      </c>
      <c r="M154" s="17">
        <f>'Rolling report'!CF154*'With Action'!$Y$6</f>
        <v>2.9000000000000004</v>
      </c>
      <c r="N154" s="17">
        <f>'Rolling report'!CG154*'With Action'!$Y$6</f>
        <v>1.9500000000000004</v>
      </c>
      <c r="O154" s="17">
        <f>'Rolling report'!CH154*'With Action'!$Y$6</f>
        <v>5.6500000000000012</v>
      </c>
      <c r="P154" s="17">
        <f>'Rolling report'!CI154*'With Action'!$Y$6</f>
        <v>1.8000000000000003</v>
      </c>
      <c r="Q154" s="17">
        <f>'Rolling report'!CJ154*'With Action'!$Y$6</f>
        <v>2.9000000000000004</v>
      </c>
      <c r="R154" s="17">
        <f>'Rolling report'!CK154*'With Action'!$Y$6</f>
        <v>1.4500000000000002</v>
      </c>
      <c r="S154" s="17">
        <f>'Rolling report'!CL154*'With Action'!$Y$6</f>
        <v>1.3000000000000003</v>
      </c>
      <c r="T154" s="17">
        <f>'Rolling report'!CM154*'With Action'!$Y$6</f>
        <v>1.6500000000000004</v>
      </c>
      <c r="U154" s="17">
        <f>'Rolling report'!CN154*'With Action'!$Y$6</f>
        <v>1.3000000000000003</v>
      </c>
      <c r="V154" s="17">
        <f>'Rolling report'!CO154*'With Action'!$Y$6</f>
        <v>1.6000000000000003</v>
      </c>
      <c r="W154" s="17">
        <f>'Rolling report'!CP154*'With Action'!$Y$6</f>
        <v>1.7500000000000004</v>
      </c>
      <c r="X154" s="17">
        <f>'Rolling report'!CQ154*'With Action'!$Y$6</f>
        <v>0.70000000000000018</v>
      </c>
      <c r="Y154" s="17">
        <f>'Rolling report'!CR154*'With Action'!$Y$6</f>
        <v>0.80000000000000016</v>
      </c>
      <c r="Z154" s="17">
        <f>'Rolling report'!CS154*'With Action'!$Y$6</f>
        <v>0.8500000000000002</v>
      </c>
      <c r="AA154" s="17">
        <f>'Rolling report'!CT154*'With Action'!$Y$6</f>
        <v>0.35000000000000009</v>
      </c>
      <c r="AB154" s="17">
        <f>'Rolling report'!CU154*'With Action'!$Y$6</f>
        <v>0.95000000000000018</v>
      </c>
      <c r="AC154" s="17">
        <f>'Rolling report'!CV154*'With Action'!$Y$6</f>
        <v>1.1000000000000003</v>
      </c>
      <c r="AD154" s="17">
        <f>'Rolling report'!CW154*'With Action'!$Y$6</f>
        <v>0.90000000000000013</v>
      </c>
      <c r="AE154" s="17">
        <f>'Rolling report'!CX154*'With Action'!$Y$6</f>
        <v>0.8500000000000002</v>
      </c>
      <c r="AF154" s="17">
        <f>'Rolling report'!CY154*'With Action'!$Y$6</f>
        <v>-58.000000000000014</v>
      </c>
      <c r="AG154" s="17">
        <f>'Rolling report'!CZ154*'With Action'!$Y$6</f>
        <v>0</v>
      </c>
      <c r="AH154" s="17">
        <f>'Rolling report'!DA154*'With Action'!$Y$6</f>
        <v>0</v>
      </c>
      <c r="AI154" s="17">
        <f>'Rolling report'!DB154*'With Action'!$Y$6</f>
        <v>0</v>
      </c>
      <c r="AJ154" s="17">
        <f>'Rolling report'!DC154*'With Action'!$Y$6</f>
        <v>0</v>
      </c>
      <c r="AK154" s="17">
        <f>'Rolling report'!DD154*'With Action'!$Y$6</f>
        <v>0</v>
      </c>
      <c r="AL154" s="17">
        <f>'Rolling report'!DE154*'With Action'!$Y$6</f>
        <v>0</v>
      </c>
      <c r="AM154" s="17">
        <f>'Rolling report'!DF154*'With Action'!$Y$6</f>
        <v>0</v>
      </c>
      <c r="AN154" s="17">
        <f>'Rolling report'!DG154*'With Action'!$Y$6</f>
        <v>0</v>
      </c>
      <c r="AO154" s="17">
        <f>'Rolling report'!DH154*'With Action'!$Y$6</f>
        <v>0</v>
      </c>
      <c r="AP154" s="17">
        <f>'Rolling report'!DI154*'With Action'!$Y$6</f>
        <v>0</v>
      </c>
    </row>
    <row r="155" spans="1:42" x14ac:dyDescent="0.25">
      <c r="A155" s="4" t="s">
        <v>299</v>
      </c>
      <c r="B155" s="6" t="s">
        <v>300</v>
      </c>
      <c r="I155" s="17">
        <f>'Rolling report'!CB155*'With Action'!$Y$6</f>
        <v>6.2500000000000009</v>
      </c>
      <c r="J155" s="17">
        <f>'Rolling report'!CC155*'With Action'!$Y$6</f>
        <v>1.1000000000000003</v>
      </c>
      <c r="K155" s="17">
        <f>'Rolling report'!CD155*'With Action'!$Y$6</f>
        <v>0.80000000000000016</v>
      </c>
      <c r="L155" s="17">
        <f>'Rolling report'!CE155*'With Action'!$Y$6</f>
        <v>1.3000000000000003</v>
      </c>
      <c r="M155" s="17">
        <f>'Rolling report'!CF155*'With Action'!$Y$6</f>
        <v>0.40000000000000008</v>
      </c>
      <c r="N155" s="17">
        <f>'Rolling report'!CG155*'With Action'!$Y$6</f>
        <v>0.70000000000000018</v>
      </c>
      <c r="O155" s="17">
        <f>'Rolling report'!CH155*'With Action'!$Y$6</f>
        <v>1.2500000000000002</v>
      </c>
      <c r="P155" s="17">
        <f>'Rolling report'!CI155*'With Action'!$Y$6</f>
        <v>0.40000000000000008</v>
      </c>
      <c r="Q155" s="17">
        <f>'Rolling report'!CJ155*'With Action'!$Y$6</f>
        <v>0.20000000000000004</v>
      </c>
      <c r="R155" s="17">
        <f>'Rolling report'!CK155*'With Action'!$Y$6</f>
        <v>0.35000000000000009</v>
      </c>
      <c r="S155" s="17">
        <f>'Rolling report'!CL155*'With Action'!$Y$6</f>
        <v>0.30000000000000004</v>
      </c>
      <c r="T155" s="17">
        <f>'Rolling report'!CM155*'With Action'!$Y$6</f>
        <v>0.25000000000000006</v>
      </c>
      <c r="U155" s="17">
        <f>'Rolling report'!CN155*'With Action'!$Y$6</f>
        <v>0.55000000000000016</v>
      </c>
      <c r="V155" s="17">
        <f>'Rolling report'!CO155*'With Action'!$Y$6</f>
        <v>0.15000000000000002</v>
      </c>
      <c r="W155" s="17">
        <f>'Rolling report'!CP155*'With Action'!$Y$6</f>
        <v>0.55000000000000016</v>
      </c>
      <c r="X155" s="17">
        <f>'Rolling report'!CQ155*'With Action'!$Y$6</f>
        <v>0.55000000000000016</v>
      </c>
      <c r="Y155" s="17">
        <f>'Rolling report'!CR155*'With Action'!$Y$6</f>
        <v>0</v>
      </c>
      <c r="Z155" s="17">
        <f>'Rolling report'!CS155*'With Action'!$Y$6</f>
        <v>0.15000000000000002</v>
      </c>
      <c r="AA155" s="17">
        <f>'Rolling report'!CT155*'With Action'!$Y$6</f>
        <v>0.30000000000000004</v>
      </c>
      <c r="AB155" s="17">
        <f>'Rolling report'!CU155*'With Action'!$Y$6</f>
        <v>0.45000000000000007</v>
      </c>
      <c r="AC155" s="17">
        <f>'Rolling report'!CV155*'With Action'!$Y$6</f>
        <v>0.70000000000000018</v>
      </c>
      <c r="AD155" s="17">
        <f>'Rolling report'!CW155*'With Action'!$Y$6</f>
        <v>-0.15000000000000002</v>
      </c>
      <c r="AE155" s="17">
        <f>'Rolling report'!CX155*'With Action'!$Y$6</f>
        <v>0.15000000000000002</v>
      </c>
      <c r="AF155" s="17">
        <f>'Rolling report'!CY155*'With Action'!$Y$6</f>
        <v>-16.700000000000003</v>
      </c>
      <c r="AG155" s="17">
        <f>'Rolling report'!CZ155*'With Action'!$Y$6</f>
        <v>0</v>
      </c>
      <c r="AH155" s="17">
        <f>'Rolling report'!DA155*'With Action'!$Y$6</f>
        <v>0</v>
      </c>
      <c r="AI155" s="17">
        <f>'Rolling report'!DB155*'With Action'!$Y$6</f>
        <v>0</v>
      </c>
      <c r="AJ155" s="17">
        <f>'Rolling report'!DC155*'With Action'!$Y$6</f>
        <v>0</v>
      </c>
      <c r="AK155" s="17">
        <f>'Rolling report'!DD155*'With Action'!$Y$6</f>
        <v>0</v>
      </c>
      <c r="AL155" s="17">
        <f>'Rolling report'!DE155*'With Action'!$Y$6</f>
        <v>0</v>
      </c>
      <c r="AM155" s="17">
        <f>'Rolling report'!DF155*'With Action'!$Y$6</f>
        <v>0</v>
      </c>
      <c r="AN155" s="17">
        <f>'Rolling report'!DG155*'With Action'!$Y$6</f>
        <v>0</v>
      </c>
      <c r="AO155" s="17">
        <f>'Rolling report'!DH155*'With Action'!$Y$6</f>
        <v>0</v>
      </c>
      <c r="AP155" s="17">
        <f>'Rolling report'!DI155*'With Action'!$Y$6</f>
        <v>0</v>
      </c>
    </row>
    <row r="156" spans="1:42" x14ac:dyDescent="0.25">
      <c r="A156" s="4" t="s">
        <v>301</v>
      </c>
      <c r="B156" s="6" t="s">
        <v>302</v>
      </c>
      <c r="I156" s="17">
        <f>'Rolling report'!CB156*'With Action'!$Y$6</f>
        <v>5.3000000000000007</v>
      </c>
      <c r="J156" s="17">
        <f>'Rolling report'!CC156*'With Action'!$Y$6</f>
        <v>1.1500000000000001</v>
      </c>
      <c r="K156" s="17">
        <f>'Rolling report'!CD156*'With Action'!$Y$6</f>
        <v>0.95000000000000018</v>
      </c>
      <c r="L156" s="17">
        <f>'Rolling report'!CE156*'With Action'!$Y$6</f>
        <v>1.2000000000000002</v>
      </c>
      <c r="M156" s="17">
        <f>'Rolling report'!CF156*'With Action'!$Y$6</f>
        <v>0.8500000000000002</v>
      </c>
      <c r="N156" s="17">
        <f>'Rolling report'!CG156*'With Action'!$Y$6</f>
        <v>0.80000000000000016</v>
      </c>
      <c r="O156" s="17">
        <f>'Rolling report'!CH156*'With Action'!$Y$6</f>
        <v>0.35000000000000009</v>
      </c>
      <c r="P156" s="17">
        <f>'Rolling report'!CI156*'With Action'!$Y$6</f>
        <v>0.45000000000000007</v>
      </c>
      <c r="Q156" s="17">
        <f>'Rolling report'!CJ156*'With Action'!$Y$6</f>
        <v>0.40000000000000008</v>
      </c>
      <c r="R156" s="17">
        <f>'Rolling report'!CK156*'With Action'!$Y$6</f>
        <v>0.55000000000000016</v>
      </c>
      <c r="S156" s="17">
        <f>'Rolling report'!CL156*'With Action'!$Y$6</f>
        <v>0.10000000000000002</v>
      </c>
      <c r="T156" s="17">
        <f>'Rolling report'!CM156*'With Action'!$Y$6</f>
        <v>0.80000000000000016</v>
      </c>
      <c r="U156" s="17">
        <f>'Rolling report'!CN156*'With Action'!$Y$6</f>
        <v>0.35000000000000009</v>
      </c>
      <c r="V156" s="17">
        <f>'Rolling report'!CO156*'With Action'!$Y$6</f>
        <v>0.45000000000000007</v>
      </c>
      <c r="W156" s="17">
        <f>'Rolling report'!CP156*'With Action'!$Y$6</f>
        <v>0.40000000000000008</v>
      </c>
      <c r="X156" s="17">
        <f>'Rolling report'!CQ156*'With Action'!$Y$6</f>
        <v>0.45000000000000007</v>
      </c>
      <c r="Y156" s="17">
        <f>'Rolling report'!CR156*'With Action'!$Y$6</f>
        <v>0.10000000000000002</v>
      </c>
      <c r="Z156" s="17">
        <f>'Rolling report'!CS156*'With Action'!$Y$6</f>
        <v>5.000000000000001E-2</v>
      </c>
      <c r="AA156" s="17">
        <f>'Rolling report'!CT156*'With Action'!$Y$6</f>
        <v>0.30000000000000004</v>
      </c>
      <c r="AB156" s="17">
        <f>'Rolling report'!CU156*'With Action'!$Y$6</f>
        <v>0.20000000000000004</v>
      </c>
      <c r="AC156" s="17">
        <f>'Rolling report'!CV156*'With Action'!$Y$6</f>
        <v>0.30000000000000004</v>
      </c>
      <c r="AD156" s="17">
        <f>'Rolling report'!CW156*'With Action'!$Y$6</f>
        <v>0.25000000000000006</v>
      </c>
      <c r="AE156" s="17">
        <f>'Rolling report'!CX156*'With Action'!$Y$6</f>
        <v>0.45000000000000007</v>
      </c>
      <c r="AF156" s="17">
        <f>'Rolling report'!CY156*'With Action'!$Y$6</f>
        <v>-16.200000000000003</v>
      </c>
      <c r="AG156" s="17">
        <f>'Rolling report'!CZ156*'With Action'!$Y$6</f>
        <v>0</v>
      </c>
      <c r="AH156" s="17">
        <f>'Rolling report'!DA156*'With Action'!$Y$6</f>
        <v>0</v>
      </c>
      <c r="AI156" s="17">
        <f>'Rolling report'!DB156*'With Action'!$Y$6</f>
        <v>0</v>
      </c>
      <c r="AJ156" s="17">
        <f>'Rolling report'!DC156*'With Action'!$Y$6</f>
        <v>0</v>
      </c>
      <c r="AK156" s="17">
        <f>'Rolling report'!DD156*'With Action'!$Y$6</f>
        <v>0</v>
      </c>
      <c r="AL156" s="17">
        <f>'Rolling report'!DE156*'With Action'!$Y$6</f>
        <v>0</v>
      </c>
      <c r="AM156" s="17">
        <f>'Rolling report'!DF156*'With Action'!$Y$6</f>
        <v>0</v>
      </c>
      <c r="AN156" s="17">
        <f>'Rolling report'!DG156*'With Action'!$Y$6</f>
        <v>0</v>
      </c>
      <c r="AO156" s="17">
        <f>'Rolling report'!DH156*'With Action'!$Y$6</f>
        <v>0</v>
      </c>
      <c r="AP156" s="17">
        <f>'Rolling report'!DI156*'With Action'!$Y$6</f>
        <v>0</v>
      </c>
    </row>
    <row r="157" spans="1:42" x14ac:dyDescent="0.25">
      <c r="A157" s="4" t="s">
        <v>303</v>
      </c>
      <c r="B157" s="6" t="s">
        <v>304</v>
      </c>
      <c r="I157" s="17">
        <f>'Rolling report'!CB157*'With Action'!$Y$6</f>
        <v>7.0000000000000018</v>
      </c>
      <c r="J157" s="17">
        <f>'Rolling report'!CC157*'With Action'!$Y$6</f>
        <v>1.1000000000000003</v>
      </c>
      <c r="K157" s="17">
        <f>'Rolling report'!CD157*'With Action'!$Y$6</f>
        <v>0.55000000000000016</v>
      </c>
      <c r="L157" s="17">
        <f>'Rolling report'!CE157*'With Action'!$Y$6</f>
        <v>1.0000000000000002</v>
      </c>
      <c r="M157" s="17">
        <f>'Rolling report'!CF157*'With Action'!$Y$6</f>
        <v>0.55000000000000016</v>
      </c>
      <c r="N157" s="17">
        <f>'Rolling report'!CG157*'With Action'!$Y$6</f>
        <v>0.90000000000000013</v>
      </c>
      <c r="O157" s="17">
        <f>'Rolling report'!CH157*'With Action'!$Y$6</f>
        <v>1.0000000000000002</v>
      </c>
      <c r="P157" s="17">
        <f>'Rolling report'!CI157*'With Action'!$Y$6</f>
        <v>0.55000000000000016</v>
      </c>
      <c r="Q157" s="17">
        <f>'Rolling report'!CJ157*'With Action'!$Y$6</f>
        <v>0.35000000000000009</v>
      </c>
      <c r="R157" s="17">
        <f>'Rolling report'!CK157*'With Action'!$Y$6</f>
        <v>0.60000000000000009</v>
      </c>
      <c r="S157" s="17">
        <f>'Rolling report'!CL157*'With Action'!$Y$6</f>
        <v>0.55000000000000016</v>
      </c>
      <c r="T157" s="17">
        <f>'Rolling report'!CM157*'With Action'!$Y$6</f>
        <v>0.80000000000000016</v>
      </c>
      <c r="U157" s="17">
        <f>'Rolling report'!CN157*'With Action'!$Y$6</f>
        <v>0.80000000000000016</v>
      </c>
      <c r="V157" s="17">
        <f>'Rolling report'!CO157*'With Action'!$Y$6</f>
        <v>0.45000000000000007</v>
      </c>
      <c r="W157" s="17">
        <f>'Rolling report'!CP157*'With Action'!$Y$6</f>
        <v>0.30000000000000004</v>
      </c>
      <c r="X157" s="17">
        <f>'Rolling report'!CQ157*'With Action'!$Y$6</f>
        <v>0.75000000000000011</v>
      </c>
      <c r="Y157" s="17">
        <f>'Rolling report'!CR157*'With Action'!$Y$6</f>
        <v>0.60000000000000009</v>
      </c>
      <c r="Z157" s="17">
        <f>'Rolling report'!CS157*'With Action'!$Y$6</f>
        <v>0.25000000000000006</v>
      </c>
      <c r="AA157" s="17">
        <f>'Rolling report'!CT157*'With Action'!$Y$6</f>
        <v>0.55000000000000016</v>
      </c>
      <c r="AB157" s="17">
        <f>'Rolling report'!CU157*'With Action'!$Y$6</f>
        <v>0.10000000000000002</v>
      </c>
      <c r="AC157" s="17">
        <f>'Rolling report'!CV157*'With Action'!$Y$6</f>
        <v>0.45000000000000007</v>
      </c>
      <c r="AD157" s="17">
        <f>'Rolling report'!CW157*'With Action'!$Y$6</f>
        <v>5.000000000000001E-2</v>
      </c>
      <c r="AE157" s="17">
        <f>'Rolling report'!CX157*'With Action'!$Y$6</f>
        <v>0.35000000000000009</v>
      </c>
      <c r="AF157" s="17">
        <f>'Rolling report'!CY157*'With Action'!$Y$6</f>
        <v>-19.600000000000005</v>
      </c>
      <c r="AG157" s="17">
        <f>'Rolling report'!CZ157*'With Action'!$Y$6</f>
        <v>0</v>
      </c>
      <c r="AH157" s="17">
        <f>'Rolling report'!DA157*'With Action'!$Y$6</f>
        <v>0</v>
      </c>
      <c r="AI157" s="17">
        <f>'Rolling report'!DB157*'With Action'!$Y$6</f>
        <v>0</v>
      </c>
      <c r="AJ157" s="17">
        <f>'Rolling report'!DC157*'With Action'!$Y$6</f>
        <v>0</v>
      </c>
      <c r="AK157" s="17">
        <f>'Rolling report'!DD157*'With Action'!$Y$6</f>
        <v>0</v>
      </c>
      <c r="AL157" s="17">
        <f>'Rolling report'!DE157*'With Action'!$Y$6</f>
        <v>0</v>
      </c>
      <c r="AM157" s="17">
        <f>'Rolling report'!DF157*'With Action'!$Y$6</f>
        <v>0</v>
      </c>
      <c r="AN157" s="17">
        <f>'Rolling report'!DG157*'With Action'!$Y$6</f>
        <v>0</v>
      </c>
      <c r="AO157" s="17">
        <f>'Rolling report'!DH157*'With Action'!$Y$6</f>
        <v>0</v>
      </c>
      <c r="AP157" s="17">
        <f>'Rolling report'!DI157*'With Action'!$Y$6</f>
        <v>0</v>
      </c>
    </row>
    <row r="158" spans="1:42" x14ac:dyDescent="0.25">
      <c r="A158" s="4" t="s">
        <v>305</v>
      </c>
      <c r="B158" s="6" t="s">
        <v>306</v>
      </c>
      <c r="I158" s="17">
        <f>'Rolling report'!CB158*'With Action'!$Y$6</f>
        <v>1.3500000000000003</v>
      </c>
      <c r="J158" s="17">
        <f>'Rolling report'!CC158*'With Action'!$Y$6</f>
        <v>0.20000000000000004</v>
      </c>
      <c r="K158" s="17">
        <f>'Rolling report'!CD158*'With Action'!$Y$6</f>
        <v>0</v>
      </c>
      <c r="L158" s="17">
        <f>'Rolling report'!CE158*'With Action'!$Y$6</f>
        <v>0.10000000000000002</v>
      </c>
      <c r="M158" s="17">
        <f>'Rolling report'!CF158*'With Action'!$Y$6</f>
        <v>5.000000000000001E-2</v>
      </c>
      <c r="N158" s="17">
        <f>'Rolling report'!CG158*'With Action'!$Y$6</f>
        <v>0</v>
      </c>
      <c r="O158" s="17">
        <f>'Rolling report'!CH158*'With Action'!$Y$6</f>
        <v>0.40000000000000008</v>
      </c>
      <c r="P158" s="17">
        <f>'Rolling report'!CI158*'With Action'!$Y$6</f>
        <v>0.10000000000000002</v>
      </c>
      <c r="Q158" s="17">
        <f>'Rolling report'!CJ158*'With Action'!$Y$6</f>
        <v>0.20000000000000004</v>
      </c>
      <c r="R158" s="17">
        <f>'Rolling report'!CK158*'With Action'!$Y$6</f>
        <v>0.20000000000000004</v>
      </c>
      <c r="S158" s="17">
        <f>'Rolling report'!CL158*'With Action'!$Y$6</f>
        <v>0</v>
      </c>
      <c r="T158" s="17">
        <f>'Rolling report'!CM158*'With Action'!$Y$6</f>
        <v>0</v>
      </c>
      <c r="U158" s="17">
        <f>'Rolling report'!CN158*'With Action'!$Y$6</f>
        <v>0.15000000000000002</v>
      </c>
      <c r="V158" s="17">
        <f>'Rolling report'!CO158*'With Action'!$Y$6</f>
        <v>0.30000000000000004</v>
      </c>
      <c r="W158" s="17">
        <f>'Rolling report'!CP158*'With Action'!$Y$6</f>
        <v>5.000000000000001E-2</v>
      </c>
      <c r="X158" s="17">
        <f>'Rolling report'!CQ158*'With Action'!$Y$6</f>
        <v>0.25000000000000006</v>
      </c>
      <c r="Y158" s="17">
        <f>'Rolling report'!CR158*'With Action'!$Y$6</f>
        <v>0.25000000000000006</v>
      </c>
      <c r="Z158" s="17">
        <f>'Rolling report'!CS158*'With Action'!$Y$6</f>
        <v>0.10000000000000002</v>
      </c>
      <c r="AA158" s="17">
        <f>'Rolling report'!CT158*'With Action'!$Y$6</f>
        <v>0.10000000000000002</v>
      </c>
      <c r="AB158" s="17">
        <f>'Rolling report'!CU158*'With Action'!$Y$6</f>
        <v>5.000000000000001E-2</v>
      </c>
      <c r="AC158" s="17">
        <f>'Rolling report'!CV158*'With Action'!$Y$6</f>
        <v>5.000000000000001E-2</v>
      </c>
      <c r="AD158" s="17">
        <f>'Rolling report'!CW158*'With Action'!$Y$6</f>
        <v>0</v>
      </c>
      <c r="AE158" s="17">
        <f>'Rolling report'!CX158*'With Action'!$Y$6</f>
        <v>0.10000000000000002</v>
      </c>
      <c r="AF158" s="17">
        <f>'Rolling report'!CY158*'With Action'!$Y$6</f>
        <v>-4.0000000000000009</v>
      </c>
      <c r="AG158" s="17">
        <f>'Rolling report'!CZ158*'With Action'!$Y$6</f>
        <v>0</v>
      </c>
      <c r="AH158" s="17">
        <f>'Rolling report'!DA158*'With Action'!$Y$6</f>
        <v>0</v>
      </c>
      <c r="AI158" s="17">
        <f>'Rolling report'!DB158*'With Action'!$Y$6</f>
        <v>0</v>
      </c>
      <c r="AJ158" s="17">
        <f>'Rolling report'!DC158*'With Action'!$Y$6</f>
        <v>0</v>
      </c>
      <c r="AK158" s="17">
        <f>'Rolling report'!DD158*'With Action'!$Y$6</f>
        <v>0</v>
      </c>
      <c r="AL158" s="17">
        <f>'Rolling report'!DE158*'With Action'!$Y$6</f>
        <v>0</v>
      </c>
      <c r="AM158" s="17">
        <f>'Rolling report'!DF158*'With Action'!$Y$6</f>
        <v>0</v>
      </c>
      <c r="AN158" s="17">
        <f>'Rolling report'!DG158*'With Action'!$Y$6</f>
        <v>0</v>
      </c>
      <c r="AO158" s="17">
        <f>'Rolling report'!DH158*'With Action'!$Y$6</f>
        <v>0</v>
      </c>
      <c r="AP158" s="17">
        <f>'Rolling report'!DI158*'With Action'!$Y$6</f>
        <v>0</v>
      </c>
    </row>
    <row r="159" spans="1:42" x14ac:dyDescent="0.25">
      <c r="A159" s="4" t="s">
        <v>307</v>
      </c>
      <c r="B159" s="6" t="s">
        <v>308</v>
      </c>
      <c r="I159" s="17">
        <f>'Rolling report'!CB159*'With Action'!$Y$6</f>
        <v>15.350000000000003</v>
      </c>
      <c r="J159" s="17">
        <f>'Rolling report'!CC159*'With Action'!$Y$6</f>
        <v>2.3000000000000003</v>
      </c>
      <c r="K159" s="17">
        <f>'Rolling report'!CD159*'With Action'!$Y$6</f>
        <v>2.0500000000000003</v>
      </c>
      <c r="L159" s="17">
        <f>'Rolling report'!CE159*'With Action'!$Y$6</f>
        <v>3.3000000000000007</v>
      </c>
      <c r="M159" s="17">
        <f>'Rolling report'!CF159*'With Action'!$Y$6</f>
        <v>2.8000000000000007</v>
      </c>
      <c r="N159" s="17">
        <f>'Rolling report'!CG159*'With Action'!$Y$6</f>
        <v>2.8000000000000007</v>
      </c>
      <c r="O159" s="17">
        <f>'Rolling report'!CH159*'With Action'!$Y$6</f>
        <v>3.7500000000000009</v>
      </c>
      <c r="P159" s="17">
        <f>'Rolling report'!CI159*'With Action'!$Y$6</f>
        <v>1.0500000000000003</v>
      </c>
      <c r="Q159" s="17">
        <f>'Rolling report'!CJ159*'With Action'!$Y$6</f>
        <v>2.0500000000000003</v>
      </c>
      <c r="R159" s="17">
        <f>'Rolling report'!CK159*'With Action'!$Y$6</f>
        <v>1.7500000000000004</v>
      </c>
      <c r="S159" s="17">
        <f>'Rolling report'!CL159*'With Action'!$Y$6</f>
        <v>0.95000000000000018</v>
      </c>
      <c r="T159" s="17">
        <f>'Rolling report'!CM159*'With Action'!$Y$6</f>
        <v>2.0500000000000003</v>
      </c>
      <c r="U159" s="17">
        <f>'Rolling report'!CN159*'With Action'!$Y$6</f>
        <v>1.4500000000000002</v>
      </c>
      <c r="V159" s="17">
        <f>'Rolling report'!CO159*'With Action'!$Y$6</f>
        <v>1.0500000000000003</v>
      </c>
      <c r="W159" s="17">
        <f>'Rolling report'!CP159*'With Action'!$Y$6</f>
        <v>1.3000000000000003</v>
      </c>
      <c r="X159" s="17">
        <f>'Rolling report'!CQ159*'With Action'!$Y$6</f>
        <v>1.0000000000000002</v>
      </c>
      <c r="Y159" s="17">
        <f>'Rolling report'!CR159*'With Action'!$Y$6</f>
        <v>1.0000000000000002</v>
      </c>
      <c r="Z159" s="17">
        <f>'Rolling report'!CS159*'With Action'!$Y$6</f>
        <v>0.50000000000000011</v>
      </c>
      <c r="AA159" s="17">
        <f>'Rolling report'!CT159*'With Action'!$Y$6</f>
        <v>0.35000000000000009</v>
      </c>
      <c r="AB159" s="17">
        <f>'Rolling report'!CU159*'With Action'!$Y$6</f>
        <v>1.0000000000000002</v>
      </c>
      <c r="AC159" s="17">
        <f>'Rolling report'!CV159*'With Action'!$Y$6</f>
        <v>0.8500000000000002</v>
      </c>
      <c r="AD159" s="17">
        <f>'Rolling report'!CW159*'With Action'!$Y$6</f>
        <v>0.35000000000000009</v>
      </c>
      <c r="AE159" s="17">
        <f>'Rolling report'!CX159*'With Action'!$Y$6</f>
        <v>0.55000000000000016</v>
      </c>
      <c r="AF159" s="17">
        <f>'Rolling report'!CY159*'With Action'!$Y$6</f>
        <v>-49.600000000000009</v>
      </c>
      <c r="AG159" s="17">
        <f>'Rolling report'!CZ159*'With Action'!$Y$6</f>
        <v>0</v>
      </c>
      <c r="AH159" s="17">
        <f>'Rolling report'!DA159*'With Action'!$Y$6</f>
        <v>0</v>
      </c>
      <c r="AI159" s="17">
        <f>'Rolling report'!DB159*'With Action'!$Y$6</f>
        <v>0</v>
      </c>
      <c r="AJ159" s="17">
        <f>'Rolling report'!DC159*'With Action'!$Y$6</f>
        <v>0</v>
      </c>
      <c r="AK159" s="17">
        <f>'Rolling report'!DD159*'With Action'!$Y$6</f>
        <v>0</v>
      </c>
      <c r="AL159" s="17">
        <f>'Rolling report'!DE159*'With Action'!$Y$6</f>
        <v>0</v>
      </c>
      <c r="AM159" s="17">
        <f>'Rolling report'!DF159*'With Action'!$Y$6</f>
        <v>0</v>
      </c>
      <c r="AN159" s="17">
        <f>'Rolling report'!DG159*'With Action'!$Y$6</f>
        <v>0</v>
      </c>
      <c r="AO159" s="17">
        <f>'Rolling report'!DH159*'With Action'!$Y$6</f>
        <v>0</v>
      </c>
      <c r="AP159" s="17">
        <f>'Rolling report'!DI159*'With Action'!$Y$6</f>
        <v>0</v>
      </c>
    </row>
    <row r="160" spans="1:42" x14ac:dyDescent="0.25">
      <c r="A160" s="4" t="s">
        <v>309</v>
      </c>
      <c r="B160" s="6" t="s">
        <v>310</v>
      </c>
      <c r="I160" s="17">
        <f>'Rolling report'!CB160*'With Action'!$Y$6</f>
        <v>5.6500000000000012</v>
      </c>
      <c r="J160" s="17">
        <f>'Rolling report'!CC160*'With Action'!$Y$6</f>
        <v>0.35000000000000009</v>
      </c>
      <c r="K160" s="17">
        <f>'Rolling report'!CD160*'With Action'!$Y$6</f>
        <v>0.55000000000000016</v>
      </c>
      <c r="L160" s="17">
        <f>'Rolling report'!CE160*'With Action'!$Y$6</f>
        <v>1.1000000000000003</v>
      </c>
      <c r="M160" s="17">
        <f>'Rolling report'!CF160*'With Action'!$Y$6</f>
        <v>0.60000000000000009</v>
      </c>
      <c r="N160" s="17">
        <f>'Rolling report'!CG160*'With Action'!$Y$6</f>
        <v>0.35000000000000009</v>
      </c>
      <c r="O160" s="17">
        <f>'Rolling report'!CH160*'With Action'!$Y$6</f>
        <v>0.8500000000000002</v>
      </c>
      <c r="P160" s="17">
        <f>'Rolling report'!CI160*'With Action'!$Y$6</f>
        <v>0.30000000000000004</v>
      </c>
      <c r="Q160" s="17">
        <f>'Rolling report'!CJ160*'With Action'!$Y$6</f>
        <v>0.90000000000000013</v>
      </c>
      <c r="R160" s="17">
        <f>'Rolling report'!CK160*'With Action'!$Y$6</f>
        <v>0.25000000000000006</v>
      </c>
      <c r="S160" s="17">
        <f>'Rolling report'!CL160*'With Action'!$Y$6</f>
        <v>0.65000000000000013</v>
      </c>
      <c r="T160" s="17">
        <f>'Rolling report'!CM160*'With Action'!$Y$6</f>
        <v>0.30000000000000004</v>
      </c>
      <c r="U160" s="17">
        <f>'Rolling report'!CN160*'With Action'!$Y$6</f>
        <v>0.50000000000000011</v>
      </c>
      <c r="V160" s="17">
        <f>'Rolling report'!CO160*'With Action'!$Y$6</f>
        <v>0.65000000000000013</v>
      </c>
      <c r="W160" s="17">
        <f>'Rolling report'!CP160*'With Action'!$Y$6</f>
        <v>0.30000000000000004</v>
      </c>
      <c r="X160" s="17">
        <f>'Rolling report'!CQ160*'With Action'!$Y$6</f>
        <v>0.40000000000000008</v>
      </c>
      <c r="Y160" s="17">
        <f>'Rolling report'!CR160*'With Action'!$Y$6</f>
        <v>0.35000000000000009</v>
      </c>
      <c r="Z160" s="17">
        <f>'Rolling report'!CS160*'With Action'!$Y$6</f>
        <v>0.60000000000000009</v>
      </c>
      <c r="AA160" s="17">
        <f>'Rolling report'!CT160*'With Action'!$Y$6</f>
        <v>0.35000000000000009</v>
      </c>
      <c r="AB160" s="17">
        <f>'Rolling report'!CU160*'With Action'!$Y$6</f>
        <v>0.25000000000000006</v>
      </c>
      <c r="AC160" s="17">
        <f>'Rolling report'!CV160*'With Action'!$Y$6</f>
        <v>0.15000000000000002</v>
      </c>
      <c r="AD160" s="17">
        <f>'Rolling report'!CW160*'With Action'!$Y$6</f>
        <v>-5.000000000000001E-2</v>
      </c>
      <c r="AE160" s="17">
        <f>'Rolling report'!CX160*'With Action'!$Y$6</f>
        <v>0.15000000000000002</v>
      </c>
      <c r="AF160" s="17">
        <f>'Rolling report'!CY160*'With Action'!$Y$6</f>
        <v>-15.500000000000004</v>
      </c>
      <c r="AG160" s="17">
        <f>'Rolling report'!CZ160*'With Action'!$Y$6</f>
        <v>0</v>
      </c>
      <c r="AH160" s="17">
        <f>'Rolling report'!DA160*'With Action'!$Y$6</f>
        <v>0</v>
      </c>
      <c r="AI160" s="17">
        <f>'Rolling report'!DB160*'With Action'!$Y$6</f>
        <v>0</v>
      </c>
      <c r="AJ160" s="17">
        <f>'Rolling report'!DC160*'With Action'!$Y$6</f>
        <v>0</v>
      </c>
      <c r="AK160" s="17">
        <f>'Rolling report'!DD160*'With Action'!$Y$6</f>
        <v>0</v>
      </c>
      <c r="AL160" s="17">
        <f>'Rolling report'!DE160*'With Action'!$Y$6</f>
        <v>0</v>
      </c>
      <c r="AM160" s="17">
        <f>'Rolling report'!DF160*'With Action'!$Y$6</f>
        <v>0</v>
      </c>
      <c r="AN160" s="17">
        <f>'Rolling report'!DG160*'With Action'!$Y$6</f>
        <v>0</v>
      </c>
      <c r="AO160" s="17">
        <f>'Rolling report'!DH160*'With Action'!$Y$6</f>
        <v>0</v>
      </c>
      <c r="AP160" s="17">
        <f>'Rolling report'!DI160*'With Action'!$Y$6</f>
        <v>0</v>
      </c>
    </row>
    <row r="161" spans="1:42" x14ac:dyDescent="0.25">
      <c r="A161" s="4"/>
      <c r="B161" s="6"/>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P161" s="17"/>
    </row>
    <row r="162" spans="1:42" x14ac:dyDescent="0.25">
      <c r="A162" s="8" t="str">
        <f>'No Action'!A162</f>
        <v>All England</v>
      </c>
      <c r="B162" s="11"/>
      <c r="I162" s="17">
        <f>'Rolling report'!CB162*'With Action'!$Y$6</f>
        <v>1227.2000000000003</v>
      </c>
      <c r="J162" s="17">
        <f>'Rolling report'!CC162*'With Action'!$Y$6</f>
        <v>214.35000000000005</v>
      </c>
      <c r="K162" s="17">
        <f>'Rolling report'!CD162*'With Action'!$Y$6</f>
        <v>184.95000000000005</v>
      </c>
      <c r="L162" s="17">
        <f>'Rolling report'!CE162*'With Action'!$Y$6</f>
        <v>226.75000000000006</v>
      </c>
      <c r="M162" s="17">
        <f>'Rolling report'!CF162*'With Action'!$Y$6</f>
        <v>153.10000000000002</v>
      </c>
      <c r="N162" s="17">
        <f>'Rolling report'!CG162*'With Action'!$Y$6</f>
        <v>143.50000000000003</v>
      </c>
      <c r="O162" s="17">
        <f>'Rolling report'!CH162*'With Action'!$Y$6</f>
        <v>214.00000000000003</v>
      </c>
      <c r="P162" s="17">
        <f>'Rolling report'!CI162*'With Action'!$Y$6</f>
        <v>102.65000000000002</v>
      </c>
      <c r="Q162" s="17">
        <f>'Rolling report'!CJ162*'With Action'!$Y$6</f>
        <v>129.60000000000002</v>
      </c>
      <c r="R162" s="17">
        <f>'Rolling report'!CK162*'With Action'!$Y$6</f>
        <v>108.40000000000002</v>
      </c>
      <c r="S162" s="17">
        <f>'Rolling report'!CL162*'With Action'!$Y$6</f>
        <v>78.40000000000002</v>
      </c>
      <c r="T162" s="17">
        <f>'Rolling report'!CM162*'With Action'!$Y$6</f>
        <v>118.80000000000003</v>
      </c>
      <c r="U162" s="17">
        <f>'Rolling report'!CN162*'With Action'!$Y$6</f>
        <v>103.85000000000002</v>
      </c>
      <c r="V162" s="17">
        <f>'Rolling report'!CO162*'With Action'!$Y$6</f>
        <v>85.90000000000002</v>
      </c>
      <c r="W162" s="17">
        <f>'Rolling report'!CP162*'With Action'!$Y$6</f>
        <v>75.100000000000009</v>
      </c>
      <c r="X162" s="17">
        <f>'Rolling report'!CQ162*'With Action'!$Y$6</f>
        <v>56.550000000000011</v>
      </c>
      <c r="Y162" s="17">
        <f>'Rolling report'!CR162*'With Action'!$Y$6</f>
        <v>65.150000000000006</v>
      </c>
      <c r="Z162" s="17">
        <f>'Rolling report'!CS162*'With Action'!$Y$6</f>
        <v>57.400000000000013</v>
      </c>
      <c r="AA162" s="17">
        <f>'Rolling report'!CT162*'With Action'!$Y$6</f>
        <v>71.15000000000002</v>
      </c>
      <c r="AB162" s="17">
        <f>'Rolling report'!CU162*'With Action'!$Y$6</f>
        <v>66.550000000000011</v>
      </c>
      <c r="AC162" s="17">
        <f>'Rolling report'!CV162*'With Action'!$Y$6</f>
        <v>98.950000000000017</v>
      </c>
      <c r="AD162" s="17">
        <f>'Rolling report'!CW162*'With Action'!$Y$6</f>
        <v>19.450000000000003</v>
      </c>
      <c r="AE162" s="17">
        <f>'Rolling report'!CX162*'With Action'!$Y$6</f>
        <v>52.800000000000011</v>
      </c>
      <c r="AF162" s="17">
        <f>'Rolling report'!CY162*'With Action'!$Y$6</f>
        <v>-3654.5500000000006</v>
      </c>
      <c r="AG162" s="17">
        <f>'Rolling report'!CZ162*'With Action'!$Y$6</f>
        <v>0</v>
      </c>
      <c r="AH162" s="17">
        <f>'Rolling report'!DA162*'With Action'!$Y$6</f>
        <v>0</v>
      </c>
      <c r="AI162" s="17">
        <f>'Rolling report'!DB162*'With Action'!$Y$6</f>
        <v>0</v>
      </c>
      <c r="AJ162" s="17">
        <f>'Rolling report'!DC162*'With Action'!$Y$6</f>
        <v>0</v>
      </c>
      <c r="AK162" s="17">
        <f>'Rolling report'!DD162*'With Action'!$Y$6</f>
        <v>0</v>
      </c>
      <c r="AL162" s="17">
        <f>'Rolling report'!DE162*'With Action'!$Y$6</f>
        <v>0</v>
      </c>
      <c r="AM162" s="17">
        <f>'Rolling report'!DF162*'With Action'!$Y$6</f>
        <v>0</v>
      </c>
      <c r="AN162" s="17">
        <f>'Rolling report'!DG162*'With Action'!$Y$6</f>
        <v>0</v>
      </c>
      <c r="AO162" s="17">
        <f>'Rolling report'!DH162*'With Action'!$Y$6</f>
        <v>0</v>
      </c>
      <c r="AP162" s="17">
        <f>'Rolling report'!DI162*'With Action'!$Y$6</f>
        <v>0</v>
      </c>
    </row>
    <row r="163" spans="1:42" ht="15.75" thickBot="1" x14ac:dyDescent="0.3">
      <c r="A163" s="12"/>
      <c r="B163" s="13"/>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P163" s="17"/>
    </row>
    <row r="164" spans="1:42" x14ac:dyDescent="0.2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P164" s="17"/>
    </row>
    <row r="165" spans="1:42" ht="20.25" x14ac:dyDescent="0.3">
      <c r="A165" s="1" t="s">
        <v>0</v>
      </c>
      <c r="B165" s="2"/>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P165" s="17"/>
    </row>
    <row r="166" spans="1:42" x14ac:dyDescent="0.25">
      <c r="A166" s="3" t="s">
        <v>1</v>
      </c>
      <c r="B166" s="2"/>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P166" s="17"/>
    </row>
    <row r="167" spans="1:42" x14ac:dyDescent="0.25">
      <c r="A167" s="29"/>
      <c r="B167" s="2"/>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P167" s="17"/>
    </row>
    <row r="168" spans="1:42" x14ac:dyDescent="0.25">
      <c r="A168" s="5" t="s">
        <v>385</v>
      </c>
      <c r="B168" s="6"/>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P168" s="17"/>
    </row>
    <row r="169" spans="1:42" x14ac:dyDescent="0.25">
      <c r="A169" s="7"/>
      <c r="B169" s="6"/>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P169" s="17"/>
    </row>
    <row r="170" spans="1:42" x14ac:dyDescent="0.25">
      <c r="A170" s="8" t="s">
        <v>386</v>
      </c>
      <c r="B170" s="30"/>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P170" s="17"/>
    </row>
    <row r="171" spans="1:42" x14ac:dyDescent="0.25">
      <c r="A171" s="9"/>
      <c r="B171" s="2"/>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P171" s="17"/>
    </row>
    <row r="172" spans="1:42" x14ac:dyDescent="0.25">
      <c r="A172" s="10" t="s">
        <v>3</v>
      </c>
      <c r="B172" s="31" t="s">
        <v>4</v>
      </c>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P172" s="17"/>
    </row>
    <row r="173" spans="1:42" x14ac:dyDescent="0.25">
      <c r="A173" s="4"/>
      <c r="B173" s="6"/>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P173" s="17"/>
    </row>
    <row r="174" spans="1:42" x14ac:dyDescent="0.25">
      <c r="A174" s="4" t="s">
        <v>387</v>
      </c>
      <c r="B174" s="6" t="s">
        <v>388</v>
      </c>
      <c r="I174" s="17">
        <f>'Rolling report'!CB174*'With Action'!$Y$6</f>
        <v>2.3000000000000003</v>
      </c>
      <c r="J174" s="17">
        <f>'Rolling report'!CC174*'With Action'!$Y$6</f>
        <v>0.30000000000000004</v>
      </c>
      <c r="K174" s="17">
        <f>'Rolling report'!CD174*'With Action'!$Y$6</f>
        <v>0.35000000000000009</v>
      </c>
      <c r="L174" s="17">
        <f>'Rolling report'!CE174*'With Action'!$Y$6</f>
        <v>0.55000000000000016</v>
      </c>
      <c r="M174" s="17">
        <f>'Rolling report'!CF174*'With Action'!$Y$6</f>
        <v>0.15000000000000002</v>
      </c>
      <c r="N174" s="17">
        <f>'Rolling report'!CG174*'With Action'!$Y$6</f>
        <v>0.25000000000000006</v>
      </c>
      <c r="O174" s="17">
        <f>'Rolling report'!CH174*'With Action'!$Y$6</f>
        <v>0.10000000000000002</v>
      </c>
      <c r="P174" s="17">
        <f>'Rolling report'!CI174*'With Action'!$Y$6</f>
        <v>0</v>
      </c>
      <c r="Q174" s="17">
        <f>'Rolling report'!CJ174*'With Action'!$Y$6</f>
        <v>0.15000000000000002</v>
      </c>
      <c r="R174" s="17">
        <f>'Rolling report'!CK174*'With Action'!$Y$6</f>
        <v>0.10000000000000002</v>
      </c>
      <c r="S174" s="17">
        <f>'Rolling report'!CL174*'With Action'!$Y$6</f>
        <v>0.10000000000000002</v>
      </c>
      <c r="T174" s="17">
        <f>'Rolling report'!CM174*'With Action'!$Y$6</f>
        <v>0.40000000000000008</v>
      </c>
      <c r="U174" s="17">
        <f>'Rolling report'!CN174*'With Action'!$Y$6</f>
        <v>0.20000000000000004</v>
      </c>
      <c r="V174" s="17">
        <f>'Rolling report'!CO174*'With Action'!$Y$6</f>
        <v>5.000000000000001E-2</v>
      </c>
      <c r="W174" s="17">
        <f>'Rolling report'!CP174*'With Action'!$Y$6</f>
        <v>0</v>
      </c>
      <c r="X174" s="17">
        <f>'Rolling report'!CQ174*'With Action'!$Y$6</f>
        <v>0.10000000000000002</v>
      </c>
      <c r="Y174" s="17">
        <f>'Rolling report'!CR174*'With Action'!$Y$6</f>
        <v>0</v>
      </c>
      <c r="Z174" s="17">
        <f>'Rolling report'!CS174*'With Action'!$Y$6</f>
        <v>0</v>
      </c>
      <c r="AA174" s="17">
        <f>'Rolling report'!CT174*'With Action'!$Y$6</f>
        <v>0</v>
      </c>
      <c r="AB174" s="17">
        <f>'Rolling report'!CU174*'With Action'!$Y$6</f>
        <v>0</v>
      </c>
      <c r="AC174" s="17">
        <f>'Rolling report'!CV174*'With Action'!$Y$6</f>
        <v>5.000000000000001E-2</v>
      </c>
      <c r="AD174" s="17">
        <f>'Rolling report'!CW174*'With Action'!$Y$6</f>
        <v>5.000000000000001E-2</v>
      </c>
      <c r="AE174" s="17">
        <f>'Rolling report'!CX174*'With Action'!$Y$6</f>
        <v>5.000000000000001E-2</v>
      </c>
      <c r="AF174" s="17">
        <f>'Rolling report'!CY174*'With Action'!$Y$6</f>
        <v>-5.2500000000000009</v>
      </c>
      <c r="AG174" s="17">
        <f>'Rolling report'!CZ174*'With Action'!$Y$6</f>
        <v>0</v>
      </c>
      <c r="AH174" s="17">
        <f>'Rolling report'!DA174*'With Action'!$Y$6</f>
        <v>0</v>
      </c>
      <c r="AI174" s="17">
        <f>'Rolling report'!DB174*'With Action'!$Y$6</f>
        <v>0</v>
      </c>
      <c r="AJ174" s="17">
        <f>'Rolling report'!DC174*'With Action'!$Y$6</f>
        <v>0</v>
      </c>
      <c r="AK174" s="17">
        <f>'Rolling report'!DD174*'With Action'!$Y$6</f>
        <v>0</v>
      </c>
      <c r="AL174" s="17">
        <f>'Rolling report'!DE174*'With Action'!$Y$6</f>
        <v>0</v>
      </c>
      <c r="AM174" s="17">
        <f>'Rolling report'!DF174*'With Action'!$Y$6</f>
        <v>0</v>
      </c>
      <c r="AN174" s="17">
        <f>'Rolling report'!DG174*'With Action'!$Y$6</f>
        <v>0</v>
      </c>
      <c r="AO174" s="17">
        <f>'Rolling report'!DH174*'With Action'!$Y$6</f>
        <v>0</v>
      </c>
      <c r="AP174" s="17">
        <f>'Rolling report'!DI174*'With Action'!$Y$6</f>
        <v>0</v>
      </c>
    </row>
    <row r="175" spans="1:42" x14ac:dyDescent="0.25">
      <c r="A175" s="4" t="s">
        <v>389</v>
      </c>
      <c r="B175" s="6" t="s">
        <v>390</v>
      </c>
      <c r="I175" s="17">
        <f>'Rolling report'!CB175*'With Action'!$Y$6</f>
        <v>2.3500000000000005</v>
      </c>
      <c r="J175" s="17">
        <f>'Rolling report'!CC175*'With Action'!$Y$6</f>
        <v>0.30000000000000004</v>
      </c>
      <c r="K175" s="17">
        <f>'Rolling report'!CD175*'With Action'!$Y$6</f>
        <v>0.25000000000000006</v>
      </c>
      <c r="L175" s="17">
        <f>'Rolling report'!CE175*'With Action'!$Y$6</f>
        <v>0.55000000000000016</v>
      </c>
      <c r="M175" s="17">
        <f>'Rolling report'!CF175*'With Action'!$Y$6</f>
        <v>0.50000000000000011</v>
      </c>
      <c r="N175" s="17">
        <f>'Rolling report'!CG175*'With Action'!$Y$6</f>
        <v>0.35000000000000009</v>
      </c>
      <c r="O175" s="17">
        <f>'Rolling report'!CH175*'With Action'!$Y$6</f>
        <v>0.40000000000000008</v>
      </c>
      <c r="P175" s="17">
        <f>'Rolling report'!CI175*'With Action'!$Y$6</f>
        <v>0.60000000000000009</v>
      </c>
      <c r="Q175" s="17">
        <f>'Rolling report'!CJ175*'With Action'!$Y$6</f>
        <v>0.20000000000000004</v>
      </c>
      <c r="R175" s="17">
        <f>'Rolling report'!CK175*'With Action'!$Y$6</f>
        <v>0.70000000000000018</v>
      </c>
      <c r="S175" s="17">
        <f>'Rolling report'!CL175*'With Action'!$Y$6</f>
        <v>0</v>
      </c>
      <c r="T175" s="17">
        <f>'Rolling report'!CM175*'With Action'!$Y$6</f>
        <v>0.15000000000000002</v>
      </c>
      <c r="U175" s="17">
        <f>'Rolling report'!CN175*'With Action'!$Y$6</f>
        <v>0.35000000000000009</v>
      </c>
      <c r="V175" s="17">
        <f>'Rolling report'!CO175*'With Action'!$Y$6</f>
        <v>0.50000000000000011</v>
      </c>
      <c r="W175" s="17">
        <f>'Rolling report'!CP175*'With Action'!$Y$6</f>
        <v>0.55000000000000016</v>
      </c>
      <c r="X175" s="17">
        <f>'Rolling report'!CQ175*'With Action'!$Y$6</f>
        <v>0</v>
      </c>
      <c r="Y175" s="17">
        <f>'Rolling report'!CR175*'With Action'!$Y$6</f>
        <v>0.20000000000000004</v>
      </c>
      <c r="Z175" s="17">
        <f>'Rolling report'!CS175*'With Action'!$Y$6</f>
        <v>5.000000000000001E-2</v>
      </c>
      <c r="AA175" s="17">
        <f>'Rolling report'!CT175*'With Action'!$Y$6</f>
        <v>0.40000000000000008</v>
      </c>
      <c r="AB175" s="17">
        <f>'Rolling report'!CU175*'With Action'!$Y$6</f>
        <v>0.30000000000000004</v>
      </c>
      <c r="AC175" s="17">
        <f>'Rolling report'!CV175*'With Action'!$Y$6</f>
        <v>0.30000000000000004</v>
      </c>
      <c r="AD175" s="17">
        <f>'Rolling report'!CW175*'With Action'!$Y$6</f>
        <v>0.25000000000000006</v>
      </c>
      <c r="AE175" s="17">
        <f>'Rolling report'!CX175*'With Action'!$Y$6</f>
        <v>0</v>
      </c>
      <c r="AF175" s="17">
        <f>'Rolling report'!CY175*'With Action'!$Y$6</f>
        <v>-9.2500000000000018</v>
      </c>
      <c r="AG175" s="17">
        <f>'Rolling report'!CZ175*'With Action'!$Y$6</f>
        <v>0</v>
      </c>
      <c r="AH175" s="17">
        <f>'Rolling report'!DA175*'With Action'!$Y$6</f>
        <v>0</v>
      </c>
      <c r="AI175" s="17">
        <f>'Rolling report'!DB175*'With Action'!$Y$6</f>
        <v>0</v>
      </c>
      <c r="AJ175" s="17">
        <f>'Rolling report'!DC175*'With Action'!$Y$6</f>
        <v>0</v>
      </c>
      <c r="AK175" s="17">
        <f>'Rolling report'!DD175*'With Action'!$Y$6</f>
        <v>0</v>
      </c>
      <c r="AL175" s="17">
        <f>'Rolling report'!DE175*'With Action'!$Y$6</f>
        <v>0</v>
      </c>
      <c r="AM175" s="17">
        <f>'Rolling report'!DF175*'With Action'!$Y$6</f>
        <v>0</v>
      </c>
      <c r="AN175" s="17">
        <f>'Rolling report'!DG175*'With Action'!$Y$6</f>
        <v>0</v>
      </c>
      <c r="AO175" s="17">
        <f>'Rolling report'!DH175*'With Action'!$Y$6</f>
        <v>0</v>
      </c>
      <c r="AP175" s="17">
        <f>'Rolling report'!DI175*'With Action'!$Y$6</f>
        <v>0</v>
      </c>
    </row>
    <row r="176" spans="1:42" x14ac:dyDescent="0.25">
      <c r="A176" s="4" t="s">
        <v>391</v>
      </c>
      <c r="B176" s="6" t="s">
        <v>392</v>
      </c>
      <c r="I176" s="17">
        <f>'Rolling report'!CB176*'With Action'!$Y$6</f>
        <v>2.2500000000000004</v>
      </c>
      <c r="J176" s="17">
        <f>'Rolling report'!CC176*'With Action'!$Y$6</f>
        <v>0.70000000000000018</v>
      </c>
      <c r="K176" s="17">
        <f>'Rolling report'!CD176*'With Action'!$Y$6</f>
        <v>0.10000000000000002</v>
      </c>
      <c r="L176" s="17">
        <f>'Rolling report'!CE176*'With Action'!$Y$6</f>
        <v>0.50000000000000011</v>
      </c>
      <c r="M176" s="17">
        <f>'Rolling report'!CF176*'With Action'!$Y$6</f>
        <v>0.90000000000000013</v>
      </c>
      <c r="N176" s="17">
        <f>'Rolling report'!CG176*'With Action'!$Y$6</f>
        <v>0.25000000000000006</v>
      </c>
      <c r="O176" s="17">
        <f>'Rolling report'!CH176*'With Action'!$Y$6</f>
        <v>0.60000000000000009</v>
      </c>
      <c r="P176" s="17">
        <f>'Rolling report'!CI176*'With Action'!$Y$6</f>
        <v>0.15000000000000002</v>
      </c>
      <c r="Q176" s="17">
        <f>'Rolling report'!CJ176*'With Action'!$Y$6</f>
        <v>0.10000000000000002</v>
      </c>
      <c r="R176" s="17">
        <f>'Rolling report'!CK176*'With Action'!$Y$6</f>
        <v>0.20000000000000004</v>
      </c>
      <c r="S176" s="17">
        <f>'Rolling report'!CL176*'With Action'!$Y$6</f>
        <v>0.35000000000000009</v>
      </c>
      <c r="T176" s="17">
        <f>'Rolling report'!CM176*'With Action'!$Y$6</f>
        <v>0.80000000000000016</v>
      </c>
      <c r="U176" s="17">
        <f>'Rolling report'!CN176*'With Action'!$Y$6</f>
        <v>0.50000000000000011</v>
      </c>
      <c r="V176" s="17">
        <f>'Rolling report'!CO176*'With Action'!$Y$6</f>
        <v>0.10000000000000002</v>
      </c>
      <c r="W176" s="17">
        <f>'Rolling report'!CP176*'With Action'!$Y$6</f>
        <v>0.25000000000000006</v>
      </c>
      <c r="X176" s="17">
        <f>'Rolling report'!CQ176*'With Action'!$Y$6</f>
        <v>0.10000000000000002</v>
      </c>
      <c r="Y176" s="17">
        <f>'Rolling report'!CR176*'With Action'!$Y$6</f>
        <v>0.20000000000000004</v>
      </c>
      <c r="Z176" s="17">
        <f>'Rolling report'!CS176*'With Action'!$Y$6</f>
        <v>0.10000000000000002</v>
      </c>
      <c r="AA176" s="17">
        <f>'Rolling report'!CT176*'With Action'!$Y$6</f>
        <v>0</v>
      </c>
      <c r="AB176" s="17">
        <f>'Rolling report'!CU176*'With Action'!$Y$6</f>
        <v>0.10000000000000002</v>
      </c>
      <c r="AC176" s="17">
        <f>'Rolling report'!CV176*'With Action'!$Y$6</f>
        <v>0.15000000000000002</v>
      </c>
      <c r="AD176" s="17">
        <f>'Rolling report'!CW176*'With Action'!$Y$6</f>
        <v>0</v>
      </c>
      <c r="AE176" s="17">
        <f>'Rolling report'!CX176*'With Action'!$Y$6</f>
        <v>5.000000000000001E-2</v>
      </c>
      <c r="AF176" s="17">
        <f>'Rolling report'!CY176*'With Action'!$Y$6</f>
        <v>-8.4500000000000011</v>
      </c>
      <c r="AG176" s="17">
        <f>'Rolling report'!CZ176*'With Action'!$Y$6</f>
        <v>0</v>
      </c>
      <c r="AH176" s="17">
        <f>'Rolling report'!DA176*'With Action'!$Y$6</f>
        <v>0</v>
      </c>
      <c r="AI176" s="17">
        <f>'Rolling report'!DB176*'With Action'!$Y$6</f>
        <v>0</v>
      </c>
      <c r="AJ176" s="17">
        <f>'Rolling report'!DC176*'With Action'!$Y$6</f>
        <v>0</v>
      </c>
      <c r="AK176" s="17">
        <f>'Rolling report'!DD176*'With Action'!$Y$6</f>
        <v>0</v>
      </c>
      <c r="AL176" s="17">
        <f>'Rolling report'!DE176*'With Action'!$Y$6</f>
        <v>0</v>
      </c>
      <c r="AM176" s="17">
        <f>'Rolling report'!DF176*'With Action'!$Y$6</f>
        <v>0</v>
      </c>
      <c r="AN176" s="17">
        <f>'Rolling report'!DG176*'With Action'!$Y$6</f>
        <v>0</v>
      </c>
      <c r="AO176" s="17">
        <f>'Rolling report'!DH176*'With Action'!$Y$6</f>
        <v>0</v>
      </c>
      <c r="AP176" s="17">
        <f>'Rolling report'!DI176*'With Action'!$Y$6</f>
        <v>0</v>
      </c>
    </row>
    <row r="177" spans="1:42" x14ac:dyDescent="0.25">
      <c r="A177" s="4" t="s">
        <v>393</v>
      </c>
      <c r="B177" s="6" t="s">
        <v>394</v>
      </c>
      <c r="I177" s="17">
        <f>'Rolling report'!CB177*'With Action'!$Y$6</f>
        <v>1.5000000000000002</v>
      </c>
      <c r="J177" s="17">
        <f>'Rolling report'!CC177*'With Action'!$Y$6</f>
        <v>0</v>
      </c>
      <c r="K177" s="17">
        <f>'Rolling report'!CD177*'With Action'!$Y$6</f>
        <v>0.35000000000000009</v>
      </c>
      <c r="L177" s="17">
        <f>'Rolling report'!CE177*'With Action'!$Y$6</f>
        <v>0.40000000000000008</v>
      </c>
      <c r="M177" s="17">
        <f>'Rolling report'!CF177*'With Action'!$Y$6</f>
        <v>0.20000000000000004</v>
      </c>
      <c r="N177" s="17">
        <f>'Rolling report'!CG177*'With Action'!$Y$6</f>
        <v>0.25000000000000006</v>
      </c>
      <c r="O177" s="17">
        <f>'Rolling report'!CH177*'With Action'!$Y$6</f>
        <v>0.75000000000000011</v>
      </c>
      <c r="P177" s="17">
        <f>'Rolling report'!CI177*'With Action'!$Y$6</f>
        <v>0.30000000000000004</v>
      </c>
      <c r="Q177" s="17">
        <f>'Rolling report'!CJ177*'With Action'!$Y$6</f>
        <v>0.15000000000000002</v>
      </c>
      <c r="R177" s="17">
        <f>'Rolling report'!CK177*'With Action'!$Y$6</f>
        <v>0.45000000000000007</v>
      </c>
      <c r="S177" s="17">
        <f>'Rolling report'!CL177*'With Action'!$Y$6</f>
        <v>0.20000000000000004</v>
      </c>
      <c r="T177" s="17">
        <f>'Rolling report'!CM177*'With Action'!$Y$6</f>
        <v>0</v>
      </c>
      <c r="U177" s="17">
        <f>'Rolling report'!CN177*'With Action'!$Y$6</f>
        <v>5.000000000000001E-2</v>
      </c>
      <c r="V177" s="17">
        <f>'Rolling report'!CO177*'With Action'!$Y$6</f>
        <v>0.15000000000000002</v>
      </c>
      <c r="W177" s="17">
        <f>'Rolling report'!CP177*'With Action'!$Y$6</f>
        <v>0.15000000000000002</v>
      </c>
      <c r="X177" s="17">
        <f>'Rolling report'!CQ177*'With Action'!$Y$6</f>
        <v>0</v>
      </c>
      <c r="Y177" s="17">
        <f>'Rolling report'!CR177*'With Action'!$Y$6</f>
        <v>0.20000000000000004</v>
      </c>
      <c r="Z177" s="17">
        <f>'Rolling report'!CS177*'With Action'!$Y$6</f>
        <v>0</v>
      </c>
      <c r="AA177" s="17">
        <f>'Rolling report'!CT177*'With Action'!$Y$6</f>
        <v>0</v>
      </c>
      <c r="AB177" s="17">
        <f>'Rolling report'!CU177*'With Action'!$Y$6</f>
        <v>0</v>
      </c>
      <c r="AC177" s="17">
        <f>'Rolling report'!CV177*'With Action'!$Y$6</f>
        <v>0</v>
      </c>
      <c r="AD177" s="17">
        <f>'Rolling report'!CW177*'With Action'!$Y$6</f>
        <v>0</v>
      </c>
      <c r="AE177" s="17">
        <f>'Rolling report'!CX177*'With Action'!$Y$6</f>
        <v>-5.000000000000001E-2</v>
      </c>
      <c r="AF177" s="17">
        <f>'Rolling report'!CY177*'With Action'!$Y$6</f>
        <v>-5.0500000000000007</v>
      </c>
      <c r="AG177" s="17">
        <f>'Rolling report'!CZ177*'With Action'!$Y$6</f>
        <v>0</v>
      </c>
      <c r="AH177" s="17">
        <f>'Rolling report'!DA177*'With Action'!$Y$6</f>
        <v>0</v>
      </c>
      <c r="AI177" s="17">
        <f>'Rolling report'!DB177*'With Action'!$Y$6</f>
        <v>0</v>
      </c>
      <c r="AJ177" s="17">
        <f>'Rolling report'!DC177*'With Action'!$Y$6</f>
        <v>0</v>
      </c>
      <c r="AK177" s="17">
        <f>'Rolling report'!DD177*'With Action'!$Y$6</f>
        <v>0</v>
      </c>
      <c r="AL177" s="17">
        <f>'Rolling report'!DE177*'With Action'!$Y$6</f>
        <v>0</v>
      </c>
      <c r="AM177" s="17">
        <f>'Rolling report'!DF177*'With Action'!$Y$6</f>
        <v>0</v>
      </c>
      <c r="AN177" s="17">
        <f>'Rolling report'!DG177*'With Action'!$Y$6</f>
        <v>0</v>
      </c>
      <c r="AO177" s="17">
        <f>'Rolling report'!DH177*'With Action'!$Y$6</f>
        <v>0</v>
      </c>
      <c r="AP177" s="17">
        <f>'Rolling report'!DI177*'With Action'!$Y$6</f>
        <v>0</v>
      </c>
    </row>
    <row r="178" spans="1:42" x14ac:dyDescent="0.25">
      <c r="A178" s="4" t="s">
        <v>395</v>
      </c>
      <c r="B178" s="6" t="s">
        <v>396</v>
      </c>
      <c r="I178" s="17">
        <f>'Rolling report'!CB178*'With Action'!$Y$6</f>
        <v>10.750000000000002</v>
      </c>
      <c r="J178" s="17">
        <f>'Rolling report'!CC178*'With Action'!$Y$6</f>
        <v>1.8000000000000003</v>
      </c>
      <c r="K178" s="17">
        <f>'Rolling report'!CD178*'With Action'!$Y$6</f>
        <v>1.8000000000000003</v>
      </c>
      <c r="L178" s="17">
        <f>'Rolling report'!CE178*'With Action'!$Y$6</f>
        <v>1.7000000000000004</v>
      </c>
      <c r="M178" s="17">
        <f>'Rolling report'!CF178*'With Action'!$Y$6</f>
        <v>1.2000000000000002</v>
      </c>
      <c r="N178" s="17">
        <f>'Rolling report'!CG178*'With Action'!$Y$6</f>
        <v>0.50000000000000011</v>
      </c>
      <c r="O178" s="17">
        <f>'Rolling report'!CH178*'With Action'!$Y$6</f>
        <v>1.2000000000000002</v>
      </c>
      <c r="P178" s="17">
        <f>'Rolling report'!CI178*'With Action'!$Y$6</f>
        <v>1.2000000000000002</v>
      </c>
      <c r="Q178" s="17">
        <f>'Rolling report'!CJ178*'With Action'!$Y$6</f>
        <v>0.80000000000000016</v>
      </c>
      <c r="R178" s="17">
        <f>'Rolling report'!CK178*'With Action'!$Y$6</f>
        <v>0.50000000000000011</v>
      </c>
      <c r="S178" s="17">
        <f>'Rolling report'!CL178*'With Action'!$Y$6</f>
        <v>0.8500000000000002</v>
      </c>
      <c r="T178" s="17">
        <f>'Rolling report'!CM178*'With Action'!$Y$6</f>
        <v>1.2500000000000002</v>
      </c>
      <c r="U178" s="17">
        <f>'Rolling report'!CN178*'With Action'!$Y$6</f>
        <v>0.50000000000000011</v>
      </c>
      <c r="V178" s="17">
        <f>'Rolling report'!CO178*'With Action'!$Y$6</f>
        <v>0.70000000000000018</v>
      </c>
      <c r="W178" s="17">
        <f>'Rolling report'!CP178*'With Action'!$Y$6</f>
        <v>0.55000000000000016</v>
      </c>
      <c r="X178" s="17">
        <f>'Rolling report'!CQ178*'With Action'!$Y$6</f>
        <v>0.20000000000000004</v>
      </c>
      <c r="Y178" s="17">
        <f>'Rolling report'!CR178*'With Action'!$Y$6</f>
        <v>0.25000000000000006</v>
      </c>
      <c r="Z178" s="17">
        <f>'Rolling report'!CS178*'With Action'!$Y$6</f>
        <v>0.25000000000000006</v>
      </c>
      <c r="AA178" s="17">
        <f>'Rolling report'!CT178*'With Action'!$Y$6</f>
        <v>0.25000000000000006</v>
      </c>
      <c r="AB178" s="17">
        <f>'Rolling report'!CU178*'With Action'!$Y$6</f>
        <v>0.60000000000000009</v>
      </c>
      <c r="AC178" s="17">
        <f>'Rolling report'!CV178*'With Action'!$Y$6</f>
        <v>0.65000000000000013</v>
      </c>
      <c r="AD178" s="17">
        <f>'Rolling report'!CW178*'With Action'!$Y$6</f>
        <v>0.15000000000000002</v>
      </c>
      <c r="AE178" s="17">
        <f>'Rolling report'!CX178*'With Action'!$Y$6</f>
        <v>0.10000000000000002</v>
      </c>
      <c r="AF178" s="17">
        <f>'Rolling report'!CY178*'With Action'!$Y$6</f>
        <v>-27.750000000000007</v>
      </c>
      <c r="AG178" s="17">
        <f>'Rolling report'!CZ178*'With Action'!$Y$6</f>
        <v>0</v>
      </c>
      <c r="AH178" s="17">
        <f>'Rolling report'!DA178*'With Action'!$Y$6</f>
        <v>0</v>
      </c>
      <c r="AI178" s="17">
        <f>'Rolling report'!DB178*'With Action'!$Y$6</f>
        <v>0</v>
      </c>
      <c r="AJ178" s="17">
        <f>'Rolling report'!DC178*'With Action'!$Y$6</f>
        <v>0</v>
      </c>
      <c r="AK178" s="17">
        <f>'Rolling report'!DD178*'With Action'!$Y$6</f>
        <v>0</v>
      </c>
      <c r="AL178" s="17">
        <f>'Rolling report'!DE178*'With Action'!$Y$6</f>
        <v>0</v>
      </c>
      <c r="AM178" s="17">
        <f>'Rolling report'!DF178*'With Action'!$Y$6</f>
        <v>0</v>
      </c>
      <c r="AN178" s="17">
        <f>'Rolling report'!DG178*'With Action'!$Y$6</f>
        <v>0</v>
      </c>
      <c r="AO178" s="17">
        <f>'Rolling report'!DH178*'With Action'!$Y$6</f>
        <v>0</v>
      </c>
      <c r="AP178" s="17">
        <f>'Rolling report'!DI178*'With Action'!$Y$6</f>
        <v>0</v>
      </c>
    </row>
    <row r="179" spans="1:42" x14ac:dyDescent="0.25">
      <c r="A179" s="4" t="s">
        <v>397</v>
      </c>
      <c r="B179" s="6" t="s">
        <v>398</v>
      </c>
      <c r="I179" s="17">
        <f>'Rolling report'!CB179*'With Action'!$Y$6</f>
        <v>0.25000000000000006</v>
      </c>
      <c r="J179" s="17">
        <f>'Rolling report'!CC179*'With Action'!$Y$6</f>
        <v>0.15000000000000002</v>
      </c>
      <c r="K179" s="17">
        <f>'Rolling report'!CD179*'With Action'!$Y$6</f>
        <v>0</v>
      </c>
      <c r="L179" s="17">
        <f>'Rolling report'!CE179*'With Action'!$Y$6</f>
        <v>0.40000000000000008</v>
      </c>
      <c r="M179" s="17">
        <f>'Rolling report'!CF179*'With Action'!$Y$6</f>
        <v>0.15000000000000002</v>
      </c>
      <c r="N179" s="17">
        <f>'Rolling report'!CG179*'With Action'!$Y$6</f>
        <v>0</v>
      </c>
      <c r="O179" s="17">
        <f>'Rolling report'!CH179*'With Action'!$Y$6</f>
        <v>0.10000000000000002</v>
      </c>
      <c r="P179" s="17">
        <f>'Rolling report'!CI179*'With Action'!$Y$6</f>
        <v>0</v>
      </c>
      <c r="Q179" s="17">
        <f>'Rolling report'!CJ179*'With Action'!$Y$6</f>
        <v>0.10000000000000002</v>
      </c>
      <c r="R179" s="17">
        <f>'Rolling report'!CK179*'With Action'!$Y$6</f>
        <v>0</v>
      </c>
      <c r="S179" s="17">
        <f>'Rolling report'!CL179*'With Action'!$Y$6</f>
        <v>0</v>
      </c>
      <c r="T179" s="17">
        <f>'Rolling report'!CM179*'With Action'!$Y$6</f>
        <v>0</v>
      </c>
      <c r="U179" s="17">
        <f>'Rolling report'!CN179*'With Action'!$Y$6</f>
        <v>0.15000000000000002</v>
      </c>
      <c r="V179" s="17">
        <f>'Rolling report'!CO179*'With Action'!$Y$6</f>
        <v>5.000000000000001E-2</v>
      </c>
      <c r="W179" s="17">
        <f>'Rolling report'!CP179*'With Action'!$Y$6</f>
        <v>0.40000000000000008</v>
      </c>
      <c r="X179" s="17">
        <f>'Rolling report'!CQ179*'With Action'!$Y$6</f>
        <v>0</v>
      </c>
      <c r="Y179" s="17">
        <f>'Rolling report'!CR179*'With Action'!$Y$6</f>
        <v>0.10000000000000002</v>
      </c>
      <c r="Z179" s="17">
        <f>'Rolling report'!CS179*'With Action'!$Y$6</f>
        <v>5.000000000000001E-2</v>
      </c>
      <c r="AA179" s="17">
        <f>'Rolling report'!CT179*'With Action'!$Y$6</f>
        <v>5.000000000000001E-2</v>
      </c>
      <c r="AB179" s="17">
        <f>'Rolling report'!CU179*'With Action'!$Y$6</f>
        <v>0</v>
      </c>
      <c r="AC179" s="17">
        <f>'Rolling report'!CV179*'With Action'!$Y$6</f>
        <v>0</v>
      </c>
      <c r="AD179" s="17">
        <f>'Rolling report'!CW179*'With Action'!$Y$6</f>
        <v>0</v>
      </c>
      <c r="AE179" s="17">
        <f>'Rolling report'!CX179*'With Action'!$Y$6</f>
        <v>0</v>
      </c>
      <c r="AF179" s="17">
        <f>'Rolling report'!CY179*'With Action'!$Y$6</f>
        <v>-1.9500000000000004</v>
      </c>
      <c r="AG179" s="17">
        <f>'Rolling report'!CZ179*'With Action'!$Y$6</f>
        <v>0</v>
      </c>
      <c r="AH179" s="17">
        <f>'Rolling report'!DA179*'With Action'!$Y$6</f>
        <v>0</v>
      </c>
      <c r="AI179" s="17">
        <f>'Rolling report'!DB179*'With Action'!$Y$6</f>
        <v>0</v>
      </c>
      <c r="AJ179" s="17">
        <f>'Rolling report'!DC179*'With Action'!$Y$6</f>
        <v>0</v>
      </c>
      <c r="AK179" s="17">
        <f>'Rolling report'!DD179*'With Action'!$Y$6</f>
        <v>0</v>
      </c>
      <c r="AL179" s="17">
        <f>'Rolling report'!DE179*'With Action'!$Y$6</f>
        <v>0</v>
      </c>
      <c r="AM179" s="17">
        <f>'Rolling report'!DF179*'With Action'!$Y$6</f>
        <v>0</v>
      </c>
      <c r="AN179" s="17">
        <f>'Rolling report'!DG179*'With Action'!$Y$6</f>
        <v>0</v>
      </c>
      <c r="AO179" s="17">
        <f>'Rolling report'!DH179*'With Action'!$Y$6</f>
        <v>0</v>
      </c>
      <c r="AP179" s="17">
        <f>'Rolling report'!DI179*'With Action'!$Y$6</f>
        <v>0</v>
      </c>
    </row>
    <row r="180" spans="1:42" x14ac:dyDescent="0.25">
      <c r="A180" s="4" t="s">
        <v>399</v>
      </c>
      <c r="B180" s="6" t="s">
        <v>400</v>
      </c>
      <c r="I180" s="17">
        <f>'Rolling report'!CB180*'With Action'!$Y$6</f>
        <v>2.2500000000000004</v>
      </c>
      <c r="J180" s="17">
        <f>'Rolling report'!CC180*'With Action'!$Y$6</f>
        <v>0.25000000000000006</v>
      </c>
      <c r="K180" s="17">
        <f>'Rolling report'!CD180*'With Action'!$Y$6</f>
        <v>0</v>
      </c>
      <c r="L180" s="17">
        <f>'Rolling report'!CE180*'With Action'!$Y$6</f>
        <v>0.60000000000000009</v>
      </c>
      <c r="M180" s="17">
        <f>'Rolling report'!CF180*'With Action'!$Y$6</f>
        <v>0.45000000000000007</v>
      </c>
      <c r="N180" s="17">
        <f>'Rolling report'!CG180*'With Action'!$Y$6</f>
        <v>0.25000000000000006</v>
      </c>
      <c r="O180" s="17">
        <f>'Rolling report'!CH180*'With Action'!$Y$6</f>
        <v>0.60000000000000009</v>
      </c>
      <c r="P180" s="17">
        <f>'Rolling report'!CI180*'With Action'!$Y$6</f>
        <v>0.10000000000000002</v>
      </c>
      <c r="Q180" s="17">
        <f>'Rolling report'!CJ180*'With Action'!$Y$6</f>
        <v>0.10000000000000002</v>
      </c>
      <c r="R180" s="17">
        <f>'Rolling report'!CK180*'With Action'!$Y$6</f>
        <v>0.10000000000000002</v>
      </c>
      <c r="S180" s="17">
        <f>'Rolling report'!CL180*'With Action'!$Y$6</f>
        <v>0.10000000000000002</v>
      </c>
      <c r="T180" s="17">
        <f>'Rolling report'!CM180*'With Action'!$Y$6</f>
        <v>0.35000000000000009</v>
      </c>
      <c r="U180" s="17">
        <f>'Rolling report'!CN180*'With Action'!$Y$6</f>
        <v>0</v>
      </c>
      <c r="V180" s="17">
        <f>'Rolling report'!CO180*'With Action'!$Y$6</f>
        <v>0</v>
      </c>
      <c r="W180" s="17">
        <f>'Rolling report'!CP180*'With Action'!$Y$6</f>
        <v>0</v>
      </c>
      <c r="X180" s="17">
        <f>'Rolling report'!CQ180*'With Action'!$Y$6</f>
        <v>5.000000000000001E-2</v>
      </c>
      <c r="Y180" s="17">
        <f>'Rolling report'!CR180*'With Action'!$Y$6</f>
        <v>0.20000000000000004</v>
      </c>
      <c r="Z180" s="17">
        <f>'Rolling report'!CS180*'With Action'!$Y$6</f>
        <v>5.000000000000001E-2</v>
      </c>
      <c r="AA180" s="17">
        <f>'Rolling report'!CT180*'With Action'!$Y$6</f>
        <v>0.15000000000000002</v>
      </c>
      <c r="AB180" s="17">
        <f>'Rolling report'!CU180*'With Action'!$Y$6</f>
        <v>0</v>
      </c>
      <c r="AC180" s="17">
        <f>'Rolling report'!CV180*'With Action'!$Y$6</f>
        <v>0.10000000000000002</v>
      </c>
      <c r="AD180" s="17">
        <f>'Rolling report'!CW180*'With Action'!$Y$6</f>
        <v>0.15000000000000002</v>
      </c>
      <c r="AE180" s="17">
        <f>'Rolling report'!CX180*'With Action'!$Y$6</f>
        <v>0.35000000000000009</v>
      </c>
      <c r="AF180" s="17">
        <f>'Rolling report'!CY180*'With Action'!$Y$6</f>
        <v>-6.2000000000000011</v>
      </c>
      <c r="AG180" s="17">
        <f>'Rolling report'!CZ180*'With Action'!$Y$6</f>
        <v>0</v>
      </c>
      <c r="AH180" s="17">
        <f>'Rolling report'!DA180*'With Action'!$Y$6</f>
        <v>0</v>
      </c>
      <c r="AI180" s="17">
        <f>'Rolling report'!DB180*'With Action'!$Y$6</f>
        <v>0</v>
      </c>
      <c r="AJ180" s="17">
        <f>'Rolling report'!DC180*'With Action'!$Y$6</f>
        <v>0</v>
      </c>
      <c r="AK180" s="17">
        <f>'Rolling report'!DD180*'With Action'!$Y$6</f>
        <v>0</v>
      </c>
      <c r="AL180" s="17">
        <f>'Rolling report'!DE180*'With Action'!$Y$6</f>
        <v>0</v>
      </c>
      <c r="AM180" s="17">
        <f>'Rolling report'!DF180*'With Action'!$Y$6</f>
        <v>0</v>
      </c>
      <c r="AN180" s="17">
        <f>'Rolling report'!DG180*'With Action'!$Y$6</f>
        <v>0</v>
      </c>
      <c r="AO180" s="17">
        <f>'Rolling report'!DH180*'With Action'!$Y$6</f>
        <v>0</v>
      </c>
      <c r="AP180" s="17">
        <f>'Rolling report'!DI180*'With Action'!$Y$6</f>
        <v>0</v>
      </c>
    </row>
    <row r="181" spans="1:42" x14ac:dyDescent="0.25">
      <c r="A181" s="4" t="s">
        <v>401</v>
      </c>
      <c r="B181" s="6" t="s">
        <v>402</v>
      </c>
      <c r="I181" s="17">
        <f>'Rolling report'!CB181*'With Action'!$Y$6</f>
        <v>1.2000000000000002</v>
      </c>
      <c r="J181" s="17">
        <f>'Rolling report'!CC181*'With Action'!$Y$6</f>
        <v>0.35000000000000009</v>
      </c>
      <c r="K181" s="17">
        <f>'Rolling report'!CD181*'With Action'!$Y$6</f>
        <v>0.35000000000000009</v>
      </c>
      <c r="L181" s="17">
        <f>'Rolling report'!CE181*'With Action'!$Y$6</f>
        <v>0.10000000000000002</v>
      </c>
      <c r="M181" s="17">
        <f>'Rolling report'!CF181*'With Action'!$Y$6</f>
        <v>0.15000000000000002</v>
      </c>
      <c r="N181" s="17">
        <f>'Rolling report'!CG181*'With Action'!$Y$6</f>
        <v>5.000000000000001E-2</v>
      </c>
      <c r="O181" s="17">
        <f>'Rolling report'!CH181*'With Action'!$Y$6</f>
        <v>0</v>
      </c>
      <c r="P181" s="17">
        <f>'Rolling report'!CI181*'With Action'!$Y$6</f>
        <v>0</v>
      </c>
      <c r="Q181" s="17">
        <f>'Rolling report'!CJ181*'With Action'!$Y$6</f>
        <v>0.10000000000000002</v>
      </c>
      <c r="R181" s="17">
        <f>'Rolling report'!CK181*'With Action'!$Y$6</f>
        <v>0.10000000000000002</v>
      </c>
      <c r="S181" s="17">
        <f>'Rolling report'!CL181*'With Action'!$Y$6</f>
        <v>0</v>
      </c>
      <c r="T181" s="17">
        <f>'Rolling report'!CM181*'With Action'!$Y$6</f>
        <v>0</v>
      </c>
      <c r="U181" s="17">
        <f>'Rolling report'!CN181*'With Action'!$Y$6</f>
        <v>0.15000000000000002</v>
      </c>
      <c r="V181" s="17">
        <f>'Rolling report'!CO181*'With Action'!$Y$6</f>
        <v>0</v>
      </c>
      <c r="W181" s="17">
        <f>'Rolling report'!CP181*'With Action'!$Y$6</f>
        <v>0</v>
      </c>
      <c r="X181" s="17">
        <f>'Rolling report'!CQ181*'With Action'!$Y$6</f>
        <v>0</v>
      </c>
      <c r="Y181" s="17">
        <f>'Rolling report'!CR181*'With Action'!$Y$6</f>
        <v>0</v>
      </c>
      <c r="Z181" s="17">
        <f>'Rolling report'!CS181*'With Action'!$Y$6</f>
        <v>0</v>
      </c>
      <c r="AA181" s="17">
        <f>'Rolling report'!CT181*'With Action'!$Y$6</f>
        <v>0</v>
      </c>
      <c r="AB181" s="17">
        <f>'Rolling report'!CU181*'With Action'!$Y$6</f>
        <v>0.20000000000000004</v>
      </c>
      <c r="AC181" s="17">
        <f>'Rolling report'!CV181*'With Action'!$Y$6</f>
        <v>0.30000000000000004</v>
      </c>
      <c r="AD181" s="17">
        <f>'Rolling report'!CW181*'With Action'!$Y$6</f>
        <v>0</v>
      </c>
      <c r="AE181" s="17">
        <f>'Rolling report'!CX181*'With Action'!$Y$6</f>
        <v>5.000000000000001E-2</v>
      </c>
      <c r="AF181" s="17">
        <f>'Rolling report'!CY181*'With Action'!$Y$6</f>
        <v>-3.1000000000000005</v>
      </c>
      <c r="AG181" s="17">
        <f>'Rolling report'!CZ181*'With Action'!$Y$6</f>
        <v>0</v>
      </c>
      <c r="AH181" s="17">
        <f>'Rolling report'!DA181*'With Action'!$Y$6</f>
        <v>0</v>
      </c>
      <c r="AI181" s="17">
        <f>'Rolling report'!DB181*'With Action'!$Y$6</f>
        <v>0</v>
      </c>
      <c r="AJ181" s="17">
        <f>'Rolling report'!DC181*'With Action'!$Y$6</f>
        <v>0</v>
      </c>
      <c r="AK181" s="17">
        <f>'Rolling report'!DD181*'With Action'!$Y$6</f>
        <v>0</v>
      </c>
      <c r="AL181" s="17">
        <f>'Rolling report'!DE181*'With Action'!$Y$6</f>
        <v>0</v>
      </c>
      <c r="AM181" s="17">
        <f>'Rolling report'!DF181*'With Action'!$Y$6</f>
        <v>0</v>
      </c>
      <c r="AN181" s="17">
        <f>'Rolling report'!DG181*'With Action'!$Y$6</f>
        <v>0</v>
      </c>
      <c r="AO181" s="17">
        <f>'Rolling report'!DH181*'With Action'!$Y$6</f>
        <v>0</v>
      </c>
      <c r="AP181" s="17">
        <f>'Rolling report'!DI181*'With Action'!$Y$6</f>
        <v>0</v>
      </c>
    </row>
    <row r="182" spans="1:42" x14ac:dyDescent="0.25">
      <c r="A182" s="4" t="s">
        <v>403</v>
      </c>
      <c r="B182" s="6" t="s">
        <v>404</v>
      </c>
      <c r="I182" s="17">
        <f>'Rolling report'!CB182*'With Action'!$Y$6</f>
        <v>0.75000000000000011</v>
      </c>
      <c r="J182" s="17">
        <f>'Rolling report'!CC182*'With Action'!$Y$6</f>
        <v>0.25000000000000006</v>
      </c>
      <c r="K182" s="17">
        <f>'Rolling report'!CD182*'With Action'!$Y$6</f>
        <v>0.15000000000000002</v>
      </c>
      <c r="L182" s="17">
        <f>'Rolling report'!CE182*'With Action'!$Y$6</f>
        <v>0.30000000000000004</v>
      </c>
      <c r="M182" s="17">
        <f>'Rolling report'!CF182*'With Action'!$Y$6</f>
        <v>0</v>
      </c>
      <c r="N182" s="17">
        <f>'Rolling report'!CG182*'With Action'!$Y$6</f>
        <v>0</v>
      </c>
      <c r="O182" s="17">
        <f>'Rolling report'!CH182*'With Action'!$Y$6</f>
        <v>5.000000000000001E-2</v>
      </c>
      <c r="P182" s="17">
        <f>'Rolling report'!CI182*'With Action'!$Y$6</f>
        <v>0.10000000000000002</v>
      </c>
      <c r="Q182" s="17">
        <f>'Rolling report'!CJ182*'With Action'!$Y$6</f>
        <v>0</v>
      </c>
      <c r="R182" s="17">
        <f>'Rolling report'!CK182*'With Action'!$Y$6</f>
        <v>0.10000000000000002</v>
      </c>
      <c r="S182" s="17">
        <f>'Rolling report'!CL182*'With Action'!$Y$6</f>
        <v>0</v>
      </c>
      <c r="T182" s="17">
        <f>'Rolling report'!CM182*'With Action'!$Y$6</f>
        <v>5.000000000000001E-2</v>
      </c>
      <c r="U182" s="17">
        <f>'Rolling report'!CN182*'With Action'!$Y$6</f>
        <v>0.10000000000000002</v>
      </c>
      <c r="V182" s="17">
        <f>'Rolling report'!CO182*'With Action'!$Y$6</f>
        <v>0</v>
      </c>
      <c r="W182" s="17">
        <f>'Rolling report'!CP182*'With Action'!$Y$6</f>
        <v>0</v>
      </c>
      <c r="X182" s="17">
        <f>'Rolling report'!CQ182*'With Action'!$Y$6</f>
        <v>0.10000000000000002</v>
      </c>
      <c r="Y182" s="17">
        <f>'Rolling report'!CR182*'With Action'!$Y$6</f>
        <v>0.15000000000000002</v>
      </c>
      <c r="Z182" s="17">
        <f>'Rolling report'!CS182*'With Action'!$Y$6</f>
        <v>0</v>
      </c>
      <c r="AA182" s="17">
        <f>'Rolling report'!CT182*'With Action'!$Y$6</f>
        <v>0</v>
      </c>
      <c r="AB182" s="17">
        <f>'Rolling report'!CU182*'With Action'!$Y$6</f>
        <v>0</v>
      </c>
      <c r="AC182" s="17">
        <f>'Rolling report'!CV182*'With Action'!$Y$6</f>
        <v>0</v>
      </c>
      <c r="AD182" s="17">
        <f>'Rolling report'!CW182*'With Action'!$Y$6</f>
        <v>0</v>
      </c>
      <c r="AE182" s="17">
        <f>'Rolling report'!CX182*'With Action'!$Y$6</f>
        <v>0</v>
      </c>
      <c r="AF182" s="17">
        <f>'Rolling report'!CY182*'With Action'!$Y$6</f>
        <v>-2.1000000000000005</v>
      </c>
      <c r="AG182" s="17">
        <f>'Rolling report'!CZ182*'With Action'!$Y$6</f>
        <v>0</v>
      </c>
      <c r="AH182" s="17">
        <f>'Rolling report'!DA182*'With Action'!$Y$6</f>
        <v>0</v>
      </c>
      <c r="AI182" s="17">
        <f>'Rolling report'!DB182*'With Action'!$Y$6</f>
        <v>0</v>
      </c>
      <c r="AJ182" s="17">
        <f>'Rolling report'!DC182*'With Action'!$Y$6</f>
        <v>0</v>
      </c>
      <c r="AK182" s="17">
        <f>'Rolling report'!DD182*'With Action'!$Y$6</f>
        <v>0</v>
      </c>
      <c r="AL182" s="17">
        <f>'Rolling report'!DE182*'With Action'!$Y$6</f>
        <v>0</v>
      </c>
      <c r="AM182" s="17">
        <f>'Rolling report'!DF182*'With Action'!$Y$6</f>
        <v>0</v>
      </c>
      <c r="AN182" s="17">
        <f>'Rolling report'!DG182*'With Action'!$Y$6</f>
        <v>0</v>
      </c>
      <c r="AO182" s="17">
        <f>'Rolling report'!DH182*'With Action'!$Y$6</f>
        <v>0</v>
      </c>
      <c r="AP182" s="17">
        <f>'Rolling report'!DI182*'With Action'!$Y$6</f>
        <v>0</v>
      </c>
    </row>
    <row r="183" spans="1:42" x14ac:dyDescent="0.25">
      <c r="A183" s="4" t="s">
        <v>405</v>
      </c>
      <c r="B183" s="6" t="s">
        <v>406</v>
      </c>
      <c r="I183" s="17">
        <f>'Rolling report'!CB183*'With Action'!$Y$6</f>
        <v>1.1000000000000003</v>
      </c>
      <c r="J183" s="17">
        <f>'Rolling report'!CC183*'With Action'!$Y$6</f>
        <v>0.20000000000000004</v>
      </c>
      <c r="K183" s="17">
        <f>'Rolling report'!CD183*'With Action'!$Y$6</f>
        <v>5.000000000000001E-2</v>
      </c>
      <c r="L183" s="17">
        <f>'Rolling report'!CE183*'With Action'!$Y$6</f>
        <v>0.10000000000000002</v>
      </c>
      <c r="M183" s="17">
        <f>'Rolling report'!CF183*'With Action'!$Y$6</f>
        <v>0.20000000000000004</v>
      </c>
      <c r="N183" s="17">
        <f>'Rolling report'!CG183*'With Action'!$Y$6</f>
        <v>0</v>
      </c>
      <c r="O183" s="17">
        <f>'Rolling report'!CH183*'With Action'!$Y$6</f>
        <v>0.40000000000000008</v>
      </c>
      <c r="P183" s="17">
        <f>'Rolling report'!CI183*'With Action'!$Y$6</f>
        <v>5.000000000000001E-2</v>
      </c>
      <c r="Q183" s="17">
        <f>'Rolling report'!CJ183*'With Action'!$Y$6</f>
        <v>5.000000000000001E-2</v>
      </c>
      <c r="R183" s="17">
        <f>'Rolling report'!CK183*'With Action'!$Y$6</f>
        <v>0.10000000000000002</v>
      </c>
      <c r="S183" s="17">
        <f>'Rolling report'!CL183*'With Action'!$Y$6</f>
        <v>0</v>
      </c>
      <c r="T183" s="17">
        <f>'Rolling report'!CM183*'With Action'!$Y$6</f>
        <v>0</v>
      </c>
      <c r="U183" s="17">
        <f>'Rolling report'!CN183*'With Action'!$Y$6</f>
        <v>0</v>
      </c>
      <c r="V183" s="17">
        <f>'Rolling report'!CO183*'With Action'!$Y$6</f>
        <v>0.40000000000000008</v>
      </c>
      <c r="W183" s="17">
        <f>'Rolling report'!CP183*'With Action'!$Y$6</f>
        <v>0</v>
      </c>
      <c r="X183" s="17">
        <f>'Rolling report'!CQ183*'With Action'!$Y$6</f>
        <v>0</v>
      </c>
      <c r="Y183" s="17">
        <f>'Rolling report'!CR183*'With Action'!$Y$6</f>
        <v>0.10000000000000002</v>
      </c>
      <c r="Z183" s="17">
        <f>'Rolling report'!CS183*'With Action'!$Y$6</f>
        <v>0</v>
      </c>
      <c r="AA183" s="17">
        <f>'Rolling report'!CT183*'With Action'!$Y$6</f>
        <v>5.000000000000001E-2</v>
      </c>
      <c r="AB183" s="17">
        <f>'Rolling report'!CU183*'With Action'!$Y$6</f>
        <v>0</v>
      </c>
      <c r="AC183" s="17">
        <f>'Rolling report'!CV183*'With Action'!$Y$6</f>
        <v>0.15000000000000002</v>
      </c>
      <c r="AD183" s="17">
        <f>'Rolling report'!CW183*'With Action'!$Y$6</f>
        <v>5.000000000000001E-2</v>
      </c>
      <c r="AE183" s="17">
        <f>'Rolling report'!CX183*'With Action'!$Y$6</f>
        <v>0.10000000000000002</v>
      </c>
      <c r="AF183" s="17">
        <f>'Rolling report'!CY183*'With Action'!$Y$6</f>
        <v>-3.1000000000000005</v>
      </c>
      <c r="AG183" s="17">
        <f>'Rolling report'!CZ183*'With Action'!$Y$6</f>
        <v>0</v>
      </c>
      <c r="AH183" s="17">
        <f>'Rolling report'!DA183*'With Action'!$Y$6</f>
        <v>0</v>
      </c>
      <c r="AI183" s="17">
        <f>'Rolling report'!DB183*'With Action'!$Y$6</f>
        <v>0</v>
      </c>
      <c r="AJ183" s="17">
        <f>'Rolling report'!DC183*'With Action'!$Y$6</f>
        <v>0</v>
      </c>
      <c r="AK183" s="17">
        <f>'Rolling report'!DD183*'With Action'!$Y$6</f>
        <v>0</v>
      </c>
      <c r="AL183" s="17">
        <f>'Rolling report'!DE183*'With Action'!$Y$6</f>
        <v>0</v>
      </c>
      <c r="AM183" s="17">
        <f>'Rolling report'!DF183*'With Action'!$Y$6</f>
        <v>0</v>
      </c>
      <c r="AN183" s="17">
        <f>'Rolling report'!DG183*'With Action'!$Y$6</f>
        <v>0</v>
      </c>
      <c r="AO183" s="17">
        <f>'Rolling report'!DH183*'With Action'!$Y$6</f>
        <v>0</v>
      </c>
      <c r="AP183" s="17">
        <f>'Rolling report'!DI183*'With Action'!$Y$6</f>
        <v>0</v>
      </c>
    </row>
    <row r="184" spans="1:42" x14ac:dyDescent="0.25">
      <c r="A184" s="4" t="s">
        <v>407</v>
      </c>
      <c r="B184" s="6" t="s">
        <v>408</v>
      </c>
      <c r="I184" s="17">
        <f>'Rolling report'!CB184*'With Action'!$Y$6</f>
        <v>1.8500000000000003</v>
      </c>
      <c r="J184" s="17">
        <f>'Rolling report'!CC184*'With Action'!$Y$6</f>
        <v>0.10000000000000002</v>
      </c>
      <c r="K184" s="17">
        <f>'Rolling report'!CD184*'With Action'!$Y$6</f>
        <v>0.25000000000000006</v>
      </c>
      <c r="L184" s="17">
        <f>'Rolling report'!CE184*'With Action'!$Y$6</f>
        <v>5.000000000000001E-2</v>
      </c>
      <c r="M184" s="17">
        <f>'Rolling report'!CF184*'With Action'!$Y$6</f>
        <v>0.15000000000000002</v>
      </c>
      <c r="N184" s="17">
        <f>'Rolling report'!CG184*'With Action'!$Y$6</f>
        <v>5.000000000000001E-2</v>
      </c>
      <c r="O184" s="17">
        <f>'Rolling report'!CH184*'With Action'!$Y$6</f>
        <v>0</v>
      </c>
      <c r="P184" s="17">
        <f>'Rolling report'!CI184*'With Action'!$Y$6</f>
        <v>0</v>
      </c>
      <c r="Q184" s="17">
        <f>'Rolling report'!CJ184*'With Action'!$Y$6</f>
        <v>0</v>
      </c>
      <c r="R184" s="17">
        <f>'Rolling report'!CK184*'With Action'!$Y$6</f>
        <v>0.15000000000000002</v>
      </c>
      <c r="S184" s="17">
        <f>'Rolling report'!CL184*'With Action'!$Y$6</f>
        <v>0.20000000000000004</v>
      </c>
      <c r="T184" s="17">
        <f>'Rolling report'!CM184*'With Action'!$Y$6</f>
        <v>5.000000000000001E-2</v>
      </c>
      <c r="U184" s="17">
        <f>'Rolling report'!CN184*'With Action'!$Y$6</f>
        <v>0.15000000000000002</v>
      </c>
      <c r="V184" s="17">
        <f>'Rolling report'!CO184*'With Action'!$Y$6</f>
        <v>0</v>
      </c>
      <c r="W184" s="17">
        <f>'Rolling report'!CP184*'With Action'!$Y$6</f>
        <v>0</v>
      </c>
      <c r="X184" s="17">
        <f>'Rolling report'!CQ184*'With Action'!$Y$6</f>
        <v>0.10000000000000002</v>
      </c>
      <c r="Y184" s="17">
        <f>'Rolling report'!CR184*'With Action'!$Y$6</f>
        <v>0.15000000000000002</v>
      </c>
      <c r="Z184" s="17">
        <f>'Rolling report'!CS184*'With Action'!$Y$6</f>
        <v>0</v>
      </c>
      <c r="AA184" s="17">
        <f>'Rolling report'!CT184*'With Action'!$Y$6</f>
        <v>0.10000000000000002</v>
      </c>
      <c r="AB184" s="17">
        <f>'Rolling report'!CU184*'With Action'!$Y$6</f>
        <v>0</v>
      </c>
      <c r="AC184" s="17">
        <f>'Rolling report'!CV184*'With Action'!$Y$6</f>
        <v>0.20000000000000004</v>
      </c>
      <c r="AD184" s="17">
        <f>'Rolling report'!CW184*'With Action'!$Y$6</f>
        <v>0</v>
      </c>
      <c r="AE184" s="17">
        <f>'Rolling report'!CX184*'With Action'!$Y$6</f>
        <v>0.15000000000000002</v>
      </c>
      <c r="AF184" s="17">
        <f>'Rolling report'!CY184*'With Action'!$Y$6</f>
        <v>-3.7000000000000006</v>
      </c>
      <c r="AG184" s="17">
        <f>'Rolling report'!CZ184*'With Action'!$Y$6</f>
        <v>0</v>
      </c>
      <c r="AH184" s="17">
        <f>'Rolling report'!DA184*'With Action'!$Y$6</f>
        <v>0</v>
      </c>
      <c r="AI184" s="17">
        <f>'Rolling report'!DB184*'With Action'!$Y$6</f>
        <v>0</v>
      </c>
      <c r="AJ184" s="17">
        <f>'Rolling report'!DC184*'With Action'!$Y$6</f>
        <v>0</v>
      </c>
      <c r="AK184" s="17">
        <f>'Rolling report'!DD184*'With Action'!$Y$6</f>
        <v>0</v>
      </c>
      <c r="AL184" s="17">
        <f>'Rolling report'!DE184*'With Action'!$Y$6</f>
        <v>0</v>
      </c>
      <c r="AM184" s="17">
        <f>'Rolling report'!DF184*'With Action'!$Y$6</f>
        <v>0</v>
      </c>
      <c r="AN184" s="17">
        <f>'Rolling report'!DG184*'With Action'!$Y$6</f>
        <v>0</v>
      </c>
      <c r="AO184" s="17">
        <f>'Rolling report'!DH184*'With Action'!$Y$6</f>
        <v>0</v>
      </c>
      <c r="AP184" s="17">
        <f>'Rolling report'!DI184*'With Action'!$Y$6</f>
        <v>0</v>
      </c>
    </row>
    <row r="185" spans="1:42" x14ac:dyDescent="0.25">
      <c r="A185" s="4" t="s">
        <v>409</v>
      </c>
      <c r="B185" s="6" t="s">
        <v>410</v>
      </c>
      <c r="I185" s="17">
        <f>'Rolling report'!CB185*'With Action'!$Y$6</f>
        <v>0.70000000000000018</v>
      </c>
      <c r="J185" s="17">
        <f>'Rolling report'!CC185*'With Action'!$Y$6</f>
        <v>0.15000000000000002</v>
      </c>
      <c r="K185" s="17">
        <f>'Rolling report'!CD185*'With Action'!$Y$6</f>
        <v>0.25000000000000006</v>
      </c>
      <c r="L185" s="17">
        <f>'Rolling report'!CE185*'With Action'!$Y$6</f>
        <v>0.10000000000000002</v>
      </c>
      <c r="M185" s="17">
        <f>'Rolling report'!CF185*'With Action'!$Y$6</f>
        <v>0.10000000000000002</v>
      </c>
      <c r="N185" s="17">
        <f>'Rolling report'!CG185*'With Action'!$Y$6</f>
        <v>-5.000000000000001E-2</v>
      </c>
      <c r="O185" s="17">
        <f>'Rolling report'!CH185*'With Action'!$Y$6</f>
        <v>0.15000000000000002</v>
      </c>
      <c r="P185" s="17">
        <f>'Rolling report'!CI185*'With Action'!$Y$6</f>
        <v>5.000000000000001E-2</v>
      </c>
      <c r="Q185" s="17">
        <f>'Rolling report'!CJ185*'With Action'!$Y$6</f>
        <v>0.15000000000000002</v>
      </c>
      <c r="R185" s="17">
        <f>'Rolling report'!CK185*'With Action'!$Y$6</f>
        <v>0</v>
      </c>
      <c r="S185" s="17">
        <f>'Rolling report'!CL185*'With Action'!$Y$6</f>
        <v>0.10000000000000002</v>
      </c>
      <c r="T185" s="17">
        <f>'Rolling report'!CM185*'With Action'!$Y$6</f>
        <v>0.25000000000000006</v>
      </c>
      <c r="U185" s="17">
        <f>'Rolling report'!CN185*'With Action'!$Y$6</f>
        <v>0</v>
      </c>
      <c r="V185" s="17">
        <f>'Rolling report'!CO185*'With Action'!$Y$6</f>
        <v>0</v>
      </c>
      <c r="W185" s="17">
        <f>'Rolling report'!CP185*'With Action'!$Y$6</f>
        <v>0</v>
      </c>
      <c r="X185" s="17">
        <f>'Rolling report'!CQ185*'With Action'!$Y$6</f>
        <v>0</v>
      </c>
      <c r="Y185" s="17">
        <f>'Rolling report'!CR185*'With Action'!$Y$6</f>
        <v>0</v>
      </c>
      <c r="Z185" s="17">
        <f>'Rolling report'!CS185*'With Action'!$Y$6</f>
        <v>0</v>
      </c>
      <c r="AA185" s="17">
        <f>'Rolling report'!CT185*'With Action'!$Y$6</f>
        <v>0</v>
      </c>
      <c r="AB185" s="17">
        <f>'Rolling report'!CU185*'With Action'!$Y$6</f>
        <v>0</v>
      </c>
      <c r="AC185" s="17">
        <f>'Rolling report'!CV185*'With Action'!$Y$6</f>
        <v>0</v>
      </c>
      <c r="AD185" s="17">
        <f>'Rolling report'!CW185*'With Action'!$Y$6</f>
        <v>0</v>
      </c>
      <c r="AE185" s="17">
        <f>'Rolling report'!CX185*'With Action'!$Y$6</f>
        <v>0</v>
      </c>
      <c r="AF185" s="17">
        <f>'Rolling report'!CY185*'With Action'!$Y$6</f>
        <v>-1.9500000000000004</v>
      </c>
      <c r="AG185" s="17">
        <f>'Rolling report'!CZ185*'With Action'!$Y$6</f>
        <v>0</v>
      </c>
      <c r="AH185" s="17">
        <f>'Rolling report'!DA185*'With Action'!$Y$6</f>
        <v>0</v>
      </c>
      <c r="AI185" s="17">
        <f>'Rolling report'!DB185*'With Action'!$Y$6</f>
        <v>0</v>
      </c>
      <c r="AJ185" s="17">
        <f>'Rolling report'!DC185*'With Action'!$Y$6</f>
        <v>0</v>
      </c>
      <c r="AK185" s="17">
        <f>'Rolling report'!DD185*'With Action'!$Y$6</f>
        <v>0</v>
      </c>
      <c r="AL185" s="17">
        <f>'Rolling report'!DE185*'With Action'!$Y$6</f>
        <v>0</v>
      </c>
      <c r="AM185" s="17">
        <f>'Rolling report'!DF185*'With Action'!$Y$6</f>
        <v>0</v>
      </c>
      <c r="AN185" s="17">
        <f>'Rolling report'!DG185*'With Action'!$Y$6</f>
        <v>0</v>
      </c>
      <c r="AO185" s="17">
        <f>'Rolling report'!DH185*'With Action'!$Y$6</f>
        <v>0</v>
      </c>
      <c r="AP185" s="17">
        <f>'Rolling report'!DI185*'With Action'!$Y$6</f>
        <v>0</v>
      </c>
    </row>
    <row r="186" spans="1:42" x14ac:dyDescent="0.25">
      <c r="A186" s="4" t="s">
        <v>411</v>
      </c>
      <c r="B186" s="6" t="s">
        <v>412</v>
      </c>
      <c r="I186" s="17">
        <f>'Rolling report'!CB186*'With Action'!$Y$6</f>
        <v>0.90000000000000013</v>
      </c>
      <c r="J186" s="17">
        <f>'Rolling report'!CC186*'With Action'!$Y$6</f>
        <v>0.55000000000000016</v>
      </c>
      <c r="K186" s="17">
        <f>'Rolling report'!CD186*'With Action'!$Y$6</f>
        <v>0.15000000000000002</v>
      </c>
      <c r="L186" s="17">
        <f>'Rolling report'!CE186*'With Action'!$Y$6</f>
        <v>0.10000000000000002</v>
      </c>
      <c r="M186" s="17">
        <f>'Rolling report'!CF186*'With Action'!$Y$6</f>
        <v>5.000000000000001E-2</v>
      </c>
      <c r="N186" s="17">
        <f>'Rolling report'!CG186*'With Action'!$Y$6</f>
        <v>0.15000000000000002</v>
      </c>
      <c r="O186" s="17">
        <f>'Rolling report'!CH186*'With Action'!$Y$6</f>
        <v>0.20000000000000004</v>
      </c>
      <c r="P186" s="17">
        <f>'Rolling report'!CI186*'With Action'!$Y$6</f>
        <v>0</v>
      </c>
      <c r="Q186" s="17">
        <f>'Rolling report'!CJ186*'With Action'!$Y$6</f>
        <v>0.20000000000000004</v>
      </c>
      <c r="R186" s="17">
        <f>'Rolling report'!CK186*'With Action'!$Y$6</f>
        <v>0</v>
      </c>
      <c r="S186" s="17">
        <f>'Rolling report'!CL186*'With Action'!$Y$6</f>
        <v>0.10000000000000002</v>
      </c>
      <c r="T186" s="17">
        <f>'Rolling report'!CM186*'With Action'!$Y$6</f>
        <v>0.20000000000000004</v>
      </c>
      <c r="U186" s="17">
        <f>'Rolling report'!CN186*'With Action'!$Y$6</f>
        <v>5.000000000000001E-2</v>
      </c>
      <c r="V186" s="17">
        <f>'Rolling report'!CO186*'With Action'!$Y$6</f>
        <v>0</v>
      </c>
      <c r="W186" s="17">
        <f>'Rolling report'!CP186*'With Action'!$Y$6</f>
        <v>0</v>
      </c>
      <c r="X186" s="17">
        <f>'Rolling report'!CQ186*'With Action'!$Y$6</f>
        <v>5.000000000000001E-2</v>
      </c>
      <c r="Y186" s="17">
        <f>'Rolling report'!CR186*'With Action'!$Y$6</f>
        <v>0</v>
      </c>
      <c r="Z186" s="17">
        <f>'Rolling report'!CS186*'With Action'!$Y$6</f>
        <v>0</v>
      </c>
      <c r="AA186" s="17">
        <f>'Rolling report'!CT186*'With Action'!$Y$6</f>
        <v>0</v>
      </c>
      <c r="AB186" s="17">
        <f>'Rolling report'!CU186*'With Action'!$Y$6</f>
        <v>0</v>
      </c>
      <c r="AC186" s="17">
        <f>'Rolling report'!CV186*'With Action'!$Y$6</f>
        <v>0.15000000000000002</v>
      </c>
      <c r="AD186" s="17">
        <f>'Rolling report'!CW186*'With Action'!$Y$6</f>
        <v>0</v>
      </c>
      <c r="AE186" s="17">
        <f>'Rolling report'!CX186*'With Action'!$Y$6</f>
        <v>0</v>
      </c>
      <c r="AF186" s="17">
        <f>'Rolling report'!CY186*'With Action'!$Y$6</f>
        <v>-2.8500000000000005</v>
      </c>
      <c r="AG186" s="17">
        <f>'Rolling report'!CZ186*'With Action'!$Y$6</f>
        <v>0</v>
      </c>
      <c r="AH186" s="17">
        <f>'Rolling report'!DA186*'With Action'!$Y$6</f>
        <v>0</v>
      </c>
      <c r="AI186" s="17">
        <f>'Rolling report'!DB186*'With Action'!$Y$6</f>
        <v>0</v>
      </c>
      <c r="AJ186" s="17">
        <f>'Rolling report'!DC186*'With Action'!$Y$6</f>
        <v>0</v>
      </c>
      <c r="AK186" s="17">
        <f>'Rolling report'!DD186*'With Action'!$Y$6</f>
        <v>0</v>
      </c>
      <c r="AL186" s="17">
        <f>'Rolling report'!DE186*'With Action'!$Y$6</f>
        <v>0</v>
      </c>
      <c r="AM186" s="17">
        <f>'Rolling report'!DF186*'With Action'!$Y$6</f>
        <v>0</v>
      </c>
      <c r="AN186" s="17">
        <f>'Rolling report'!DG186*'With Action'!$Y$6</f>
        <v>0</v>
      </c>
      <c r="AO186" s="17">
        <f>'Rolling report'!DH186*'With Action'!$Y$6</f>
        <v>0</v>
      </c>
      <c r="AP186" s="17">
        <f>'Rolling report'!DI186*'With Action'!$Y$6</f>
        <v>0</v>
      </c>
    </row>
    <row r="187" spans="1:42" x14ac:dyDescent="0.25">
      <c r="A187" s="4" t="s">
        <v>413</v>
      </c>
      <c r="B187" s="6" t="s">
        <v>414</v>
      </c>
      <c r="I187" s="17">
        <f>'Rolling report'!CB187*'With Action'!$Y$6</f>
        <v>5.9000000000000012</v>
      </c>
      <c r="J187" s="17">
        <f>'Rolling report'!CC187*'With Action'!$Y$6</f>
        <v>0.95000000000000018</v>
      </c>
      <c r="K187" s="17">
        <f>'Rolling report'!CD187*'With Action'!$Y$6</f>
        <v>1.0000000000000002</v>
      </c>
      <c r="L187" s="17">
        <f>'Rolling report'!CE187*'With Action'!$Y$6</f>
        <v>0.55000000000000016</v>
      </c>
      <c r="M187" s="17">
        <f>'Rolling report'!CF187*'With Action'!$Y$6</f>
        <v>0.50000000000000011</v>
      </c>
      <c r="N187" s="17">
        <f>'Rolling report'!CG187*'With Action'!$Y$6</f>
        <v>0.35000000000000009</v>
      </c>
      <c r="O187" s="17">
        <f>'Rolling report'!CH187*'With Action'!$Y$6</f>
        <v>0.80000000000000016</v>
      </c>
      <c r="P187" s="17">
        <f>'Rolling report'!CI187*'With Action'!$Y$6</f>
        <v>1.1000000000000003</v>
      </c>
      <c r="Q187" s="17">
        <f>'Rolling report'!CJ187*'With Action'!$Y$6</f>
        <v>0.75000000000000011</v>
      </c>
      <c r="R187" s="17">
        <f>'Rolling report'!CK187*'With Action'!$Y$6</f>
        <v>0.8500000000000002</v>
      </c>
      <c r="S187" s="17">
        <f>'Rolling report'!CL187*'With Action'!$Y$6</f>
        <v>0.25000000000000006</v>
      </c>
      <c r="T187" s="17">
        <f>'Rolling report'!CM187*'With Action'!$Y$6</f>
        <v>0.80000000000000016</v>
      </c>
      <c r="U187" s="17">
        <f>'Rolling report'!CN187*'With Action'!$Y$6</f>
        <v>0.20000000000000004</v>
      </c>
      <c r="V187" s="17">
        <f>'Rolling report'!CO187*'With Action'!$Y$6</f>
        <v>0.35000000000000009</v>
      </c>
      <c r="W187" s="17">
        <f>'Rolling report'!CP187*'With Action'!$Y$6</f>
        <v>0.10000000000000002</v>
      </c>
      <c r="X187" s="17">
        <f>'Rolling report'!CQ187*'With Action'!$Y$6</f>
        <v>0.15000000000000002</v>
      </c>
      <c r="Y187" s="17">
        <f>'Rolling report'!CR187*'With Action'!$Y$6</f>
        <v>0.20000000000000004</v>
      </c>
      <c r="Z187" s="17">
        <f>'Rolling report'!CS187*'With Action'!$Y$6</f>
        <v>0.55000000000000016</v>
      </c>
      <c r="AA187" s="17">
        <f>'Rolling report'!CT187*'With Action'!$Y$6</f>
        <v>0.25000000000000006</v>
      </c>
      <c r="AB187" s="17">
        <f>'Rolling report'!CU187*'With Action'!$Y$6</f>
        <v>0.30000000000000004</v>
      </c>
      <c r="AC187" s="17">
        <f>'Rolling report'!CV187*'With Action'!$Y$6</f>
        <v>0.10000000000000002</v>
      </c>
      <c r="AD187" s="17">
        <f>'Rolling report'!CW187*'With Action'!$Y$6</f>
        <v>0.15000000000000002</v>
      </c>
      <c r="AE187" s="17">
        <f>'Rolling report'!CX187*'With Action'!$Y$6</f>
        <v>0.30000000000000004</v>
      </c>
      <c r="AF187" s="17">
        <f>'Rolling report'!CY187*'With Action'!$Y$6</f>
        <v>-16.450000000000003</v>
      </c>
      <c r="AG187" s="17">
        <f>'Rolling report'!CZ187*'With Action'!$Y$6</f>
        <v>0</v>
      </c>
      <c r="AH187" s="17">
        <f>'Rolling report'!DA187*'With Action'!$Y$6</f>
        <v>0</v>
      </c>
      <c r="AI187" s="17">
        <f>'Rolling report'!DB187*'With Action'!$Y$6</f>
        <v>0</v>
      </c>
      <c r="AJ187" s="17">
        <f>'Rolling report'!DC187*'With Action'!$Y$6</f>
        <v>0</v>
      </c>
      <c r="AK187" s="17">
        <f>'Rolling report'!DD187*'With Action'!$Y$6</f>
        <v>0</v>
      </c>
      <c r="AL187" s="17">
        <f>'Rolling report'!DE187*'With Action'!$Y$6</f>
        <v>0</v>
      </c>
      <c r="AM187" s="17">
        <f>'Rolling report'!DF187*'With Action'!$Y$6</f>
        <v>0</v>
      </c>
      <c r="AN187" s="17">
        <f>'Rolling report'!DG187*'With Action'!$Y$6</f>
        <v>0</v>
      </c>
      <c r="AO187" s="17">
        <f>'Rolling report'!DH187*'With Action'!$Y$6</f>
        <v>0</v>
      </c>
      <c r="AP187" s="17">
        <f>'Rolling report'!DI187*'With Action'!$Y$6</f>
        <v>0</v>
      </c>
    </row>
    <row r="188" spans="1:42" x14ac:dyDescent="0.25">
      <c r="A188" s="4" t="s">
        <v>415</v>
      </c>
      <c r="B188" s="6" t="s">
        <v>416</v>
      </c>
      <c r="I188" s="17">
        <f>'Rolling report'!CB188*'With Action'!$Y$6</f>
        <v>4.4000000000000012</v>
      </c>
      <c r="J188" s="17">
        <f>'Rolling report'!CC188*'With Action'!$Y$6</f>
        <v>0.30000000000000004</v>
      </c>
      <c r="K188" s="17">
        <f>'Rolling report'!CD188*'With Action'!$Y$6</f>
        <v>0.75000000000000011</v>
      </c>
      <c r="L188" s="17">
        <f>'Rolling report'!CE188*'With Action'!$Y$6</f>
        <v>0.50000000000000011</v>
      </c>
      <c r="M188" s="17">
        <f>'Rolling report'!CF188*'With Action'!$Y$6</f>
        <v>0.35000000000000009</v>
      </c>
      <c r="N188" s="17">
        <f>'Rolling report'!CG188*'With Action'!$Y$6</f>
        <v>0.45000000000000007</v>
      </c>
      <c r="O188" s="17">
        <f>'Rolling report'!CH188*'With Action'!$Y$6</f>
        <v>1.0500000000000003</v>
      </c>
      <c r="P188" s="17">
        <f>'Rolling report'!CI188*'With Action'!$Y$6</f>
        <v>0.35000000000000009</v>
      </c>
      <c r="Q188" s="17">
        <f>'Rolling report'!CJ188*'With Action'!$Y$6</f>
        <v>0.35000000000000009</v>
      </c>
      <c r="R188" s="17">
        <f>'Rolling report'!CK188*'With Action'!$Y$6</f>
        <v>0.90000000000000013</v>
      </c>
      <c r="S188" s="17">
        <f>'Rolling report'!CL188*'With Action'!$Y$6</f>
        <v>0.20000000000000004</v>
      </c>
      <c r="T188" s="17">
        <f>'Rolling report'!CM188*'With Action'!$Y$6</f>
        <v>0.55000000000000016</v>
      </c>
      <c r="U188" s="17">
        <f>'Rolling report'!CN188*'With Action'!$Y$6</f>
        <v>0.25000000000000006</v>
      </c>
      <c r="V188" s="17">
        <f>'Rolling report'!CO188*'With Action'!$Y$6</f>
        <v>0.25000000000000006</v>
      </c>
      <c r="W188" s="17">
        <f>'Rolling report'!CP188*'With Action'!$Y$6</f>
        <v>5.000000000000001E-2</v>
      </c>
      <c r="X188" s="17">
        <f>'Rolling report'!CQ188*'With Action'!$Y$6</f>
        <v>0</v>
      </c>
      <c r="Y188" s="17">
        <f>'Rolling report'!CR188*'With Action'!$Y$6</f>
        <v>0.40000000000000008</v>
      </c>
      <c r="Z188" s="17">
        <f>'Rolling report'!CS188*'With Action'!$Y$6</f>
        <v>0.25000000000000006</v>
      </c>
      <c r="AA188" s="17">
        <f>'Rolling report'!CT188*'With Action'!$Y$6</f>
        <v>0.30000000000000004</v>
      </c>
      <c r="AB188" s="17">
        <f>'Rolling report'!CU188*'With Action'!$Y$6</f>
        <v>0.35000000000000009</v>
      </c>
      <c r="AC188" s="17">
        <f>'Rolling report'!CV188*'With Action'!$Y$6</f>
        <v>0.25000000000000006</v>
      </c>
      <c r="AD188" s="17">
        <f>'Rolling report'!CW188*'With Action'!$Y$6</f>
        <v>0.20000000000000004</v>
      </c>
      <c r="AE188" s="17">
        <f>'Rolling report'!CX188*'With Action'!$Y$6</f>
        <v>-0.10000000000000002</v>
      </c>
      <c r="AF188" s="17">
        <f>'Rolling report'!CY188*'With Action'!$Y$6</f>
        <v>-12.350000000000003</v>
      </c>
      <c r="AG188" s="17">
        <f>'Rolling report'!CZ188*'With Action'!$Y$6</f>
        <v>0</v>
      </c>
      <c r="AH188" s="17">
        <f>'Rolling report'!DA188*'With Action'!$Y$6</f>
        <v>0</v>
      </c>
      <c r="AI188" s="17">
        <f>'Rolling report'!DB188*'With Action'!$Y$6</f>
        <v>0</v>
      </c>
      <c r="AJ188" s="17">
        <f>'Rolling report'!DC188*'With Action'!$Y$6</f>
        <v>0</v>
      </c>
      <c r="AK188" s="17">
        <f>'Rolling report'!DD188*'With Action'!$Y$6</f>
        <v>0</v>
      </c>
      <c r="AL188" s="17">
        <f>'Rolling report'!DE188*'With Action'!$Y$6</f>
        <v>0</v>
      </c>
      <c r="AM188" s="17">
        <f>'Rolling report'!DF188*'With Action'!$Y$6</f>
        <v>0</v>
      </c>
      <c r="AN188" s="17">
        <f>'Rolling report'!DG188*'With Action'!$Y$6</f>
        <v>0</v>
      </c>
      <c r="AO188" s="17">
        <f>'Rolling report'!DH188*'With Action'!$Y$6</f>
        <v>0</v>
      </c>
      <c r="AP188" s="17">
        <f>'Rolling report'!DI188*'With Action'!$Y$6</f>
        <v>0</v>
      </c>
    </row>
    <row r="189" spans="1:42" x14ac:dyDescent="0.25">
      <c r="A189" s="4" t="s">
        <v>417</v>
      </c>
      <c r="B189" s="6" t="s">
        <v>418</v>
      </c>
      <c r="I189" s="17">
        <f>'Rolling report'!CB189*'With Action'!$Y$6</f>
        <v>3.4000000000000008</v>
      </c>
      <c r="J189" s="17">
        <f>'Rolling report'!CC189*'With Action'!$Y$6</f>
        <v>0.55000000000000016</v>
      </c>
      <c r="K189" s="17">
        <f>'Rolling report'!CD189*'With Action'!$Y$6</f>
        <v>0.25000000000000006</v>
      </c>
      <c r="L189" s="17">
        <f>'Rolling report'!CE189*'With Action'!$Y$6</f>
        <v>0.40000000000000008</v>
      </c>
      <c r="M189" s="17">
        <f>'Rolling report'!CF189*'With Action'!$Y$6</f>
        <v>0.8500000000000002</v>
      </c>
      <c r="N189" s="17">
        <f>'Rolling report'!CG189*'With Action'!$Y$6</f>
        <v>0.70000000000000018</v>
      </c>
      <c r="O189" s="17">
        <f>'Rolling report'!CH189*'With Action'!$Y$6</f>
        <v>0.45000000000000007</v>
      </c>
      <c r="P189" s="17">
        <f>'Rolling report'!CI189*'With Action'!$Y$6</f>
        <v>0</v>
      </c>
      <c r="Q189" s="17">
        <f>'Rolling report'!CJ189*'With Action'!$Y$6</f>
        <v>0.8500000000000002</v>
      </c>
      <c r="R189" s="17">
        <f>'Rolling report'!CK189*'With Action'!$Y$6</f>
        <v>0.80000000000000016</v>
      </c>
      <c r="S189" s="17">
        <f>'Rolling report'!CL189*'With Action'!$Y$6</f>
        <v>0.65000000000000013</v>
      </c>
      <c r="T189" s="17">
        <f>'Rolling report'!CM189*'With Action'!$Y$6</f>
        <v>0.40000000000000008</v>
      </c>
      <c r="U189" s="17">
        <f>'Rolling report'!CN189*'With Action'!$Y$6</f>
        <v>0.35000000000000009</v>
      </c>
      <c r="V189" s="17">
        <f>'Rolling report'!CO189*'With Action'!$Y$6</f>
        <v>0.20000000000000004</v>
      </c>
      <c r="W189" s="17">
        <f>'Rolling report'!CP189*'With Action'!$Y$6</f>
        <v>0.10000000000000002</v>
      </c>
      <c r="X189" s="17">
        <f>'Rolling report'!CQ189*'With Action'!$Y$6</f>
        <v>0.10000000000000002</v>
      </c>
      <c r="Y189" s="17">
        <f>'Rolling report'!CR189*'With Action'!$Y$6</f>
        <v>0.15000000000000002</v>
      </c>
      <c r="Z189" s="17">
        <f>'Rolling report'!CS189*'With Action'!$Y$6</f>
        <v>0.30000000000000004</v>
      </c>
      <c r="AA189" s="17">
        <f>'Rolling report'!CT189*'With Action'!$Y$6</f>
        <v>0.30000000000000004</v>
      </c>
      <c r="AB189" s="17">
        <f>'Rolling report'!CU189*'With Action'!$Y$6</f>
        <v>0.30000000000000004</v>
      </c>
      <c r="AC189" s="17">
        <f>'Rolling report'!CV189*'With Action'!$Y$6</f>
        <v>0.30000000000000004</v>
      </c>
      <c r="AD189" s="17">
        <f>'Rolling report'!CW189*'With Action'!$Y$6</f>
        <v>-0.10000000000000002</v>
      </c>
      <c r="AE189" s="17">
        <f>'Rolling report'!CX189*'With Action'!$Y$6</f>
        <v>5.000000000000001E-2</v>
      </c>
      <c r="AF189" s="17">
        <f>'Rolling report'!CY189*'With Action'!$Y$6</f>
        <v>-11.350000000000001</v>
      </c>
      <c r="AG189" s="17">
        <f>'Rolling report'!CZ189*'With Action'!$Y$6</f>
        <v>0</v>
      </c>
      <c r="AH189" s="17">
        <f>'Rolling report'!DA189*'With Action'!$Y$6</f>
        <v>0</v>
      </c>
      <c r="AI189" s="17">
        <f>'Rolling report'!DB189*'With Action'!$Y$6</f>
        <v>0</v>
      </c>
      <c r="AJ189" s="17">
        <f>'Rolling report'!DC189*'With Action'!$Y$6</f>
        <v>0</v>
      </c>
      <c r="AK189" s="17">
        <f>'Rolling report'!DD189*'With Action'!$Y$6</f>
        <v>0</v>
      </c>
      <c r="AL189" s="17">
        <f>'Rolling report'!DE189*'With Action'!$Y$6</f>
        <v>0</v>
      </c>
      <c r="AM189" s="17">
        <f>'Rolling report'!DF189*'With Action'!$Y$6</f>
        <v>0</v>
      </c>
      <c r="AN189" s="17">
        <f>'Rolling report'!DG189*'With Action'!$Y$6</f>
        <v>0</v>
      </c>
      <c r="AO189" s="17">
        <f>'Rolling report'!DH189*'With Action'!$Y$6</f>
        <v>0</v>
      </c>
      <c r="AP189" s="17">
        <f>'Rolling report'!DI189*'With Action'!$Y$6</f>
        <v>0</v>
      </c>
    </row>
    <row r="190" spans="1:42" x14ac:dyDescent="0.25">
      <c r="A190" s="4" t="s">
        <v>419</v>
      </c>
      <c r="B190" s="6" t="s">
        <v>420</v>
      </c>
      <c r="I190" s="17">
        <f>'Rolling report'!CB190*'With Action'!$Y$6</f>
        <v>0.50000000000000011</v>
      </c>
      <c r="J190" s="17">
        <f>'Rolling report'!CC190*'With Action'!$Y$6</f>
        <v>0.20000000000000004</v>
      </c>
      <c r="K190" s="17">
        <f>'Rolling report'!CD190*'With Action'!$Y$6</f>
        <v>0</v>
      </c>
      <c r="L190" s="17">
        <f>'Rolling report'!CE190*'With Action'!$Y$6</f>
        <v>0.30000000000000004</v>
      </c>
      <c r="M190" s="17">
        <f>'Rolling report'!CF190*'With Action'!$Y$6</f>
        <v>5.000000000000001E-2</v>
      </c>
      <c r="N190" s="17">
        <f>'Rolling report'!CG190*'With Action'!$Y$6</f>
        <v>5.000000000000001E-2</v>
      </c>
      <c r="O190" s="17">
        <f>'Rolling report'!CH190*'With Action'!$Y$6</f>
        <v>0.15000000000000002</v>
      </c>
      <c r="P190" s="17">
        <f>'Rolling report'!CI190*'With Action'!$Y$6</f>
        <v>0</v>
      </c>
      <c r="Q190" s="17">
        <f>'Rolling report'!CJ190*'With Action'!$Y$6</f>
        <v>0.15000000000000002</v>
      </c>
      <c r="R190" s="17">
        <f>'Rolling report'!CK190*'With Action'!$Y$6</f>
        <v>5.000000000000001E-2</v>
      </c>
      <c r="S190" s="17">
        <f>'Rolling report'!CL190*'With Action'!$Y$6</f>
        <v>5.000000000000001E-2</v>
      </c>
      <c r="T190" s="17">
        <f>'Rolling report'!CM190*'With Action'!$Y$6</f>
        <v>0</v>
      </c>
      <c r="U190" s="17">
        <f>'Rolling report'!CN190*'With Action'!$Y$6</f>
        <v>5.000000000000001E-2</v>
      </c>
      <c r="V190" s="17">
        <f>'Rolling report'!CO190*'With Action'!$Y$6</f>
        <v>0.15000000000000002</v>
      </c>
      <c r="W190" s="17">
        <f>'Rolling report'!CP190*'With Action'!$Y$6</f>
        <v>0</v>
      </c>
      <c r="X190" s="17">
        <f>'Rolling report'!CQ190*'With Action'!$Y$6</f>
        <v>0</v>
      </c>
      <c r="Y190" s="17">
        <f>'Rolling report'!CR190*'With Action'!$Y$6</f>
        <v>0</v>
      </c>
      <c r="Z190" s="17">
        <f>'Rolling report'!CS190*'With Action'!$Y$6</f>
        <v>0.25000000000000006</v>
      </c>
      <c r="AA190" s="17">
        <f>'Rolling report'!CT190*'With Action'!$Y$6</f>
        <v>0</v>
      </c>
      <c r="AB190" s="17">
        <f>'Rolling report'!CU190*'With Action'!$Y$6</f>
        <v>0</v>
      </c>
      <c r="AC190" s="17">
        <f>'Rolling report'!CV190*'With Action'!$Y$6</f>
        <v>0</v>
      </c>
      <c r="AD190" s="17">
        <f>'Rolling report'!CW190*'With Action'!$Y$6</f>
        <v>0</v>
      </c>
      <c r="AE190" s="17">
        <f>'Rolling report'!CX190*'With Action'!$Y$6</f>
        <v>0</v>
      </c>
      <c r="AF190" s="17">
        <f>'Rolling report'!CY190*'With Action'!$Y$6</f>
        <v>-1.9500000000000004</v>
      </c>
      <c r="AG190" s="17">
        <f>'Rolling report'!CZ190*'With Action'!$Y$6</f>
        <v>0</v>
      </c>
      <c r="AH190" s="17">
        <f>'Rolling report'!DA190*'With Action'!$Y$6</f>
        <v>0</v>
      </c>
      <c r="AI190" s="17">
        <f>'Rolling report'!DB190*'With Action'!$Y$6</f>
        <v>0</v>
      </c>
      <c r="AJ190" s="17">
        <f>'Rolling report'!DC190*'With Action'!$Y$6</f>
        <v>0</v>
      </c>
      <c r="AK190" s="17">
        <f>'Rolling report'!DD190*'With Action'!$Y$6</f>
        <v>0</v>
      </c>
      <c r="AL190" s="17">
        <f>'Rolling report'!DE190*'With Action'!$Y$6</f>
        <v>0</v>
      </c>
      <c r="AM190" s="17">
        <f>'Rolling report'!DF190*'With Action'!$Y$6</f>
        <v>0</v>
      </c>
      <c r="AN190" s="17">
        <f>'Rolling report'!DG190*'With Action'!$Y$6</f>
        <v>0</v>
      </c>
      <c r="AO190" s="17">
        <f>'Rolling report'!DH190*'With Action'!$Y$6</f>
        <v>0</v>
      </c>
      <c r="AP190" s="17">
        <f>'Rolling report'!DI190*'With Action'!$Y$6</f>
        <v>0</v>
      </c>
    </row>
    <row r="191" spans="1:42" x14ac:dyDescent="0.25">
      <c r="A191" s="4" t="s">
        <v>421</v>
      </c>
      <c r="B191" s="6" t="s">
        <v>422</v>
      </c>
      <c r="I191" s="17">
        <f>'Rolling report'!CB191*'With Action'!$Y$6</f>
        <v>1.0500000000000003</v>
      </c>
      <c r="J191" s="17">
        <f>'Rolling report'!CC191*'With Action'!$Y$6</f>
        <v>0.20000000000000004</v>
      </c>
      <c r="K191" s="17">
        <f>'Rolling report'!CD191*'With Action'!$Y$6</f>
        <v>0.20000000000000004</v>
      </c>
      <c r="L191" s="17">
        <f>'Rolling report'!CE191*'With Action'!$Y$6</f>
        <v>5.000000000000001E-2</v>
      </c>
      <c r="M191" s="17">
        <f>'Rolling report'!CF191*'With Action'!$Y$6</f>
        <v>0.10000000000000002</v>
      </c>
      <c r="N191" s="17">
        <f>'Rolling report'!CG191*'With Action'!$Y$6</f>
        <v>0.10000000000000002</v>
      </c>
      <c r="O191" s="17">
        <f>'Rolling report'!CH191*'With Action'!$Y$6</f>
        <v>0.20000000000000004</v>
      </c>
      <c r="P191" s="17">
        <f>'Rolling report'!CI191*'With Action'!$Y$6</f>
        <v>0</v>
      </c>
      <c r="Q191" s="17">
        <f>'Rolling report'!CJ191*'With Action'!$Y$6</f>
        <v>0.15000000000000002</v>
      </c>
      <c r="R191" s="17">
        <f>'Rolling report'!CK191*'With Action'!$Y$6</f>
        <v>0.10000000000000002</v>
      </c>
      <c r="S191" s="17">
        <f>'Rolling report'!CL191*'With Action'!$Y$6</f>
        <v>0.10000000000000002</v>
      </c>
      <c r="T191" s="17">
        <f>'Rolling report'!CM191*'With Action'!$Y$6</f>
        <v>5.000000000000001E-2</v>
      </c>
      <c r="U191" s="17">
        <f>'Rolling report'!CN191*'With Action'!$Y$6</f>
        <v>0</v>
      </c>
      <c r="V191" s="17">
        <f>'Rolling report'!CO191*'With Action'!$Y$6</f>
        <v>0</v>
      </c>
      <c r="W191" s="17">
        <f>'Rolling report'!CP191*'With Action'!$Y$6</f>
        <v>0</v>
      </c>
      <c r="X191" s="17">
        <f>'Rolling report'!CQ191*'With Action'!$Y$6</f>
        <v>0.15000000000000002</v>
      </c>
      <c r="Y191" s="17">
        <f>'Rolling report'!CR191*'With Action'!$Y$6</f>
        <v>5.000000000000001E-2</v>
      </c>
      <c r="Z191" s="17">
        <f>'Rolling report'!CS191*'With Action'!$Y$6</f>
        <v>5.000000000000001E-2</v>
      </c>
      <c r="AA191" s="17">
        <f>'Rolling report'!CT191*'With Action'!$Y$6</f>
        <v>0</v>
      </c>
      <c r="AB191" s="17">
        <f>'Rolling report'!CU191*'With Action'!$Y$6</f>
        <v>0</v>
      </c>
      <c r="AC191" s="17">
        <f>'Rolling report'!CV191*'With Action'!$Y$6</f>
        <v>0.10000000000000002</v>
      </c>
      <c r="AD191" s="17">
        <f>'Rolling report'!CW191*'With Action'!$Y$6</f>
        <v>5.000000000000001E-2</v>
      </c>
      <c r="AE191" s="17">
        <f>'Rolling report'!CX191*'With Action'!$Y$6</f>
        <v>5.000000000000001E-2</v>
      </c>
      <c r="AF191" s="17">
        <f>'Rolling report'!CY191*'With Action'!$Y$6</f>
        <v>-2.7500000000000004</v>
      </c>
      <c r="AG191" s="17">
        <f>'Rolling report'!CZ191*'With Action'!$Y$6</f>
        <v>0</v>
      </c>
      <c r="AH191" s="17">
        <f>'Rolling report'!DA191*'With Action'!$Y$6</f>
        <v>0</v>
      </c>
      <c r="AI191" s="17">
        <f>'Rolling report'!DB191*'With Action'!$Y$6</f>
        <v>0</v>
      </c>
      <c r="AJ191" s="17">
        <f>'Rolling report'!DC191*'With Action'!$Y$6</f>
        <v>0</v>
      </c>
      <c r="AK191" s="17">
        <f>'Rolling report'!DD191*'With Action'!$Y$6</f>
        <v>0</v>
      </c>
      <c r="AL191" s="17">
        <f>'Rolling report'!DE191*'With Action'!$Y$6</f>
        <v>0</v>
      </c>
      <c r="AM191" s="17">
        <f>'Rolling report'!DF191*'With Action'!$Y$6</f>
        <v>0</v>
      </c>
      <c r="AN191" s="17">
        <f>'Rolling report'!DG191*'With Action'!$Y$6</f>
        <v>0</v>
      </c>
      <c r="AO191" s="17">
        <f>'Rolling report'!DH191*'With Action'!$Y$6</f>
        <v>0</v>
      </c>
      <c r="AP191" s="17">
        <f>'Rolling report'!DI191*'With Action'!$Y$6</f>
        <v>0</v>
      </c>
    </row>
    <row r="192" spans="1:42" x14ac:dyDescent="0.25">
      <c r="A192" s="4" t="s">
        <v>423</v>
      </c>
      <c r="B192" s="6" t="s">
        <v>424</v>
      </c>
      <c r="I192" s="17">
        <f>'Rolling report'!CB192*'With Action'!$Y$6</f>
        <v>1.4500000000000002</v>
      </c>
      <c r="J192" s="17">
        <f>'Rolling report'!CC192*'With Action'!$Y$6</f>
        <v>0.20000000000000004</v>
      </c>
      <c r="K192" s="17">
        <f>'Rolling report'!CD192*'With Action'!$Y$6</f>
        <v>0.15000000000000002</v>
      </c>
      <c r="L192" s="17">
        <f>'Rolling report'!CE192*'With Action'!$Y$6</f>
        <v>5.000000000000001E-2</v>
      </c>
      <c r="M192" s="17">
        <f>'Rolling report'!CF192*'With Action'!$Y$6</f>
        <v>0.15000000000000002</v>
      </c>
      <c r="N192" s="17">
        <f>'Rolling report'!CG192*'With Action'!$Y$6</f>
        <v>0</v>
      </c>
      <c r="O192" s="17">
        <f>'Rolling report'!CH192*'With Action'!$Y$6</f>
        <v>-5.000000000000001E-2</v>
      </c>
      <c r="P192" s="17">
        <f>'Rolling report'!CI192*'With Action'!$Y$6</f>
        <v>0.15000000000000002</v>
      </c>
      <c r="Q192" s="17">
        <f>'Rolling report'!CJ192*'With Action'!$Y$6</f>
        <v>0</v>
      </c>
      <c r="R192" s="17">
        <f>'Rolling report'!CK192*'With Action'!$Y$6</f>
        <v>0.15000000000000002</v>
      </c>
      <c r="S192" s="17">
        <f>'Rolling report'!CL192*'With Action'!$Y$6</f>
        <v>0.10000000000000002</v>
      </c>
      <c r="T192" s="17">
        <f>'Rolling report'!CM192*'With Action'!$Y$6</f>
        <v>0.20000000000000004</v>
      </c>
      <c r="U192" s="17">
        <f>'Rolling report'!CN192*'With Action'!$Y$6</f>
        <v>0.25000000000000006</v>
      </c>
      <c r="V192" s="17">
        <f>'Rolling report'!CO192*'With Action'!$Y$6</f>
        <v>0</v>
      </c>
      <c r="W192" s="17">
        <f>'Rolling report'!CP192*'With Action'!$Y$6</f>
        <v>0.10000000000000002</v>
      </c>
      <c r="X192" s="17">
        <f>'Rolling report'!CQ192*'With Action'!$Y$6</f>
        <v>0</v>
      </c>
      <c r="Y192" s="17">
        <f>'Rolling report'!CR192*'With Action'!$Y$6</f>
        <v>0</v>
      </c>
      <c r="Z192" s="17">
        <f>'Rolling report'!CS192*'With Action'!$Y$6</f>
        <v>5.000000000000001E-2</v>
      </c>
      <c r="AA192" s="17">
        <f>'Rolling report'!CT192*'With Action'!$Y$6</f>
        <v>0.15000000000000002</v>
      </c>
      <c r="AB192" s="17">
        <f>'Rolling report'!CU192*'With Action'!$Y$6</f>
        <v>0.25000000000000006</v>
      </c>
      <c r="AC192" s="17">
        <f>'Rolling report'!CV192*'With Action'!$Y$6</f>
        <v>0.10000000000000002</v>
      </c>
      <c r="AD192" s="17">
        <f>'Rolling report'!CW192*'With Action'!$Y$6</f>
        <v>-0.10000000000000002</v>
      </c>
      <c r="AE192" s="17">
        <f>'Rolling report'!CX192*'With Action'!$Y$6</f>
        <v>0</v>
      </c>
      <c r="AF192" s="17">
        <f>'Rolling report'!CY192*'With Action'!$Y$6</f>
        <v>-3.3500000000000005</v>
      </c>
      <c r="AG192" s="17">
        <f>'Rolling report'!CZ192*'With Action'!$Y$6</f>
        <v>0</v>
      </c>
      <c r="AH192" s="17">
        <f>'Rolling report'!DA192*'With Action'!$Y$6</f>
        <v>0</v>
      </c>
      <c r="AI192" s="17">
        <f>'Rolling report'!DB192*'With Action'!$Y$6</f>
        <v>0</v>
      </c>
      <c r="AJ192" s="17">
        <f>'Rolling report'!DC192*'With Action'!$Y$6</f>
        <v>0</v>
      </c>
      <c r="AK192" s="17">
        <f>'Rolling report'!DD192*'With Action'!$Y$6</f>
        <v>0</v>
      </c>
      <c r="AL192" s="17">
        <f>'Rolling report'!DE192*'With Action'!$Y$6</f>
        <v>0</v>
      </c>
      <c r="AM192" s="17">
        <f>'Rolling report'!DF192*'With Action'!$Y$6</f>
        <v>0</v>
      </c>
      <c r="AN192" s="17">
        <f>'Rolling report'!DG192*'With Action'!$Y$6</f>
        <v>0</v>
      </c>
      <c r="AO192" s="17">
        <f>'Rolling report'!DH192*'With Action'!$Y$6</f>
        <v>0</v>
      </c>
      <c r="AP192" s="17">
        <f>'Rolling report'!DI192*'With Action'!$Y$6</f>
        <v>0</v>
      </c>
    </row>
    <row r="193" spans="1:42" x14ac:dyDescent="0.25">
      <c r="A193" s="4" t="s">
        <v>425</v>
      </c>
      <c r="B193" s="6" t="s">
        <v>426</v>
      </c>
      <c r="I193" s="17">
        <f>'Rolling report'!CB193*'With Action'!$Y$6</f>
        <v>0.25000000000000006</v>
      </c>
      <c r="J193" s="17">
        <f>'Rolling report'!CC193*'With Action'!$Y$6</f>
        <v>0</v>
      </c>
      <c r="K193" s="17">
        <f>'Rolling report'!CD193*'With Action'!$Y$6</f>
        <v>0</v>
      </c>
      <c r="L193" s="17">
        <f>'Rolling report'!CE193*'With Action'!$Y$6</f>
        <v>-0.25000000000000006</v>
      </c>
      <c r="M193" s="17">
        <f>'Rolling report'!CF193*'With Action'!$Y$6</f>
        <v>0.25000000000000006</v>
      </c>
      <c r="N193" s="17">
        <f>'Rolling report'!CG193*'With Action'!$Y$6</f>
        <v>0</v>
      </c>
      <c r="O193" s="17">
        <f>'Rolling report'!CH193*'With Action'!$Y$6</f>
        <v>0.25000000000000006</v>
      </c>
      <c r="P193" s="17">
        <f>'Rolling report'!CI193*'With Action'!$Y$6</f>
        <v>0</v>
      </c>
      <c r="Q193" s="17">
        <f>'Rolling report'!CJ193*'With Action'!$Y$6</f>
        <v>0</v>
      </c>
      <c r="R193" s="17">
        <f>'Rolling report'!CK193*'With Action'!$Y$6</f>
        <v>0</v>
      </c>
      <c r="S193" s="17">
        <f>'Rolling report'!CL193*'With Action'!$Y$6</f>
        <v>-0.25000000000000006</v>
      </c>
      <c r="T193" s="17">
        <f>'Rolling report'!CM193*'With Action'!$Y$6</f>
        <v>0.25000000000000006</v>
      </c>
      <c r="U193" s="17">
        <f>'Rolling report'!CN193*'With Action'!$Y$6</f>
        <v>0.25000000000000006</v>
      </c>
      <c r="V193" s="17">
        <f>'Rolling report'!CO193*'With Action'!$Y$6</f>
        <v>0</v>
      </c>
      <c r="W193" s="17">
        <f>'Rolling report'!CP193*'With Action'!$Y$6</f>
        <v>0</v>
      </c>
      <c r="X193" s="17">
        <f>'Rolling report'!CQ193*'With Action'!$Y$6</f>
        <v>0</v>
      </c>
      <c r="Y193" s="17">
        <f>'Rolling report'!CR193*'With Action'!$Y$6</f>
        <v>0</v>
      </c>
      <c r="Z193" s="17">
        <f>'Rolling report'!CS193*'With Action'!$Y$6</f>
        <v>0</v>
      </c>
      <c r="AA193" s="17">
        <f>'Rolling report'!CT193*'With Action'!$Y$6</f>
        <v>-0.15000000000000002</v>
      </c>
      <c r="AB193" s="17">
        <f>'Rolling report'!CU193*'With Action'!$Y$6</f>
        <v>0</v>
      </c>
      <c r="AC193" s="17">
        <f>'Rolling report'!CV193*'With Action'!$Y$6</f>
        <v>0</v>
      </c>
      <c r="AD193" s="17">
        <f>'Rolling report'!CW193*'With Action'!$Y$6</f>
        <v>0.15000000000000002</v>
      </c>
      <c r="AE193" s="17">
        <f>'Rolling report'!CX193*'With Action'!$Y$6</f>
        <v>-0.40000000000000008</v>
      </c>
      <c r="AF193" s="17">
        <f>'Rolling report'!CY193*'With Action'!$Y$6</f>
        <v>-0.35000000000000009</v>
      </c>
      <c r="AG193" s="17">
        <f>'Rolling report'!CZ193*'With Action'!$Y$6</f>
        <v>0</v>
      </c>
      <c r="AH193" s="17">
        <f>'Rolling report'!DA193*'With Action'!$Y$6</f>
        <v>0</v>
      </c>
      <c r="AI193" s="17">
        <f>'Rolling report'!DB193*'With Action'!$Y$6</f>
        <v>0</v>
      </c>
      <c r="AJ193" s="17">
        <f>'Rolling report'!DC193*'With Action'!$Y$6</f>
        <v>0</v>
      </c>
      <c r="AK193" s="17">
        <f>'Rolling report'!DD193*'With Action'!$Y$6</f>
        <v>0</v>
      </c>
      <c r="AL193" s="17">
        <f>'Rolling report'!DE193*'With Action'!$Y$6</f>
        <v>0</v>
      </c>
      <c r="AM193" s="17">
        <f>'Rolling report'!DF193*'With Action'!$Y$6</f>
        <v>0</v>
      </c>
      <c r="AN193" s="17">
        <f>'Rolling report'!DG193*'With Action'!$Y$6</f>
        <v>0</v>
      </c>
      <c r="AO193" s="17">
        <f>'Rolling report'!DH193*'With Action'!$Y$6</f>
        <v>0</v>
      </c>
      <c r="AP193" s="17">
        <f>'Rolling report'!DI193*'With Action'!$Y$6</f>
        <v>0</v>
      </c>
    </row>
    <row r="194" spans="1:42" x14ac:dyDescent="0.25">
      <c r="A194" s="4" t="s">
        <v>427</v>
      </c>
      <c r="B194" s="6" t="s">
        <v>428</v>
      </c>
      <c r="I194" s="17">
        <f>'Rolling report'!CB194*'With Action'!$Y$6</f>
        <v>0.70000000000000018</v>
      </c>
      <c r="J194" s="17">
        <f>'Rolling report'!CC194*'With Action'!$Y$6</f>
        <v>0</v>
      </c>
      <c r="K194" s="17">
        <f>'Rolling report'!CD194*'With Action'!$Y$6</f>
        <v>0</v>
      </c>
      <c r="L194" s="17">
        <f>'Rolling report'!CE194*'With Action'!$Y$6</f>
        <v>0.50000000000000011</v>
      </c>
      <c r="M194" s="17">
        <f>'Rolling report'!CF194*'With Action'!$Y$6</f>
        <v>0</v>
      </c>
      <c r="N194" s="17">
        <f>'Rolling report'!CG194*'With Action'!$Y$6</f>
        <v>0.30000000000000004</v>
      </c>
      <c r="O194" s="17">
        <f>'Rolling report'!CH194*'With Action'!$Y$6</f>
        <v>0.20000000000000004</v>
      </c>
      <c r="P194" s="17">
        <f>'Rolling report'!CI194*'With Action'!$Y$6</f>
        <v>0.10000000000000002</v>
      </c>
      <c r="Q194" s="17">
        <f>'Rolling report'!CJ194*'With Action'!$Y$6</f>
        <v>0.55000000000000016</v>
      </c>
      <c r="R194" s="17">
        <f>'Rolling report'!CK194*'With Action'!$Y$6</f>
        <v>0</v>
      </c>
      <c r="S194" s="17">
        <f>'Rolling report'!CL194*'With Action'!$Y$6</f>
        <v>5.000000000000001E-2</v>
      </c>
      <c r="T194" s="17">
        <f>'Rolling report'!CM194*'With Action'!$Y$6</f>
        <v>0.15000000000000002</v>
      </c>
      <c r="U194" s="17">
        <f>'Rolling report'!CN194*'With Action'!$Y$6</f>
        <v>0.50000000000000011</v>
      </c>
      <c r="V194" s="17">
        <f>'Rolling report'!CO194*'With Action'!$Y$6</f>
        <v>0.25000000000000006</v>
      </c>
      <c r="W194" s="17">
        <f>'Rolling report'!CP194*'With Action'!$Y$6</f>
        <v>0</v>
      </c>
      <c r="X194" s="17">
        <f>'Rolling report'!CQ194*'With Action'!$Y$6</f>
        <v>0.10000000000000002</v>
      </c>
      <c r="Y194" s="17">
        <f>'Rolling report'!CR194*'With Action'!$Y$6</f>
        <v>0.10000000000000002</v>
      </c>
      <c r="Z194" s="17">
        <f>'Rolling report'!CS194*'With Action'!$Y$6</f>
        <v>0.25000000000000006</v>
      </c>
      <c r="AA194" s="17">
        <f>'Rolling report'!CT194*'With Action'!$Y$6</f>
        <v>0</v>
      </c>
      <c r="AB194" s="17">
        <f>'Rolling report'!CU194*'With Action'!$Y$6</f>
        <v>0.10000000000000002</v>
      </c>
      <c r="AC194" s="17">
        <f>'Rolling report'!CV194*'With Action'!$Y$6</f>
        <v>0</v>
      </c>
      <c r="AD194" s="17">
        <f>'Rolling report'!CW194*'With Action'!$Y$6</f>
        <v>5.000000000000001E-2</v>
      </c>
      <c r="AE194" s="17">
        <f>'Rolling report'!CX194*'With Action'!$Y$6</f>
        <v>0.10000000000000002</v>
      </c>
      <c r="AF194" s="17">
        <f>'Rolling report'!CY194*'With Action'!$Y$6</f>
        <v>-4.0000000000000009</v>
      </c>
      <c r="AG194" s="17">
        <f>'Rolling report'!CZ194*'With Action'!$Y$6</f>
        <v>0</v>
      </c>
      <c r="AH194" s="17">
        <f>'Rolling report'!DA194*'With Action'!$Y$6</f>
        <v>0</v>
      </c>
      <c r="AI194" s="17">
        <f>'Rolling report'!DB194*'With Action'!$Y$6</f>
        <v>0</v>
      </c>
      <c r="AJ194" s="17">
        <f>'Rolling report'!DC194*'With Action'!$Y$6</f>
        <v>0</v>
      </c>
      <c r="AK194" s="17">
        <f>'Rolling report'!DD194*'With Action'!$Y$6</f>
        <v>0</v>
      </c>
      <c r="AL194" s="17">
        <f>'Rolling report'!DE194*'With Action'!$Y$6</f>
        <v>0</v>
      </c>
      <c r="AM194" s="17">
        <f>'Rolling report'!DF194*'With Action'!$Y$6</f>
        <v>0</v>
      </c>
      <c r="AN194" s="17">
        <f>'Rolling report'!DG194*'With Action'!$Y$6</f>
        <v>0</v>
      </c>
      <c r="AO194" s="17">
        <f>'Rolling report'!DH194*'With Action'!$Y$6</f>
        <v>0</v>
      </c>
      <c r="AP194" s="17">
        <f>'Rolling report'!DI194*'With Action'!$Y$6</f>
        <v>0</v>
      </c>
    </row>
    <row r="195" spans="1:42" x14ac:dyDescent="0.25">
      <c r="A195" s="4" t="s">
        <v>429</v>
      </c>
      <c r="B195" s="6" t="s">
        <v>430</v>
      </c>
      <c r="I195" s="17">
        <f>'Rolling report'!CB195*'With Action'!$Y$6</f>
        <v>2.2000000000000006</v>
      </c>
      <c r="J195" s="17">
        <f>'Rolling report'!CC195*'With Action'!$Y$6</f>
        <v>0.45000000000000007</v>
      </c>
      <c r="K195" s="17">
        <f>'Rolling report'!CD195*'With Action'!$Y$6</f>
        <v>0.15000000000000002</v>
      </c>
      <c r="L195" s="17">
        <f>'Rolling report'!CE195*'With Action'!$Y$6</f>
        <v>0.50000000000000011</v>
      </c>
      <c r="M195" s="17">
        <f>'Rolling report'!CF195*'With Action'!$Y$6</f>
        <v>0.10000000000000002</v>
      </c>
      <c r="N195" s="17">
        <f>'Rolling report'!CG195*'With Action'!$Y$6</f>
        <v>5.000000000000001E-2</v>
      </c>
      <c r="O195" s="17">
        <f>'Rolling report'!CH195*'With Action'!$Y$6</f>
        <v>0.20000000000000004</v>
      </c>
      <c r="P195" s="17">
        <f>'Rolling report'!CI195*'With Action'!$Y$6</f>
        <v>5.000000000000001E-2</v>
      </c>
      <c r="Q195" s="17">
        <f>'Rolling report'!CJ195*'With Action'!$Y$6</f>
        <v>0.10000000000000002</v>
      </c>
      <c r="R195" s="17">
        <f>'Rolling report'!CK195*'With Action'!$Y$6</f>
        <v>5.000000000000001E-2</v>
      </c>
      <c r="S195" s="17">
        <f>'Rolling report'!CL195*'With Action'!$Y$6</f>
        <v>0.10000000000000002</v>
      </c>
      <c r="T195" s="17">
        <f>'Rolling report'!CM195*'With Action'!$Y$6</f>
        <v>0</v>
      </c>
      <c r="U195" s="17">
        <f>'Rolling report'!CN195*'With Action'!$Y$6</f>
        <v>0</v>
      </c>
      <c r="V195" s="17">
        <f>'Rolling report'!CO195*'With Action'!$Y$6</f>
        <v>0.30000000000000004</v>
      </c>
      <c r="W195" s="17">
        <f>'Rolling report'!CP195*'With Action'!$Y$6</f>
        <v>0</v>
      </c>
      <c r="X195" s="17">
        <f>'Rolling report'!CQ195*'With Action'!$Y$6</f>
        <v>0</v>
      </c>
      <c r="Y195" s="17">
        <f>'Rolling report'!CR195*'With Action'!$Y$6</f>
        <v>0.15000000000000002</v>
      </c>
      <c r="Z195" s="17">
        <f>'Rolling report'!CS195*'With Action'!$Y$6</f>
        <v>0.25000000000000006</v>
      </c>
      <c r="AA195" s="17">
        <f>'Rolling report'!CT195*'With Action'!$Y$6</f>
        <v>0</v>
      </c>
      <c r="AB195" s="17">
        <f>'Rolling report'!CU195*'With Action'!$Y$6</f>
        <v>0</v>
      </c>
      <c r="AC195" s="17">
        <f>'Rolling report'!CV195*'With Action'!$Y$6</f>
        <v>0.25000000000000006</v>
      </c>
      <c r="AD195" s="17">
        <f>'Rolling report'!CW195*'With Action'!$Y$6</f>
        <v>0</v>
      </c>
      <c r="AE195" s="17">
        <f>'Rolling report'!CX195*'With Action'!$Y$6</f>
        <v>0</v>
      </c>
      <c r="AF195" s="17">
        <f>'Rolling report'!CY195*'With Action'!$Y$6</f>
        <v>-4.9000000000000012</v>
      </c>
      <c r="AG195" s="17">
        <f>'Rolling report'!CZ195*'With Action'!$Y$6</f>
        <v>0</v>
      </c>
      <c r="AH195" s="17">
        <f>'Rolling report'!DA195*'With Action'!$Y$6</f>
        <v>0</v>
      </c>
      <c r="AI195" s="17">
        <f>'Rolling report'!DB195*'With Action'!$Y$6</f>
        <v>0</v>
      </c>
      <c r="AJ195" s="17">
        <f>'Rolling report'!DC195*'With Action'!$Y$6</f>
        <v>0</v>
      </c>
      <c r="AK195" s="17">
        <f>'Rolling report'!DD195*'With Action'!$Y$6</f>
        <v>0</v>
      </c>
      <c r="AL195" s="17">
        <f>'Rolling report'!DE195*'With Action'!$Y$6</f>
        <v>0</v>
      </c>
      <c r="AM195" s="17">
        <f>'Rolling report'!DF195*'With Action'!$Y$6</f>
        <v>0</v>
      </c>
      <c r="AN195" s="17">
        <f>'Rolling report'!DG195*'With Action'!$Y$6</f>
        <v>0</v>
      </c>
      <c r="AO195" s="17">
        <f>'Rolling report'!DH195*'With Action'!$Y$6</f>
        <v>0</v>
      </c>
      <c r="AP195" s="17">
        <f>'Rolling report'!DI195*'With Action'!$Y$6</f>
        <v>0</v>
      </c>
    </row>
    <row r="196" spans="1:42" x14ac:dyDescent="0.25">
      <c r="A196" s="4" t="s">
        <v>431</v>
      </c>
      <c r="B196" s="6" t="s">
        <v>432</v>
      </c>
      <c r="I196" s="17">
        <f>'Rolling report'!CB196*'With Action'!$Y$6</f>
        <v>0.25000000000000006</v>
      </c>
      <c r="J196" s="17">
        <f>'Rolling report'!CC196*'With Action'!$Y$6</f>
        <v>0</v>
      </c>
      <c r="K196" s="17">
        <f>'Rolling report'!CD196*'With Action'!$Y$6</f>
        <v>0</v>
      </c>
      <c r="L196" s="17">
        <f>'Rolling report'!CE196*'With Action'!$Y$6</f>
        <v>0</v>
      </c>
      <c r="M196" s="17">
        <f>'Rolling report'!CF196*'With Action'!$Y$6</f>
        <v>0</v>
      </c>
      <c r="N196" s="17">
        <f>'Rolling report'!CG196*'With Action'!$Y$6</f>
        <v>0</v>
      </c>
      <c r="O196" s="17">
        <f>'Rolling report'!CH196*'With Action'!$Y$6</f>
        <v>0.25000000000000006</v>
      </c>
      <c r="P196" s="17">
        <f>'Rolling report'!CI196*'With Action'!$Y$6</f>
        <v>0</v>
      </c>
      <c r="Q196" s="17">
        <f>'Rolling report'!CJ196*'With Action'!$Y$6</f>
        <v>0</v>
      </c>
      <c r="R196" s="17">
        <f>'Rolling report'!CK196*'With Action'!$Y$6</f>
        <v>0</v>
      </c>
      <c r="S196" s="17">
        <f>'Rolling report'!CL196*'With Action'!$Y$6</f>
        <v>-0.20000000000000004</v>
      </c>
      <c r="T196" s="17">
        <f>'Rolling report'!CM196*'With Action'!$Y$6</f>
        <v>0.20000000000000004</v>
      </c>
      <c r="U196" s="17">
        <f>'Rolling report'!CN196*'With Action'!$Y$6</f>
        <v>0.25000000000000006</v>
      </c>
      <c r="V196" s="17">
        <f>'Rolling report'!CO196*'With Action'!$Y$6</f>
        <v>0</v>
      </c>
      <c r="W196" s="17">
        <f>'Rolling report'!CP196*'With Action'!$Y$6</f>
        <v>0</v>
      </c>
      <c r="X196" s="17">
        <f>'Rolling report'!CQ196*'With Action'!$Y$6</f>
        <v>0</v>
      </c>
      <c r="Y196" s="17">
        <f>'Rolling report'!CR196*'With Action'!$Y$6</f>
        <v>0</v>
      </c>
      <c r="Z196" s="17">
        <f>'Rolling report'!CS196*'With Action'!$Y$6</f>
        <v>0</v>
      </c>
      <c r="AA196" s="17">
        <f>'Rolling report'!CT196*'With Action'!$Y$6</f>
        <v>-0.15000000000000002</v>
      </c>
      <c r="AB196" s="17">
        <f>'Rolling report'!CU196*'With Action'!$Y$6</f>
        <v>0</v>
      </c>
      <c r="AC196" s="17">
        <f>'Rolling report'!CV196*'With Action'!$Y$6</f>
        <v>5.000000000000001E-2</v>
      </c>
      <c r="AD196" s="17">
        <f>'Rolling report'!CW196*'With Action'!$Y$6</f>
        <v>0.10000000000000002</v>
      </c>
      <c r="AE196" s="17">
        <f>'Rolling report'!CX196*'With Action'!$Y$6</f>
        <v>0</v>
      </c>
      <c r="AF196" s="17">
        <f>'Rolling report'!CY196*'With Action'!$Y$6</f>
        <v>-0.75000000000000011</v>
      </c>
      <c r="AG196" s="17">
        <f>'Rolling report'!CZ196*'With Action'!$Y$6</f>
        <v>0</v>
      </c>
      <c r="AH196" s="17">
        <f>'Rolling report'!DA196*'With Action'!$Y$6</f>
        <v>0</v>
      </c>
      <c r="AI196" s="17">
        <f>'Rolling report'!DB196*'With Action'!$Y$6</f>
        <v>0</v>
      </c>
      <c r="AJ196" s="17">
        <f>'Rolling report'!DC196*'With Action'!$Y$6</f>
        <v>0</v>
      </c>
      <c r="AK196" s="17">
        <f>'Rolling report'!DD196*'With Action'!$Y$6</f>
        <v>0</v>
      </c>
      <c r="AL196" s="17">
        <f>'Rolling report'!DE196*'With Action'!$Y$6</f>
        <v>0</v>
      </c>
      <c r="AM196" s="17">
        <f>'Rolling report'!DF196*'With Action'!$Y$6</f>
        <v>0</v>
      </c>
      <c r="AN196" s="17">
        <f>'Rolling report'!DG196*'With Action'!$Y$6</f>
        <v>0</v>
      </c>
      <c r="AO196" s="17">
        <f>'Rolling report'!DH196*'With Action'!$Y$6</f>
        <v>0</v>
      </c>
      <c r="AP196" s="17">
        <f>'Rolling report'!DI196*'With Action'!$Y$6</f>
        <v>0</v>
      </c>
    </row>
    <row r="197" spans="1:42" x14ac:dyDescent="0.25">
      <c r="A197" s="4" t="s">
        <v>433</v>
      </c>
      <c r="B197" s="6" t="s">
        <v>434</v>
      </c>
      <c r="I197" s="17">
        <f>'Rolling report'!CB197*'With Action'!$Y$6</f>
        <v>3.3000000000000007</v>
      </c>
      <c r="J197" s="17">
        <f>'Rolling report'!CC197*'With Action'!$Y$6</f>
        <v>0.90000000000000013</v>
      </c>
      <c r="K197" s="17">
        <f>'Rolling report'!CD197*'With Action'!$Y$6</f>
        <v>0.80000000000000016</v>
      </c>
      <c r="L197" s="17">
        <f>'Rolling report'!CE197*'With Action'!$Y$6</f>
        <v>0.45000000000000007</v>
      </c>
      <c r="M197" s="17">
        <f>'Rolling report'!CF197*'With Action'!$Y$6</f>
        <v>1.2500000000000002</v>
      </c>
      <c r="N197" s="17">
        <f>'Rolling report'!CG197*'With Action'!$Y$6</f>
        <v>0.35000000000000009</v>
      </c>
      <c r="O197" s="17">
        <f>'Rolling report'!CH197*'With Action'!$Y$6</f>
        <v>1.4000000000000004</v>
      </c>
      <c r="P197" s="17">
        <f>'Rolling report'!CI197*'With Action'!$Y$6</f>
        <v>0.95000000000000018</v>
      </c>
      <c r="Q197" s="17">
        <f>'Rolling report'!CJ197*'With Action'!$Y$6</f>
        <v>0.75000000000000011</v>
      </c>
      <c r="R197" s="17">
        <f>'Rolling report'!CK197*'With Action'!$Y$6</f>
        <v>0.75000000000000011</v>
      </c>
      <c r="S197" s="17">
        <f>'Rolling report'!CL197*'With Action'!$Y$6</f>
        <v>0.45000000000000007</v>
      </c>
      <c r="T197" s="17">
        <f>'Rolling report'!CM197*'With Action'!$Y$6</f>
        <v>0.30000000000000004</v>
      </c>
      <c r="U197" s="17">
        <f>'Rolling report'!CN197*'With Action'!$Y$6</f>
        <v>0.35000000000000009</v>
      </c>
      <c r="V197" s="17">
        <f>'Rolling report'!CO197*'With Action'!$Y$6</f>
        <v>0.20000000000000004</v>
      </c>
      <c r="W197" s="17">
        <f>'Rolling report'!CP197*'With Action'!$Y$6</f>
        <v>0.15000000000000002</v>
      </c>
      <c r="X197" s="17">
        <f>'Rolling report'!CQ197*'With Action'!$Y$6</f>
        <v>0.10000000000000002</v>
      </c>
      <c r="Y197" s="17">
        <f>'Rolling report'!CR197*'With Action'!$Y$6</f>
        <v>0.50000000000000011</v>
      </c>
      <c r="Z197" s="17">
        <f>'Rolling report'!CS197*'With Action'!$Y$6</f>
        <v>0.40000000000000008</v>
      </c>
      <c r="AA197" s="17">
        <f>'Rolling report'!CT197*'With Action'!$Y$6</f>
        <v>0.15000000000000002</v>
      </c>
      <c r="AB197" s="17">
        <f>'Rolling report'!CU197*'With Action'!$Y$6</f>
        <v>0.25000000000000006</v>
      </c>
      <c r="AC197" s="17">
        <f>'Rolling report'!CV197*'With Action'!$Y$6</f>
        <v>0.55000000000000016</v>
      </c>
      <c r="AD197" s="17">
        <f>'Rolling report'!CW197*'With Action'!$Y$6</f>
        <v>0.15000000000000002</v>
      </c>
      <c r="AE197" s="17">
        <f>'Rolling report'!CX197*'With Action'!$Y$6</f>
        <v>0.30000000000000004</v>
      </c>
      <c r="AF197" s="17">
        <f>'Rolling report'!CY197*'With Action'!$Y$6</f>
        <v>-14.750000000000004</v>
      </c>
      <c r="AG197" s="17">
        <f>'Rolling report'!CZ197*'With Action'!$Y$6</f>
        <v>0</v>
      </c>
      <c r="AH197" s="17">
        <f>'Rolling report'!DA197*'With Action'!$Y$6</f>
        <v>0</v>
      </c>
      <c r="AI197" s="17">
        <f>'Rolling report'!DB197*'With Action'!$Y$6</f>
        <v>0</v>
      </c>
      <c r="AJ197" s="17">
        <f>'Rolling report'!DC197*'With Action'!$Y$6</f>
        <v>0</v>
      </c>
      <c r="AK197" s="17">
        <f>'Rolling report'!DD197*'With Action'!$Y$6</f>
        <v>0</v>
      </c>
      <c r="AL197" s="17">
        <f>'Rolling report'!DE197*'With Action'!$Y$6</f>
        <v>0</v>
      </c>
      <c r="AM197" s="17">
        <f>'Rolling report'!DF197*'With Action'!$Y$6</f>
        <v>0</v>
      </c>
      <c r="AN197" s="17">
        <f>'Rolling report'!DG197*'With Action'!$Y$6</f>
        <v>0</v>
      </c>
      <c r="AO197" s="17">
        <f>'Rolling report'!DH197*'With Action'!$Y$6</f>
        <v>0</v>
      </c>
      <c r="AP197" s="17">
        <f>'Rolling report'!DI197*'With Action'!$Y$6</f>
        <v>0</v>
      </c>
    </row>
    <row r="198" spans="1:42" x14ac:dyDescent="0.25">
      <c r="A198" s="4" t="s">
        <v>435</v>
      </c>
      <c r="B198" s="6" t="s">
        <v>436</v>
      </c>
      <c r="I198" s="17">
        <f>'Rolling report'!CB198*'With Action'!$Y$6</f>
        <v>1.1500000000000001</v>
      </c>
      <c r="J198" s="17">
        <f>'Rolling report'!CC198*'With Action'!$Y$6</f>
        <v>5.000000000000001E-2</v>
      </c>
      <c r="K198" s="17">
        <f>'Rolling report'!CD198*'With Action'!$Y$6</f>
        <v>0.10000000000000002</v>
      </c>
      <c r="L198" s="17">
        <f>'Rolling report'!CE198*'With Action'!$Y$6</f>
        <v>0.10000000000000002</v>
      </c>
      <c r="M198" s="17">
        <f>'Rolling report'!CF198*'With Action'!$Y$6</f>
        <v>0</v>
      </c>
      <c r="N198" s="17">
        <f>'Rolling report'!CG198*'With Action'!$Y$6</f>
        <v>0.10000000000000002</v>
      </c>
      <c r="O198" s="17">
        <f>'Rolling report'!CH198*'With Action'!$Y$6</f>
        <v>0.25000000000000006</v>
      </c>
      <c r="P198" s="17">
        <f>'Rolling report'!CI198*'With Action'!$Y$6</f>
        <v>0</v>
      </c>
      <c r="Q198" s="17">
        <f>'Rolling report'!CJ198*'With Action'!$Y$6</f>
        <v>0.10000000000000002</v>
      </c>
      <c r="R198" s="17">
        <f>'Rolling report'!CK198*'With Action'!$Y$6</f>
        <v>0.25000000000000006</v>
      </c>
      <c r="S198" s="17">
        <f>'Rolling report'!CL198*'With Action'!$Y$6</f>
        <v>0.15000000000000002</v>
      </c>
      <c r="T198" s="17">
        <f>'Rolling report'!CM198*'With Action'!$Y$6</f>
        <v>0</v>
      </c>
      <c r="U198" s="17">
        <f>'Rolling report'!CN198*'With Action'!$Y$6</f>
        <v>0</v>
      </c>
      <c r="V198" s="17">
        <f>'Rolling report'!CO198*'With Action'!$Y$6</f>
        <v>0.10000000000000002</v>
      </c>
      <c r="W198" s="17">
        <f>'Rolling report'!CP198*'With Action'!$Y$6</f>
        <v>0</v>
      </c>
      <c r="X198" s="17">
        <f>'Rolling report'!CQ198*'With Action'!$Y$6</f>
        <v>0</v>
      </c>
      <c r="Y198" s="17">
        <f>'Rolling report'!CR198*'With Action'!$Y$6</f>
        <v>0</v>
      </c>
      <c r="Z198" s="17">
        <f>'Rolling report'!CS198*'With Action'!$Y$6</f>
        <v>0</v>
      </c>
      <c r="AA198" s="17">
        <f>'Rolling report'!CT198*'With Action'!$Y$6</f>
        <v>0.15000000000000002</v>
      </c>
      <c r="AB198" s="17">
        <f>'Rolling report'!CU198*'With Action'!$Y$6</f>
        <v>0.10000000000000002</v>
      </c>
      <c r="AC198" s="17">
        <f>'Rolling report'!CV198*'With Action'!$Y$6</f>
        <v>0.10000000000000002</v>
      </c>
      <c r="AD198" s="17">
        <f>'Rolling report'!CW198*'With Action'!$Y$6</f>
        <v>-5.000000000000001E-2</v>
      </c>
      <c r="AE198" s="17">
        <f>'Rolling report'!CX198*'With Action'!$Y$6</f>
        <v>0.35000000000000009</v>
      </c>
      <c r="AF198" s="17">
        <f>'Rolling report'!CY198*'With Action'!$Y$6</f>
        <v>-3.0000000000000004</v>
      </c>
      <c r="AG198" s="17">
        <f>'Rolling report'!CZ198*'With Action'!$Y$6</f>
        <v>0</v>
      </c>
      <c r="AH198" s="17">
        <f>'Rolling report'!DA198*'With Action'!$Y$6</f>
        <v>0</v>
      </c>
      <c r="AI198" s="17">
        <f>'Rolling report'!DB198*'With Action'!$Y$6</f>
        <v>0</v>
      </c>
      <c r="AJ198" s="17">
        <f>'Rolling report'!DC198*'With Action'!$Y$6</f>
        <v>0</v>
      </c>
      <c r="AK198" s="17">
        <f>'Rolling report'!DD198*'With Action'!$Y$6</f>
        <v>0</v>
      </c>
      <c r="AL198" s="17">
        <f>'Rolling report'!DE198*'With Action'!$Y$6</f>
        <v>0</v>
      </c>
      <c r="AM198" s="17">
        <f>'Rolling report'!DF198*'With Action'!$Y$6</f>
        <v>0</v>
      </c>
      <c r="AN198" s="17">
        <f>'Rolling report'!DG198*'With Action'!$Y$6</f>
        <v>0</v>
      </c>
      <c r="AO198" s="17">
        <f>'Rolling report'!DH198*'With Action'!$Y$6</f>
        <v>0</v>
      </c>
      <c r="AP198" s="17">
        <f>'Rolling report'!DI198*'With Action'!$Y$6</f>
        <v>0</v>
      </c>
    </row>
    <row r="199" spans="1:42" x14ac:dyDescent="0.25">
      <c r="A199" s="6" t="s">
        <v>437</v>
      </c>
      <c r="B199" s="6" t="s">
        <v>438</v>
      </c>
      <c r="I199" s="17">
        <f>'Rolling report'!CB199*'With Action'!$Y$6</f>
        <v>2.4000000000000004</v>
      </c>
      <c r="J199" s="17">
        <f>'Rolling report'!CC199*'With Action'!$Y$6</f>
        <v>0.35000000000000009</v>
      </c>
      <c r="K199" s="17">
        <f>'Rolling report'!CD199*'With Action'!$Y$6</f>
        <v>0.35000000000000009</v>
      </c>
      <c r="L199" s="17">
        <f>'Rolling report'!CE199*'With Action'!$Y$6</f>
        <v>0.40000000000000008</v>
      </c>
      <c r="M199" s="17">
        <f>'Rolling report'!CF199*'With Action'!$Y$6</f>
        <v>0.10000000000000002</v>
      </c>
      <c r="N199" s="17">
        <f>'Rolling report'!CG199*'With Action'!$Y$6</f>
        <v>0.25000000000000006</v>
      </c>
      <c r="O199" s="17">
        <f>'Rolling report'!CH199*'With Action'!$Y$6</f>
        <v>5.000000000000001E-2</v>
      </c>
      <c r="P199" s="17">
        <f>'Rolling report'!CI199*'With Action'!$Y$6</f>
        <v>0.60000000000000009</v>
      </c>
      <c r="Q199" s="17">
        <f>'Rolling report'!CJ199*'With Action'!$Y$6</f>
        <v>0.15000000000000002</v>
      </c>
      <c r="R199" s="17">
        <f>'Rolling report'!CK199*'With Action'!$Y$6</f>
        <v>0.60000000000000009</v>
      </c>
      <c r="S199" s="17">
        <f>'Rolling report'!CL199*'With Action'!$Y$6</f>
        <v>0</v>
      </c>
      <c r="T199" s="17">
        <f>'Rolling report'!CM199*'With Action'!$Y$6</f>
        <v>0</v>
      </c>
      <c r="U199" s="17">
        <f>'Rolling report'!CN199*'With Action'!$Y$6</f>
        <v>0</v>
      </c>
      <c r="V199" s="17">
        <f>'Rolling report'!CO199*'With Action'!$Y$6</f>
        <v>0</v>
      </c>
      <c r="W199" s="17">
        <f>'Rolling report'!CP199*'With Action'!$Y$6</f>
        <v>0.20000000000000004</v>
      </c>
      <c r="X199" s="17">
        <f>'Rolling report'!CQ199*'With Action'!$Y$6</f>
        <v>0</v>
      </c>
      <c r="Y199" s="17">
        <f>'Rolling report'!CR199*'With Action'!$Y$6</f>
        <v>0</v>
      </c>
      <c r="Z199" s="17">
        <f>'Rolling report'!CS199*'With Action'!$Y$6</f>
        <v>0.30000000000000004</v>
      </c>
      <c r="AA199" s="17">
        <f>'Rolling report'!CT199*'With Action'!$Y$6</f>
        <v>5.000000000000001E-2</v>
      </c>
      <c r="AB199" s="17">
        <f>'Rolling report'!CU199*'With Action'!$Y$6</f>
        <v>0.10000000000000002</v>
      </c>
      <c r="AC199" s="17">
        <f>'Rolling report'!CV199*'With Action'!$Y$6</f>
        <v>0.25000000000000006</v>
      </c>
      <c r="AD199" s="17">
        <f>'Rolling report'!CW199*'With Action'!$Y$6</f>
        <v>0.10000000000000002</v>
      </c>
      <c r="AE199" s="17">
        <f>'Rolling report'!CX199*'With Action'!$Y$6</f>
        <v>0</v>
      </c>
      <c r="AF199" s="17">
        <f>'Rolling report'!CY199*'With Action'!$Y$6</f>
        <v>-6.2500000000000009</v>
      </c>
      <c r="AG199" s="17">
        <f>'Rolling report'!CZ199*'With Action'!$Y$6</f>
        <v>0</v>
      </c>
      <c r="AH199" s="17">
        <f>'Rolling report'!DA199*'With Action'!$Y$6</f>
        <v>0</v>
      </c>
      <c r="AI199" s="17">
        <f>'Rolling report'!DB199*'With Action'!$Y$6</f>
        <v>0</v>
      </c>
      <c r="AJ199" s="17">
        <f>'Rolling report'!DC199*'With Action'!$Y$6</f>
        <v>0</v>
      </c>
      <c r="AK199" s="17">
        <f>'Rolling report'!DD199*'With Action'!$Y$6</f>
        <v>0</v>
      </c>
      <c r="AL199" s="17">
        <f>'Rolling report'!DE199*'With Action'!$Y$6</f>
        <v>0</v>
      </c>
      <c r="AM199" s="17">
        <f>'Rolling report'!DF199*'With Action'!$Y$6</f>
        <v>0</v>
      </c>
      <c r="AN199" s="17">
        <f>'Rolling report'!DG199*'With Action'!$Y$6</f>
        <v>0</v>
      </c>
      <c r="AO199" s="17">
        <f>'Rolling report'!DH199*'With Action'!$Y$6</f>
        <v>0</v>
      </c>
      <c r="AP199" s="17">
        <f>'Rolling report'!DI199*'With Action'!$Y$6</f>
        <v>0</v>
      </c>
    </row>
    <row r="200" spans="1:42" x14ac:dyDescent="0.25">
      <c r="A200" s="4" t="s">
        <v>439</v>
      </c>
      <c r="B200" s="6" t="s">
        <v>440</v>
      </c>
      <c r="I200" s="17">
        <f>'Rolling report'!CB200*'With Action'!$Y$6</f>
        <v>0.25000000000000006</v>
      </c>
      <c r="J200" s="17">
        <f>'Rolling report'!CC200*'With Action'!$Y$6</f>
        <v>0</v>
      </c>
      <c r="K200" s="17">
        <f>'Rolling report'!CD200*'With Action'!$Y$6</f>
        <v>0</v>
      </c>
      <c r="L200" s="17">
        <f>'Rolling report'!CE200*'With Action'!$Y$6</f>
        <v>0</v>
      </c>
      <c r="M200" s="17">
        <f>'Rolling report'!CF200*'With Action'!$Y$6</f>
        <v>0</v>
      </c>
      <c r="N200" s="17">
        <f>'Rolling report'!CG200*'With Action'!$Y$6</f>
        <v>0</v>
      </c>
      <c r="O200" s="17">
        <f>'Rolling report'!CH200*'With Action'!$Y$6</f>
        <v>0.25000000000000006</v>
      </c>
      <c r="P200" s="17">
        <f>'Rolling report'!CI200*'With Action'!$Y$6</f>
        <v>0</v>
      </c>
      <c r="Q200" s="17">
        <f>'Rolling report'!CJ200*'With Action'!$Y$6</f>
        <v>0</v>
      </c>
      <c r="R200" s="17">
        <f>'Rolling report'!CK200*'With Action'!$Y$6</f>
        <v>0</v>
      </c>
      <c r="S200" s="17">
        <f>'Rolling report'!CL200*'With Action'!$Y$6</f>
        <v>-0.25000000000000006</v>
      </c>
      <c r="T200" s="17">
        <f>'Rolling report'!CM200*'With Action'!$Y$6</f>
        <v>0.25000000000000006</v>
      </c>
      <c r="U200" s="17">
        <f>'Rolling report'!CN200*'With Action'!$Y$6</f>
        <v>0.25000000000000006</v>
      </c>
      <c r="V200" s="17">
        <f>'Rolling report'!CO200*'With Action'!$Y$6</f>
        <v>0</v>
      </c>
      <c r="W200" s="17">
        <f>'Rolling report'!CP200*'With Action'!$Y$6</f>
        <v>0</v>
      </c>
      <c r="X200" s="17">
        <f>'Rolling report'!CQ200*'With Action'!$Y$6</f>
        <v>0</v>
      </c>
      <c r="Y200" s="17">
        <f>'Rolling report'!CR200*'With Action'!$Y$6</f>
        <v>0</v>
      </c>
      <c r="Z200" s="17">
        <f>'Rolling report'!CS200*'With Action'!$Y$6</f>
        <v>0</v>
      </c>
      <c r="AA200" s="17">
        <f>'Rolling report'!CT200*'With Action'!$Y$6</f>
        <v>-0.15000000000000002</v>
      </c>
      <c r="AB200" s="17">
        <f>'Rolling report'!CU200*'With Action'!$Y$6</f>
        <v>0</v>
      </c>
      <c r="AC200" s="17">
        <f>'Rolling report'!CV200*'With Action'!$Y$6</f>
        <v>0</v>
      </c>
      <c r="AD200" s="17">
        <f>'Rolling report'!CW200*'With Action'!$Y$6</f>
        <v>0.15000000000000002</v>
      </c>
      <c r="AE200" s="17">
        <f>'Rolling report'!CX200*'With Action'!$Y$6</f>
        <v>-0.50000000000000011</v>
      </c>
      <c r="AF200" s="17">
        <f>'Rolling report'!CY200*'With Action'!$Y$6</f>
        <v>-0.25000000000000006</v>
      </c>
      <c r="AG200" s="17">
        <f>'Rolling report'!CZ200*'With Action'!$Y$6</f>
        <v>0</v>
      </c>
      <c r="AH200" s="17">
        <f>'Rolling report'!DA200*'With Action'!$Y$6</f>
        <v>0</v>
      </c>
      <c r="AI200" s="17">
        <f>'Rolling report'!DB200*'With Action'!$Y$6</f>
        <v>0</v>
      </c>
      <c r="AJ200" s="17">
        <f>'Rolling report'!DC200*'With Action'!$Y$6</f>
        <v>0</v>
      </c>
      <c r="AK200" s="17">
        <f>'Rolling report'!DD200*'With Action'!$Y$6</f>
        <v>0</v>
      </c>
      <c r="AL200" s="17">
        <f>'Rolling report'!DE200*'With Action'!$Y$6</f>
        <v>0</v>
      </c>
      <c r="AM200" s="17">
        <f>'Rolling report'!DF200*'With Action'!$Y$6</f>
        <v>0</v>
      </c>
      <c r="AN200" s="17">
        <f>'Rolling report'!DG200*'With Action'!$Y$6</f>
        <v>0</v>
      </c>
      <c r="AO200" s="17">
        <f>'Rolling report'!DH200*'With Action'!$Y$6</f>
        <v>0</v>
      </c>
      <c r="AP200" s="17">
        <f>'Rolling report'!DI200*'With Action'!$Y$6</f>
        <v>0</v>
      </c>
    </row>
    <row r="201" spans="1:42" x14ac:dyDescent="0.25">
      <c r="A201" s="4" t="s">
        <v>441</v>
      </c>
      <c r="B201" s="6" t="s">
        <v>442</v>
      </c>
      <c r="I201" s="17">
        <f>'Rolling report'!CB201*'With Action'!$Y$6</f>
        <v>1.7000000000000004</v>
      </c>
      <c r="J201" s="17">
        <f>'Rolling report'!CC201*'With Action'!$Y$6</f>
        <v>0.10000000000000002</v>
      </c>
      <c r="K201" s="17">
        <f>'Rolling report'!CD201*'With Action'!$Y$6</f>
        <v>0.15000000000000002</v>
      </c>
      <c r="L201" s="17">
        <f>'Rolling report'!CE201*'With Action'!$Y$6</f>
        <v>0.30000000000000004</v>
      </c>
      <c r="M201" s="17">
        <f>'Rolling report'!CF201*'With Action'!$Y$6</f>
        <v>5.000000000000001E-2</v>
      </c>
      <c r="N201" s="17">
        <f>'Rolling report'!CG201*'With Action'!$Y$6</f>
        <v>0</v>
      </c>
      <c r="O201" s="17">
        <f>'Rolling report'!CH201*'With Action'!$Y$6</f>
        <v>0.15000000000000002</v>
      </c>
      <c r="P201" s="17">
        <f>'Rolling report'!CI201*'With Action'!$Y$6</f>
        <v>0</v>
      </c>
      <c r="Q201" s="17">
        <f>'Rolling report'!CJ201*'With Action'!$Y$6</f>
        <v>0.25000000000000006</v>
      </c>
      <c r="R201" s="17">
        <f>'Rolling report'!CK201*'With Action'!$Y$6</f>
        <v>0.20000000000000004</v>
      </c>
      <c r="S201" s="17">
        <f>'Rolling report'!CL201*'With Action'!$Y$6</f>
        <v>0</v>
      </c>
      <c r="T201" s="17">
        <f>'Rolling report'!CM201*'With Action'!$Y$6</f>
        <v>0.15000000000000002</v>
      </c>
      <c r="U201" s="17">
        <f>'Rolling report'!CN201*'With Action'!$Y$6</f>
        <v>0</v>
      </c>
      <c r="V201" s="17">
        <f>'Rolling report'!CO201*'With Action'!$Y$6</f>
        <v>0.50000000000000011</v>
      </c>
      <c r="W201" s="17">
        <f>'Rolling report'!CP201*'With Action'!$Y$6</f>
        <v>5.000000000000001E-2</v>
      </c>
      <c r="X201" s="17">
        <f>'Rolling report'!CQ201*'With Action'!$Y$6</f>
        <v>0</v>
      </c>
      <c r="Y201" s="17">
        <f>'Rolling report'!CR201*'With Action'!$Y$6</f>
        <v>0.10000000000000002</v>
      </c>
      <c r="Z201" s="17">
        <f>'Rolling report'!CS201*'With Action'!$Y$6</f>
        <v>5.000000000000001E-2</v>
      </c>
      <c r="AA201" s="17">
        <f>'Rolling report'!CT201*'With Action'!$Y$6</f>
        <v>0</v>
      </c>
      <c r="AB201" s="17">
        <f>'Rolling report'!CU201*'With Action'!$Y$6</f>
        <v>0</v>
      </c>
      <c r="AC201" s="17">
        <f>'Rolling report'!CV201*'With Action'!$Y$6</f>
        <v>0</v>
      </c>
      <c r="AD201" s="17">
        <f>'Rolling report'!CW201*'With Action'!$Y$6</f>
        <v>0</v>
      </c>
      <c r="AE201" s="17">
        <f>'Rolling report'!CX201*'With Action'!$Y$6</f>
        <v>5.000000000000001E-2</v>
      </c>
      <c r="AF201" s="17">
        <f>'Rolling report'!CY201*'With Action'!$Y$6</f>
        <v>-3.8000000000000007</v>
      </c>
      <c r="AG201" s="17">
        <f>'Rolling report'!CZ201*'With Action'!$Y$6</f>
        <v>0</v>
      </c>
      <c r="AH201" s="17">
        <f>'Rolling report'!DA201*'With Action'!$Y$6</f>
        <v>0</v>
      </c>
      <c r="AI201" s="17">
        <f>'Rolling report'!DB201*'With Action'!$Y$6</f>
        <v>0</v>
      </c>
      <c r="AJ201" s="17">
        <f>'Rolling report'!DC201*'With Action'!$Y$6</f>
        <v>0</v>
      </c>
      <c r="AK201" s="17">
        <f>'Rolling report'!DD201*'With Action'!$Y$6</f>
        <v>0</v>
      </c>
      <c r="AL201" s="17">
        <f>'Rolling report'!DE201*'With Action'!$Y$6</f>
        <v>0</v>
      </c>
      <c r="AM201" s="17">
        <f>'Rolling report'!DF201*'With Action'!$Y$6</f>
        <v>0</v>
      </c>
      <c r="AN201" s="17">
        <f>'Rolling report'!DG201*'With Action'!$Y$6</f>
        <v>0</v>
      </c>
      <c r="AO201" s="17">
        <f>'Rolling report'!DH201*'With Action'!$Y$6</f>
        <v>0</v>
      </c>
      <c r="AP201" s="17">
        <f>'Rolling report'!DI201*'With Action'!$Y$6</f>
        <v>0</v>
      </c>
    </row>
    <row r="202" spans="1:42" x14ac:dyDescent="0.25">
      <c r="A202" s="4" t="s">
        <v>443</v>
      </c>
      <c r="B202" s="6" t="s">
        <v>444</v>
      </c>
      <c r="I202" s="17">
        <f>'Rolling report'!CB202*'With Action'!$Y$6</f>
        <v>1.8000000000000003</v>
      </c>
      <c r="J202" s="17">
        <f>'Rolling report'!CC202*'With Action'!$Y$6</f>
        <v>0.50000000000000011</v>
      </c>
      <c r="K202" s="17">
        <f>'Rolling report'!CD202*'With Action'!$Y$6</f>
        <v>0.60000000000000009</v>
      </c>
      <c r="L202" s="17">
        <f>'Rolling report'!CE202*'With Action'!$Y$6</f>
        <v>5.000000000000001E-2</v>
      </c>
      <c r="M202" s="17">
        <f>'Rolling report'!CF202*'With Action'!$Y$6</f>
        <v>0.45000000000000007</v>
      </c>
      <c r="N202" s="17">
        <f>'Rolling report'!CG202*'With Action'!$Y$6</f>
        <v>5.000000000000001E-2</v>
      </c>
      <c r="O202" s="17">
        <f>'Rolling report'!CH202*'With Action'!$Y$6</f>
        <v>0.25000000000000006</v>
      </c>
      <c r="P202" s="17">
        <f>'Rolling report'!CI202*'With Action'!$Y$6</f>
        <v>0.45000000000000007</v>
      </c>
      <c r="Q202" s="17">
        <f>'Rolling report'!CJ202*'With Action'!$Y$6</f>
        <v>0.30000000000000004</v>
      </c>
      <c r="R202" s="17">
        <f>'Rolling report'!CK202*'With Action'!$Y$6</f>
        <v>0.25000000000000006</v>
      </c>
      <c r="S202" s="17">
        <f>'Rolling report'!CL202*'With Action'!$Y$6</f>
        <v>0.25000000000000006</v>
      </c>
      <c r="T202" s="17">
        <f>'Rolling report'!CM202*'With Action'!$Y$6</f>
        <v>0.35000000000000009</v>
      </c>
      <c r="U202" s="17">
        <f>'Rolling report'!CN202*'With Action'!$Y$6</f>
        <v>0.30000000000000004</v>
      </c>
      <c r="V202" s="17">
        <f>'Rolling report'!CO202*'With Action'!$Y$6</f>
        <v>5.000000000000001E-2</v>
      </c>
      <c r="W202" s="17">
        <f>'Rolling report'!CP202*'With Action'!$Y$6</f>
        <v>0.15000000000000002</v>
      </c>
      <c r="X202" s="17">
        <f>'Rolling report'!CQ202*'With Action'!$Y$6</f>
        <v>0</v>
      </c>
      <c r="Y202" s="17">
        <f>'Rolling report'!CR202*'With Action'!$Y$6</f>
        <v>5.000000000000001E-2</v>
      </c>
      <c r="Z202" s="17">
        <f>'Rolling report'!CS202*'With Action'!$Y$6</f>
        <v>0.25000000000000006</v>
      </c>
      <c r="AA202" s="17">
        <f>'Rolling report'!CT202*'With Action'!$Y$6</f>
        <v>0.25000000000000006</v>
      </c>
      <c r="AB202" s="17">
        <f>'Rolling report'!CU202*'With Action'!$Y$6</f>
        <v>0</v>
      </c>
      <c r="AC202" s="17">
        <f>'Rolling report'!CV202*'With Action'!$Y$6</f>
        <v>5.000000000000001E-2</v>
      </c>
      <c r="AD202" s="17">
        <f>'Rolling report'!CW202*'With Action'!$Y$6</f>
        <v>0.10000000000000002</v>
      </c>
      <c r="AE202" s="17">
        <f>'Rolling report'!CX202*'With Action'!$Y$6</f>
        <v>0.45000000000000007</v>
      </c>
      <c r="AF202" s="17">
        <f>'Rolling report'!CY202*'With Action'!$Y$6</f>
        <v>-6.9500000000000011</v>
      </c>
      <c r="AG202" s="17">
        <f>'Rolling report'!CZ202*'With Action'!$Y$6</f>
        <v>0</v>
      </c>
      <c r="AH202" s="17">
        <f>'Rolling report'!DA202*'With Action'!$Y$6</f>
        <v>0</v>
      </c>
      <c r="AI202" s="17">
        <f>'Rolling report'!DB202*'With Action'!$Y$6</f>
        <v>0</v>
      </c>
      <c r="AJ202" s="17">
        <f>'Rolling report'!DC202*'With Action'!$Y$6</f>
        <v>0</v>
      </c>
      <c r="AK202" s="17">
        <f>'Rolling report'!DD202*'With Action'!$Y$6</f>
        <v>0</v>
      </c>
      <c r="AL202" s="17">
        <f>'Rolling report'!DE202*'With Action'!$Y$6</f>
        <v>0</v>
      </c>
      <c r="AM202" s="17">
        <f>'Rolling report'!DF202*'With Action'!$Y$6</f>
        <v>0</v>
      </c>
      <c r="AN202" s="17">
        <f>'Rolling report'!DG202*'With Action'!$Y$6</f>
        <v>0</v>
      </c>
      <c r="AO202" s="17">
        <f>'Rolling report'!DH202*'With Action'!$Y$6</f>
        <v>0</v>
      </c>
      <c r="AP202" s="17">
        <f>'Rolling report'!DI202*'With Action'!$Y$6</f>
        <v>0</v>
      </c>
    </row>
    <row r="203" spans="1:42" x14ac:dyDescent="0.25">
      <c r="A203" s="4" t="s">
        <v>445</v>
      </c>
      <c r="B203" s="6" t="s">
        <v>446</v>
      </c>
      <c r="I203" s="17">
        <f>'Rolling report'!CB203*'With Action'!$Y$6</f>
        <v>2.6500000000000004</v>
      </c>
      <c r="J203" s="17">
        <f>'Rolling report'!CC203*'With Action'!$Y$6</f>
        <v>0.30000000000000004</v>
      </c>
      <c r="K203" s="17">
        <f>'Rolling report'!CD203*'With Action'!$Y$6</f>
        <v>0</v>
      </c>
      <c r="L203" s="17">
        <f>'Rolling report'!CE203*'With Action'!$Y$6</f>
        <v>0.30000000000000004</v>
      </c>
      <c r="M203" s="17">
        <f>'Rolling report'!CF203*'With Action'!$Y$6</f>
        <v>0.30000000000000004</v>
      </c>
      <c r="N203" s="17">
        <f>'Rolling report'!CG203*'With Action'!$Y$6</f>
        <v>0.15000000000000002</v>
      </c>
      <c r="O203" s="17">
        <f>'Rolling report'!CH203*'With Action'!$Y$6</f>
        <v>0.30000000000000004</v>
      </c>
      <c r="P203" s="17">
        <f>'Rolling report'!CI203*'With Action'!$Y$6</f>
        <v>0.10000000000000002</v>
      </c>
      <c r="Q203" s="17">
        <f>'Rolling report'!CJ203*'With Action'!$Y$6</f>
        <v>0.45000000000000007</v>
      </c>
      <c r="R203" s="17">
        <f>'Rolling report'!CK203*'With Action'!$Y$6</f>
        <v>0.35000000000000009</v>
      </c>
      <c r="S203" s="17">
        <f>'Rolling report'!CL203*'With Action'!$Y$6</f>
        <v>0.15000000000000002</v>
      </c>
      <c r="T203" s="17">
        <f>'Rolling report'!CM203*'With Action'!$Y$6</f>
        <v>0.15000000000000002</v>
      </c>
      <c r="U203" s="17">
        <f>'Rolling report'!CN203*'With Action'!$Y$6</f>
        <v>0.40000000000000008</v>
      </c>
      <c r="V203" s="17">
        <f>'Rolling report'!CO203*'With Action'!$Y$6</f>
        <v>0.10000000000000002</v>
      </c>
      <c r="W203" s="17">
        <f>'Rolling report'!CP203*'With Action'!$Y$6</f>
        <v>0.45000000000000007</v>
      </c>
      <c r="X203" s="17">
        <f>'Rolling report'!CQ203*'With Action'!$Y$6</f>
        <v>0</v>
      </c>
      <c r="Y203" s="17">
        <f>'Rolling report'!CR203*'With Action'!$Y$6</f>
        <v>5.000000000000001E-2</v>
      </c>
      <c r="Z203" s="17">
        <f>'Rolling report'!CS203*'With Action'!$Y$6</f>
        <v>5.000000000000001E-2</v>
      </c>
      <c r="AA203" s="17">
        <f>'Rolling report'!CT203*'With Action'!$Y$6</f>
        <v>0.10000000000000002</v>
      </c>
      <c r="AB203" s="17">
        <f>'Rolling report'!CU203*'With Action'!$Y$6</f>
        <v>0</v>
      </c>
      <c r="AC203" s="17">
        <f>'Rolling report'!CV203*'With Action'!$Y$6</f>
        <v>0.10000000000000002</v>
      </c>
      <c r="AD203" s="17">
        <f>'Rolling report'!CW203*'With Action'!$Y$6</f>
        <v>-5.000000000000001E-2</v>
      </c>
      <c r="AE203" s="17">
        <f>'Rolling report'!CX203*'With Action'!$Y$6</f>
        <v>5.000000000000001E-2</v>
      </c>
      <c r="AF203" s="17">
        <f>'Rolling report'!CY203*'With Action'!$Y$6</f>
        <v>-6.4500000000000011</v>
      </c>
      <c r="AG203" s="17">
        <f>'Rolling report'!CZ203*'With Action'!$Y$6</f>
        <v>0</v>
      </c>
      <c r="AH203" s="17">
        <f>'Rolling report'!DA203*'With Action'!$Y$6</f>
        <v>0</v>
      </c>
      <c r="AI203" s="17">
        <f>'Rolling report'!DB203*'With Action'!$Y$6</f>
        <v>0</v>
      </c>
      <c r="AJ203" s="17">
        <f>'Rolling report'!DC203*'With Action'!$Y$6</f>
        <v>0</v>
      </c>
      <c r="AK203" s="17">
        <f>'Rolling report'!DD203*'With Action'!$Y$6</f>
        <v>0</v>
      </c>
      <c r="AL203" s="17">
        <f>'Rolling report'!DE203*'With Action'!$Y$6</f>
        <v>0</v>
      </c>
      <c r="AM203" s="17">
        <f>'Rolling report'!DF203*'With Action'!$Y$6</f>
        <v>0</v>
      </c>
      <c r="AN203" s="17">
        <f>'Rolling report'!DG203*'With Action'!$Y$6</f>
        <v>0</v>
      </c>
      <c r="AO203" s="17">
        <f>'Rolling report'!DH203*'With Action'!$Y$6</f>
        <v>0</v>
      </c>
      <c r="AP203" s="17">
        <f>'Rolling report'!DI203*'With Action'!$Y$6</f>
        <v>0</v>
      </c>
    </row>
    <row r="204" spans="1:42" x14ac:dyDescent="0.25">
      <c r="A204" s="4" t="s">
        <v>447</v>
      </c>
      <c r="B204" s="6" t="s">
        <v>448</v>
      </c>
      <c r="I204" s="17">
        <f>'Rolling report'!CB204*'With Action'!$Y$6</f>
        <v>0.25000000000000006</v>
      </c>
      <c r="J204" s="17">
        <f>'Rolling report'!CC204*'With Action'!$Y$6</f>
        <v>0</v>
      </c>
      <c r="K204" s="17">
        <f>'Rolling report'!CD204*'With Action'!$Y$6</f>
        <v>0</v>
      </c>
      <c r="L204" s="17">
        <f>'Rolling report'!CE204*'With Action'!$Y$6</f>
        <v>0</v>
      </c>
      <c r="M204" s="17">
        <f>'Rolling report'!CF204*'With Action'!$Y$6</f>
        <v>0</v>
      </c>
      <c r="N204" s="17">
        <f>'Rolling report'!CG204*'With Action'!$Y$6</f>
        <v>0</v>
      </c>
      <c r="O204" s="17">
        <f>'Rolling report'!CH204*'With Action'!$Y$6</f>
        <v>0.25000000000000006</v>
      </c>
      <c r="P204" s="17">
        <f>'Rolling report'!CI204*'With Action'!$Y$6</f>
        <v>0</v>
      </c>
      <c r="Q204" s="17">
        <f>'Rolling report'!CJ204*'With Action'!$Y$6</f>
        <v>0</v>
      </c>
      <c r="R204" s="17">
        <f>'Rolling report'!CK204*'With Action'!$Y$6</f>
        <v>0</v>
      </c>
      <c r="S204" s="17">
        <f>'Rolling report'!CL204*'With Action'!$Y$6</f>
        <v>-0.25000000000000006</v>
      </c>
      <c r="T204" s="17">
        <f>'Rolling report'!CM204*'With Action'!$Y$6</f>
        <v>0.25000000000000006</v>
      </c>
      <c r="U204" s="17">
        <f>'Rolling report'!CN204*'With Action'!$Y$6</f>
        <v>0.25000000000000006</v>
      </c>
      <c r="V204" s="17">
        <f>'Rolling report'!CO204*'With Action'!$Y$6</f>
        <v>0</v>
      </c>
      <c r="W204" s="17">
        <f>'Rolling report'!CP204*'With Action'!$Y$6</f>
        <v>0</v>
      </c>
      <c r="X204" s="17">
        <f>'Rolling report'!CQ204*'With Action'!$Y$6</f>
        <v>0</v>
      </c>
      <c r="Y204" s="17">
        <f>'Rolling report'!CR204*'With Action'!$Y$6</f>
        <v>0</v>
      </c>
      <c r="Z204" s="17">
        <f>'Rolling report'!CS204*'With Action'!$Y$6</f>
        <v>0</v>
      </c>
      <c r="AA204" s="17">
        <f>'Rolling report'!CT204*'With Action'!$Y$6</f>
        <v>-0.15000000000000002</v>
      </c>
      <c r="AB204" s="17">
        <f>'Rolling report'!CU204*'With Action'!$Y$6</f>
        <v>0</v>
      </c>
      <c r="AC204" s="17">
        <f>'Rolling report'!CV204*'With Action'!$Y$6</f>
        <v>0</v>
      </c>
      <c r="AD204" s="17">
        <f>'Rolling report'!CW204*'With Action'!$Y$6</f>
        <v>0.15000000000000002</v>
      </c>
      <c r="AE204" s="17">
        <f>'Rolling report'!CX204*'With Action'!$Y$6</f>
        <v>-0.35000000000000009</v>
      </c>
      <c r="AF204" s="17">
        <f>'Rolling report'!CY204*'With Action'!$Y$6</f>
        <v>-0.40000000000000008</v>
      </c>
      <c r="AG204" s="17">
        <f>'Rolling report'!CZ204*'With Action'!$Y$6</f>
        <v>0</v>
      </c>
      <c r="AH204" s="17">
        <f>'Rolling report'!DA204*'With Action'!$Y$6</f>
        <v>0</v>
      </c>
      <c r="AI204" s="17">
        <f>'Rolling report'!DB204*'With Action'!$Y$6</f>
        <v>0</v>
      </c>
      <c r="AJ204" s="17">
        <f>'Rolling report'!DC204*'With Action'!$Y$6</f>
        <v>0</v>
      </c>
      <c r="AK204" s="17">
        <f>'Rolling report'!DD204*'With Action'!$Y$6</f>
        <v>0</v>
      </c>
      <c r="AL204" s="17">
        <f>'Rolling report'!DE204*'With Action'!$Y$6</f>
        <v>0</v>
      </c>
      <c r="AM204" s="17">
        <f>'Rolling report'!DF204*'With Action'!$Y$6</f>
        <v>0</v>
      </c>
      <c r="AN204" s="17">
        <f>'Rolling report'!DG204*'With Action'!$Y$6</f>
        <v>0</v>
      </c>
      <c r="AO204" s="17">
        <f>'Rolling report'!DH204*'With Action'!$Y$6</f>
        <v>0</v>
      </c>
      <c r="AP204" s="17">
        <f>'Rolling report'!DI204*'With Action'!$Y$6</f>
        <v>0</v>
      </c>
    </row>
    <row r="205" spans="1:42" x14ac:dyDescent="0.25">
      <c r="A205" s="4" t="s">
        <v>526</v>
      </c>
      <c r="B205" s="6" t="s">
        <v>527</v>
      </c>
      <c r="I205" s="17">
        <f>'Rolling report'!CB205*'With Action'!$Y$6</f>
        <v>2.8000000000000007</v>
      </c>
      <c r="J205" s="17">
        <f>'Rolling report'!CC205*'With Action'!$Y$6</f>
        <v>0.40000000000000008</v>
      </c>
      <c r="K205" s="17">
        <f>'Rolling report'!CD205*'With Action'!$Y$6</f>
        <v>0</v>
      </c>
      <c r="L205" s="17">
        <f>'Rolling report'!CE205*'With Action'!$Y$6</f>
        <v>5.000000000000001E-2</v>
      </c>
      <c r="M205" s="17">
        <f>'Rolling report'!CF205*'With Action'!$Y$6</f>
        <v>0.25000000000000006</v>
      </c>
      <c r="N205" s="17">
        <f>'Rolling report'!CG205*'With Action'!$Y$6</f>
        <v>0.35000000000000009</v>
      </c>
      <c r="O205" s="17">
        <f>'Rolling report'!CH205*'With Action'!$Y$6</f>
        <v>5.000000000000001E-2</v>
      </c>
      <c r="P205" s="17">
        <f>'Rolling report'!CI205*'With Action'!$Y$6</f>
        <v>0</v>
      </c>
      <c r="Q205" s="17">
        <f>'Rolling report'!CJ205*'With Action'!$Y$6</f>
        <v>0.35000000000000009</v>
      </c>
      <c r="R205" s="17">
        <f>'Rolling report'!CK205*'With Action'!$Y$6</f>
        <v>5.000000000000001E-2</v>
      </c>
      <c r="S205" s="17">
        <f>'Rolling report'!CL205*'With Action'!$Y$6</f>
        <v>0.35000000000000009</v>
      </c>
      <c r="T205" s="17">
        <f>'Rolling report'!CM205*'With Action'!$Y$6</f>
        <v>5.000000000000001E-2</v>
      </c>
      <c r="U205" s="17">
        <f>'Rolling report'!CN205*'With Action'!$Y$6</f>
        <v>0</v>
      </c>
      <c r="V205" s="17">
        <f>'Rolling report'!CO205*'With Action'!$Y$6</f>
        <v>0.15000000000000002</v>
      </c>
      <c r="W205" s="17">
        <f>'Rolling report'!CP205*'With Action'!$Y$6</f>
        <v>0.30000000000000004</v>
      </c>
      <c r="X205" s="17">
        <f>'Rolling report'!CQ205*'With Action'!$Y$6</f>
        <v>0</v>
      </c>
      <c r="Y205" s="17">
        <f>'Rolling report'!CR205*'With Action'!$Y$6</f>
        <v>5.000000000000001E-2</v>
      </c>
      <c r="Z205" s="17">
        <f>'Rolling report'!CS205*'With Action'!$Y$6</f>
        <v>0</v>
      </c>
      <c r="AA205" s="17">
        <f>'Rolling report'!CT205*'With Action'!$Y$6</f>
        <v>0.15000000000000002</v>
      </c>
      <c r="AB205" s="17">
        <f>'Rolling report'!CU205*'With Action'!$Y$6</f>
        <v>0</v>
      </c>
      <c r="AC205" s="17">
        <f>'Rolling report'!CV205*'With Action'!$Y$6</f>
        <v>5.000000000000001E-2</v>
      </c>
      <c r="AD205" s="17">
        <f>'Rolling report'!CW205*'With Action'!$Y$6</f>
        <v>5.000000000000001E-2</v>
      </c>
      <c r="AE205" s="17">
        <f>'Rolling report'!CX205*'With Action'!$Y$6</f>
        <v>-5.000000000000001E-2</v>
      </c>
      <c r="AF205" s="17">
        <f>'Rolling report'!CY205*'With Action'!$Y$6</f>
        <v>-5.4000000000000012</v>
      </c>
      <c r="AG205" s="17">
        <f>'Rolling report'!CZ205*'With Action'!$Y$6</f>
        <v>0</v>
      </c>
      <c r="AH205" s="17">
        <f>'Rolling report'!DA205*'With Action'!$Y$6</f>
        <v>0</v>
      </c>
      <c r="AI205" s="17">
        <f>'Rolling report'!DB205*'With Action'!$Y$6</f>
        <v>0</v>
      </c>
      <c r="AJ205" s="17">
        <f>'Rolling report'!DC205*'With Action'!$Y$6</f>
        <v>0</v>
      </c>
      <c r="AK205" s="17">
        <f>'Rolling report'!DD205*'With Action'!$Y$6</f>
        <v>0</v>
      </c>
      <c r="AL205" s="17">
        <f>'Rolling report'!DE205*'With Action'!$Y$6</f>
        <v>0</v>
      </c>
      <c r="AM205" s="17">
        <f>'Rolling report'!DF205*'With Action'!$Y$6</f>
        <v>0</v>
      </c>
      <c r="AN205" s="17">
        <f>'Rolling report'!DG205*'With Action'!$Y$6</f>
        <v>0</v>
      </c>
      <c r="AO205" s="17">
        <f>'Rolling report'!DH205*'With Action'!$Y$6</f>
        <v>0</v>
      </c>
      <c r="AP205" s="17">
        <f>'Rolling report'!DI205*'With Action'!$Y$6</f>
        <v>0</v>
      </c>
    </row>
    <row r="206" spans="1:42" x14ac:dyDescent="0.25">
      <c r="A206" s="4"/>
      <c r="B206" s="6"/>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P206" s="17"/>
    </row>
    <row r="207" spans="1:42" x14ac:dyDescent="0.25">
      <c r="A207" s="8" t="str">
        <f>'No Action'!A207</f>
        <v>Total Scotland UTLA</v>
      </c>
      <c r="B207" s="11"/>
      <c r="I207" s="17">
        <f>'Rolling report'!CB207*'With Action'!$Y$6</f>
        <v>64.550000000000011</v>
      </c>
      <c r="J207" s="17">
        <f>'Rolling report'!CC207*'With Action'!$Y$6</f>
        <v>10.550000000000002</v>
      </c>
      <c r="K207" s="17">
        <f>'Rolling report'!CD207*'With Action'!$Y$6</f>
        <v>8.5500000000000025</v>
      </c>
      <c r="L207" s="17">
        <f>'Rolling report'!CE207*'With Action'!$Y$6</f>
        <v>9.7000000000000011</v>
      </c>
      <c r="M207" s="17">
        <f>'Rolling report'!CF207*'With Action'!$Y$6</f>
        <v>8.9500000000000011</v>
      </c>
      <c r="N207" s="17">
        <f>'Rolling report'!CG207*'With Action'!$Y$6</f>
        <v>5.3000000000000007</v>
      </c>
      <c r="O207" s="17">
        <f>'Rolling report'!CH207*'With Action'!$Y$6</f>
        <v>11.000000000000002</v>
      </c>
      <c r="P207" s="17">
        <f>'Rolling report'!CI207*'With Action'!$Y$6</f>
        <v>6.4000000000000012</v>
      </c>
      <c r="Q207" s="17">
        <f>'Rolling report'!CJ207*'With Action'!$Y$6</f>
        <v>7.3500000000000014</v>
      </c>
      <c r="R207" s="17">
        <f>'Rolling report'!CK207*'With Action'!$Y$6</f>
        <v>7.8500000000000014</v>
      </c>
      <c r="S207" s="17">
        <f>'Rolling report'!CL207*'With Action'!$Y$6</f>
        <v>3.9000000000000008</v>
      </c>
      <c r="T207" s="17">
        <f>'Rolling report'!CM207*'With Action'!$Y$6</f>
        <v>7.6000000000000014</v>
      </c>
      <c r="U207" s="17">
        <f>'Rolling report'!CN207*'With Action'!$Y$6</f>
        <v>5.8500000000000014</v>
      </c>
      <c r="V207" s="17">
        <f>'Rolling report'!CO207*'With Action'!$Y$6</f>
        <v>4.5500000000000007</v>
      </c>
      <c r="W207" s="17">
        <f>'Rolling report'!CP207*'With Action'!$Y$6</f>
        <v>3.5500000000000007</v>
      </c>
      <c r="X207" s="17">
        <f>'Rolling report'!CQ207*'With Action'!$Y$6</f>
        <v>1.3000000000000003</v>
      </c>
      <c r="Y207" s="17">
        <f>'Rolling report'!CR207*'With Action'!$Y$6</f>
        <v>3.3500000000000005</v>
      </c>
      <c r="Z207" s="17">
        <f>'Rolling report'!CS207*'With Action'!$Y$6</f>
        <v>3.5000000000000009</v>
      </c>
      <c r="AA207" s="17">
        <f>'Rolling report'!CT207*'With Action'!$Y$6</f>
        <v>2.2500000000000004</v>
      </c>
      <c r="AB207" s="17">
        <f>'Rolling report'!CU207*'With Action'!$Y$6</f>
        <v>2.9500000000000006</v>
      </c>
      <c r="AC207" s="17">
        <f>'Rolling report'!CV207*'With Action'!$Y$6</f>
        <v>4.3000000000000007</v>
      </c>
      <c r="AD207" s="17">
        <f>'Rolling report'!CW207*'With Action'!$Y$6</f>
        <v>1.7500000000000004</v>
      </c>
      <c r="AE207" s="17">
        <f>'Rolling report'!CX207*'With Action'!$Y$6</f>
        <v>1.1000000000000003</v>
      </c>
      <c r="AF207" s="17">
        <f>'Rolling report'!CY207*'With Action'!$Y$6</f>
        <v>-186.15000000000003</v>
      </c>
      <c r="AG207" s="17">
        <f>'Rolling report'!CZ207*'With Action'!$Y$6</f>
        <v>0</v>
      </c>
      <c r="AH207" s="17">
        <f>'Rolling report'!DA207*'With Action'!$Y$6</f>
        <v>0</v>
      </c>
      <c r="AI207" s="17">
        <f>'Rolling report'!DB207*'With Action'!$Y$6</f>
        <v>0</v>
      </c>
      <c r="AJ207" s="17">
        <f>'Rolling report'!DC207*'With Action'!$Y$6</f>
        <v>0</v>
      </c>
      <c r="AK207" s="17">
        <f>'Rolling report'!DD207*'With Action'!$Y$6</f>
        <v>0</v>
      </c>
      <c r="AL207" s="17">
        <f>'Rolling report'!DE207*'With Action'!$Y$6</f>
        <v>0</v>
      </c>
      <c r="AM207" s="17">
        <f>'Rolling report'!DF207*'With Action'!$Y$6</f>
        <v>0</v>
      </c>
      <c r="AN207" s="17">
        <f>'Rolling report'!DG207*'With Action'!$Y$6</f>
        <v>0</v>
      </c>
      <c r="AO207" s="17">
        <f>'Rolling report'!DH207*'With Action'!$Y$6</f>
        <v>0</v>
      </c>
      <c r="AP207" s="17">
        <f>'Rolling report'!DI207*'With Action'!$Y$6</f>
        <v>0</v>
      </c>
    </row>
    <row r="208" spans="1:42" x14ac:dyDescent="0.25">
      <c r="A208" s="4"/>
      <c r="B208" s="6"/>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P208" s="17"/>
    </row>
    <row r="209" spans="1:42" x14ac:dyDescent="0.25">
      <c r="A209" s="33"/>
      <c r="B209" s="33"/>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P209" s="17"/>
    </row>
    <row r="210" spans="1:42" x14ac:dyDescent="0.25">
      <c r="A210" s="4"/>
      <c r="B210" s="6"/>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P210" s="17"/>
    </row>
    <row r="211" spans="1:42" x14ac:dyDescent="0.25">
      <c r="A211" s="8" t="str">
        <f>'No Action'!A211</f>
        <v>Scottish Government</v>
      </c>
      <c r="B211" s="11"/>
      <c r="I211" s="17">
        <f>'Rolling report'!CB211*'With Action'!$Y$6</f>
        <v>42.750000000000007</v>
      </c>
      <c r="J211" s="17">
        <f>'Rolling report'!CC211*'With Action'!$Y$6</f>
        <v>14.350000000000003</v>
      </c>
      <c r="K211" s="17">
        <f>'Rolling report'!CD211*'With Action'!$Y$6</f>
        <v>15.200000000000003</v>
      </c>
      <c r="L211" s="17">
        <f>'Rolling report'!CE211*'With Action'!$Y$6</f>
        <v>22.050000000000004</v>
      </c>
      <c r="M211" s="17">
        <f>'Rolling report'!CF211*'With Action'!$Y$6</f>
        <v>17.450000000000003</v>
      </c>
      <c r="N211" s="17">
        <f>'Rolling report'!CG211*'With Action'!$Y$6</f>
        <v>19.750000000000004</v>
      </c>
      <c r="O211" s="17">
        <f>'Rolling report'!CH211*'With Action'!$Y$6</f>
        <v>36.350000000000009</v>
      </c>
      <c r="P211" s="17">
        <f>'Rolling report'!CI211*'With Action'!$Y$6</f>
        <v>26.000000000000004</v>
      </c>
      <c r="Q211" s="17">
        <f>'Rolling report'!CJ211*'With Action'!$Y$6</f>
        <v>39.400000000000006</v>
      </c>
      <c r="R211" s="17">
        <f>'Rolling report'!CK211*'With Action'!$Y$6</f>
        <v>39.550000000000004</v>
      </c>
      <c r="S211" s="17">
        <f>'Rolling report'!CL211*'With Action'!$Y$6</f>
        <v>35.300000000000004</v>
      </c>
      <c r="T211" s="17">
        <f>'Rolling report'!CM211*'With Action'!$Y$6</f>
        <v>69.550000000000011</v>
      </c>
      <c r="U211" s="17">
        <f>'Rolling report'!CN211*'With Action'!$Y$6</f>
        <v>66.300000000000011</v>
      </c>
      <c r="V211" s="17">
        <f>'Rolling report'!CO211*'With Action'!$Y$6</f>
        <v>58.800000000000011</v>
      </c>
      <c r="W211" s="17">
        <f>'Rolling report'!CP211*'With Action'!$Y$6</f>
        <v>45.95000000000001</v>
      </c>
      <c r="X211" s="17">
        <f>'Rolling report'!CQ211*'With Action'!$Y$6</f>
        <v>33.150000000000006</v>
      </c>
      <c r="Y211" s="17">
        <f>'Rolling report'!CR211*'With Action'!$Y$6</f>
        <v>37.600000000000009</v>
      </c>
      <c r="Z211" s="17">
        <f>'Rolling report'!CS211*'With Action'!$Y$6</f>
        <v>40.400000000000006</v>
      </c>
      <c r="AA211" s="17">
        <f>'Rolling report'!CT211*'With Action'!$Y$6</f>
        <v>44.300000000000011</v>
      </c>
      <c r="AB211" s="17">
        <f>'Rolling report'!CU211*'With Action'!$Y$6</f>
        <v>38.400000000000006</v>
      </c>
      <c r="AC211" s="17">
        <f>'Rolling report'!CV211*'With Action'!$Y$6</f>
        <v>47.850000000000009</v>
      </c>
      <c r="AD211" s="17">
        <f>'Rolling report'!CW211*'With Action'!$Y$6</f>
        <v>28.000000000000007</v>
      </c>
      <c r="AE211" s="17">
        <f>'Rolling report'!CX211*'With Action'!$Y$6</f>
        <v>24.950000000000006</v>
      </c>
      <c r="AF211" s="17">
        <f>'Rolling report'!CY211*'With Action'!$Y$6</f>
        <v>-843.4000000000002</v>
      </c>
      <c r="AG211" s="17">
        <f>'Rolling report'!CZ211*'With Action'!$Y$6</f>
        <v>0</v>
      </c>
      <c r="AH211" s="17">
        <f>'Rolling report'!DA211*'With Action'!$Y$6</f>
        <v>0</v>
      </c>
      <c r="AI211" s="17">
        <f>'Rolling report'!DB211*'With Action'!$Y$6</f>
        <v>0</v>
      </c>
      <c r="AJ211" s="17">
        <f>'Rolling report'!DC211*'With Action'!$Y$6</f>
        <v>0</v>
      </c>
      <c r="AK211" s="17">
        <f>'Rolling report'!DD211*'With Action'!$Y$6</f>
        <v>0</v>
      </c>
      <c r="AL211" s="17">
        <f>'Rolling report'!DE211*'With Action'!$Y$6</f>
        <v>0</v>
      </c>
      <c r="AM211" s="17">
        <f>'Rolling report'!DF211*'With Action'!$Y$6</f>
        <v>0</v>
      </c>
      <c r="AN211" s="17">
        <f>'Rolling report'!DG211*'With Action'!$Y$6</f>
        <v>0</v>
      </c>
      <c r="AO211" s="17">
        <f>'Rolling report'!DH211*'With Action'!$Y$6</f>
        <v>0</v>
      </c>
      <c r="AP211" s="17">
        <f>'Rolling report'!DI211*'With Action'!$Y$6</f>
        <v>0</v>
      </c>
    </row>
    <row r="212" spans="1:42" x14ac:dyDescent="0.25">
      <c r="A212" s="4"/>
      <c r="B212" s="6"/>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P212" s="17"/>
    </row>
    <row r="213" spans="1:42" x14ac:dyDescent="0.25">
      <c r="A213" s="8" t="str">
        <f>'No Action'!A213</f>
        <v>All Scotland</v>
      </c>
      <c r="B213" s="11"/>
      <c r="I213" s="17">
        <f>'Rolling report'!CB213*'With Action'!$Y$6</f>
        <v>107.30000000000003</v>
      </c>
      <c r="J213" s="17">
        <f>'Rolling report'!CC213*'With Action'!$Y$6</f>
        <v>24.900000000000006</v>
      </c>
      <c r="K213" s="17">
        <f>'Rolling report'!CD213*'With Action'!$Y$6</f>
        <v>23.750000000000004</v>
      </c>
      <c r="L213" s="17">
        <f>'Rolling report'!CE213*'With Action'!$Y$6</f>
        <v>31.750000000000007</v>
      </c>
      <c r="M213" s="17">
        <f>'Rolling report'!CF213*'With Action'!$Y$6</f>
        <v>26.400000000000006</v>
      </c>
      <c r="N213" s="17">
        <f>'Rolling report'!CG213*'With Action'!$Y$6</f>
        <v>25.050000000000004</v>
      </c>
      <c r="O213" s="17">
        <f>'Rolling report'!CH213*'With Action'!$Y$6</f>
        <v>47.350000000000009</v>
      </c>
      <c r="P213" s="17">
        <f>'Rolling report'!CI213*'With Action'!$Y$6</f>
        <v>32.400000000000006</v>
      </c>
      <c r="Q213" s="17">
        <f>'Rolling report'!CJ213*'With Action'!$Y$6</f>
        <v>46.750000000000007</v>
      </c>
      <c r="R213" s="17">
        <f>'Rolling report'!CK213*'With Action'!$Y$6</f>
        <v>47.400000000000006</v>
      </c>
      <c r="S213" s="17">
        <f>'Rolling report'!CL213*'With Action'!$Y$6</f>
        <v>39.20000000000001</v>
      </c>
      <c r="T213" s="17">
        <f>'Rolling report'!CM213*'With Action'!$Y$6</f>
        <v>77.15000000000002</v>
      </c>
      <c r="U213" s="17">
        <f>'Rolling report'!CN213*'With Action'!$Y$6</f>
        <v>72.15000000000002</v>
      </c>
      <c r="V213" s="17">
        <f>'Rolling report'!CO213*'With Action'!$Y$6</f>
        <v>63.350000000000016</v>
      </c>
      <c r="W213" s="17">
        <f>'Rolling report'!CP213*'With Action'!$Y$6</f>
        <v>49.500000000000007</v>
      </c>
      <c r="X213" s="17">
        <f>'Rolling report'!CQ213*'With Action'!$Y$6</f>
        <v>34.45000000000001</v>
      </c>
      <c r="Y213" s="17">
        <f>'Rolling report'!CR213*'With Action'!$Y$6</f>
        <v>40.95000000000001</v>
      </c>
      <c r="Z213" s="17">
        <f>'Rolling report'!CS213*'With Action'!$Y$6</f>
        <v>43.900000000000006</v>
      </c>
      <c r="AA213" s="17">
        <f>'Rolling report'!CT213*'With Action'!$Y$6</f>
        <v>46.550000000000011</v>
      </c>
      <c r="AB213" s="17">
        <f>'Rolling report'!CU213*'With Action'!$Y$6</f>
        <v>41.350000000000009</v>
      </c>
      <c r="AC213" s="17">
        <f>'Rolling report'!CV213*'With Action'!$Y$6</f>
        <v>52.150000000000013</v>
      </c>
      <c r="AD213" s="17">
        <f>'Rolling report'!CW213*'With Action'!$Y$6</f>
        <v>29.750000000000007</v>
      </c>
      <c r="AE213" s="17">
        <f>'Rolling report'!CX213*'With Action'!$Y$6</f>
        <v>26.050000000000004</v>
      </c>
      <c r="AF213" s="17">
        <f>'Rolling report'!CY213*'With Action'!$Y$6</f>
        <v>-1029.5500000000002</v>
      </c>
      <c r="AG213" s="17">
        <f>'Rolling report'!CZ213*'With Action'!$Y$6</f>
        <v>0</v>
      </c>
      <c r="AH213" s="17">
        <f>'Rolling report'!DA213*'With Action'!$Y$6</f>
        <v>0</v>
      </c>
      <c r="AI213" s="17">
        <f>'Rolling report'!DB213*'With Action'!$Y$6</f>
        <v>0</v>
      </c>
      <c r="AJ213" s="17">
        <f>'Rolling report'!DC213*'With Action'!$Y$6</f>
        <v>0</v>
      </c>
      <c r="AK213" s="17">
        <f>'Rolling report'!DD213*'With Action'!$Y$6</f>
        <v>0</v>
      </c>
      <c r="AL213" s="17">
        <f>'Rolling report'!DE213*'With Action'!$Y$6</f>
        <v>0</v>
      </c>
      <c r="AM213" s="17">
        <f>'Rolling report'!DF213*'With Action'!$Y$6</f>
        <v>0</v>
      </c>
      <c r="AN213" s="17">
        <f>'Rolling report'!DG213*'With Action'!$Y$6</f>
        <v>0</v>
      </c>
      <c r="AO213" s="17">
        <f>'Rolling report'!DH213*'With Action'!$Y$6</f>
        <v>0</v>
      </c>
      <c r="AP213" s="17">
        <f>'Rolling report'!DI213*'With Action'!$Y$6</f>
        <v>0</v>
      </c>
    </row>
    <row r="214" spans="1:42" ht="15.75" thickBot="1" x14ac:dyDescent="0.3">
      <c r="A214" s="12"/>
      <c r="B214" s="13"/>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P214" s="17"/>
    </row>
    <row r="215" spans="1:42" x14ac:dyDescent="0.25">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P215" s="17"/>
    </row>
    <row r="216" spans="1:42" ht="20.25" x14ac:dyDescent="0.3">
      <c r="A216" s="1" t="s">
        <v>0</v>
      </c>
      <c r="B216" s="2"/>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P216" s="17"/>
    </row>
    <row r="217" spans="1:42" x14ac:dyDescent="0.25">
      <c r="A217" s="3" t="s">
        <v>1</v>
      </c>
      <c r="B217" s="2"/>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P217" s="17"/>
    </row>
    <row r="218" spans="1:42" x14ac:dyDescent="0.25">
      <c r="A218" s="4" t="s">
        <v>2</v>
      </c>
      <c r="B218" s="2"/>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P218" s="17"/>
    </row>
    <row r="219" spans="1:42" x14ac:dyDescent="0.25">
      <c r="A219" s="5" t="s">
        <v>454</v>
      </c>
      <c r="B219" s="6"/>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P219" s="17"/>
    </row>
    <row r="220" spans="1:42" x14ac:dyDescent="0.25">
      <c r="A220" s="7"/>
      <c r="B220" s="6"/>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P220" s="17"/>
    </row>
    <row r="221" spans="1:42" x14ac:dyDescent="0.25">
      <c r="A221" s="8" t="s">
        <v>455</v>
      </c>
      <c r="B221" s="30"/>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P221" s="17"/>
    </row>
    <row r="222" spans="1:42" x14ac:dyDescent="0.25">
      <c r="A222" s="9"/>
      <c r="B222" s="2"/>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row>
    <row r="223" spans="1:42" x14ac:dyDescent="0.25">
      <c r="A223" s="10" t="s">
        <v>3</v>
      </c>
      <c r="B223" s="31" t="s">
        <v>4</v>
      </c>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row>
    <row r="224" spans="1:42" x14ac:dyDescent="0.25">
      <c r="A224" s="4"/>
      <c r="B224" s="6"/>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row>
    <row r="225" spans="1:42" x14ac:dyDescent="0.25">
      <c r="A225" s="4" t="s">
        <v>456</v>
      </c>
      <c r="B225" s="6" t="s">
        <v>457</v>
      </c>
      <c r="I225" s="17">
        <f>'Rolling report'!CB225*'With Action'!$Y$6</f>
        <v>0.25000000000000006</v>
      </c>
      <c r="J225" s="17">
        <f>'Rolling report'!CC225*'With Action'!$Y$6</f>
        <v>0</v>
      </c>
      <c r="K225" s="17">
        <f>'Rolling report'!CD225*'With Action'!$Y$6</f>
        <v>0</v>
      </c>
      <c r="L225" s="17">
        <f>'Rolling report'!CE225*'With Action'!$Y$6</f>
        <v>0</v>
      </c>
      <c r="M225" s="17">
        <f>'Rolling report'!CF225*'With Action'!$Y$6</f>
        <v>0.15000000000000002</v>
      </c>
      <c r="N225" s="17">
        <f>'Rolling report'!CG225*'With Action'!$Y$6</f>
        <v>0</v>
      </c>
      <c r="O225" s="17">
        <f>'Rolling report'!CH225*'With Action'!$Y$6</f>
        <v>0.10000000000000002</v>
      </c>
      <c r="P225" s="17">
        <f>'Rolling report'!CI225*'With Action'!$Y$6</f>
        <v>0.25000000000000006</v>
      </c>
      <c r="Q225" s="17">
        <f>'Rolling report'!CJ225*'With Action'!$Y$6</f>
        <v>0</v>
      </c>
      <c r="R225" s="17">
        <f>'Rolling report'!CK225*'With Action'!$Y$6</f>
        <v>0</v>
      </c>
      <c r="S225" s="17">
        <f>'Rolling report'!CL225*'With Action'!$Y$6</f>
        <v>0</v>
      </c>
      <c r="T225" s="17">
        <f>'Rolling report'!CM225*'With Action'!$Y$6</f>
        <v>0</v>
      </c>
      <c r="U225" s="17">
        <f>'Rolling report'!CN225*'With Action'!$Y$6</f>
        <v>0</v>
      </c>
      <c r="V225" s="17">
        <f>'Rolling report'!CO225*'With Action'!$Y$6</f>
        <v>0</v>
      </c>
      <c r="W225" s="17">
        <f>'Rolling report'!CP225*'With Action'!$Y$6</f>
        <v>5.000000000000001E-2</v>
      </c>
      <c r="X225" s="17">
        <f>'Rolling report'!CQ225*'With Action'!$Y$6</f>
        <v>0</v>
      </c>
      <c r="Y225" s="17">
        <f>'Rolling report'!CR225*'With Action'!$Y$6</f>
        <v>0</v>
      </c>
      <c r="Z225" s="17">
        <f>'Rolling report'!CS225*'With Action'!$Y$6</f>
        <v>0</v>
      </c>
      <c r="AA225" s="17">
        <f>'Rolling report'!CT225*'With Action'!$Y$6</f>
        <v>0</v>
      </c>
      <c r="AB225" s="17">
        <f>'Rolling report'!CU225*'With Action'!$Y$6</f>
        <v>5.000000000000001E-2</v>
      </c>
      <c r="AC225" s="17">
        <f>'Rolling report'!CV225*'With Action'!$Y$6</f>
        <v>0.35000000000000009</v>
      </c>
      <c r="AD225" s="17">
        <f>'Rolling report'!CW225*'With Action'!$Y$6</f>
        <v>0</v>
      </c>
      <c r="AE225" s="17">
        <f>'Rolling report'!CX225*'With Action'!$Y$6</f>
        <v>0</v>
      </c>
      <c r="AF225" s="17">
        <f>'Rolling report'!CY225*'With Action'!$Y$6</f>
        <v>-1.2000000000000002</v>
      </c>
      <c r="AG225" s="17">
        <f>'Rolling report'!CZ225*'With Action'!$Y$6</f>
        <v>0</v>
      </c>
      <c r="AH225" s="17">
        <f>'Rolling report'!DA225*'With Action'!$Y$6</f>
        <v>0</v>
      </c>
      <c r="AI225" s="17">
        <f>'Rolling report'!DB225*'With Action'!$Y$6</f>
        <v>0</v>
      </c>
      <c r="AJ225" s="17">
        <f>'Rolling report'!DC225*'With Action'!$Y$6</f>
        <v>0</v>
      </c>
      <c r="AK225" s="17">
        <f>'Rolling report'!DD225*'With Action'!$Y$6</f>
        <v>0</v>
      </c>
      <c r="AL225" s="17">
        <f>'Rolling report'!DE225*'With Action'!$Y$6</f>
        <v>0</v>
      </c>
      <c r="AM225" s="17">
        <f>'Rolling report'!DF225*'With Action'!$Y$6</f>
        <v>0</v>
      </c>
      <c r="AN225" s="17">
        <f>'Rolling report'!DG225*'With Action'!$Y$6</f>
        <v>0</v>
      </c>
      <c r="AO225" s="17">
        <f>'Rolling report'!DH225*'With Action'!$Y$6</f>
        <v>0</v>
      </c>
      <c r="AP225" s="17">
        <f>'Rolling report'!DI225*'With Action'!$Y$6</f>
        <v>0</v>
      </c>
    </row>
    <row r="226" spans="1:42" x14ac:dyDescent="0.25">
      <c r="A226" s="4" t="s">
        <v>458</v>
      </c>
      <c r="B226" s="6" t="s">
        <v>459</v>
      </c>
      <c r="I226" s="17">
        <f>'Rolling report'!CB226*'With Action'!$Y$6</f>
        <v>2.5500000000000007</v>
      </c>
      <c r="J226" s="17">
        <f>'Rolling report'!CC226*'With Action'!$Y$6</f>
        <v>0</v>
      </c>
      <c r="K226" s="17">
        <f>'Rolling report'!CD226*'With Action'!$Y$6</f>
        <v>0.25000000000000006</v>
      </c>
      <c r="L226" s="17">
        <f>'Rolling report'!CE226*'With Action'!$Y$6</f>
        <v>0.10000000000000002</v>
      </c>
      <c r="M226" s="17">
        <f>'Rolling report'!CF226*'With Action'!$Y$6</f>
        <v>0.50000000000000011</v>
      </c>
      <c r="N226" s="17">
        <f>'Rolling report'!CG226*'With Action'!$Y$6</f>
        <v>0.40000000000000008</v>
      </c>
      <c r="O226" s="17">
        <f>'Rolling report'!CH226*'With Action'!$Y$6</f>
        <v>0.25000000000000006</v>
      </c>
      <c r="P226" s="17">
        <f>'Rolling report'!CI226*'With Action'!$Y$6</f>
        <v>0.50000000000000011</v>
      </c>
      <c r="Q226" s="17">
        <f>'Rolling report'!CJ226*'With Action'!$Y$6</f>
        <v>0.70000000000000018</v>
      </c>
      <c r="R226" s="17">
        <f>'Rolling report'!CK226*'With Action'!$Y$6</f>
        <v>0.35000000000000009</v>
      </c>
      <c r="S226" s="17">
        <f>'Rolling report'!CL226*'With Action'!$Y$6</f>
        <v>0.15000000000000002</v>
      </c>
      <c r="T226" s="17">
        <f>'Rolling report'!CM226*'With Action'!$Y$6</f>
        <v>0.55000000000000016</v>
      </c>
      <c r="U226" s="17">
        <f>'Rolling report'!CN226*'With Action'!$Y$6</f>
        <v>0.10000000000000002</v>
      </c>
      <c r="V226" s="17">
        <f>'Rolling report'!CO226*'With Action'!$Y$6</f>
        <v>0.10000000000000002</v>
      </c>
      <c r="W226" s="17">
        <f>'Rolling report'!CP226*'With Action'!$Y$6</f>
        <v>0.30000000000000004</v>
      </c>
      <c r="X226" s="17">
        <f>'Rolling report'!CQ226*'With Action'!$Y$6</f>
        <v>5.000000000000001E-2</v>
      </c>
      <c r="Y226" s="17">
        <f>'Rolling report'!CR226*'With Action'!$Y$6</f>
        <v>0.25000000000000006</v>
      </c>
      <c r="Z226" s="17">
        <f>'Rolling report'!CS226*'With Action'!$Y$6</f>
        <v>0.10000000000000002</v>
      </c>
      <c r="AA226" s="17">
        <f>'Rolling report'!CT226*'With Action'!$Y$6</f>
        <v>5.000000000000001E-2</v>
      </c>
      <c r="AB226" s="17">
        <f>'Rolling report'!CU226*'With Action'!$Y$6</f>
        <v>0.35000000000000009</v>
      </c>
      <c r="AC226" s="17">
        <f>'Rolling report'!CV226*'With Action'!$Y$6</f>
        <v>0.10000000000000002</v>
      </c>
      <c r="AD226" s="17">
        <f>'Rolling report'!CW226*'With Action'!$Y$6</f>
        <v>0.25000000000000006</v>
      </c>
      <c r="AE226" s="17">
        <f>'Rolling report'!CX226*'With Action'!$Y$6</f>
        <v>5.000000000000001E-2</v>
      </c>
      <c r="AF226" s="17">
        <f>'Rolling report'!CY226*'With Action'!$Y$6</f>
        <v>-8.0000000000000018</v>
      </c>
      <c r="AG226" s="17">
        <f>'Rolling report'!CZ226*'With Action'!$Y$6</f>
        <v>0</v>
      </c>
      <c r="AH226" s="17">
        <f>'Rolling report'!DA226*'With Action'!$Y$6</f>
        <v>0</v>
      </c>
      <c r="AI226" s="17">
        <f>'Rolling report'!DB226*'With Action'!$Y$6</f>
        <v>0</v>
      </c>
      <c r="AJ226" s="17">
        <f>'Rolling report'!DC226*'With Action'!$Y$6</f>
        <v>0</v>
      </c>
      <c r="AK226" s="17">
        <f>'Rolling report'!DD226*'With Action'!$Y$6</f>
        <v>0</v>
      </c>
      <c r="AL226" s="17">
        <f>'Rolling report'!DE226*'With Action'!$Y$6</f>
        <v>0</v>
      </c>
      <c r="AM226" s="17">
        <f>'Rolling report'!DF226*'With Action'!$Y$6</f>
        <v>0</v>
      </c>
      <c r="AN226" s="17">
        <f>'Rolling report'!DG226*'With Action'!$Y$6</f>
        <v>0</v>
      </c>
      <c r="AO226" s="17">
        <f>'Rolling report'!DH226*'With Action'!$Y$6</f>
        <v>0</v>
      </c>
      <c r="AP226" s="17">
        <f>'Rolling report'!DI226*'With Action'!$Y$6</f>
        <v>0</v>
      </c>
    </row>
    <row r="227" spans="1:42" x14ac:dyDescent="0.25">
      <c r="A227" s="4" t="s">
        <v>460</v>
      </c>
      <c r="B227" s="6" t="s">
        <v>461</v>
      </c>
      <c r="I227" s="17">
        <f>'Rolling report'!CB227*'With Action'!$Y$6</f>
        <v>1.3500000000000003</v>
      </c>
      <c r="J227" s="17">
        <f>'Rolling report'!CC227*'With Action'!$Y$6</f>
        <v>0.20000000000000004</v>
      </c>
      <c r="K227" s="17">
        <f>'Rolling report'!CD227*'With Action'!$Y$6</f>
        <v>0</v>
      </c>
      <c r="L227" s="17">
        <f>'Rolling report'!CE227*'With Action'!$Y$6</f>
        <v>0.10000000000000002</v>
      </c>
      <c r="M227" s="17">
        <f>'Rolling report'!CF227*'With Action'!$Y$6</f>
        <v>0</v>
      </c>
      <c r="N227" s="17">
        <f>'Rolling report'!CG227*'With Action'!$Y$6</f>
        <v>0</v>
      </c>
      <c r="O227" s="17">
        <f>'Rolling report'!CH227*'With Action'!$Y$6</f>
        <v>0.25000000000000006</v>
      </c>
      <c r="P227" s="17">
        <f>'Rolling report'!CI227*'With Action'!$Y$6</f>
        <v>0</v>
      </c>
      <c r="Q227" s="17">
        <f>'Rolling report'!CJ227*'With Action'!$Y$6</f>
        <v>0.15000000000000002</v>
      </c>
      <c r="R227" s="17">
        <f>'Rolling report'!CK227*'With Action'!$Y$6</f>
        <v>5.000000000000001E-2</v>
      </c>
      <c r="S227" s="17">
        <f>'Rolling report'!CL227*'With Action'!$Y$6</f>
        <v>0</v>
      </c>
      <c r="T227" s="17">
        <f>'Rolling report'!CM227*'With Action'!$Y$6</f>
        <v>0.10000000000000002</v>
      </c>
      <c r="U227" s="17">
        <f>'Rolling report'!CN227*'With Action'!$Y$6</f>
        <v>0.15000000000000002</v>
      </c>
      <c r="V227" s="17">
        <f>'Rolling report'!CO227*'With Action'!$Y$6</f>
        <v>0.25000000000000006</v>
      </c>
      <c r="W227" s="17">
        <f>'Rolling report'!CP227*'With Action'!$Y$6</f>
        <v>0.20000000000000004</v>
      </c>
      <c r="X227" s="17">
        <f>'Rolling report'!CQ227*'With Action'!$Y$6</f>
        <v>0</v>
      </c>
      <c r="Y227" s="17">
        <f>'Rolling report'!CR227*'With Action'!$Y$6</f>
        <v>0</v>
      </c>
      <c r="Z227" s="17">
        <f>'Rolling report'!CS227*'With Action'!$Y$6</f>
        <v>0.10000000000000002</v>
      </c>
      <c r="AA227" s="17">
        <f>'Rolling report'!CT227*'With Action'!$Y$6</f>
        <v>0</v>
      </c>
      <c r="AB227" s="17">
        <f>'Rolling report'!CU227*'With Action'!$Y$6</f>
        <v>0</v>
      </c>
      <c r="AC227" s="17">
        <f>'Rolling report'!CV227*'With Action'!$Y$6</f>
        <v>0.10000000000000002</v>
      </c>
      <c r="AD227" s="17">
        <f>'Rolling report'!CW227*'With Action'!$Y$6</f>
        <v>0.35000000000000009</v>
      </c>
      <c r="AE227" s="17">
        <f>'Rolling report'!CX227*'With Action'!$Y$6</f>
        <v>0.15000000000000002</v>
      </c>
      <c r="AF227" s="17">
        <f>'Rolling report'!CY227*'With Action'!$Y$6</f>
        <v>-3.5000000000000009</v>
      </c>
      <c r="AG227" s="17">
        <f>'Rolling report'!CZ227*'With Action'!$Y$6</f>
        <v>0</v>
      </c>
      <c r="AH227" s="17">
        <f>'Rolling report'!DA227*'With Action'!$Y$6</f>
        <v>0</v>
      </c>
      <c r="AI227" s="17">
        <f>'Rolling report'!DB227*'With Action'!$Y$6</f>
        <v>0</v>
      </c>
      <c r="AJ227" s="17">
        <f>'Rolling report'!DC227*'With Action'!$Y$6</f>
        <v>0</v>
      </c>
      <c r="AK227" s="17">
        <f>'Rolling report'!DD227*'With Action'!$Y$6</f>
        <v>0</v>
      </c>
      <c r="AL227" s="17">
        <f>'Rolling report'!DE227*'With Action'!$Y$6</f>
        <v>0</v>
      </c>
      <c r="AM227" s="17">
        <f>'Rolling report'!DF227*'With Action'!$Y$6</f>
        <v>0</v>
      </c>
      <c r="AN227" s="17">
        <f>'Rolling report'!DG227*'With Action'!$Y$6</f>
        <v>0</v>
      </c>
      <c r="AO227" s="17">
        <f>'Rolling report'!DH227*'With Action'!$Y$6</f>
        <v>0</v>
      </c>
      <c r="AP227" s="17">
        <f>'Rolling report'!DI227*'With Action'!$Y$6</f>
        <v>0</v>
      </c>
    </row>
    <row r="228" spans="1:42" x14ac:dyDescent="0.25">
      <c r="A228" s="4" t="s">
        <v>462</v>
      </c>
      <c r="B228" s="6" t="s">
        <v>463</v>
      </c>
      <c r="I228" s="17">
        <f>'Rolling report'!CB228*'With Action'!$Y$6</f>
        <v>5.3500000000000014</v>
      </c>
      <c r="J228" s="17">
        <f>'Rolling report'!CC228*'With Action'!$Y$6</f>
        <v>0.8500000000000002</v>
      </c>
      <c r="K228" s="17">
        <f>'Rolling report'!CD228*'With Action'!$Y$6</f>
        <v>0.60000000000000009</v>
      </c>
      <c r="L228" s="17">
        <f>'Rolling report'!CE228*'With Action'!$Y$6</f>
        <v>1.1000000000000003</v>
      </c>
      <c r="M228" s="17">
        <f>'Rolling report'!CF228*'With Action'!$Y$6</f>
        <v>0.20000000000000004</v>
      </c>
      <c r="N228" s="17">
        <f>'Rolling report'!CG228*'With Action'!$Y$6</f>
        <v>0.25000000000000006</v>
      </c>
      <c r="O228" s="17">
        <f>'Rolling report'!CH228*'With Action'!$Y$6</f>
        <v>1.2000000000000002</v>
      </c>
      <c r="P228" s="17">
        <f>'Rolling report'!CI228*'With Action'!$Y$6</f>
        <v>0.40000000000000008</v>
      </c>
      <c r="Q228" s="17">
        <f>'Rolling report'!CJ228*'With Action'!$Y$6</f>
        <v>0.50000000000000011</v>
      </c>
      <c r="R228" s="17">
        <f>'Rolling report'!CK228*'With Action'!$Y$6</f>
        <v>0.15000000000000002</v>
      </c>
      <c r="S228" s="17">
        <f>'Rolling report'!CL228*'With Action'!$Y$6</f>
        <v>0.25000000000000006</v>
      </c>
      <c r="T228" s="17">
        <f>'Rolling report'!CM228*'With Action'!$Y$6</f>
        <v>0.35000000000000009</v>
      </c>
      <c r="U228" s="17">
        <f>'Rolling report'!CN228*'With Action'!$Y$6</f>
        <v>0.50000000000000011</v>
      </c>
      <c r="V228" s="17">
        <f>'Rolling report'!CO228*'With Action'!$Y$6</f>
        <v>0.15000000000000002</v>
      </c>
      <c r="W228" s="17">
        <f>'Rolling report'!CP228*'With Action'!$Y$6</f>
        <v>0.45000000000000007</v>
      </c>
      <c r="X228" s="17">
        <f>'Rolling report'!CQ228*'With Action'!$Y$6</f>
        <v>0.25000000000000006</v>
      </c>
      <c r="Y228" s="17">
        <f>'Rolling report'!CR228*'With Action'!$Y$6</f>
        <v>0.15000000000000002</v>
      </c>
      <c r="Z228" s="17">
        <f>'Rolling report'!CS228*'With Action'!$Y$6</f>
        <v>0.15000000000000002</v>
      </c>
      <c r="AA228" s="17">
        <f>'Rolling report'!CT228*'With Action'!$Y$6</f>
        <v>0.30000000000000004</v>
      </c>
      <c r="AB228" s="17">
        <f>'Rolling report'!CU228*'With Action'!$Y$6</f>
        <v>0.45000000000000007</v>
      </c>
      <c r="AC228" s="17">
        <f>'Rolling report'!CV228*'With Action'!$Y$6</f>
        <v>0.45000000000000007</v>
      </c>
      <c r="AD228" s="17">
        <f>'Rolling report'!CW228*'With Action'!$Y$6</f>
        <v>0</v>
      </c>
      <c r="AE228" s="17">
        <f>'Rolling report'!CX228*'With Action'!$Y$6</f>
        <v>0.15000000000000002</v>
      </c>
      <c r="AF228" s="17">
        <f>'Rolling report'!CY228*'With Action'!$Y$6</f>
        <v>-14.200000000000003</v>
      </c>
      <c r="AG228" s="17">
        <f>'Rolling report'!CZ228*'With Action'!$Y$6</f>
        <v>0</v>
      </c>
      <c r="AH228" s="17">
        <f>'Rolling report'!DA228*'With Action'!$Y$6</f>
        <v>0</v>
      </c>
      <c r="AI228" s="17">
        <f>'Rolling report'!DB228*'With Action'!$Y$6</f>
        <v>0</v>
      </c>
      <c r="AJ228" s="17">
        <f>'Rolling report'!DC228*'With Action'!$Y$6</f>
        <v>0</v>
      </c>
      <c r="AK228" s="17">
        <f>'Rolling report'!DD228*'With Action'!$Y$6</f>
        <v>0</v>
      </c>
      <c r="AL228" s="17">
        <f>'Rolling report'!DE228*'With Action'!$Y$6</f>
        <v>0</v>
      </c>
      <c r="AM228" s="17">
        <f>'Rolling report'!DF228*'With Action'!$Y$6</f>
        <v>0</v>
      </c>
      <c r="AN228" s="17">
        <f>'Rolling report'!DG228*'With Action'!$Y$6</f>
        <v>0</v>
      </c>
      <c r="AO228" s="17">
        <f>'Rolling report'!DH228*'With Action'!$Y$6</f>
        <v>0</v>
      </c>
      <c r="AP228" s="17">
        <f>'Rolling report'!DI228*'With Action'!$Y$6</f>
        <v>0</v>
      </c>
    </row>
    <row r="229" spans="1:42" x14ac:dyDescent="0.25">
      <c r="A229" s="4" t="s">
        <v>464</v>
      </c>
      <c r="B229" s="6" t="s">
        <v>465</v>
      </c>
      <c r="I229" s="17">
        <f>'Rolling report'!CB229*'With Action'!$Y$6</f>
        <v>3.1500000000000008</v>
      </c>
      <c r="J229" s="17">
        <f>'Rolling report'!CC229*'With Action'!$Y$6</f>
        <v>0.40000000000000008</v>
      </c>
      <c r="K229" s="17">
        <f>'Rolling report'!CD229*'With Action'!$Y$6</f>
        <v>1.1000000000000003</v>
      </c>
      <c r="L229" s="17">
        <f>'Rolling report'!CE229*'With Action'!$Y$6</f>
        <v>0.35000000000000009</v>
      </c>
      <c r="M229" s="17">
        <f>'Rolling report'!CF229*'With Action'!$Y$6</f>
        <v>0.25000000000000006</v>
      </c>
      <c r="N229" s="17">
        <f>'Rolling report'!CG229*'With Action'!$Y$6</f>
        <v>0.90000000000000013</v>
      </c>
      <c r="O229" s="17">
        <f>'Rolling report'!CH229*'With Action'!$Y$6</f>
        <v>0.55000000000000016</v>
      </c>
      <c r="P229" s="17">
        <f>'Rolling report'!CI229*'With Action'!$Y$6</f>
        <v>0.60000000000000009</v>
      </c>
      <c r="Q229" s="17">
        <f>'Rolling report'!CJ229*'With Action'!$Y$6</f>
        <v>0.45000000000000007</v>
      </c>
      <c r="R229" s="17">
        <f>'Rolling report'!CK229*'With Action'!$Y$6</f>
        <v>0.65000000000000013</v>
      </c>
      <c r="S229" s="17">
        <f>'Rolling report'!CL229*'With Action'!$Y$6</f>
        <v>0.25000000000000006</v>
      </c>
      <c r="T229" s="17">
        <f>'Rolling report'!CM229*'With Action'!$Y$6</f>
        <v>0.40000000000000008</v>
      </c>
      <c r="U229" s="17">
        <f>'Rolling report'!CN229*'With Action'!$Y$6</f>
        <v>0.20000000000000004</v>
      </c>
      <c r="V229" s="17">
        <f>'Rolling report'!CO229*'With Action'!$Y$6</f>
        <v>0.35000000000000009</v>
      </c>
      <c r="W229" s="17">
        <f>'Rolling report'!CP229*'With Action'!$Y$6</f>
        <v>0.15000000000000002</v>
      </c>
      <c r="X229" s="17">
        <f>'Rolling report'!CQ229*'With Action'!$Y$6</f>
        <v>0.25000000000000006</v>
      </c>
      <c r="Y229" s="17">
        <f>'Rolling report'!CR229*'With Action'!$Y$6</f>
        <v>0.15000000000000002</v>
      </c>
      <c r="Z229" s="17">
        <f>'Rolling report'!CS229*'With Action'!$Y$6</f>
        <v>0.20000000000000004</v>
      </c>
      <c r="AA229" s="17">
        <f>'Rolling report'!CT229*'With Action'!$Y$6</f>
        <v>0.40000000000000008</v>
      </c>
      <c r="AB229" s="17">
        <f>'Rolling report'!CU229*'With Action'!$Y$6</f>
        <v>0.30000000000000004</v>
      </c>
      <c r="AC229" s="17">
        <f>'Rolling report'!CV229*'With Action'!$Y$6</f>
        <v>0.35000000000000009</v>
      </c>
      <c r="AD229" s="17">
        <f>'Rolling report'!CW229*'With Action'!$Y$6</f>
        <v>5.000000000000001E-2</v>
      </c>
      <c r="AE229" s="17">
        <f>'Rolling report'!CX229*'With Action'!$Y$6</f>
        <v>0</v>
      </c>
      <c r="AF229" s="17">
        <f>'Rolling report'!CY229*'With Action'!$Y$6</f>
        <v>-11.450000000000003</v>
      </c>
      <c r="AG229" s="17">
        <f>'Rolling report'!CZ229*'With Action'!$Y$6</f>
        <v>0</v>
      </c>
      <c r="AH229" s="17">
        <f>'Rolling report'!DA229*'With Action'!$Y$6</f>
        <v>0</v>
      </c>
      <c r="AI229" s="17">
        <f>'Rolling report'!DB229*'With Action'!$Y$6</f>
        <v>0</v>
      </c>
      <c r="AJ229" s="17">
        <f>'Rolling report'!DC229*'With Action'!$Y$6</f>
        <v>0</v>
      </c>
      <c r="AK229" s="17">
        <f>'Rolling report'!DD229*'With Action'!$Y$6</f>
        <v>0</v>
      </c>
      <c r="AL229" s="17">
        <f>'Rolling report'!DE229*'With Action'!$Y$6</f>
        <v>0</v>
      </c>
      <c r="AM229" s="17">
        <f>'Rolling report'!DF229*'With Action'!$Y$6</f>
        <v>0</v>
      </c>
      <c r="AN229" s="17">
        <f>'Rolling report'!DG229*'With Action'!$Y$6</f>
        <v>0</v>
      </c>
      <c r="AO229" s="17">
        <f>'Rolling report'!DH229*'With Action'!$Y$6</f>
        <v>0</v>
      </c>
      <c r="AP229" s="17">
        <f>'Rolling report'!DI229*'With Action'!$Y$6</f>
        <v>0</v>
      </c>
    </row>
    <row r="230" spans="1:42" x14ac:dyDescent="0.25">
      <c r="A230" s="4" t="s">
        <v>466</v>
      </c>
      <c r="B230" s="6" t="s">
        <v>467</v>
      </c>
      <c r="I230" s="17">
        <f>'Rolling report'!CB230*'With Action'!$Y$6</f>
        <v>1.5000000000000002</v>
      </c>
      <c r="J230" s="17">
        <f>'Rolling report'!CC230*'With Action'!$Y$6</f>
        <v>0.60000000000000009</v>
      </c>
      <c r="K230" s="17">
        <f>'Rolling report'!CD230*'With Action'!$Y$6</f>
        <v>0</v>
      </c>
      <c r="L230" s="17">
        <f>'Rolling report'!CE230*'With Action'!$Y$6</f>
        <v>0.75000000000000011</v>
      </c>
      <c r="M230" s="17">
        <f>'Rolling report'!CF230*'With Action'!$Y$6</f>
        <v>0</v>
      </c>
      <c r="N230" s="17">
        <f>'Rolling report'!CG230*'With Action'!$Y$6</f>
        <v>0.10000000000000002</v>
      </c>
      <c r="O230" s="17">
        <f>'Rolling report'!CH230*'With Action'!$Y$6</f>
        <v>0.45000000000000007</v>
      </c>
      <c r="P230" s="17">
        <f>'Rolling report'!CI230*'With Action'!$Y$6</f>
        <v>0.15000000000000002</v>
      </c>
      <c r="Q230" s="17">
        <f>'Rolling report'!CJ230*'With Action'!$Y$6</f>
        <v>0.40000000000000008</v>
      </c>
      <c r="R230" s="17">
        <f>'Rolling report'!CK230*'With Action'!$Y$6</f>
        <v>5.000000000000001E-2</v>
      </c>
      <c r="S230" s="17">
        <f>'Rolling report'!CL230*'With Action'!$Y$6</f>
        <v>0</v>
      </c>
      <c r="T230" s="17">
        <f>'Rolling report'!CM230*'With Action'!$Y$6</f>
        <v>5.000000000000001E-2</v>
      </c>
      <c r="U230" s="17">
        <f>'Rolling report'!CN230*'With Action'!$Y$6</f>
        <v>0.15000000000000002</v>
      </c>
      <c r="V230" s="17">
        <f>'Rolling report'!CO230*'With Action'!$Y$6</f>
        <v>0</v>
      </c>
      <c r="W230" s="17">
        <f>'Rolling report'!CP230*'With Action'!$Y$6</f>
        <v>0</v>
      </c>
      <c r="X230" s="17">
        <f>'Rolling report'!CQ230*'With Action'!$Y$6</f>
        <v>5.000000000000001E-2</v>
      </c>
      <c r="Y230" s="17">
        <f>'Rolling report'!CR230*'With Action'!$Y$6</f>
        <v>0</v>
      </c>
      <c r="Z230" s="17">
        <f>'Rolling report'!CS230*'With Action'!$Y$6</f>
        <v>0.20000000000000004</v>
      </c>
      <c r="AA230" s="17">
        <f>'Rolling report'!CT230*'With Action'!$Y$6</f>
        <v>0.20000000000000004</v>
      </c>
      <c r="AB230" s="17">
        <f>'Rolling report'!CU230*'With Action'!$Y$6</f>
        <v>0</v>
      </c>
      <c r="AC230" s="17">
        <f>'Rolling report'!CV230*'With Action'!$Y$6</f>
        <v>0.20000000000000004</v>
      </c>
      <c r="AD230" s="17">
        <f>'Rolling report'!CW230*'With Action'!$Y$6</f>
        <v>-0.10000000000000002</v>
      </c>
      <c r="AE230" s="17">
        <f>'Rolling report'!CX230*'With Action'!$Y$6</f>
        <v>0.10000000000000002</v>
      </c>
      <c r="AF230" s="17">
        <f>'Rolling report'!CY230*'With Action'!$Y$6</f>
        <v>-4.8500000000000005</v>
      </c>
      <c r="AG230" s="17">
        <f>'Rolling report'!CZ230*'With Action'!$Y$6</f>
        <v>0</v>
      </c>
      <c r="AH230" s="17">
        <f>'Rolling report'!DA230*'With Action'!$Y$6</f>
        <v>0</v>
      </c>
      <c r="AI230" s="17">
        <f>'Rolling report'!DB230*'With Action'!$Y$6</f>
        <v>0</v>
      </c>
      <c r="AJ230" s="17">
        <f>'Rolling report'!DC230*'With Action'!$Y$6</f>
        <v>0</v>
      </c>
      <c r="AK230" s="17">
        <f>'Rolling report'!DD230*'With Action'!$Y$6</f>
        <v>0</v>
      </c>
      <c r="AL230" s="17">
        <f>'Rolling report'!DE230*'With Action'!$Y$6</f>
        <v>0</v>
      </c>
      <c r="AM230" s="17">
        <f>'Rolling report'!DF230*'With Action'!$Y$6</f>
        <v>0</v>
      </c>
      <c r="AN230" s="17">
        <f>'Rolling report'!DG230*'With Action'!$Y$6</f>
        <v>0</v>
      </c>
      <c r="AO230" s="17">
        <f>'Rolling report'!DH230*'With Action'!$Y$6</f>
        <v>0</v>
      </c>
      <c r="AP230" s="17">
        <f>'Rolling report'!DI230*'With Action'!$Y$6</f>
        <v>0</v>
      </c>
    </row>
    <row r="231" spans="1:42" x14ac:dyDescent="0.25">
      <c r="A231" s="4" t="s">
        <v>468</v>
      </c>
      <c r="B231" s="6" t="s">
        <v>469</v>
      </c>
      <c r="I231" s="17">
        <f>'Rolling report'!CB231*'With Action'!$Y$6</f>
        <v>2.3500000000000005</v>
      </c>
      <c r="J231" s="17">
        <f>'Rolling report'!CC231*'With Action'!$Y$6</f>
        <v>0.15000000000000002</v>
      </c>
      <c r="K231" s="17">
        <f>'Rolling report'!CD231*'With Action'!$Y$6</f>
        <v>0.50000000000000011</v>
      </c>
      <c r="L231" s="17">
        <f>'Rolling report'!CE231*'With Action'!$Y$6</f>
        <v>0.25000000000000006</v>
      </c>
      <c r="M231" s="17">
        <f>'Rolling report'!CF231*'With Action'!$Y$6</f>
        <v>5.000000000000001E-2</v>
      </c>
      <c r="N231" s="17">
        <f>'Rolling report'!CG231*'With Action'!$Y$6</f>
        <v>0.20000000000000004</v>
      </c>
      <c r="O231" s="17">
        <f>'Rolling report'!CH231*'With Action'!$Y$6</f>
        <v>0.30000000000000004</v>
      </c>
      <c r="P231" s="17">
        <f>'Rolling report'!CI231*'With Action'!$Y$6</f>
        <v>0.15000000000000002</v>
      </c>
      <c r="Q231" s="17">
        <f>'Rolling report'!CJ231*'With Action'!$Y$6</f>
        <v>5.000000000000001E-2</v>
      </c>
      <c r="R231" s="17">
        <f>'Rolling report'!CK231*'With Action'!$Y$6</f>
        <v>0.15000000000000002</v>
      </c>
      <c r="S231" s="17">
        <f>'Rolling report'!CL231*'With Action'!$Y$6</f>
        <v>0.10000000000000002</v>
      </c>
      <c r="T231" s="17">
        <f>'Rolling report'!CM231*'With Action'!$Y$6</f>
        <v>0.15000000000000002</v>
      </c>
      <c r="U231" s="17">
        <f>'Rolling report'!CN231*'With Action'!$Y$6</f>
        <v>0.20000000000000004</v>
      </c>
      <c r="V231" s="17">
        <f>'Rolling report'!CO231*'With Action'!$Y$6</f>
        <v>0.20000000000000004</v>
      </c>
      <c r="W231" s="17">
        <f>'Rolling report'!CP231*'With Action'!$Y$6</f>
        <v>0.20000000000000004</v>
      </c>
      <c r="X231" s="17">
        <f>'Rolling report'!CQ231*'With Action'!$Y$6</f>
        <v>0</v>
      </c>
      <c r="Y231" s="17">
        <f>'Rolling report'!CR231*'With Action'!$Y$6</f>
        <v>0</v>
      </c>
      <c r="Z231" s="17">
        <f>'Rolling report'!CS231*'With Action'!$Y$6</f>
        <v>0.20000000000000004</v>
      </c>
      <c r="AA231" s="17">
        <f>'Rolling report'!CT231*'With Action'!$Y$6</f>
        <v>0</v>
      </c>
      <c r="AB231" s="17">
        <f>'Rolling report'!CU231*'With Action'!$Y$6</f>
        <v>0.15000000000000002</v>
      </c>
      <c r="AC231" s="17">
        <f>'Rolling report'!CV231*'With Action'!$Y$6</f>
        <v>5.000000000000001E-2</v>
      </c>
      <c r="AD231" s="17">
        <f>'Rolling report'!CW231*'With Action'!$Y$6</f>
        <v>0</v>
      </c>
      <c r="AE231" s="17">
        <f>'Rolling report'!CX231*'With Action'!$Y$6</f>
        <v>0</v>
      </c>
      <c r="AF231" s="17">
        <f>'Rolling report'!CY231*'With Action'!$Y$6</f>
        <v>-5.4000000000000012</v>
      </c>
      <c r="AG231" s="17">
        <f>'Rolling report'!CZ231*'With Action'!$Y$6</f>
        <v>0</v>
      </c>
      <c r="AH231" s="17">
        <f>'Rolling report'!DA231*'With Action'!$Y$6</f>
        <v>0</v>
      </c>
      <c r="AI231" s="17">
        <f>'Rolling report'!DB231*'With Action'!$Y$6</f>
        <v>0</v>
      </c>
      <c r="AJ231" s="17">
        <f>'Rolling report'!DC231*'With Action'!$Y$6</f>
        <v>0</v>
      </c>
      <c r="AK231" s="17">
        <f>'Rolling report'!DD231*'With Action'!$Y$6</f>
        <v>0</v>
      </c>
      <c r="AL231" s="17">
        <f>'Rolling report'!DE231*'With Action'!$Y$6</f>
        <v>0</v>
      </c>
      <c r="AM231" s="17">
        <f>'Rolling report'!DF231*'With Action'!$Y$6</f>
        <v>0</v>
      </c>
      <c r="AN231" s="17">
        <f>'Rolling report'!DG231*'With Action'!$Y$6</f>
        <v>0</v>
      </c>
      <c r="AO231" s="17">
        <f>'Rolling report'!DH231*'With Action'!$Y$6</f>
        <v>0</v>
      </c>
      <c r="AP231" s="17">
        <f>'Rolling report'!DI231*'With Action'!$Y$6</f>
        <v>0</v>
      </c>
    </row>
    <row r="232" spans="1:42" x14ac:dyDescent="0.25">
      <c r="A232" s="4" t="s">
        <v>470</v>
      </c>
      <c r="B232" s="6" t="s">
        <v>471</v>
      </c>
      <c r="I232" s="17">
        <f>'Rolling report'!CB232*'With Action'!$Y$6</f>
        <v>1.8500000000000003</v>
      </c>
      <c r="J232" s="17">
        <f>'Rolling report'!CC232*'With Action'!$Y$6</f>
        <v>0.40000000000000008</v>
      </c>
      <c r="K232" s="17">
        <f>'Rolling report'!CD232*'With Action'!$Y$6</f>
        <v>5.000000000000001E-2</v>
      </c>
      <c r="L232" s="17">
        <f>'Rolling report'!CE232*'With Action'!$Y$6</f>
        <v>0.35000000000000009</v>
      </c>
      <c r="M232" s="17">
        <f>'Rolling report'!CF232*'With Action'!$Y$6</f>
        <v>0.45000000000000007</v>
      </c>
      <c r="N232" s="17">
        <f>'Rolling report'!CG232*'With Action'!$Y$6</f>
        <v>0.20000000000000004</v>
      </c>
      <c r="O232" s="17">
        <f>'Rolling report'!CH232*'With Action'!$Y$6</f>
        <v>5.000000000000001E-2</v>
      </c>
      <c r="P232" s="17">
        <f>'Rolling report'!CI232*'With Action'!$Y$6</f>
        <v>0.10000000000000002</v>
      </c>
      <c r="Q232" s="17">
        <f>'Rolling report'!CJ232*'With Action'!$Y$6</f>
        <v>0.10000000000000002</v>
      </c>
      <c r="R232" s="17">
        <f>'Rolling report'!CK232*'With Action'!$Y$6</f>
        <v>0.10000000000000002</v>
      </c>
      <c r="S232" s="17">
        <f>'Rolling report'!CL232*'With Action'!$Y$6</f>
        <v>0.20000000000000004</v>
      </c>
      <c r="T232" s="17">
        <f>'Rolling report'!CM232*'With Action'!$Y$6</f>
        <v>0.10000000000000002</v>
      </c>
      <c r="U232" s="17">
        <f>'Rolling report'!CN232*'With Action'!$Y$6</f>
        <v>5.000000000000001E-2</v>
      </c>
      <c r="V232" s="17">
        <f>'Rolling report'!CO232*'With Action'!$Y$6</f>
        <v>0</v>
      </c>
      <c r="W232" s="17">
        <f>'Rolling report'!CP232*'With Action'!$Y$6</f>
        <v>0.15000000000000002</v>
      </c>
      <c r="X232" s="17">
        <f>'Rolling report'!CQ232*'With Action'!$Y$6</f>
        <v>5.000000000000001E-2</v>
      </c>
      <c r="Y232" s="17">
        <f>'Rolling report'!CR232*'With Action'!$Y$6</f>
        <v>0.20000000000000004</v>
      </c>
      <c r="Z232" s="17">
        <f>'Rolling report'!CS232*'With Action'!$Y$6</f>
        <v>0</v>
      </c>
      <c r="AA232" s="17">
        <f>'Rolling report'!CT232*'With Action'!$Y$6</f>
        <v>0.15000000000000002</v>
      </c>
      <c r="AB232" s="17">
        <f>'Rolling report'!CU232*'With Action'!$Y$6</f>
        <v>5.000000000000001E-2</v>
      </c>
      <c r="AC232" s="17">
        <f>'Rolling report'!CV232*'With Action'!$Y$6</f>
        <v>0</v>
      </c>
      <c r="AD232" s="17">
        <f>'Rolling report'!CW232*'With Action'!$Y$6</f>
        <v>0</v>
      </c>
      <c r="AE232" s="17">
        <f>'Rolling report'!CX232*'With Action'!$Y$6</f>
        <v>-5.000000000000001E-2</v>
      </c>
      <c r="AF232" s="17">
        <f>'Rolling report'!CY232*'With Action'!$Y$6</f>
        <v>-4.5500000000000007</v>
      </c>
      <c r="AG232" s="17">
        <f>'Rolling report'!CZ232*'With Action'!$Y$6</f>
        <v>0</v>
      </c>
      <c r="AH232" s="17">
        <f>'Rolling report'!DA232*'With Action'!$Y$6</f>
        <v>0</v>
      </c>
      <c r="AI232" s="17">
        <f>'Rolling report'!DB232*'With Action'!$Y$6</f>
        <v>0</v>
      </c>
      <c r="AJ232" s="17">
        <f>'Rolling report'!DC232*'With Action'!$Y$6</f>
        <v>0</v>
      </c>
      <c r="AK232" s="17">
        <f>'Rolling report'!DD232*'With Action'!$Y$6</f>
        <v>0</v>
      </c>
      <c r="AL232" s="17">
        <f>'Rolling report'!DE232*'With Action'!$Y$6</f>
        <v>0</v>
      </c>
      <c r="AM232" s="17">
        <f>'Rolling report'!DF232*'With Action'!$Y$6</f>
        <v>0</v>
      </c>
      <c r="AN232" s="17">
        <f>'Rolling report'!DG232*'With Action'!$Y$6</f>
        <v>0</v>
      </c>
      <c r="AO232" s="17">
        <f>'Rolling report'!DH232*'With Action'!$Y$6</f>
        <v>0</v>
      </c>
      <c r="AP232" s="17">
        <f>'Rolling report'!DI232*'With Action'!$Y$6</f>
        <v>0</v>
      </c>
    </row>
    <row r="233" spans="1:42" x14ac:dyDescent="0.25">
      <c r="A233" s="4" t="s">
        <v>472</v>
      </c>
      <c r="B233" s="6" t="s">
        <v>473</v>
      </c>
      <c r="I233" s="17">
        <f>'Rolling report'!CB233*'With Action'!$Y$6</f>
        <v>1.7500000000000004</v>
      </c>
      <c r="J233" s="17">
        <f>'Rolling report'!CC233*'With Action'!$Y$6</f>
        <v>0.25000000000000006</v>
      </c>
      <c r="K233" s="17">
        <f>'Rolling report'!CD233*'With Action'!$Y$6</f>
        <v>0.30000000000000004</v>
      </c>
      <c r="L233" s="17">
        <f>'Rolling report'!CE233*'With Action'!$Y$6</f>
        <v>0.10000000000000002</v>
      </c>
      <c r="M233" s="17">
        <f>'Rolling report'!CF233*'With Action'!$Y$6</f>
        <v>0.15000000000000002</v>
      </c>
      <c r="N233" s="17">
        <f>'Rolling report'!CG233*'With Action'!$Y$6</f>
        <v>0</v>
      </c>
      <c r="O233" s="17">
        <f>'Rolling report'!CH233*'With Action'!$Y$6</f>
        <v>0</v>
      </c>
      <c r="P233" s="17">
        <f>'Rolling report'!CI233*'With Action'!$Y$6</f>
        <v>0.45000000000000007</v>
      </c>
      <c r="Q233" s="17">
        <f>'Rolling report'!CJ233*'With Action'!$Y$6</f>
        <v>0</v>
      </c>
      <c r="R233" s="17">
        <f>'Rolling report'!CK233*'With Action'!$Y$6</f>
        <v>0.30000000000000004</v>
      </c>
      <c r="S233" s="17">
        <f>'Rolling report'!CL233*'With Action'!$Y$6</f>
        <v>0.25000000000000006</v>
      </c>
      <c r="T233" s="17">
        <f>'Rolling report'!CM233*'With Action'!$Y$6</f>
        <v>0.10000000000000002</v>
      </c>
      <c r="U233" s="17">
        <f>'Rolling report'!CN233*'With Action'!$Y$6</f>
        <v>5.000000000000001E-2</v>
      </c>
      <c r="V233" s="17">
        <f>'Rolling report'!CO233*'With Action'!$Y$6</f>
        <v>0.20000000000000004</v>
      </c>
      <c r="W233" s="17">
        <f>'Rolling report'!CP233*'With Action'!$Y$6</f>
        <v>0.15000000000000002</v>
      </c>
      <c r="X233" s="17">
        <f>'Rolling report'!CQ233*'With Action'!$Y$6</f>
        <v>0.20000000000000004</v>
      </c>
      <c r="Y233" s="17">
        <f>'Rolling report'!CR233*'With Action'!$Y$6</f>
        <v>0</v>
      </c>
      <c r="Z233" s="17">
        <f>'Rolling report'!CS233*'With Action'!$Y$6</f>
        <v>0.15000000000000002</v>
      </c>
      <c r="AA233" s="17">
        <f>'Rolling report'!CT233*'With Action'!$Y$6</f>
        <v>5.000000000000001E-2</v>
      </c>
      <c r="AB233" s="17">
        <f>'Rolling report'!CU233*'With Action'!$Y$6</f>
        <v>5.000000000000001E-2</v>
      </c>
      <c r="AC233" s="17">
        <f>'Rolling report'!CV233*'With Action'!$Y$6</f>
        <v>5.000000000000001E-2</v>
      </c>
      <c r="AD233" s="17">
        <f>'Rolling report'!CW233*'With Action'!$Y$6</f>
        <v>0</v>
      </c>
      <c r="AE233" s="17">
        <f>'Rolling report'!CX233*'With Action'!$Y$6</f>
        <v>0.30000000000000004</v>
      </c>
      <c r="AF233" s="17">
        <f>'Rolling report'!CY233*'With Action'!$Y$6</f>
        <v>-4.8500000000000005</v>
      </c>
      <c r="AG233" s="17">
        <f>'Rolling report'!CZ233*'With Action'!$Y$6</f>
        <v>0</v>
      </c>
      <c r="AH233" s="17">
        <f>'Rolling report'!DA233*'With Action'!$Y$6</f>
        <v>0</v>
      </c>
      <c r="AI233" s="17">
        <f>'Rolling report'!DB233*'With Action'!$Y$6</f>
        <v>0</v>
      </c>
      <c r="AJ233" s="17">
        <f>'Rolling report'!DC233*'With Action'!$Y$6</f>
        <v>0</v>
      </c>
      <c r="AK233" s="17">
        <f>'Rolling report'!DD233*'With Action'!$Y$6</f>
        <v>0</v>
      </c>
      <c r="AL233" s="17">
        <f>'Rolling report'!DE233*'With Action'!$Y$6</f>
        <v>0</v>
      </c>
      <c r="AM233" s="17">
        <f>'Rolling report'!DF233*'With Action'!$Y$6</f>
        <v>0</v>
      </c>
      <c r="AN233" s="17">
        <f>'Rolling report'!DG233*'With Action'!$Y$6</f>
        <v>0</v>
      </c>
      <c r="AO233" s="17">
        <f>'Rolling report'!DH233*'With Action'!$Y$6</f>
        <v>0</v>
      </c>
      <c r="AP233" s="17">
        <f>'Rolling report'!DI233*'With Action'!$Y$6</f>
        <v>0</v>
      </c>
    </row>
    <row r="234" spans="1:42" x14ac:dyDescent="0.25">
      <c r="A234" s="4" t="s">
        <v>474</v>
      </c>
      <c r="B234" s="6" t="s">
        <v>475</v>
      </c>
      <c r="I234" s="17">
        <f>'Rolling report'!CB234*'With Action'!$Y$6</f>
        <v>2.6000000000000005</v>
      </c>
      <c r="J234" s="17">
        <f>'Rolling report'!CC234*'With Action'!$Y$6</f>
        <v>0.55000000000000016</v>
      </c>
      <c r="K234" s="17">
        <f>'Rolling report'!CD234*'With Action'!$Y$6</f>
        <v>0.50000000000000011</v>
      </c>
      <c r="L234" s="17">
        <f>'Rolling report'!CE234*'With Action'!$Y$6</f>
        <v>1.2000000000000002</v>
      </c>
      <c r="M234" s="17">
        <f>'Rolling report'!CF234*'With Action'!$Y$6</f>
        <v>0.10000000000000002</v>
      </c>
      <c r="N234" s="17">
        <f>'Rolling report'!CG234*'With Action'!$Y$6</f>
        <v>0.25000000000000006</v>
      </c>
      <c r="O234" s="17">
        <f>'Rolling report'!CH234*'With Action'!$Y$6</f>
        <v>0.25000000000000006</v>
      </c>
      <c r="P234" s="17">
        <f>'Rolling report'!CI234*'With Action'!$Y$6</f>
        <v>0.30000000000000004</v>
      </c>
      <c r="Q234" s="17">
        <f>'Rolling report'!CJ234*'With Action'!$Y$6</f>
        <v>0.25000000000000006</v>
      </c>
      <c r="R234" s="17">
        <f>'Rolling report'!CK234*'With Action'!$Y$6</f>
        <v>0.15000000000000002</v>
      </c>
      <c r="S234" s="17">
        <f>'Rolling report'!CL234*'With Action'!$Y$6</f>
        <v>0.10000000000000002</v>
      </c>
      <c r="T234" s="17">
        <f>'Rolling report'!CM234*'With Action'!$Y$6</f>
        <v>0.70000000000000018</v>
      </c>
      <c r="U234" s="17">
        <f>'Rolling report'!CN234*'With Action'!$Y$6</f>
        <v>0.20000000000000004</v>
      </c>
      <c r="V234" s="17">
        <f>'Rolling report'!CO234*'With Action'!$Y$6</f>
        <v>0.10000000000000002</v>
      </c>
      <c r="W234" s="17">
        <f>'Rolling report'!CP234*'With Action'!$Y$6</f>
        <v>0.35000000000000009</v>
      </c>
      <c r="X234" s="17">
        <f>'Rolling report'!CQ234*'With Action'!$Y$6</f>
        <v>0.15000000000000002</v>
      </c>
      <c r="Y234" s="17">
        <f>'Rolling report'!CR234*'With Action'!$Y$6</f>
        <v>0.10000000000000002</v>
      </c>
      <c r="Z234" s="17">
        <f>'Rolling report'!CS234*'With Action'!$Y$6</f>
        <v>0</v>
      </c>
      <c r="AA234" s="17">
        <f>'Rolling report'!CT234*'With Action'!$Y$6</f>
        <v>0.30000000000000004</v>
      </c>
      <c r="AB234" s="17">
        <f>'Rolling report'!CU234*'With Action'!$Y$6</f>
        <v>0</v>
      </c>
      <c r="AC234" s="17">
        <f>'Rolling report'!CV234*'With Action'!$Y$6</f>
        <v>0.50000000000000011</v>
      </c>
      <c r="AD234" s="17">
        <f>'Rolling report'!CW234*'With Action'!$Y$6</f>
        <v>-0.15000000000000002</v>
      </c>
      <c r="AE234" s="17">
        <f>'Rolling report'!CX234*'With Action'!$Y$6</f>
        <v>0</v>
      </c>
      <c r="AF234" s="17">
        <f>'Rolling report'!CY234*'With Action'!$Y$6</f>
        <v>-8.5000000000000018</v>
      </c>
      <c r="AG234" s="17">
        <f>'Rolling report'!CZ234*'With Action'!$Y$6</f>
        <v>0</v>
      </c>
      <c r="AH234" s="17">
        <f>'Rolling report'!DA234*'With Action'!$Y$6</f>
        <v>0</v>
      </c>
      <c r="AI234" s="17">
        <f>'Rolling report'!DB234*'With Action'!$Y$6</f>
        <v>0</v>
      </c>
      <c r="AJ234" s="17">
        <f>'Rolling report'!DC234*'With Action'!$Y$6</f>
        <v>0</v>
      </c>
      <c r="AK234" s="17">
        <f>'Rolling report'!DD234*'With Action'!$Y$6</f>
        <v>0</v>
      </c>
      <c r="AL234" s="17">
        <f>'Rolling report'!DE234*'With Action'!$Y$6</f>
        <v>0</v>
      </c>
      <c r="AM234" s="17">
        <f>'Rolling report'!DF234*'With Action'!$Y$6</f>
        <v>0</v>
      </c>
      <c r="AN234" s="17">
        <f>'Rolling report'!DG234*'With Action'!$Y$6</f>
        <v>0</v>
      </c>
      <c r="AO234" s="17">
        <f>'Rolling report'!DH234*'With Action'!$Y$6</f>
        <v>0</v>
      </c>
      <c r="AP234" s="17">
        <f>'Rolling report'!DI234*'With Action'!$Y$6</f>
        <v>0</v>
      </c>
    </row>
    <row r="235" spans="1:42" x14ac:dyDescent="0.25">
      <c r="A235" s="4" t="s">
        <v>476</v>
      </c>
      <c r="B235" s="6" t="s">
        <v>477</v>
      </c>
      <c r="I235" s="17">
        <f>'Rolling report'!CB235*'With Action'!$Y$6</f>
        <v>1.0500000000000003</v>
      </c>
      <c r="J235" s="17">
        <f>'Rolling report'!CC235*'With Action'!$Y$6</f>
        <v>0.40000000000000008</v>
      </c>
      <c r="K235" s="17">
        <f>'Rolling report'!CD235*'With Action'!$Y$6</f>
        <v>0</v>
      </c>
      <c r="L235" s="17">
        <f>'Rolling report'!CE235*'With Action'!$Y$6</f>
        <v>0.20000000000000004</v>
      </c>
      <c r="M235" s="17">
        <f>'Rolling report'!CF235*'With Action'!$Y$6</f>
        <v>0.25000000000000006</v>
      </c>
      <c r="N235" s="17">
        <f>'Rolling report'!CG235*'With Action'!$Y$6</f>
        <v>0.25000000000000006</v>
      </c>
      <c r="O235" s="17">
        <f>'Rolling report'!CH235*'With Action'!$Y$6</f>
        <v>0.30000000000000004</v>
      </c>
      <c r="P235" s="17">
        <f>'Rolling report'!CI235*'With Action'!$Y$6</f>
        <v>0.40000000000000008</v>
      </c>
      <c r="Q235" s="17">
        <f>'Rolling report'!CJ235*'With Action'!$Y$6</f>
        <v>0</v>
      </c>
      <c r="R235" s="17">
        <f>'Rolling report'!CK235*'With Action'!$Y$6</f>
        <v>0</v>
      </c>
      <c r="S235" s="17">
        <f>'Rolling report'!CL235*'With Action'!$Y$6</f>
        <v>0</v>
      </c>
      <c r="T235" s="17">
        <f>'Rolling report'!CM235*'With Action'!$Y$6</f>
        <v>0</v>
      </c>
      <c r="U235" s="17">
        <f>'Rolling report'!CN235*'With Action'!$Y$6</f>
        <v>0</v>
      </c>
      <c r="V235" s="17">
        <f>'Rolling report'!CO235*'With Action'!$Y$6</f>
        <v>5.000000000000001E-2</v>
      </c>
      <c r="W235" s="17">
        <f>'Rolling report'!CP235*'With Action'!$Y$6</f>
        <v>0.25000000000000006</v>
      </c>
      <c r="X235" s="17">
        <f>'Rolling report'!CQ235*'With Action'!$Y$6</f>
        <v>5.000000000000001E-2</v>
      </c>
      <c r="Y235" s="17">
        <f>'Rolling report'!CR235*'With Action'!$Y$6</f>
        <v>0.15000000000000002</v>
      </c>
      <c r="Z235" s="17">
        <f>'Rolling report'!CS235*'With Action'!$Y$6</f>
        <v>0</v>
      </c>
      <c r="AA235" s="17">
        <f>'Rolling report'!CT235*'With Action'!$Y$6</f>
        <v>0.10000000000000002</v>
      </c>
      <c r="AB235" s="17">
        <f>'Rolling report'!CU235*'With Action'!$Y$6</f>
        <v>0.10000000000000002</v>
      </c>
      <c r="AC235" s="17">
        <f>'Rolling report'!CV235*'With Action'!$Y$6</f>
        <v>0</v>
      </c>
      <c r="AD235" s="17">
        <f>'Rolling report'!CW235*'With Action'!$Y$6</f>
        <v>0</v>
      </c>
      <c r="AE235" s="17">
        <f>'Rolling report'!CX235*'With Action'!$Y$6</f>
        <v>0</v>
      </c>
      <c r="AF235" s="17">
        <f>'Rolling report'!CY235*'With Action'!$Y$6</f>
        <v>-3.5500000000000007</v>
      </c>
      <c r="AG235" s="17">
        <f>'Rolling report'!CZ235*'With Action'!$Y$6</f>
        <v>0</v>
      </c>
      <c r="AH235" s="17">
        <f>'Rolling report'!DA235*'With Action'!$Y$6</f>
        <v>0</v>
      </c>
      <c r="AI235" s="17">
        <f>'Rolling report'!DB235*'With Action'!$Y$6</f>
        <v>0</v>
      </c>
      <c r="AJ235" s="17">
        <f>'Rolling report'!DC235*'With Action'!$Y$6</f>
        <v>0</v>
      </c>
      <c r="AK235" s="17">
        <f>'Rolling report'!DD235*'With Action'!$Y$6</f>
        <v>0</v>
      </c>
      <c r="AL235" s="17">
        <f>'Rolling report'!DE235*'With Action'!$Y$6</f>
        <v>0</v>
      </c>
      <c r="AM235" s="17">
        <f>'Rolling report'!DF235*'With Action'!$Y$6</f>
        <v>0</v>
      </c>
      <c r="AN235" s="17">
        <f>'Rolling report'!DG235*'With Action'!$Y$6</f>
        <v>0</v>
      </c>
      <c r="AO235" s="17">
        <f>'Rolling report'!DH235*'With Action'!$Y$6</f>
        <v>0</v>
      </c>
      <c r="AP235" s="17">
        <f>'Rolling report'!DI235*'With Action'!$Y$6</f>
        <v>0</v>
      </c>
    </row>
    <row r="236" spans="1:42" x14ac:dyDescent="0.25">
      <c r="A236" s="4" t="s">
        <v>478</v>
      </c>
      <c r="B236" s="6" t="s">
        <v>479</v>
      </c>
      <c r="I236" s="17">
        <f>'Rolling report'!CB236*'With Action'!$Y$6</f>
        <v>0.55000000000000016</v>
      </c>
      <c r="J236" s="17">
        <f>'Rolling report'!CC236*'With Action'!$Y$6</f>
        <v>0.20000000000000004</v>
      </c>
      <c r="K236" s="17">
        <f>'Rolling report'!CD236*'With Action'!$Y$6</f>
        <v>0.10000000000000002</v>
      </c>
      <c r="L236" s="17">
        <f>'Rolling report'!CE236*'With Action'!$Y$6</f>
        <v>0</v>
      </c>
      <c r="M236" s="17">
        <f>'Rolling report'!CF236*'With Action'!$Y$6</f>
        <v>0.10000000000000002</v>
      </c>
      <c r="N236" s="17">
        <f>'Rolling report'!CG236*'With Action'!$Y$6</f>
        <v>0</v>
      </c>
      <c r="O236" s="17">
        <f>'Rolling report'!CH236*'With Action'!$Y$6</f>
        <v>0</v>
      </c>
      <c r="P236" s="17">
        <f>'Rolling report'!CI236*'With Action'!$Y$6</f>
        <v>0</v>
      </c>
      <c r="Q236" s="17">
        <f>'Rolling report'!CJ236*'With Action'!$Y$6</f>
        <v>0</v>
      </c>
      <c r="R236" s="17">
        <f>'Rolling report'!CK236*'With Action'!$Y$6</f>
        <v>0</v>
      </c>
      <c r="S236" s="17">
        <f>'Rolling report'!CL236*'With Action'!$Y$6</f>
        <v>0.20000000000000004</v>
      </c>
      <c r="T236" s="17">
        <f>'Rolling report'!CM236*'With Action'!$Y$6</f>
        <v>0</v>
      </c>
      <c r="U236" s="17">
        <f>'Rolling report'!CN236*'With Action'!$Y$6</f>
        <v>0.25000000000000006</v>
      </c>
      <c r="V236" s="17">
        <f>'Rolling report'!CO236*'With Action'!$Y$6</f>
        <v>0.50000000000000011</v>
      </c>
      <c r="W236" s="17">
        <f>'Rolling report'!CP236*'With Action'!$Y$6</f>
        <v>0</v>
      </c>
      <c r="X236" s="17">
        <f>'Rolling report'!CQ236*'With Action'!$Y$6</f>
        <v>0</v>
      </c>
      <c r="Y236" s="17">
        <f>'Rolling report'!CR236*'With Action'!$Y$6</f>
        <v>0</v>
      </c>
      <c r="Z236" s="17">
        <f>'Rolling report'!CS236*'With Action'!$Y$6</f>
        <v>0</v>
      </c>
      <c r="AA236" s="17">
        <f>'Rolling report'!CT236*'With Action'!$Y$6</f>
        <v>5.000000000000001E-2</v>
      </c>
      <c r="AB236" s="17">
        <f>'Rolling report'!CU236*'With Action'!$Y$6</f>
        <v>5.000000000000001E-2</v>
      </c>
      <c r="AC236" s="17">
        <f>'Rolling report'!CV236*'With Action'!$Y$6</f>
        <v>0</v>
      </c>
      <c r="AD236" s="17">
        <f>'Rolling report'!CW236*'With Action'!$Y$6</f>
        <v>0</v>
      </c>
      <c r="AE236" s="17">
        <f>'Rolling report'!CX236*'With Action'!$Y$6</f>
        <v>0</v>
      </c>
      <c r="AF236" s="17">
        <f>'Rolling report'!CY236*'With Action'!$Y$6</f>
        <v>-2.0000000000000004</v>
      </c>
      <c r="AG236" s="17">
        <f>'Rolling report'!CZ236*'With Action'!$Y$6</f>
        <v>0</v>
      </c>
      <c r="AH236" s="17">
        <f>'Rolling report'!DA236*'With Action'!$Y$6</f>
        <v>0</v>
      </c>
      <c r="AI236" s="17">
        <f>'Rolling report'!DB236*'With Action'!$Y$6</f>
        <v>0</v>
      </c>
      <c r="AJ236" s="17">
        <f>'Rolling report'!DC236*'With Action'!$Y$6</f>
        <v>0</v>
      </c>
      <c r="AK236" s="17">
        <f>'Rolling report'!DD236*'With Action'!$Y$6</f>
        <v>0</v>
      </c>
      <c r="AL236" s="17">
        <f>'Rolling report'!DE236*'With Action'!$Y$6</f>
        <v>0</v>
      </c>
      <c r="AM236" s="17">
        <f>'Rolling report'!DF236*'With Action'!$Y$6</f>
        <v>0</v>
      </c>
      <c r="AN236" s="17">
        <f>'Rolling report'!DG236*'With Action'!$Y$6</f>
        <v>0</v>
      </c>
      <c r="AO236" s="17">
        <f>'Rolling report'!DH236*'With Action'!$Y$6</f>
        <v>0</v>
      </c>
      <c r="AP236" s="17">
        <f>'Rolling report'!DI236*'With Action'!$Y$6</f>
        <v>0</v>
      </c>
    </row>
    <row r="237" spans="1:42" x14ac:dyDescent="0.25">
      <c r="A237" s="4" t="s">
        <v>480</v>
      </c>
      <c r="B237" s="6" t="s">
        <v>481</v>
      </c>
      <c r="I237" s="17">
        <f>'Rolling report'!CB237*'With Action'!$Y$6</f>
        <v>4.9000000000000012</v>
      </c>
      <c r="J237" s="17">
        <f>'Rolling report'!CC237*'With Action'!$Y$6</f>
        <v>0.80000000000000016</v>
      </c>
      <c r="K237" s="17">
        <f>'Rolling report'!CD237*'With Action'!$Y$6</f>
        <v>1.1000000000000003</v>
      </c>
      <c r="L237" s="17">
        <f>'Rolling report'!CE237*'With Action'!$Y$6</f>
        <v>0.60000000000000009</v>
      </c>
      <c r="M237" s="17">
        <f>'Rolling report'!CF237*'With Action'!$Y$6</f>
        <v>0.70000000000000018</v>
      </c>
      <c r="N237" s="17">
        <f>'Rolling report'!CG237*'With Action'!$Y$6</f>
        <v>0.50000000000000011</v>
      </c>
      <c r="O237" s="17">
        <f>'Rolling report'!CH237*'With Action'!$Y$6</f>
        <v>0.60000000000000009</v>
      </c>
      <c r="P237" s="17">
        <f>'Rolling report'!CI237*'With Action'!$Y$6</f>
        <v>0.25000000000000006</v>
      </c>
      <c r="Q237" s="17">
        <f>'Rolling report'!CJ237*'With Action'!$Y$6</f>
        <v>0.45000000000000007</v>
      </c>
      <c r="R237" s="17">
        <f>'Rolling report'!CK237*'With Action'!$Y$6</f>
        <v>0.30000000000000004</v>
      </c>
      <c r="S237" s="17">
        <f>'Rolling report'!CL237*'With Action'!$Y$6</f>
        <v>0.30000000000000004</v>
      </c>
      <c r="T237" s="17">
        <f>'Rolling report'!CM237*'With Action'!$Y$6</f>
        <v>0.10000000000000002</v>
      </c>
      <c r="U237" s="17">
        <f>'Rolling report'!CN237*'With Action'!$Y$6</f>
        <v>0</v>
      </c>
      <c r="V237" s="17">
        <f>'Rolling report'!CO237*'With Action'!$Y$6</f>
        <v>0.25000000000000006</v>
      </c>
      <c r="W237" s="17">
        <f>'Rolling report'!CP237*'With Action'!$Y$6</f>
        <v>0.50000000000000011</v>
      </c>
      <c r="X237" s="17">
        <f>'Rolling report'!CQ237*'With Action'!$Y$6</f>
        <v>0.15000000000000002</v>
      </c>
      <c r="Y237" s="17">
        <f>'Rolling report'!CR237*'With Action'!$Y$6</f>
        <v>0.35000000000000009</v>
      </c>
      <c r="Z237" s="17">
        <f>'Rolling report'!CS237*'With Action'!$Y$6</f>
        <v>0.30000000000000004</v>
      </c>
      <c r="AA237" s="17">
        <f>'Rolling report'!CT237*'With Action'!$Y$6</f>
        <v>0.20000000000000004</v>
      </c>
      <c r="AB237" s="17">
        <f>'Rolling report'!CU237*'With Action'!$Y$6</f>
        <v>0</v>
      </c>
      <c r="AC237" s="17">
        <f>'Rolling report'!CV237*'With Action'!$Y$6</f>
        <v>0.45000000000000007</v>
      </c>
      <c r="AD237" s="17">
        <f>'Rolling report'!CW237*'With Action'!$Y$6</f>
        <v>-5.000000000000001E-2</v>
      </c>
      <c r="AE237" s="17">
        <f>'Rolling report'!CX237*'With Action'!$Y$6</f>
        <v>0.35000000000000009</v>
      </c>
      <c r="AF237" s="17">
        <f>'Rolling report'!CY237*'With Action'!$Y$6</f>
        <v>-13.100000000000003</v>
      </c>
      <c r="AG237" s="17">
        <f>'Rolling report'!CZ237*'With Action'!$Y$6</f>
        <v>0</v>
      </c>
      <c r="AH237" s="17">
        <f>'Rolling report'!DA237*'With Action'!$Y$6</f>
        <v>0</v>
      </c>
      <c r="AI237" s="17">
        <f>'Rolling report'!DB237*'With Action'!$Y$6</f>
        <v>0</v>
      </c>
      <c r="AJ237" s="17">
        <f>'Rolling report'!DC237*'With Action'!$Y$6</f>
        <v>0</v>
      </c>
      <c r="AK237" s="17">
        <f>'Rolling report'!DD237*'With Action'!$Y$6</f>
        <v>0</v>
      </c>
      <c r="AL237" s="17">
        <f>'Rolling report'!DE237*'With Action'!$Y$6</f>
        <v>0</v>
      </c>
      <c r="AM237" s="17">
        <f>'Rolling report'!DF237*'With Action'!$Y$6</f>
        <v>0</v>
      </c>
      <c r="AN237" s="17">
        <f>'Rolling report'!DG237*'With Action'!$Y$6</f>
        <v>0</v>
      </c>
      <c r="AO237" s="17">
        <f>'Rolling report'!DH237*'With Action'!$Y$6</f>
        <v>0</v>
      </c>
      <c r="AP237" s="17">
        <f>'Rolling report'!DI237*'With Action'!$Y$6</f>
        <v>0</v>
      </c>
    </row>
    <row r="238" spans="1:42" x14ac:dyDescent="0.25">
      <c r="A238" s="4" t="s">
        <v>482</v>
      </c>
      <c r="B238" s="6" t="s">
        <v>483</v>
      </c>
      <c r="I238" s="17">
        <f>'Rolling report'!CB238*'With Action'!$Y$6</f>
        <v>1.4500000000000002</v>
      </c>
      <c r="J238" s="17">
        <f>'Rolling report'!CC238*'With Action'!$Y$6</f>
        <v>0</v>
      </c>
      <c r="K238" s="17">
        <f>'Rolling report'!CD238*'With Action'!$Y$6</f>
        <v>0.40000000000000008</v>
      </c>
      <c r="L238" s="17">
        <f>'Rolling report'!CE238*'With Action'!$Y$6</f>
        <v>0.10000000000000002</v>
      </c>
      <c r="M238" s="17">
        <f>'Rolling report'!CF238*'With Action'!$Y$6</f>
        <v>0.15000000000000002</v>
      </c>
      <c r="N238" s="17">
        <f>'Rolling report'!CG238*'With Action'!$Y$6</f>
        <v>0.10000000000000002</v>
      </c>
      <c r="O238" s="17">
        <f>'Rolling report'!CH238*'With Action'!$Y$6</f>
        <v>0</v>
      </c>
      <c r="P238" s="17">
        <f>'Rolling report'!CI238*'With Action'!$Y$6</f>
        <v>5.000000000000001E-2</v>
      </c>
      <c r="Q238" s="17">
        <f>'Rolling report'!CJ238*'With Action'!$Y$6</f>
        <v>0.10000000000000002</v>
      </c>
      <c r="R238" s="17">
        <f>'Rolling report'!CK238*'With Action'!$Y$6</f>
        <v>0.10000000000000002</v>
      </c>
      <c r="S238" s="17">
        <f>'Rolling report'!CL238*'With Action'!$Y$6</f>
        <v>0</v>
      </c>
      <c r="T238" s="17">
        <f>'Rolling report'!CM238*'With Action'!$Y$6</f>
        <v>0</v>
      </c>
      <c r="U238" s="17">
        <f>'Rolling report'!CN238*'With Action'!$Y$6</f>
        <v>0.20000000000000004</v>
      </c>
      <c r="V238" s="17">
        <f>'Rolling report'!CO238*'With Action'!$Y$6</f>
        <v>0</v>
      </c>
      <c r="W238" s="17">
        <f>'Rolling report'!CP238*'With Action'!$Y$6</f>
        <v>0</v>
      </c>
      <c r="X238" s="17">
        <f>'Rolling report'!CQ238*'With Action'!$Y$6</f>
        <v>0</v>
      </c>
      <c r="Y238" s="17">
        <f>'Rolling report'!CR238*'With Action'!$Y$6</f>
        <v>0</v>
      </c>
      <c r="Z238" s="17">
        <f>'Rolling report'!CS238*'With Action'!$Y$6</f>
        <v>0</v>
      </c>
      <c r="AA238" s="17">
        <f>'Rolling report'!CT238*'With Action'!$Y$6</f>
        <v>0</v>
      </c>
      <c r="AB238" s="17">
        <f>'Rolling report'!CU238*'With Action'!$Y$6</f>
        <v>0</v>
      </c>
      <c r="AC238" s="17">
        <f>'Rolling report'!CV238*'With Action'!$Y$6</f>
        <v>5.000000000000001E-2</v>
      </c>
      <c r="AD238" s="17">
        <f>'Rolling report'!CW238*'With Action'!$Y$6</f>
        <v>-5.000000000000001E-2</v>
      </c>
      <c r="AE238" s="17">
        <f>'Rolling report'!CX238*'With Action'!$Y$6</f>
        <v>0</v>
      </c>
      <c r="AF238" s="17">
        <f>'Rolling report'!CY238*'With Action'!$Y$6</f>
        <v>-2.6500000000000004</v>
      </c>
      <c r="AG238" s="17">
        <f>'Rolling report'!CZ238*'With Action'!$Y$6</f>
        <v>0</v>
      </c>
      <c r="AH238" s="17">
        <f>'Rolling report'!DA238*'With Action'!$Y$6</f>
        <v>0</v>
      </c>
      <c r="AI238" s="17">
        <f>'Rolling report'!DB238*'With Action'!$Y$6</f>
        <v>0</v>
      </c>
      <c r="AJ238" s="17">
        <f>'Rolling report'!DC238*'With Action'!$Y$6</f>
        <v>0</v>
      </c>
      <c r="AK238" s="17">
        <f>'Rolling report'!DD238*'With Action'!$Y$6</f>
        <v>0</v>
      </c>
      <c r="AL238" s="17">
        <f>'Rolling report'!DE238*'With Action'!$Y$6</f>
        <v>0</v>
      </c>
      <c r="AM238" s="17">
        <f>'Rolling report'!DF238*'With Action'!$Y$6</f>
        <v>0</v>
      </c>
      <c r="AN238" s="17">
        <f>'Rolling report'!DG238*'With Action'!$Y$6</f>
        <v>0</v>
      </c>
      <c r="AO238" s="17">
        <f>'Rolling report'!DH238*'With Action'!$Y$6</f>
        <v>0</v>
      </c>
      <c r="AP238" s="17">
        <f>'Rolling report'!DI238*'With Action'!$Y$6</f>
        <v>0</v>
      </c>
    </row>
    <row r="239" spans="1:42" x14ac:dyDescent="0.25">
      <c r="A239" s="4" t="s">
        <v>484</v>
      </c>
      <c r="B239" s="6" t="s">
        <v>485</v>
      </c>
      <c r="I239" s="17">
        <f>'Rolling report'!CB239*'With Action'!$Y$6</f>
        <v>1.0500000000000003</v>
      </c>
      <c r="J239" s="17">
        <f>'Rolling report'!CC239*'With Action'!$Y$6</f>
        <v>0.50000000000000011</v>
      </c>
      <c r="K239" s="17">
        <f>'Rolling report'!CD239*'With Action'!$Y$6</f>
        <v>0.60000000000000009</v>
      </c>
      <c r="L239" s="17">
        <f>'Rolling report'!CE239*'With Action'!$Y$6</f>
        <v>0.35000000000000009</v>
      </c>
      <c r="M239" s="17">
        <f>'Rolling report'!CF239*'With Action'!$Y$6</f>
        <v>0.25000000000000006</v>
      </c>
      <c r="N239" s="17">
        <f>'Rolling report'!CG239*'With Action'!$Y$6</f>
        <v>0.15000000000000002</v>
      </c>
      <c r="O239" s="17">
        <f>'Rolling report'!CH239*'With Action'!$Y$6</f>
        <v>0.25000000000000006</v>
      </c>
      <c r="P239" s="17">
        <f>'Rolling report'!CI239*'With Action'!$Y$6</f>
        <v>0.15000000000000002</v>
      </c>
      <c r="Q239" s="17">
        <f>'Rolling report'!CJ239*'With Action'!$Y$6</f>
        <v>0.40000000000000008</v>
      </c>
      <c r="R239" s="17">
        <f>'Rolling report'!CK239*'With Action'!$Y$6</f>
        <v>0.25000000000000006</v>
      </c>
      <c r="S239" s="17">
        <f>'Rolling report'!CL239*'With Action'!$Y$6</f>
        <v>0</v>
      </c>
      <c r="T239" s="17">
        <f>'Rolling report'!CM239*'With Action'!$Y$6</f>
        <v>0.15000000000000002</v>
      </c>
      <c r="U239" s="17">
        <f>'Rolling report'!CN239*'With Action'!$Y$6</f>
        <v>0</v>
      </c>
      <c r="V239" s="17">
        <f>'Rolling report'!CO239*'With Action'!$Y$6</f>
        <v>0.20000000000000004</v>
      </c>
      <c r="W239" s="17">
        <f>'Rolling report'!CP239*'With Action'!$Y$6</f>
        <v>5.000000000000001E-2</v>
      </c>
      <c r="X239" s="17">
        <f>'Rolling report'!CQ239*'With Action'!$Y$6</f>
        <v>0.20000000000000004</v>
      </c>
      <c r="Y239" s="17">
        <f>'Rolling report'!CR239*'With Action'!$Y$6</f>
        <v>0</v>
      </c>
      <c r="Z239" s="17">
        <f>'Rolling report'!CS239*'With Action'!$Y$6</f>
        <v>0</v>
      </c>
      <c r="AA239" s="17">
        <f>'Rolling report'!CT239*'With Action'!$Y$6</f>
        <v>0</v>
      </c>
      <c r="AB239" s="17">
        <f>'Rolling report'!CU239*'With Action'!$Y$6</f>
        <v>0.25000000000000006</v>
      </c>
      <c r="AC239" s="17">
        <f>'Rolling report'!CV239*'With Action'!$Y$6</f>
        <v>0</v>
      </c>
      <c r="AD239" s="17">
        <f>'Rolling report'!CW239*'With Action'!$Y$6</f>
        <v>0.10000000000000002</v>
      </c>
      <c r="AE239" s="17">
        <f>'Rolling report'!CX239*'With Action'!$Y$6</f>
        <v>0</v>
      </c>
      <c r="AF239" s="17">
        <f>'Rolling report'!CY239*'With Action'!$Y$6</f>
        <v>-4.9000000000000012</v>
      </c>
      <c r="AG239" s="17">
        <f>'Rolling report'!CZ239*'With Action'!$Y$6</f>
        <v>0</v>
      </c>
      <c r="AH239" s="17">
        <f>'Rolling report'!DA239*'With Action'!$Y$6</f>
        <v>0</v>
      </c>
      <c r="AI239" s="17">
        <f>'Rolling report'!DB239*'With Action'!$Y$6</f>
        <v>0</v>
      </c>
      <c r="AJ239" s="17">
        <f>'Rolling report'!DC239*'With Action'!$Y$6</f>
        <v>0</v>
      </c>
      <c r="AK239" s="17">
        <f>'Rolling report'!DD239*'With Action'!$Y$6</f>
        <v>0</v>
      </c>
      <c r="AL239" s="17">
        <f>'Rolling report'!DE239*'With Action'!$Y$6</f>
        <v>0</v>
      </c>
      <c r="AM239" s="17">
        <f>'Rolling report'!DF239*'With Action'!$Y$6</f>
        <v>0</v>
      </c>
      <c r="AN239" s="17">
        <f>'Rolling report'!DG239*'With Action'!$Y$6</f>
        <v>0</v>
      </c>
      <c r="AO239" s="17">
        <f>'Rolling report'!DH239*'With Action'!$Y$6</f>
        <v>0</v>
      </c>
      <c r="AP239" s="17">
        <f>'Rolling report'!DI239*'With Action'!$Y$6</f>
        <v>0</v>
      </c>
    </row>
    <row r="240" spans="1:42" x14ac:dyDescent="0.25">
      <c r="A240" s="4" t="s">
        <v>486</v>
      </c>
      <c r="B240" s="6" t="s">
        <v>487</v>
      </c>
      <c r="I240" s="17">
        <f>'Rolling report'!CB240*'With Action'!$Y$6</f>
        <v>3.0000000000000004</v>
      </c>
      <c r="J240" s="17">
        <f>'Rolling report'!CC240*'With Action'!$Y$6</f>
        <v>1.1500000000000001</v>
      </c>
      <c r="K240" s="17">
        <f>'Rolling report'!CD240*'With Action'!$Y$6</f>
        <v>0.50000000000000011</v>
      </c>
      <c r="L240" s="17">
        <f>'Rolling report'!CE240*'With Action'!$Y$6</f>
        <v>0.55000000000000016</v>
      </c>
      <c r="M240" s="17">
        <f>'Rolling report'!CF240*'With Action'!$Y$6</f>
        <v>0.55000000000000016</v>
      </c>
      <c r="N240" s="17">
        <f>'Rolling report'!CG240*'With Action'!$Y$6</f>
        <v>0.30000000000000004</v>
      </c>
      <c r="O240" s="17">
        <f>'Rolling report'!CH240*'With Action'!$Y$6</f>
        <v>1.1000000000000003</v>
      </c>
      <c r="P240" s="17">
        <f>'Rolling report'!CI240*'With Action'!$Y$6</f>
        <v>0.40000000000000008</v>
      </c>
      <c r="Q240" s="17">
        <f>'Rolling report'!CJ240*'With Action'!$Y$6</f>
        <v>0.65000000000000013</v>
      </c>
      <c r="R240" s="17">
        <f>'Rolling report'!CK240*'With Action'!$Y$6</f>
        <v>0.60000000000000009</v>
      </c>
      <c r="S240" s="17">
        <f>'Rolling report'!CL240*'With Action'!$Y$6</f>
        <v>0.30000000000000004</v>
      </c>
      <c r="T240" s="17">
        <f>'Rolling report'!CM240*'With Action'!$Y$6</f>
        <v>0.35000000000000009</v>
      </c>
      <c r="U240" s="17">
        <f>'Rolling report'!CN240*'With Action'!$Y$6</f>
        <v>0.45000000000000007</v>
      </c>
      <c r="V240" s="17">
        <f>'Rolling report'!CO240*'With Action'!$Y$6</f>
        <v>5.000000000000001E-2</v>
      </c>
      <c r="W240" s="17">
        <f>'Rolling report'!CP240*'With Action'!$Y$6</f>
        <v>0.35000000000000009</v>
      </c>
      <c r="X240" s="17">
        <f>'Rolling report'!CQ240*'With Action'!$Y$6</f>
        <v>0</v>
      </c>
      <c r="Y240" s="17">
        <f>'Rolling report'!CR240*'With Action'!$Y$6</f>
        <v>0.45000000000000007</v>
      </c>
      <c r="Z240" s="17">
        <f>'Rolling report'!CS240*'With Action'!$Y$6</f>
        <v>0</v>
      </c>
      <c r="AA240" s="17">
        <f>'Rolling report'!CT240*'With Action'!$Y$6</f>
        <v>0</v>
      </c>
      <c r="AB240" s="17">
        <f>'Rolling report'!CU240*'With Action'!$Y$6</f>
        <v>0</v>
      </c>
      <c r="AC240" s="17">
        <f>'Rolling report'!CV240*'With Action'!$Y$6</f>
        <v>5.000000000000001E-2</v>
      </c>
      <c r="AD240" s="17">
        <f>'Rolling report'!CW240*'With Action'!$Y$6</f>
        <v>0.10000000000000002</v>
      </c>
      <c r="AE240" s="17">
        <f>'Rolling report'!CX240*'With Action'!$Y$6</f>
        <v>0.10000000000000002</v>
      </c>
      <c r="AF240" s="17">
        <f>'Rolling report'!CY240*'With Action'!$Y$6</f>
        <v>-11.000000000000002</v>
      </c>
      <c r="AG240" s="17">
        <f>'Rolling report'!CZ240*'With Action'!$Y$6</f>
        <v>0</v>
      </c>
      <c r="AH240" s="17">
        <f>'Rolling report'!DA240*'With Action'!$Y$6</f>
        <v>0</v>
      </c>
      <c r="AI240" s="17">
        <f>'Rolling report'!DB240*'With Action'!$Y$6</f>
        <v>0</v>
      </c>
      <c r="AJ240" s="17">
        <f>'Rolling report'!DC240*'With Action'!$Y$6</f>
        <v>0</v>
      </c>
      <c r="AK240" s="17">
        <f>'Rolling report'!DD240*'With Action'!$Y$6</f>
        <v>0</v>
      </c>
      <c r="AL240" s="17">
        <f>'Rolling report'!DE240*'With Action'!$Y$6</f>
        <v>0</v>
      </c>
      <c r="AM240" s="17">
        <f>'Rolling report'!DF240*'With Action'!$Y$6</f>
        <v>0</v>
      </c>
      <c r="AN240" s="17">
        <f>'Rolling report'!DG240*'With Action'!$Y$6</f>
        <v>0</v>
      </c>
      <c r="AO240" s="17">
        <f>'Rolling report'!DH240*'With Action'!$Y$6</f>
        <v>0</v>
      </c>
      <c r="AP240" s="17">
        <f>'Rolling report'!DI240*'With Action'!$Y$6</f>
        <v>0</v>
      </c>
    </row>
    <row r="241" spans="1:42" x14ac:dyDescent="0.25">
      <c r="A241" s="4" t="s">
        <v>488</v>
      </c>
      <c r="B241" s="6" t="s">
        <v>489</v>
      </c>
      <c r="I241" s="17">
        <f>'Rolling report'!CB241*'With Action'!$Y$6</f>
        <v>2.1000000000000005</v>
      </c>
      <c r="J241" s="17">
        <f>'Rolling report'!CC241*'With Action'!$Y$6</f>
        <v>0.90000000000000013</v>
      </c>
      <c r="K241" s="17">
        <f>'Rolling report'!CD241*'With Action'!$Y$6</f>
        <v>0.70000000000000018</v>
      </c>
      <c r="L241" s="17">
        <f>'Rolling report'!CE241*'With Action'!$Y$6</f>
        <v>0.60000000000000009</v>
      </c>
      <c r="M241" s="17">
        <f>'Rolling report'!CF241*'With Action'!$Y$6</f>
        <v>0.65000000000000013</v>
      </c>
      <c r="N241" s="17">
        <f>'Rolling report'!CG241*'With Action'!$Y$6</f>
        <v>0.45000000000000007</v>
      </c>
      <c r="O241" s="17">
        <f>'Rolling report'!CH241*'With Action'!$Y$6</f>
        <v>0.45000000000000007</v>
      </c>
      <c r="P241" s="17">
        <f>'Rolling report'!CI241*'With Action'!$Y$6</f>
        <v>0.15000000000000002</v>
      </c>
      <c r="Q241" s="17">
        <f>'Rolling report'!CJ241*'With Action'!$Y$6</f>
        <v>0.75000000000000011</v>
      </c>
      <c r="R241" s="17">
        <f>'Rolling report'!CK241*'With Action'!$Y$6</f>
        <v>0.50000000000000011</v>
      </c>
      <c r="S241" s="17">
        <f>'Rolling report'!CL241*'With Action'!$Y$6</f>
        <v>5.000000000000001E-2</v>
      </c>
      <c r="T241" s="17">
        <f>'Rolling report'!CM241*'With Action'!$Y$6</f>
        <v>0.30000000000000004</v>
      </c>
      <c r="U241" s="17">
        <f>'Rolling report'!CN241*'With Action'!$Y$6</f>
        <v>0.65000000000000013</v>
      </c>
      <c r="V241" s="17">
        <f>'Rolling report'!CO241*'With Action'!$Y$6</f>
        <v>0.30000000000000004</v>
      </c>
      <c r="W241" s="17">
        <f>'Rolling report'!CP241*'With Action'!$Y$6</f>
        <v>0.35000000000000009</v>
      </c>
      <c r="X241" s="17">
        <f>'Rolling report'!CQ241*'With Action'!$Y$6</f>
        <v>0.10000000000000002</v>
      </c>
      <c r="Y241" s="17">
        <f>'Rolling report'!CR241*'With Action'!$Y$6</f>
        <v>0.45000000000000007</v>
      </c>
      <c r="Z241" s="17">
        <f>'Rolling report'!CS241*'With Action'!$Y$6</f>
        <v>0.40000000000000008</v>
      </c>
      <c r="AA241" s="17">
        <f>'Rolling report'!CT241*'With Action'!$Y$6</f>
        <v>0.20000000000000004</v>
      </c>
      <c r="AB241" s="17">
        <f>'Rolling report'!CU241*'With Action'!$Y$6</f>
        <v>0.15000000000000002</v>
      </c>
      <c r="AC241" s="17">
        <f>'Rolling report'!CV241*'With Action'!$Y$6</f>
        <v>0.30000000000000004</v>
      </c>
      <c r="AD241" s="17">
        <f>'Rolling report'!CW241*'With Action'!$Y$6</f>
        <v>-5.000000000000001E-2</v>
      </c>
      <c r="AE241" s="17">
        <f>'Rolling report'!CX241*'With Action'!$Y$6</f>
        <v>0.50000000000000011</v>
      </c>
      <c r="AF241" s="17">
        <f>'Rolling report'!CY241*'With Action'!$Y$6</f>
        <v>-10.950000000000003</v>
      </c>
      <c r="AG241" s="17">
        <f>'Rolling report'!CZ241*'With Action'!$Y$6</f>
        <v>0</v>
      </c>
      <c r="AH241" s="17">
        <f>'Rolling report'!DA241*'With Action'!$Y$6</f>
        <v>0</v>
      </c>
      <c r="AI241" s="17">
        <f>'Rolling report'!DB241*'With Action'!$Y$6</f>
        <v>0</v>
      </c>
      <c r="AJ241" s="17">
        <f>'Rolling report'!DC241*'With Action'!$Y$6</f>
        <v>0</v>
      </c>
      <c r="AK241" s="17">
        <f>'Rolling report'!DD241*'With Action'!$Y$6</f>
        <v>0</v>
      </c>
      <c r="AL241" s="17">
        <f>'Rolling report'!DE241*'With Action'!$Y$6</f>
        <v>0</v>
      </c>
      <c r="AM241" s="17">
        <f>'Rolling report'!DF241*'With Action'!$Y$6</f>
        <v>0</v>
      </c>
      <c r="AN241" s="17">
        <f>'Rolling report'!DG241*'With Action'!$Y$6</f>
        <v>0</v>
      </c>
      <c r="AO241" s="17">
        <f>'Rolling report'!DH241*'With Action'!$Y$6</f>
        <v>0</v>
      </c>
      <c r="AP241" s="17">
        <f>'Rolling report'!DI241*'With Action'!$Y$6</f>
        <v>0</v>
      </c>
    </row>
    <row r="242" spans="1:42" x14ac:dyDescent="0.25">
      <c r="A242" s="4" t="s">
        <v>490</v>
      </c>
      <c r="B242" s="6" t="s">
        <v>491</v>
      </c>
      <c r="I242" s="17">
        <f>'Rolling report'!CB242*'With Action'!$Y$6</f>
        <v>1.8500000000000003</v>
      </c>
      <c r="J242" s="17">
        <f>'Rolling report'!CC242*'With Action'!$Y$6</f>
        <v>5.000000000000001E-2</v>
      </c>
      <c r="K242" s="17">
        <f>'Rolling report'!CD242*'With Action'!$Y$6</f>
        <v>5.000000000000001E-2</v>
      </c>
      <c r="L242" s="17">
        <f>'Rolling report'!CE242*'With Action'!$Y$6</f>
        <v>0.25000000000000006</v>
      </c>
      <c r="M242" s="17">
        <f>'Rolling report'!CF242*'With Action'!$Y$6</f>
        <v>0.25000000000000006</v>
      </c>
      <c r="N242" s="17">
        <f>'Rolling report'!CG242*'With Action'!$Y$6</f>
        <v>0.10000000000000002</v>
      </c>
      <c r="O242" s="17">
        <f>'Rolling report'!CH242*'With Action'!$Y$6</f>
        <v>0.35000000000000009</v>
      </c>
      <c r="P242" s="17">
        <f>'Rolling report'!CI242*'With Action'!$Y$6</f>
        <v>0.20000000000000004</v>
      </c>
      <c r="Q242" s="17">
        <f>'Rolling report'!CJ242*'With Action'!$Y$6</f>
        <v>0.15000000000000002</v>
      </c>
      <c r="R242" s="17">
        <f>'Rolling report'!CK242*'With Action'!$Y$6</f>
        <v>0.50000000000000011</v>
      </c>
      <c r="S242" s="17">
        <f>'Rolling report'!CL242*'With Action'!$Y$6</f>
        <v>0.10000000000000002</v>
      </c>
      <c r="T242" s="17">
        <f>'Rolling report'!CM242*'With Action'!$Y$6</f>
        <v>0.30000000000000004</v>
      </c>
      <c r="U242" s="17">
        <f>'Rolling report'!CN242*'With Action'!$Y$6</f>
        <v>0.40000000000000008</v>
      </c>
      <c r="V242" s="17">
        <f>'Rolling report'!CO242*'With Action'!$Y$6</f>
        <v>0.30000000000000004</v>
      </c>
      <c r="W242" s="17">
        <f>'Rolling report'!CP242*'With Action'!$Y$6</f>
        <v>0</v>
      </c>
      <c r="X242" s="17">
        <f>'Rolling report'!CQ242*'With Action'!$Y$6</f>
        <v>0.15000000000000002</v>
      </c>
      <c r="Y242" s="17">
        <f>'Rolling report'!CR242*'With Action'!$Y$6</f>
        <v>0.30000000000000004</v>
      </c>
      <c r="Z242" s="17">
        <f>'Rolling report'!CS242*'With Action'!$Y$6</f>
        <v>0.15000000000000002</v>
      </c>
      <c r="AA242" s="17">
        <f>'Rolling report'!CT242*'With Action'!$Y$6</f>
        <v>0.10000000000000002</v>
      </c>
      <c r="AB242" s="17">
        <f>'Rolling report'!CU242*'With Action'!$Y$6</f>
        <v>0</v>
      </c>
      <c r="AC242" s="17">
        <f>'Rolling report'!CV242*'With Action'!$Y$6</f>
        <v>0.10000000000000002</v>
      </c>
      <c r="AD242" s="17">
        <f>'Rolling report'!CW242*'With Action'!$Y$6</f>
        <v>0.25000000000000006</v>
      </c>
      <c r="AE242" s="17">
        <f>'Rolling report'!CX242*'With Action'!$Y$6</f>
        <v>5.000000000000001E-2</v>
      </c>
      <c r="AF242" s="17">
        <f>'Rolling report'!CY242*'With Action'!$Y$6</f>
        <v>-5.9500000000000011</v>
      </c>
      <c r="AG242" s="17">
        <f>'Rolling report'!CZ242*'With Action'!$Y$6</f>
        <v>0</v>
      </c>
      <c r="AH242" s="17">
        <f>'Rolling report'!DA242*'With Action'!$Y$6</f>
        <v>0</v>
      </c>
      <c r="AI242" s="17">
        <f>'Rolling report'!DB242*'With Action'!$Y$6</f>
        <v>0</v>
      </c>
      <c r="AJ242" s="17">
        <f>'Rolling report'!DC242*'With Action'!$Y$6</f>
        <v>0</v>
      </c>
      <c r="AK242" s="17">
        <f>'Rolling report'!DD242*'With Action'!$Y$6</f>
        <v>0</v>
      </c>
      <c r="AL242" s="17">
        <f>'Rolling report'!DE242*'With Action'!$Y$6</f>
        <v>0</v>
      </c>
      <c r="AM242" s="17">
        <f>'Rolling report'!DF242*'With Action'!$Y$6</f>
        <v>0</v>
      </c>
      <c r="AN242" s="17">
        <f>'Rolling report'!DG242*'With Action'!$Y$6</f>
        <v>0</v>
      </c>
      <c r="AO242" s="17">
        <f>'Rolling report'!DH242*'With Action'!$Y$6</f>
        <v>0</v>
      </c>
      <c r="AP242" s="17">
        <f>'Rolling report'!DI242*'With Action'!$Y$6</f>
        <v>0</v>
      </c>
    </row>
    <row r="243" spans="1:42" x14ac:dyDescent="0.25">
      <c r="A243" s="4" t="s">
        <v>492</v>
      </c>
      <c r="B243" s="6" t="s">
        <v>493</v>
      </c>
      <c r="I243" s="17">
        <f>'Rolling report'!CB243*'With Action'!$Y$6</f>
        <v>3.2500000000000004</v>
      </c>
      <c r="J243" s="17">
        <f>'Rolling report'!CC243*'With Action'!$Y$6</f>
        <v>0.60000000000000009</v>
      </c>
      <c r="K243" s="17">
        <f>'Rolling report'!CD243*'With Action'!$Y$6</f>
        <v>0.30000000000000004</v>
      </c>
      <c r="L243" s="17">
        <f>'Rolling report'!CE243*'With Action'!$Y$6</f>
        <v>0.45000000000000007</v>
      </c>
      <c r="M243" s="17">
        <f>'Rolling report'!CF243*'With Action'!$Y$6</f>
        <v>0.35000000000000009</v>
      </c>
      <c r="N243" s="17">
        <f>'Rolling report'!CG243*'With Action'!$Y$6</f>
        <v>0.65000000000000013</v>
      </c>
      <c r="O243" s="17">
        <f>'Rolling report'!CH243*'With Action'!$Y$6</f>
        <v>0.50000000000000011</v>
      </c>
      <c r="P243" s="17">
        <f>'Rolling report'!CI243*'With Action'!$Y$6</f>
        <v>0.20000000000000004</v>
      </c>
      <c r="Q243" s="17">
        <f>'Rolling report'!CJ243*'With Action'!$Y$6</f>
        <v>0.50000000000000011</v>
      </c>
      <c r="R243" s="17">
        <f>'Rolling report'!CK243*'With Action'!$Y$6</f>
        <v>0.40000000000000008</v>
      </c>
      <c r="S243" s="17">
        <f>'Rolling report'!CL243*'With Action'!$Y$6</f>
        <v>0.30000000000000004</v>
      </c>
      <c r="T243" s="17">
        <f>'Rolling report'!CM243*'With Action'!$Y$6</f>
        <v>0.30000000000000004</v>
      </c>
      <c r="U243" s="17">
        <f>'Rolling report'!CN243*'With Action'!$Y$6</f>
        <v>0.20000000000000004</v>
      </c>
      <c r="V243" s="17">
        <f>'Rolling report'!CO243*'With Action'!$Y$6</f>
        <v>0.45000000000000007</v>
      </c>
      <c r="W243" s="17">
        <f>'Rolling report'!CP243*'With Action'!$Y$6</f>
        <v>5.000000000000001E-2</v>
      </c>
      <c r="X243" s="17">
        <f>'Rolling report'!CQ243*'With Action'!$Y$6</f>
        <v>0.65000000000000013</v>
      </c>
      <c r="Y243" s="17">
        <f>'Rolling report'!CR243*'With Action'!$Y$6</f>
        <v>0.15000000000000002</v>
      </c>
      <c r="Z243" s="17">
        <f>'Rolling report'!CS243*'With Action'!$Y$6</f>
        <v>0.20000000000000004</v>
      </c>
      <c r="AA243" s="17">
        <f>'Rolling report'!CT243*'With Action'!$Y$6</f>
        <v>0</v>
      </c>
      <c r="AB243" s="17">
        <f>'Rolling report'!CU243*'With Action'!$Y$6</f>
        <v>0.15000000000000002</v>
      </c>
      <c r="AC243" s="17">
        <f>'Rolling report'!CV243*'With Action'!$Y$6</f>
        <v>0.10000000000000002</v>
      </c>
      <c r="AD243" s="17">
        <f>'Rolling report'!CW243*'With Action'!$Y$6</f>
        <v>0.30000000000000004</v>
      </c>
      <c r="AE243" s="17">
        <f>'Rolling report'!CX243*'With Action'!$Y$6</f>
        <v>0</v>
      </c>
      <c r="AF243" s="17">
        <f>'Rolling report'!CY243*'With Action'!$Y$6</f>
        <v>-10.050000000000002</v>
      </c>
      <c r="AG243" s="17">
        <f>'Rolling report'!CZ243*'With Action'!$Y$6</f>
        <v>0</v>
      </c>
      <c r="AH243" s="17">
        <f>'Rolling report'!DA243*'With Action'!$Y$6</f>
        <v>0</v>
      </c>
      <c r="AI243" s="17">
        <f>'Rolling report'!DB243*'With Action'!$Y$6</f>
        <v>0</v>
      </c>
      <c r="AJ243" s="17">
        <f>'Rolling report'!DC243*'With Action'!$Y$6</f>
        <v>0</v>
      </c>
      <c r="AK243" s="17">
        <f>'Rolling report'!DD243*'With Action'!$Y$6</f>
        <v>0</v>
      </c>
      <c r="AL243" s="17">
        <f>'Rolling report'!DE243*'With Action'!$Y$6</f>
        <v>0</v>
      </c>
      <c r="AM243" s="17">
        <f>'Rolling report'!DF243*'With Action'!$Y$6</f>
        <v>0</v>
      </c>
      <c r="AN243" s="17">
        <f>'Rolling report'!DG243*'With Action'!$Y$6</f>
        <v>0</v>
      </c>
      <c r="AO243" s="17">
        <f>'Rolling report'!DH243*'With Action'!$Y$6</f>
        <v>0</v>
      </c>
      <c r="AP243" s="17">
        <f>'Rolling report'!DI243*'With Action'!$Y$6</f>
        <v>0</v>
      </c>
    </row>
    <row r="244" spans="1:42" x14ac:dyDescent="0.25">
      <c r="A244" s="4" t="s">
        <v>494</v>
      </c>
      <c r="B244" s="6" t="s">
        <v>495</v>
      </c>
      <c r="I244" s="17">
        <f>'Rolling report'!CB244*'With Action'!$Y$6</f>
        <v>1.3000000000000003</v>
      </c>
      <c r="J244" s="17">
        <f>'Rolling report'!CC244*'With Action'!$Y$6</f>
        <v>0.40000000000000008</v>
      </c>
      <c r="K244" s="17">
        <f>'Rolling report'!CD244*'With Action'!$Y$6</f>
        <v>0.10000000000000002</v>
      </c>
      <c r="L244" s="17">
        <f>'Rolling report'!CE244*'With Action'!$Y$6</f>
        <v>0</v>
      </c>
      <c r="M244" s="17">
        <f>'Rolling report'!CF244*'With Action'!$Y$6</f>
        <v>0.20000000000000004</v>
      </c>
      <c r="N244" s="17">
        <f>'Rolling report'!CG244*'With Action'!$Y$6</f>
        <v>0.25000000000000006</v>
      </c>
      <c r="O244" s="17">
        <f>'Rolling report'!CH244*'With Action'!$Y$6</f>
        <v>0</v>
      </c>
      <c r="P244" s="17">
        <f>'Rolling report'!CI244*'With Action'!$Y$6</f>
        <v>0.20000000000000004</v>
      </c>
      <c r="Q244" s="17">
        <f>'Rolling report'!CJ244*'With Action'!$Y$6</f>
        <v>0</v>
      </c>
      <c r="R244" s="17">
        <f>'Rolling report'!CK244*'With Action'!$Y$6</f>
        <v>0.15000000000000002</v>
      </c>
      <c r="S244" s="17">
        <f>'Rolling report'!CL244*'With Action'!$Y$6</f>
        <v>0</v>
      </c>
      <c r="T244" s="17">
        <f>'Rolling report'!CM244*'With Action'!$Y$6</f>
        <v>0</v>
      </c>
      <c r="U244" s="17">
        <f>'Rolling report'!CN244*'With Action'!$Y$6</f>
        <v>0.30000000000000004</v>
      </c>
      <c r="V244" s="17">
        <f>'Rolling report'!CO244*'With Action'!$Y$6</f>
        <v>0.10000000000000002</v>
      </c>
      <c r="W244" s="17">
        <f>'Rolling report'!CP244*'With Action'!$Y$6</f>
        <v>0.10000000000000002</v>
      </c>
      <c r="X244" s="17">
        <f>'Rolling report'!CQ244*'With Action'!$Y$6</f>
        <v>0</v>
      </c>
      <c r="Y244" s="17">
        <f>'Rolling report'!CR244*'With Action'!$Y$6</f>
        <v>0</v>
      </c>
      <c r="Z244" s="17">
        <f>'Rolling report'!CS244*'With Action'!$Y$6</f>
        <v>0</v>
      </c>
      <c r="AA244" s="17">
        <f>'Rolling report'!CT244*'With Action'!$Y$6</f>
        <v>0</v>
      </c>
      <c r="AB244" s="17">
        <f>'Rolling report'!CU244*'With Action'!$Y$6</f>
        <v>0</v>
      </c>
      <c r="AC244" s="17">
        <f>'Rolling report'!CV244*'With Action'!$Y$6</f>
        <v>0.35000000000000009</v>
      </c>
      <c r="AD244" s="17">
        <f>'Rolling report'!CW244*'With Action'!$Y$6</f>
        <v>0</v>
      </c>
      <c r="AE244" s="17">
        <f>'Rolling report'!CX244*'With Action'!$Y$6</f>
        <v>0.15000000000000002</v>
      </c>
      <c r="AF244" s="17">
        <f>'Rolling report'!CY244*'With Action'!$Y$6</f>
        <v>-3.6000000000000005</v>
      </c>
      <c r="AG244" s="17">
        <f>'Rolling report'!CZ244*'With Action'!$Y$6</f>
        <v>0</v>
      </c>
      <c r="AH244" s="17">
        <f>'Rolling report'!DA244*'With Action'!$Y$6</f>
        <v>0</v>
      </c>
      <c r="AI244" s="17">
        <f>'Rolling report'!DB244*'With Action'!$Y$6</f>
        <v>0</v>
      </c>
      <c r="AJ244" s="17">
        <f>'Rolling report'!DC244*'With Action'!$Y$6</f>
        <v>0</v>
      </c>
      <c r="AK244" s="17">
        <f>'Rolling report'!DD244*'With Action'!$Y$6</f>
        <v>0</v>
      </c>
      <c r="AL244" s="17">
        <f>'Rolling report'!DE244*'With Action'!$Y$6</f>
        <v>0</v>
      </c>
      <c r="AM244" s="17">
        <f>'Rolling report'!DF244*'With Action'!$Y$6</f>
        <v>0</v>
      </c>
      <c r="AN244" s="17">
        <f>'Rolling report'!DG244*'With Action'!$Y$6</f>
        <v>0</v>
      </c>
      <c r="AO244" s="17">
        <f>'Rolling report'!DH244*'With Action'!$Y$6</f>
        <v>0</v>
      </c>
      <c r="AP244" s="17">
        <f>'Rolling report'!DI244*'With Action'!$Y$6</f>
        <v>0</v>
      </c>
    </row>
    <row r="245" spans="1:42" x14ac:dyDescent="0.25">
      <c r="A245" s="4" t="s">
        <v>496</v>
      </c>
      <c r="B245" s="6" t="s">
        <v>497</v>
      </c>
      <c r="I245" s="17">
        <f>'Rolling report'!CB245*'With Action'!$Y$6</f>
        <v>2.0500000000000003</v>
      </c>
      <c r="J245" s="17">
        <f>'Rolling report'!CC245*'With Action'!$Y$6</f>
        <v>1.0500000000000003</v>
      </c>
      <c r="K245" s="17">
        <f>'Rolling report'!CD245*'With Action'!$Y$6</f>
        <v>0.30000000000000004</v>
      </c>
      <c r="L245" s="17">
        <f>'Rolling report'!CE245*'With Action'!$Y$6</f>
        <v>0.70000000000000018</v>
      </c>
      <c r="M245" s="17">
        <f>'Rolling report'!CF245*'With Action'!$Y$6</f>
        <v>0.95000000000000018</v>
      </c>
      <c r="N245" s="17">
        <f>'Rolling report'!CG245*'With Action'!$Y$6</f>
        <v>0.45000000000000007</v>
      </c>
      <c r="O245" s="17">
        <f>'Rolling report'!CH245*'With Action'!$Y$6</f>
        <v>0.90000000000000013</v>
      </c>
      <c r="P245" s="17">
        <f>'Rolling report'!CI245*'With Action'!$Y$6</f>
        <v>0.45000000000000007</v>
      </c>
      <c r="Q245" s="17">
        <f>'Rolling report'!CJ245*'With Action'!$Y$6</f>
        <v>0.20000000000000004</v>
      </c>
      <c r="R245" s="17">
        <f>'Rolling report'!CK245*'With Action'!$Y$6</f>
        <v>0.45000000000000007</v>
      </c>
      <c r="S245" s="17">
        <f>'Rolling report'!CL245*'With Action'!$Y$6</f>
        <v>0.10000000000000002</v>
      </c>
      <c r="T245" s="17">
        <f>'Rolling report'!CM245*'With Action'!$Y$6</f>
        <v>0.45000000000000007</v>
      </c>
      <c r="U245" s="17">
        <f>'Rolling report'!CN245*'With Action'!$Y$6</f>
        <v>0.15000000000000002</v>
      </c>
      <c r="V245" s="17">
        <f>'Rolling report'!CO245*'With Action'!$Y$6</f>
        <v>0.35000000000000009</v>
      </c>
      <c r="W245" s="17">
        <f>'Rolling report'!CP245*'With Action'!$Y$6</f>
        <v>0.35000000000000009</v>
      </c>
      <c r="X245" s="17">
        <f>'Rolling report'!CQ245*'With Action'!$Y$6</f>
        <v>0.10000000000000002</v>
      </c>
      <c r="Y245" s="17">
        <f>'Rolling report'!CR245*'With Action'!$Y$6</f>
        <v>0.15000000000000002</v>
      </c>
      <c r="Z245" s="17">
        <f>'Rolling report'!CS245*'With Action'!$Y$6</f>
        <v>0.25000000000000006</v>
      </c>
      <c r="AA245" s="17">
        <f>'Rolling report'!CT245*'With Action'!$Y$6</f>
        <v>0</v>
      </c>
      <c r="AB245" s="17">
        <f>'Rolling report'!CU245*'With Action'!$Y$6</f>
        <v>0.25000000000000006</v>
      </c>
      <c r="AC245" s="17">
        <f>'Rolling report'!CV245*'With Action'!$Y$6</f>
        <v>0.35000000000000009</v>
      </c>
      <c r="AD245" s="17">
        <f>'Rolling report'!CW245*'With Action'!$Y$6</f>
        <v>0.15000000000000002</v>
      </c>
      <c r="AE245" s="17">
        <f>'Rolling report'!CX245*'With Action'!$Y$6</f>
        <v>-5.000000000000001E-2</v>
      </c>
      <c r="AF245" s="17">
        <f>'Rolling report'!CY245*'With Action'!$Y$6</f>
        <v>-10.100000000000001</v>
      </c>
      <c r="AG245" s="17">
        <f>'Rolling report'!CZ245*'With Action'!$Y$6</f>
        <v>0</v>
      </c>
      <c r="AH245" s="17">
        <f>'Rolling report'!DA245*'With Action'!$Y$6</f>
        <v>0</v>
      </c>
      <c r="AI245" s="17">
        <f>'Rolling report'!DB245*'With Action'!$Y$6</f>
        <v>0</v>
      </c>
      <c r="AJ245" s="17">
        <f>'Rolling report'!DC245*'With Action'!$Y$6</f>
        <v>0</v>
      </c>
      <c r="AK245" s="17">
        <f>'Rolling report'!DD245*'With Action'!$Y$6</f>
        <v>0</v>
      </c>
      <c r="AL245" s="17">
        <f>'Rolling report'!DE245*'With Action'!$Y$6</f>
        <v>0</v>
      </c>
      <c r="AM245" s="17">
        <f>'Rolling report'!DF245*'With Action'!$Y$6</f>
        <v>0</v>
      </c>
      <c r="AN245" s="17">
        <f>'Rolling report'!DG245*'With Action'!$Y$6</f>
        <v>0</v>
      </c>
      <c r="AO245" s="17">
        <f>'Rolling report'!DH245*'With Action'!$Y$6</f>
        <v>0</v>
      </c>
      <c r="AP245" s="17">
        <f>'Rolling report'!DI245*'With Action'!$Y$6</f>
        <v>0</v>
      </c>
    </row>
    <row r="246" spans="1:42" x14ac:dyDescent="0.25">
      <c r="A246" s="4" t="s">
        <v>498</v>
      </c>
      <c r="B246" s="6" t="s">
        <v>499</v>
      </c>
      <c r="I246" s="17">
        <f>'Rolling report'!CB246*'With Action'!$Y$6</f>
        <v>1.8500000000000003</v>
      </c>
      <c r="J246" s="17">
        <f>'Rolling report'!CC246*'With Action'!$Y$6</f>
        <v>0.60000000000000009</v>
      </c>
      <c r="K246" s="17">
        <f>'Rolling report'!CD246*'With Action'!$Y$6</f>
        <v>0.90000000000000013</v>
      </c>
      <c r="L246" s="17">
        <f>'Rolling report'!CE246*'With Action'!$Y$6</f>
        <v>0.45000000000000007</v>
      </c>
      <c r="M246" s="17">
        <f>'Rolling report'!CF246*'With Action'!$Y$6</f>
        <v>0.15000000000000002</v>
      </c>
      <c r="N246" s="17">
        <f>'Rolling report'!CG246*'With Action'!$Y$6</f>
        <v>0.30000000000000004</v>
      </c>
      <c r="O246" s="17">
        <f>'Rolling report'!CH246*'With Action'!$Y$6</f>
        <v>0.50000000000000011</v>
      </c>
      <c r="P246" s="17">
        <f>'Rolling report'!CI246*'With Action'!$Y$6</f>
        <v>0</v>
      </c>
      <c r="Q246" s="17">
        <f>'Rolling report'!CJ246*'With Action'!$Y$6</f>
        <v>0.30000000000000004</v>
      </c>
      <c r="R246" s="17">
        <f>'Rolling report'!CK246*'With Action'!$Y$6</f>
        <v>5.000000000000001E-2</v>
      </c>
      <c r="S246" s="17">
        <f>'Rolling report'!CL246*'With Action'!$Y$6</f>
        <v>0</v>
      </c>
      <c r="T246" s="17">
        <f>'Rolling report'!CM246*'With Action'!$Y$6</f>
        <v>0</v>
      </c>
      <c r="U246" s="17">
        <f>'Rolling report'!CN246*'With Action'!$Y$6</f>
        <v>0.20000000000000004</v>
      </c>
      <c r="V246" s="17">
        <f>'Rolling report'!CO246*'With Action'!$Y$6</f>
        <v>0</v>
      </c>
      <c r="W246" s="17">
        <f>'Rolling report'!CP246*'With Action'!$Y$6</f>
        <v>5.000000000000001E-2</v>
      </c>
      <c r="X246" s="17">
        <f>'Rolling report'!CQ246*'With Action'!$Y$6</f>
        <v>0</v>
      </c>
      <c r="Y246" s="17">
        <f>'Rolling report'!CR246*'With Action'!$Y$6</f>
        <v>0</v>
      </c>
      <c r="Z246" s="17">
        <f>'Rolling report'!CS246*'With Action'!$Y$6</f>
        <v>5.000000000000001E-2</v>
      </c>
      <c r="AA246" s="17">
        <f>'Rolling report'!CT246*'With Action'!$Y$6</f>
        <v>0</v>
      </c>
      <c r="AB246" s="17">
        <f>'Rolling report'!CU246*'With Action'!$Y$6</f>
        <v>0.10000000000000002</v>
      </c>
      <c r="AC246" s="17">
        <f>'Rolling report'!CV246*'With Action'!$Y$6</f>
        <v>0.15000000000000002</v>
      </c>
      <c r="AD246" s="17">
        <f>'Rolling report'!CW246*'With Action'!$Y$6</f>
        <v>5.000000000000001E-2</v>
      </c>
      <c r="AE246" s="17">
        <f>'Rolling report'!CX246*'With Action'!$Y$6</f>
        <v>5.000000000000001E-2</v>
      </c>
      <c r="AF246" s="17">
        <f>'Rolling report'!CY246*'With Action'!$Y$6</f>
        <v>-5.7500000000000009</v>
      </c>
      <c r="AG246" s="17">
        <f>'Rolling report'!CZ246*'With Action'!$Y$6</f>
        <v>0</v>
      </c>
      <c r="AH246" s="17">
        <f>'Rolling report'!DA246*'With Action'!$Y$6</f>
        <v>0</v>
      </c>
      <c r="AI246" s="17">
        <f>'Rolling report'!DB246*'With Action'!$Y$6</f>
        <v>0</v>
      </c>
      <c r="AJ246" s="17">
        <f>'Rolling report'!DC246*'With Action'!$Y$6</f>
        <v>0</v>
      </c>
      <c r="AK246" s="17">
        <f>'Rolling report'!DD246*'With Action'!$Y$6</f>
        <v>0</v>
      </c>
      <c r="AL246" s="17">
        <f>'Rolling report'!DE246*'With Action'!$Y$6</f>
        <v>0</v>
      </c>
      <c r="AM246" s="17">
        <f>'Rolling report'!DF246*'With Action'!$Y$6</f>
        <v>0</v>
      </c>
      <c r="AN246" s="17">
        <f>'Rolling report'!DG246*'With Action'!$Y$6</f>
        <v>0</v>
      </c>
      <c r="AO246" s="17">
        <f>'Rolling report'!DH246*'With Action'!$Y$6</f>
        <v>0</v>
      </c>
      <c r="AP246" s="17">
        <f>'Rolling report'!DI246*'With Action'!$Y$6</f>
        <v>0</v>
      </c>
    </row>
    <row r="247" spans="1:42" x14ac:dyDescent="0.25">
      <c r="A247" s="4"/>
      <c r="B247" s="6"/>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P247" s="17"/>
    </row>
    <row r="248" spans="1:42" x14ac:dyDescent="0.25">
      <c r="A248" s="8" t="str">
        <f>'No Action'!A248</f>
        <v>Total Wales UTLA</v>
      </c>
      <c r="B248" s="11"/>
      <c r="I248" s="17">
        <f>'Rolling report'!CB248*'With Action'!$Y$6</f>
        <v>47.100000000000009</v>
      </c>
      <c r="J248" s="17">
        <f>'Rolling report'!CC248*'With Action'!$Y$6</f>
        <v>10.050000000000002</v>
      </c>
      <c r="K248" s="17">
        <f>'Rolling report'!CD248*'With Action'!$Y$6</f>
        <v>8.3500000000000014</v>
      </c>
      <c r="L248" s="17">
        <f>'Rolling report'!CE248*'With Action'!$Y$6</f>
        <v>8.5500000000000025</v>
      </c>
      <c r="M248" s="17">
        <f>'Rolling report'!CF248*'With Action'!$Y$6</f>
        <v>6.4000000000000012</v>
      </c>
      <c r="N248" s="17">
        <f>'Rolling report'!CG248*'With Action'!$Y$6</f>
        <v>5.8000000000000007</v>
      </c>
      <c r="O248" s="17">
        <f>'Rolling report'!CH248*'With Action'!$Y$6</f>
        <v>8.3500000000000014</v>
      </c>
      <c r="P248" s="17">
        <f>'Rolling report'!CI248*'With Action'!$Y$6</f>
        <v>5.3500000000000014</v>
      </c>
      <c r="Q248" s="17">
        <f>'Rolling report'!CJ248*'With Action'!$Y$6</f>
        <v>6.1000000000000014</v>
      </c>
      <c r="R248" s="17">
        <f>'Rolling report'!CK248*'With Action'!$Y$6</f>
        <v>5.2500000000000009</v>
      </c>
      <c r="S248" s="17">
        <f>'Rolling report'!CL248*'With Action'!$Y$6</f>
        <v>2.6500000000000004</v>
      </c>
      <c r="T248" s="17">
        <f>'Rolling report'!CM248*'With Action'!$Y$6</f>
        <v>4.4500000000000011</v>
      </c>
      <c r="U248" s="17">
        <f>'Rolling report'!CN248*'With Action'!$Y$6</f>
        <v>4.4000000000000012</v>
      </c>
      <c r="V248" s="17">
        <f>'Rolling report'!CO248*'With Action'!$Y$6</f>
        <v>3.9000000000000008</v>
      </c>
      <c r="W248" s="17">
        <f>'Rolling report'!CP248*'With Action'!$Y$6</f>
        <v>4.0500000000000007</v>
      </c>
      <c r="X248" s="17">
        <f>'Rolling report'!CQ248*'With Action'!$Y$6</f>
        <v>2.4000000000000004</v>
      </c>
      <c r="Y248" s="17">
        <f>'Rolling report'!CR248*'With Action'!$Y$6</f>
        <v>2.8500000000000005</v>
      </c>
      <c r="Z248" s="17">
        <f>'Rolling report'!CS248*'With Action'!$Y$6</f>
        <v>2.4500000000000006</v>
      </c>
      <c r="AA248" s="17">
        <f>'Rolling report'!CT248*'With Action'!$Y$6</f>
        <v>2.1000000000000005</v>
      </c>
      <c r="AB248" s="17">
        <f>'Rolling report'!CU248*'With Action'!$Y$6</f>
        <v>2.4500000000000006</v>
      </c>
      <c r="AC248" s="17">
        <f>'Rolling report'!CV248*'With Action'!$Y$6</f>
        <v>4.0500000000000007</v>
      </c>
      <c r="AD248" s="17">
        <f>'Rolling report'!CW248*'With Action'!$Y$6</f>
        <v>1.2000000000000002</v>
      </c>
      <c r="AE248" s="17">
        <f>'Rolling report'!CX248*'With Action'!$Y$6</f>
        <v>1.8500000000000003</v>
      </c>
      <c r="AF248" s="17">
        <f>'Rolling report'!CY248*'With Action'!$Y$6</f>
        <v>-150.10000000000002</v>
      </c>
      <c r="AG248" s="17">
        <f>'Rolling report'!CZ248*'With Action'!$Y$6</f>
        <v>0</v>
      </c>
      <c r="AH248" s="17">
        <f>'Rolling report'!DA248*'With Action'!$Y$6</f>
        <v>0</v>
      </c>
      <c r="AI248" s="17">
        <f>'Rolling report'!DB248*'With Action'!$Y$6</f>
        <v>0</v>
      </c>
      <c r="AJ248" s="17">
        <f>'Rolling report'!DC248*'With Action'!$Y$6</f>
        <v>0</v>
      </c>
      <c r="AK248" s="17">
        <f>'Rolling report'!DD248*'With Action'!$Y$6</f>
        <v>0</v>
      </c>
      <c r="AL248" s="17">
        <f>'Rolling report'!DE248*'With Action'!$Y$6</f>
        <v>0</v>
      </c>
      <c r="AM248" s="17">
        <f>'Rolling report'!DF248*'With Action'!$Y$6</f>
        <v>0</v>
      </c>
      <c r="AN248" s="17">
        <f>'Rolling report'!DG248*'With Action'!$Y$6</f>
        <v>0</v>
      </c>
      <c r="AO248" s="17">
        <f>'Rolling report'!DH248*'With Action'!$Y$6</f>
        <v>0</v>
      </c>
      <c r="AP248" s="17">
        <f>'Rolling report'!DI248*'With Action'!$Y$6</f>
        <v>0</v>
      </c>
    </row>
    <row r="249" spans="1:42" x14ac:dyDescent="0.25">
      <c r="A249" s="4"/>
      <c r="B249" s="6"/>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P249" s="17"/>
    </row>
    <row r="250" spans="1:42" x14ac:dyDescent="0.25">
      <c r="A250" s="33"/>
      <c r="B250" s="33"/>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P250" s="17"/>
    </row>
    <row r="251" spans="1:42" x14ac:dyDescent="0.25">
      <c r="A251" s="4"/>
      <c r="B251" s="6"/>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P251" s="17"/>
    </row>
    <row r="252" spans="1:42" x14ac:dyDescent="0.25">
      <c r="A252" s="8" t="str">
        <f>'No Action'!A252</f>
        <v>Welsh Government</v>
      </c>
      <c r="B252" s="11"/>
      <c r="I252" s="17">
        <f>'Rolling report'!CB252*'With Action'!$Y$6</f>
        <v>9.2000000000000011</v>
      </c>
      <c r="J252" s="17">
        <f>'Rolling report'!CC252*'With Action'!$Y$6</f>
        <v>5.0500000000000007</v>
      </c>
      <c r="K252" s="17">
        <f>'Rolling report'!CD252*'With Action'!$Y$6</f>
        <v>4.7000000000000011</v>
      </c>
      <c r="L252" s="17">
        <f>'Rolling report'!CE252*'With Action'!$Y$6</f>
        <v>5.0500000000000007</v>
      </c>
      <c r="M252" s="17">
        <f>'Rolling report'!CF252*'With Action'!$Y$6</f>
        <v>5.5000000000000009</v>
      </c>
      <c r="N252" s="17">
        <f>'Rolling report'!CG252*'With Action'!$Y$6</f>
        <v>9.3000000000000025</v>
      </c>
      <c r="O252" s="17">
        <f>'Rolling report'!CH252*'With Action'!$Y$6</f>
        <v>15.550000000000002</v>
      </c>
      <c r="P252" s="17">
        <f>'Rolling report'!CI252*'With Action'!$Y$6</f>
        <v>9.4000000000000021</v>
      </c>
      <c r="Q252" s="17">
        <f>'Rolling report'!CJ252*'With Action'!$Y$6</f>
        <v>14.900000000000002</v>
      </c>
      <c r="R252" s="17">
        <f>'Rolling report'!CK252*'With Action'!$Y$6</f>
        <v>8.8500000000000014</v>
      </c>
      <c r="S252" s="17">
        <f>'Rolling report'!CL252*'With Action'!$Y$6</f>
        <v>8.1500000000000021</v>
      </c>
      <c r="T252" s="17">
        <f>'Rolling report'!CM252*'With Action'!$Y$6</f>
        <v>8.3000000000000025</v>
      </c>
      <c r="U252" s="17">
        <f>'Rolling report'!CN252*'With Action'!$Y$6</f>
        <v>8.9000000000000021</v>
      </c>
      <c r="V252" s="17">
        <f>'Rolling report'!CO252*'With Action'!$Y$6</f>
        <v>5.4000000000000012</v>
      </c>
      <c r="W252" s="17">
        <f>'Rolling report'!CP252*'With Action'!$Y$6</f>
        <v>5.3500000000000014</v>
      </c>
      <c r="X252" s="17">
        <f>'Rolling report'!CQ252*'With Action'!$Y$6</f>
        <v>4.5500000000000007</v>
      </c>
      <c r="Y252" s="17">
        <f>'Rolling report'!CR252*'With Action'!$Y$6</f>
        <v>2.8500000000000005</v>
      </c>
      <c r="Z252" s="17">
        <f>'Rolling report'!CS252*'With Action'!$Y$6</f>
        <v>2.1500000000000004</v>
      </c>
      <c r="AA252" s="17">
        <f>'Rolling report'!CT252*'With Action'!$Y$6</f>
        <v>3.0000000000000004</v>
      </c>
      <c r="AB252" s="17">
        <f>'Rolling report'!CU252*'With Action'!$Y$6</f>
        <v>4.0500000000000007</v>
      </c>
      <c r="AC252" s="17">
        <f>'Rolling report'!CV252*'With Action'!$Y$6</f>
        <v>3.2500000000000004</v>
      </c>
      <c r="AD252" s="17">
        <f>'Rolling report'!CW252*'With Action'!$Y$6</f>
        <v>0.75000000000000011</v>
      </c>
      <c r="AE252" s="17">
        <f>'Rolling report'!CX252*'With Action'!$Y$6</f>
        <v>1.0000000000000002</v>
      </c>
      <c r="AF252" s="17">
        <f>'Rolling report'!CY252*'With Action'!$Y$6</f>
        <v>-145.20000000000002</v>
      </c>
      <c r="AG252" s="17">
        <f>'Rolling report'!CZ252*'With Action'!$Y$6</f>
        <v>0</v>
      </c>
      <c r="AH252" s="17">
        <f>'Rolling report'!DA252*'With Action'!$Y$6</f>
        <v>0</v>
      </c>
      <c r="AI252" s="17">
        <f>'Rolling report'!DB252*'With Action'!$Y$6</f>
        <v>0</v>
      </c>
      <c r="AJ252" s="17">
        <f>'Rolling report'!DC252*'With Action'!$Y$6</f>
        <v>0</v>
      </c>
      <c r="AK252" s="17">
        <f>'Rolling report'!DD252*'With Action'!$Y$6</f>
        <v>0</v>
      </c>
      <c r="AL252" s="17">
        <f>'Rolling report'!DE252*'With Action'!$Y$6</f>
        <v>0</v>
      </c>
      <c r="AM252" s="17">
        <f>'Rolling report'!DF252*'With Action'!$Y$6</f>
        <v>0</v>
      </c>
      <c r="AN252" s="17">
        <f>'Rolling report'!DG252*'With Action'!$Y$6</f>
        <v>0</v>
      </c>
      <c r="AO252" s="17">
        <f>'Rolling report'!DH252*'With Action'!$Y$6</f>
        <v>0</v>
      </c>
      <c r="AP252" s="17">
        <f>'Rolling report'!DI252*'With Action'!$Y$6</f>
        <v>0</v>
      </c>
    </row>
    <row r="253" spans="1:42" x14ac:dyDescent="0.25">
      <c r="A253" s="4"/>
      <c r="B253" s="6"/>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P253" s="17"/>
    </row>
    <row r="254" spans="1:42" x14ac:dyDescent="0.25">
      <c r="A254" s="8" t="str">
        <f>'No Action'!A254</f>
        <v>All Wales</v>
      </c>
      <c r="B254" s="11"/>
      <c r="I254" s="17">
        <f>'Rolling report'!CB254*'With Action'!$Y$6</f>
        <v>56.300000000000011</v>
      </c>
      <c r="J254" s="17">
        <f>'Rolling report'!CC254*'With Action'!$Y$6</f>
        <v>15.100000000000003</v>
      </c>
      <c r="K254" s="17">
        <f>'Rolling report'!CD254*'With Action'!$Y$6</f>
        <v>13.050000000000002</v>
      </c>
      <c r="L254" s="17">
        <f>'Rolling report'!CE254*'With Action'!$Y$6</f>
        <v>13.600000000000003</v>
      </c>
      <c r="M254" s="17">
        <f>'Rolling report'!CF254*'With Action'!$Y$6</f>
        <v>11.900000000000002</v>
      </c>
      <c r="N254" s="17">
        <f>'Rolling report'!CG254*'With Action'!$Y$6</f>
        <v>15.100000000000003</v>
      </c>
      <c r="O254" s="17">
        <f>'Rolling report'!CH254*'With Action'!$Y$6</f>
        <v>23.900000000000006</v>
      </c>
      <c r="P254" s="17">
        <f>'Rolling report'!CI254*'With Action'!$Y$6</f>
        <v>14.750000000000004</v>
      </c>
      <c r="Q254" s="17">
        <f>'Rolling report'!CJ254*'With Action'!$Y$6</f>
        <v>21.000000000000004</v>
      </c>
      <c r="R254" s="17">
        <f>'Rolling report'!CK254*'With Action'!$Y$6</f>
        <v>14.100000000000003</v>
      </c>
      <c r="S254" s="17">
        <f>'Rolling report'!CL254*'With Action'!$Y$6</f>
        <v>10.800000000000002</v>
      </c>
      <c r="T254" s="17">
        <f>'Rolling report'!CM254*'With Action'!$Y$6</f>
        <v>12.750000000000002</v>
      </c>
      <c r="U254" s="17">
        <f>'Rolling report'!CN254*'With Action'!$Y$6</f>
        <v>13.300000000000002</v>
      </c>
      <c r="V254" s="17">
        <f>'Rolling report'!CO254*'With Action'!$Y$6</f>
        <v>9.3000000000000025</v>
      </c>
      <c r="W254" s="17">
        <f>'Rolling report'!CP254*'With Action'!$Y$6</f>
        <v>9.4000000000000021</v>
      </c>
      <c r="X254" s="17">
        <f>'Rolling report'!CQ254*'With Action'!$Y$6</f>
        <v>6.9500000000000011</v>
      </c>
      <c r="Y254" s="17">
        <f>'Rolling report'!CR254*'With Action'!$Y$6</f>
        <v>5.7000000000000011</v>
      </c>
      <c r="Z254" s="17">
        <f>'Rolling report'!CS254*'With Action'!$Y$6</f>
        <v>4.6000000000000005</v>
      </c>
      <c r="AA254" s="17">
        <f>'Rolling report'!CT254*'With Action'!$Y$6</f>
        <v>5.1000000000000014</v>
      </c>
      <c r="AB254" s="17">
        <f>'Rolling report'!CU254*'With Action'!$Y$6</f>
        <v>6.5000000000000009</v>
      </c>
      <c r="AC254" s="17">
        <f>'Rolling report'!CV254*'With Action'!$Y$6</f>
        <v>7.3000000000000016</v>
      </c>
      <c r="AD254" s="17">
        <f>'Rolling report'!CW254*'With Action'!$Y$6</f>
        <v>1.9500000000000004</v>
      </c>
      <c r="AE254" s="17">
        <f>'Rolling report'!CX254*'With Action'!$Y$6</f>
        <v>2.8500000000000005</v>
      </c>
      <c r="AF254" s="17">
        <f>'Rolling report'!CY254*'With Action'!$Y$6</f>
        <v>-295.30000000000007</v>
      </c>
      <c r="AG254" s="17">
        <f>'Rolling report'!CZ254*'With Action'!$Y$6</f>
        <v>0</v>
      </c>
      <c r="AH254" s="17">
        <f>'Rolling report'!DA254*'With Action'!$Y$6</f>
        <v>0</v>
      </c>
      <c r="AI254" s="17">
        <f>'Rolling report'!DB254*'With Action'!$Y$6</f>
        <v>0</v>
      </c>
      <c r="AJ254" s="17">
        <f>'Rolling report'!DC254*'With Action'!$Y$6</f>
        <v>0</v>
      </c>
      <c r="AK254" s="17">
        <f>'Rolling report'!DD254*'With Action'!$Y$6</f>
        <v>0</v>
      </c>
      <c r="AL254" s="17">
        <f>'Rolling report'!DE254*'With Action'!$Y$6</f>
        <v>0</v>
      </c>
      <c r="AM254" s="17">
        <f>'Rolling report'!DF254*'With Action'!$Y$6</f>
        <v>0</v>
      </c>
      <c r="AN254" s="17">
        <f>'Rolling report'!DG254*'With Action'!$Y$6</f>
        <v>0</v>
      </c>
      <c r="AO254" s="17">
        <f>'Rolling report'!DH254*'With Action'!$Y$6</f>
        <v>0</v>
      </c>
      <c r="AP254" s="17">
        <f>'Rolling report'!DI254*'With Action'!$Y$6</f>
        <v>0</v>
      </c>
    </row>
    <row r="255" spans="1:42" ht="15.75" thickBot="1" x14ac:dyDescent="0.3">
      <c r="A255" s="12"/>
      <c r="B255" s="13"/>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P255" s="17"/>
    </row>
    <row r="256" spans="1:42" x14ac:dyDescent="0.25">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P256" s="17"/>
    </row>
    <row r="257" spans="1:42" ht="20.25" x14ac:dyDescent="0.3">
      <c r="A257" s="1" t="s">
        <v>0</v>
      </c>
      <c r="B257" s="2"/>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P257" s="17"/>
    </row>
    <row r="258" spans="1:42" x14ac:dyDescent="0.25">
      <c r="A258" s="3" t="s">
        <v>1</v>
      </c>
      <c r="B258" s="2"/>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P258" s="17"/>
    </row>
    <row r="259" spans="1:42" x14ac:dyDescent="0.25">
      <c r="A259" s="4" t="s">
        <v>2</v>
      </c>
      <c r="B259" s="2"/>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P259" s="17"/>
    </row>
    <row r="260" spans="1:42" x14ac:dyDescent="0.25">
      <c r="A260" s="5" t="s">
        <v>558</v>
      </c>
      <c r="B260" s="6"/>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P260" s="17"/>
    </row>
    <row r="261" spans="1:42" x14ac:dyDescent="0.25">
      <c r="A261" s="7"/>
      <c r="B261" s="41"/>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P261" s="17"/>
    </row>
    <row r="262" spans="1:42" ht="30" x14ac:dyDescent="0.25">
      <c r="A262" s="42" t="s">
        <v>559</v>
      </c>
      <c r="B262" s="16" t="s">
        <v>4</v>
      </c>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P262" s="17"/>
    </row>
    <row r="263" spans="1:42" x14ac:dyDescent="0.25">
      <c r="A263" s="9"/>
      <c r="B263" s="2"/>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P263" s="17"/>
    </row>
    <row r="264" spans="1:42" x14ac:dyDescent="0.25">
      <c r="A264" s="4" t="s">
        <v>560</v>
      </c>
      <c r="B264" s="6" t="s">
        <v>561</v>
      </c>
      <c r="I264" s="17">
        <f>'Rolling report'!CB264*'With Action'!$Y$6</f>
        <v>0.35000000000000009</v>
      </c>
      <c r="J264" s="17">
        <f>'Rolling report'!CC264*'With Action'!$Y$6</f>
        <v>0.25000000000000006</v>
      </c>
      <c r="K264" s="17">
        <f>'Rolling report'!CD264*'With Action'!$Y$6</f>
        <v>0.30000000000000004</v>
      </c>
      <c r="L264" s="17">
        <f>'Rolling report'!CE264*'With Action'!$Y$6</f>
        <v>5.000000000000001E-2</v>
      </c>
      <c r="M264" s="17">
        <f>'Rolling report'!CF264*'With Action'!$Y$6</f>
        <v>0</v>
      </c>
      <c r="N264" s="17">
        <f>'Rolling report'!CG264*'With Action'!$Y$6</f>
        <v>0.30000000000000004</v>
      </c>
      <c r="O264" s="17">
        <f>'Rolling report'!CH264*'With Action'!$Y$6</f>
        <v>0.10000000000000002</v>
      </c>
      <c r="P264" s="17">
        <f>'Rolling report'!CI264*'With Action'!$Y$6</f>
        <v>5.000000000000001E-2</v>
      </c>
      <c r="Q264" s="17">
        <f>'Rolling report'!CJ264*'With Action'!$Y$6</f>
        <v>0</v>
      </c>
      <c r="R264" s="17">
        <f>'Rolling report'!CK264*'With Action'!$Y$6</f>
        <v>0.10000000000000002</v>
      </c>
      <c r="S264" s="17">
        <f>'Rolling report'!CL264*'With Action'!$Y$6</f>
        <v>0</v>
      </c>
      <c r="T264" s="17">
        <f>'Rolling report'!CM264*'With Action'!$Y$6</f>
        <v>0.15000000000000002</v>
      </c>
      <c r="U264" s="17">
        <f>'Rolling report'!CN264*'With Action'!$Y$6</f>
        <v>0.20000000000000004</v>
      </c>
      <c r="V264" s="17">
        <f>'Rolling report'!CO264*'With Action'!$Y$6</f>
        <v>5.000000000000001E-2</v>
      </c>
      <c r="W264" s="17">
        <f>'Rolling report'!CP264*'With Action'!$Y$6</f>
        <v>0</v>
      </c>
      <c r="X264" s="17">
        <f>'Rolling report'!CQ264*'With Action'!$Y$6</f>
        <v>0</v>
      </c>
      <c r="Y264" s="17">
        <f>'Rolling report'!CR264*'With Action'!$Y$6</f>
        <v>5.000000000000001E-2</v>
      </c>
      <c r="Z264" s="17">
        <f>'Rolling report'!CS264*'With Action'!$Y$6</f>
        <v>0</v>
      </c>
      <c r="AA264" s="17">
        <f>'Rolling report'!CT264*'With Action'!$Y$6</f>
        <v>0</v>
      </c>
      <c r="AB264" s="17">
        <f>'Rolling report'!CU264*'With Action'!$Y$6</f>
        <v>0.20000000000000004</v>
      </c>
      <c r="AC264" s="17">
        <f>'Rolling report'!CV264*'With Action'!$Y$6</f>
        <v>0</v>
      </c>
      <c r="AD264" s="17">
        <f>'Rolling report'!CW264*'With Action'!$Y$6</f>
        <v>5.000000000000001E-2</v>
      </c>
      <c r="AE264" s="17">
        <f>'Rolling report'!CX264*'With Action'!$Y$6</f>
        <v>0</v>
      </c>
      <c r="AF264" s="17">
        <f>'Rolling report'!CY264*'With Action'!$Y$6</f>
        <v>-2.2000000000000006</v>
      </c>
      <c r="AG264" s="17">
        <f>'Rolling report'!CZ264*'With Action'!$Y$6</f>
        <v>0</v>
      </c>
      <c r="AH264" s="17">
        <f>'Rolling report'!DA264*'With Action'!$Y$6</f>
        <v>0</v>
      </c>
      <c r="AI264" s="17">
        <f>'Rolling report'!DB264*'With Action'!$Y$6</f>
        <v>0</v>
      </c>
      <c r="AJ264" s="17">
        <f>'Rolling report'!DC264*'With Action'!$Y$6</f>
        <v>0</v>
      </c>
      <c r="AK264" s="17">
        <f>'Rolling report'!DD264*'With Action'!$Y$6</f>
        <v>0</v>
      </c>
      <c r="AL264" s="17">
        <f>'Rolling report'!DE264*'With Action'!$Y$6</f>
        <v>0</v>
      </c>
      <c r="AM264" s="17">
        <f>'Rolling report'!DF264*'With Action'!$Y$6</f>
        <v>0</v>
      </c>
      <c r="AN264" s="17">
        <f>'Rolling report'!DG264*'With Action'!$Y$6</f>
        <v>0</v>
      </c>
      <c r="AO264" s="17">
        <f>'Rolling report'!DH264*'With Action'!$Y$6</f>
        <v>0</v>
      </c>
      <c r="AP264" s="17">
        <f>'Rolling report'!DI264*'With Action'!$Y$6</f>
        <v>0</v>
      </c>
    </row>
    <row r="265" spans="1:42" x14ac:dyDescent="0.25">
      <c r="A265" s="4" t="s">
        <v>562</v>
      </c>
      <c r="B265" s="6" t="s">
        <v>563</v>
      </c>
      <c r="I265" s="17">
        <f>'Rolling report'!CB265*'With Action'!$Y$6</f>
        <v>0.60000000000000009</v>
      </c>
      <c r="J265" s="17">
        <f>'Rolling report'!CC265*'With Action'!$Y$6</f>
        <v>0</v>
      </c>
      <c r="K265" s="17">
        <f>'Rolling report'!CD265*'With Action'!$Y$6</f>
        <v>0.15000000000000002</v>
      </c>
      <c r="L265" s="17">
        <f>'Rolling report'!CE265*'With Action'!$Y$6</f>
        <v>0.15000000000000002</v>
      </c>
      <c r="M265" s="17">
        <f>'Rolling report'!CF265*'With Action'!$Y$6</f>
        <v>0</v>
      </c>
      <c r="N265" s="17">
        <f>'Rolling report'!CG265*'With Action'!$Y$6</f>
        <v>0.15000000000000002</v>
      </c>
      <c r="O265" s="17">
        <f>'Rolling report'!CH265*'With Action'!$Y$6</f>
        <v>0.10000000000000002</v>
      </c>
      <c r="P265" s="17">
        <f>'Rolling report'!CI265*'With Action'!$Y$6</f>
        <v>0.20000000000000004</v>
      </c>
      <c r="Q265" s="17">
        <f>'Rolling report'!CJ265*'With Action'!$Y$6</f>
        <v>0.10000000000000002</v>
      </c>
      <c r="R265" s="17">
        <f>'Rolling report'!CK265*'With Action'!$Y$6</f>
        <v>0.20000000000000004</v>
      </c>
      <c r="S265" s="17">
        <f>'Rolling report'!CL265*'With Action'!$Y$6</f>
        <v>0</v>
      </c>
      <c r="T265" s="17">
        <f>'Rolling report'!CM265*'With Action'!$Y$6</f>
        <v>0.25000000000000006</v>
      </c>
      <c r="U265" s="17">
        <f>'Rolling report'!CN265*'With Action'!$Y$6</f>
        <v>0.35000000000000009</v>
      </c>
      <c r="V265" s="17">
        <f>'Rolling report'!CO265*'With Action'!$Y$6</f>
        <v>0</v>
      </c>
      <c r="W265" s="17">
        <f>'Rolling report'!CP265*'With Action'!$Y$6</f>
        <v>0.10000000000000002</v>
      </c>
      <c r="X265" s="17">
        <f>'Rolling report'!CQ265*'With Action'!$Y$6</f>
        <v>5.000000000000001E-2</v>
      </c>
      <c r="Y265" s="17">
        <f>'Rolling report'!CR265*'With Action'!$Y$6</f>
        <v>0.55000000000000016</v>
      </c>
      <c r="Z265" s="17">
        <f>'Rolling report'!CS265*'With Action'!$Y$6</f>
        <v>0.30000000000000004</v>
      </c>
      <c r="AA265" s="17">
        <f>'Rolling report'!CT265*'With Action'!$Y$6</f>
        <v>5.000000000000001E-2</v>
      </c>
      <c r="AB265" s="17">
        <f>'Rolling report'!CU265*'With Action'!$Y$6</f>
        <v>0</v>
      </c>
      <c r="AC265" s="17">
        <f>'Rolling report'!CV265*'With Action'!$Y$6</f>
        <v>0.20000000000000004</v>
      </c>
      <c r="AD265" s="17">
        <f>'Rolling report'!CW265*'With Action'!$Y$6</f>
        <v>5.000000000000001E-2</v>
      </c>
      <c r="AE265" s="17">
        <f>'Rolling report'!CX265*'With Action'!$Y$6</f>
        <v>0.35000000000000009</v>
      </c>
      <c r="AF265" s="17">
        <f>'Rolling report'!CY265*'With Action'!$Y$6</f>
        <v>-3.9000000000000008</v>
      </c>
      <c r="AG265" s="17">
        <f>'Rolling report'!CZ265*'With Action'!$Y$6</f>
        <v>0</v>
      </c>
      <c r="AH265" s="17">
        <f>'Rolling report'!DA265*'With Action'!$Y$6</f>
        <v>0</v>
      </c>
      <c r="AI265" s="17">
        <f>'Rolling report'!DB265*'With Action'!$Y$6</f>
        <v>0</v>
      </c>
      <c r="AJ265" s="17">
        <f>'Rolling report'!DC265*'With Action'!$Y$6</f>
        <v>0</v>
      </c>
      <c r="AK265" s="17">
        <f>'Rolling report'!DD265*'With Action'!$Y$6</f>
        <v>0</v>
      </c>
      <c r="AL265" s="17">
        <f>'Rolling report'!DE265*'With Action'!$Y$6</f>
        <v>0</v>
      </c>
      <c r="AM265" s="17">
        <f>'Rolling report'!DF265*'With Action'!$Y$6</f>
        <v>0</v>
      </c>
      <c r="AN265" s="17">
        <f>'Rolling report'!DG265*'With Action'!$Y$6</f>
        <v>0</v>
      </c>
      <c r="AO265" s="17">
        <f>'Rolling report'!DH265*'With Action'!$Y$6</f>
        <v>0</v>
      </c>
      <c r="AP265" s="17">
        <f>'Rolling report'!DI265*'With Action'!$Y$6</f>
        <v>0</v>
      </c>
    </row>
    <row r="266" spans="1:42" x14ac:dyDescent="0.25">
      <c r="A266" s="4" t="s">
        <v>564</v>
      </c>
      <c r="B266" s="6" t="s">
        <v>565</v>
      </c>
      <c r="I266" s="17">
        <f>'Rolling report'!CB266*'With Action'!$Y$6</f>
        <v>0.80000000000000016</v>
      </c>
      <c r="J266" s="17">
        <f>'Rolling report'!CC266*'With Action'!$Y$6</f>
        <v>0.15000000000000002</v>
      </c>
      <c r="K266" s="17">
        <f>'Rolling report'!CD266*'With Action'!$Y$6</f>
        <v>5.000000000000001E-2</v>
      </c>
      <c r="L266" s="17">
        <f>'Rolling report'!CE266*'With Action'!$Y$6</f>
        <v>0.25000000000000006</v>
      </c>
      <c r="M266" s="17">
        <f>'Rolling report'!CF266*'With Action'!$Y$6</f>
        <v>0.40000000000000008</v>
      </c>
      <c r="N266" s="17">
        <f>'Rolling report'!CG266*'With Action'!$Y$6</f>
        <v>0</v>
      </c>
      <c r="O266" s="17">
        <f>'Rolling report'!CH266*'With Action'!$Y$6</f>
        <v>0</v>
      </c>
      <c r="P266" s="17">
        <f>'Rolling report'!CI266*'With Action'!$Y$6</f>
        <v>0.40000000000000008</v>
      </c>
      <c r="Q266" s="17">
        <f>'Rolling report'!CJ266*'With Action'!$Y$6</f>
        <v>0</v>
      </c>
      <c r="R266" s="17">
        <f>'Rolling report'!CK266*'With Action'!$Y$6</f>
        <v>0.10000000000000002</v>
      </c>
      <c r="S266" s="17">
        <f>'Rolling report'!CL266*'With Action'!$Y$6</f>
        <v>0</v>
      </c>
      <c r="T266" s="17">
        <f>'Rolling report'!CM266*'With Action'!$Y$6</f>
        <v>0.25000000000000006</v>
      </c>
      <c r="U266" s="17">
        <f>'Rolling report'!CN266*'With Action'!$Y$6</f>
        <v>0.80000000000000016</v>
      </c>
      <c r="V266" s="17">
        <f>'Rolling report'!CO266*'With Action'!$Y$6</f>
        <v>0</v>
      </c>
      <c r="W266" s="17">
        <f>'Rolling report'!CP266*'With Action'!$Y$6</f>
        <v>0.20000000000000004</v>
      </c>
      <c r="X266" s="17">
        <f>'Rolling report'!CQ266*'With Action'!$Y$6</f>
        <v>0.10000000000000002</v>
      </c>
      <c r="Y266" s="17">
        <f>'Rolling report'!CR266*'With Action'!$Y$6</f>
        <v>0.10000000000000002</v>
      </c>
      <c r="Z266" s="17">
        <f>'Rolling report'!CS266*'With Action'!$Y$6</f>
        <v>0.10000000000000002</v>
      </c>
      <c r="AA266" s="17">
        <f>'Rolling report'!CT266*'With Action'!$Y$6</f>
        <v>0</v>
      </c>
      <c r="AB266" s="17">
        <f>'Rolling report'!CU266*'With Action'!$Y$6</f>
        <v>0</v>
      </c>
      <c r="AC266" s="17">
        <f>'Rolling report'!CV266*'With Action'!$Y$6</f>
        <v>0.15000000000000002</v>
      </c>
      <c r="AD266" s="17">
        <f>'Rolling report'!CW266*'With Action'!$Y$6</f>
        <v>5.000000000000001E-2</v>
      </c>
      <c r="AE266" s="17">
        <f>'Rolling report'!CX266*'With Action'!$Y$6</f>
        <v>0</v>
      </c>
      <c r="AF266" s="17">
        <f>'Rolling report'!CY266*'With Action'!$Y$6</f>
        <v>-3.9000000000000008</v>
      </c>
      <c r="AG266" s="17">
        <f>'Rolling report'!CZ266*'With Action'!$Y$6</f>
        <v>0</v>
      </c>
      <c r="AH266" s="17">
        <f>'Rolling report'!DA266*'With Action'!$Y$6</f>
        <v>0</v>
      </c>
      <c r="AI266" s="17">
        <f>'Rolling report'!DB266*'With Action'!$Y$6</f>
        <v>0</v>
      </c>
      <c r="AJ266" s="17">
        <f>'Rolling report'!DC266*'With Action'!$Y$6</f>
        <v>0</v>
      </c>
      <c r="AK266" s="17">
        <f>'Rolling report'!DD266*'With Action'!$Y$6</f>
        <v>0</v>
      </c>
      <c r="AL266" s="17">
        <f>'Rolling report'!DE266*'With Action'!$Y$6</f>
        <v>0</v>
      </c>
      <c r="AM266" s="17">
        <f>'Rolling report'!DF266*'With Action'!$Y$6</f>
        <v>0</v>
      </c>
      <c r="AN266" s="17">
        <f>'Rolling report'!DG266*'With Action'!$Y$6</f>
        <v>0</v>
      </c>
      <c r="AO266" s="17">
        <f>'Rolling report'!DH266*'With Action'!$Y$6</f>
        <v>0</v>
      </c>
      <c r="AP266" s="17">
        <f>'Rolling report'!DI266*'With Action'!$Y$6</f>
        <v>0</v>
      </c>
    </row>
    <row r="267" spans="1:42" x14ac:dyDescent="0.25">
      <c r="A267" s="4" t="s">
        <v>566</v>
      </c>
      <c r="B267" s="6" t="s">
        <v>567</v>
      </c>
      <c r="I267" s="17">
        <f>'Rolling report'!CB267*'With Action'!$Y$6</f>
        <v>0.95000000000000018</v>
      </c>
      <c r="J267" s="17">
        <f>'Rolling report'!CC267*'With Action'!$Y$6</f>
        <v>0.75000000000000011</v>
      </c>
      <c r="K267" s="17">
        <f>'Rolling report'!CD267*'With Action'!$Y$6</f>
        <v>0.55000000000000016</v>
      </c>
      <c r="L267" s="17">
        <f>'Rolling report'!CE267*'With Action'!$Y$6</f>
        <v>0.15000000000000002</v>
      </c>
      <c r="M267" s="17">
        <f>'Rolling report'!CF267*'With Action'!$Y$6</f>
        <v>5.000000000000001E-2</v>
      </c>
      <c r="N267" s="17">
        <f>'Rolling report'!CG267*'With Action'!$Y$6</f>
        <v>0.10000000000000002</v>
      </c>
      <c r="O267" s="17">
        <f>'Rolling report'!CH267*'With Action'!$Y$6</f>
        <v>0</v>
      </c>
      <c r="P267" s="17">
        <f>'Rolling report'!CI267*'With Action'!$Y$6</f>
        <v>0</v>
      </c>
      <c r="Q267" s="17">
        <f>'Rolling report'!CJ267*'With Action'!$Y$6</f>
        <v>5.000000000000001E-2</v>
      </c>
      <c r="R267" s="17">
        <f>'Rolling report'!CK267*'With Action'!$Y$6</f>
        <v>0.60000000000000009</v>
      </c>
      <c r="S267" s="17">
        <f>'Rolling report'!CL267*'With Action'!$Y$6</f>
        <v>0</v>
      </c>
      <c r="T267" s="17">
        <f>'Rolling report'!CM267*'With Action'!$Y$6</f>
        <v>0.30000000000000004</v>
      </c>
      <c r="U267" s="17">
        <f>'Rolling report'!CN267*'With Action'!$Y$6</f>
        <v>0.60000000000000009</v>
      </c>
      <c r="V267" s="17">
        <f>'Rolling report'!CO267*'With Action'!$Y$6</f>
        <v>0.35000000000000009</v>
      </c>
      <c r="W267" s="17">
        <f>'Rolling report'!CP267*'With Action'!$Y$6</f>
        <v>5.000000000000001E-2</v>
      </c>
      <c r="X267" s="17">
        <f>'Rolling report'!CQ267*'With Action'!$Y$6</f>
        <v>0.10000000000000002</v>
      </c>
      <c r="Y267" s="17">
        <f>'Rolling report'!CR267*'With Action'!$Y$6</f>
        <v>0.15000000000000002</v>
      </c>
      <c r="Z267" s="17">
        <f>'Rolling report'!CS267*'With Action'!$Y$6</f>
        <v>0.15000000000000002</v>
      </c>
      <c r="AA267" s="17">
        <f>'Rolling report'!CT267*'With Action'!$Y$6</f>
        <v>0.10000000000000002</v>
      </c>
      <c r="AB267" s="17">
        <f>'Rolling report'!CU267*'With Action'!$Y$6</f>
        <v>0</v>
      </c>
      <c r="AC267" s="17">
        <f>'Rolling report'!CV267*'With Action'!$Y$6</f>
        <v>0.20000000000000004</v>
      </c>
      <c r="AD267" s="17">
        <f>'Rolling report'!CW267*'With Action'!$Y$6</f>
        <v>-5.000000000000001E-2</v>
      </c>
      <c r="AE267" s="17">
        <f>'Rolling report'!CX267*'With Action'!$Y$6</f>
        <v>0.15000000000000002</v>
      </c>
      <c r="AF267" s="17">
        <f>'Rolling report'!CY267*'With Action'!$Y$6</f>
        <v>-5.3000000000000007</v>
      </c>
      <c r="AG267" s="17">
        <f>'Rolling report'!CZ267*'With Action'!$Y$6</f>
        <v>0</v>
      </c>
      <c r="AH267" s="17">
        <f>'Rolling report'!DA267*'With Action'!$Y$6</f>
        <v>0</v>
      </c>
      <c r="AI267" s="17">
        <f>'Rolling report'!DB267*'With Action'!$Y$6</f>
        <v>0</v>
      </c>
      <c r="AJ267" s="17">
        <f>'Rolling report'!DC267*'With Action'!$Y$6</f>
        <v>0</v>
      </c>
      <c r="AK267" s="17">
        <f>'Rolling report'!DD267*'With Action'!$Y$6</f>
        <v>0</v>
      </c>
      <c r="AL267" s="17">
        <f>'Rolling report'!DE267*'With Action'!$Y$6</f>
        <v>0</v>
      </c>
      <c r="AM267" s="17">
        <f>'Rolling report'!DF267*'With Action'!$Y$6</f>
        <v>0</v>
      </c>
      <c r="AN267" s="17">
        <f>'Rolling report'!DG267*'With Action'!$Y$6</f>
        <v>0</v>
      </c>
      <c r="AO267" s="17">
        <f>'Rolling report'!DH267*'With Action'!$Y$6</f>
        <v>0</v>
      </c>
      <c r="AP267" s="17">
        <f>'Rolling report'!DI267*'With Action'!$Y$6</f>
        <v>0</v>
      </c>
    </row>
    <row r="268" spans="1:42" x14ac:dyDescent="0.25">
      <c r="A268" s="4" t="s">
        <v>568</v>
      </c>
      <c r="B268" s="6" t="s">
        <v>569</v>
      </c>
      <c r="I268" s="17">
        <f>'Rolling report'!CB268*'With Action'!$Y$6</f>
        <v>0.35000000000000009</v>
      </c>
      <c r="J268" s="17">
        <f>'Rolling report'!CC268*'With Action'!$Y$6</f>
        <v>0</v>
      </c>
      <c r="K268" s="17">
        <f>'Rolling report'!CD268*'With Action'!$Y$6</f>
        <v>0</v>
      </c>
      <c r="L268" s="17">
        <f>'Rolling report'!CE268*'With Action'!$Y$6</f>
        <v>0.10000000000000002</v>
      </c>
      <c r="M268" s="17">
        <f>'Rolling report'!CF268*'With Action'!$Y$6</f>
        <v>0</v>
      </c>
      <c r="N268" s="17">
        <f>'Rolling report'!CG268*'With Action'!$Y$6</f>
        <v>0</v>
      </c>
      <c r="O268" s="17">
        <f>'Rolling report'!CH268*'With Action'!$Y$6</f>
        <v>0</v>
      </c>
      <c r="P268" s="17">
        <f>'Rolling report'!CI268*'With Action'!$Y$6</f>
        <v>0</v>
      </c>
      <c r="Q268" s="17">
        <f>'Rolling report'!CJ268*'With Action'!$Y$6</f>
        <v>0.25000000000000006</v>
      </c>
      <c r="R268" s="17">
        <f>'Rolling report'!CK268*'With Action'!$Y$6</f>
        <v>0.15000000000000002</v>
      </c>
      <c r="S268" s="17">
        <f>'Rolling report'!CL268*'With Action'!$Y$6</f>
        <v>0.35000000000000009</v>
      </c>
      <c r="T268" s="17">
        <f>'Rolling report'!CM268*'With Action'!$Y$6</f>
        <v>0</v>
      </c>
      <c r="U268" s="17">
        <f>'Rolling report'!CN268*'With Action'!$Y$6</f>
        <v>0.10000000000000002</v>
      </c>
      <c r="V268" s="17">
        <f>'Rolling report'!CO268*'With Action'!$Y$6</f>
        <v>5.000000000000001E-2</v>
      </c>
      <c r="W268" s="17">
        <f>'Rolling report'!CP268*'With Action'!$Y$6</f>
        <v>5.000000000000001E-2</v>
      </c>
      <c r="X268" s="17">
        <f>'Rolling report'!CQ268*'With Action'!$Y$6</f>
        <v>0.10000000000000002</v>
      </c>
      <c r="Y268" s="17">
        <f>'Rolling report'!CR268*'With Action'!$Y$6</f>
        <v>0.15000000000000002</v>
      </c>
      <c r="Z268" s="17">
        <f>'Rolling report'!CS268*'With Action'!$Y$6</f>
        <v>0.10000000000000002</v>
      </c>
      <c r="AA268" s="17">
        <f>'Rolling report'!CT268*'With Action'!$Y$6</f>
        <v>0</v>
      </c>
      <c r="AB268" s="17">
        <f>'Rolling report'!CU268*'With Action'!$Y$6</f>
        <v>0</v>
      </c>
      <c r="AC268" s="17">
        <f>'Rolling report'!CV268*'With Action'!$Y$6</f>
        <v>0.15000000000000002</v>
      </c>
      <c r="AD268" s="17">
        <f>'Rolling report'!CW268*'With Action'!$Y$6</f>
        <v>0</v>
      </c>
      <c r="AE268" s="17">
        <f>'Rolling report'!CX268*'With Action'!$Y$6</f>
        <v>0</v>
      </c>
      <c r="AF268" s="17">
        <f>'Rolling report'!CY268*'With Action'!$Y$6</f>
        <v>-1.9000000000000004</v>
      </c>
      <c r="AG268" s="17">
        <f>'Rolling report'!CZ268*'With Action'!$Y$6</f>
        <v>0</v>
      </c>
      <c r="AH268" s="17">
        <f>'Rolling report'!DA268*'With Action'!$Y$6</f>
        <v>0</v>
      </c>
      <c r="AI268" s="17">
        <f>'Rolling report'!DB268*'With Action'!$Y$6</f>
        <v>0</v>
      </c>
      <c r="AJ268" s="17">
        <f>'Rolling report'!DC268*'With Action'!$Y$6</f>
        <v>0</v>
      </c>
      <c r="AK268" s="17">
        <f>'Rolling report'!DD268*'With Action'!$Y$6</f>
        <v>0</v>
      </c>
      <c r="AL268" s="17">
        <f>'Rolling report'!DE268*'With Action'!$Y$6</f>
        <v>0</v>
      </c>
      <c r="AM268" s="17">
        <f>'Rolling report'!DF268*'With Action'!$Y$6</f>
        <v>0</v>
      </c>
      <c r="AN268" s="17">
        <f>'Rolling report'!DG268*'With Action'!$Y$6</f>
        <v>0</v>
      </c>
      <c r="AO268" s="17">
        <f>'Rolling report'!DH268*'With Action'!$Y$6</f>
        <v>0</v>
      </c>
      <c r="AP268" s="17">
        <f>'Rolling report'!DI268*'With Action'!$Y$6</f>
        <v>0</v>
      </c>
    </row>
    <row r="269" spans="1:42" x14ac:dyDescent="0.25">
      <c r="A269" s="4" t="s">
        <v>570</v>
      </c>
      <c r="B269" s="6" t="s">
        <v>571</v>
      </c>
      <c r="I269" s="17">
        <f>'Rolling report'!CB269*'With Action'!$Y$6</f>
        <v>0.25000000000000006</v>
      </c>
      <c r="J269" s="17">
        <f>'Rolling report'!CC269*'With Action'!$Y$6</f>
        <v>0</v>
      </c>
      <c r="K269" s="17">
        <f>'Rolling report'!CD269*'With Action'!$Y$6</f>
        <v>0</v>
      </c>
      <c r="L269" s="17">
        <f>'Rolling report'!CE269*'With Action'!$Y$6</f>
        <v>5.000000000000001E-2</v>
      </c>
      <c r="M269" s="17">
        <f>'Rolling report'!CF269*'With Action'!$Y$6</f>
        <v>0</v>
      </c>
      <c r="N269" s="17">
        <f>'Rolling report'!CG269*'With Action'!$Y$6</f>
        <v>0.15000000000000002</v>
      </c>
      <c r="O269" s="17">
        <f>'Rolling report'!CH269*'With Action'!$Y$6</f>
        <v>5.000000000000001E-2</v>
      </c>
      <c r="P269" s="17">
        <f>'Rolling report'!CI269*'With Action'!$Y$6</f>
        <v>0</v>
      </c>
      <c r="Q269" s="17">
        <f>'Rolling report'!CJ269*'With Action'!$Y$6</f>
        <v>0</v>
      </c>
      <c r="R269" s="17">
        <f>'Rolling report'!CK269*'With Action'!$Y$6</f>
        <v>0</v>
      </c>
      <c r="S269" s="17">
        <f>'Rolling report'!CL269*'With Action'!$Y$6</f>
        <v>0</v>
      </c>
      <c r="T269" s="17">
        <f>'Rolling report'!CM269*'With Action'!$Y$6</f>
        <v>5.000000000000001E-2</v>
      </c>
      <c r="U269" s="17">
        <f>'Rolling report'!CN269*'With Action'!$Y$6</f>
        <v>0.10000000000000002</v>
      </c>
      <c r="V269" s="17">
        <f>'Rolling report'!CO269*'With Action'!$Y$6</f>
        <v>0</v>
      </c>
      <c r="W269" s="17">
        <f>'Rolling report'!CP269*'With Action'!$Y$6</f>
        <v>5.000000000000001E-2</v>
      </c>
      <c r="X269" s="17">
        <f>'Rolling report'!CQ269*'With Action'!$Y$6</f>
        <v>0.10000000000000002</v>
      </c>
      <c r="Y269" s="17">
        <f>'Rolling report'!CR269*'With Action'!$Y$6</f>
        <v>0.15000000000000002</v>
      </c>
      <c r="Z269" s="17">
        <f>'Rolling report'!CS269*'With Action'!$Y$6</f>
        <v>0</v>
      </c>
      <c r="AA269" s="17">
        <f>'Rolling report'!CT269*'With Action'!$Y$6</f>
        <v>0</v>
      </c>
      <c r="AB269" s="17">
        <f>'Rolling report'!CU269*'With Action'!$Y$6</f>
        <v>0.50000000000000011</v>
      </c>
      <c r="AC269" s="17">
        <f>'Rolling report'!CV269*'With Action'!$Y$6</f>
        <v>0</v>
      </c>
      <c r="AD269" s="17">
        <f>'Rolling report'!CW269*'With Action'!$Y$6</f>
        <v>0.10000000000000002</v>
      </c>
      <c r="AE269" s="17">
        <f>'Rolling report'!CX269*'With Action'!$Y$6</f>
        <v>0</v>
      </c>
      <c r="AF269" s="17">
        <f>'Rolling report'!CY269*'With Action'!$Y$6</f>
        <v>-1.5500000000000003</v>
      </c>
      <c r="AG269" s="17">
        <f>'Rolling report'!CZ269*'With Action'!$Y$6</f>
        <v>0</v>
      </c>
      <c r="AH269" s="17">
        <f>'Rolling report'!DA269*'With Action'!$Y$6</f>
        <v>0</v>
      </c>
      <c r="AI269" s="17">
        <f>'Rolling report'!DB269*'With Action'!$Y$6</f>
        <v>0</v>
      </c>
      <c r="AJ269" s="17">
        <f>'Rolling report'!DC269*'With Action'!$Y$6</f>
        <v>0</v>
      </c>
      <c r="AK269" s="17">
        <f>'Rolling report'!DD269*'With Action'!$Y$6</f>
        <v>0</v>
      </c>
      <c r="AL269" s="17">
        <f>'Rolling report'!DE269*'With Action'!$Y$6</f>
        <v>0</v>
      </c>
      <c r="AM269" s="17">
        <f>'Rolling report'!DF269*'With Action'!$Y$6</f>
        <v>0</v>
      </c>
      <c r="AN269" s="17">
        <f>'Rolling report'!DG269*'With Action'!$Y$6</f>
        <v>0</v>
      </c>
      <c r="AO269" s="17">
        <f>'Rolling report'!DH269*'With Action'!$Y$6</f>
        <v>0</v>
      </c>
      <c r="AP269" s="17">
        <f>'Rolling report'!DI269*'With Action'!$Y$6</f>
        <v>0</v>
      </c>
    </row>
    <row r="270" spans="1:42" x14ac:dyDescent="0.25">
      <c r="A270" s="4" t="s">
        <v>572</v>
      </c>
      <c r="B270" s="6" t="s">
        <v>573</v>
      </c>
      <c r="I270" s="17">
        <f>'Rolling report'!CB270*'With Action'!$Y$6</f>
        <v>0.30000000000000004</v>
      </c>
      <c r="J270" s="17">
        <f>'Rolling report'!CC270*'With Action'!$Y$6</f>
        <v>0</v>
      </c>
      <c r="K270" s="17">
        <f>'Rolling report'!CD270*'With Action'!$Y$6</f>
        <v>0</v>
      </c>
      <c r="L270" s="17">
        <f>'Rolling report'!CE270*'With Action'!$Y$6</f>
        <v>0</v>
      </c>
      <c r="M270" s="17">
        <f>'Rolling report'!CF270*'With Action'!$Y$6</f>
        <v>0</v>
      </c>
      <c r="N270" s="17">
        <f>'Rolling report'!CG270*'With Action'!$Y$6</f>
        <v>0</v>
      </c>
      <c r="O270" s="17">
        <f>'Rolling report'!CH270*'With Action'!$Y$6</f>
        <v>0</v>
      </c>
      <c r="P270" s="17">
        <f>'Rolling report'!CI270*'With Action'!$Y$6</f>
        <v>0.25000000000000006</v>
      </c>
      <c r="Q270" s="17">
        <f>'Rolling report'!CJ270*'With Action'!$Y$6</f>
        <v>0</v>
      </c>
      <c r="R270" s="17">
        <f>'Rolling report'!CK270*'With Action'!$Y$6</f>
        <v>5.000000000000001E-2</v>
      </c>
      <c r="S270" s="17">
        <f>'Rolling report'!CL270*'With Action'!$Y$6</f>
        <v>0</v>
      </c>
      <c r="T270" s="17">
        <f>'Rolling report'!CM270*'With Action'!$Y$6</f>
        <v>0.10000000000000002</v>
      </c>
      <c r="U270" s="17">
        <f>'Rolling report'!CN270*'With Action'!$Y$6</f>
        <v>0</v>
      </c>
      <c r="V270" s="17">
        <f>'Rolling report'!CO270*'With Action'!$Y$6</f>
        <v>5.000000000000001E-2</v>
      </c>
      <c r="W270" s="17">
        <f>'Rolling report'!CP270*'With Action'!$Y$6</f>
        <v>0</v>
      </c>
      <c r="X270" s="17">
        <f>'Rolling report'!CQ270*'With Action'!$Y$6</f>
        <v>0</v>
      </c>
      <c r="Y270" s="17">
        <f>'Rolling report'!CR270*'With Action'!$Y$6</f>
        <v>0.20000000000000004</v>
      </c>
      <c r="Z270" s="17">
        <f>'Rolling report'!CS270*'With Action'!$Y$6</f>
        <v>0</v>
      </c>
      <c r="AA270" s="17">
        <f>'Rolling report'!CT270*'With Action'!$Y$6</f>
        <v>0</v>
      </c>
      <c r="AB270" s="17">
        <f>'Rolling report'!CU270*'With Action'!$Y$6</f>
        <v>0.10000000000000002</v>
      </c>
      <c r="AC270" s="17">
        <f>'Rolling report'!CV270*'With Action'!$Y$6</f>
        <v>0</v>
      </c>
      <c r="AD270" s="17">
        <f>'Rolling report'!CW270*'With Action'!$Y$6</f>
        <v>0</v>
      </c>
      <c r="AE270" s="17">
        <f>'Rolling report'!CX270*'With Action'!$Y$6</f>
        <v>0</v>
      </c>
      <c r="AF270" s="17">
        <f>'Rolling report'!CY270*'With Action'!$Y$6</f>
        <v>-1.0500000000000003</v>
      </c>
      <c r="AG270" s="17">
        <f>'Rolling report'!CZ270*'With Action'!$Y$6</f>
        <v>0</v>
      </c>
      <c r="AH270" s="17">
        <f>'Rolling report'!DA270*'With Action'!$Y$6</f>
        <v>0</v>
      </c>
      <c r="AI270" s="17">
        <f>'Rolling report'!DB270*'With Action'!$Y$6</f>
        <v>0</v>
      </c>
      <c r="AJ270" s="17">
        <f>'Rolling report'!DC270*'With Action'!$Y$6</f>
        <v>0</v>
      </c>
      <c r="AK270" s="17">
        <f>'Rolling report'!DD270*'With Action'!$Y$6</f>
        <v>0</v>
      </c>
      <c r="AL270" s="17">
        <f>'Rolling report'!DE270*'With Action'!$Y$6</f>
        <v>0</v>
      </c>
      <c r="AM270" s="17">
        <f>'Rolling report'!DF270*'With Action'!$Y$6</f>
        <v>0</v>
      </c>
      <c r="AN270" s="17">
        <f>'Rolling report'!DG270*'With Action'!$Y$6</f>
        <v>0</v>
      </c>
      <c r="AO270" s="17">
        <f>'Rolling report'!DH270*'With Action'!$Y$6</f>
        <v>0</v>
      </c>
      <c r="AP270" s="17">
        <f>'Rolling report'!DI270*'With Action'!$Y$6</f>
        <v>0</v>
      </c>
    </row>
    <row r="271" spans="1:42" x14ac:dyDescent="0.25">
      <c r="A271" s="4" t="s">
        <v>574</v>
      </c>
      <c r="B271" s="6" t="s">
        <v>575</v>
      </c>
      <c r="I271" s="17">
        <f>'Rolling report'!CB271*'With Action'!$Y$6</f>
        <v>0.30000000000000004</v>
      </c>
      <c r="J271" s="17">
        <f>'Rolling report'!CC271*'With Action'!$Y$6</f>
        <v>0</v>
      </c>
      <c r="K271" s="17">
        <f>'Rolling report'!CD271*'With Action'!$Y$6</f>
        <v>0</v>
      </c>
      <c r="L271" s="17">
        <f>'Rolling report'!CE271*'With Action'!$Y$6</f>
        <v>0</v>
      </c>
      <c r="M271" s="17">
        <f>'Rolling report'!CF271*'With Action'!$Y$6</f>
        <v>0.30000000000000004</v>
      </c>
      <c r="N271" s="17">
        <f>'Rolling report'!CG271*'With Action'!$Y$6</f>
        <v>0.20000000000000004</v>
      </c>
      <c r="O271" s="17">
        <f>'Rolling report'!CH271*'With Action'!$Y$6</f>
        <v>0.10000000000000002</v>
      </c>
      <c r="P271" s="17">
        <f>'Rolling report'!CI271*'With Action'!$Y$6</f>
        <v>0.25000000000000006</v>
      </c>
      <c r="Q271" s="17">
        <f>'Rolling report'!CJ271*'With Action'!$Y$6</f>
        <v>0</v>
      </c>
      <c r="R271" s="17">
        <f>'Rolling report'!CK271*'With Action'!$Y$6</f>
        <v>0.15000000000000002</v>
      </c>
      <c r="S271" s="17">
        <f>'Rolling report'!CL271*'With Action'!$Y$6</f>
        <v>0</v>
      </c>
      <c r="T271" s="17">
        <f>'Rolling report'!CM271*'With Action'!$Y$6</f>
        <v>0</v>
      </c>
      <c r="U271" s="17">
        <f>'Rolling report'!CN271*'With Action'!$Y$6</f>
        <v>5.000000000000001E-2</v>
      </c>
      <c r="V271" s="17">
        <f>'Rolling report'!CO271*'With Action'!$Y$6</f>
        <v>0.20000000000000004</v>
      </c>
      <c r="W271" s="17">
        <f>'Rolling report'!CP271*'With Action'!$Y$6</f>
        <v>5.000000000000001E-2</v>
      </c>
      <c r="X271" s="17">
        <f>'Rolling report'!CQ271*'With Action'!$Y$6</f>
        <v>0</v>
      </c>
      <c r="Y271" s="17">
        <f>'Rolling report'!CR271*'With Action'!$Y$6</f>
        <v>0.25000000000000006</v>
      </c>
      <c r="Z271" s="17">
        <f>'Rolling report'!CS271*'With Action'!$Y$6</f>
        <v>0.15000000000000002</v>
      </c>
      <c r="AA271" s="17">
        <f>'Rolling report'!CT271*'With Action'!$Y$6</f>
        <v>5.000000000000001E-2</v>
      </c>
      <c r="AB271" s="17">
        <f>'Rolling report'!CU271*'With Action'!$Y$6</f>
        <v>0</v>
      </c>
      <c r="AC271" s="17">
        <f>'Rolling report'!CV271*'With Action'!$Y$6</f>
        <v>0</v>
      </c>
      <c r="AD271" s="17">
        <f>'Rolling report'!CW271*'With Action'!$Y$6</f>
        <v>0.40000000000000008</v>
      </c>
      <c r="AE271" s="17">
        <f>'Rolling report'!CX271*'With Action'!$Y$6</f>
        <v>0.10000000000000002</v>
      </c>
      <c r="AF271" s="17">
        <f>'Rolling report'!CY271*'With Action'!$Y$6</f>
        <v>-2.5500000000000007</v>
      </c>
      <c r="AG271" s="17">
        <f>'Rolling report'!CZ271*'With Action'!$Y$6</f>
        <v>0</v>
      </c>
      <c r="AH271" s="17">
        <f>'Rolling report'!DA271*'With Action'!$Y$6</f>
        <v>0</v>
      </c>
      <c r="AI271" s="17">
        <f>'Rolling report'!DB271*'With Action'!$Y$6</f>
        <v>0</v>
      </c>
      <c r="AJ271" s="17">
        <f>'Rolling report'!DC271*'With Action'!$Y$6</f>
        <v>0</v>
      </c>
      <c r="AK271" s="17">
        <f>'Rolling report'!DD271*'With Action'!$Y$6</f>
        <v>0</v>
      </c>
      <c r="AL271" s="17">
        <f>'Rolling report'!DE271*'With Action'!$Y$6</f>
        <v>0</v>
      </c>
      <c r="AM271" s="17">
        <f>'Rolling report'!DF271*'With Action'!$Y$6</f>
        <v>0</v>
      </c>
      <c r="AN271" s="17">
        <f>'Rolling report'!DG271*'With Action'!$Y$6</f>
        <v>0</v>
      </c>
      <c r="AO271" s="17">
        <f>'Rolling report'!DH271*'With Action'!$Y$6</f>
        <v>0</v>
      </c>
      <c r="AP271" s="17">
        <f>'Rolling report'!DI271*'With Action'!$Y$6</f>
        <v>0</v>
      </c>
    </row>
    <row r="272" spans="1:42" x14ac:dyDescent="0.25">
      <c r="A272" s="4" t="s">
        <v>576</v>
      </c>
      <c r="B272" s="6" t="s">
        <v>577</v>
      </c>
      <c r="I272" s="17">
        <f>'Rolling report'!CB272*'With Action'!$Y$6</f>
        <v>0.8500000000000002</v>
      </c>
      <c r="J272" s="17">
        <f>'Rolling report'!CC272*'With Action'!$Y$6</f>
        <v>0.25000000000000006</v>
      </c>
      <c r="K272" s="17">
        <f>'Rolling report'!CD272*'With Action'!$Y$6</f>
        <v>5.000000000000001E-2</v>
      </c>
      <c r="L272" s="17">
        <f>'Rolling report'!CE272*'With Action'!$Y$6</f>
        <v>0.10000000000000002</v>
      </c>
      <c r="M272" s="17">
        <f>'Rolling report'!CF272*'With Action'!$Y$6</f>
        <v>5.000000000000001E-2</v>
      </c>
      <c r="N272" s="17">
        <f>'Rolling report'!CG272*'With Action'!$Y$6</f>
        <v>5.000000000000001E-2</v>
      </c>
      <c r="O272" s="17">
        <f>'Rolling report'!CH272*'With Action'!$Y$6</f>
        <v>5.000000000000001E-2</v>
      </c>
      <c r="P272" s="17">
        <f>'Rolling report'!CI272*'With Action'!$Y$6</f>
        <v>0.15000000000000002</v>
      </c>
      <c r="Q272" s="17">
        <f>'Rolling report'!CJ272*'With Action'!$Y$6</f>
        <v>5.000000000000001E-2</v>
      </c>
      <c r="R272" s="17">
        <f>'Rolling report'!CK272*'With Action'!$Y$6</f>
        <v>0</v>
      </c>
      <c r="S272" s="17">
        <f>'Rolling report'!CL272*'With Action'!$Y$6</f>
        <v>0.20000000000000004</v>
      </c>
      <c r="T272" s="17">
        <f>'Rolling report'!CM272*'With Action'!$Y$6</f>
        <v>0.15000000000000002</v>
      </c>
      <c r="U272" s="17">
        <f>'Rolling report'!CN272*'With Action'!$Y$6</f>
        <v>0.30000000000000004</v>
      </c>
      <c r="V272" s="17">
        <f>'Rolling report'!CO272*'With Action'!$Y$6</f>
        <v>0.15000000000000002</v>
      </c>
      <c r="W272" s="17">
        <f>'Rolling report'!CP272*'With Action'!$Y$6</f>
        <v>0.35000000000000009</v>
      </c>
      <c r="X272" s="17">
        <f>'Rolling report'!CQ272*'With Action'!$Y$6</f>
        <v>0.10000000000000002</v>
      </c>
      <c r="Y272" s="17">
        <f>'Rolling report'!CR272*'With Action'!$Y$6</f>
        <v>0.15000000000000002</v>
      </c>
      <c r="Z272" s="17">
        <f>'Rolling report'!CS272*'With Action'!$Y$6</f>
        <v>0.35000000000000009</v>
      </c>
      <c r="AA272" s="17">
        <f>'Rolling report'!CT272*'With Action'!$Y$6</f>
        <v>0</v>
      </c>
      <c r="AB272" s="17">
        <f>'Rolling report'!CU272*'With Action'!$Y$6</f>
        <v>0</v>
      </c>
      <c r="AC272" s="17">
        <f>'Rolling report'!CV272*'With Action'!$Y$6</f>
        <v>5.000000000000001E-2</v>
      </c>
      <c r="AD272" s="17">
        <f>'Rolling report'!CW272*'With Action'!$Y$6</f>
        <v>-5.000000000000001E-2</v>
      </c>
      <c r="AE272" s="17">
        <f>'Rolling report'!CX272*'With Action'!$Y$6</f>
        <v>0.25000000000000006</v>
      </c>
      <c r="AF272" s="17">
        <f>'Rolling report'!CY272*'With Action'!$Y$6</f>
        <v>-3.6000000000000005</v>
      </c>
      <c r="AG272" s="17">
        <f>'Rolling report'!CZ272*'With Action'!$Y$6</f>
        <v>0</v>
      </c>
      <c r="AH272" s="17">
        <f>'Rolling report'!DA272*'With Action'!$Y$6</f>
        <v>0</v>
      </c>
      <c r="AI272" s="17">
        <f>'Rolling report'!DB272*'With Action'!$Y$6</f>
        <v>0</v>
      </c>
      <c r="AJ272" s="17">
        <f>'Rolling report'!DC272*'With Action'!$Y$6</f>
        <v>0</v>
      </c>
      <c r="AK272" s="17">
        <f>'Rolling report'!DD272*'With Action'!$Y$6</f>
        <v>0</v>
      </c>
      <c r="AL272" s="17">
        <f>'Rolling report'!DE272*'With Action'!$Y$6</f>
        <v>0</v>
      </c>
      <c r="AM272" s="17">
        <f>'Rolling report'!DF272*'With Action'!$Y$6</f>
        <v>0</v>
      </c>
      <c r="AN272" s="17">
        <f>'Rolling report'!DG272*'With Action'!$Y$6</f>
        <v>0</v>
      </c>
      <c r="AO272" s="17">
        <f>'Rolling report'!DH272*'With Action'!$Y$6</f>
        <v>0</v>
      </c>
      <c r="AP272" s="17">
        <f>'Rolling report'!DI272*'With Action'!$Y$6</f>
        <v>0</v>
      </c>
    </row>
    <row r="273" spans="1:42" x14ac:dyDescent="0.25">
      <c r="A273" s="4" t="s">
        <v>578</v>
      </c>
      <c r="B273" s="6" t="s">
        <v>579</v>
      </c>
      <c r="I273" s="17">
        <f>'Rolling report'!CB273*'With Action'!$Y$6</f>
        <v>0.60000000000000009</v>
      </c>
      <c r="J273" s="17">
        <f>'Rolling report'!CC273*'With Action'!$Y$6</f>
        <v>0.35000000000000009</v>
      </c>
      <c r="K273" s="17">
        <f>'Rolling report'!CD273*'With Action'!$Y$6</f>
        <v>0.10000000000000002</v>
      </c>
      <c r="L273" s="17">
        <f>'Rolling report'!CE273*'With Action'!$Y$6</f>
        <v>0</v>
      </c>
      <c r="M273" s="17">
        <f>'Rolling report'!CF273*'With Action'!$Y$6</f>
        <v>0.20000000000000004</v>
      </c>
      <c r="N273" s="17">
        <f>'Rolling report'!CG273*'With Action'!$Y$6</f>
        <v>0</v>
      </c>
      <c r="O273" s="17">
        <f>'Rolling report'!CH273*'With Action'!$Y$6</f>
        <v>0.10000000000000002</v>
      </c>
      <c r="P273" s="17">
        <f>'Rolling report'!CI273*'With Action'!$Y$6</f>
        <v>0.15000000000000002</v>
      </c>
      <c r="Q273" s="17">
        <f>'Rolling report'!CJ273*'With Action'!$Y$6</f>
        <v>0</v>
      </c>
      <c r="R273" s="17">
        <f>'Rolling report'!CK273*'With Action'!$Y$6</f>
        <v>0.15000000000000002</v>
      </c>
      <c r="S273" s="17">
        <f>'Rolling report'!CL273*'With Action'!$Y$6</f>
        <v>5.000000000000001E-2</v>
      </c>
      <c r="T273" s="17">
        <f>'Rolling report'!CM273*'With Action'!$Y$6</f>
        <v>0.25000000000000006</v>
      </c>
      <c r="U273" s="17">
        <f>'Rolling report'!CN273*'With Action'!$Y$6</f>
        <v>0.35000000000000009</v>
      </c>
      <c r="V273" s="17">
        <f>'Rolling report'!CO273*'With Action'!$Y$6</f>
        <v>0.25000000000000006</v>
      </c>
      <c r="W273" s="17">
        <f>'Rolling report'!CP273*'With Action'!$Y$6</f>
        <v>0</v>
      </c>
      <c r="X273" s="17">
        <f>'Rolling report'!CQ273*'With Action'!$Y$6</f>
        <v>0</v>
      </c>
      <c r="Y273" s="17">
        <f>'Rolling report'!CR273*'With Action'!$Y$6</f>
        <v>0</v>
      </c>
      <c r="Z273" s="17">
        <f>'Rolling report'!CS273*'With Action'!$Y$6</f>
        <v>0.10000000000000002</v>
      </c>
      <c r="AA273" s="17">
        <f>'Rolling report'!CT273*'With Action'!$Y$6</f>
        <v>0.20000000000000004</v>
      </c>
      <c r="AB273" s="17">
        <f>'Rolling report'!CU273*'With Action'!$Y$6</f>
        <v>0.35000000000000009</v>
      </c>
      <c r="AC273" s="17">
        <f>'Rolling report'!CV273*'With Action'!$Y$6</f>
        <v>0.15000000000000002</v>
      </c>
      <c r="AD273" s="17">
        <f>'Rolling report'!CW273*'With Action'!$Y$6</f>
        <v>0.30000000000000004</v>
      </c>
      <c r="AE273" s="17">
        <f>'Rolling report'!CX273*'With Action'!$Y$6</f>
        <v>0.15000000000000002</v>
      </c>
      <c r="AF273" s="17">
        <f>'Rolling report'!CY273*'With Action'!$Y$6</f>
        <v>-3.8000000000000007</v>
      </c>
      <c r="AG273" s="17">
        <f>'Rolling report'!CZ273*'With Action'!$Y$6</f>
        <v>0</v>
      </c>
      <c r="AH273" s="17">
        <f>'Rolling report'!DA273*'With Action'!$Y$6</f>
        <v>0</v>
      </c>
      <c r="AI273" s="17">
        <f>'Rolling report'!DB273*'With Action'!$Y$6</f>
        <v>0</v>
      </c>
      <c r="AJ273" s="17">
        <f>'Rolling report'!DC273*'With Action'!$Y$6</f>
        <v>0</v>
      </c>
      <c r="AK273" s="17">
        <f>'Rolling report'!DD273*'With Action'!$Y$6</f>
        <v>0</v>
      </c>
      <c r="AL273" s="17">
        <f>'Rolling report'!DE273*'With Action'!$Y$6</f>
        <v>0</v>
      </c>
      <c r="AM273" s="17">
        <f>'Rolling report'!DF273*'With Action'!$Y$6</f>
        <v>0</v>
      </c>
      <c r="AN273" s="17">
        <f>'Rolling report'!DG273*'With Action'!$Y$6</f>
        <v>0</v>
      </c>
      <c r="AO273" s="17">
        <f>'Rolling report'!DH273*'With Action'!$Y$6</f>
        <v>0</v>
      </c>
      <c r="AP273" s="17">
        <f>'Rolling report'!DI273*'With Action'!$Y$6</f>
        <v>0</v>
      </c>
    </row>
    <row r="274" spans="1:42" x14ac:dyDescent="0.25">
      <c r="A274" s="4" t="s">
        <v>580</v>
      </c>
      <c r="B274" s="6" t="s">
        <v>581</v>
      </c>
      <c r="I274" s="17">
        <f>'Rolling report'!CB274*'With Action'!$Y$6</f>
        <v>0.65000000000000013</v>
      </c>
      <c r="J274" s="17">
        <f>'Rolling report'!CC274*'With Action'!$Y$6</f>
        <v>0.55000000000000016</v>
      </c>
      <c r="K274" s="17">
        <f>'Rolling report'!CD274*'With Action'!$Y$6</f>
        <v>0.20000000000000004</v>
      </c>
      <c r="L274" s="17">
        <f>'Rolling report'!CE274*'With Action'!$Y$6</f>
        <v>0</v>
      </c>
      <c r="M274" s="17">
        <f>'Rolling report'!CF274*'With Action'!$Y$6</f>
        <v>0</v>
      </c>
      <c r="N274" s="17">
        <f>'Rolling report'!CG274*'With Action'!$Y$6</f>
        <v>0</v>
      </c>
      <c r="O274" s="17">
        <f>'Rolling report'!CH274*'With Action'!$Y$6</f>
        <v>0.10000000000000002</v>
      </c>
      <c r="P274" s="17">
        <f>'Rolling report'!CI274*'With Action'!$Y$6</f>
        <v>0.15000000000000002</v>
      </c>
      <c r="Q274" s="17">
        <f>'Rolling report'!CJ274*'With Action'!$Y$6</f>
        <v>0.10000000000000002</v>
      </c>
      <c r="R274" s="17">
        <f>'Rolling report'!CK274*'With Action'!$Y$6</f>
        <v>0</v>
      </c>
      <c r="S274" s="17">
        <f>'Rolling report'!CL274*'With Action'!$Y$6</f>
        <v>0</v>
      </c>
      <c r="T274" s="17">
        <f>'Rolling report'!CM274*'With Action'!$Y$6</f>
        <v>0</v>
      </c>
      <c r="U274" s="17">
        <f>'Rolling report'!CN274*'With Action'!$Y$6</f>
        <v>0.35000000000000009</v>
      </c>
      <c r="V274" s="17">
        <f>'Rolling report'!CO274*'With Action'!$Y$6</f>
        <v>0</v>
      </c>
      <c r="W274" s="17">
        <f>'Rolling report'!CP274*'With Action'!$Y$6</f>
        <v>0</v>
      </c>
      <c r="X274" s="17">
        <f>'Rolling report'!CQ274*'With Action'!$Y$6</f>
        <v>0</v>
      </c>
      <c r="Y274" s="17">
        <f>'Rolling report'!CR274*'With Action'!$Y$6</f>
        <v>0</v>
      </c>
      <c r="Z274" s="17">
        <f>'Rolling report'!CS274*'With Action'!$Y$6</f>
        <v>0</v>
      </c>
      <c r="AA274" s="17">
        <f>'Rolling report'!CT274*'With Action'!$Y$6</f>
        <v>0.15000000000000002</v>
      </c>
      <c r="AB274" s="17">
        <f>'Rolling report'!CU274*'With Action'!$Y$6</f>
        <v>0</v>
      </c>
      <c r="AC274" s="17">
        <f>'Rolling report'!CV274*'With Action'!$Y$6</f>
        <v>5.000000000000001E-2</v>
      </c>
      <c r="AD274" s="17">
        <f>'Rolling report'!CW274*'With Action'!$Y$6</f>
        <v>5.000000000000001E-2</v>
      </c>
      <c r="AE274" s="17">
        <f>'Rolling report'!CX274*'With Action'!$Y$6</f>
        <v>5.000000000000001E-2</v>
      </c>
      <c r="AF274" s="17">
        <f>'Rolling report'!CY274*'With Action'!$Y$6</f>
        <v>-2.4000000000000004</v>
      </c>
      <c r="AG274" s="17">
        <f>'Rolling report'!CZ274*'With Action'!$Y$6</f>
        <v>0</v>
      </c>
      <c r="AH274" s="17">
        <f>'Rolling report'!DA274*'With Action'!$Y$6</f>
        <v>0</v>
      </c>
      <c r="AI274" s="17">
        <f>'Rolling report'!DB274*'With Action'!$Y$6</f>
        <v>0</v>
      </c>
      <c r="AJ274" s="17">
        <f>'Rolling report'!DC274*'With Action'!$Y$6</f>
        <v>0</v>
      </c>
      <c r="AK274" s="17">
        <f>'Rolling report'!DD274*'With Action'!$Y$6</f>
        <v>0</v>
      </c>
      <c r="AL274" s="17">
        <f>'Rolling report'!DE274*'With Action'!$Y$6</f>
        <v>0</v>
      </c>
      <c r="AM274" s="17">
        <f>'Rolling report'!DF274*'With Action'!$Y$6</f>
        <v>0</v>
      </c>
      <c r="AN274" s="17">
        <f>'Rolling report'!DG274*'With Action'!$Y$6</f>
        <v>0</v>
      </c>
      <c r="AO274" s="17">
        <f>'Rolling report'!DH274*'With Action'!$Y$6</f>
        <v>0</v>
      </c>
      <c r="AP274" s="17">
        <f>'Rolling report'!DI274*'With Action'!$Y$6</f>
        <v>0</v>
      </c>
    </row>
    <row r="275" spans="1:42" x14ac:dyDescent="0.25">
      <c r="A275" s="4"/>
      <c r="B275" s="6"/>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P275" s="17"/>
    </row>
    <row r="276" spans="1:42" x14ac:dyDescent="0.25">
      <c r="A276" s="8" t="str">
        <f>'No Action'!A276</f>
        <v>All Northern Ireland</v>
      </c>
      <c r="B276" s="6"/>
      <c r="I276" s="17">
        <f>'Rolling report'!CB276*'With Action'!$Y$6</f>
        <v>6.0000000000000009</v>
      </c>
      <c r="J276" s="17">
        <f>'Rolling report'!CC276*'With Action'!$Y$6</f>
        <v>2.3000000000000003</v>
      </c>
      <c r="K276" s="17">
        <f>'Rolling report'!CD276*'With Action'!$Y$6</f>
        <v>1.4000000000000004</v>
      </c>
      <c r="L276" s="17">
        <f>'Rolling report'!CE276*'With Action'!$Y$6</f>
        <v>0.8500000000000002</v>
      </c>
      <c r="M276" s="17">
        <f>'Rolling report'!CF276*'With Action'!$Y$6</f>
        <v>1.0000000000000002</v>
      </c>
      <c r="N276" s="17">
        <f>'Rolling report'!CG276*'With Action'!$Y$6</f>
        <v>0.95000000000000018</v>
      </c>
      <c r="O276" s="17">
        <f>'Rolling report'!CH276*'With Action'!$Y$6</f>
        <v>0.60000000000000009</v>
      </c>
      <c r="P276" s="17">
        <f>'Rolling report'!CI276*'With Action'!$Y$6</f>
        <v>1.6000000000000003</v>
      </c>
      <c r="Q276" s="17">
        <f>'Rolling report'!CJ276*'With Action'!$Y$6</f>
        <v>0.55000000000000016</v>
      </c>
      <c r="R276" s="17">
        <f>'Rolling report'!CK276*'With Action'!$Y$6</f>
        <v>1.5000000000000002</v>
      </c>
      <c r="S276" s="17">
        <f>'Rolling report'!CL276*'With Action'!$Y$6</f>
        <v>0.60000000000000009</v>
      </c>
      <c r="T276" s="17">
        <f>'Rolling report'!CM276*'With Action'!$Y$6</f>
        <v>1.5000000000000002</v>
      </c>
      <c r="U276" s="17">
        <f>'Rolling report'!CN276*'With Action'!$Y$6</f>
        <v>3.2000000000000006</v>
      </c>
      <c r="V276" s="17">
        <f>'Rolling report'!CO276*'With Action'!$Y$6</f>
        <v>1.1000000000000003</v>
      </c>
      <c r="W276" s="17">
        <f>'Rolling report'!CP276*'With Action'!$Y$6</f>
        <v>0.8500000000000002</v>
      </c>
      <c r="X276" s="17">
        <f>'Rolling report'!CQ276*'With Action'!$Y$6</f>
        <v>0.55000000000000016</v>
      </c>
      <c r="Y276" s="17">
        <f>'Rolling report'!CR276*'With Action'!$Y$6</f>
        <v>1.7500000000000004</v>
      </c>
      <c r="Z276" s="17">
        <f>'Rolling report'!CS276*'With Action'!$Y$6</f>
        <v>1.2500000000000002</v>
      </c>
      <c r="AA276" s="17">
        <f>'Rolling report'!CT276*'With Action'!$Y$6</f>
        <v>0.55000000000000016</v>
      </c>
      <c r="AB276" s="17">
        <f>'Rolling report'!CU276*'With Action'!$Y$6</f>
        <v>1.1500000000000001</v>
      </c>
      <c r="AC276" s="17">
        <f>'Rolling report'!CV276*'With Action'!$Y$6</f>
        <v>0.95000000000000018</v>
      </c>
      <c r="AD276" s="17">
        <f>'Rolling report'!CW276*'With Action'!$Y$6</f>
        <v>0.90000000000000013</v>
      </c>
      <c r="AE276" s="17">
        <f>'Rolling report'!CX276*'With Action'!$Y$6</f>
        <v>1.0500000000000003</v>
      </c>
      <c r="AF276" s="17">
        <f>'Rolling report'!CY276*'With Action'!$Y$6</f>
        <v>-32.150000000000006</v>
      </c>
      <c r="AG276" s="17">
        <f>'Rolling report'!CZ276*'With Action'!$Y$6</f>
        <v>0</v>
      </c>
      <c r="AH276" s="17">
        <f>'Rolling report'!DA276*'With Action'!$Y$6</f>
        <v>0</v>
      </c>
      <c r="AI276" s="17">
        <f>'Rolling report'!DB276*'With Action'!$Y$6</f>
        <v>0</v>
      </c>
      <c r="AJ276" s="17">
        <f>'Rolling report'!DC276*'With Action'!$Y$6</f>
        <v>0</v>
      </c>
      <c r="AK276" s="17">
        <f>'Rolling report'!DD276*'With Action'!$Y$6</f>
        <v>0</v>
      </c>
      <c r="AL276" s="17">
        <f>'Rolling report'!DE276*'With Action'!$Y$6</f>
        <v>0</v>
      </c>
      <c r="AM276" s="17">
        <f>'Rolling report'!DF276*'With Action'!$Y$6</f>
        <v>0</v>
      </c>
      <c r="AN276" s="17">
        <f>'Rolling report'!DG276*'With Action'!$Y$6</f>
        <v>0</v>
      </c>
      <c r="AO276" s="17">
        <f>'Rolling report'!DH276*'With Action'!$Y$6</f>
        <v>0</v>
      </c>
      <c r="AP276" s="17">
        <f>'Rolling report'!DI276*'With Action'!$Y$6</f>
        <v>0</v>
      </c>
    </row>
    <row r="277" spans="1:42" ht="15.75" thickBot="1" x14ac:dyDescent="0.3">
      <c r="A277" s="12"/>
      <c r="B277" s="43"/>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P277" s="17"/>
    </row>
    <row r="278" spans="1:42" x14ac:dyDescent="0.25">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P278" s="17"/>
    </row>
    <row r="279" spans="1:42" s="46" customFormat="1" ht="15.75" x14ac:dyDescent="0.25">
      <c r="A279" s="8" t="str">
        <f>'No Action'!A279</f>
        <v>All UK</v>
      </c>
      <c r="I279" s="17">
        <f>'Rolling report'!CB279*'With Action'!$Y$6</f>
        <v>1396.8000000000002</v>
      </c>
      <c r="J279" s="17">
        <f>'Rolling report'!CC279*'With Action'!$Y$6</f>
        <v>256.65000000000003</v>
      </c>
      <c r="K279" s="17">
        <f>'Rolling report'!CD279*'With Action'!$Y$6</f>
        <v>223.15000000000003</v>
      </c>
      <c r="L279" s="17">
        <f>'Rolling report'!CE279*'With Action'!$Y$6</f>
        <v>272.95000000000005</v>
      </c>
      <c r="M279" s="17">
        <f>'Rolling report'!CF279*'With Action'!$Y$6</f>
        <v>192.40000000000003</v>
      </c>
      <c r="N279" s="17">
        <f>'Rolling report'!CG279*'With Action'!$Y$6</f>
        <v>184.60000000000002</v>
      </c>
      <c r="O279" s="17">
        <f>'Rolling report'!CH279*'With Action'!$Y$6</f>
        <v>285.85000000000008</v>
      </c>
      <c r="P279" s="17">
        <f>'Rolling report'!CI279*'With Action'!$Y$6</f>
        <v>151.40000000000003</v>
      </c>
      <c r="Q279" s="17">
        <f>'Rolling report'!CJ279*'With Action'!$Y$6</f>
        <v>197.90000000000003</v>
      </c>
      <c r="R279" s="17">
        <f>'Rolling report'!CK279*'With Action'!$Y$6</f>
        <v>171.40000000000003</v>
      </c>
      <c r="S279" s="17">
        <f>'Rolling report'!CL279*'With Action'!$Y$6</f>
        <v>129.00000000000003</v>
      </c>
      <c r="T279" s="17">
        <f>'Rolling report'!CM279*'With Action'!$Y$6</f>
        <v>210.20000000000005</v>
      </c>
      <c r="U279" s="17">
        <f>'Rolling report'!CN279*'With Action'!$Y$6</f>
        <v>192.50000000000003</v>
      </c>
      <c r="V279" s="17">
        <f>'Rolling report'!CO279*'With Action'!$Y$6</f>
        <v>159.65000000000003</v>
      </c>
      <c r="W279" s="17">
        <f>'Rolling report'!CP279*'With Action'!$Y$6</f>
        <v>134.85000000000002</v>
      </c>
      <c r="X279" s="17">
        <f>'Rolling report'!CQ279*'With Action'!$Y$6</f>
        <v>98.500000000000014</v>
      </c>
      <c r="Y279" s="17">
        <f>'Rolling report'!CR279*'With Action'!$Y$6</f>
        <v>113.55000000000003</v>
      </c>
      <c r="Z279" s="17">
        <f>'Rolling report'!CS279*'With Action'!$Y$6</f>
        <v>107.15000000000002</v>
      </c>
      <c r="AA279" s="17">
        <f>'Rolling report'!CT279*'With Action'!$Y$6</f>
        <v>123.35000000000002</v>
      </c>
      <c r="AB279" s="17">
        <f>'Rolling report'!CU279*'With Action'!$Y$6</f>
        <v>115.55000000000003</v>
      </c>
      <c r="AC279" s="17">
        <f>'Rolling report'!CV279*'With Action'!$Y$6</f>
        <v>159.35000000000002</v>
      </c>
      <c r="AD279" s="17">
        <f>'Rolling report'!CW279*'With Action'!$Y$6</f>
        <v>52.050000000000011</v>
      </c>
      <c r="AE279" s="17">
        <f>'Rolling report'!CX279*'With Action'!$Y$6</f>
        <v>82.750000000000014</v>
      </c>
      <c r="AF279" s="17">
        <f>'Rolling report'!CY279*'With Action'!$Y$6</f>
        <v>-5011.5500000000011</v>
      </c>
      <c r="AG279" s="17">
        <f>'Rolling report'!CZ279*'With Action'!$Y$6</f>
        <v>0</v>
      </c>
      <c r="AH279" s="17">
        <f>'Rolling report'!DA279*'With Action'!$Y$6</f>
        <v>0</v>
      </c>
      <c r="AI279" s="17">
        <f>'Rolling report'!DB279*'With Action'!$Y$6</f>
        <v>0</v>
      </c>
      <c r="AJ279" s="17">
        <f>'Rolling report'!DC279*'With Action'!$Y$6</f>
        <v>0</v>
      </c>
      <c r="AK279" s="17">
        <f>'Rolling report'!DD279*'With Action'!$Y$6</f>
        <v>0</v>
      </c>
      <c r="AL279" s="17">
        <f>'Rolling report'!DE279*'With Action'!$Y$6</f>
        <v>0</v>
      </c>
      <c r="AM279" s="17">
        <f>'Rolling report'!DF279*'With Action'!$Y$6</f>
        <v>0</v>
      </c>
      <c r="AN279" s="17">
        <f>'Rolling report'!DG279*'With Action'!$Y$6</f>
        <v>0</v>
      </c>
      <c r="AO279" s="17">
        <f>'Rolling report'!DH279*'With Action'!$Y$6</f>
        <v>0</v>
      </c>
      <c r="AP279" s="17">
        <f>'Rolling report'!DI279*'With Action'!$Y$6</f>
        <v>0</v>
      </c>
    </row>
  </sheetData>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42F54-364C-4936-89F1-148418C9D72A}">
  <sheetPr codeName="Sheet13"/>
  <dimension ref="A1:AQ279"/>
  <sheetViews>
    <sheetView topLeftCell="I1" workbookViewId="0">
      <selection activeCell="AF9" sqref="AF9"/>
    </sheetView>
  </sheetViews>
  <sheetFormatPr defaultRowHeight="15" x14ac:dyDescent="0.25"/>
  <cols>
    <col min="1" max="1" width="38.7109375" customWidth="1"/>
    <col min="9" max="9" width="9.5703125" bestFit="1" customWidth="1"/>
  </cols>
  <sheetData>
    <row r="1" spans="1:43" ht="25.5" customHeight="1" thickTop="1" x14ac:dyDescent="0.3">
      <c r="A1" s="1" t="s">
        <v>0</v>
      </c>
      <c r="B1" s="2"/>
      <c r="K1" s="67" t="s">
        <v>586</v>
      </c>
      <c r="L1" s="68"/>
      <c r="M1" s="68"/>
      <c r="N1" s="55" t="s">
        <v>587</v>
      </c>
      <c r="O1" s="55"/>
      <c r="P1" s="55"/>
      <c r="Q1" s="69">
        <v>0.63</v>
      </c>
      <c r="S1" s="74" t="s">
        <v>586</v>
      </c>
      <c r="T1" s="75"/>
      <c r="U1" s="75"/>
      <c r="V1" s="75" t="s">
        <v>587</v>
      </c>
      <c r="W1" s="75"/>
      <c r="X1" s="75"/>
      <c r="Y1" s="76">
        <f>Reporting!I6</f>
        <v>0.5</v>
      </c>
    </row>
    <row r="2" spans="1:43" ht="18.75" customHeight="1" x14ac:dyDescent="0.25">
      <c r="A2" s="3" t="s">
        <v>1</v>
      </c>
      <c r="B2" s="2"/>
      <c r="K2" s="54" t="s">
        <v>591</v>
      </c>
      <c r="L2" s="55"/>
      <c r="M2" s="55"/>
      <c r="N2" s="55" t="s">
        <v>633</v>
      </c>
      <c r="O2" s="55"/>
      <c r="P2" s="55"/>
      <c r="Q2" s="69">
        <v>0.12</v>
      </c>
      <c r="S2" s="77" t="s">
        <v>592</v>
      </c>
      <c r="T2" s="78"/>
      <c r="U2" s="78"/>
      <c r="V2" s="78" t="s">
        <v>633</v>
      </c>
      <c r="W2" s="78"/>
      <c r="X2" s="78"/>
      <c r="Y2" s="79">
        <f>Reporting!J6</f>
        <v>0.06</v>
      </c>
    </row>
    <row r="3" spans="1:43" ht="19.5" customHeight="1" x14ac:dyDescent="0.25">
      <c r="A3" s="4" t="s">
        <v>2</v>
      </c>
      <c r="B3" s="2"/>
      <c r="K3" s="54"/>
      <c r="L3" s="55"/>
      <c r="M3" s="55"/>
      <c r="N3" s="55" t="s">
        <v>588</v>
      </c>
      <c r="O3" s="55"/>
      <c r="P3" s="55"/>
      <c r="Q3" s="69">
        <v>0</v>
      </c>
      <c r="S3" s="77"/>
      <c r="T3" s="78"/>
      <c r="U3" s="78"/>
      <c r="V3" s="78" t="s">
        <v>588</v>
      </c>
      <c r="W3" s="78"/>
      <c r="X3" s="78"/>
      <c r="Y3" s="79">
        <f>Reporting!K6</f>
        <v>0</v>
      </c>
    </row>
    <row r="4" spans="1:43" x14ac:dyDescent="0.25">
      <c r="A4" s="14"/>
      <c r="B4" s="15"/>
      <c r="K4" s="54"/>
      <c r="L4" s="55"/>
      <c r="M4" s="55"/>
      <c r="N4" s="55" t="s">
        <v>589</v>
      </c>
      <c r="O4" s="55"/>
      <c r="P4" s="55"/>
      <c r="Q4" s="69">
        <v>0</v>
      </c>
      <c r="S4" s="77"/>
      <c r="T4" s="78"/>
      <c r="U4" s="78"/>
      <c r="V4" s="78" t="s">
        <v>589</v>
      </c>
      <c r="W4" s="78"/>
      <c r="X4" s="78"/>
      <c r="Y4" s="79">
        <f>Reporting!L6</f>
        <v>0</v>
      </c>
    </row>
    <row r="5" spans="1:43" ht="15.75" thickBot="1" x14ac:dyDescent="0.3">
      <c r="A5" s="5" t="s">
        <v>6</v>
      </c>
      <c r="B5" s="6"/>
      <c r="K5" s="54"/>
      <c r="L5" s="55"/>
      <c r="M5" s="55"/>
      <c r="N5" s="55" t="s">
        <v>632</v>
      </c>
      <c r="O5" s="55"/>
      <c r="P5" s="55"/>
      <c r="Q5" s="69">
        <v>0</v>
      </c>
      <c r="S5" s="77"/>
      <c r="T5" s="78"/>
      <c r="U5" s="78"/>
      <c r="V5" s="78" t="s">
        <v>632</v>
      </c>
      <c r="W5" s="78"/>
      <c r="X5" s="78"/>
      <c r="Y5" s="79">
        <f>Reporting!M6</f>
        <v>0</v>
      </c>
    </row>
    <row r="6" spans="1:43" ht="16.5" thickBot="1" x14ac:dyDescent="0.3">
      <c r="A6" s="7"/>
      <c r="B6" s="6"/>
      <c r="K6" s="70"/>
      <c r="L6" s="71"/>
      <c r="M6" s="71"/>
      <c r="N6" s="71" t="s">
        <v>590</v>
      </c>
      <c r="O6" s="71"/>
      <c r="P6" s="71"/>
      <c r="Q6" s="73">
        <f>100%-Q1-Q2-Q3-Q4-Q5</f>
        <v>0.25</v>
      </c>
      <c r="S6" s="80"/>
      <c r="T6" s="81"/>
      <c r="U6" s="81"/>
      <c r="V6" s="81" t="s">
        <v>590</v>
      </c>
      <c r="W6" s="81"/>
      <c r="X6" s="81"/>
      <c r="Y6" s="82">
        <f>100%-Y1-Y2-Y3-Y4-Y5</f>
        <v>0.44</v>
      </c>
    </row>
    <row r="7" spans="1:43" ht="30.75" thickTop="1" x14ac:dyDescent="0.25">
      <c r="A7" s="10" t="s">
        <v>3</v>
      </c>
      <c r="B7" s="16" t="s">
        <v>4</v>
      </c>
      <c r="I7" s="44">
        <v>44875</v>
      </c>
      <c r="J7" s="44">
        <v>44882</v>
      </c>
      <c r="K7" s="44">
        <v>44889</v>
      </c>
      <c r="L7" s="44">
        <v>44896</v>
      </c>
      <c r="M7" s="44">
        <v>44903</v>
      </c>
      <c r="N7" s="44">
        <v>44910</v>
      </c>
      <c r="O7" s="44">
        <v>44917</v>
      </c>
      <c r="P7" s="44">
        <v>44924</v>
      </c>
      <c r="Q7" s="44">
        <v>44931</v>
      </c>
      <c r="R7" s="44">
        <v>44938</v>
      </c>
      <c r="S7" s="44">
        <v>44945</v>
      </c>
      <c r="T7" s="44">
        <v>44952</v>
      </c>
      <c r="U7" s="44">
        <v>44959</v>
      </c>
      <c r="V7" s="44">
        <v>44966</v>
      </c>
      <c r="W7" s="44">
        <v>44973</v>
      </c>
      <c r="X7" s="44">
        <v>44980</v>
      </c>
      <c r="Y7" s="44">
        <v>44987</v>
      </c>
      <c r="Z7" s="44">
        <v>44994</v>
      </c>
      <c r="AA7" s="44">
        <v>45001</v>
      </c>
      <c r="AB7" s="44">
        <v>45008</v>
      </c>
      <c r="AC7" s="44">
        <v>45015</v>
      </c>
      <c r="AD7" s="44">
        <v>45022</v>
      </c>
      <c r="AE7" s="44">
        <v>45029</v>
      </c>
      <c r="AF7" s="44">
        <v>45036</v>
      </c>
      <c r="AG7" s="44">
        <v>45043</v>
      </c>
      <c r="AH7" s="44">
        <v>45050</v>
      </c>
      <c r="AI7" s="44">
        <v>45057</v>
      </c>
      <c r="AJ7" s="44">
        <v>45064</v>
      </c>
      <c r="AK7" s="44">
        <v>45071</v>
      </c>
      <c r="AL7" s="44">
        <v>45078</v>
      </c>
      <c r="AM7" s="44">
        <v>45085</v>
      </c>
      <c r="AN7" s="44">
        <v>45092</v>
      </c>
      <c r="AO7" s="44">
        <v>45099</v>
      </c>
      <c r="AP7" s="44">
        <v>45106</v>
      </c>
    </row>
    <row r="8" spans="1:43" x14ac:dyDescent="0.25">
      <c r="A8" s="9"/>
      <c r="B8" s="9"/>
    </row>
    <row r="9" spans="1:43" x14ac:dyDescent="0.25">
      <c r="A9" s="4" t="s">
        <v>7</v>
      </c>
      <c r="B9" s="6" t="s">
        <v>8</v>
      </c>
      <c r="I9" s="17">
        <f>'Rolling report'!CB9*'No Action'!$Y$6</f>
        <v>20.239999999999998</v>
      </c>
      <c r="J9" s="17">
        <f>'Rolling report'!CC9*'No Action'!$Y$6</f>
        <v>2.2000000000000002</v>
      </c>
      <c r="K9" s="17">
        <f>'Rolling report'!CD9*'No Action'!$Y$6</f>
        <v>3.52</v>
      </c>
      <c r="L9" s="17">
        <f>'Rolling report'!CE9*'No Action'!$Y$6</f>
        <v>3.08</v>
      </c>
      <c r="M9" s="17">
        <f>'Rolling report'!CF9*'No Action'!$Y$6</f>
        <v>4.4000000000000004</v>
      </c>
      <c r="N9" s="17">
        <f>'Rolling report'!CG9*'No Action'!$Y$6</f>
        <v>1.32</v>
      </c>
      <c r="O9" s="17">
        <f>'Rolling report'!CH9*'No Action'!$Y$6</f>
        <v>3.08</v>
      </c>
      <c r="P9" s="17">
        <f>'Rolling report'!CI9*'No Action'!$Y$6</f>
        <v>4.84</v>
      </c>
      <c r="Q9" s="17">
        <f>'Rolling report'!CJ9*'No Action'!$Y$6</f>
        <v>0.44</v>
      </c>
      <c r="R9" s="17">
        <f>'Rolling report'!CK9*'No Action'!$Y$6</f>
        <v>1.32</v>
      </c>
      <c r="S9" s="17">
        <f>'Rolling report'!CL9*'No Action'!$Y$6</f>
        <v>0.88</v>
      </c>
      <c r="T9" s="17">
        <f>'Rolling report'!CM9*'No Action'!$Y$6</f>
        <v>4.4000000000000004</v>
      </c>
      <c r="U9" s="17">
        <f>'Rolling report'!CN9*'No Action'!$Y$6</f>
        <v>6.16</v>
      </c>
      <c r="V9" s="17">
        <f>'Rolling report'!CO9*'No Action'!$Y$6</f>
        <v>1.76</v>
      </c>
      <c r="W9" s="17">
        <f>'Rolling report'!CP9*'No Action'!$Y$6</f>
        <v>2.2000000000000002</v>
      </c>
      <c r="X9" s="17">
        <f>'Rolling report'!CQ9*'No Action'!$Y$6</f>
        <v>2.2000000000000002</v>
      </c>
      <c r="Y9" s="17">
        <f>'Rolling report'!CR9*'No Action'!$Y$6</f>
        <v>1.76</v>
      </c>
      <c r="Z9" s="17">
        <f>'Rolling report'!CS9*'No Action'!$Y$6</f>
        <v>0.88</v>
      </c>
      <c r="AA9" s="17">
        <f>'Rolling report'!CT9*'No Action'!$Y$6</f>
        <v>4.84</v>
      </c>
      <c r="AB9" s="17">
        <f>'Rolling report'!CU9*'No Action'!$Y$6</f>
        <v>3.52</v>
      </c>
      <c r="AC9" s="17">
        <f>'Rolling report'!CV9*'No Action'!$Y$6</f>
        <v>6.16</v>
      </c>
      <c r="AD9" s="17">
        <f>'Rolling report'!CW9*'No Action'!$Y$6</f>
        <v>2.2000000000000002</v>
      </c>
      <c r="AE9" s="17">
        <f>'Rolling report'!CX9*'No Action'!$Y$6</f>
        <v>6.6</v>
      </c>
      <c r="AF9" s="17">
        <f>'Rolling report'!CY9*'No Action'!$Y$6</f>
        <v>-88</v>
      </c>
      <c r="AG9" s="17">
        <f>'Rolling report'!CZ9*'No Action'!$Y$6</f>
        <v>0</v>
      </c>
      <c r="AH9" s="17">
        <f>'Rolling report'!DA9*'No Action'!$Y$6</f>
        <v>0</v>
      </c>
      <c r="AI9" s="17">
        <f>'Rolling report'!DB9*'No Action'!$Y$6</f>
        <v>0</v>
      </c>
      <c r="AJ9" s="17">
        <f>'Rolling report'!DC9*'No Action'!$Y$6</f>
        <v>0</v>
      </c>
      <c r="AK9" s="17">
        <f>'Rolling report'!DD9*'No Action'!$Y$6</f>
        <v>0</v>
      </c>
      <c r="AL9" s="17">
        <f>'Rolling report'!DE9*'No Action'!$Y$6</f>
        <v>0</v>
      </c>
      <c r="AM9" s="17">
        <f>'Rolling report'!DF9*'No Action'!$Y$6</f>
        <v>0</v>
      </c>
      <c r="AN9" s="17">
        <f>'Rolling report'!DG9*'No Action'!$Y$6</f>
        <v>0</v>
      </c>
      <c r="AO9" s="17">
        <f>'Rolling report'!DH9*'No Action'!$Y$6</f>
        <v>0</v>
      </c>
      <c r="AQ9" s="45"/>
    </row>
    <row r="10" spans="1:43" x14ac:dyDescent="0.25">
      <c r="A10" s="4" t="s">
        <v>9</v>
      </c>
      <c r="B10" s="6" t="s">
        <v>10</v>
      </c>
      <c r="I10" s="17">
        <f>'Rolling report'!CB10*'No Action'!$Y$6</f>
        <v>103.84</v>
      </c>
      <c r="J10" s="17">
        <f>'Rolling report'!CC10*'No Action'!$Y$6</f>
        <v>11</v>
      </c>
      <c r="K10" s="17">
        <f>'Rolling report'!CD10*'No Action'!$Y$6</f>
        <v>14.08</v>
      </c>
      <c r="L10" s="17">
        <f>'Rolling report'!CE10*'No Action'!$Y$6</f>
        <v>21.56</v>
      </c>
      <c r="M10" s="17">
        <f>'Rolling report'!CF10*'No Action'!$Y$6</f>
        <v>9.68</v>
      </c>
      <c r="N10" s="17">
        <f>'Rolling report'!CG10*'No Action'!$Y$6</f>
        <v>13.64</v>
      </c>
      <c r="O10" s="17">
        <f>'Rolling report'!CH10*'No Action'!$Y$6</f>
        <v>18.920000000000002</v>
      </c>
      <c r="P10" s="17">
        <f>'Rolling report'!CI10*'No Action'!$Y$6</f>
        <v>17.600000000000001</v>
      </c>
      <c r="Q10" s="17">
        <f>'Rolling report'!CJ10*'No Action'!$Y$6</f>
        <v>14.08</v>
      </c>
      <c r="R10" s="17">
        <f>'Rolling report'!CK10*'No Action'!$Y$6</f>
        <v>8.36</v>
      </c>
      <c r="S10" s="17">
        <f>'Rolling report'!CL10*'No Action'!$Y$6</f>
        <v>5.28</v>
      </c>
      <c r="T10" s="17">
        <f>'Rolling report'!CM10*'No Action'!$Y$6</f>
        <v>12.32</v>
      </c>
      <c r="U10" s="17">
        <f>'Rolling report'!CN10*'No Action'!$Y$6</f>
        <v>7.92</v>
      </c>
      <c r="V10" s="17">
        <f>'Rolling report'!CO10*'No Action'!$Y$6</f>
        <v>3.96</v>
      </c>
      <c r="W10" s="17">
        <f>'Rolling report'!CP10*'No Action'!$Y$6</f>
        <v>8.8000000000000007</v>
      </c>
      <c r="X10" s="17">
        <f>'Rolling report'!CQ10*'No Action'!$Y$6</f>
        <v>7.48</v>
      </c>
      <c r="Y10" s="17">
        <f>'Rolling report'!CR10*'No Action'!$Y$6</f>
        <v>11.44</v>
      </c>
      <c r="Z10" s="17">
        <f>'Rolling report'!CS10*'No Action'!$Y$6</f>
        <v>7.92</v>
      </c>
      <c r="AA10" s="17">
        <f>'Rolling report'!CT10*'No Action'!$Y$6</f>
        <v>7.48</v>
      </c>
      <c r="AB10" s="17">
        <f>'Rolling report'!CU10*'No Action'!$Y$6</f>
        <v>6.16</v>
      </c>
      <c r="AC10" s="17">
        <f>'Rolling report'!CV10*'No Action'!$Y$6</f>
        <v>14.96</v>
      </c>
      <c r="AD10" s="17">
        <f>'Rolling report'!CW10*'No Action'!$Y$6</f>
        <v>-0.44</v>
      </c>
      <c r="AE10" s="17">
        <f>'Rolling report'!CX10*'No Action'!$Y$6</f>
        <v>7.48</v>
      </c>
      <c r="AF10" s="17">
        <f>'Rolling report'!CY10*'No Action'!$Y$6</f>
        <v>-333.52</v>
      </c>
      <c r="AG10" s="17">
        <f>'Rolling report'!CZ10*'No Action'!$Y$6</f>
        <v>0</v>
      </c>
      <c r="AH10" s="17">
        <f>'Rolling report'!DA10*'No Action'!$Y$6</f>
        <v>0</v>
      </c>
      <c r="AI10" s="17">
        <f>'Rolling report'!DB10*'No Action'!$Y$6</f>
        <v>0</v>
      </c>
      <c r="AJ10" s="17">
        <f>'Rolling report'!DC10*'No Action'!$Y$6</f>
        <v>0</v>
      </c>
      <c r="AK10" s="17">
        <f>'Rolling report'!DD10*'No Action'!$Y$6</f>
        <v>0</v>
      </c>
      <c r="AL10" s="17">
        <f>'Rolling report'!DE10*'No Action'!$Y$6</f>
        <v>0</v>
      </c>
      <c r="AM10" s="17">
        <f>'Rolling report'!DF10*'No Action'!$Y$6</f>
        <v>0</v>
      </c>
      <c r="AN10" s="17">
        <f>'Rolling report'!DG10*'No Action'!$Y$6</f>
        <v>0</v>
      </c>
      <c r="AO10" s="17">
        <f>'Rolling report'!DH10*'No Action'!$Y$6</f>
        <v>0</v>
      </c>
      <c r="AQ10" s="45"/>
    </row>
    <row r="11" spans="1:43" x14ac:dyDescent="0.25">
      <c r="A11" s="4" t="s">
        <v>11</v>
      </c>
      <c r="B11" s="6" t="s">
        <v>12</v>
      </c>
      <c r="I11" s="17">
        <f>'Rolling report'!CB11*'No Action'!$Y$6</f>
        <v>10.56</v>
      </c>
      <c r="J11" s="17">
        <f>'Rolling report'!CC11*'No Action'!$Y$6</f>
        <v>2.2000000000000002</v>
      </c>
      <c r="K11" s="17">
        <f>'Rolling report'!CD11*'No Action'!$Y$6</f>
        <v>1.32</v>
      </c>
      <c r="L11" s="17">
        <f>'Rolling report'!CE11*'No Action'!$Y$6</f>
        <v>0</v>
      </c>
      <c r="M11" s="17">
        <f>'Rolling report'!CF11*'No Action'!$Y$6</f>
        <v>1.76</v>
      </c>
      <c r="N11" s="17">
        <f>'Rolling report'!CG11*'No Action'!$Y$6</f>
        <v>0</v>
      </c>
      <c r="O11" s="17">
        <f>'Rolling report'!CH11*'No Action'!$Y$6</f>
        <v>1.76</v>
      </c>
      <c r="P11" s="17">
        <f>'Rolling report'!CI11*'No Action'!$Y$6</f>
        <v>0</v>
      </c>
      <c r="Q11" s="17">
        <f>'Rolling report'!CJ11*'No Action'!$Y$6</f>
        <v>2.2000000000000002</v>
      </c>
      <c r="R11" s="17">
        <f>'Rolling report'!CK11*'No Action'!$Y$6</f>
        <v>0.44</v>
      </c>
      <c r="S11" s="17">
        <f>'Rolling report'!CL11*'No Action'!$Y$6</f>
        <v>1.76</v>
      </c>
      <c r="T11" s="17">
        <f>'Rolling report'!CM11*'No Action'!$Y$6</f>
        <v>2.64</v>
      </c>
      <c r="U11" s="17">
        <f>'Rolling report'!CN11*'No Action'!$Y$6</f>
        <v>0.88</v>
      </c>
      <c r="V11" s="17">
        <f>'Rolling report'!CO11*'No Action'!$Y$6</f>
        <v>0.88</v>
      </c>
      <c r="W11" s="17">
        <f>'Rolling report'!CP11*'No Action'!$Y$6</f>
        <v>0.44</v>
      </c>
      <c r="X11" s="17">
        <f>'Rolling report'!CQ11*'No Action'!$Y$6</f>
        <v>0</v>
      </c>
      <c r="Y11" s="17">
        <f>'Rolling report'!CR11*'No Action'!$Y$6</f>
        <v>0</v>
      </c>
      <c r="Z11" s="17">
        <f>'Rolling report'!CS11*'No Action'!$Y$6</f>
        <v>0</v>
      </c>
      <c r="AA11" s="17">
        <f>'Rolling report'!CT11*'No Action'!$Y$6</f>
        <v>0.88</v>
      </c>
      <c r="AB11" s="17">
        <f>'Rolling report'!CU11*'No Action'!$Y$6</f>
        <v>0.88</v>
      </c>
      <c r="AC11" s="17">
        <f>'Rolling report'!CV11*'No Action'!$Y$6</f>
        <v>0</v>
      </c>
      <c r="AD11" s="17">
        <f>'Rolling report'!CW11*'No Action'!$Y$6</f>
        <v>0.88</v>
      </c>
      <c r="AE11" s="17">
        <f>'Rolling report'!CX11*'No Action'!$Y$6</f>
        <v>0</v>
      </c>
      <c r="AF11" s="17">
        <f>'Rolling report'!CY11*'No Action'!$Y$6</f>
        <v>-29.48</v>
      </c>
      <c r="AG11" s="17">
        <f>'Rolling report'!CZ11*'No Action'!$Y$6</f>
        <v>0</v>
      </c>
      <c r="AH11" s="17">
        <f>'Rolling report'!DA11*'No Action'!$Y$6</f>
        <v>0</v>
      </c>
      <c r="AI11" s="17">
        <f>'Rolling report'!DB11*'No Action'!$Y$6</f>
        <v>0</v>
      </c>
      <c r="AJ11" s="17">
        <f>'Rolling report'!DC11*'No Action'!$Y$6</f>
        <v>0</v>
      </c>
      <c r="AK11" s="17">
        <f>'Rolling report'!DD11*'No Action'!$Y$6</f>
        <v>0</v>
      </c>
      <c r="AL11" s="17">
        <f>'Rolling report'!DE11*'No Action'!$Y$6</f>
        <v>0</v>
      </c>
      <c r="AM11" s="17">
        <f>'Rolling report'!DF11*'No Action'!$Y$6</f>
        <v>0</v>
      </c>
      <c r="AN11" s="17">
        <f>'Rolling report'!DG11*'No Action'!$Y$6</f>
        <v>0</v>
      </c>
      <c r="AO11" s="17">
        <f>'Rolling report'!DH11*'No Action'!$Y$6</f>
        <v>0</v>
      </c>
      <c r="AQ11" s="45"/>
    </row>
    <row r="12" spans="1:43" x14ac:dyDescent="0.25">
      <c r="A12" s="4" t="s">
        <v>13</v>
      </c>
      <c r="B12" s="6" t="s">
        <v>14</v>
      </c>
      <c r="I12" s="17">
        <f>'Rolling report'!CB12*'No Action'!$Y$6</f>
        <v>41.8</v>
      </c>
      <c r="J12" s="17">
        <f>'Rolling report'!CC12*'No Action'!$Y$6</f>
        <v>12.76</v>
      </c>
      <c r="K12" s="17">
        <f>'Rolling report'!CD12*'No Action'!$Y$6</f>
        <v>10.119999999999999</v>
      </c>
      <c r="L12" s="17">
        <f>'Rolling report'!CE12*'No Action'!$Y$6</f>
        <v>3.52</v>
      </c>
      <c r="M12" s="17">
        <f>'Rolling report'!CF12*'No Action'!$Y$6</f>
        <v>2.2000000000000002</v>
      </c>
      <c r="N12" s="17">
        <f>'Rolling report'!CG12*'No Action'!$Y$6</f>
        <v>7.92</v>
      </c>
      <c r="O12" s="17">
        <f>'Rolling report'!CH12*'No Action'!$Y$6</f>
        <v>14.96</v>
      </c>
      <c r="P12" s="17">
        <f>'Rolling report'!CI12*'No Action'!$Y$6</f>
        <v>2.64</v>
      </c>
      <c r="Q12" s="17">
        <f>'Rolling report'!CJ12*'No Action'!$Y$6</f>
        <v>3.96</v>
      </c>
      <c r="R12" s="17">
        <f>'Rolling report'!CK12*'No Action'!$Y$6</f>
        <v>3.52</v>
      </c>
      <c r="S12" s="17">
        <f>'Rolling report'!CL12*'No Action'!$Y$6</f>
        <v>0.88</v>
      </c>
      <c r="T12" s="17">
        <f>'Rolling report'!CM12*'No Action'!$Y$6</f>
        <v>4.4000000000000004</v>
      </c>
      <c r="U12" s="17">
        <f>'Rolling report'!CN12*'No Action'!$Y$6</f>
        <v>3.08</v>
      </c>
      <c r="V12" s="17">
        <f>'Rolling report'!CO12*'No Action'!$Y$6</f>
        <v>2.2000000000000002</v>
      </c>
      <c r="W12" s="17">
        <f>'Rolling report'!CP12*'No Action'!$Y$6</f>
        <v>2.2000000000000002</v>
      </c>
      <c r="X12" s="17">
        <f>'Rolling report'!CQ12*'No Action'!$Y$6</f>
        <v>4.84</v>
      </c>
      <c r="Y12" s="17">
        <f>'Rolling report'!CR12*'No Action'!$Y$6</f>
        <v>1.76</v>
      </c>
      <c r="Z12" s="17">
        <f>'Rolling report'!CS12*'No Action'!$Y$6</f>
        <v>3.08</v>
      </c>
      <c r="AA12" s="17">
        <f>'Rolling report'!CT12*'No Action'!$Y$6</f>
        <v>4.84</v>
      </c>
      <c r="AB12" s="17">
        <f>'Rolling report'!CU12*'No Action'!$Y$6</f>
        <v>3.96</v>
      </c>
      <c r="AC12" s="17">
        <f>'Rolling report'!CV12*'No Action'!$Y$6</f>
        <v>2.2000000000000002</v>
      </c>
      <c r="AD12" s="17">
        <f>'Rolling report'!CW12*'No Action'!$Y$6</f>
        <v>2.64</v>
      </c>
      <c r="AE12" s="17">
        <f>'Rolling report'!CX12*'No Action'!$Y$6</f>
        <v>1.76</v>
      </c>
      <c r="AF12" s="17">
        <f>'Rolling report'!CY12*'No Action'!$Y$6</f>
        <v>-141.24</v>
      </c>
      <c r="AG12" s="17">
        <f>'Rolling report'!CZ12*'No Action'!$Y$6</f>
        <v>0</v>
      </c>
      <c r="AH12" s="17">
        <f>'Rolling report'!DA12*'No Action'!$Y$6</f>
        <v>0</v>
      </c>
      <c r="AI12" s="17">
        <f>'Rolling report'!DB12*'No Action'!$Y$6</f>
        <v>0</v>
      </c>
      <c r="AJ12" s="17">
        <f>'Rolling report'!DC12*'No Action'!$Y$6</f>
        <v>0</v>
      </c>
      <c r="AK12" s="17">
        <f>'Rolling report'!DD12*'No Action'!$Y$6</f>
        <v>0</v>
      </c>
      <c r="AL12" s="17">
        <f>'Rolling report'!DE12*'No Action'!$Y$6</f>
        <v>0</v>
      </c>
      <c r="AM12" s="17">
        <f>'Rolling report'!DF12*'No Action'!$Y$6</f>
        <v>0</v>
      </c>
      <c r="AN12" s="17">
        <f>'Rolling report'!DG12*'No Action'!$Y$6</f>
        <v>0</v>
      </c>
      <c r="AO12" s="17">
        <f>'Rolling report'!DH12*'No Action'!$Y$6</f>
        <v>0</v>
      </c>
      <c r="AQ12" s="45"/>
    </row>
    <row r="13" spans="1:43" x14ac:dyDescent="0.25">
      <c r="A13" s="4" t="s">
        <v>15</v>
      </c>
      <c r="B13" s="6" t="s">
        <v>16</v>
      </c>
      <c r="I13" s="17">
        <f>'Rolling report'!CB13*'No Action'!$Y$6</f>
        <v>69.959999999999994</v>
      </c>
      <c r="J13" s="17">
        <f>'Rolling report'!CC13*'No Action'!$Y$6</f>
        <v>9.24</v>
      </c>
      <c r="K13" s="17">
        <f>'Rolling report'!CD13*'No Action'!$Y$6</f>
        <v>7.92</v>
      </c>
      <c r="L13" s="17">
        <f>'Rolling report'!CE13*'No Action'!$Y$6</f>
        <v>11.88</v>
      </c>
      <c r="M13" s="17">
        <f>'Rolling report'!CF13*'No Action'!$Y$6</f>
        <v>7.48</v>
      </c>
      <c r="N13" s="17">
        <f>'Rolling report'!CG13*'No Action'!$Y$6</f>
        <v>6.16</v>
      </c>
      <c r="O13" s="17">
        <f>'Rolling report'!CH13*'No Action'!$Y$6</f>
        <v>3.52</v>
      </c>
      <c r="P13" s="17">
        <f>'Rolling report'!CI13*'No Action'!$Y$6</f>
        <v>3.52</v>
      </c>
      <c r="Q13" s="17">
        <f>'Rolling report'!CJ13*'No Action'!$Y$6</f>
        <v>3.08</v>
      </c>
      <c r="R13" s="17">
        <f>'Rolling report'!CK13*'No Action'!$Y$6</f>
        <v>3.96</v>
      </c>
      <c r="S13" s="17">
        <f>'Rolling report'!CL13*'No Action'!$Y$6</f>
        <v>3.96</v>
      </c>
      <c r="T13" s="17">
        <f>'Rolling report'!CM13*'No Action'!$Y$6</f>
        <v>3.52</v>
      </c>
      <c r="U13" s="17">
        <f>'Rolling report'!CN13*'No Action'!$Y$6</f>
        <v>2.2000000000000002</v>
      </c>
      <c r="V13" s="17">
        <f>'Rolling report'!CO13*'No Action'!$Y$6</f>
        <v>4.84</v>
      </c>
      <c r="W13" s="17">
        <f>'Rolling report'!CP13*'No Action'!$Y$6</f>
        <v>3.52</v>
      </c>
      <c r="X13" s="17">
        <f>'Rolling report'!CQ13*'No Action'!$Y$6</f>
        <v>3.52</v>
      </c>
      <c r="Y13" s="17">
        <f>'Rolling report'!CR13*'No Action'!$Y$6</f>
        <v>4.84</v>
      </c>
      <c r="Z13" s="17">
        <f>'Rolling report'!CS13*'No Action'!$Y$6</f>
        <v>1.32</v>
      </c>
      <c r="AA13" s="17">
        <f>'Rolling report'!CT13*'No Action'!$Y$6</f>
        <v>0.44</v>
      </c>
      <c r="AB13" s="17">
        <f>'Rolling report'!CU13*'No Action'!$Y$6</f>
        <v>1.76</v>
      </c>
      <c r="AC13" s="17">
        <f>'Rolling report'!CV13*'No Action'!$Y$6</f>
        <v>3.52</v>
      </c>
      <c r="AD13" s="17">
        <f>'Rolling report'!CW13*'No Action'!$Y$6</f>
        <v>-0.88</v>
      </c>
      <c r="AE13" s="17">
        <f>'Rolling report'!CX13*'No Action'!$Y$6</f>
        <v>2.2000000000000002</v>
      </c>
      <c r="AF13" s="17">
        <f>'Rolling report'!CY13*'No Action'!$Y$6</f>
        <v>-161.47999999999999</v>
      </c>
      <c r="AG13" s="17">
        <f>'Rolling report'!CZ13*'No Action'!$Y$6</f>
        <v>0</v>
      </c>
      <c r="AH13" s="17">
        <f>'Rolling report'!DA13*'No Action'!$Y$6</f>
        <v>0</v>
      </c>
      <c r="AI13" s="17">
        <f>'Rolling report'!DB13*'No Action'!$Y$6</f>
        <v>0</v>
      </c>
      <c r="AJ13" s="17">
        <f>'Rolling report'!DC13*'No Action'!$Y$6</f>
        <v>0</v>
      </c>
      <c r="AK13" s="17">
        <f>'Rolling report'!DD13*'No Action'!$Y$6</f>
        <v>0</v>
      </c>
      <c r="AL13" s="17">
        <f>'Rolling report'!DE13*'No Action'!$Y$6</f>
        <v>0</v>
      </c>
      <c r="AM13" s="17">
        <f>'Rolling report'!DF13*'No Action'!$Y$6</f>
        <v>0</v>
      </c>
      <c r="AN13" s="17">
        <f>'Rolling report'!DG13*'No Action'!$Y$6</f>
        <v>0</v>
      </c>
      <c r="AO13" s="17">
        <f>'Rolling report'!DH13*'No Action'!$Y$6</f>
        <v>0</v>
      </c>
      <c r="AQ13" s="45"/>
    </row>
    <row r="14" spans="1:43" x14ac:dyDescent="0.25">
      <c r="A14" s="4" t="s">
        <v>17</v>
      </c>
      <c r="B14" s="6" t="s">
        <v>18</v>
      </c>
      <c r="I14" s="17">
        <f>'Rolling report'!CB14*'No Action'!$Y$6</f>
        <v>40.479999999999997</v>
      </c>
      <c r="J14" s="17">
        <f>'Rolling report'!CC14*'No Action'!$Y$6</f>
        <v>6.16</v>
      </c>
      <c r="K14" s="17">
        <f>'Rolling report'!CD14*'No Action'!$Y$6</f>
        <v>3.52</v>
      </c>
      <c r="L14" s="17">
        <f>'Rolling report'!CE14*'No Action'!$Y$6</f>
        <v>11.44</v>
      </c>
      <c r="M14" s="17">
        <f>'Rolling report'!CF14*'No Action'!$Y$6</f>
        <v>5.28</v>
      </c>
      <c r="N14" s="17">
        <f>'Rolling report'!CG14*'No Action'!$Y$6</f>
        <v>4.4000000000000004</v>
      </c>
      <c r="O14" s="17">
        <f>'Rolling report'!CH14*'No Action'!$Y$6</f>
        <v>4.4000000000000004</v>
      </c>
      <c r="P14" s="17">
        <f>'Rolling report'!CI14*'No Action'!$Y$6</f>
        <v>2.64</v>
      </c>
      <c r="Q14" s="17">
        <f>'Rolling report'!CJ14*'No Action'!$Y$6</f>
        <v>1.32</v>
      </c>
      <c r="R14" s="17">
        <f>'Rolling report'!CK14*'No Action'!$Y$6</f>
        <v>4.84</v>
      </c>
      <c r="S14" s="17">
        <f>'Rolling report'!CL14*'No Action'!$Y$6</f>
        <v>2.2000000000000002</v>
      </c>
      <c r="T14" s="17">
        <f>'Rolling report'!CM14*'No Action'!$Y$6</f>
        <v>1.32</v>
      </c>
      <c r="U14" s="17">
        <f>'Rolling report'!CN14*'No Action'!$Y$6</f>
        <v>1.76</v>
      </c>
      <c r="V14" s="17">
        <f>'Rolling report'!CO14*'No Action'!$Y$6</f>
        <v>4.4000000000000004</v>
      </c>
      <c r="W14" s="17">
        <f>'Rolling report'!CP14*'No Action'!$Y$6</f>
        <v>0</v>
      </c>
      <c r="X14" s="17">
        <f>'Rolling report'!CQ14*'No Action'!$Y$6</f>
        <v>2.64</v>
      </c>
      <c r="Y14" s="17">
        <f>'Rolling report'!CR14*'No Action'!$Y$6</f>
        <v>1.76</v>
      </c>
      <c r="Z14" s="17">
        <f>'Rolling report'!CS14*'No Action'!$Y$6</f>
        <v>3.96</v>
      </c>
      <c r="AA14" s="17">
        <f>'Rolling report'!CT14*'No Action'!$Y$6</f>
        <v>3.52</v>
      </c>
      <c r="AB14" s="17">
        <f>'Rolling report'!CU14*'No Action'!$Y$6</f>
        <v>0.88</v>
      </c>
      <c r="AC14" s="17">
        <f>'Rolling report'!CV14*'No Action'!$Y$6</f>
        <v>3.52</v>
      </c>
      <c r="AD14" s="17">
        <f>'Rolling report'!CW14*'No Action'!$Y$6</f>
        <v>1.32</v>
      </c>
      <c r="AE14" s="17">
        <f>'Rolling report'!CX14*'No Action'!$Y$6</f>
        <v>0</v>
      </c>
      <c r="AF14" s="17">
        <f>'Rolling report'!CY14*'No Action'!$Y$6</f>
        <v>-111.76</v>
      </c>
      <c r="AG14" s="17">
        <f>'Rolling report'!CZ14*'No Action'!$Y$6</f>
        <v>0</v>
      </c>
      <c r="AH14" s="17">
        <f>'Rolling report'!DA14*'No Action'!$Y$6</f>
        <v>0</v>
      </c>
      <c r="AI14" s="17">
        <f>'Rolling report'!DB14*'No Action'!$Y$6</f>
        <v>0</v>
      </c>
      <c r="AJ14" s="17">
        <f>'Rolling report'!DC14*'No Action'!$Y$6</f>
        <v>0</v>
      </c>
      <c r="AK14" s="17">
        <f>'Rolling report'!DD14*'No Action'!$Y$6</f>
        <v>0</v>
      </c>
      <c r="AL14" s="17">
        <f>'Rolling report'!DE14*'No Action'!$Y$6</f>
        <v>0</v>
      </c>
      <c r="AM14" s="17">
        <f>'Rolling report'!DF14*'No Action'!$Y$6</f>
        <v>0</v>
      </c>
      <c r="AN14" s="17">
        <f>'Rolling report'!DG14*'No Action'!$Y$6</f>
        <v>0</v>
      </c>
      <c r="AO14" s="17">
        <f>'Rolling report'!DH14*'No Action'!$Y$6</f>
        <v>0</v>
      </c>
      <c r="AQ14" s="45"/>
    </row>
    <row r="15" spans="1:43" x14ac:dyDescent="0.25">
      <c r="A15" s="4" t="s">
        <v>19</v>
      </c>
      <c r="B15" s="6" t="s">
        <v>20</v>
      </c>
      <c r="I15" s="17">
        <f>'Rolling report'!CB15*'No Action'!$Y$6</f>
        <v>80.52</v>
      </c>
      <c r="J15" s="17">
        <f>'Rolling report'!CC15*'No Action'!$Y$6</f>
        <v>17.16</v>
      </c>
      <c r="K15" s="17">
        <f>'Rolling report'!CD15*'No Action'!$Y$6</f>
        <v>10.119999999999999</v>
      </c>
      <c r="L15" s="17">
        <f>'Rolling report'!CE15*'No Action'!$Y$6</f>
        <v>19.36</v>
      </c>
      <c r="M15" s="17">
        <f>'Rolling report'!CF15*'No Action'!$Y$6</f>
        <v>10.56</v>
      </c>
      <c r="N15" s="17">
        <f>'Rolling report'!CG15*'No Action'!$Y$6</f>
        <v>12.76</v>
      </c>
      <c r="O15" s="17">
        <f>'Rolling report'!CH15*'No Action'!$Y$6</f>
        <v>23.32</v>
      </c>
      <c r="P15" s="17">
        <f>'Rolling report'!CI15*'No Action'!$Y$6</f>
        <v>6.6</v>
      </c>
      <c r="Q15" s="17">
        <f>'Rolling report'!CJ15*'No Action'!$Y$6</f>
        <v>8.8000000000000007</v>
      </c>
      <c r="R15" s="17">
        <f>'Rolling report'!CK15*'No Action'!$Y$6</f>
        <v>8.8000000000000007</v>
      </c>
      <c r="S15" s="17">
        <f>'Rolling report'!CL15*'No Action'!$Y$6</f>
        <v>2.64</v>
      </c>
      <c r="T15" s="17">
        <f>'Rolling report'!CM15*'No Action'!$Y$6</f>
        <v>11.88</v>
      </c>
      <c r="U15" s="17">
        <f>'Rolling report'!CN15*'No Action'!$Y$6</f>
        <v>4.4000000000000004</v>
      </c>
      <c r="V15" s="17">
        <f>'Rolling report'!CO15*'No Action'!$Y$6</f>
        <v>6.6</v>
      </c>
      <c r="W15" s="17">
        <f>'Rolling report'!CP15*'No Action'!$Y$6</f>
        <v>6.6</v>
      </c>
      <c r="X15" s="17">
        <f>'Rolling report'!CQ15*'No Action'!$Y$6</f>
        <v>7.48</v>
      </c>
      <c r="Y15" s="17">
        <f>'Rolling report'!CR15*'No Action'!$Y$6</f>
        <v>7.04</v>
      </c>
      <c r="Z15" s="17">
        <f>'Rolling report'!CS15*'No Action'!$Y$6</f>
        <v>4.84</v>
      </c>
      <c r="AA15" s="17">
        <f>'Rolling report'!CT15*'No Action'!$Y$6</f>
        <v>8.36</v>
      </c>
      <c r="AB15" s="17">
        <f>'Rolling report'!CU15*'No Action'!$Y$6</f>
        <v>7.92</v>
      </c>
      <c r="AC15" s="17">
        <f>'Rolling report'!CV15*'No Action'!$Y$6</f>
        <v>5.72</v>
      </c>
      <c r="AD15" s="17">
        <f>'Rolling report'!CW15*'No Action'!$Y$6</f>
        <v>4.4000000000000004</v>
      </c>
      <c r="AE15" s="17">
        <f>'Rolling report'!CX15*'No Action'!$Y$6</f>
        <v>6.16</v>
      </c>
      <c r="AF15" s="17">
        <f>'Rolling report'!CY15*'No Action'!$Y$6</f>
        <v>-282.04000000000002</v>
      </c>
      <c r="AG15" s="17">
        <f>'Rolling report'!CZ15*'No Action'!$Y$6</f>
        <v>0</v>
      </c>
      <c r="AH15" s="17">
        <f>'Rolling report'!DA15*'No Action'!$Y$6</f>
        <v>0</v>
      </c>
      <c r="AI15" s="17">
        <f>'Rolling report'!DB15*'No Action'!$Y$6</f>
        <v>0</v>
      </c>
      <c r="AJ15" s="17">
        <f>'Rolling report'!DC15*'No Action'!$Y$6</f>
        <v>0</v>
      </c>
      <c r="AK15" s="17">
        <f>'Rolling report'!DD15*'No Action'!$Y$6</f>
        <v>0</v>
      </c>
      <c r="AL15" s="17">
        <f>'Rolling report'!DE15*'No Action'!$Y$6</f>
        <v>0</v>
      </c>
      <c r="AM15" s="17">
        <f>'Rolling report'!DF15*'No Action'!$Y$6</f>
        <v>0</v>
      </c>
      <c r="AN15" s="17">
        <f>'Rolling report'!DG15*'No Action'!$Y$6</f>
        <v>0</v>
      </c>
      <c r="AO15" s="17">
        <f>'Rolling report'!DH15*'No Action'!$Y$6</f>
        <v>0</v>
      </c>
      <c r="AQ15" s="45"/>
    </row>
    <row r="16" spans="1:43" x14ac:dyDescent="0.25">
      <c r="A16" s="4" t="s">
        <v>21</v>
      </c>
      <c r="B16" s="6" t="s">
        <v>22</v>
      </c>
      <c r="I16" s="17">
        <f>'Rolling report'!CB16*'No Action'!$Y$6</f>
        <v>6.16</v>
      </c>
      <c r="J16" s="17">
        <f>'Rolling report'!CC16*'No Action'!$Y$6</f>
        <v>4.84</v>
      </c>
      <c r="K16" s="17">
        <f>'Rolling report'!CD16*'No Action'!$Y$6</f>
        <v>0</v>
      </c>
      <c r="L16" s="17">
        <f>'Rolling report'!CE16*'No Action'!$Y$6</f>
        <v>0.88</v>
      </c>
      <c r="M16" s="17">
        <f>'Rolling report'!CF16*'No Action'!$Y$6</f>
        <v>1.32</v>
      </c>
      <c r="N16" s="17">
        <f>'Rolling report'!CG16*'No Action'!$Y$6</f>
        <v>0</v>
      </c>
      <c r="O16" s="17">
        <f>'Rolling report'!CH16*'No Action'!$Y$6</f>
        <v>4.4000000000000004</v>
      </c>
      <c r="P16" s="17">
        <f>'Rolling report'!CI16*'No Action'!$Y$6</f>
        <v>0</v>
      </c>
      <c r="Q16" s="17">
        <f>'Rolling report'!CJ16*'No Action'!$Y$6</f>
        <v>0</v>
      </c>
      <c r="R16" s="17">
        <f>'Rolling report'!CK16*'No Action'!$Y$6</f>
        <v>0</v>
      </c>
      <c r="S16" s="17">
        <f>'Rolling report'!CL16*'No Action'!$Y$6</f>
        <v>2.2000000000000002</v>
      </c>
      <c r="T16" s="17">
        <f>'Rolling report'!CM16*'No Action'!$Y$6</f>
        <v>-3.52</v>
      </c>
      <c r="U16" s="17">
        <f>'Rolling report'!CN16*'No Action'!$Y$6</f>
        <v>3.52</v>
      </c>
      <c r="V16" s="17">
        <f>'Rolling report'!CO16*'No Action'!$Y$6</f>
        <v>0</v>
      </c>
      <c r="W16" s="17">
        <f>'Rolling report'!CP16*'No Action'!$Y$6</f>
        <v>0</v>
      </c>
      <c r="X16" s="17">
        <f>'Rolling report'!CQ16*'No Action'!$Y$6</f>
        <v>0</v>
      </c>
      <c r="Y16" s="17">
        <f>'Rolling report'!CR16*'No Action'!$Y$6</f>
        <v>0</v>
      </c>
      <c r="Z16" s="17">
        <f>'Rolling report'!CS16*'No Action'!$Y$6</f>
        <v>0</v>
      </c>
      <c r="AA16" s="17">
        <f>'Rolling report'!CT16*'No Action'!$Y$6</f>
        <v>2.2000000000000002</v>
      </c>
      <c r="AB16" s="17">
        <f>'Rolling report'!CU16*'No Action'!$Y$6</f>
        <v>0</v>
      </c>
      <c r="AC16" s="17">
        <f>'Rolling report'!CV16*'No Action'!$Y$6</f>
        <v>2.2000000000000002</v>
      </c>
      <c r="AD16" s="17">
        <f>'Rolling report'!CW16*'No Action'!$Y$6</f>
        <v>-2.2000000000000002</v>
      </c>
      <c r="AE16" s="17">
        <f>'Rolling report'!CX16*'No Action'!$Y$6</f>
        <v>0.88</v>
      </c>
      <c r="AF16" s="17">
        <f>'Rolling report'!CY16*'No Action'!$Y$6</f>
        <v>-22.88</v>
      </c>
      <c r="AG16" s="17">
        <f>'Rolling report'!CZ16*'No Action'!$Y$6</f>
        <v>0</v>
      </c>
      <c r="AH16" s="17">
        <f>'Rolling report'!DA16*'No Action'!$Y$6</f>
        <v>0</v>
      </c>
      <c r="AI16" s="17">
        <f>'Rolling report'!DB16*'No Action'!$Y$6</f>
        <v>0</v>
      </c>
      <c r="AJ16" s="17">
        <f>'Rolling report'!DC16*'No Action'!$Y$6</f>
        <v>0</v>
      </c>
      <c r="AK16" s="17">
        <f>'Rolling report'!DD16*'No Action'!$Y$6</f>
        <v>0</v>
      </c>
      <c r="AL16" s="17">
        <f>'Rolling report'!DE16*'No Action'!$Y$6</f>
        <v>0</v>
      </c>
      <c r="AM16" s="17">
        <f>'Rolling report'!DF16*'No Action'!$Y$6</f>
        <v>0</v>
      </c>
      <c r="AN16" s="17">
        <f>'Rolling report'!DG16*'No Action'!$Y$6</f>
        <v>0</v>
      </c>
      <c r="AO16" s="17">
        <f>'Rolling report'!DH16*'No Action'!$Y$6</f>
        <v>0</v>
      </c>
      <c r="AQ16" s="45"/>
    </row>
    <row r="17" spans="1:43" x14ac:dyDescent="0.25">
      <c r="A17" s="4" t="s">
        <v>23</v>
      </c>
      <c r="B17" s="6" t="s">
        <v>24</v>
      </c>
      <c r="I17" s="17">
        <f>'Rolling report'!CB17*'No Action'!$Y$6</f>
        <v>17.16</v>
      </c>
      <c r="J17" s="17">
        <f>'Rolling report'!CC17*'No Action'!$Y$6</f>
        <v>0.88</v>
      </c>
      <c r="K17" s="17">
        <f>'Rolling report'!CD17*'No Action'!$Y$6</f>
        <v>2.2000000000000002</v>
      </c>
      <c r="L17" s="17">
        <f>'Rolling report'!CE17*'No Action'!$Y$6</f>
        <v>1.76</v>
      </c>
      <c r="M17" s="17">
        <f>'Rolling report'!CF17*'No Action'!$Y$6</f>
        <v>0.88</v>
      </c>
      <c r="N17" s="17">
        <f>'Rolling report'!CG17*'No Action'!$Y$6</f>
        <v>0.44</v>
      </c>
      <c r="O17" s="17">
        <f>'Rolling report'!CH17*'No Action'!$Y$6</f>
        <v>2.64</v>
      </c>
      <c r="P17" s="17">
        <f>'Rolling report'!CI17*'No Action'!$Y$6</f>
        <v>0.88</v>
      </c>
      <c r="Q17" s="17">
        <f>'Rolling report'!CJ17*'No Action'!$Y$6</f>
        <v>0</v>
      </c>
      <c r="R17" s="17">
        <f>'Rolling report'!CK17*'No Action'!$Y$6</f>
        <v>0</v>
      </c>
      <c r="S17" s="17">
        <f>'Rolling report'!CL17*'No Action'!$Y$6</f>
        <v>0.44</v>
      </c>
      <c r="T17" s="17">
        <f>'Rolling report'!CM17*'No Action'!$Y$6</f>
        <v>2.2000000000000002</v>
      </c>
      <c r="U17" s="17">
        <f>'Rolling report'!CN17*'No Action'!$Y$6</f>
        <v>2.2000000000000002</v>
      </c>
      <c r="V17" s="17">
        <f>'Rolling report'!CO17*'No Action'!$Y$6</f>
        <v>0</v>
      </c>
      <c r="W17" s="17">
        <f>'Rolling report'!CP17*'No Action'!$Y$6</f>
        <v>0.44</v>
      </c>
      <c r="X17" s="17">
        <f>'Rolling report'!CQ17*'No Action'!$Y$6</f>
        <v>0</v>
      </c>
      <c r="Y17" s="17">
        <f>'Rolling report'!CR17*'No Action'!$Y$6</f>
        <v>0.44</v>
      </c>
      <c r="Z17" s="17">
        <f>'Rolling report'!CS17*'No Action'!$Y$6</f>
        <v>0</v>
      </c>
      <c r="AA17" s="17">
        <f>'Rolling report'!CT17*'No Action'!$Y$6</f>
        <v>0</v>
      </c>
      <c r="AB17" s="17">
        <f>'Rolling report'!CU17*'No Action'!$Y$6</f>
        <v>0.88</v>
      </c>
      <c r="AC17" s="17">
        <f>'Rolling report'!CV17*'No Action'!$Y$6</f>
        <v>2.2000000000000002</v>
      </c>
      <c r="AD17" s="17">
        <f>'Rolling report'!CW17*'No Action'!$Y$6</f>
        <v>-2.2000000000000002</v>
      </c>
      <c r="AE17" s="17">
        <f>'Rolling report'!CX17*'No Action'!$Y$6</f>
        <v>0.88</v>
      </c>
      <c r="AF17" s="17">
        <f>'Rolling report'!CY17*'No Action'!$Y$6</f>
        <v>-34.32</v>
      </c>
      <c r="AG17" s="17">
        <f>'Rolling report'!CZ17*'No Action'!$Y$6</f>
        <v>0</v>
      </c>
      <c r="AH17" s="17">
        <f>'Rolling report'!DA17*'No Action'!$Y$6</f>
        <v>0</v>
      </c>
      <c r="AI17" s="17">
        <f>'Rolling report'!DB17*'No Action'!$Y$6</f>
        <v>0</v>
      </c>
      <c r="AJ17" s="17">
        <f>'Rolling report'!DC17*'No Action'!$Y$6</f>
        <v>0</v>
      </c>
      <c r="AK17" s="17">
        <f>'Rolling report'!DD17*'No Action'!$Y$6</f>
        <v>0</v>
      </c>
      <c r="AL17" s="17">
        <f>'Rolling report'!DE17*'No Action'!$Y$6</f>
        <v>0</v>
      </c>
      <c r="AM17" s="17">
        <f>'Rolling report'!DF17*'No Action'!$Y$6</f>
        <v>0</v>
      </c>
      <c r="AN17" s="17">
        <f>'Rolling report'!DG17*'No Action'!$Y$6</f>
        <v>0</v>
      </c>
      <c r="AO17" s="17">
        <f>'Rolling report'!DH17*'No Action'!$Y$6</f>
        <v>0</v>
      </c>
      <c r="AQ17" s="45"/>
    </row>
    <row r="18" spans="1:43" x14ac:dyDescent="0.25">
      <c r="A18" s="4" t="s">
        <v>25</v>
      </c>
      <c r="B18" s="6" t="s">
        <v>26</v>
      </c>
      <c r="I18" s="17">
        <f>'Rolling report'!CB18*'No Action'!$Y$6</f>
        <v>16.72</v>
      </c>
      <c r="J18" s="17">
        <f>'Rolling report'!CC18*'No Action'!$Y$6</f>
        <v>2.2000000000000002</v>
      </c>
      <c r="K18" s="17">
        <f>'Rolling report'!CD18*'No Action'!$Y$6</f>
        <v>1.76</v>
      </c>
      <c r="L18" s="17">
        <f>'Rolling report'!CE18*'No Action'!$Y$6</f>
        <v>3.52</v>
      </c>
      <c r="M18" s="17">
        <f>'Rolling report'!CF18*'No Action'!$Y$6</f>
        <v>0.88</v>
      </c>
      <c r="N18" s="17">
        <f>'Rolling report'!CG18*'No Action'!$Y$6</f>
        <v>1.32</v>
      </c>
      <c r="O18" s="17">
        <f>'Rolling report'!CH18*'No Action'!$Y$6</f>
        <v>2.64</v>
      </c>
      <c r="P18" s="17">
        <f>'Rolling report'!CI18*'No Action'!$Y$6</f>
        <v>3.08</v>
      </c>
      <c r="Q18" s="17">
        <f>'Rolling report'!CJ18*'No Action'!$Y$6</f>
        <v>7.48</v>
      </c>
      <c r="R18" s="17">
        <f>'Rolling report'!CK18*'No Action'!$Y$6</f>
        <v>3.52</v>
      </c>
      <c r="S18" s="17">
        <f>'Rolling report'!CL18*'No Action'!$Y$6</f>
        <v>0.44</v>
      </c>
      <c r="T18" s="17">
        <f>'Rolling report'!CM18*'No Action'!$Y$6</f>
        <v>5.72</v>
      </c>
      <c r="U18" s="17">
        <f>'Rolling report'!CN18*'No Action'!$Y$6</f>
        <v>1.32</v>
      </c>
      <c r="V18" s="17">
        <f>'Rolling report'!CO18*'No Action'!$Y$6</f>
        <v>0</v>
      </c>
      <c r="W18" s="17">
        <f>'Rolling report'!CP18*'No Action'!$Y$6</f>
        <v>1.76</v>
      </c>
      <c r="X18" s="17">
        <f>'Rolling report'!CQ18*'No Action'!$Y$6</f>
        <v>0</v>
      </c>
      <c r="Y18" s="17">
        <f>'Rolling report'!CR18*'No Action'!$Y$6</f>
        <v>0.44</v>
      </c>
      <c r="Z18" s="17">
        <f>'Rolling report'!CS18*'No Action'!$Y$6</f>
        <v>2.2000000000000002</v>
      </c>
      <c r="AA18" s="17">
        <f>'Rolling report'!CT18*'No Action'!$Y$6</f>
        <v>0</v>
      </c>
      <c r="AB18" s="17">
        <f>'Rolling report'!CU18*'No Action'!$Y$6</f>
        <v>0</v>
      </c>
      <c r="AC18" s="17">
        <f>'Rolling report'!CV18*'No Action'!$Y$6</f>
        <v>1.32</v>
      </c>
      <c r="AD18" s="17">
        <f>'Rolling report'!CW18*'No Action'!$Y$6</f>
        <v>0</v>
      </c>
      <c r="AE18" s="17">
        <f>'Rolling report'!CX18*'No Action'!$Y$6</f>
        <v>0.88</v>
      </c>
      <c r="AF18" s="17">
        <f>'Rolling report'!CY18*'No Action'!$Y$6</f>
        <v>-57.2</v>
      </c>
      <c r="AG18" s="17">
        <f>'Rolling report'!CZ18*'No Action'!$Y$6</f>
        <v>0</v>
      </c>
      <c r="AH18" s="17">
        <f>'Rolling report'!DA18*'No Action'!$Y$6</f>
        <v>0</v>
      </c>
      <c r="AI18" s="17">
        <f>'Rolling report'!DB18*'No Action'!$Y$6</f>
        <v>0</v>
      </c>
      <c r="AJ18" s="17">
        <f>'Rolling report'!DC18*'No Action'!$Y$6</f>
        <v>0</v>
      </c>
      <c r="AK18" s="17">
        <f>'Rolling report'!DD18*'No Action'!$Y$6</f>
        <v>0</v>
      </c>
      <c r="AL18" s="17">
        <f>'Rolling report'!DE18*'No Action'!$Y$6</f>
        <v>0</v>
      </c>
      <c r="AM18" s="17">
        <f>'Rolling report'!DF18*'No Action'!$Y$6</f>
        <v>0</v>
      </c>
      <c r="AN18" s="17">
        <f>'Rolling report'!DG18*'No Action'!$Y$6</f>
        <v>0</v>
      </c>
      <c r="AO18" s="17">
        <f>'Rolling report'!DH18*'No Action'!$Y$6</f>
        <v>0</v>
      </c>
      <c r="AQ18" s="45"/>
    </row>
    <row r="19" spans="1:43" x14ac:dyDescent="0.25">
      <c r="A19" s="4" t="s">
        <v>27</v>
      </c>
      <c r="B19" s="6" t="s">
        <v>28</v>
      </c>
      <c r="I19" s="17">
        <f>'Rolling report'!CB19*'No Action'!$Y$6</f>
        <v>88.44</v>
      </c>
      <c r="J19" s="17">
        <f>'Rolling report'!CC19*'No Action'!$Y$6</f>
        <v>10.119999999999999</v>
      </c>
      <c r="K19" s="17">
        <f>'Rolling report'!CD19*'No Action'!$Y$6</f>
        <v>10.119999999999999</v>
      </c>
      <c r="L19" s="17">
        <f>'Rolling report'!CE19*'No Action'!$Y$6</f>
        <v>10.119999999999999</v>
      </c>
      <c r="M19" s="17">
        <f>'Rolling report'!CF19*'No Action'!$Y$6</f>
        <v>6.16</v>
      </c>
      <c r="N19" s="17">
        <f>'Rolling report'!CG19*'No Action'!$Y$6</f>
        <v>9.68</v>
      </c>
      <c r="O19" s="17">
        <f>'Rolling report'!CH19*'No Action'!$Y$6</f>
        <v>11.88</v>
      </c>
      <c r="P19" s="17">
        <f>'Rolling report'!CI19*'No Action'!$Y$6</f>
        <v>8.8000000000000007</v>
      </c>
      <c r="Q19" s="17">
        <f>'Rolling report'!CJ19*'No Action'!$Y$6</f>
        <v>7.48</v>
      </c>
      <c r="R19" s="17">
        <f>'Rolling report'!CK19*'No Action'!$Y$6</f>
        <v>7.48</v>
      </c>
      <c r="S19" s="17">
        <f>'Rolling report'!CL19*'No Action'!$Y$6</f>
        <v>3.08</v>
      </c>
      <c r="T19" s="17">
        <f>'Rolling report'!CM19*'No Action'!$Y$6</f>
        <v>8.8000000000000007</v>
      </c>
      <c r="U19" s="17">
        <f>'Rolling report'!CN19*'No Action'!$Y$6</f>
        <v>2.2000000000000002</v>
      </c>
      <c r="V19" s="17">
        <f>'Rolling report'!CO19*'No Action'!$Y$6</f>
        <v>3.52</v>
      </c>
      <c r="W19" s="17">
        <f>'Rolling report'!CP19*'No Action'!$Y$6</f>
        <v>3.96</v>
      </c>
      <c r="X19" s="17">
        <f>'Rolling report'!CQ19*'No Action'!$Y$6</f>
        <v>2.2000000000000002</v>
      </c>
      <c r="Y19" s="17">
        <f>'Rolling report'!CR19*'No Action'!$Y$6</f>
        <v>3.52</v>
      </c>
      <c r="Z19" s="17">
        <f>'Rolling report'!CS19*'No Action'!$Y$6</f>
        <v>1.32</v>
      </c>
      <c r="AA19" s="17">
        <f>'Rolling report'!CT19*'No Action'!$Y$6</f>
        <v>4.4000000000000004</v>
      </c>
      <c r="AB19" s="17">
        <f>'Rolling report'!CU19*'No Action'!$Y$6</f>
        <v>2.64</v>
      </c>
      <c r="AC19" s="17">
        <f>'Rolling report'!CV19*'No Action'!$Y$6</f>
        <v>7.48</v>
      </c>
      <c r="AD19" s="17">
        <f>'Rolling report'!CW19*'No Action'!$Y$6</f>
        <v>0.88</v>
      </c>
      <c r="AE19" s="17">
        <f>'Rolling report'!CX19*'No Action'!$Y$6</f>
        <v>3.08</v>
      </c>
      <c r="AF19" s="17">
        <f>'Rolling report'!CY19*'No Action'!$Y$6</f>
        <v>-217.36</v>
      </c>
      <c r="AG19" s="17">
        <f>'Rolling report'!CZ19*'No Action'!$Y$6</f>
        <v>0</v>
      </c>
      <c r="AH19" s="17">
        <f>'Rolling report'!DA19*'No Action'!$Y$6</f>
        <v>0</v>
      </c>
      <c r="AI19" s="17">
        <f>'Rolling report'!DB19*'No Action'!$Y$6</f>
        <v>0</v>
      </c>
      <c r="AJ19" s="17">
        <f>'Rolling report'!DC19*'No Action'!$Y$6</f>
        <v>0</v>
      </c>
      <c r="AK19" s="17">
        <f>'Rolling report'!DD19*'No Action'!$Y$6</f>
        <v>0</v>
      </c>
      <c r="AL19" s="17">
        <f>'Rolling report'!DE19*'No Action'!$Y$6</f>
        <v>0</v>
      </c>
      <c r="AM19" s="17">
        <f>'Rolling report'!DF19*'No Action'!$Y$6</f>
        <v>0</v>
      </c>
      <c r="AN19" s="17">
        <f>'Rolling report'!DG19*'No Action'!$Y$6</f>
        <v>0</v>
      </c>
      <c r="AO19" s="17">
        <f>'Rolling report'!DH19*'No Action'!$Y$6</f>
        <v>0</v>
      </c>
      <c r="AQ19" s="45"/>
    </row>
    <row r="20" spans="1:43" x14ac:dyDescent="0.25">
      <c r="A20" s="4" t="s">
        <v>29</v>
      </c>
      <c r="B20" s="6" t="s">
        <v>30</v>
      </c>
      <c r="I20" s="17">
        <f>'Rolling report'!CB20*'No Action'!$Y$6</f>
        <v>16.72</v>
      </c>
      <c r="J20" s="17">
        <f>'Rolling report'!CC20*'No Action'!$Y$6</f>
        <v>8.8000000000000007</v>
      </c>
      <c r="K20" s="17">
        <f>'Rolling report'!CD20*'No Action'!$Y$6</f>
        <v>1.76</v>
      </c>
      <c r="L20" s="17">
        <f>'Rolling report'!CE20*'No Action'!$Y$6</f>
        <v>3.52</v>
      </c>
      <c r="M20" s="17">
        <f>'Rolling report'!CF20*'No Action'!$Y$6</f>
        <v>1.32</v>
      </c>
      <c r="N20" s="17">
        <f>'Rolling report'!CG20*'No Action'!$Y$6</f>
        <v>2.64</v>
      </c>
      <c r="O20" s="17">
        <f>'Rolling report'!CH20*'No Action'!$Y$6</f>
        <v>1.76</v>
      </c>
      <c r="P20" s="17">
        <f>'Rolling report'!CI20*'No Action'!$Y$6</f>
        <v>3.08</v>
      </c>
      <c r="Q20" s="17">
        <f>'Rolling report'!CJ20*'No Action'!$Y$6</f>
        <v>3.08</v>
      </c>
      <c r="R20" s="17">
        <f>'Rolling report'!CK20*'No Action'!$Y$6</f>
        <v>1.76</v>
      </c>
      <c r="S20" s="17">
        <f>'Rolling report'!CL20*'No Action'!$Y$6</f>
        <v>3.96</v>
      </c>
      <c r="T20" s="17">
        <f>'Rolling report'!CM20*'No Action'!$Y$6</f>
        <v>3.52</v>
      </c>
      <c r="U20" s="17">
        <f>'Rolling report'!CN20*'No Action'!$Y$6</f>
        <v>3.08</v>
      </c>
      <c r="V20" s="17">
        <f>'Rolling report'!CO20*'No Action'!$Y$6</f>
        <v>1.76</v>
      </c>
      <c r="W20" s="17">
        <f>'Rolling report'!CP20*'No Action'!$Y$6</f>
        <v>0.88</v>
      </c>
      <c r="X20" s="17">
        <f>'Rolling report'!CQ20*'No Action'!$Y$6</f>
        <v>2.2000000000000002</v>
      </c>
      <c r="Y20" s="17">
        <f>'Rolling report'!CR20*'No Action'!$Y$6</f>
        <v>1.76</v>
      </c>
      <c r="Z20" s="17">
        <f>'Rolling report'!CS20*'No Action'!$Y$6</f>
        <v>0</v>
      </c>
      <c r="AA20" s="17">
        <f>'Rolling report'!CT20*'No Action'!$Y$6</f>
        <v>0.88</v>
      </c>
      <c r="AB20" s="17">
        <f>'Rolling report'!CU20*'No Action'!$Y$6</f>
        <v>0</v>
      </c>
      <c r="AC20" s="17">
        <f>'Rolling report'!CV20*'No Action'!$Y$6</f>
        <v>4.84</v>
      </c>
      <c r="AD20" s="17">
        <f>'Rolling report'!CW20*'No Action'!$Y$6</f>
        <v>-0.88</v>
      </c>
      <c r="AE20" s="17">
        <f>'Rolling report'!CX20*'No Action'!$Y$6</f>
        <v>1.32</v>
      </c>
      <c r="AF20" s="17">
        <f>'Rolling report'!CY20*'No Action'!$Y$6</f>
        <v>-67.760000000000005</v>
      </c>
      <c r="AG20" s="17">
        <f>'Rolling report'!CZ20*'No Action'!$Y$6</f>
        <v>0</v>
      </c>
      <c r="AH20" s="17">
        <f>'Rolling report'!DA20*'No Action'!$Y$6</f>
        <v>0</v>
      </c>
      <c r="AI20" s="17">
        <f>'Rolling report'!DB20*'No Action'!$Y$6</f>
        <v>0</v>
      </c>
      <c r="AJ20" s="17">
        <f>'Rolling report'!DC20*'No Action'!$Y$6</f>
        <v>0</v>
      </c>
      <c r="AK20" s="17">
        <f>'Rolling report'!DD20*'No Action'!$Y$6</f>
        <v>0</v>
      </c>
      <c r="AL20" s="17">
        <f>'Rolling report'!DE20*'No Action'!$Y$6</f>
        <v>0</v>
      </c>
      <c r="AM20" s="17">
        <f>'Rolling report'!DF20*'No Action'!$Y$6</f>
        <v>0</v>
      </c>
      <c r="AN20" s="17">
        <f>'Rolling report'!DG20*'No Action'!$Y$6</f>
        <v>0</v>
      </c>
      <c r="AO20" s="17">
        <f>'Rolling report'!DH20*'No Action'!$Y$6</f>
        <v>0</v>
      </c>
      <c r="AQ20" s="45"/>
    </row>
    <row r="21" spans="1:43" x14ac:dyDescent="0.25">
      <c r="A21" s="4" t="s">
        <v>31</v>
      </c>
      <c r="B21" s="6" t="s">
        <v>32</v>
      </c>
      <c r="I21" s="17">
        <f>'Rolling report'!CB21*'No Action'!$Y$6</f>
        <v>42.68</v>
      </c>
      <c r="J21" s="17">
        <f>'Rolling report'!CC21*'No Action'!$Y$6</f>
        <v>9.24</v>
      </c>
      <c r="K21" s="17">
        <f>'Rolling report'!CD21*'No Action'!$Y$6</f>
        <v>4.84</v>
      </c>
      <c r="L21" s="17">
        <f>'Rolling report'!CE21*'No Action'!$Y$6</f>
        <v>5.72</v>
      </c>
      <c r="M21" s="17">
        <f>'Rolling report'!CF21*'No Action'!$Y$6</f>
        <v>11.44</v>
      </c>
      <c r="N21" s="17">
        <f>'Rolling report'!CG21*'No Action'!$Y$6</f>
        <v>7.92</v>
      </c>
      <c r="O21" s="17">
        <f>'Rolling report'!CH21*'No Action'!$Y$6</f>
        <v>8.8000000000000007</v>
      </c>
      <c r="P21" s="17">
        <f>'Rolling report'!CI21*'No Action'!$Y$6</f>
        <v>11</v>
      </c>
      <c r="Q21" s="17">
        <f>'Rolling report'!CJ21*'No Action'!$Y$6</f>
        <v>5.28</v>
      </c>
      <c r="R21" s="17">
        <f>'Rolling report'!CK21*'No Action'!$Y$6</f>
        <v>2.64</v>
      </c>
      <c r="S21" s="17">
        <f>'Rolling report'!CL21*'No Action'!$Y$6</f>
        <v>0.44</v>
      </c>
      <c r="T21" s="17">
        <f>'Rolling report'!CM21*'No Action'!$Y$6</f>
        <v>3.52</v>
      </c>
      <c r="U21" s="17">
        <f>'Rolling report'!CN21*'No Action'!$Y$6</f>
        <v>5.72</v>
      </c>
      <c r="V21" s="17">
        <f>'Rolling report'!CO21*'No Action'!$Y$6</f>
        <v>2.2000000000000002</v>
      </c>
      <c r="W21" s="17">
        <f>'Rolling report'!CP21*'No Action'!$Y$6</f>
        <v>2.2000000000000002</v>
      </c>
      <c r="X21" s="17">
        <f>'Rolling report'!CQ21*'No Action'!$Y$6</f>
        <v>4.4000000000000004</v>
      </c>
      <c r="Y21" s="17">
        <f>'Rolling report'!CR21*'No Action'!$Y$6</f>
        <v>0.88</v>
      </c>
      <c r="Z21" s="17">
        <f>'Rolling report'!CS21*'No Action'!$Y$6</f>
        <v>3.08</v>
      </c>
      <c r="AA21" s="17">
        <f>'Rolling report'!CT21*'No Action'!$Y$6</f>
        <v>3.96</v>
      </c>
      <c r="AB21" s="17">
        <f>'Rolling report'!CU21*'No Action'!$Y$6</f>
        <v>4.4000000000000004</v>
      </c>
      <c r="AC21" s="17">
        <f>'Rolling report'!CV21*'No Action'!$Y$6</f>
        <v>7.92</v>
      </c>
      <c r="AD21" s="17">
        <f>'Rolling report'!CW21*'No Action'!$Y$6</f>
        <v>0.88</v>
      </c>
      <c r="AE21" s="17">
        <f>'Rolling report'!CX21*'No Action'!$Y$6</f>
        <v>2.2000000000000002</v>
      </c>
      <c r="AF21" s="17">
        <f>'Rolling report'!CY21*'No Action'!$Y$6</f>
        <v>-151.36000000000001</v>
      </c>
      <c r="AG21" s="17">
        <f>'Rolling report'!CZ21*'No Action'!$Y$6</f>
        <v>0</v>
      </c>
      <c r="AH21" s="17">
        <f>'Rolling report'!DA21*'No Action'!$Y$6</f>
        <v>0</v>
      </c>
      <c r="AI21" s="17">
        <f>'Rolling report'!DB21*'No Action'!$Y$6</f>
        <v>0</v>
      </c>
      <c r="AJ21" s="17">
        <f>'Rolling report'!DC21*'No Action'!$Y$6</f>
        <v>0</v>
      </c>
      <c r="AK21" s="17">
        <f>'Rolling report'!DD21*'No Action'!$Y$6</f>
        <v>0</v>
      </c>
      <c r="AL21" s="17">
        <f>'Rolling report'!DE21*'No Action'!$Y$6</f>
        <v>0</v>
      </c>
      <c r="AM21" s="17">
        <f>'Rolling report'!DF21*'No Action'!$Y$6</f>
        <v>0</v>
      </c>
      <c r="AN21" s="17">
        <f>'Rolling report'!DG21*'No Action'!$Y$6</f>
        <v>0</v>
      </c>
      <c r="AO21" s="17">
        <f>'Rolling report'!DH21*'No Action'!$Y$6</f>
        <v>0</v>
      </c>
      <c r="AQ21" s="45"/>
    </row>
    <row r="22" spans="1:43" x14ac:dyDescent="0.25">
      <c r="A22" s="4" t="s">
        <v>33</v>
      </c>
      <c r="B22" s="6" t="s">
        <v>34</v>
      </c>
      <c r="I22" s="17">
        <f>'Rolling report'!CB22*'No Action'!$Y$6</f>
        <v>44.88</v>
      </c>
      <c r="J22" s="17">
        <f>'Rolling report'!CC22*'No Action'!$Y$6</f>
        <v>3.52</v>
      </c>
      <c r="K22" s="17">
        <f>'Rolling report'!CD22*'No Action'!$Y$6</f>
        <v>3.96</v>
      </c>
      <c r="L22" s="17">
        <f>'Rolling report'!CE22*'No Action'!$Y$6</f>
        <v>6.16</v>
      </c>
      <c r="M22" s="17">
        <f>'Rolling report'!CF22*'No Action'!$Y$6</f>
        <v>5.72</v>
      </c>
      <c r="N22" s="17">
        <f>'Rolling report'!CG22*'No Action'!$Y$6</f>
        <v>5.28</v>
      </c>
      <c r="O22" s="17">
        <f>'Rolling report'!CH22*'No Action'!$Y$6</f>
        <v>6.16</v>
      </c>
      <c r="P22" s="17">
        <f>'Rolling report'!CI22*'No Action'!$Y$6</f>
        <v>2.2000000000000002</v>
      </c>
      <c r="Q22" s="17">
        <f>'Rolling report'!CJ22*'No Action'!$Y$6</f>
        <v>4.84</v>
      </c>
      <c r="R22" s="17">
        <f>'Rolling report'!CK22*'No Action'!$Y$6</f>
        <v>2.2000000000000002</v>
      </c>
      <c r="S22" s="17">
        <f>'Rolling report'!CL22*'No Action'!$Y$6</f>
        <v>2.64</v>
      </c>
      <c r="T22" s="17">
        <f>'Rolling report'!CM22*'No Action'!$Y$6</f>
        <v>4.84</v>
      </c>
      <c r="U22" s="17">
        <f>'Rolling report'!CN22*'No Action'!$Y$6</f>
        <v>2.64</v>
      </c>
      <c r="V22" s="17">
        <f>'Rolling report'!CO22*'No Action'!$Y$6</f>
        <v>1.32</v>
      </c>
      <c r="W22" s="17">
        <f>'Rolling report'!CP22*'No Action'!$Y$6</f>
        <v>5.28</v>
      </c>
      <c r="X22" s="17">
        <f>'Rolling report'!CQ22*'No Action'!$Y$6</f>
        <v>3.96</v>
      </c>
      <c r="Y22" s="17">
        <f>'Rolling report'!CR22*'No Action'!$Y$6</f>
        <v>3.52</v>
      </c>
      <c r="Z22" s="17">
        <f>'Rolling report'!CS22*'No Action'!$Y$6</f>
        <v>0.44</v>
      </c>
      <c r="AA22" s="17">
        <f>'Rolling report'!CT22*'No Action'!$Y$6</f>
        <v>8.36</v>
      </c>
      <c r="AB22" s="17">
        <f>'Rolling report'!CU22*'No Action'!$Y$6</f>
        <v>6.16</v>
      </c>
      <c r="AC22" s="17">
        <f>'Rolling report'!CV22*'No Action'!$Y$6</f>
        <v>11</v>
      </c>
      <c r="AD22" s="17">
        <f>'Rolling report'!CW22*'No Action'!$Y$6</f>
        <v>-0.44</v>
      </c>
      <c r="AE22" s="17">
        <f>'Rolling report'!CX22*'No Action'!$Y$6</f>
        <v>2.64</v>
      </c>
      <c r="AF22" s="17">
        <f>'Rolling report'!CY22*'No Action'!$Y$6</f>
        <v>-137.28</v>
      </c>
      <c r="AG22" s="17">
        <f>'Rolling report'!CZ22*'No Action'!$Y$6</f>
        <v>0</v>
      </c>
      <c r="AH22" s="17">
        <f>'Rolling report'!DA22*'No Action'!$Y$6</f>
        <v>0</v>
      </c>
      <c r="AI22" s="17">
        <f>'Rolling report'!DB22*'No Action'!$Y$6</f>
        <v>0</v>
      </c>
      <c r="AJ22" s="17">
        <f>'Rolling report'!DC22*'No Action'!$Y$6</f>
        <v>0</v>
      </c>
      <c r="AK22" s="17">
        <f>'Rolling report'!DD22*'No Action'!$Y$6</f>
        <v>0</v>
      </c>
      <c r="AL22" s="17">
        <f>'Rolling report'!DE22*'No Action'!$Y$6</f>
        <v>0</v>
      </c>
      <c r="AM22" s="17">
        <f>'Rolling report'!DF22*'No Action'!$Y$6</f>
        <v>0</v>
      </c>
      <c r="AN22" s="17">
        <f>'Rolling report'!DG22*'No Action'!$Y$6</f>
        <v>0</v>
      </c>
      <c r="AO22" s="17">
        <f>'Rolling report'!DH22*'No Action'!$Y$6</f>
        <v>0</v>
      </c>
      <c r="AQ22" s="45"/>
    </row>
    <row r="23" spans="1:43" x14ac:dyDescent="0.25">
      <c r="A23" s="4" t="s">
        <v>35</v>
      </c>
      <c r="B23" s="6" t="s">
        <v>36</v>
      </c>
      <c r="I23" s="17">
        <f>'Rolling report'!CB23*'No Action'!$Y$6</f>
        <v>86.24</v>
      </c>
      <c r="J23" s="17">
        <f>'Rolling report'!CC23*'No Action'!$Y$6</f>
        <v>13.64</v>
      </c>
      <c r="K23" s="17">
        <f>'Rolling report'!CD23*'No Action'!$Y$6</f>
        <v>9.24</v>
      </c>
      <c r="L23" s="17">
        <f>'Rolling report'!CE23*'No Action'!$Y$6</f>
        <v>11</v>
      </c>
      <c r="M23" s="17">
        <f>'Rolling report'!CF23*'No Action'!$Y$6</f>
        <v>7.92</v>
      </c>
      <c r="N23" s="17">
        <f>'Rolling report'!CG23*'No Action'!$Y$6</f>
        <v>7.04</v>
      </c>
      <c r="O23" s="17">
        <f>'Rolling report'!CH23*'No Action'!$Y$6</f>
        <v>15.84</v>
      </c>
      <c r="P23" s="17">
        <f>'Rolling report'!CI23*'No Action'!$Y$6</f>
        <v>3.08</v>
      </c>
      <c r="Q23" s="17">
        <f>'Rolling report'!CJ23*'No Action'!$Y$6</f>
        <v>4.4000000000000004</v>
      </c>
      <c r="R23" s="17">
        <f>'Rolling report'!CK23*'No Action'!$Y$6</f>
        <v>4.4000000000000004</v>
      </c>
      <c r="S23" s="17">
        <f>'Rolling report'!CL23*'No Action'!$Y$6</f>
        <v>1.76</v>
      </c>
      <c r="T23" s="17">
        <f>'Rolling report'!CM23*'No Action'!$Y$6</f>
        <v>5.28</v>
      </c>
      <c r="U23" s="17">
        <f>'Rolling report'!CN23*'No Action'!$Y$6</f>
        <v>4.4000000000000004</v>
      </c>
      <c r="V23" s="17">
        <f>'Rolling report'!CO23*'No Action'!$Y$6</f>
        <v>2.2000000000000002</v>
      </c>
      <c r="W23" s="17">
        <f>'Rolling report'!CP23*'No Action'!$Y$6</f>
        <v>5.72</v>
      </c>
      <c r="X23" s="17">
        <f>'Rolling report'!CQ23*'No Action'!$Y$6</f>
        <v>2.2000000000000002</v>
      </c>
      <c r="Y23" s="17">
        <f>'Rolling report'!CR23*'No Action'!$Y$6</f>
        <v>3.52</v>
      </c>
      <c r="Z23" s="17">
        <f>'Rolling report'!CS23*'No Action'!$Y$6</f>
        <v>1.76</v>
      </c>
      <c r="AA23" s="17">
        <f>'Rolling report'!CT23*'No Action'!$Y$6</f>
        <v>3.96</v>
      </c>
      <c r="AB23" s="17">
        <f>'Rolling report'!CU23*'No Action'!$Y$6</f>
        <v>2.2000000000000002</v>
      </c>
      <c r="AC23" s="17">
        <f>'Rolling report'!CV23*'No Action'!$Y$6</f>
        <v>3.52</v>
      </c>
      <c r="AD23" s="17">
        <f>'Rolling report'!CW23*'No Action'!$Y$6</f>
        <v>-1.32</v>
      </c>
      <c r="AE23" s="17">
        <f>'Rolling report'!CX23*'No Action'!$Y$6</f>
        <v>3.08</v>
      </c>
      <c r="AF23" s="17">
        <f>'Rolling report'!CY23*'No Action'!$Y$6</f>
        <v>-201.08</v>
      </c>
      <c r="AG23" s="17">
        <f>'Rolling report'!CZ23*'No Action'!$Y$6</f>
        <v>0</v>
      </c>
      <c r="AH23" s="17">
        <f>'Rolling report'!DA23*'No Action'!$Y$6</f>
        <v>0</v>
      </c>
      <c r="AI23" s="17">
        <f>'Rolling report'!DB23*'No Action'!$Y$6</f>
        <v>0</v>
      </c>
      <c r="AJ23" s="17">
        <f>'Rolling report'!DC23*'No Action'!$Y$6</f>
        <v>0</v>
      </c>
      <c r="AK23" s="17">
        <f>'Rolling report'!DD23*'No Action'!$Y$6</f>
        <v>0</v>
      </c>
      <c r="AL23" s="17">
        <f>'Rolling report'!DE23*'No Action'!$Y$6</f>
        <v>0</v>
      </c>
      <c r="AM23" s="17">
        <f>'Rolling report'!DF23*'No Action'!$Y$6</f>
        <v>0</v>
      </c>
      <c r="AN23" s="17">
        <f>'Rolling report'!DG23*'No Action'!$Y$6</f>
        <v>0</v>
      </c>
      <c r="AO23" s="17">
        <f>'Rolling report'!DH23*'No Action'!$Y$6</f>
        <v>0</v>
      </c>
      <c r="AQ23" s="45"/>
    </row>
    <row r="24" spans="1:43" x14ac:dyDescent="0.25">
      <c r="A24" s="4" t="s">
        <v>37</v>
      </c>
      <c r="B24" s="6" t="s">
        <v>38</v>
      </c>
      <c r="I24" s="17">
        <f>'Rolling report'!CB24*'No Action'!$Y$6</f>
        <v>88</v>
      </c>
      <c r="J24" s="17">
        <f>'Rolling report'!CC24*'No Action'!$Y$6</f>
        <v>16.72</v>
      </c>
      <c r="K24" s="17">
        <f>'Rolling report'!CD24*'No Action'!$Y$6</f>
        <v>17.600000000000001</v>
      </c>
      <c r="L24" s="17">
        <f>'Rolling report'!CE24*'No Action'!$Y$6</f>
        <v>15.4</v>
      </c>
      <c r="M24" s="17">
        <f>'Rolling report'!CF24*'No Action'!$Y$6</f>
        <v>16.28</v>
      </c>
      <c r="N24" s="17">
        <f>'Rolling report'!CG24*'No Action'!$Y$6</f>
        <v>11.88</v>
      </c>
      <c r="O24" s="17">
        <f>'Rolling report'!CH24*'No Action'!$Y$6</f>
        <v>9.68</v>
      </c>
      <c r="P24" s="17">
        <f>'Rolling report'!CI24*'No Action'!$Y$6</f>
        <v>4.84</v>
      </c>
      <c r="Q24" s="17">
        <f>'Rolling report'!CJ24*'No Action'!$Y$6</f>
        <v>5.28</v>
      </c>
      <c r="R24" s="17">
        <f>'Rolling report'!CK24*'No Action'!$Y$6</f>
        <v>8.36</v>
      </c>
      <c r="S24" s="17">
        <f>'Rolling report'!CL24*'No Action'!$Y$6</f>
        <v>7.48</v>
      </c>
      <c r="T24" s="17">
        <f>'Rolling report'!CM24*'No Action'!$Y$6</f>
        <v>13.64</v>
      </c>
      <c r="U24" s="17">
        <f>'Rolling report'!CN24*'No Action'!$Y$6</f>
        <v>4.84</v>
      </c>
      <c r="V24" s="17">
        <f>'Rolling report'!CO24*'No Action'!$Y$6</f>
        <v>3.96</v>
      </c>
      <c r="W24" s="17">
        <f>'Rolling report'!CP24*'No Action'!$Y$6</f>
        <v>5.28</v>
      </c>
      <c r="X24" s="17">
        <f>'Rolling report'!CQ24*'No Action'!$Y$6</f>
        <v>0.88</v>
      </c>
      <c r="Y24" s="17">
        <f>'Rolling report'!CR24*'No Action'!$Y$6</f>
        <v>4.84</v>
      </c>
      <c r="Z24" s="17">
        <f>'Rolling report'!CS24*'No Action'!$Y$6</f>
        <v>0.88</v>
      </c>
      <c r="AA24" s="17">
        <f>'Rolling report'!CT24*'No Action'!$Y$6</f>
        <v>4.4000000000000004</v>
      </c>
      <c r="AB24" s="17">
        <f>'Rolling report'!CU24*'No Action'!$Y$6</f>
        <v>4.84</v>
      </c>
      <c r="AC24" s="17">
        <f>'Rolling report'!CV24*'No Action'!$Y$6</f>
        <v>7.48</v>
      </c>
      <c r="AD24" s="17">
        <f>'Rolling report'!CW24*'No Action'!$Y$6</f>
        <v>2.2000000000000002</v>
      </c>
      <c r="AE24" s="17">
        <f>'Rolling report'!CX24*'No Action'!$Y$6</f>
        <v>3.52</v>
      </c>
      <c r="AF24" s="17">
        <f>'Rolling report'!CY24*'No Action'!$Y$6</f>
        <v>-258.28000000000003</v>
      </c>
      <c r="AG24" s="17">
        <f>'Rolling report'!CZ24*'No Action'!$Y$6</f>
        <v>0</v>
      </c>
      <c r="AH24" s="17">
        <f>'Rolling report'!DA24*'No Action'!$Y$6</f>
        <v>0</v>
      </c>
      <c r="AI24" s="17">
        <f>'Rolling report'!DB24*'No Action'!$Y$6</f>
        <v>0</v>
      </c>
      <c r="AJ24" s="17">
        <f>'Rolling report'!DC24*'No Action'!$Y$6</f>
        <v>0</v>
      </c>
      <c r="AK24" s="17">
        <f>'Rolling report'!DD24*'No Action'!$Y$6</f>
        <v>0</v>
      </c>
      <c r="AL24" s="17">
        <f>'Rolling report'!DE24*'No Action'!$Y$6</f>
        <v>0</v>
      </c>
      <c r="AM24" s="17">
        <f>'Rolling report'!DF24*'No Action'!$Y$6</f>
        <v>0</v>
      </c>
      <c r="AN24" s="17">
        <f>'Rolling report'!DG24*'No Action'!$Y$6</f>
        <v>0</v>
      </c>
      <c r="AO24" s="17">
        <f>'Rolling report'!DH24*'No Action'!$Y$6</f>
        <v>0</v>
      </c>
      <c r="AQ24" s="45"/>
    </row>
    <row r="25" spans="1:43" x14ac:dyDescent="0.25">
      <c r="A25" s="4" t="s">
        <v>39</v>
      </c>
      <c r="B25" s="6" t="s">
        <v>40</v>
      </c>
      <c r="I25" s="17">
        <f>'Rolling report'!CB25*'No Action'!$Y$6</f>
        <v>94.6</v>
      </c>
      <c r="J25" s="17">
        <f>'Rolling report'!CC25*'No Action'!$Y$6</f>
        <v>9.68</v>
      </c>
      <c r="K25" s="17">
        <f>'Rolling report'!CD25*'No Action'!$Y$6</f>
        <v>14.08</v>
      </c>
      <c r="L25" s="17">
        <f>'Rolling report'!CE25*'No Action'!$Y$6</f>
        <v>14.08</v>
      </c>
      <c r="M25" s="17">
        <f>'Rolling report'!CF25*'No Action'!$Y$6</f>
        <v>13.2</v>
      </c>
      <c r="N25" s="17">
        <f>'Rolling report'!CG25*'No Action'!$Y$6</f>
        <v>5.72</v>
      </c>
      <c r="O25" s="17">
        <f>'Rolling report'!CH25*'No Action'!$Y$6</f>
        <v>4.84</v>
      </c>
      <c r="P25" s="17">
        <f>'Rolling report'!CI25*'No Action'!$Y$6</f>
        <v>5.72</v>
      </c>
      <c r="Q25" s="17">
        <f>'Rolling report'!CJ25*'No Action'!$Y$6</f>
        <v>5.28</v>
      </c>
      <c r="R25" s="17">
        <f>'Rolling report'!CK25*'No Action'!$Y$6</f>
        <v>7.48</v>
      </c>
      <c r="S25" s="17">
        <f>'Rolling report'!CL25*'No Action'!$Y$6</f>
        <v>4.84</v>
      </c>
      <c r="T25" s="17">
        <f>'Rolling report'!CM25*'No Action'!$Y$6</f>
        <v>7.04</v>
      </c>
      <c r="U25" s="17">
        <f>'Rolling report'!CN25*'No Action'!$Y$6</f>
        <v>4.84</v>
      </c>
      <c r="V25" s="17">
        <f>'Rolling report'!CO25*'No Action'!$Y$6</f>
        <v>8.8000000000000007</v>
      </c>
      <c r="W25" s="17">
        <f>'Rolling report'!CP25*'No Action'!$Y$6</f>
        <v>2.2000000000000002</v>
      </c>
      <c r="X25" s="17">
        <f>'Rolling report'!CQ25*'No Action'!$Y$6</f>
        <v>4.4000000000000004</v>
      </c>
      <c r="Y25" s="17">
        <f>'Rolling report'!CR25*'No Action'!$Y$6</f>
        <v>4.84</v>
      </c>
      <c r="Z25" s="17">
        <f>'Rolling report'!CS25*'No Action'!$Y$6</f>
        <v>3.96</v>
      </c>
      <c r="AA25" s="17">
        <f>'Rolling report'!CT25*'No Action'!$Y$6</f>
        <v>3.52</v>
      </c>
      <c r="AB25" s="17">
        <f>'Rolling report'!CU25*'No Action'!$Y$6</f>
        <v>6.16</v>
      </c>
      <c r="AC25" s="17">
        <f>'Rolling report'!CV25*'No Action'!$Y$6</f>
        <v>7.92</v>
      </c>
      <c r="AD25" s="17">
        <f>'Rolling report'!CW25*'No Action'!$Y$6</f>
        <v>-2.64</v>
      </c>
      <c r="AE25" s="17">
        <f>'Rolling report'!CX25*'No Action'!$Y$6</f>
        <v>4.84</v>
      </c>
      <c r="AF25" s="17">
        <f>'Rolling report'!CY25*'No Action'!$Y$6</f>
        <v>-235.4</v>
      </c>
      <c r="AG25" s="17">
        <f>'Rolling report'!CZ25*'No Action'!$Y$6</f>
        <v>0</v>
      </c>
      <c r="AH25" s="17">
        <f>'Rolling report'!DA25*'No Action'!$Y$6</f>
        <v>0</v>
      </c>
      <c r="AI25" s="17">
        <f>'Rolling report'!DB25*'No Action'!$Y$6</f>
        <v>0</v>
      </c>
      <c r="AJ25" s="17">
        <f>'Rolling report'!DC25*'No Action'!$Y$6</f>
        <v>0</v>
      </c>
      <c r="AK25" s="17">
        <f>'Rolling report'!DD25*'No Action'!$Y$6</f>
        <v>0</v>
      </c>
      <c r="AL25" s="17">
        <f>'Rolling report'!DE25*'No Action'!$Y$6</f>
        <v>0</v>
      </c>
      <c r="AM25" s="17">
        <f>'Rolling report'!DF25*'No Action'!$Y$6</f>
        <v>0</v>
      </c>
      <c r="AN25" s="17">
        <f>'Rolling report'!DG25*'No Action'!$Y$6</f>
        <v>0</v>
      </c>
      <c r="AO25" s="17">
        <f>'Rolling report'!DH25*'No Action'!$Y$6</f>
        <v>0</v>
      </c>
      <c r="AQ25" s="45"/>
    </row>
    <row r="26" spans="1:43" x14ac:dyDescent="0.25">
      <c r="A26" s="4" t="s">
        <v>41</v>
      </c>
      <c r="B26" s="6" t="s">
        <v>42</v>
      </c>
      <c r="I26" s="17">
        <f>'Rolling report'!CB26*'No Action'!$Y$6</f>
        <v>222.64000000000001</v>
      </c>
      <c r="J26" s="17">
        <f>'Rolling report'!CC26*'No Action'!$Y$6</f>
        <v>36.08</v>
      </c>
      <c r="K26" s="17">
        <f>'Rolling report'!CD26*'No Action'!$Y$6</f>
        <v>32.119999999999997</v>
      </c>
      <c r="L26" s="17">
        <f>'Rolling report'!CE26*'No Action'!$Y$6</f>
        <v>35.200000000000003</v>
      </c>
      <c r="M26" s="17">
        <f>'Rolling report'!CF26*'No Action'!$Y$6</f>
        <v>21.56</v>
      </c>
      <c r="N26" s="17">
        <f>'Rolling report'!CG26*'No Action'!$Y$6</f>
        <v>18.920000000000002</v>
      </c>
      <c r="O26" s="17">
        <f>'Rolling report'!CH26*'No Action'!$Y$6</f>
        <v>41.8</v>
      </c>
      <c r="P26" s="17">
        <f>'Rolling report'!CI26*'No Action'!$Y$6</f>
        <v>19.8</v>
      </c>
      <c r="Q26" s="17">
        <f>'Rolling report'!CJ26*'No Action'!$Y$6</f>
        <v>22.88</v>
      </c>
      <c r="R26" s="17">
        <f>'Rolling report'!CK26*'No Action'!$Y$6</f>
        <v>14.08</v>
      </c>
      <c r="S26" s="17">
        <f>'Rolling report'!CL26*'No Action'!$Y$6</f>
        <v>6.6</v>
      </c>
      <c r="T26" s="17">
        <f>'Rolling report'!CM26*'No Action'!$Y$6</f>
        <v>24.64</v>
      </c>
      <c r="U26" s="17">
        <f>'Rolling report'!CN26*'No Action'!$Y$6</f>
        <v>10.119999999999999</v>
      </c>
      <c r="V26" s="17">
        <f>'Rolling report'!CO26*'No Action'!$Y$6</f>
        <v>15.4</v>
      </c>
      <c r="W26" s="17">
        <f>'Rolling report'!CP26*'No Action'!$Y$6</f>
        <v>10.119999999999999</v>
      </c>
      <c r="X26" s="17">
        <f>'Rolling report'!CQ26*'No Action'!$Y$6</f>
        <v>7.04</v>
      </c>
      <c r="Y26" s="17">
        <f>'Rolling report'!CR26*'No Action'!$Y$6</f>
        <v>9.68</v>
      </c>
      <c r="Z26" s="17">
        <f>'Rolling report'!CS26*'No Action'!$Y$6</f>
        <v>8.8000000000000007</v>
      </c>
      <c r="AA26" s="17">
        <f>'Rolling report'!CT26*'No Action'!$Y$6</f>
        <v>10.56</v>
      </c>
      <c r="AB26" s="17">
        <f>'Rolling report'!CU26*'No Action'!$Y$6</f>
        <v>11</v>
      </c>
      <c r="AC26" s="17">
        <f>'Rolling report'!CV26*'No Action'!$Y$6</f>
        <v>15.4</v>
      </c>
      <c r="AD26" s="17">
        <f>'Rolling report'!CW26*'No Action'!$Y$6</f>
        <v>1.32</v>
      </c>
      <c r="AE26" s="17">
        <f>'Rolling report'!CX26*'No Action'!$Y$6</f>
        <v>9.68</v>
      </c>
      <c r="AF26" s="17">
        <f>'Rolling report'!CY26*'No Action'!$Y$6</f>
        <v>-605.44000000000005</v>
      </c>
      <c r="AG26" s="17">
        <f>'Rolling report'!CZ26*'No Action'!$Y$6</f>
        <v>0</v>
      </c>
      <c r="AH26" s="17">
        <f>'Rolling report'!DA26*'No Action'!$Y$6</f>
        <v>0</v>
      </c>
      <c r="AI26" s="17">
        <f>'Rolling report'!DB26*'No Action'!$Y$6</f>
        <v>0</v>
      </c>
      <c r="AJ26" s="17">
        <f>'Rolling report'!DC26*'No Action'!$Y$6</f>
        <v>0</v>
      </c>
      <c r="AK26" s="17">
        <f>'Rolling report'!DD26*'No Action'!$Y$6</f>
        <v>0</v>
      </c>
      <c r="AL26" s="17">
        <f>'Rolling report'!DE26*'No Action'!$Y$6</f>
        <v>0</v>
      </c>
      <c r="AM26" s="17">
        <f>'Rolling report'!DF26*'No Action'!$Y$6</f>
        <v>0</v>
      </c>
      <c r="AN26" s="17">
        <f>'Rolling report'!DG26*'No Action'!$Y$6</f>
        <v>0</v>
      </c>
      <c r="AO26" s="17">
        <f>'Rolling report'!DH26*'No Action'!$Y$6</f>
        <v>0</v>
      </c>
      <c r="AQ26" s="45"/>
    </row>
    <row r="27" spans="1:43" x14ac:dyDescent="0.25">
      <c r="A27" s="4" t="s">
        <v>43</v>
      </c>
      <c r="B27" s="6" t="s">
        <v>44</v>
      </c>
      <c r="I27" s="17">
        <f>'Rolling report'!CB27*'No Action'!$Y$6</f>
        <v>13.64</v>
      </c>
      <c r="J27" s="17">
        <f>'Rolling report'!CC27*'No Action'!$Y$6</f>
        <v>2.64</v>
      </c>
      <c r="K27" s="17">
        <f>'Rolling report'!CD27*'No Action'!$Y$6</f>
        <v>1.76</v>
      </c>
      <c r="L27" s="17">
        <f>'Rolling report'!CE27*'No Action'!$Y$6</f>
        <v>3.08</v>
      </c>
      <c r="M27" s="17">
        <f>'Rolling report'!CF27*'No Action'!$Y$6</f>
        <v>4.4000000000000004</v>
      </c>
      <c r="N27" s="17">
        <f>'Rolling report'!CG27*'No Action'!$Y$6</f>
        <v>0.88</v>
      </c>
      <c r="O27" s="17">
        <f>'Rolling report'!CH27*'No Action'!$Y$6</f>
        <v>1.76</v>
      </c>
      <c r="P27" s="17">
        <f>'Rolling report'!CI27*'No Action'!$Y$6</f>
        <v>0</v>
      </c>
      <c r="Q27" s="17">
        <f>'Rolling report'!CJ27*'No Action'!$Y$6</f>
        <v>2.2000000000000002</v>
      </c>
      <c r="R27" s="17">
        <f>'Rolling report'!CK27*'No Action'!$Y$6</f>
        <v>6.6</v>
      </c>
      <c r="S27" s="17">
        <f>'Rolling report'!CL27*'No Action'!$Y$6</f>
        <v>0</v>
      </c>
      <c r="T27" s="17">
        <f>'Rolling report'!CM27*'No Action'!$Y$6</f>
        <v>3.08</v>
      </c>
      <c r="U27" s="17">
        <f>'Rolling report'!CN27*'No Action'!$Y$6</f>
        <v>2.64</v>
      </c>
      <c r="V27" s="17">
        <f>'Rolling report'!CO27*'No Action'!$Y$6</f>
        <v>0.44</v>
      </c>
      <c r="W27" s="17">
        <f>'Rolling report'!CP27*'No Action'!$Y$6</f>
        <v>1.32</v>
      </c>
      <c r="X27" s="17">
        <f>'Rolling report'!CQ27*'No Action'!$Y$6</f>
        <v>0.44</v>
      </c>
      <c r="Y27" s="17">
        <f>'Rolling report'!CR27*'No Action'!$Y$6</f>
        <v>0.44</v>
      </c>
      <c r="Z27" s="17">
        <f>'Rolling report'!CS27*'No Action'!$Y$6</f>
        <v>1.76</v>
      </c>
      <c r="AA27" s="17">
        <f>'Rolling report'!CT27*'No Action'!$Y$6</f>
        <v>0.44</v>
      </c>
      <c r="AB27" s="17">
        <f>'Rolling report'!CU27*'No Action'!$Y$6</f>
        <v>0</v>
      </c>
      <c r="AC27" s="17">
        <f>'Rolling report'!CV27*'No Action'!$Y$6</f>
        <v>1.32</v>
      </c>
      <c r="AD27" s="17">
        <f>'Rolling report'!CW27*'No Action'!$Y$6</f>
        <v>0.88</v>
      </c>
      <c r="AE27" s="17">
        <f>'Rolling report'!CX27*'No Action'!$Y$6</f>
        <v>1.76</v>
      </c>
      <c r="AF27" s="17">
        <f>'Rolling report'!CY27*'No Action'!$Y$6</f>
        <v>-51.48</v>
      </c>
      <c r="AG27" s="17">
        <f>'Rolling report'!CZ27*'No Action'!$Y$6</f>
        <v>0</v>
      </c>
      <c r="AH27" s="17">
        <f>'Rolling report'!DA27*'No Action'!$Y$6</f>
        <v>0</v>
      </c>
      <c r="AI27" s="17">
        <f>'Rolling report'!DB27*'No Action'!$Y$6</f>
        <v>0</v>
      </c>
      <c r="AJ27" s="17">
        <f>'Rolling report'!DC27*'No Action'!$Y$6</f>
        <v>0</v>
      </c>
      <c r="AK27" s="17">
        <f>'Rolling report'!DD27*'No Action'!$Y$6</f>
        <v>0</v>
      </c>
      <c r="AL27" s="17">
        <f>'Rolling report'!DE27*'No Action'!$Y$6</f>
        <v>0</v>
      </c>
      <c r="AM27" s="17">
        <f>'Rolling report'!DF27*'No Action'!$Y$6</f>
        <v>0</v>
      </c>
      <c r="AN27" s="17">
        <f>'Rolling report'!DG27*'No Action'!$Y$6</f>
        <v>0</v>
      </c>
      <c r="AO27" s="17">
        <f>'Rolling report'!DH27*'No Action'!$Y$6</f>
        <v>0</v>
      </c>
      <c r="AQ27" s="45"/>
    </row>
    <row r="28" spans="1:43" x14ac:dyDescent="0.25">
      <c r="A28" s="4" t="s">
        <v>45</v>
      </c>
      <c r="B28" s="6" t="s">
        <v>46</v>
      </c>
      <c r="I28" s="17">
        <f>'Rolling report'!CB28*'No Action'!$Y$6</f>
        <v>19.36</v>
      </c>
      <c r="J28" s="17">
        <f>'Rolling report'!CC28*'No Action'!$Y$6</f>
        <v>5.72</v>
      </c>
      <c r="K28" s="17">
        <f>'Rolling report'!CD28*'No Action'!$Y$6</f>
        <v>5.28</v>
      </c>
      <c r="L28" s="17">
        <f>'Rolling report'!CE28*'No Action'!$Y$6</f>
        <v>4.84</v>
      </c>
      <c r="M28" s="17">
        <f>'Rolling report'!CF28*'No Action'!$Y$6</f>
        <v>1.76</v>
      </c>
      <c r="N28" s="17">
        <f>'Rolling report'!CG28*'No Action'!$Y$6</f>
        <v>1.32</v>
      </c>
      <c r="O28" s="17">
        <f>'Rolling report'!CH28*'No Action'!$Y$6</f>
        <v>7.04</v>
      </c>
      <c r="P28" s="17">
        <f>'Rolling report'!CI28*'No Action'!$Y$6</f>
        <v>2.2000000000000002</v>
      </c>
      <c r="Q28" s="17">
        <f>'Rolling report'!CJ28*'No Action'!$Y$6</f>
        <v>2.2000000000000002</v>
      </c>
      <c r="R28" s="17">
        <f>'Rolling report'!CK28*'No Action'!$Y$6</f>
        <v>0</v>
      </c>
      <c r="S28" s="17">
        <f>'Rolling report'!CL28*'No Action'!$Y$6</f>
        <v>0</v>
      </c>
      <c r="T28" s="17">
        <f>'Rolling report'!CM28*'No Action'!$Y$6</f>
        <v>5.28</v>
      </c>
      <c r="U28" s="17">
        <f>'Rolling report'!CN28*'No Action'!$Y$6</f>
        <v>3.08</v>
      </c>
      <c r="V28" s="17">
        <f>'Rolling report'!CO28*'No Action'!$Y$6</f>
        <v>4.4000000000000004</v>
      </c>
      <c r="W28" s="17">
        <f>'Rolling report'!CP28*'No Action'!$Y$6</f>
        <v>0.88</v>
      </c>
      <c r="X28" s="17">
        <f>'Rolling report'!CQ28*'No Action'!$Y$6</f>
        <v>0.44</v>
      </c>
      <c r="Y28" s="17">
        <f>'Rolling report'!CR28*'No Action'!$Y$6</f>
        <v>0</v>
      </c>
      <c r="Z28" s="17">
        <f>'Rolling report'!CS28*'No Action'!$Y$6</f>
        <v>1.32</v>
      </c>
      <c r="AA28" s="17">
        <f>'Rolling report'!CT28*'No Action'!$Y$6</f>
        <v>0.88</v>
      </c>
      <c r="AB28" s="17">
        <f>'Rolling report'!CU28*'No Action'!$Y$6</f>
        <v>2.2000000000000002</v>
      </c>
      <c r="AC28" s="17">
        <f>'Rolling report'!CV28*'No Action'!$Y$6</f>
        <v>0.88</v>
      </c>
      <c r="AD28" s="17">
        <f>'Rolling report'!CW28*'No Action'!$Y$6</f>
        <v>2.64</v>
      </c>
      <c r="AE28" s="17">
        <f>'Rolling report'!CX28*'No Action'!$Y$6</f>
        <v>1.32</v>
      </c>
      <c r="AF28" s="17">
        <f>'Rolling report'!CY28*'No Action'!$Y$6</f>
        <v>-73.040000000000006</v>
      </c>
      <c r="AG28" s="17">
        <f>'Rolling report'!CZ28*'No Action'!$Y$6</f>
        <v>0</v>
      </c>
      <c r="AH28" s="17">
        <f>'Rolling report'!DA28*'No Action'!$Y$6</f>
        <v>0</v>
      </c>
      <c r="AI28" s="17">
        <f>'Rolling report'!DB28*'No Action'!$Y$6</f>
        <v>0</v>
      </c>
      <c r="AJ28" s="17">
        <f>'Rolling report'!DC28*'No Action'!$Y$6</f>
        <v>0</v>
      </c>
      <c r="AK28" s="17">
        <f>'Rolling report'!DD28*'No Action'!$Y$6</f>
        <v>0</v>
      </c>
      <c r="AL28" s="17">
        <f>'Rolling report'!DE28*'No Action'!$Y$6</f>
        <v>0</v>
      </c>
      <c r="AM28" s="17">
        <f>'Rolling report'!DF28*'No Action'!$Y$6</f>
        <v>0</v>
      </c>
      <c r="AN28" s="17">
        <f>'Rolling report'!DG28*'No Action'!$Y$6</f>
        <v>0</v>
      </c>
      <c r="AO28" s="17">
        <f>'Rolling report'!DH28*'No Action'!$Y$6</f>
        <v>0</v>
      </c>
      <c r="AQ28" s="45"/>
    </row>
    <row r="29" spans="1:43" x14ac:dyDescent="0.25">
      <c r="A29" s="4" t="s">
        <v>47</v>
      </c>
      <c r="B29" s="6" t="s">
        <v>48</v>
      </c>
      <c r="I29" s="17">
        <f>'Rolling report'!CB29*'No Action'!$Y$6</f>
        <v>227.48</v>
      </c>
      <c r="J29" s="17">
        <f>'Rolling report'!CC29*'No Action'!$Y$6</f>
        <v>50.6</v>
      </c>
      <c r="K29" s="17">
        <f>'Rolling report'!CD29*'No Action'!$Y$6</f>
        <v>36.520000000000003</v>
      </c>
      <c r="L29" s="17">
        <f>'Rolling report'!CE29*'No Action'!$Y$6</f>
        <v>53.68</v>
      </c>
      <c r="M29" s="17">
        <f>'Rolling report'!CF29*'No Action'!$Y$6</f>
        <v>38.28</v>
      </c>
      <c r="N29" s="17">
        <f>'Rolling report'!CG29*'No Action'!$Y$6</f>
        <v>45.76</v>
      </c>
      <c r="O29" s="17">
        <f>'Rolling report'!CH29*'No Action'!$Y$6</f>
        <v>46.2</v>
      </c>
      <c r="P29" s="17">
        <f>'Rolling report'!CI29*'No Action'!$Y$6</f>
        <v>16.28</v>
      </c>
      <c r="Q29" s="17">
        <f>'Rolling report'!CJ29*'No Action'!$Y$6</f>
        <v>23.76</v>
      </c>
      <c r="R29" s="17">
        <f>'Rolling report'!CK29*'No Action'!$Y$6</f>
        <v>19.8</v>
      </c>
      <c r="S29" s="17">
        <f>'Rolling report'!CL29*'No Action'!$Y$6</f>
        <v>14.52</v>
      </c>
      <c r="T29" s="17">
        <f>'Rolling report'!CM29*'No Action'!$Y$6</f>
        <v>30.8</v>
      </c>
      <c r="U29" s="17">
        <f>'Rolling report'!CN29*'No Action'!$Y$6</f>
        <v>16.28</v>
      </c>
      <c r="V29" s="17">
        <f>'Rolling report'!CO29*'No Action'!$Y$6</f>
        <v>18.04</v>
      </c>
      <c r="W29" s="17">
        <f>'Rolling report'!CP29*'No Action'!$Y$6</f>
        <v>13.2</v>
      </c>
      <c r="X29" s="17">
        <f>'Rolling report'!CQ29*'No Action'!$Y$6</f>
        <v>8.8000000000000007</v>
      </c>
      <c r="Y29" s="17">
        <f>'Rolling report'!CR29*'No Action'!$Y$6</f>
        <v>12.76</v>
      </c>
      <c r="Z29" s="17">
        <f>'Rolling report'!CS29*'No Action'!$Y$6</f>
        <v>12.32</v>
      </c>
      <c r="AA29" s="17">
        <f>'Rolling report'!CT29*'No Action'!$Y$6</f>
        <v>11.88</v>
      </c>
      <c r="AB29" s="17">
        <f>'Rolling report'!CU29*'No Action'!$Y$6</f>
        <v>14.96</v>
      </c>
      <c r="AC29" s="17">
        <f>'Rolling report'!CV29*'No Action'!$Y$6</f>
        <v>20.68</v>
      </c>
      <c r="AD29" s="17">
        <f>'Rolling report'!CW29*'No Action'!$Y$6</f>
        <v>2.2000000000000002</v>
      </c>
      <c r="AE29" s="17">
        <f>'Rolling report'!CX29*'No Action'!$Y$6</f>
        <v>10.119999999999999</v>
      </c>
      <c r="AF29" s="17">
        <f>'Rolling report'!CY29*'No Action'!$Y$6</f>
        <v>-744.92</v>
      </c>
      <c r="AG29" s="17">
        <f>'Rolling report'!CZ29*'No Action'!$Y$6</f>
        <v>0</v>
      </c>
      <c r="AH29" s="17">
        <f>'Rolling report'!DA29*'No Action'!$Y$6</f>
        <v>0</v>
      </c>
      <c r="AI29" s="17">
        <f>'Rolling report'!DB29*'No Action'!$Y$6</f>
        <v>0</v>
      </c>
      <c r="AJ29" s="17">
        <f>'Rolling report'!DC29*'No Action'!$Y$6</f>
        <v>0</v>
      </c>
      <c r="AK29" s="17">
        <f>'Rolling report'!DD29*'No Action'!$Y$6</f>
        <v>0</v>
      </c>
      <c r="AL29" s="17">
        <f>'Rolling report'!DE29*'No Action'!$Y$6</f>
        <v>0</v>
      </c>
      <c r="AM29" s="17">
        <f>'Rolling report'!DF29*'No Action'!$Y$6</f>
        <v>0</v>
      </c>
      <c r="AN29" s="17">
        <f>'Rolling report'!DG29*'No Action'!$Y$6</f>
        <v>0</v>
      </c>
      <c r="AO29" s="17">
        <f>'Rolling report'!DH29*'No Action'!$Y$6</f>
        <v>0</v>
      </c>
      <c r="AQ29" s="45"/>
    </row>
    <row r="30" spans="1:43" x14ac:dyDescent="0.25">
      <c r="A30" s="4" t="s">
        <v>49</v>
      </c>
      <c r="B30" s="6" t="s">
        <v>50</v>
      </c>
      <c r="I30" s="17">
        <f>'Rolling report'!CB30*'No Action'!$Y$6</f>
        <v>104.72</v>
      </c>
      <c r="J30" s="17">
        <f>'Rolling report'!CC30*'No Action'!$Y$6</f>
        <v>11</v>
      </c>
      <c r="K30" s="17">
        <f>'Rolling report'!CD30*'No Action'!$Y$6</f>
        <v>6.6</v>
      </c>
      <c r="L30" s="17">
        <f>'Rolling report'!CE30*'No Action'!$Y$6</f>
        <v>11.44</v>
      </c>
      <c r="M30" s="17">
        <f>'Rolling report'!CF30*'No Action'!$Y$6</f>
        <v>6.6</v>
      </c>
      <c r="N30" s="17">
        <f>'Rolling report'!CG30*'No Action'!$Y$6</f>
        <v>5.72</v>
      </c>
      <c r="O30" s="17">
        <f>'Rolling report'!CH30*'No Action'!$Y$6</f>
        <v>10.119999999999999</v>
      </c>
      <c r="P30" s="17">
        <f>'Rolling report'!CI30*'No Action'!$Y$6</f>
        <v>6.6</v>
      </c>
      <c r="Q30" s="17">
        <f>'Rolling report'!CJ30*'No Action'!$Y$6</f>
        <v>14.96</v>
      </c>
      <c r="R30" s="17">
        <f>'Rolling report'!CK30*'No Action'!$Y$6</f>
        <v>7.92</v>
      </c>
      <c r="S30" s="17">
        <f>'Rolling report'!CL30*'No Action'!$Y$6</f>
        <v>10.56</v>
      </c>
      <c r="T30" s="17">
        <f>'Rolling report'!CM30*'No Action'!$Y$6</f>
        <v>10.119999999999999</v>
      </c>
      <c r="U30" s="17">
        <f>'Rolling report'!CN30*'No Action'!$Y$6</f>
        <v>14.08</v>
      </c>
      <c r="V30" s="17">
        <f>'Rolling report'!CO30*'No Action'!$Y$6</f>
        <v>1.76</v>
      </c>
      <c r="W30" s="17">
        <f>'Rolling report'!CP30*'No Action'!$Y$6</f>
        <v>3.52</v>
      </c>
      <c r="X30" s="17">
        <f>'Rolling report'!CQ30*'No Action'!$Y$6</f>
        <v>1.76</v>
      </c>
      <c r="Y30" s="17">
        <f>'Rolling report'!CR30*'No Action'!$Y$6</f>
        <v>5.28</v>
      </c>
      <c r="Z30" s="17">
        <f>'Rolling report'!CS30*'No Action'!$Y$6</f>
        <v>4.84</v>
      </c>
      <c r="AA30" s="17">
        <f>'Rolling report'!CT30*'No Action'!$Y$6</f>
        <v>6.6</v>
      </c>
      <c r="AB30" s="17">
        <f>'Rolling report'!CU30*'No Action'!$Y$6</f>
        <v>4.84</v>
      </c>
      <c r="AC30" s="17">
        <f>'Rolling report'!CV30*'No Action'!$Y$6</f>
        <v>5.28</v>
      </c>
      <c r="AD30" s="17">
        <f>'Rolling report'!CW30*'No Action'!$Y$6</f>
        <v>0.88</v>
      </c>
      <c r="AE30" s="17">
        <f>'Rolling report'!CX30*'No Action'!$Y$6</f>
        <v>3.52</v>
      </c>
      <c r="AF30" s="17">
        <f>'Rolling report'!CY30*'No Action'!$Y$6</f>
        <v>-258.72000000000003</v>
      </c>
      <c r="AG30" s="17">
        <f>'Rolling report'!CZ30*'No Action'!$Y$6</f>
        <v>0</v>
      </c>
      <c r="AH30" s="17">
        <f>'Rolling report'!DA30*'No Action'!$Y$6</f>
        <v>0</v>
      </c>
      <c r="AI30" s="17">
        <f>'Rolling report'!DB30*'No Action'!$Y$6</f>
        <v>0</v>
      </c>
      <c r="AJ30" s="17">
        <f>'Rolling report'!DC30*'No Action'!$Y$6</f>
        <v>0</v>
      </c>
      <c r="AK30" s="17">
        <f>'Rolling report'!DD30*'No Action'!$Y$6</f>
        <v>0</v>
      </c>
      <c r="AL30" s="17">
        <f>'Rolling report'!DE30*'No Action'!$Y$6</f>
        <v>0</v>
      </c>
      <c r="AM30" s="17">
        <f>'Rolling report'!DF30*'No Action'!$Y$6</f>
        <v>0</v>
      </c>
      <c r="AN30" s="17">
        <f>'Rolling report'!DG30*'No Action'!$Y$6</f>
        <v>0</v>
      </c>
      <c r="AO30" s="17">
        <f>'Rolling report'!DH30*'No Action'!$Y$6</f>
        <v>0</v>
      </c>
      <c r="AQ30" s="45"/>
    </row>
    <row r="31" spans="1:43" x14ac:dyDescent="0.25">
      <c r="A31" s="4" t="s">
        <v>51</v>
      </c>
      <c r="B31" s="6" t="s">
        <v>52</v>
      </c>
      <c r="I31" s="17">
        <f>'Rolling report'!CB31*'No Action'!$Y$6</f>
        <v>50.6</v>
      </c>
      <c r="J31" s="17">
        <f>'Rolling report'!CC31*'No Action'!$Y$6</f>
        <v>9.68</v>
      </c>
      <c r="K31" s="17">
        <f>'Rolling report'!CD31*'No Action'!$Y$6</f>
        <v>8.36</v>
      </c>
      <c r="L31" s="17">
        <f>'Rolling report'!CE31*'No Action'!$Y$6</f>
        <v>11.88</v>
      </c>
      <c r="M31" s="17">
        <f>'Rolling report'!CF31*'No Action'!$Y$6</f>
        <v>3.96</v>
      </c>
      <c r="N31" s="17">
        <f>'Rolling report'!CG31*'No Action'!$Y$6</f>
        <v>8.36</v>
      </c>
      <c r="O31" s="17">
        <f>'Rolling report'!CH31*'No Action'!$Y$6</f>
        <v>11.88</v>
      </c>
      <c r="P31" s="17">
        <f>'Rolling report'!CI31*'No Action'!$Y$6</f>
        <v>1.32</v>
      </c>
      <c r="Q31" s="17">
        <f>'Rolling report'!CJ31*'No Action'!$Y$6</f>
        <v>4.84</v>
      </c>
      <c r="R31" s="17">
        <f>'Rolling report'!CK31*'No Action'!$Y$6</f>
        <v>3.96</v>
      </c>
      <c r="S31" s="17">
        <f>'Rolling report'!CL31*'No Action'!$Y$6</f>
        <v>2.2000000000000002</v>
      </c>
      <c r="T31" s="17">
        <f>'Rolling report'!CM31*'No Action'!$Y$6</f>
        <v>7.48</v>
      </c>
      <c r="U31" s="17">
        <f>'Rolling report'!CN31*'No Action'!$Y$6</f>
        <v>4.4000000000000004</v>
      </c>
      <c r="V31" s="17">
        <f>'Rolling report'!CO31*'No Action'!$Y$6</f>
        <v>3.08</v>
      </c>
      <c r="W31" s="17">
        <f>'Rolling report'!CP31*'No Action'!$Y$6</f>
        <v>3.52</v>
      </c>
      <c r="X31" s="17">
        <f>'Rolling report'!CQ31*'No Action'!$Y$6</f>
        <v>4.4000000000000004</v>
      </c>
      <c r="Y31" s="17">
        <f>'Rolling report'!CR31*'No Action'!$Y$6</f>
        <v>2.64</v>
      </c>
      <c r="Z31" s="17">
        <f>'Rolling report'!CS31*'No Action'!$Y$6</f>
        <v>1.76</v>
      </c>
      <c r="AA31" s="17">
        <f>'Rolling report'!CT31*'No Action'!$Y$6</f>
        <v>4.4000000000000004</v>
      </c>
      <c r="AB31" s="17">
        <f>'Rolling report'!CU31*'No Action'!$Y$6</f>
        <v>1.32</v>
      </c>
      <c r="AC31" s="17">
        <f>'Rolling report'!CV31*'No Action'!$Y$6</f>
        <v>3.96</v>
      </c>
      <c r="AD31" s="17">
        <f>'Rolling report'!CW31*'No Action'!$Y$6</f>
        <v>0</v>
      </c>
      <c r="AE31" s="17">
        <f>'Rolling report'!CX31*'No Action'!$Y$6</f>
        <v>3.52</v>
      </c>
      <c r="AF31" s="17">
        <f>'Rolling report'!CY31*'No Action'!$Y$6</f>
        <v>-157.52000000000001</v>
      </c>
      <c r="AG31" s="17">
        <f>'Rolling report'!CZ31*'No Action'!$Y$6</f>
        <v>0</v>
      </c>
      <c r="AH31" s="17">
        <f>'Rolling report'!DA31*'No Action'!$Y$6</f>
        <v>0</v>
      </c>
      <c r="AI31" s="17">
        <f>'Rolling report'!DB31*'No Action'!$Y$6</f>
        <v>0</v>
      </c>
      <c r="AJ31" s="17">
        <f>'Rolling report'!DC31*'No Action'!$Y$6</f>
        <v>0</v>
      </c>
      <c r="AK31" s="17">
        <f>'Rolling report'!DD31*'No Action'!$Y$6</f>
        <v>0</v>
      </c>
      <c r="AL31" s="17">
        <f>'Rolling report'!DE31*'No Action'!$Y$6</f>
        <v>0</v>
      </c>
      <c r="AM31" s="17">
        <f>'Rolling report'!DF31*'No Action'!$Y$6</f>
        <v>0</v>
      </c>
      <c r="AN31" s="17">
        <f>'Rolling report'!DG31*'No Action'!$Y$6</f>
        <v>0</v>
      </c>
      <c r="AO31" s="17">
        <f>'Rolling report'!DH31*'No Action'!$Y$6</f>
        <v>0</v>
      </c>
      <c r="AQ31" s="45"/>
    </row>
    <row r="32" spans="1:43" x14ac:dyDescent="0.25">
      <c r="A32" s="4" t="s">
        <v>53</v>
      </c>
      <c r="B32" s="6" t="s">
        <v>54</v>
      </c>
      <c r="I32" s="17">
        <f>'Rolling report'!CB32*'No Action'!$Y$6</f>
        <v>78.320000000000007</v>
      </c>
      <c r="J32" s="17">
        <f>'Rolling report'!CC32*'No Action'!$Y$6</f>
        <v>12.32</v>
      </c>
      <c r="K32" s="17">
        <f>'Rolling report'!CD32*'No Action'!$Y$6</f>
        <v>15.4</v>
      </c>
      <c r="L32" s="17">
        <f>'Rolling report'!CE32*'No Action'!$Y$6</f>
        <v>12.32</v>
      </c>
      <c r="M32" s="17">
        <f>'Rolling report'!CF32*'No Action'!$Y$6</f>
        <v>11.44</v>
      </c>
      <c r="N32" s="17">
        <f>'Rolling report'!CG32*'No Action'!$Y$6</f>
        <v>10.56</v>
      </c>
      <c r="O32" s="17">
        <f>'Rolling report'!CH32*'No Action'!$Y$6</f>
        <v>25.52</v>
      </c>
      <c r="P32" s="17">
        <f>'Rolling report'!CI32*'No Action'!$Y$6</f>
        <v>3.52</v>
      </c>
      <c r="Q32" s="17">
        <f>'Rolling report'!CJ32*'No Action'!$Y$6</f>
        <v>7.04</v>
      </c>
      <c r="R32" s="17">
        <f>'Rolling report'!CK32*'No Action'!$Y$6</f>
        <v>9.68</v>
      </c>
      <c r="S32" s="17">
        <f>'Rolling report'!CL32*'No Action'!$Y$6</f>
        <v>9.24</v>
      </c>
      <c r="T32" s="17">
        <f>'Rolling report'!CM32*'No Action'!$Y$6</f>
        <v>7.92</v>
      </c>
      <c r="U32" s="17">
        <f>'Rolling report'!CN32*'No Action'!$Y$6</f>
        <v>5.72</v>
      </c>
      <c r="V32" s="17">
        <f>'Rolling report'!CO32*'No Action'!$Y$6</f>
        <v>1.76</v>
      </c>
      <c r="W32" s="17">
        <f>'Rolling report'!CP32*'No Action'!$Y$6</f>
        <v>7.48</v>
      </c>
      <c r="X32" s="17">
        <f>'Rolling report'!CQ32*'No Action'!$Y$6</f>
        <v>2.64</v>
      </c>
      <c r="Y32" s="17">
        <f>'Rolling report'!CR32*'No Action'!$Y$6</f>
        <v>6.16</v>
      </c>
      <c r="Z32" s="17">
        <f>'Rolling report'!CS32*'No Action'!$Y$6</f>
        <v>3.96</v>
      </c>
      <c r="AA32" s="17">
        <f>'Rolling report'!CT32*'No Action'!$Y$6</f>
        <v>6.16</v>
      </c>
      <c r="AB32" s="17">
        <f>'Rolling report'!CU32*'No Action'!$Y$6</f>
        <v>7.04</v>
      </c>
      <c r="AC32" s="17">
        <f>'Rolling report'!CV32*'No Action'!$Y$6</f>
        <v>8.36</v>
      </c>
      <c r="AD32" s="17">
        <f>'Rolling report'!CW32*'No Action'!$Y$6</f>
        <v>-0.44</v>
      </c>
      <c r="AE32" s="17">
        <f>'Rolling report'!CX32*'No Action'!$Y$6</f>
        <v>4.84</v>
      </c>
      <c r="AF32" s="17">
        <f>'Rolling report'!CY32*'No Action'!$Y$6</f>
        <v>-256.95999999999998</v>
      </c>
      <c r="AG32" s="17">
        <f>'Rolling report'!CZ32*'No Action'!$Y$6</f>
        <v>0</v>
      </c>
      <c r="AH32" s="17">
        <f>'Rolling report'!DA32*'No Action'!$Y$6</f>
        <v>0</v>
      </c>
      <c r="AI32" s="17">
        <f>'Rolling report'!DB32*'No Action'!$Y$6</f>
        <v>0</v>
      </c>
      <c r="AJ32" s="17">
        <f>'Rolling report'!DC32*'No Action'!$Y$6</f>
        <v>0</v>
      </c>
      <c r="AK32" s="17">
        <f>'Rolling report'!DD32*'No Action'!$Y$6</f>
        <v>0</v>
      </c>
      <c r="AL32" s="17">
        <f>'Rolling report'!DE32*'No Action'!$Y$6</f>
        <v>0</v>
      </c>
      <c r="AM32" s="17">
        <f>'Rolling report'!DF32*'No Action'!$Y$6</f>
        <v>0</v>
      </c>
      <c r="AN32" s="17">
        <f>'Rolling report'!DG32*'No Action'!$Y$6</f>
        <v>0</v>
      </c>
      <c r="AO32" s="17">
        <f>'Rolling report'!DH32*'No Action'!$Y$6</f>
        <v>0</v>
      </c>
      <c r="AQ32" s="45"/>
    </row>
    <row r="33" spans="1:43" x14ac:dyDescent="0.25">
      <c r="A33" s="4" t="s">
        <v>55</v>
      </c>
      <c r="B33" s="6" t="s">
        <v>56</v>
      </c>
      <c r="I33" s="17">
        <f>'Rolling report'!CB33*'No Action'!$Y$6</f>
        <v>77</v>
      </c>
      <c r="J33" s="17">
        <f>'Rolling report'!CC33*'No Action'!$Y$6</f>
        <v>13.2</v>
      </c>
      <c r="K33" s="17">
        <f>'Rolling report'!CD33*'No Action'!$Y$6</f>
        <v>15.4</v>
      </c>
      <c r="L33" s="17">
        <f>'Rolling report'!CE33*'No Action'!$Y$6</f>
        <v>10.56</v>
      </c>
      <c r="M33" s="17">
        <f>'Rolling report'!CF33*'No Action'!$Y$6</f>
        <v>7.48</v>
      </c>
      <c r="N33" s="17">
        <f>'Rolling report'!CG33*'No Action'!$Y$6</f>
        <v>14.52</v>
      </c>
      <c r="O33" s="17">
        <f>'Rolling report'!CH33*'No Action'!$Y$6</f>
        <v>15.4</v>
      </c>
      <c r="P33" s="17">
        <f>'Rolling report'!CI33*'No Action'!$Y$6</f>
        <v>10.56</v>
      </c>
      <c r="Q33" s="17">
        <f>'Rolling report'!CJ33*'No Action'!$Y$6</f>
        <v>7.04</v>
      </c>
      <c r="R33" s="17">
        <f>'Rolling report'!CK33*'No Action'!$Y$6</f>
        <v>6.16</v>
      </c>
      <c r="S33" s="17">
        <f>'Rolling report'!CL33*'No Action'!$Y$6</f>
        <v>1.76</v>
      </c>
      <c r="T33" s="17">
        <f>'Rolling report'!CM33*'No Action'!$Y$6</f>
        <v>7.04</v>
      </c>
      <c r="U33" s="17">
        <f>'Rolling report'!CN33*'No Action'!$Y$6</f>
        <v>9.68</v>
      </c>
      <c r="V33" s="17">
        <f>'Rolling report'!CO33*'No Action'!$Y$6</f>
        <v>7.92</v>
      </c>
      <c r="W33" s="17">
        <f>'Rolling report'!CP33*'No Action'!$Y$6</f>
        <v>3.52</v>
      </c>
      <c r="X33" s="17">
        <f>'Rolling report'!CQ33*'No Action'!$Y$6</f>
        <v>5.28</v>
      </c>
      <c r="Y33" s="17">
        <f>'Rolling report'!CR33*'No Action'!$Y$6</f>
        <v>1.76</v>
      </c>
      <c r="Z33" s="17">
        <f>'Rolling report'!CS33*'No Action'!$Y$6</f>
        <v>6.16</v>
      </c>
      <c r="AA33" s="17">
        <f>'Rolling report'!CT33*'No Action'!$Y$6</f>
        <v>5.72</v>
      </c>
      <c r="AB33" s="17">
        <f>'Rolling report'!CU33*'No Action'!$Y$6</f>
        <v>6.16</v>
      </c>
      <c r="AC33" s="17">
        <f>'Rolling report'!CV33*'No Action'!$Y$6</f>
        <v>2.64</v>
      </c>
      <c r="AD33" s="17">
        <f>'Rolling report'!CW33*'No Action'!$Y$6</f>
        <v>3.96</v>
      </c>
      <c r="AE33" s="17">
        <f>'Rolling report'!CX33*'No Action'!$Y$6</f>
        <v>2.2000000000000002</v>
      </c>
      <c r="AF33" s="17">
        <f>'Rolling report'!CY33*'No Action'!$Y$6</f>
        <v>-241.12</v>
      </c>
      <c r="AG33" s="17">
        <f>'Rolling report'!CZ33*'No Action'!$Y$6</f>
        <v>0</v>
      </c>
      <c r="AH33" s="17">
        <f>'Rolling report'!DA33*'No Action'!$Y$6</f>
        <v>0</v>
      </c>
      <c r="AI33" s="17">
        <f>'Rolling report'!DB33*'No Action'!$Y$6</f>
        <v>0</v>
      </c>
      <c r="AJ33" s="17">
        <f>'Rolling report'!DC33*'No Action'!$Y$6</f>
        <v>0</v>
      </c>
      <c r="AK33" s="17">
        <f>'Rolling report'!DD33*'No Action'!$Y$6</f>
        <v>0</v>
      </c>
      <c r="AL33" s="17">
        <f>'Rolling report'!DE33*'No Action'!$Y$6</f>
        <v>0</v>
      </c>
      <c r="AM33" s="17">
        <f>'Rolling report'!DF33*'No Action'!$Y$6</f>
        <v>0</v>
      </c>
      <c r="AN33" s="17">
        <f>'Rolling report'!DG33*'No Action'!$Y$6</f>
        <v>0</v>
      </c>
      <c r="AO33" s="17">
        <f>'Rolling report'!DH33*'No Action'!$Y$6</f>
        <v>0</v>
      </c>
      <c r="AQ33" s="45"/>
    </row>
    <row r="34" spans="1:43" x14ac:dyDescent="0.25">
      <c r="A34" s="4" t="s">
        <v>57</v>
      </c>
      <c r="B34" s="6" t="s">
        <v>58</v>
      </c>
      <c r="I34" s="17">
        <f>'Rolling report'!CB34*'No Action'!$Y$6</f>
        <v>4.4000000000000004</v>
      </c>
      <c r="J34" s="17">
        <f>'Rolling report'!CC34*'No Action'!$Y$6</f>
        <v>6.6</v>
      </c>
      <c r="K34" s="17">
        <f>'Rolling report'!CD34*'No Action'!$Y$6</f>
        <v>0</v>
      </c>
      <c r="L34" s="17">
        <f>'Rolling report'!CE34*'No Action'!$Y$6</f>
        <v>0</v>
      </c>
      <c r="M34" s="17">
        <f>'Rolling report'!CF34*'No Action'!$Y$6</f>
        <v>0</v>
      </c>
      <c r="N34" s="17">
        <f>'Rolling report'!CG34*'No Action'!$Y$6</f>
        <v>2.2000000000000002</v>
      </c>
      <c r="O34" s="17">
        <f>'Rolling report'!CH34*'No Action'!$Y$6</f>
        <v>4.4000000000000004</v>
      </c>
      <c r="P34" s="17">
        <f>'Rolling report'!CI34*'No Action'!$Y$6</f>
        <v>0</v>
      </c>
      <c r="Q34" s="17">
        <f>'Rolling report'!CJ34*'No Action'!$Y$6</f>
        <v>0</v>
      </c>
      <c r="R34" s="17">
        <f>'Rolling report'!CK34*'No Action'!$Y$6</f>
        <v>0</v>
      </c>
      <c r="S34" s="17">
        <f>'Rolling report'!CL34*'No Action'!$Y$6</f>
        <v>2.2000000000000002</v>
      </c>
      <c r="T34" s="17">
        <f>'Rolling report'!CM34*'No Action'!$Y$6</f>
        <v>0</v>
      </c>
      <c r="U34" s="17">
        <f>'Rolling report'!CN34*'No Action'!$Y$6</f>
        <v>0</v>
      </c>
      <c r="V34" s="17">
        <f>'Rolling report'!CO34*'No Action'!$Y$6</f>
        <v>0</v>
      </c>
      <c r="W34" s="17">
        <f>'Rolling report'!CP34*'No Action'!$Y$6</f>
        <v>0</v>
      </c>
      <c r="X34" s="17">
        <f>'Rolling report'!CQ34*'No Action'!$Y$6</f>
        <v>0</v>
      </c>
      <c r="Y34" s="17">
        <f>'Rolling report'!CR34*'No Action'!$Y$6</f>
        <v>0</v>
      </c>
      <c r="Z34" s="17">
        <f>'Rolling report'!CS34*'No Action'!$Y$6</f>
        <v>0</v>
      </c>
      <c r="AA34" s="17">
        <f>'Rolling report'!CT34*'No Action'!$Y$6</f>
        <v>2.2000000000000002</v>
      </c>
      <c r="AB34" s="17">
        <f>'Rolling report'!CU34*'No Action'!$Y$6</f>
        <v>0</v>
      </c>
      <c r="AC34" s="17">
        <f>'Rolling report'!CV34*'No Action'!$Y$6</f>
        <v>2.2000000000000002</v>
      </c>
      <c r="AD34" s="17">
        <f>'Rolling report'!CW34*'No Action'!$Y$6</f>
        <v>-6.6</v>
      </c>
      <c r="AE34" s="17">
        <f>'Rolling report'!CX34*'No Action'!$Y$6</f>
        <v>0</v>
      </c>
      <c r="AF34" s="17">
        <f>'Rolling report'!CY34*'No Action'!$Y$6</f>
        <v>-17.600000000000001</v>
      </c>
      <c r="AG34" s="17">
        <f>'Rolling report'!CZ34*'No Action'!$Y$6</f>
        <v>0</v>
      </c>
      <c r="AH34" s="17">
        <f>'Rolling report'!DA34*'No Action'!$Y$6</f>
        <v>0</v>
      </c>
      <c r="AI34" s="17">
        <f>'Rolling report'!DB34*'No Action'!$Y$6</f>
        <v>0</v>
      </c>
      <c r="AJ34" s="17">
        <f>'Rolling report'!DC34*'No Action'!$Y$6</f>
        <v>0</v>
      </c>
      <c r="AK34" s="17">
        <f>'Rolling report'!DD34*'No Action'!$Y$6</f>
        <v>0</v>
      </c>
      <c r="AL34" s="17">
        <f>'Rolling report'!DE34*'No Action'!$Y$6</f>
        <v>0</v>
      </c>
      <c r="AM34" s="17">
        <f>'Rolling report'!DF34*'No Action'!$Y$6</f>
        <v>0</v>
      </c>
      <c r="AN34" s="17">
        <f>'Rolling report'!DG34*'No Action'!$Y$6</f>
        <v>0</v>
      </c>
      <c r="AO34" s="17">
        <f>'Rolling report'!DH34*'No Action'!$Y$6</f>
        <v>0</v>
      </c>
      <c r="AQ34" s="45"/>
    </row>
    <row r="35" spans="1:43" x14ac:dyDescent="0.25">
      <c r="A35" s="4" t="s">
        <v>59</v>
      </c>
      <c r="B35" s="6" t="s">
        <v>60</v>
      </c>
      <c r="I35" s="17">
        <f>'Rolling report'!CB35*'No Action'!$Y$6</f>
        <v>120.56</v>
      </c>
      <c r="J35" s="17">
        <f>'Rolling report'!CC35*'No Action'!$Y$6</f>
        <v>22.44</v>
      </c>
      <c r="K35" s="17">
        <f>'Rolling report'!CD35*'No Action'!$Y$6</f>
        <v>31.24</v>
      </c>
      <c r="L35" s="17">
        <f>'Rolling report'!CE35*'No Action'!$Y$6</f>
        <v>14.52</v>
      </c>
      <c r="M35" s="17">
        <f>'Rolling report'!CF35*'No Action'!$Y$6</f>
        <v>29.04</v>
      </c>
      <c r="N35" s="17">
        <f>'Rolling report'!CG35*'No Action'!$Y$6</f>
        <v>14.08</v>
      </c>
      <c r="O35" s="17">
        <f>'Rolling report'!CH35*'No Action'!$Y$6</f>
        <v>21.56</v>
      </c>
      <c r="P35" s="17">
        <f>'Rolling report'!CI35*'No Action'!$Y$6</f>
        <v>10.56</v>
      </c>
      <c r="Q35" s="17">
        <f>'Rolling report'!CJ35*'No Action'!$Y$6</f>
        <v>9.24</v>
      </c>
      <c r="R35" s="17">
        <f>'Rolling report'!CK35*'No Action'!$Y$6</f>
        <v>8.8000000000000007</v>
      </c>
      <c r="S35" s="17">
        <f>'Rolling report'!CL35*'No Action'!$Y$6</f>
        <v>9.24</v>
      </c>
      <c r="T35" s="17">
        <f>'Rolling report'!CM35*'No Action'!$Y$6</f>
        <v>6.6</v>
      </c>
      <c r="U35" s="17">
        <f>'Rolling report'!CN35*'No Action'!$Y$6</f>
        <v>13.64</v>
      </c>
      <c r="V35" s="17">
        <f>'Rolling report'!CO35*'No Action'!$Y$6</f>
        <v>7.48</v>
      </c>
      <c r="W35" s="17">
        <f>'Rolling report'!CP35*'No Action'!$Y$6</f>
        <v>4.4000000000000004</v>
      </c>
      <c r="X35" s="17">
        <f>'Rolling report'!CQ35*'No Action'!$Y$6</f>
        <v>2.64</v>
      </c>
      <c r="Y35" s="17">
        <f>'Rolling report'!CR35*'No Action'!$Y$6</f>
        <v>7.04</v>
      </c>
      <c r="Z35" s="17">
        <f>'Rolling report'!CS35*'No Action'!$Y$6</f>
        <v>0.44</v>
      </c>
      <c r="AA35" s="17">
        <f>'Rolling report'!CT35*'No Action'!$Y$6</f>
        <v>10.56</v>
      </c>
      <c r="AB35" s="17">
        <f>'Rolling report'!CU35*'No Action'!$Y$6</f>
        <v>9.24</v>
      </c>
      <c r="AC35" s="17">
        <f>'Rolling report'!CV35*'No Action'!$Y$6</f>
        <v>10.119999999999999</v>
      </c>
      <c r="AD35" s="17">
        <f>'Rolling report'!CW35*'No Action'!$Y$6</f>
        <v>-1.32</v>
      </c>
      <c r="AE35" s="17">
        <f>'Rolling report'!CX35*'No Action'!$Y$6</f>
        <v>6.16</v>
      </c>
      <c r="AF35" s="17">
        <f>'Rolling report'!CY35*'No Action'!$Y$6</f>
        <v>-368.28000000000003</v>
      </c>
      <c r="AG35" s="17">
        <f>'Rolling report'!CZ35*'No Action'!$Y$6</f>
        <v>0</v>
      </c>
      <c r="AH35" s="17">
        <f>'Rolling report'!DA35*'No Action'!$Y$6</f>
        <v>0</v>
      </c>
      <c r="AI35" s="17">
        <f>'Rolling report'!DB35*'No Action'!$Y$6</f>
        <v>0</v>
      </c>
      <c r="AJ35" s="17">
        <f>'Rolling report'!DC35*'No Action'!$Y$6</f>
        <v>0</v>
      </c>
      <c r="AK35" s="17">
        <f>'Rolling report'!DD35*'No Action'!$Y$6</f>
        <v>0</v>
      </c>
      <c r="AL35" s="17">
        <f>'Rolling report'!DE35*'No Action'!$Y$6</f>
        <v>0</v>
      </c>
      <c r="AM35" s="17">
        <f>'Rolling report'!DF35*'No Action'!$Y$6</f>
        <v>0</v>
      </c>
      <c r="AN35" s="17">
        <f>'Rolling report'!DG35*'No Action'!$Y$6</f>
        <v>0</v>
      </c>
      <c r="AO35" s="17">
        <f>'Rolling report'!DH35*'No Action'!$Y$6</f>
        <v>0</v>
      </c>
      <c r="AQ35" s="45"/>
    </row>
    <row r="36" spans="1:43" x14ac:dyDescent="0.25">
      <c r="A36" s="6" t="s">
        <v>61</v>
      </c>
      <c r="B36" s="6" t="s">
        <v>62</v>
      </c>
      <c r="I36" s="17">
        <f>'Rolling report'!CB36*'No Action'!$Y$6</f>
        <v>57.2</v>
      </c>
      <c r="J36" s="17">
        <f>'Rolling report'!CC36*'No Action'!$Y$6</f>
        <v>17.600000000000001</v>
      </c>
      <c r="K36" s="17">
        <f>'Rolling report'!CD36*'No Action'!$Y$6</f>
        <v>14.08</v>
      </c>
      <c r="L36" s="17">
        <f>'Rolling report'!CE36*'No Action'!$Y$6</f>
        <v>12.76</v>
      </c>
      <c r="M36" s="17">
        <f>'Rolling report'!CF36*'No Action'!$Y$6</f>
        <v>10.119999999999999</v>
      </c>
      <c r="N36" s="17">
        <f>'Rolling report'!CG36*'No Action'!$Y$6</f>
        <v>4.84</v>
      </c>
      <c r="O36" s="17">
        <f>'Rolling report'!CH36*'No Action'!$Y$6</f>
        <v>14.96</v>
      </c>
      <c r="P36" s="17">
        <f>'Rolling report'!CI36*'No Action'!$Y$6</f>
        <v>5.72</v>
      </c>
      <c r="Q36" s="17">
        <f>'Rolling report'!CJ36*'No Action'!$Y$6</f>
        <v>7.92</v>
      </c>
      <c r="R36" s="17">
        <f>'Rolling report'!CK36*'No Action'!$Y$6</f>
        <v>5.28</v>
      </c>
      <c r="S36" s="17">
        <f>'Rolling report'!CL36*'No Action'!$Y$6</f>
        <v>3.08</v>
      </c>
      <c r="T36" s="17">
        <f>'Rolling report'!CM36*'No Action'!$Y$6</f>
        <v>6.16</v>
      </c>
      <c r="U36" s="17">
        <f>'Rolling report'!CN36*'No Action'!$Y$6</f>
        <v>2.2000000000000002</v>
      </c>
      <c r="V36" s="17">
        <f>'Rolling report'!CO36*'No Action'!$Y$6</f>
        <v>7.48</v>
      </c>
      <c r="W36" s="17">
        <f>'Rolling report'!CP36*'No Action'!$Y$6</f>
        <v>6.16</v>
      </c>
      <c r="X36" s="17">
        <f>'Rolling report'!CQ36*'No Action'!$Y$6</f>
        <v>1.76</v>
      </c>
      <c r="Y36" s="17">
        <f>'Rolling report'!CR36*'No Action'!$Y$6</f>
        <v>1.32</v>
      </c>
      <c r="Z36" s="17">
        <f>'Rolling report'!CS36*'No Action'!$Y$6</f>
        <v>2.64</v>
      </c>
      <c r="AA36" s="17">
        <f>'Rolling report'!CT36*'No Action'!$Y$6</f>
        <v>2.64</v>
      </c>
      <c r="AB36" s="17">
        <f>'Rolling report'!CU36*'No Action'!$Y$6</f>
        <v>1.32</v>
      </c>
      <c r="AC36" s="17">
        <f>'Rolling report'!CV36*'No Action'!$Y$6</f>
        <v>6.16</v>
      </c>
      <c r="AD36" s="17">
        <f>'Rolling report'!CW36*'No Action'!$Y$6</f>
        <v>0.44</v>
      </c>
      <c r="AE36" s="17">
        <f>'Rolling report'!CX36*'No Action'!$Y$6</f>
        <v>2.64</v>
      </c>
      <c r="AF36" s="17">
        <f>'Rolling report'!CY36*'No Action'!$Y$6</f>
        <v>-194.48</v>
      </c>
      <c r="AG36" s="17">
        <f>'Rolling report'!CZ36*'No Action'!$Y$6</f>
        <v>0</v>
      </c>
      <c r="AH36" s="17">
        <f>'Rolling report'!DA36*'No Action'!$Y$6</f>
        <v>0</v>
      </c>
      <c r="AI36" s="17">
        <f>'Rolling report'!DB36*'No Action'!$Y$6</f>
        <v>0</v>
      </c>
      <c r="AJ36" s="17">
        <f>'Rolling report'!DC36*'No Action'!$Y$6</f>
        <v>0</v>
      </c>
      <c r="AK36" s="17">
        <f>'Rolling report'!DD36*'No Action'!$Y$6</f>
        <v>0</v>
      </c>
      <c r="AL36" s="17">
        <f>'Rolling report'!DE36*'No Action'!$Y$6</f>
        <v>0</v>
      </c>
      <c r="AM36" s="17">
        <f>'Rolling report'!DF36*'No Action'!$Y$6</f>
        <v>0</v>
      </c>
      <c r="AN36" s="17">
        <f>'Rolling report'!DG36*'No Action'!$Y$6</f>
        <v>0</v>
      </c>
      <c r="AO36" s="17">
        <f>'Rolling report'!DH36*'No Action'!$Y$6</f>
        <v>0</v>
      </c>
      <c r="AQ36" s="45"/>
    </row>
    <row r="37" spans="1:43" x14ac:dyDescent="0.25">
      <c r="A37" s="4" t="s">
        <v>63</v>
      </c>
      <c r="B37" s="6" t="s">
        <v>64</v>
      </c>
      <c r="I37" s="17">
        <f>'Rolling report'!CB37*'No Action'!$Y$6</f>
        <v>19.8</v>
      </c>
      <c r="J37" s="17">
        <f>'Rolling report'!CC37*'No Action'!$Y$6</f>
        <v>1.32</v>
      </c>
      <c r="K37" s="17">
        <f>'Rolling report'!CD37*'No Action'!$Y$6</f>
        <v>6.16</v>
      </c>
      <c r="L37" s="17">
        <f>'Rolling report'!CE37*'No Action'!$Y$6</f>
        <v>4.84</v>
      </c>
      <c r="M37" s="17">
        <f>'Rolling report'!CF37*'No Action'!$Y$6</f>
        <v>6.6</v>
      </c>
      <c r="N37" s="17">
        <f>'Rolling report'!CG37*'No Action'!$Y$6</f>
        <v>1.76</v>
      </c>
      <c r="O37" s="17">
        <f>'Rolling report'!CH37*'No Action'!$Y$6</f>
        <v>5.72</v>
      </c>
      <c r="P37" s="17">
        <f>'Rolling report'!CI37*'No Action'!$Y$6</f>
        <v>2.2000000000000002</v>
      </c>
      <c r="Q37" s="17">
        <f>'Rolling report'!CJ37*'No Action'!$Y$6</f>
        <v>4.84</v>
      </c>
      <c r="R37" s="17">
        <f>'Rolling report'!CK37*'No Action'!$Y$6</f>
        <v>0.44</v>
      </c>
      <c r="S37" s="17">
        <f>'Rolling report'!CL37*'No Action'!$Y$6</f>
        <v>0.44</v>
      </c>
      <c r="T37" s="17">
        <f>'Rolling report'!CM37*'No Action'!$Y$6</f>
        <v>2.2000000000000002</v>
      </c>
      <c r="U37" s="17">
        <f>'Rolling report'!CN37*'No Action'!$Y$6</f>
        <v>2.64</v>
      </c>
      <c r="V37" s="17">
        <f>'Rolling report'!CO37*'No Action'!$Y$6</f>
        <v>5.28</v>
      </c>
      <c r="W37" s="17">
        <f>'Rolling report'!CP37*'No Action'!$Y$6</f>
        <v>3.96</v>
      </c>
      <c r="X37" s="17">
        <f>'Rolling report'!CQ37*'No Action'!$Y$6</f>
        <v>0</v>
      </c>
      <c r="Y37" s="17">
        <f>'Rolling report'!CR37*'No Action'!$Y$6</f>
        <v>2.64</v>
      </c>
      <c r="Z37" s="17">
        <f>'Rolling report'!CS37*'No Action'!$Y$6</f>
        <v>3.08</v>
      </c>
      <c r="AA37" s="17">
        <f>'Rolling report'!CT37*'No Action'!$Y$6</f>
        <v>2.64</v>
      </c>
      <c r="AB37" s="17">
        <f>'Rolling report'!CU37*'No Action'!$Y$6</f>
        <v>5.72</v>
      </c>
      <c r="AC37" s="17">
        <f>'Rolling report'!CV37*'No Action'!$Y$6</f>
        <v>4.4000000000000004</v>
      </c>
      <c r="AD37" s="17">
        <f>'Rolling report'!CW37*'No Action'!$Y$6</f>
        <v>-0.44</v>
      </c>
      <c r="AE37" s="17">
        <f>'Rolling report'!CX37*'No Action'!$Y$6</f>
        <v>3.52</v>
      </c>
      <c r="AF37" s="17">
        <f>'Rolling report'!CY37*'No Action'!$Y$6</f>
        <v>-89.76</v>
      </c>
      <c r="AG37" s="17">
        <f>'Rolling report'!CZ37*'No Action'!$Y$6</f>
        <v>0</v>
      </c>
      <c r="AH37" s="17">
        <f>'Rolling report'!DA37*'No Action'!$Y$6</f>
        <v>0</v>
      </c>
      <c r="AI37" s="17">
        <f>'Rolling report'!DB37*'No Action'!$Y$6</f>
        <v>0</v>
      </c>
      <c r="AJ37" s="17">
        <f>'Rolling report'!DC37*'No Action'!$Y$6</f>
        <v>0</v>
      </c>
      <c r="AK37" s="17">
        <f>'Rolling report'!DD37*'No Action'!$Y$6</f>
        <v>0</v>
      </c>
      <c r="AL37" s="17">
        <f>'Rolling report'!DE37*'No Action'!$Y$6</f>
        <v>0</v>
      </c>
      <c r="AM37" s="17">
        <f>'Rolling report'!DF37*'No Action'!$Y$6</f>
        <v>0</v>
      </c>
      <c r="AN37" s="17">
        <f>'Rolling report'!DG37*'No Action'!$Y$6</f>
        <v>0</v>
      </c>
      <c r="AO37" s="17">
        <f>'Rolling report'!DH37*'No Action'!$Y$6</f>
        <v>0</v>
      </c>
      <c r="AQ37" s="45"/>
    </row>
    <row r="38" spans="1:43" x14ac:dyDescent="0.25">
      <c r="A38" s="4" t="s">
        <v>65</v>
      </c>
      <c r="B38" s="6" t="s">
        <v>66</v>
      </c>
      <c r="I38" s="17">
        <f>'Rolling report'!CB38*'No Action'!$Y$6</f>
        <v>77.44</v>
      </c>
      <c r="J38" s="17">
        <f>'Rolling report'!CC38*'No Action'!$Y$6</f>
        <v>11</v>
      </c>
      <c r="K38" s="17">
        <f>'Rolling report'!CD38*'No Action'!$Y$6</f>
        <v>11.44</v>
      </c>
      <c r="L38" s="17">
        <f>'Rolling report'!CE38*'No Action'!$Y$6</f>
        <v>14.08</v>
      </c>
      <c r="M38" s="17">
        <f>'Rolling report'!CF38*'No Action'!$Y$6</f>
        <v>9.68</v>
      </c>
      <c r="N38" s="17">
        <f>'Rolling report'!CG38*'No Action'!$Y$6</f>
        <v>8.36</v>
      </c>
      <c r="O38" s="17">
        <f>'Rolling report'!CH38*'No Action'!$Y$6</f>
        <v>7.04</v>
      </c>
      <c r="P38" s="17">
        <f>'Rolling report'!CI38*'No Action'!$Y$6</f>
        <v>3.08</v>
      </c>
      <c r="Q38" s="17">
        <f>'Rolling report'!CJ38*'No Action'!$Y$6</f>
        <v>8.36</v>
      </c>
      <c r="R38" s="17">
        <f>'Rolling report'!CK38*'No Action'!$Y$6</f>
        <v>4.4000000000000004</v>
      </c>
      <c r="S38" s="17">
        <f>'Rolling report'!CL38*'No Action'!$Y$6</f>
        <v>3.96</v>
      </c>
      <c r="T38" s="17">
        <f>'Rolling report'!CM38*'No Action'!$Y$6</f>
        <v>9.24</v>
      </c>
      <c r="U38" s="17">
        <f>'Rolling report'!CN38*'No Action'!$Y$6</f>
        <v>1.76</v>
      </c>
      <c r="V38" s="17">
        <f>'Rolling report'!CO38*'No Action'!$Y$6</f>
        <v>3.08</v>
      </c>
      <c r="W38" s="17">
        <f>'Rolling report'!CP38*'No Action'!$Y$6</f>
        <v>5.72</v>
      </c>
      <c r="X38" s="17">
        <f>'Rolling report'!CQ38*'No Action'!$Y$6</f>
        <v>4.4000000000000004</v>
      </c>
      <c r="Y38" s="17">
        <f>'Rolling report'!CR38*'No Action'!$Y$6</f>
        <v>2.64</v>
      </c>
      <c r="Z38" s="17">
        <f>'Rolling report'!CS38*'No Action'!$Y$6</f>
        <v>3.52</v>
      </c>
      <c r="AA38" s="17">
        <f>'Rolling report'!CT38*'No Action'!$Y$6</f>
        <v>3.96</v>
      </c>
      <c r="AB38" s="17">
        <f>'Rolling report'!CU38*'No Action'!$Y$6</f>
        <v>3.52</v>
      </c>
      <c r="AC38" s="17">
        <f>'Rolling report'!CV38*'No Action'!$Y$6</f>
        <v>7.48</v>
      </c>
      <c r="AD38" s="17">
        <f>'Rolling report'!CW38*'No Action'!$Y$6</f>
        <v>-2.64</v>
      </c>
      <c r="AE38" s="17">
        <f>'Rolling report'!CX38*'No Action'!$Y$6</f>
        <v>2.64</v>
      </c>
      <c r="AF38" s="17">
        <f>'Rolling report'!CY38*'No Action'!$Y$6</f>
        <v>-204.16</v>
      </c>
      <c r="AG38" s="17">
        <f>'Rolling report'!CZ38*'No Action'!$Y$6</f>
        <v>0</v>
      </c>
      <c r="AH38" s="17">
        <f>'Rolling report'!DA38*'No Action'!$Y$6</f>
        <v>0</v>
      </c>
      <c r="AI38" s="17">
        <f>'Rolling report'!DB38*'No Action'!$Y$6</f>
        <v>0</v>
      </c>
      <c r="AJ38" s="17">
        <f>'Rolling report'!DC38*'No Action'!$Y$6</f>
        <v>0</v>
      </c>
      <c r="AK38" s="17">
        <f>'Rolling report'!DD38*'No Action'!$Y$6</f>
        <v>0</v>
      </c>
      <c r="AL38" s="17">
        <f>'Rolling report'!DE38*'No Action'!$Y$6</f>
        <v>0</v>
      </c>
      <c r="AM38" s="17">
        <f>'Rolling report'!DF38*'No Action'!$Y$6</f>
        <v>0</v>
      </c>
      <c r="AN38" s="17">
        <f>'Rolling report'!DG38*'No Action'!$Y$6</f>
        <v>0</v>
      </c>
      <c r="AO38" s="17">
        <f>'Rolling report'!DH38*'No Action'!$Y$6</f>
        <v>0</v>
      </c>
      <c r="AQ38" s="45"/>
    </row>
    <row r="39" spans="1:43" x14ac:dyDescent="0.25">
      <c r="A39" s="4" t="s">
        <v>67</v>
      </c>
      <c r="B39" s="6" t="s">
        <v>68</v>
      </c>
      <c r="I39" s="17">
        <f>'Rolling report'!CB39*'No Action'!$Y$6</f>
        <v>80.959999999999994</v>
      </c>
      <c r="J39" s="17">
        <f>'Rolling report'!CC39*'No Action'!$Y$6</f>
        <v>23.32</v>
      </c>
      <c r="K39" s="17">
        <f>'Rolling report'!CD39*'No Action'!$Y$6</f>
        <v>14.96</v>
      </c>
      <c r="L39" s="17">
        <f>'Rolling report'!CE39*'No Action'!$Y$6</f>
        <v>16.72</v>
      </c>
      <c r="M39" s="17">
        <f>'Rolling report'!CF39*'No Action'!$Y$6</f>
        <v>10.119999999999999</v>
      </c>
      <c r="N39" s="17">
        <f>'Rolling report'!CG39*'No Action'!$Y$6</f>
        <v>8.36</v>
      </c>
      <c r="O39" s="17">
        <f>'Rolling report'!CH39*'No Action'!$Y$6</f>
        <v>8.8000000000000007</v>
      </c>
      <c r="P39" s="17">
        <f>'Rolling report'!CI39*'No Action'!$Y$6</f>
        <v>7.48</v>
      </c>
      <c r="Q39" s="17">
        <f>'Rolling report'!CJ39*'No Action'!$Y$6</f>
        <v>15.4</v>
      </c>
      <c r="R39" s="17">
        <f>'Rolling report'!CK39*'No Action'!$Y$6</f>
        <v>11.88</v>
      </c>
      <c r="S39" s="17">
        <f>'Rolling report'!CL39*'No Action'!$Y$6</f>
        <v>5.72</v>
      </c>
      <c r="T39" s="17">
        <f>'Rolling report'!CM39*'No Action'!$Y$6</f>
        <v>16.28</v>
      </c>
      <c r="U39" s="17">
        <f>'Rolling report'!CN39*'No Action'!$Y$6</f>
        <v>7.92</v>
      </c>
      <c r="V39" s="17">
        <f>'Rolling report'!CO39*'No Action'!$Y$6</f>
        <v>9.24</v>
      </c>
      <c r="W39" s="17">
        <f>'Rolling report'!CP39*'No Action'!$Y$6</f>
        <v>7.48</v>
      </c>
      <c r="X39" s="17">
        <f>'Rolling report'!CQ39*'No Action'!$Y$6</f>
        <v>2.2000000000000002</v>
      </c>
      <c r="Y39" s="17">
        <f>'Rolling report'!CR39*'No Action'!$Y$6</f>
        <v>6.16</v>
      </c>
      <c r="Z39" s="17">
        <f>'Rolling report'!CS39*'No Action'!$Y$6</f>
        <v>3.52</v>
      </c>
      <c r="AA39" s="17">
        <f>'Rolling report'!CT39*'No Action'!$Y$6</f>
        <v>7.04</v>
      </c>
      <c r="AB39" s="17">
        <f>'Rolling report'!CU39*'No Action'!$Y$6</f>
        <v>2.2000000000000002</v>
      </c>
      <c r="AC39" s="17">
        <f>'Rolling report'!CV39*'No Action'!$Y$6</f>
        <v>17.16</v>
      </c>
      <c r="AD39" s="17">
        <f>'Rolling report'!CW39*'No Action'!$Y$6</f>
        <v>0.88</v>
      </c>
      <c r="AE39" s="17">
        <f>'Rolling report'!CX39*'No Action'!$Y$6</f>
        <v>7.92</v>
      </c>
      <c r="AF39" s="17">
        <f>'Rolling report'!CY39*'No Action'!$Y$6</f>
        <v>-291.72000000000003</v>
      </c>
      <c r="AG39" s="17">
        <f>'Rolling report'!CZ39*'No Action'!$Y$6</f>
        <v>0</v>
      </c>
      <c r="AH39" s="17">
        <f>'Rolling report'!DA39*'No Action'!$Y$6</f>
        <v>0</v>
      </c>
      <c r="AI39" s="17">
        <f>'Rolling report'!DB39*'No Action'!$Y$6</f>
        <v>0</v>
      </c>
      <c r="AJ39" s="17">
        <f>'Rolling report'!DC39*'No Action'!$Y$6</f>
        <v>0</v>
      </c>
      <c r="AK39" s="17">
        <f>'Rolling report'!DD39*'No Action'!$Y$6</f>
        <v>0</v>
      </c>
      <c r="AL39" s="17">
        <f>'Rolling report'!DE39*'No Action'!$Y$6</f>
        <v>0</v>
      </c>
      <c r="AM39" s="17">
        <f>'Rolling report'!DF39*'No Action'!$Y$6</f>
        <v>0</v>
      </c>
      <c r="AN39" s="17">
        <f>'Rolling report'!DG39*'No Action'!$Y$6</f>
        <v>0</v>
      </c>
      <c r="AO39" s="17">
        <f>'Rolling report'!DH39*'No Action'!$Y$6</f>
        <v>0</v>
      </c>
      <c r="AQ39" s="45"/>
    </row>
    <row r="40" spans="1:43" x14ac:dyDescent="0.25">
      <c r="A40" s="4" t="s">
        <v>69</v>
      </c>
      <c r="B40" s="6" t="s">
        <v>70</v>
      </c>
      <c r="I40" s="17">
        <f>'Rolling report'!CB40*'No Action'!$Y$6</f>
        <v>10.56</v>
      </c>
      <c r="J40" s="17">
        <f>'Rolling report'!CC40*'No Action'!$Y$6</f>
        <v>5.72</v>
      </c>
      <c r="K40" s="17">
        <f>'Rolling report'!CD40*'No Action'!$Y$6</f>
        <v>4.84</v>
      </c>
      <c r="L40" s="17">
        <f>'Rolling report'!CE40*'No Action'!$Y$6</f>
        <v>1.76</v>
      </c>
      <c r="M40" s="17">
        <f>'Rolling report'!CF40*'No Action'!$Y$6</f>
        <v>2.2000000000000002</v>
      </c>
      <c r="N40" s="17">
        <f>'Rolling report'!CG40*'No Action'!$Y$6</f>
        <v>3.08</v>
      </c>
      <c r="O40" s="17">
        <f>'Rolling report'!CH40*'No Action'!$Y$6</f>
        <v>0.88</v>
      </c>
      <c r="P40" s="17">
        <f>'Rolling report'!CI40*'No Action'!$Y$6</f>
        <v>0.44</v>
      </c>
      <c r="Q40" s="17">
        <f>'Rolling report'!CJ40*'No Action'!$Y$6</f>
        <v>3.08</v>
      </c>
      <c r="R40" s="17">
        <f>'Rolling report'!CK40*'No Action'!$Y$6</f>
        <v>0</v>
      </c>
      <c r="S40" s="17">
        <f>'Rolling report'!CL40*'No Action'!$Y$6</f>
        <v>0</v>
      </c>
      <c r="T40" s="17">
        <f>'Rolling report'!CM40*'No Action'!$Y$6</f>
        <v>0.44</v>
      </c>
      <c r="U40" s="17">
        <f>'Rolling report'!CN40*'No Action'!$Y$6</f>
        <v>2.64</v>
      </c>
      <c r="V40" s="17">
        <f>'Rolling report'!CO40*'No Action'!$Y$6</f>
        <v>0</v>
      </c>
      <c r="W40" s="17">
        <f>'Rolling report'!CP40*'No Action'!$Y$6</f>
        <v>0.44</v>
      </c>
      <c r="X40" s="17">
        <f>'Rolling report'!CQ40*'No Action'!$Y$6</f>
        <v>0.88</v>
      </c>
      <c r="Y40" s="17">
        <f>'Rolling report'!CR40*'No Action'!$Y$6</f>
        <v>0</v>
      </c>
      <c r="Z40" s="17">
        <f>'Rolling report'!CS40*'No Action'!$Y$6</f>
        <v>0</v>
      </c>
      <c r="AA40" s="17">
        <f>'Rolling report'!CT40*'No Action'!$Y$6</f>
        <v>3.52</v>
      </c>
      <c r="AB40" s="17">
        <f>'Rolling report'!CU40*'No Action'!$Y$6</f>
        <v>0</v>
      </c>
      <c r="AC40" s="17">
        <f>'Rolling report'!CV40*'No Action'!$Y$6</f>
        <v>0</v>
      </c>
      <c r="AD40" s="17">
        <f>'Rolling report'!CW40*'No Action'!$Y$6</f>
        <v>0</v>
      </c>
      <c r="AE40" s="17">
        <f>'Rolling report'!CX40*'No Action'!$Y$6</f>
        <v>0.44</v>
      </c>
      <c r="AF40" s="17">
        <f>'Rolling report'!CY40*'No Action'!$Y$6</f>
        <v>-40.92</v>
      </c>
      <c r="AG40" s="17">
        <f>'Rolling report'!CZ40*'No Action'!$Y$6</f>
        <v>0</v>
      </c>
      <c r="AH40" s="17">
        <f>'Rolling report'!DA40*'No Action'!$Y$6</f>
        <v>0</v>
      </c>
      <c r="AI40" s="17">
        <f>'Rolling report'!DB40*'No Action'!$Y$6</f>
        <v>0</v>
      </c>
      <c r="AJ40" s="17">
        <f>'Rolling report'!DC40*'No Action'!$Y$6</f>
        <v>0</v>
      </c>
      <c r="AK40" s="17">
        <f>'Rolling report'!DD40*'No Action'!$Y$6</f>
        <v>0</v>
      </c>
      <c r="AL40" s="17">
        <f>'Rolling report'!DE40*'No Action'!$Y$6</f>
        <v>0</v>
      </c>
      <c r="AM40" s="17">
        <f>'Rolling report'!DF40*'No Action'!$Y$6</f>
        <v>0</v>
      </c>
      <c r="AN40" s="17">
        <f>'Rolling report'!DG40*'No Action'!$Y$6</f>
        <v>0</v>
      </c>
      <c r="AO40" s="17">
        <f>'Rolling report'!DH40*'No Action'!$Y$6</f>
        <v>0</v>
      </c>
      <c r="AQ40" s="45"/>
    </row>
    <row r="41" spans="1:43" x14ac:dyDescent="0.25">
      <c r="A41" s="4" t="s">
        <v>71</v>
      </c>
      <c r="B41" s="6" t="s">
        <v>72</v>
      </c>
      <c r="I41" s="17">
        <f>'Rolling report'!CB41*'No Action'!$Y$6</f>
        <v>23.32</v>
      </c>
      <c r="J41" s="17">
        <f>'Rolling report'!CC41*'No Action'!$Y$6</f>
        <v>5.72</v>
      </c>
      <c r="K41" s="17">
        <f>'Rolling report'!CD41*'No Action'!$Y$6</f>
        <v>0.44</v>
      </c>
      <c r="L41" s="17">
        <f>'Rolling report'!CE41*'No Action'!$Y$6</f>
        <v>3.08</v>
      </c>
      <c r="M41" s="17">
        <f>'Rolling report'!CF41*'No Action'!$Y$6</f>
        <v>1.76</v>
      </c>
      <c r="N41" s="17">
        <f>'Rolling report'!CG41*'No Action'!$Y$6</f>
        <v>0</v>
      </c>
      <c r="O41" s="17">
        <f>'Rolling report'!CH41*'No Action'!$Y$6</f>
        <v>0</v>
      </c>
      <c r="P41" s="17">
        <f>'Rolling report'!CI41*'No Action'!$Y$6</f>
        <v>1.32</v>
      </c>
      <c r="Q41" s="17">
        <f>'Rolling report'!CJ41*'No Action'!$Y$6</f>
        <v>2.64</v>
      </c>
      <c r="R41" s="17">
        <f>'Rolling report'!CK41*'No Action'!$Y$6</f>
        <v>1.76</v>
      </c>
      <c r="S41" s="17">
        <f>'Rolling report'!CL41*'No Action'!$Y$6</f>
        <v>0</v>
      </c>
      <c r="T41" s="17">
        <f>'Rolling report'!CM41*'No Action'!$Y$6</f>
        <v>4.4000000000000004</v>
      </c>
      <c r="U41" s="17">
        <f>'Rolling report'!CN41*'No Action'!$Y$6</f>
        <v>5.28</v>
      </c>
      <c r="V41" s="17">
        <f>'Rolling report'!CO41*'No Action'!$Y$6</f>
        <v>0.44</v>
      </c>
      <c r="W41" s="17">
        <f>'Rolling report'!CP41*'No Action'!$Y$6</f>
        <v>5.28</v>
      </c>
      <c r="X41" s="17">
        <f>'Rolling report'!CQ41*'No Action'!$Y$6</f>
        <v>2.2000000000000002</v>
      </c>
      <c r="Y41" s="17">
        <f>'Rolling report'!CR41*'No Action'!$Y$6</f>
        <v>0.88</v>
      </c>
      <c r="Z41" s="17">
        <f>'Rolling report'!CS41*'No Action'!$Y$6</f>
        <v>0.88</v>
      </c>
      <c r="AA41" s="17">
        <f>'Rolling report'!CT41*'No Action'!$Y$6</f>
        <v>0</v>
      </c>
      <c r="AB41" s="17">
        <f>'Rolling report'!CU41*'No Action'!$Y$6</f>
        <v>0.88</v>
      </c>
      <c r="AC41" s="17">
        <f>'Rolling report'!CV41*'No Action'!$Y$6</f>
        <v>0.88</v>
      </c>
      <c r="AD41" s="17">
        <f>'Rolling report'!CW41*'No Action'!$Y$6</f>
        <v>0.44</v>
      </c>
      <c r="AE41" s="17">
        <f>'Rolling report'!CX41*'No Action'!$Y$6</f>
        <v>0.88</v>
      </c>
      <c r="AF41" s="17">
        <f>'Rolling report'!CY41*'No Action'!$Y$6</f>
        <v>-62.48</v>
      </c>
      <c r="AG41" s="17">
        <f>'Rolling report'!CZ41*'No Action'!$Y$6</f>
        <v>0</v>
      </c>
      <c r="AH41" s="17">
        <f>'Rolling report'!DA41*'No Action'!$Y$6</f>
        <v>0</v>
      </c>
      <c r="AI41" s="17">
        <f>'Rolling report'!DB41*'No Action'!$Y$6</f>
        <v>0</v>
      </c>
      <c r="AJ41" s="17">
        <f>'Rolling report'!DC41*'No Action'!$Y$6</f>
        <v>0</v>
      </c>
      <c r="AK41" s="17">
        <f>'Rolling report'!DD41*'No Action'!$Y$6</f>
        <v>0</v>
      </c>
      <c r="AL41" s="17">
        <f>'Rolling report'!DE41*'No Action'!$Y$6</f>
        <v>0</v>
      </c>
      <c r="AM41" s="17">
        <f>'Rolling report'!DF41*'No Action'!$Y$6</f>
        <v>0</v>
      </c>
      <c r="AN41" s="17">
        <f>'Rolling report'!DG41*'No Action'!$Y$6</f>
        <v>0</v>
      </c>
      <c r="AO41" s="17">
        <f>'Rolling report'!DH41*'No Action'!$Y$6</f>
        <v>0</v>
      </c>
      <c r="AQ41" s="45"/>
    </row>
    <row r="42" spans="1:43" x14ac:dyDescent="0.25">
      <c r="A42" s="6" t="s">
        <v>73</v>
      </c>
      <c r="B42" s="6" t="s">
        <v>74</v>
      </c>
      <c r="I42" s="17">
        <f>'Rolling report'!CB42*'No Action'!$Y$6</f>
        <v>155.32</v>
      </c>
      <c r="J42" s="17">
        <f>'Rolling report'!CC42*'No Action'!$Y$6</f>
        <v>21.12</v>
      </c>
      <c r="K42" s="17">
        <f>'Rolling report'!CD42*'No Action'!$Y$6</f>
        <v>33.880000000000003</v>
      </c>
      <c r="L42" s="17">
        <f>'Rolling report'!CE42*'No Action'!$Y$6</f>
        <v>36.520000000000003</v>
      </c>
      <c r="M42" s="17">
        <f>'Rolling report'!CF42*'No Action'!$Y$6</f>
        <v>18.920000000000002</v>
      </c>
      <c r="N42" s="17">
        <f>'Rolling report'!CG42*'No Action'!$Y$6</f>
        <v>16.72</v>
      </c>
      <c r="O42" s="17">
        <f>'Rolling report'!CH42*'No Action'!$Y$6</f>
        <v>36.08</v>
      </c>
      <c r="P42" s="17">
        <f>'Rolling report'!CI42*'No Action'!$Y$6</f>
        <v>19.36</v>
      </c>
      <c r="Q42" s="17">
        <f>'Rolling report'!CJ42*'No Action'!$Y$6</f>
        <v>20.68</v>
      </c>
      <c r="R42" s="17">
        <f>'Rolling report'!CK42*'No Action'!$Y$6</f>
        <v>21.12</v>
      </c>
      <c r="S42" s="17">
        <f>'Rolling report'!CL42*'No Action'!$Y$6</f>
        <v>11.44</v>
      </c>
      <c r="T42" s="17">
        <f>'Rolling report'!CM42*'No Action'!$Y$6</f>
        <v>14.52</v>
      </c>
      <c r="U42" s="17">
        <f>'Rolling report'!CN42*'No Action'!$Y$6</f>
        <v>13.64</v>
      </c>
      <c r="V42" s="17">
        <f>'Rolling report'!CO42*'No Action'!$Y$6</f>
        <v>11.44</v>
      </c>
      <c r="W42" s="17">
        <f>'Rolling report'!CP42*'No Action'!$Y$6</f>
        <v>8.8000000000000007</v>
      </c>
      <c r="X42" s="17">
        <f>'Rolling report'!CQ42*'No Action'!$Y$6</f>
        <v>11</v>
      </c>
      <c r="Y42" s="17">
        <f>'Rolling report'!CR42*'No Action'!$Y$6</f>
        <v>12.76</v>
      </c>
      <c r="Z42" s="17">
        <f>'Rolling report'!CS42*'No Action'!$Y$6</f>
        <v>7.92</v>
      </c>
      <c r="AA42" s="17">
        <f>'Rolling report'!CT42*'No Action'!$Y$6</f>
        <v>8.8000000000000007</v>
      </c>
      <c r="AB42" s="17">
        <f>'Rolling report'!CU42*'No Action'!$Y$6</f>
        <v>5.72</v>
      </c>
      <c r="AC42" s="17">
        <f>'Rolling report'!CV42*'No Action'!$Y$6</f>
        <v>12.32</v>
      </c>
      <c r="AD42" s="17">
        <f>'Rolling report'!CW42*'No Action'!$Y$6</f>
        <v>0.44</v>
      </c>
      <c r="AE42" s="17">
        <f>'Rolling report'!CX42*'No Action'!$Y$6</f>
        <v>9.68</v>
      </c>
      <c r="AF42" s="17">
        <f>'Rolling report'!CY42*'No Action'!$Y$6</f>
        <v>-508.2</v>
      </c>
      <c r="AG42" s="17">
        <f>'Rolling report'!CZ42*'No Action'!$Y$6</f>
        <v>0</v>
      </c>
      <c r="AH42" s="17">
        <f>'Rolling report'!DA42*'No Action'!$Y$6</f>
        <v>0</v>
      </c>
      <c r="AI42" s="17">
        <f>'Rolling report'!DB42*'No Action'!$Y$6</f>
        <v>0</v>
      </c>
      <c r="AJ42" s="17">
        <f>'Rolling report'!DC42*'No Action'!$Y$6</f>
        <v>0</v>
      </c>
      <c r="AK42" s="17">
        <f>'Rolling report'!DD42*'No Action'!$Y$6</f>
        <v>0</v>
      </c>
      <c r="AL42" s="17">
        <f>'Rolling report'!DE42*'No Action'!$Y$6</f>
        <v>0</v>
      </c>
      <c r="AM42" s="17">
        <f>'Rolling report'!DF42*'No Action'!$Y$6</f>
        <v>0</v>
      </c>
      <c r="AN42" s="17">
        <f>'Rolling report'!DG42*'No Action'!$Y$6</f>
        <v>0</v>
      </c>
      <c r="AO42" s="17">
        <f>'Rolling report'!DH42*'No Action'!$Y$6</f>
        <v>0</v>
      </c>
      <c r="AQ42" s="45"/>
    </row>
    <row r="43" spans="1:43" x14ac:dyDescent="0.25">
      <c r="A43" s="6" t="s">
        <v>75</v>
      </c>
      <c r="B43" s="6" t="s">
        <v>76</v>
      </c>
      <c r="I43" s="17">
        <f>'Rolling report'!CB43*'No Action'!$Y$6</f>
        <v>220.88</v>
      </c>
      <c r="J43" s="17">
        <f>'Rolling report'!CC43*'No Action'!$Y$6</f>
        <v>39.160000000000004</v>
      </c>
      <c r="K43" s="17">
        <f>'Rolling report'!CD43*'No Action'!$Y$6</f>
        <v>23.32</v>
      </c>
      <c r="L43" s="17">
        <f>'Rolling report'!CE43*'No Action'!$Y$6</f>
        <v>36.520000000000003</v>
      </c>
      <c r="M43" s="17">
        <f>'Rolling report'!CF43*'No Action'!$Y$6</f>
        <v>39.6</v>
      </c>
      <c r="N43" s="17">
        <f>'Rolling report'!CG43*'No Action'!$Y$6</f>
        <v>42.68</v>
      </c>
      <c r="O43" s="17">
        <f>'Rolling report'!CH43*'No Action'!$Y$6</f>
        <v>36.520000000000003</v>
      </c>
      <c r="P43" s="17">
        <f>'Rolling report'!CI43*'No Action'!$Y$6</f>
        <v>18.48</v>
      </c>
      <c r="Q43" s="17">
        <f>'Rolling report'!CJ43*'No Action'!$Y$6</f>
        <v>24.2</v>
      </c>
      <c r="R43" s="17">
        <f>'Rolling report'!CK43*'No Action'!$Y$6</f>
        <v>25.080000000000002</v>
      </c>
      <c r="S43" s="17">
        <f>'Rolling report'!CL43*'No Action'!$Y$6</f>
        <v>14.52</v>
      </c>
      <c r="T43" s="17">
        <f>'Rolling report'!CM43*'No Action'!$Y$6</f>
        <v>33.880000000000003</v>
      </c>
      <c r="U43" s="17">
        <f>'Rolling report'!CN43*'No Action'!$Y$6</f>
        <v>18.48</v>
      </c>
      <c r="V43" s="17">
        <f>'Rolling report'!CO43*'No Action'!$Y$6</f>
        <v>16.28</v>
      </c>
      <c r="W43" s="17">
        <f>'Rolling report'!CP43*'No Action'!$Y$6</f>
        <v>13.2</v>
      </c>
      <c r="X43" s="17">
        <f>'Rolling report'!CQ43*'No Action'!$Y$6</f>
        <v>11</v>
      </c>
      <c r="Y43" s="17">
        <f>'Rolling report'!CR43*'No Action'!$Y$6</f>
        <v>8.8000000000000007</v>
      </c>
      <c r="Z43" s="17">
        <f>'Rolling report'!CS43*'No Action'!$Y$6</f>
        <v>11</v>
      </c>
      <c r="AA43" s="17">
        <f>'Rolling report'!CT43*'No Action'!$Y$6</f>
        <v>8.8000000000000007</v>
      </c>
      <c r="AB43" s="17">
        <f>'Rolling report'!CU43*'No Action'!$Y$6</f>
        <v>9.24</v>
      </c>
      <c r="AC43" s="17">
        <f>'Rolling report'!CV43*'No Action'!$Y$6</f>
        <v>19.36</v>
      </c>
      <c r="AD43" s="17">
        <f>'Rolling report'!CW43*'No Action'!$Y$6</f>
        <v>2.2000000000000002</v>
      </c>
      <c r="AE43" s="17">
        <f>'Rolling report'!CX43*'No Action'!$Y$6</f>
        <v>8.36</v>
      </c>
      <c r="AF43" s="17">
        <f>'Rolling report'!CY43*'No Action'!$Y$6</f>
        <v>-681.56000000000006</v>
      </c>
      <c r="AG43" s="17">
        <f>'Rolling report'!CZ43*'No Action'!$Y$6</f>
        <v>0</v>
      </c>
      <c r="AH43" s="17">
        <f>'Rolling report'!DA43*'No Action'!$Y$6</f>
        <v>0</v>
      </c>
      <c r="AI43" s="17">
        <f>'Rolling report'!DB43*'No Action'!$Y$6</f>
        <v>0</v>
      </c>
      <c r="AJ43" s="17">
        <f>'Rolling report'!DC43*'No Action'!$Y$6</f>
        <v>0</v>
      </c>
      <c r="AK43" s="17">
        <f>'Rolling report'!DD43*'No Action'!$Y$6</f>
        <v>0</v>
      </c>
      <c r="AL43" s="17">
        <f>'Rolling report'!DE43*'No Action'!$Y$6</f>
        <v>0</v>
      </c>
      <c r="AM43" s="17">
        <f>'Rolling report'!DF43*'No Action'!$Y$6</f>
        <v>0</v>
      </c>
      <c r="AN43" s="17">
        <f>'Rolling report'!DG43*'No Action'!$Y$6</f>
        <v>0</v>
      </c>
      <c r="AO43" s="17">
        <f>'Rolling report'!DH43*'No Action'!$Y$6</f>
        <v>0</v>
      </c>
      <c r="AQ43" s="45"/>
    </row>
    <row r="44" spans="1:43" x14ac:dyDescent="0.25">
      <c r="A44" s="6" t="s">
        <v>77</v>
      </c>
      <c r="B44" s="6" t="s">
        <v>78</v>
      </c>
      <c r="I44" s="17">
        <f>'Rolling report'!CB44*'No Action'!$Y$6</f>
        <v>22</v>
      </c>
      <c r="J44" s="17">
        <f>'Rolling report'!CC44*'No Action'!$Y$6</f>
        <v>4.4000000000000004</v>
      </c>
      <c r="K44" s="17">
        <f>'Rolling report'!CD44*'No Action'!$Y$6</f>
        <v>11.44</v>
      </c>
      <c r="L44" s="17">
        <f>'Rolling report'!CE44*'No Action'!$Y$6</f>
        <v>1.32</v>
      </c>
      <c r="M44" s="17">
        <f>'Rolling report'!CF44*'No Action'!$Y$6</f>
        <v>3.08</v>
      </c>
      <c r="N44" s="17">
        <f>'Rolling report'!CG44*'No Action'!$Y$6</f>
        <v>2.64</v>
      </c>
      <c r="O44" s="17">
        <f>'Rolling report'!CH44*'No Action'!$Y$6</f>
        <v>4.4000000000000004</v>
      </c>
      <c r="P44" s="17">
        <f>'Rolling report'!CI44*'No Action'!$Y$6</f>
        <v>2.2000000000000002</v>
      </c>
      <c r="Q44" s="17">
        <f>'Rolling report'!CJ44*'No Action'!$Y$6</f>
        <v>1.76</v>
      </c>
      <c r="R44" s="17">
        <f>'Rolling report'!CK44*'No Action'!$Y$6</f>
        <v>1.76</v>
      </c>
      <c r="S44" s="17">
        <f>'Rolling report'!CL44*'No Action'!$Y$6</f>
        <v>0.88</v>
      </c>
      <c r="T44" s="17">
        <f>'Rolling report'!CM44*'No Action'!$Y$6</f>
        <v>0.44</v>
      </c>
      <c r="U44" s="17">
        <f>'Rolling report'!CN44*'No Action'!$Y$6</f>
        <v>0.88</v>
      </c>
      <c r="V44" s="17">
        <f>'Rolling report'!CO44*'No Action'!$Y$6</f>
        <v>3.52</v>
      </c>
      <c r="W44" s="17">
        <f>'Rolling report'!CP44*'No Action'!$Y$6</f>
        <v>1.76</v>
      </c>
      <c r="X44" s="17">
        <f>'Rolling report'!CQ44*'No Action'!$Y$6</f>
        <v>0.88</v>
      </c>
      <c r="Y44" s="17">
        <f>'Rolling report'!CR44*'No Action'!$Y$6</f>
        <v>2.64</v>
      </c>
      <c r="Z44" s="17">
        <f>'Rolling report'!CS44*'No Action'!$Y$6</f>
        <v>0.88</v>
      </c>
      <c r="AA44" s="17">
        <f>'Rolling report'!CT44*'No Action'!$Y$6</f>
        <v>1.32</v>
      </c>
      <c r="AB44" s="17">
        <f>'Rolling report'!CU44*'No Action'!$Y$6</f>
        <v>3.08</v>
      </c>
      <c r="AC44" s="17">
        <f>'Rolling report'!CV44*'No Action'!$Y$6</f>
        <v>2.2000000000000002</v>
      </c>
      <c r="AD44" s="17">
        <f>'Rolling report'!CW44*'No Action'!$Y$6</f>
        <v>3.08</v>
      </c>
      <c r="AE44" s="17">
        <f>'Rolling report'!CX44*'No Action'!$Y$6</f>
        <v>3.96</v>
      </c>
      <c r="AF44" s="17">
        <f>'Rolling report'!CY44*'No Action'!$Y$6</f>
        <v>-80.52</v>
      </c>
      <c r="AG44" s="17">
        <f>'Rolling report'!CZ44*'No Action'!$Y$6</f>
        <v>0</v>
      </c>
      <c r="AH44" s="17">
        <f>'Rolling report'!DA44*'No Action'!$Y$6</f>
        <v>0</v>
      </c>
      <c r="AI44" s="17">
        <f>'Rolling report'!DB44*'No Action'!$Y$6</f>
        <v>0</v>
      </c>
      <c r="AJ44" s="17">
        <f>'Rolling report'!DC44*'No Action'!$Y$6</f>
        <v>0</v>
      </c>
      <c r="AK44" s="17">
        <f>'Rolling report'!DD44*'No Action'!$Y$6</f>
        <v>0</v>
      </c>
      <c r="AL44" s="17">
        <f>'Rolling report'!DE44*'No Action'!$Y$6</f>
        <v>0</v>
      </c>
      <c r="AM44" s="17">
        <f>'Rolling report'!DF44*'No Action'!$Y$6</f>
        <v>0</v>
      </c>
      <c r="AN44" s="17">
        <f>'Rolling report'!DG44*'No Action'!$Y$6</f>
        <v>0</v>
      </c>
      <c r="AO44" s="17">
        <f>'Rolling report'!DH44*'No Action'!$Y$6</f>
        <v>0</v>
      </c>
      <c r="AQ44" s="45"/>
    </row>
    <row r="45" spans="1:43" x14ac:dyDescent="0.25">
      <c r="A45" s="6" t="s">
        <v>79</v>
      </c>
      <c r="B45" s="6" t="s">
        <v>80</v>
      </c>
      <c r="I45" s="17">
        <f>'Rolling report'!CB45*'No Action'!$Y$6</f>
        <v>103.4</v>
      </c>
      <c r="J45" s="17">
        <f>'Rolling report'!CC45*'No Action'!$Y$6</f>
        <v>25.52</v>
      </c>
      <c r="K45" s="17">
        <f>'Rolling report'!CD45*'No Action'!$Y$6</f>
        <v>17.16</v>
      </c>
      <c r="L45" s="17">
        <f>'Rolling report'!CE45*'No Action'!$Y$6</f>
        <v>21.56</v>
      </c>
      <c r="M45" s="17">
        <f>'Rolling report'!CF45*'No Action'!$Y$6</f>
        <v>15.84</v>
      </c>
      <c r="N45" s="17">
        <f>'Rolling report'!CG45*'No Action'!$Y$6</f>
        <v>12.32</v>
      </c>
      <c r="O45" s="17">
        <f>'Rolling report'!CH45*'No Action'!$Y$6</f>
        <v>25.52</v>
      </c>
      <c r="P45" s="17">
        <f>'Rolling report'!CI45*'No Action'!$Y$6</f>
        <v>11.88</v>
      </c>
      <c r="Q45" s="17">
        <f>'Rolling report'!CJ45*'No Action'!$Y$6</f>
        <v>19.8</v>
      </c>
      <c r="R45" s="17">
        <f>'Rolling report'!CK45*'No Action'!$Y$6</f>
        <v>12.76</v>
      </c>
      <c r="S45" s="17">
        <f>'Rolling report'!CL45*'No Action'!$Y$6</f>
        <v>7.92</v>
      </c>
      <c r="T45" s="17">
        <f>'Rolling report'!CM45*'No Action'!$Y$6</f>
        <v>8.8000000000000007</v>
      </c>
      <c r="U45" s="17">
        <f>'Rolling report'!CN45*'No Action'!$Y$6</f>
        <v>5.28</v>
      </c>
      <c r="V45" s="17">
        <f>'Rolling report'!CO45*'No Action'!$Y$6</f>
        <v>7.92</v>
      </c>
      <c r="W45" s="17">
        <f>'Rolling report'!CP45*'No Action'!$Y$6</f>
        <v>3.52</v>
      </c>
      <c r="X45" s="17">
        <f>'Rolling report'!CQ45*'No Action'!$Y$6</f>
        <v>6.16</v>
      </c>
      <c r="Y45" s="17">
        <f>'Rolling report'!CR45*'No Action'!$Y$6</f>
        <v>4.84</v>
      </c>
      <c r="Z45" s="17">
        <f>'Rolling report'!CS45*'No Action'!$Y$6</f>
        <v>4.4000000000000004</v>
      </c>
      <c r="AA45" s="17">
        <f>'Rolling report'!CT45*'No Action'!$Y$6</f>
        <v>7.92</v>
      </c>
      <c r="AB45" s="17">
        <f>'Rolling report'!CU45*'No Action'!$Y$6</f>
        <v>3.08</v>
      </c>
      <c r="AC45" s="17">
        <f>'Rolling report'!CV45*'No Action'!$Y$6</f>
        <v>8.8000000000000007</v>
      </c>
      <c r="AD45" s="17">
        <f>'Rolling report'!CW45*'No Action'!$Y$6</f>
        <v>2.2000000000000002</v>
      </c>
      <c r="AE45" s="17">
        <f>'Rolling report'!CX45*'No Action'!$Y$6</f>
        <v>1.76</v>
      </c>
      <c r="AF45" s="17">
        <f>'Rolling report'!CY45*'No Action'!$Y$6</f>
        <v>-338.36</v>
      </c>
      <c r="AG45" s="17">
        <f>'Rolling report'!CZ45*'No Action'!$Y$6</f>
        <v>0</v>
      </c>
      <c r="AH45" s="17">
        <f>'Rolling report'!DA45*'No Action'!$Y$6</f>
        <v>0</v>
      </c>
      <c r="AI45" s="17">
        <f>'Rolling report'!DB45*'No Action'!$Y$6</f>
        <v>0</v>
      </c>
      <c r="AJ45" s="17">
        <f>'Rolling report'!DC45*'No Action'!$Y$6</f>
        <v>0</v>
      </c>
      <c r="AK45" s="17">
        <f>'Rolling report'!DD45*'No Action'!$Y$6</f>
        <v>0</v>
      </c>
      <c r="AL45" s="17">
        <f>'Rolling report'!DE45*'No Action'!$Y$6</f>
        <v>0</v>
      </c>
      <c r="AM45" s="17">
        <f>'Rolling report'!DF45*'No Action'!$Y$6</f>
        <v>0</v>
      </c>
      <c r="AN45" s="17">
        <f>'Rolling report'!DG45*'No Action'!$Y$6</f>
        <v>0</v>
      </c>
      <c r="AO45" s="17">
        <f>'Rolling report'!DH45*'No Action'!$Y$6</f>
        <v>0</v>
      </c>
      <c r="AQ45" s="45"/>
    </row>
    <row r="46" spans="1:43" x14ac:dyDescent="0.25">
      <c r="A46" s="6" t="s">
        <v>81</v>
      </c>
      <c r="B46" s="6" t="s">
        <v>82</v>
      </c>
      <c r="I46" s="17">
        <f>'Rolling report'!CB46*'No Action'!$Y$6</f>
        <v>8.8000000000000007</v>
      </c>
      <c r="J46" s="17">
        <f>'Rolling report'!CC46*'No Action'!$Y$6</f>
        <v>2.2000000000000002</v>
      </c>
      <c r="K46" s="17">
        <f>'Rolling report'!CD46*'No Action'!$Y$6</f>
        <v>0</v>
      </c>
      <c r="L46" s="17">
        <f>'Rolling report'!CE46*'No Action'!$Y$6</f>
        <v>2.64</v>
      </c>
      <c r="M46" s="17">
        <f>'Rolling report'!CF46*'No Action'!$Y$6</f>
        <v>4.4000000000000004</v>
      </c>
      <c r="N46" s="17">
        <f>'Rolling report'!CG46*'No Action'!$Y$6</f>
        <v>0.88</v>
      </c>
      <c r="O46" s="17">
        <f>'Rolling report'!CH46*'No Action'!$Y$6</f>
        <v>1.32</v>
      </c>
      <c r="P46" s="17">
        <f>'Rolling report'!CI46*'No Action'!$Y$6</f>
        <v>3.52</v>
      </c>
      <c r="Q46" s="17">
        <f>'Rolling report'!CJ46*'No Action'!$Y$6</f>
        <v>1.32</v>
      </c>
      <c r="R46" s="17">
        <f>'Rolling report'!CK46*'No Action'!$Y$6</f>
        <v>0.88</v>
      </c>
      <c r="S46" s="17">
        <f>'Rolling report'!CL46*'No Action'!$Y$6</f>
        <v>2.64</v>
      </c>
      <c r="T46" s="17">
        <f>'Rolling report'!CM46*'No Action'!$Y$6</f>
        <v>0.44</v>
      </c>
      <c r="U46" s="17">
        <f>'Rolling report'!CN46*'No Action'!$Y$6</f>
        <v>0</v>
      </c>
      <c r="V46" s="17">
        <f>'Rolling report'!CO46*'No Action'!$Y$6</f>
        <v>0.44</v>
      </c>
      <c r="W46" s="17">
        <f>'Rolling report'!CP46*'No Action'!$Y$6</f>
        <v>0.88</v>
      </c>
      <c r="X46" s="17">
        <f>'Rolling report'!CQ46*'No Action'!$Y$6</f>
        <v>0.44</v>
      </c>
      <c r="Y46" s="17">
        <f>'Rolling report'!CR46*'No Action'!$Y$6</f>
        <v>0</v>
      </c>
      <c r="Z46" s="17">
        <f>'Rolling report'!CS46*'No Action'!$Y$6</f>
        <v>0.44</v>
      </c>
      <c r="AA46" s="17">
        <f>'Rolling report'!CT46*'No Action'!$Y$6</f>
        <v>0</v>
      </c>
      <c r="AB46" s="17">
        <f>'Rolling report'!CU46*'No Action'!$Y$6</f>
        <v>0.44</v>
      </c>
      <c r="AC46" s="17">
        <f>'Rolling report'!CV46*'No Action'!$Y$6</f>
        <v>0.88</v>
      </c>
      <c r="AD46" s="17">
        <f>'Rolling report'!CW46*'No Action'!$Y$6</f>
        <v>1.32</v>
      </c>
      <c r="AE46" s="17">
        <f>'Rolling report'!CX46*'No Action'!$Y$6</f>
        <v>-0.44</v>
      </c>
      <c r="AF46" s="17">
        <f>'Rolling report'!CY46*'No Action'!$Y$6</f>
        <v>-33.44</v>
      </c>
      <c r="AG46" s="17">
        <f>'Rolling report'!CZ46*'No Action'!$Y$6</f>
        <v>0</v>
      </c>
      <c r="AH46" s="17">
        <f>'Rolling report'!DA46*'No Action'!$Y$6</f>
        <v>0</v>
      </c>
      <c r="AI46" s="17">
        <f>'Rolling report'!DB46*'No Action'!$Y$6</f>
        <v>0</v>
      </c>
      <c r="AJ46" s="17">
        <f>'Rolling report'!DC46*'No Action'!$Y$6</f>
        <v>0</v>
      </c>
      <c r="AK46" s="17">
        <f>'Rolling report'!DD46*'No Action'!$Y$6</f>
        <v>0</v>
      </c>
      <c r="AL46" s="17">
        <f>'Rolling report'!DE46*'No Action'!$Y$6</f>
        <v>0</v>
      </c>
      <c r="AM46" s="17">
        <f>'Rolling report'!DF46*'No Action'!$Y$6</f>
        <v>0</v>
      </c>
      <c r="AN46" s="17">
        <f>'Rolling report'!DG46*'No Action'!$Y$6</f>
        <v>0</v>
      </c>
      <c r="AO46" s="17">
        <f>'Rolling report'!DH46*'No Action'!$Y$6</f>
        <v>0</v>
      </c>
      <c r="AQ46" s="45"/>
    </row>
    <row r="47" spans="1:43" x14ac:dyDescent="0.25">
      <c r="A47" s="6" t="s">
        <v>83</v>
      </c>
      <c r="B47" s="6" t="s">
        <v>84</v>
      </c>
      <c r="I47" s="17">
        <f>'Rolling report'!CB47*'No Action'!$Y$6</f>
        <v>69.959999999999994</v>
      </c>
      <c r="J47" s="17">
        <f>'Rolling report'!CC47*'No Action'!$Y$6</f>
        <v>7.92</v>
      </c>
      <c r="K47" s="17">
        <f>'Rolling report'!CD47*'No Action'!$Y$6</f>
        <v>15.4</v>
      </c>
      <c r="L47" s="17">
        <f>'Rolling report'!CE47*'No Action'!$Y$6</f>
        <v>20.239999999999998</v>
      </c>
      <c r="M47" s="17">
        <f>'Rolling report'!CF47*'No Action'!$Y$6</f>
        <v>7.48</v>
      </c>
      <c r="N47" s="17">
        <f>'Rolling report'!CG47*'No Action'!$Y$6</f>
        <v>11.88</v>
      </c>
      <c r="O47" s="17">
        <f>'Rolling report'!CH47*'No Action'!$Y$6</f>
        <v>7.92</v>
      </c>
      <c r="P47" s="17">
        <f>'Rolling report'!CI47*'No Action'!$Y$6</f>
        <v>7.92</v>
      </c>
      <c r="Q47" s="17">
        <f>'Rolling report'!CJ47*'No Action'!$Y$6</f>
        <v>5.72</v>
      </c>
      <c r="R47" s="17">
        <f>'Rolling report'!CK47*'No Action'!$Y$6</f>
        <v>8.36</v>
      </c>
      <c r="S47" s="17">
        <f>'Rolling report'!CL47*'No Action'!$Y$6</f>
        <v>0.44</v>
      </c>
      <c r="T47" s="17">
        <f>'Rolling report'!CM47*'No Action'!$Y$6</f>
        <v>6.16</v>
      </c>
      <c r="U47" s="17">
        <f>'Rolling report'!CN47*'No Action'!$Y$6</f>
        <v>7.04</v>
      </c>
      <c r="V47" s="17">
        <f>'Rolling report'!CO47*'No Action'!$Y$6</f>
        <v>9.24</v>
      </c>
      <c r="W47" s="17">
        <f>'Rolling report'!CP47*'No Action'!$Y$6</f>
        <v>3.96</v>
      </c>
      <c r="X47" s="17">
        <f>'Rolling report'!CQ47*'No Action'!$Y$6</f>
        <v>1.76</v>
      </c>
      <c r="Y47" s="17">
        <f>'Rolling report'!CR47*'No Action'!$Y$6</f>
        <v>3.96</v>
      </c>
      <c r="Z47" s="17">
        <f>'Rolling report'!CS47*'No Action'!$Y$6</f>
        <v>4.84</v>
      </c>
      <c r="AA47" s="17">
        <f>'Rolling report'!CT47*'No Action'!$Y$6</f>
        <v>3.08</v>
      </c>
      <c r="AB47" s="17">
        <f>'Rolling report'!CU47*'No Action'!$Y$6</f>
        <v>3.96</v>
      </c>
      <c r="AC47" s="17">
        <f>'Rolling report'!CV47*'No Action'!$Y$6</f>
        <v>8.8000000000000007</v>
      </c>
      <c r="AD47" s="17">
        <f>'Rolling report'!CW47*'No Action'!$Y$6</f>
        <v>7.48</v>
      </c>
      <c r="AE47" s="17">
        <f>'Rolling report'!CX47*'No Action'!$Y$6</f>
        <v>3.52</v>
      </c>
      <c r="AF47" s="17">
        <f>'Rolling report'!CY47*'No Action'!$Y$6</f>
        <v>-227.04</v>
      </c>
      <c r="AG47" s="17">
        <f>'Rolling report'!CZ47*'No Action'!$Y$6</f>
        <v>0</v>
      </c>
      <c r="AH47" s="17">
        <f>'Rolling report'!DA47*'No Action'!$Y$6</f>
        <v>0</v>
      </c>
      <c r="AI47" s="17">
        <f>'Rolling report'!DB47*'No Action'!$Y$6</f>
        <v>0</v>
      </c>
      <c r="AJ47" s="17">
        <f>'Rolling report'!DC47*'No Action'!$Y$6</f>
        <v>0</v>
      </c>
      <c r="AK47" s="17">
        <f>'Rolling report'!DD47*'No Action'!$Y$6</f>
        <v>0</v>
      </c>
      <c r="AL47" s="17">
        <f>'Rolling report'!DE47*'No Action'!$Y$6</f>
        <v>0</v>
      </c>
      <c r="AM47" s="17">
        <f>'Rolling report'!DF47*'No Action'!$Y$6</f>
        <v>0</v>
      </c>
      <c r="AN47" s="17">
        <f>'Rolling report'!DG47*'No Action'!$Y$6</f>
        <v>0</v>
      </c>
      <c r="AO47" s="17">
        <f>'Rolling report'!DH47*'No Action'!$Y$6</f>
        <v>0</v>
      </c>
      <c r="AQ47" s="45"/>
    </row>
    <row r="48" spans="1:43" x14ac:dyDescent="0.25">
      <c r="A48" s="6" t="s">
        <v>85</v>
      </c>
      <c r="B48" s="6" t="s">
        <v>86</v>
      </c>
      <c r="I48" s="17">
        <f>'Rolling report'!CB48*'No Action'!$Y$6</f>
        <v>54.56</v>
      </c>
      <c r="J48" s="17">
        <f>'Rolling report'!CC48*'No Action'!$Y$6</f>
        <v>10.119999999999999</v>
      </c>
      <c r="K48" s="17">
        <f>'Rolling report'!CD48*'No Action'!$Y$6</f>
        <v>11.44</v>
      </c>
      <c r="L48" s="17">
        <f>'Rolling report'!CE48*'No Action'!$Y$6</f>
        <v>14.52</v>
      </c>
      <c r="M48" s="17">
        <f>'Rolling report'!CF48*'No Action'!$Y$6</f>
        <v>5.72</v>
      </c>
      <c r="N48" s="17">
        <f>'Rolling report'!CG48*'No Action'!$Y$6</f>
        <v>5.28</v>
      </c>
      <c r="O48" s="17">
        <f>'Rolling report'!CH48*'No Action'!$Y$6</f>
        <v>5.28</v>
      </c>
      <c r="P48" s="17">
        <f>'Rolling report'!CI48*'No Action'!$Y$6</f>
        <v>4.4000000000000004</v>
      </c>
      <c r="Q48" s="17">
        <f>'Rolling report'!CJ48*'No Action'!$Y$6</f>
        <v>7.04</v>
      </c>
      <c r="R48" s="17">
        <f>'Rolling report'!CK48*'No Action'!$Y$6</f>
        <v>6.16</v>
      </c>
      <c r="S48" s="17">
        <f>'Rolling report'!CL48*'No Action'!$Y$6</f>
        <v>2.64</v>
      </c>
      <c r="T48" s="17">
        <f>'Rolling report'!CM48*'No Action'!$Y$6</f>
        <v>7.04</v>
      </c>
      <c r="U48" s="17">
        <f>'Rolling report'!CN48*'No Action'!$Y$6</f>
        <v>4.4000000000000004</v>
      </c>
      <c r="V48" s="17">
        <f>'Rolling report'!CO48*'No Action'!$Y$6</f>
        <v>2.64</v>
      </c>
      <c r="W48" s="17">
        <f>'Rolling report'!CP48*'No Action'!$Y$6</f>
        <v>3.08</v>
      </c>
      <c r="X48" s="17">
        <f>'Rolling report'!CQ48*'No Action'!$Y$6</f>
        <v>0.88</v>
      </c>
      <c r="Y48" s="17">
        <f>'Rolling report'!CR48*'No Action'!$Y$6</f>
        <v>1.32</v>
      </c>
      <c r="Z48" s="17">
        <f>'Rolling report'!CS48*'No Action'!$Y$6</f>
        <v>0.88</v>
      </c>
      <c r="AA48" s="17">
        <f>'Rolling report'!CT48*'No Action'!$Y$6</f>
        <v>0.88</v>
      </c>
      <c r="AB48" s="17">
        <f>'Rolling report'!CU48*'No Action'!$Y$6</f>
        <v>4.4000000000000004</v>
      </c>
      <c r="AC48" s="17">
        <f>'Rolling report'!CV48*'No Action'!$Y$6</f>
        <v>8.36</v>
      </c>
      <c r="AD48" s="17">
        <f>'Rolling report'!CW48*'No Action'!$Y$6</f>
        <v>-0.88</v>
      </c>
      <c r="AE48" s="17">
        <f>'Rolling report'!CX48*'No Action'!$Y$6</f>
        <v>2.64</v>
      </c>
      <c r="AF48" s="17">
        <f>'Rolling report'!CY48*'No Action'!$Y$6</f>
        <v>-162.80000000000001</v>
      </c>
      <c r="AG48" s="17">
        <f>'Rolling report'!CZ48*'No Action'!$Y$6</f>
        <v>0</v>
      </c>
      <c r="AH48" s="17">
        <f>'Rolling report'!DA48*'No Action'!$Y$6</f>
        <v>0</v>
      </c>
      <c r="AI48" s="17">
        <f>'Rolling report'!DB48*'No Action'!$Y$6</f>
        <v>0</v>
      </c>
      <c r="AJ48" s="17">
        <f>'Rolling report'!DC48*'No Action'!$Y$6</f>
        <v>0</v>
      </c>
      <c r="AK48" s="17">
        <f>'Rolling report'!DD48*'No Action'!$Y$6</f>
        <v>0</v>
      </c>
      <c r="AL48" s="17">
        <f>'Rolling report'!DE48*'No Action'!$Y$6</f>
        <v>0</v>
      </c>
      <c r="AM48" s="17">
        <f>'Rolling report'!DF48*'No Action'!$Y$6</f>
        <v>0</v>
      </c>
      <c r="AN48" s="17">
        <f>'Rolling report'!DG48*'No Action'!$Y$6</f>
        <v>0</v>
      </c>
      <c r="AO48" s="17">
        <f>'Rolling report'!DH48*'No Action'!$Y$6</f>
        <v>0</v>
      </c>
      <c r="AQ48" s="45"/>
    </row>
    <row r="49" spans="1:43" x14ac:dyDescent="0.25">
      <c r="A49" s="6" t="s">
        <v>87</v>
      </c>
      <c r="B49" s="6" t="s">
        <v>88</v>
      </c>
      <c r="I49" s="17">
        <f>'Rolling report'!CB49*'No Action'!$Y$6</f>
        <v>240.68</v>
      </c>
      <c r="J49" s="17">
        <f>'Rolling report'!CC49*'No Action'!$Y$6</f>
        <v>30.36</v>
      </c>
      <c r="K49" s="17">
        <f>'Rolling report'!CD49*'No Action'!$Y$6</f>
        <v>30.8</v>
      </c>
      <c r="L49" s="17">
        <f>'Rolling report'!CE49*'No Action'!$Y$6</f>
        <v>49.28</v>
      </c>
      <c r="M49" s="17">
        <f>'Rolling report'!CF49*'No Action'!$Y$6</f>
        <v>21.56</v>
      </c>
      <c r="N49" s="17">
        <f>'Rolling report'!CG49*'No Action'!$Y$6</f>
        <v>23.32</v>
      </c>
      <c r="O49" s="17">
        <f>'Rolling report'!CH49*'No Action'!$Y$6</f>
        <v>31.24</v>
      </c>
      <c r="P49" s="17">
        <f>'Rolling report'!CI49*'No Action'!$Y$6</f>
        <v>15.4</v>
      </c>
      <c r="Q49" s="17">
        <f>'Rolling report'!CJ49*'No Action'!$Y$6</f>
        <v>19.8</v>
      </c>
      <c r="R49" s="17">
        <f>'Rolling report'!CK49*'No Action'!$Y$6</f>
        <v>21.12</v>
      </c>
      <c r="S49" s="17">
        <f>'Rolling report'!CL49*'No Action'!$Y$6</f>
        <v>12.76</v>
      </c>
      <c r="T49" s="17">
        <f>'Rolling report'!CM49*'No Action'!$Y$6</f>
        <v>14.52</v>
      </c>
      <c r="U49" s="17">
        <f>'Rolling report'!CN49*'No Action'!$Y$6</f>
        <v>17.16</v>
      </c>
      <c r="V49" s="17">
        <f>'Rolling report'!CO49*'No Action'!$Y$6</f>
        <v>9.68</v>
      </c>
      <c r="W49" s="17">
        <f>'Rolling report'!CP49*'No Action'!$Y$6</f>
        <v>8.36</v>
      </c>
      <c r="X49" s="17">
        <f>'Rolling report'!CQ49*'No Action'!$Y$6</f>
        <v>6.6</v>
      </c>
      <c r="Y49" s="17">
        <f>'Rolling report'!CR49*'No Action'!$Y$6</f>
        <v>11</v>
      </c>
      <c r="Z49" s="17">
        <f>'Rolling report'!CS49*'No Action'!$Y$6</f>
        <v>11.44</v>
      </c>
      <c r="AA49" s="17">
        <f>'Rolling report'!CT49*'No Action'!$Y$6</f>
        <v>14.08</v>
      </c>
      <c r="AB49" s="17">
        <f>'Rolling report'!CU49*'No Action'!$Y$6</f>
        <v>15.84</v>
      </c>
      <c r="AC49" s="17">
        <f>'Rolling report'!CV49*'No Action'!$Y$6</f>
        <v>11.88</v>
      </c>
      <c r="AD49" s="17">
        <f>'Rolling report'!CW49*'No Action'!$Y$6</f>
        <v>1.32</v>
      </c>
      <c r="AE49" s="17">
        <f>'Rolling report'!CX49*'No Action'!$Y$6</f>
        <v>6.16</v>
      </c>
      <c r="AF49" s="17">
        <f>'Rolling report'!CY49*'No Action'!$Y$6</f>
        <v>-624.36</v>
      </c>
      <c r="AG49" s="17">
        <f>'Rolling report'!CZ49*'No Action'!$Y$6</f>
        <v>0</v>
      </c>
      <c r="AH49" s="17">
        <f>'Rolling report'!DA49*'No Action'!$Y$6</f>
        <v>0</v>
      </c>
      <c r="AI49" s="17">
        <f>'Rolling report'!DB49*'No Action'!$Y$6</f>
        <v>0</v>
      </c>
      <c r="AJ49" s="17">
        <f>'Rolling report'!DC49*'No Action'!$Y$6</f>
        <v>0</v>
      </c>
      <c r="AK49" s="17">
        <f>'Rolling report'!DD49*'No Action'!$Y$6</f>
        <v>0</v>
      </c>
      <c r="AL49" s="17">
        <f>'Rolling report'!DE49*'No Action'!$Y$6</f>
        <v>0</v>
      </c>
      <c r="AM49" s="17">
        <f>'Rolling report'!DF49*'No Action'!$Y$6</f>
        <v>0</v>
      </c>
      <c r="AN49" s="17">
        <f>'Rolling report'!DG49*'No Action'!$Y$6</f>
        <v>0</v>
      </c>
      <c r="AO49" s="17">
        <f>'Rolling report'!DH49*'No Action'!$Y$6</f>
        <v>0</v>
      </c>
      <c r="AQ49" s="45"/>
    </row>
    <row r="50" spans="1:43" x14ac:dyDescent="0.25">
      <c r="A50" s="6" t="s">
        <v>89</v>
      </c>
      <c r="B50" s="6" t="s">
        <v>90</v>
      </c>
      <c r="I50" s="17">
        <f>'Rolling report'!CB50*'No Action'!$Y$6</f>
        <v>37.4</v>
      </c>
      <c r="J50" s="17">
        <f>'Rolling report'!CC50*'No Action'!$Y$6</f>
        <v>4.4000000000000004</v>
      </c>
      <c r="K50" s="17">
        <f>'Rolling report'!CD50*'No Action'!$Y$6</f>
        <v>1.76</v>
      </c>
      <c r="L50" s="17">
        <f>'Rolling report'!CE50*'No Action'!$Y$6</f>
        <v>8.8000000000000007</v>
      </c>
      <c r="M50" s="17">
        <f>'Rolling report'!CF50*'No Action'!$Y$6</f>
        <v>3.08</v>
      </c>
      <c r="N50" s="17">
        <f>'Rolling report'!CG50*'No Action'!$Y$6</f>
        <v>0.88</v>
      </c>
      <c r="O50" s="17">
        <f>'Rolling report'!CH50*'No Action'!$Y$6</f>
        <v>4.4000000000000004</v>
      </c>
      <c r="P50" s="17">
        <f>'Rolling report'!CI50*'No Action'!$Y$6</f>
        <v>5.72</v>
      </c>
      <c r="Q50" s="17">
        <f>'Rolling report'!CJ50*'No Action'!$Y$6</f>
        <v>4.84</v>
      </c>
      <c r="R50" s="17">
        <f>'Rolling report'!CK50*'No Action'!$Y$6</f>
        <v>2.64</v>
      </c>
      <c r="S50" s="17">
        <f>'Rolling report'!CL50*'No Action'!$Y$6</f>
        <v>1.76</v>
      </c>
      <c r="T50" s="17">
        <f>'Rolling report'!CM50*'No Action'!$Y$6</f>
        <v>0.88</v>
      </c>
      <c r="U50" s="17">
        <f>'Rolling report'!CN50*'No Action'!$Y$6</f>
        <v>3.96</v>
      </c>
      <c r="V50" s="17">
        <f>'Rolling report'!CO50*'No Action'!$Y$6</f>
        <v>0.88</v>
      </c>
      <c r="W50" s="17">
        <f>'Rolling report'!CP50*'No Action'!$Y$6</f>
        <v>4.4000000000000004</v>
      </c>
      <c r="X50" s="17">
        <f>'Rolling report'!CQ50*'No Action'!$Y$6</f>
        <v>2.64</v>
      </c>
      <c r="Y50" s="17">
        <f>'Rolling report'!CR50*'No Action'!$Y$6</f>
        <v>3.52</v>
      </c>
      <c r="Z50" s="17">
        <f>'Rolling report'!CS50*'No Action'!$Y$6</f>
        <v>2.2000000000000002</v>
      </c>
      <c r="AA50" s="17">
        <f>'Rolling report'!CT50*'No Action'!$Y$6</f>
        <v>0.44</v>
      </c>
      <c r="AB50" s="17">
        <f>'Rolling report'!CU50*'No Action'!$Y$6</f>
        <v>5.28</v>
      </c>
      <c r="AC50" s="17">
        <f>'Rolling report'!CV50*'No Action'!$Y$6</f>
        <v>2.64</v>
      </c>
      <c r="AD50" s="17">
        <f>'Rolling report'!CW50*'No Action'!$Y$6</f>
        <v>0.44</v>
      </c>
      <c r="AE50" s="17">
        <f>'Rolling report'!CX50*'No Action'!$Y$6</f>
        <v>2.64</v>
      </c>
      <c r="AF50" s="17">
        <f>'Rolling report'!CY50*'No Action'!$Y$6</f>
        <v>-105.6</v>
      </c>
      <c r="AG50" s="17">
        <f>'Rolling report'!CZ50*'No Action'!$Y$6</f>
        <v>0</v>
      </c>
      <c r="AH50" s="17">
        <f>'Rolling report'!DA50*'No Action'!$Y$6</f>
        <v>0</v>
      </c>
      <c r="AI50" s="17">
        <f>'Rolling report'!DB50*'No Action'!$Y$6</f>
        <v>0</v>
      </c>
      <c r="AJ50" s="17">
        <f>'Rolling report'!DC50*'No Action'!$Y$6</f>
        <v>0</v>
      </c>
      <c r="AK50" s="17">
        <f>'Rolling report'!DD50*'No Action'!$Y$6</f>
        <v>0</v>
      </c>
      <c r="AL50" s="17">
        <f>'Rolling report'!DE50*'No Action'!$Y$6</f>
        <v>0</v>
      </c>
      <c r="AM50" s="17">
        <f>'Rolling report'!DF50*'No Action'!$Y$6</f>
        <v>0</v>
      </c>
      <c r="AN50" s="17">
        <f>'Rolling report'!DG50*'No Action'!$Y$6</f>
        <v>0</v>
      </c>
      <c r="AO50" s="17">
        <f>'Rolling report'!DH50*'No Action'!$Y$6</f>
        <v>0</v>
      </c>
      <c r="AQ50" s="45"/>
    </row>
    <row r="51" spans="1:43" x14ac:dyDescent="0.25">
      <c r="A51" s="6" t="s">
        <v>91</v>
      </c>
      <c r="B51" s="6" t="s">
        <v>92</v>
      </c>
      <c r="I51" s="17">
        <f>'Rolling report'!CB51*'No Action'!$Y$6</f>
        <v>283.8</v>
      </c>
      <c r="J51" s="17">
        <f>'Rolling report'!CC51*'No Action'!$Y$6</f>
        <v>47.52</v>
      </c>
      <c r="K51" s="17">
        <f>'Rolling report'!CD51*'No Action'!$Y$6</f>
        <v>34.76</v>
      </c>
      <c r="L51" s="17">
        <f>'Rolling report'!CE51*'No Action'!$Y$6</f>
        <v>50.160000000000004</v>
      </c>
      <c r="M51" s="17">
        <f>'Rolling report'!CF51*'No Action'!$Y$6</f>
        <v>25.080000000000002</v>
      </c>
      <c r="N51" s="17">
        <f>'Rolling report'!CG51*'No Action'!$Y$6</f>
        <v>33.44</v>
      </c>
      <c r="O51" s="17">
        <f>'Rolling report'!CH51*'No Action'!$Y$6</f>
        <v>38.72</v>
      </c>
      <c r="P51" s="17">
        <f>'Rolling report'!CI51*'No Action'!$Y$6</f>
        <v>20.239999999999998</v>
      </c>
      <c r="Q51" s="17">
        <f>'Rolling report'!CJ51*'No Action'!$Y$6</f>
        <v>16.72</v>
      </c>
      <c r="R51" s="17">
        <f>'Rolling report'!CK51*'No Action'!$Y$6</f>
        <v>22</v>
      </c>
      <c r="S51" s="17">
        <f>'Rolling report'!CL51*'No Action'!$Y$6</f>
        <v>22.88</v>
      </c>
      <c r="T51" s="17">
        <f>'Rolling report'!CM51*'No Action'!$Y$6</f>
        <v>19.36</v>
      </c>
      <c r="U51" s="17">
        <f>'Rolling report'!CN51*'No Action'!$Y$6</f>
        <v>27.72</v>
      </c>
      <c r="V51" s="17">
        <f>'Rolling report'!CO51*'No Action'!$Y$6</f>
        <v>21.12</v>
      </c>
      <c r="W51" s="17">
        <f>'Rolling report'!CP51*'No Action'!$Y$6</f>
        <v>13.2</v>
      </c>
      <c r="X51" s="17">
        <f>'Rolling report'!CQ51*'No Action'!$Y$6</f>
        <v>12.76</v>
      </c>
      <c r="Y51" s="17">
        <f>'Rolling report'!CR51*'No Action'!$Y$6</f>
        <v>16.28</v>
      </c>
      <c r="Z51" s="17">
        <f>'Rolling report'!CS51*'No Action'!$Y$6</f>
        <v>12.32</v>
      </c>
      <c r="AA51" s="17">
        <f>'Rolling report'!CT51*'No Action'!$Y$6</f>
        <v>12.76</v>
      </c>
      <c r="AB51" s="17">
        <f>'Rolling report'!CU51*'No Action'!$Y$6</f>
        <v>12.32</v>
      </c>
      <c r="AC51" s="17">
        <f>'Rolling report'!CV51*'No Action'!$Y$6</f>
        <v>15.4</v>
      </c>
      <c r="AD51" s="17">
        <f>'Rolling report'!CW51*'No Action'!$Y$6</f>
        <v>8.36</v>
      </c>
      <c r="AE51" s="17">
        <f>'Rolling report'!CX51*'No Action'!$Y$6</f>
        <v>7.92</v>
      </c>
      <c r="AF51" s="17">
        <f>'Rolling report'!CY51*'No Action'!$Y$6</f>
        <v>-774.84</v>
      </c>
      <c r="AG51" s="17">
        <f>'Rolling report'!CZ51*'No Action'!$Y$6</f>
        <v>0</v>
      </c>
      <c r="AH51" s="17">
        <f>'Rolling report'!DA51*'No Action'!$Y$6</f>
        <v>0</v>
      </c>
      <c r="AI51" s="17">
        <f>'Rolling report'!DB51*'No Action'!$Y$6</f>
        <v>0</v>
      </c>
      <c r="AJ51" s="17">
        <f>'Rolling report'!DC51*'No Action'!$Y$6</f>
        <v>0</v>
      </c>
      <c r="AK51" s="17">
        <f>'Rolling report'!DD51*'No Action'!$Y$6</f>
        <v>0</v>
      </c>
      <c r="AL51" s="17">
        <f>'Rolling report'!DE51*'No Action'!$Y$6</f>
        <v>0</v>
      </c>
      <c r="AM51" s="17">
        <f>'Rolling report'!DF51*'No Action'!$Y$6</f>
        <v>0</v>
      </c>
      <c r="AN51" s="17">
        <f>'Rolling report'!DG51*'No Action'!$Y$6</f>
        <v>0</v>
      </c>
      <c r="AO51" s="17">
        <f>'Rolling report'!DH51*'No Action'!$Y$6</f>
        <v>0</v>
      </c>
      <c r="AQ51" s="45"/>
    </row>
    <row r="52" spans="1:43" x14ac:dyDescent="0.25">
      <c r="A52" s="6" t="s">
        <v>93</v>
      </c>
      <c r="B52" s="6" t="s">
        <v>94</v>
      </c>
      <c r="I52" s="17">
        <f>'Rolling report'!CB52*'No Action'!$Y$6</f>
        <v>11.44</v>
      </c>
      <c r="J52" s="17">
        <f>'Rolling report'!CC52*'No Action'!$Y$6</f>
        <v>1.32</v>
      </c>
      <c r="K52" s="17">
        <f>'Rolling report'!CD52*'No Action'!$Y$6</f>
        <v>1.32</v>
      </c>
      <c r="L52" s="17">
        <f>'Rolling report'!CE52*'No Action'!$Y$6</f>
        <v>0.88</v>
      </c>
      <c r="M52" s="17">
        <f>'Rolling report'!CF52*'No Action'!$Y$6</f>
        <v>2.2000000000000002</v>
      </c>
      <c r="N52" s="17">
        <f>'Rolling report'!CG52*'No Action'!$Y$6</f>
        <v>2.2000000000000002</v>
      </c>
      <c r="O52" s="17">
        <f>'Rolling report'!CH52*'No Action'!$Y$6</f>
        <v>7.48</v>
      </c>
      <c r="P52" s="17">
        <f>'Rolling report'!CI52*'No Action'!$Y$6</f>
        <v>3.08</v>
      </c>
      <c r="Q52" s="17">
        <f>'Rolling report'!CJ52*'No Action'!$Y$6</f>
        <v>4.84</v>
      </c>
      <c r="R52" s="17">
        <f>'Rolling report'!CK52*'No Action'!$Y$6</f>
        <v>0.44</v>
      </c>
      <c r="S52" s="17">
        <f>'Rolling report'!CL52*'No Action'!$Y$6</f>
        <v>1.32</v>
      </c>
      <c r="T52" s="17">
        <f>'Rolling report'!CM52*'No Action'!$Y$6</f>
        <v>3.08</v>
      </c>
      <c r="U52" s="17">
        <f>'Rolling report'!CN52*'No Action'!$Y$6</f>
        <v>3.08</v>
      </c>
      <c r="V52" s="17">
        <f>'Rolling report'!CO52*'No Action'!$Y$6</f>
        <v>0</v>
      </c>
      <c r="W52" s="17">
        <f>'Rolling report'!CP52*'No Action'!$Y$6</f>
        <v>2.2000000000000002</v>
      </c>
      <c r="X52" s="17">
        <f>'Rolling report'!CQ52*'No Action'!$Y$6</f>
        <v>0</v>
      </c>
      <c r="Y52" s="17">
        <f>'Rolling report'!CR52*'No Action'!$Y$6</f>
        <v>1.76</v>
      </c>
      <c r="Z52" s="17">
        <f>'Rolling report'!CS52*'No Action'!$Y$6</f>
        <v>2.2000000000000002</v>
      </c>
      <c r="AA52" s="17">
        <f>'Rolling report'!CT52*'No Action'!$Y$6</f>
        <v>2.64</v>
      </c>
      <c r="AB52" s="17">
        <f>'Rolling report'!CU52*'No Action'!$Y$6</f>
        <v>0</v>
      </c>
      <c r="AC52" s="17">
        <f>'Rolling report'!CV52*'No Action'!$Y$6</f>
        <v>0</v>
      </c>
      <c r="AD52" s="17">
        <f>'Rolling report'!CW52*'No Action'!$Y$6</f>
        <v>0.88</v>
      </c>
      <c r="AE52" s="17">
        <f>'Rolling report'!CX52*'No Action'!$Y$6</f>
        <v>0.44</v>
      </c>
      <c r="AF52" s="17">
        <f>'Rolling report'!CY52*'No Action'!$Y$6</f>
        <v>-52.8</v>
      </c>
      <c r="AG52" s="17">
        <f>'Rolling report'!CZ52*'No Action'!$Y$6</f>
        <v>0</v>
      </c>
      <c r="AH52" s="17">
        <f>'Rolling report'!DA52*'No Action'!$Y$6</f>
        <v>0</v>
      </c>
      <c r="AI52" s="17">
        <f>'Rolling report'!DB52*'No Action'!$Y$6</f>
        <v>0</v>
      </c>
      <c r="AJ52" s="17">
        <f>'Rolling report'!DC52*'No Action'!$Y$6</f>
        <v>0</v>
      </c>
      <c r="AK52" s="17">
        <f>'Rolling report'!DD52*'No Action'!$Y$6</f>
        <v>0</v>
      </c>
      <c r="AL52" s="17">
        <f>'Rolling report'!DE52*'No Action'!$Y$6</f>
        <v>0</v>
      </c>
      <c r="AM52" s="17">
        <f>'Rolling report'!DF52*'No Action'!$Y$6</f>
        <v>0</v>
      </c>
      <c r="AN52" s="17">
        <f>'Rolling report'!DG52*'No Action'!$Y$6</f>
        <v>0</v>
      </c>
      <c r="AO52" s="17">
        <f>'Rolling report'!DH52*'No Action'!$Y$6</f>
        <v>0</v>
      </c>
      <c r="AQ52" s="45"/>
    </row>
    <row r="53" spans="1:43" x14ac:dyDescent="0.25">
      <c r="A53" s="4" t="s">
        <v>95</v>
      </c>
      <c r="B53" s="6" t="s">
        <v>96</v>
      </c>
      <c r="I53" s="17">
        <f>'Rolling report'!CB53*'No Action'!$Y$6</f>
        <v>161.04</v>
      </c>
      <c r="J53" s="17">
        <f>'Rolling report'!CC53*'No Action'!$Y$6</f>
        <v>37.4</v>
      </c>
      <c r="K53" s="17">
        <f>'Rolling report'!CD53*'No Action'!$Y$6</f>
        <v>27.72</v>
      </c>
      <c r="L53" s="17">
        <f>'Rolling report'!CE53*'No Action'!$Y$6</f>
        <v>35.64</v>
      </c>
      <c r="M53" s="17">
        <f>'Rolling report'!CF53*'No Action'!$Y$6</f>
        <v>22</v>
      </c>
      <c r="N53" s="17">
        <f>'Rolling report'!CG53*'No Action'!$Y$6</f>
        <v>28.16</v>
      </c>
      <c r="O53" s="17">
        <f>'Rolling report'!CH53*'No Action'!$Y$6</f>
        <v>24.2</v>
      </c>
      <c r="P53" s="17">
        <f>'Rolling report'!CI53*'No Action'!$Y$6</f>
        <v>18.920000000000002</v>
      </c>
      <c r="Q53" s="17">
        <f>'Rolling report'!CJ53*'No Action'!$Y$6</f>
        <v>15.84</v>
      </c>
      <c r="R53" s="17">
        <f>'Rolling report'!CK53*'No Action'!$Y$6</f>
        <v>13.2</v>
      </c>
      <c r="S53" s="17">
        <f>'Rolling report'!CL53*'No Action'!$Y$6</f>
        <v>9.68</v>
      </c>
      <c r="T53" s="17">
        <f>'Rolling report'!CM53*'No Action'!$Y$6</f>
        <v>23.32</v>
      </c>
      <c r="U53" s="17">
        <f>'Rolling report'!CN53*'No Action'!$Y$6</f>
        <v>11.44</v>
      </c>
      <c r="V53" s="17">
        <f>'Rolling report'!CO53*'No Action'!$Y$6</f>
        <v>10.56</v>
      </c>
      <c r="W53" s="17">
        <f>'Rolling report'!CP53*'No Action'!$Y$6</f>
        <v>7.92</v>
      </c>
      <c r="X53" s="17">
        <f>'Rolling report'!CQ53*'No Action'!$Y$6</f>
        <v>10.119999999999999</v>
      </c>
      <c r="Y53" s="17">
        <f>'Rolling report'!CR53*'No Action'!$Y$6</f>
        <v>17.16</v>
      </c>
      <c r="Z53" s="17">
        <f>'Rolling report'!CS53*'No Action'!$Y$6</f>
        <v>9.68</v>
      </c>
      <c r="AA53" s="17">
        <f>'Rolling report'!CT53*'No Action'!$Y$6</f>
        <v>10.56</v>
      </c>
      <c r="AB53" s="17">
        <f>'Rolling report'!CU53*'No Action'!$Y$6</f>
        <v>8.8000000000000007</v>
      </c>
      <c r="AC53" s="17">
        <f>'Rolling report'!CV53*'No Action'!$Y$6</f>
        <v>15.4</v>
      </c>
      <c r="AD53" s="17">
        <f>'Rolling report'!CW53*'No Action'!$Y$6</f>
        <v>8.8000000000000007</v>
      </c>
      <c r="AE53" s="17">
        <f>'Rolling report'!CX53*'No Action'!$Y$6</f>
        <v>7.04</v>
      </c>
      <c r="AF53" s="17">
        <f>'Rolling report'!CY53*'No Action'!$Y$6</f>
        <v>-534.6</v>
      </c>
      <c r="AG53" s="17">
        <f>'Rolling report'!CZ53*'No Action'!$Y$6</f>
        <v>0</v>
      </c>
      <c r="AH53" s="17">
        <f>'Rolling report'!DA53*'No Action'!$Y$6</f>
        <v>0</v>
      </c>
      <c r="AI53" s="17">
        <f>'Rolling report'!DB53*'No Action'!$Y$6</f>
        <v>0</v>
      </c>
      <c r="AJ53" s="17">
        <f>'Rolling report'!DC53*'No Action'!$Y$6</f>
        <v>0</v>
      </c>
      <c r="AK53" s="17">
        <f>'Rolling report'!DD53*'No Action'!$Y$6</f>
        <v>0</v>
      </c>
      <c r="AL53" s="17">
        <f>'Rolling report'!DE53*'No Action'!$Y$6</f>
        <v>0</v>
      </c>
      <c r="AM53" s="17">
        <f>'Rolling report'!DF53*'No Action'!$Y$6</f>
        <v>0</v>
      </c>
      <c r="AN53" s="17">
        <f>'Rolling report'!DG53*'No Action'!$Y$6</f>
        <v>0</v>
      </c>
      <c r="AO53" s="17">
        <f>'Rolling report'!DH53*'No Action'!$Y$6</f>
        <v>0</v>
      </c>
      <c r="AQ53" s="45"/>
    </row>
    <row r="54" spans="1:43" x14ac:dyDescent="0.25">
      <c r="A54" s="4" t="s">
        <v>97</v>
      </c>
      <c r="B54" s="6" t="s">
        <v>98</v>
      </c>
      <c r="I54" s="17">
        <f>'Rolling report'!CB54*'No Action'!$Y$6</f>
        <v>73.48</v>
      </c>
      <c r="J54" s="17">
        <f>'Rolling report'!CC54*'No Action'!$Y$6</f>
        <v>16.72</v>
      </c>
      <c r="K54" s="17">
        <f>'Rolling report'!CD54*'No Action'!$Y$6</f>
        <v>9.24</v>
      </c>
      <c r="L54" s="17">
        <f>'Rolling report'!CE54*'No Action'!$Y$6</f>
        <v>11.44</v>
      </c>
      <c r="M54" s="17">
        <f>'Rolling report'!CF54*'No Action'!$Y$6</f>
        <v>7.92</v>
      </c>
      <c r="N54" s="17">
        <f>'Rolling report'!CG54*'No Action'!$Y$6</f>
        <v>14.52</v>
      </c>
      <c r="O54" s="17">
        <f>'Rolling report'!CH54*'No Action'!$Y$6</f>
        <v>16.72</v>
      </c>
      <c r="P54" s="17">
        <f>'Rolling report'!CI54*'No Action'!$Y$6</f>
        <v>10.119999999999999</v>
      </c>
      <c r="Q54" s="17">
        <f>'Rolling report'!CJ54*'No Action'!$Y$6</f>
        <v>3.52</v>
      </c>
      <c r="R54" s="17">
        <f>'Rolling report'!CK54*'No Action'!$Y$6</f>
        <v>4.84</v>
      </c>
      <c r="S54" s="17">
        <f>'Rolling report'!CL54*'No Action'!$Y$6</f>
        <v>3.96</v>
      </c>
      <c r="T54" s="17">
        <f>'Rolling report'!CM54*'No Action'!$Y$6</f>
        <v>7.04</v>
      </c>
      <c r="U54" s="17">
        <f>'Rolling report'!CN54*'No Action'!$Y$6</f>
        <v>5.72</v>
      </c>
      <c r="V54" s="17">
        <f>'Rolling report'!CO54*'No Action'!$Y$6</f>
        <v>3.52</v>
      </c>
      <c r="W54" s="17">
        <f>'Rolling report'!CP54*'No Action'!$Y$6</f>
        <v>8.8000000000000007</v>
      </c>
      <c r="X54" s="17">
        <f>'Rolling report'!CQ54*'No Action'!$Y$6</f>
        <v>1.76</v>
      </c>
      <c r="Y54" s="17">
        <f>'Rolling report'!CR54*'No Action'!$Y$6</f>
        <v>3.52</v>
      </c>
      <c r="Z54" s="17">
        <f>'Rolling report'!CS54*'No Action'!$Y$6</f>
        <v>2.2000000000000002</v>
      </c>
      <c r="AA54" s="17">
        <f>'Rolling report'!CT54*'No Action'!$Y$6</f>
        <v>5.72</v>
      </c>
      <c r="AB54" s="17">
        <f>'Rolling report'!CU54*'No Action'!$Y$6</f>
        <v>2.2000000000000002</v>
      </c>
      <c r="AC54" s="17">
        <f>'Rolling report'!CV54*'No Action'!$Y$6</f>
        <v>5.72</v>
      </c>
      <c r="AD54" s="17">
        <f>'Rolling report'!CW54*'No Action'!$Y$6</f>
        <v>0</v>
      </c>
      <c r="AE54" s="17">
        <f>'Rolling report'!CX54*'No Action'!$Y$6</f>
        <v>7.48</v>
      </c>
      <c r="AF54" s="17">
        <f>'Rolling report'!CY54*'No Action'!$Y$6</f>
        <v>-226.16</v>
      </c>
      <c r="AG54" s="17">
        <f>'Rolling report'!CZ54*'No Action'!$Y$6</f>
        <v>0</v>
      </c>
      <c r="AH54" s="17">
        <f>'Rolling report'!DA54*'No Action'!$Y$6</f>
        <v>0</v>
      </c>
      <c r="AI54" s="17">
        <f>'Rolling report'!DB54*'No Action'!$Y$6</f>
        <v>0</v>
      </c>
      <c r="AJ54" s="17">
        <f>'Rolling report'!DC54*'No Action'!$Y$6</f>
        <v>0</v>
      </c>
      <c r="AK54" s="17">
        <f>'Rolling report'!DD54*'No Action'!$Y$6</f>
        <v>0</v>
      </c>
      <c r="AL54" s="17">
        <f>'Rolling report'!DE54*'No Action'!$Y$6</f>
        <v>0</v>
      </c>
      <c r="AM54" s="17">
        <f>'Rolling report'!DF54*'No Action'!$Y$6</f>
        <v>0</v>
      </c>
      <c r="AN54" s="17">
        <f>'Rolling report'!DG54*'No Action'!$Y$6</f>
        <v>0</v>
      </c>
      <c r="AO54" s="17">
        <f>'Rolling report'!DH54*'No Action'!$Y$6</f>
        <v>0</v>
      </c>
      <c r="AQ54" s="45"/>
    </row>
    <row r="55" spans="1:43" x14ac:dyDescent="0.25">
      <c r="A55" s="4" t="s">
        <v>99</v>
      </c>
      <c r="B55" s="6" t="s">
        <v>100</v>
      </c>
      <c r="I55" s="17">
        <f>'Rolling report'!CB55*'No Action'!$Y$6</f>
        <v>47.96</v>
      </c>
      <c r="J55" s="17">
        <f>'Rolling report'!CC55*'No Action'!$Y$6</f>
        <v>2.64</v>
      </c>
      <c r="K55" s="17">
        <f>'Rolling report'!CD55*'No Action'!$Y$6</f>
        <v>6.16</v>
      </c>
      <c r="L55" s="17">
        <f>'Rolling report'!CE55*'No Action'!$Y$6</f>
        <v>4.4000000000000004</v>
      </c>
      <c r="M55" s="17">
        <f>'Rolling report'!CF55*'No Action'!$Y$6</f>
        <v>3.08</v>
      </c>
      <c r="N55" s="17">
        <f>'Rolling report'!CG55*'No Action'!$Y$6</f>
        <v>8.36</v>
      </c>
      <c r="O55" s="17">
        <f>'Rolling report'!CH55*'No Action'!$Y$6</f>
        <v>4.84</v>
      </c>
      <c r="P55" s="17">
        <f>'Rolling report'!CI55*'No Action'!$Y$6</f>
        <v>4.4000000000000004</v>
      </c>
      <c r="Q55" s="17">
        <f>'Rolling report'!CJ55*'No Action'!$Y$6</f>
        <v>6.6</v>
      </c>
      <c r="R55" s="17">
        <f>'Rolling report'!CK55*'No Action'!$Y$6</f>
        <v>2.2000000000000002</v>
      </c>
      <c r="S55" s="17">
        <f>'Rolling report'!CL55*'No Action'!$Y$6</f>
        <v>3.52</v>
      </c>
      <c r="T55" s="17">
        <f>'Rolling report'!CM55*'No Action'!$Y$6</f>
        <v>2.2000000000000002</v>
      </c>
      <c r="U55" s="17">
        <f>'Rolling report'!CN55*'No Action'!$Y$6</f>
        <v>4.4000000000000004</v>
      </c>
      <c r="V55" s="17">
        <f>'Rolling report'!CO55*'No Action'!$Y$6</f>
        <v>2.2000000000000002</v>
      </c>
      <c r="W55" s="17">
        <f>'Rolling report'!CP55*'No Action'!$Y$6</f>
        <v>0.44</v>
      </c>
      <c r="X55" s="17">
        <f>'Rolling report'!CQ55*'No Action'!$Y$6</f>
        <v>1.32</v>
      </c>
      <c r="Y55" s="17">
        <f>'Rolling report'!CR55*'No Action'!$Y$6</f>
        <v>2.64</v>
      </c>
      <c r="Z55" s="17">
        <f>'Rolling report'!CS55*'No Action'!$Y$6</f>
        <v>2.2000000000000002</v>
      </c>
      <c r="AA55" s="17">
        <f>'Rolling report'!CT55*'No Action'!$Y$6</f>
        <v>2.64</v>
      </c>
      <c r="AB55" s="17">
        <f>'Rolling report'!CU55*'No Action'!$Y$6</f>
        <v>2.2000000000000002</v>
      </c>
      <c r="AC55" s="17">
        <f>'Rolling report'!CV55*'No Action'!$Y$6</f>
        <v>5.72</v>
      </c>
      <c r="AD55" s="17">
        <f>'Rolling report'!CW55*'No Action'!$Y$6</f>
        <v>0.88</v>
      </c>
      <c r="AE55" s="17">
        <f>'Rolling report'!CX55*'No Action'!$Y$6</f>
        <v>2.2000000000000002</v>
      </c>
      <c r="AF55" s="17">
        <f>'Rolling report'!CY55*'No Action'!$Y$6</f>
        <v>-123.2</v>
      </c>
      <c r="AG55" s="17">
        <f>'Rolling report'!CZ55*'No Action'!$Y$6</f>
        <v>0</v>
      </c>
      <c r="AH55" s="17">
        <f>'Rolling report'!DA55*'No Action'!$Y$6</f>
        <v>0</v>
      </c>
      <c r="AI55" s="17">
        <f>'Rolling report'!DB55*'No Action'!$Y$6</f>
        <v>0</v>
      </c>
      <c r="AJ55" s="17">
        <f>'Rolling report'!DC55*'No Action'!$Y$6</f>
        <v>0</v>
      </c>
      <c r="AK55" s="17">
        <f>'Rolling report'!DD55*'No Action'!$Y$6</f>
        <v>0</v>
      </c>
      <c r="AL55" s="17">
        <f>'Rolling report'!DE55*'No Action'!$Y$6</f>
        <v>0</v>
      </c>
      <c r="AM55" s="17">
        <f>'Rolling report'!DF55*'No Action'!$Y$6</f>
        <v>0</v>
      </c>
      <c r="AN55" s="17">
        <f>'Rolling report'!DG55*'No Action'!$Y$6</f>
        <v>0</v>
      </c>
      <c r="AO55" s="17">
        <f>'Rolling report'!DH55*'No Action'!$Y$6</f>
        <v>0</v>
      </c>
      <c r="AQ55" s="45"/>
    </row>
    <row r="56" spans="1:43" x14ac:dyDescent="0.25">
      <c r="A56" s="4" t="s">
        <v>101</v>
      </c>
      <c r="B56" s="6" t="s">
        <v>102</v>
      </c>
      <c r="I56" s="17">
        <f>'Rolling report'!CB56*'No Action'!$Y$6</f>
        <v>7.48</v>
      </c>
      <c r="J56" s="17">
        <f>'Rolling report'!CC56*'No Action'!$Y$6</f>
        <v>3.52</v>
      </c>
      <c r="K56" s="17">
        <f>'Rolling report'!CD56*'No Action'!$Y$6</f>
        <v>0</v>
      </c>
      <c r="L56" s="17">
        <f>'Rolling report'!CE56*'No Action'!$Y$6</f>
        <v>1.76</v>
      </c>
      <c r="M56" s="17">
        <f>'Rolling report'!CF56*'No Action'!$Y$6</f>
        <v>0.44</v>
      </c>
      <c r="N56" s="17">
        <f>'Rolling report'!CG56*'No Action'!$Y$6</f>
        <v>0.88</v>
      </c>
      <c r="O56" s="17">
        <f>'Rolling report'!CH56*'No Action'!$Y$6</f>
        <v>3.52</v>
      </c>
      <c r="P56" s="17">
        <f>'Rolling report'!CI56*'No Action'!$Y$6</f>
        <v>0</v>
      </c>
      <c r="Q56" s="17">
        <f>'Rolling report'!CJ56*'No Action'!$Y$6</f>
        <v>0</v>
      </c>
      <c r="R56" s="17">
        <f>'Rolling report'!CK56*'No Action'!$Y$6</f>
        <v>0</v>
      </c>
      <c r="S56" s="17">
        <f>'Rolling report'!CL56*'No Action'!$Y$6</f>
        <v>2.2000000000000002</v>
      </c>
      <c r="T56" s="17">
        <f>'Rolling report'!CM56*'No Action'!$Y$6</f>
        <v>-3.52</v>
      </c>
      <c r="U56" s="17">
        <f>'Rolling report'!CN56*'No Action'!$Y$6</f>
        <v>3.52</v>
      </c>
      <c r="V56" s="17">
        <f>'Rolling report'!CO56*'No Action'!$Y$6</f>
        <v>0</v>
      </c>
      <c r="W56" s="17">
        <f>'Rolling report'!CP56*'No Action'!$Y$6</f>
        <v>0</v>
      </c>
      <c r="X56" s="17">
        <f>'Rolling report'!CQ56*'No Action'!$Y$6</f>
        <v>0</v>
      </c>
      <c r="Y56" s="17">
        <f>'Rolling report'!CR56*'No Action'!$Y$6</f>
        <v>0</v>
      </c>
      <c r="Z56" s="17">
        <f>'Rolling report'!CS56*'No Action'!$Y$6</f>
        <v>0</v>
      </c>
      <c r="AA56" s="17">
        <f>'Rolling report'!CT56*'No Action'!$Y$6</f>
        <v>2.2000000000000002</v>
      </c>
      <c r="AB56" s="17">
        <f>'Rolling report'!CU56*'No Action'!$Y$6</f>
        <v>0</v>
      </c>
      <c r="AC56" s="17">
        <f>'Rolling report'!CV56*'No Action'!$Y$6</f>
        <v>2.2000000000000002</v>
      </c>
      <c r="AD56" s="17">
        <f>'Rolling report'!CW56*'No Action'!$Y$6</f>
        <v>-5.28</v>
      </c>
      <c r="AE56" s="17">
        <f>'Rolling report'!CX56*'No Action'!$Y$6</f>
        <v>0</v>
      </c>
      <c r="AF56" s="17">
        <f>'Rolling report'!CY56*'No Action'!$Y$6</f>
        <v>-18.920000000000002</v>
      </c>
      <c r="AG56" s="17">
        <f>'Rolling report'!CZ56*'No Action'!$Y$6</f>
        <v>0</v>
      </c>
      <c r="AH56" s="17">
        <f>'Rolling report'!DA56*'No Action'!$Y$6</f>
        <v>0</v>
      </c>
      <c r="AI56" s="17">
        <f>'Rolling report'!DB56*'No Action'!$Y$6</f>
        <v>0</v>
      </c>
      <c r="AJ56" s="17">
        <f>'Rolling report'!DC56*'No Action'!$Y$6</f>
        <v>0</v>
      </c>
      <c r="AK56" s="17">
        <f>'Rolling report'!DD56*'No Action'!$Y$6</f>
        <v>0</v>
      </c>
      <c r="AL56" s="17">
        <f>'Rolling report'!DE56*'No Action'!$Y$6</f>
        <v>0</v>
      </c>
      <c r="AM56" s="17">
        <f>'Rolling report'!DF56*'No Action'!$Y$6</f>
        <v>0</v>
      </c>
      <c r="AN56" s="17">
        <f>'Rolling report'!DG56*'No Action'!$Y$6</f>
        <v>0</v>
      </c>
      <c r="AO56" s="17">
        <f>'Rolling report'!DH56*'No Action'!$Y$6</f>
        <v>0</v>
      </c>
      <c r="AQ56" s="45"/>
    </row>
    <row r="57" spans="1:43" x14ac:dyDescent="0.25">
      <c r="A57" s="4" t="s">
        <v>103</v>
      </c>
      <c r="B57" s="6" t="s">
        <v>104</v>
      </c>
      <c r="I57" s="17">
        <f>'Rolling report'!CB57*'No Action'!$Y$6</f>
        <v>71.28</v>
      </c>
      <c r="J57" s="17">
        <f>'Rolling report'!CC57*'No Action'!$Y$6</f>
        <v>4.84</v>
      </c>
      <c r="K57" s="17">
        <f>'Rolling report'!CD57*'No Action'!$Y$6</f>
        <v>5.28</v>
      </c>
      <c r="L57" s="17">
        <f>'Rolling report'!CE57*'No Action'!$Y$6</f>
        <v>10.119999999999999</v>
      </c>
      <c r="M57" s="17">
        <f>'Rolling report'!CF57*'No Action'!$Y$6</f>
        <v>3.96</v>
      </c>
      <c r="N57" s="17">
        <f>'Rolling report'!CG57*'No Action'!$Y$6</f>
        <v>10.119999999999999</v>
      </c>
      <c r="O57" s="17">
        <f>'Rolling report'!CH57*'No Action'!$Y$6</f>
        <v>6.16</v>
      </c>
      <c r="P57" s="17">
        <f>'Rolling report'!CI57*'No Action'!$Y$6</f>
        <v>2.2000000000000002</v>
      </c>
      <c r="Q57" s="17">
        <f>'Rolling report'!CJ57*'No Action'!$Y$6</f>
        <v>7.92</v>
      </c>
      <c r="R57" s="17">
        <f>'Rolling report'!CK57*'No Action'!$Y$6</f>
        <v>6.6</v>
      </c>
      <c r="S57" s="17">
        <f>'Rolling report'!CL57*'No Action'!$Y$6</f>
        <v>3.52</v>
      </c>
      <c r="T57" s="17">
        <f>'Rolling report'!CM57*'No Action'!$Y$6</f>
        <v>4.84</v>
      </c>
      <c r="U57" s="17">
        <f>'Rolling report'!CN57*'No Action'!$Y$6</f>
        <v>4.4000000000000004</v>
      </c>
      <c r="V57" s="17">
        <f>'Rolling report'!CO57*'No Action'!$Y$6</f>
        <v>3.96</v>
      </c>
      <c r="W57" s="17">
        <f>'Rolling report'!CP57*'No Action'!$Y$6</f>
        <v>0.44</v>
      </c>
      <c r="X57" s="17">
        <f>'Rolling report'!CQ57*'No Action'!$Y$6</f>
        <v>1.76</v>
      </c>
      <c r="Y57" s="17">
        <f>'Rolling report'!CR57*'No Action'!$Y$6</f>
        <v>2.2000000000000002</v>
      </c>
      <c r="Z57" s="17">
        <f>'Rolling report'!CS57*'No Action'!$Y$6</f>
        <v>2.2000000000000002</v>
      </c>
      <c r="AA57" s="17">
        <f>'Rolling report'!CT57*'No Action'!$Y$6</f>
        <v>4.84</v>
      </c>
      <c r="AB57" s="17">
        <f>'Rolling report'!CU57*'No Action'!$Y$6</f>
        <v>7.48</v>
      </c>
      <c r="AC57" s="17">
        <f>'Rolling report'!CV57*'No Action'!$Y$6</f>
        <v>6.16</v>
      </c>
      <c r="AD57" s="17">
        <f>'Rolling report'!CW57*'No Action'!$Y$6</f>
        <v>-0.44</v>
      </c>
      <c r="AE57" s="17">
        <f>'Rolling report'!CX57*'No Action'!$Y$6</f>
        <v>3.52</v>
      </c>
      <c r="AF57" s="17">
        <f>'Rolling report'!CY57*'No Action'!$Y$6</f>
        <v>-173.36</v>
      </c>
      <c r="AG57" s="17">
        <f>'Rolling report'!CZ57*'No Action'!$Y$6</f>
        <v>0</v>
      </c>
      <c r="AH57" s="17">
        <f>'Rolling report'!DA57*'No Action'!$Y$6</f>
        <v>0</v>
      </c>
      <c r="AI57" s="17">
        <f>'Rolling report'!DB57*'No Action'!$Y$6</f>
        <v>0</v>
      </c>
      <c r="AJ57" s="17">
        <f>'Rolling report'!DC57*'No Action'!$Y$6</f>
        <v>0</v>
      </c>
      <c r="AK57" s="17">
        <f>'Rolling report'!DD57*'No Action'!$Y$6</f>
        <v>0</v>
      </c>
      <c r="AL57" s="17">
        <f>'Rolling report'!DE57*'No Action'!$Y$6</f>
        <v>0</v>
      </c>
      <c r="AM57" s="17">
        <f>'Rolling report'!DF57*'No Action'!$Y$6</f>
        <v>0</v>
      </c>
      <c r="AN57" s="17">
        <f>'Rolling report'!DG57*'No Action'!$Y$6</f>
        <v>0</v>
      </c>
      <c r="AO57" s="17">
        <f>'Rolling report'!DH57*'No Action'!$Y$6</f>
        <v>0</v>
      </c>
      <c r="AQ57" s="45"/>
    </row>
    <row r="58" spans="1:43" x14ac:dyDescent="0.25">
      <c r="A58" s="4" t="s">
        <v>105</v>
      </c>
      <c r="B58" s="6" t="s">
        <v>106</v>
      </c>
      <c r="I58" s="17">
        <f>'Rolling report'!CB58*'No Action'!$Y$6</f>
        <v>428.12</v>
      </c>
      <c r="J58" s="17">
        <f>'Rolling report'!CC58*'No Action'!$Y$6</f>
        <v>77</v>
      </c>
      <c r="K58" s="17">
        <f>'Rolling report'!CD58*'No Action'!$Y$6</f>
        <v>54.56</v>
      </c>
      <c r="L58" s="17">
        <f>'Rolling report'!CE58*'No Action'!$Y$6</f>
        <v>69.959999999999994</v>
      </c>
      <c r="M58" s="17">
        <f>'Rolling report'!CF58*'No Action'!$Y$6</f>
        <v>63.8</v>
      </c>
      <c r="N58" s="17">
        <f>'Rolling report'!CG58*'No Action'!$Y$6</f>
        <v>47.96</v>
      </c>
      <c r="O58" s="17">
        <f>'Rolling report'!CH58*'No Action'!$Y$6</f>
        <v>57.64</v>
      </c>
      <c r="P58" s="17">
        <f>'Rolling report'!CI58*'No Action'!$Y$6</f>
        <v>19.36</v>
      </c>
      <c r="Q58" s="17">
        <f>'Rolling report'!CJ58*'No Action'!$Y$6</f>
        <v>47.52</v>
      </c>
      <c r="R58" s="17">
        <f>'Rolling report'!CK58*'No Action'!$Y$6</f>
        <v>28.16</v>
      </c>
      <c r="S58" s="17">
        <f>'Rolling report'!CL58*'No Action'!$Y$6</f>
        <v>22.44</v>
      </c>
      <c r="T58" s="17">
        <f>'Rolling report'!CM58*'No Action'!$Y$6</f>
        <v>38.28</v>
      </c>
      <c r="U58" s="17">
        <f>'Rolling report'!CN58*'No Action'!$Y$6</f>
        <v>32.56</v>
      </c>
      <c r="V58" s="17">
        <f>'Rolling report'!CO58*'No Action'!$Y$6</f>
        <v>22.88</v>
      </c>
      <c r="W58" s="17">
        <f>'Rolling report'!CP58*'No Action'!$Y$6</f>
        <v>24.64</v>
      </c>
      <c r="X58" s="17">
        <f>'Rolling report'!CQ58*'No Action'!$Y$6</f>
        <v>11.88</v>
      </c>
      <c r="Y58" s="17">
        <f>'Rolling report'!CR58*'No Action'!$Y$6</f>
        <v>15.84</v>
      </c>
      <c r="Z58" s="17">
        <f>'Rolling report'!CS58*'No Action'!$Y$6</f>
        <v>18.48</v>
      </c>
      <c r="AA58" s="17">
        <f>'Rolling report'!CT58*'No Action'!$Y$6</f>
        <v>14.96</v>
      </c>
      <c r="AB58" s="17">
        <f>'Rolling report'!CU58*'No Action'!$Y$6</f>
        <v>14.96</v>
      </c>
      <c r="AC58" s="17">
        <f>'Rolling report'!CV58*'No Action'!$Y$6</f>
        <v>28.16</v>
      </c>
      <c r="AD58" s="17">
        <f>'Rolling report'!CW58*'No Action'!$Y$6</f>
        <v>3.96</v>
      </c>
      <c r="AE58" s="17">
        <f>'Rolling report'!CX58*'No Action'!$Y$6</f>
        <v>14.52</v>
      </c>
      <c r="AF58" s="17">
        <f>'Rolling report'!CY58*'No Action'!$Y$6</f>
        <v>-1157.6400000000001</v>
      </c>
      <c r="AG58" s="17">
        <f>'Rolling report'!CZ58*'No Action'!$Y$6</f>
        <v>0</v>
      </c>
      <c r="AH58" s="17">
        <f>'Rolling report'!DA58*'No Action'!$Y$6</f>
        <v>0</v>
      </c>
      <c r="AI58" s="17">
        <f>'Rolling report'!DB58*'No Action'!$Y$6</f>
        <v>0</v>
      </c>
      <c r="AJ58" s="17">
        <f>'Rolling report'!DC58*'No Action'!$Y$6</f>
        <v>0</v>
      </c>
      <c r="AK58" s="17">
        <f>'Rolling report'!DD58*'No Action'!$Y$6</f>
        <v>0</v>
      </c>
      <c r="AL58" s="17">
        <f>'Rolling report'!DE58*'No Action'!$Y$6</f>
        <v>0</v>
      </c>
      <c r="AM58" s="17">
        <f>'Rolling report'!DF58*'No Action'!$Y$6</f>
        <v>0</v>
      </c>
      <c r="AN58" s="17">
        <f>'Rolling report'!DG58*'No Action'!$Y$6</f>
        <v>0</v>
      </c>
      <c r="AO58" s="17">
        <f>'Rolling report'!DH58*'No Action'!$Y$6</f>
        <v>0</v>
      </c>
      <c r="AQ58" s="45"/>
    </row>
    <row r="59" spans="1:43" x14ac:dyDescent="0.25">
      <c r="A59" s="4" t="s">
        <v>107</v>
      </c>
      <c r="B59" s="6" t="s">
        <v>108</v>
      </c>
      <c r="I59" s="17">
        <f>'Rolling report'!CB59*'No Action'!$Y$6</f>
        <v>79.2</v>
      </c>
      <c r="J59" s="17">
        <f>'Rolling report'!CC59*'No Action'!$Y$6</f>
        <v>9.24</v>
      </c>
      <c r="K59" s="17">
        <f>'Rolling report'!CD59*'No Action'!$Y$6</f>
        <v>7.92</v>
      </c>
      <c r="L59" s="17">
        <f>'Rolling report'!CE59*'No Action'!$Y$6</f>
        <v>7.48</v>
      </c>
      <c r="M59" s="17">
        <f>'Rolling report'!CF59*'No Action'!$Y$6</f>
        <v>11</v>
      </c>
      <c r="N59" s="17">
        <f>'Rolling report'!CG59*'No Action'!$Y$6</f>
        <v>3.96</v>
      </c>
      <c r="O59" s="17">
        <f>'Rolling report'!CH59*'No Action'!$Y$6</f>
        <v>13.2</v>
      </c>
      <c r="P59" s="17">
        <f>'Rolling report'!CI59*'No Action'!$Y$6</f>
        <v>5.72</v>
      </c>
      <c r="Q59" s="17">
        <f>'Rolling report'!CJ59*'No Action'!$Y$6</f>
        <v>4.4000000000000004</v>
      </c>
      <c r="R59" s="17">
        <f>'Rolling report'!CK59*'No Action'!$Y$6</f>
        <v>5.28</v>
      </c>
      <c r="S59" s="17">
        <f>'Rolling report'!CL59*'No Action'!$Y$6</f>
        <v>3.08</v>
      </c>
      <c r="T59" s="17">
        <f>'Rolling report'!CM59*'No Action'!$Y$6</f>
        <v>8.36</v>
      </c>
      <c r="U59" s="17">
        <f>'Rolling report'!CN59*'No Action'!$Y$6</f>
        <v>6.16</v>
      </c>
      <c r="V59" s="17">
        <f>'Rolling report'!CO59*'No Action'!$Y$6</f>
        <v>5.72</v>
      </c>
      <c r="W59" s="17">
        <f>'Rolling report'!CP59*'No Action'!$Y$6</f>
        <v>6.16</v>
      </c>
      <c r="X59" s="17">
        <f>'Rolling report'!CQ59*'No Action'!$Y$6</f>
        <v>6.16</v>
      </c>
      <c r="Y59" s="17">
        <f>'Rolling report'!CR59*'No Action'!$Y$6</f>
        <v>2.64</v>
      </c>
      <c r="Z59" s="17">
        <f>'Rolling report'!CS59*'No Action'!$Y$6</f>
        <v>8.36</v>
      </c>
      <c r="AA59" s="17">
        <f>'Rolling report'!CT59*'No Action'!$Y$6</f>
        <v>7.04</v>
      </c>
      <c r="AB59" s="17">
        <f>'Rolling report'!CU59*'No Action'!$Y$6</f>
        <v>4.4000000000000004</v>
      </c>
      <c r="AC59" s="17">
        <f>'Rolling report'!CV59*'No Action'!$Y$6</f>
        <v>4.84</v>
      </c>
      <c r="AD59" s="17">
        <f>'Rolling report'!CW59*'No Action'!$Y$6</f>
        <v>3.52</v>
      </c>
      <c r="AE59" s="17">
        <f>'Rolling report'!CX59*'No Action'!$Y$6</f>
        <v>3.08</v>
      </c>
      <c r="AF59" s="17">
        <f>'Rolling report'!CY59*'No Action'!$Y$6</f>
        <v>-216.92</v>
      </c>
      <c r="AG59" s="17">
        <f>'Rolling report'!CZ59*'No Action'!$Y$6</f>
        <v>0</v>
      </c>
      <c r="AH59" s="17">
        <f>'Rolling report'!DA59*'No Action'!$Y$6</f>
        <v>0</v>
      </c>
      <c r="AI59" s="17">
        <f>'Rolling report'!DB59*'No Action'!$Y$6</f>
        <v>0</v>
      </c>
      <c r="AJ59" s="17">
        <f>'Rolling report'!DC59*'No Action'!$Y$6</f>
        <v>0</v>
      </c>
      <c r="AK59" s="17">
        <f>'Rolling report'!DD59*'No Action'!$Y$6</f>
        <v>0</v>
      </c>
      <c r="AL59" s="17">
        <f>'Rolling report'!DE59*'No Action'!$Y$6</f>
        <v>0</v>
      </c>
      <c r="AM59" s="17">
        <f>'Rolling report'!DF59*'No Action'!$Y$6</f>
        <v>0</v>
      </c>
      <c r="AN59" s="17">
        <f>'Rolling report'!DG59*'No Action'!$Y$6</f>
        <v>0</v>
      </c>
      <c r="AO59" s="17">
        <f>'Rolling report'!DH59*'No Action'!$Y$6</f>
        <v>0</v>
      </c>
      <c r="AQ59" s="45"/>
    </row>
    <row r="60" spans="1:43" x14ac:dyDescent="0.25">
      <c r="A60" s="4" t="s">
        <v>109</v>
      </c>
      <c r="B60" s="6" t="s">
        <v>110</v>
      </c>
      <c r="I60" s="17">
        <f>'Rolling report'!CB60*'No Action'!$Y$6</f>
        <v>28.6</v>
      </c>
      <c r="J60" s="17">
        <f>'Rolling report'!CC60*'No Action'!$Y$6</f>
        <v>3.08</v>
      </c>
      <c r="K60" s="17">
        <f>'Rolling report'!CD60*'No Action'!$Y$6</f>
        <v>5.28</v>
      </c>
      <c r="L60" s="17">
        <f>'Rolling report'!CE60*'No Action'!$Y$6</f>
        <v>8.8000000000000007</v>
      </c>
      <c r="M60" s="17">
        <f>'Rolling report'!CF60*'No Action'!$Y$6</f>
        <v>1.32</v>
      </c>
      <c r="N60" s="17">
        <f>'Rolling report'!CG60*'No Action'!$Y$6</f>
        <v>3.52</v>
      </c>
      <c r="O60" s="17">
        <f>'Rolling report'!CH60*'No Action'!$Y$6</f>
        <v>4.84</v>
      </c>
      <c r="P60" s="17">
        <f>'Rolling report'!CI60*'No Action'!$Y$6</f>
        <v>1.32</v>
      </c>
      <c r="Q60" s="17">
        <f>'Rolling report'!CJ60*'No Action'!$Y$6</f>
        <v>3.08</v>
      </c>
      <c r="R60" s="17">
        <f>'Rolling report'!CK60*'No Action'!$Y$6</f>
        <v>2.64</v>
      </c>
      <c r="S60" s="17">
        <f>'Rolling report'!CL60*'No Action'!$Y$6</f>
        <v>2.2000000000000002</v>
      </c>
      <c r="T60" s="17">
        <f>'Rolling report'!CM60*'No Action'!$Y$6</f>
        <v>2.2000000000000002</v>
      </c>
      <c r="U60" s="17">
        <f>'Rolling report'!CN60*'No Action'!$Y$6</f>
        <v>3.96</v>
      </c>
      <c r="V60" s="17">
        <f>'Rolling report'!CO60*'No Action'!$Y$6</f>
        <v>1.32</v>
      </c>
      <c r="W60" s="17">
        <f>'Rolling report'!CP60*'No Action'!$Y$6</f>
        <v>1.76</v>
      </c>
      <c r="X60" s="17">
        <f>'Rolling report'!CQ60*'No Action'!$Y$6</f>
        <v>0.88</v>
      </c>
      <c r="Y60" s="17">
        <f>'Rolling report'!CR60*'No Action'!$Y$6</f>
        <v>1.32</v>
      </c>
      <c r="Z60" s="17">
        <f>'Rolling report'!CS60*'No Action'!$Y$6</f>
        <v>1.32</v>
      </c>
      <c r="AA60" s="17">
        <f>'Rolling report'!CT60*'No Action'!$Y$6</f>
        <v>3.52</v>
      </c>
      <c r="AB60" s="17">
        <f>'Rolling report'!CU60*'No Action'!$Y$6</f>
        <v>1.32</v>
      </c>
      <c r="AC60" s="17">
        <f>'Rolling report'!CV60*'No Action'!$Y$6</f>
        <v>0.88</v>
      </c>
      <c r="AD60" s="17">
        <f>'Rolling report'!CW60*'No Action'!$Y$6</f>
        <v>0.44</v>
      </c>
      <c r="AE60" s="17">
        <f>'Rolling report'!CX60*'No Action'!$Y$6</f>
        <v>0.88</v>
      </c>
      <c r="AF60" s="17">
        <f>'Rolling report'!CY60*'No Action'!$Y$6</f>
        <v>-84.48</v>
      </c>
      <c r="AG60" s="17">
        <f>'Rolling report'!CZ60*'No Action'!$Y$6</f>
        <v>0</v>
      </c>
      <c r="AH60" s="17">
        <f>'Rolling report'!DA60*'No Action'!$Y$6</f>
        <v>0</v>
      </c>
      <c r="AI60" s="17">
        <f>'Rolling report'!DB60*'No Action'!$Y$6</f>
        <v>0</v>
      </c>
      <c r="AJ60" s="17">
        <f>'Rolling report'!DC60*'No Action'!$Y$6</f>
        <v>0</v>
      </c>
      <c r="AK60" s="17">
        <f>'Rolling report'!DD60*'No Action'!$Y$6</f>
        <v>0</v>
      </c>
      <c r="AL60" s="17">
        <f>'Rolling report'!DE60*'No Action'!$Y$6</f>
        <v>0</v>
      </c>
      <c r="AM60" s="17">
        <f>'Rolling report'!DF60*'No Action'!$Y$6</f>
        <v>0</v>
      </c>
      <c r="AN60" s="17">
        <f>'Rolling report'!DG60*'No Action'!$Y$6</f>
        <v>0</v>
      </c>
      <c r="AO60" s="17">
        <f>'Rolling report'!DH60*'No Action'!$Y$6</f>
        <v>0</v>
      </c>
      <c r="AQ60" s="45"/>
    </row>
    <row r="61" spans="1:43" x14ac:dyDescent="0.25">
      <c r="A61" s="4" t="s">
        <v>111</v>
      </c>
      <c r="B61" s="6" t="s">
        <v>112</v>
      </c>
      <c r="I61" s="17">
        <f>'Rolling report'!CB61*'No Action'!$Y$6</f>
        <v>6.6</v>
      </c>
      <c r="J61" s="17">
        <f>'Rolling report'!CC61*'No Action'!$Y$6</f>
        <v>4.4000000000000004</v>
      </c>
      <c r="K61" s="17">
        <f>'Rolling report'!CD61*'No Action'!$Y$6</f>
        <v>0.44</v>
      </c>
      <c r="L61" s="17">
        <f>'Rolling report'!CE61*'No Action'!$Y$6</f>
        <v>0.44</v>
      </c>
      <c r="M61" s="17">
        <f>'Rolling report'!CF61*'No Action'!$Y$6</f>
        <v>0</v>
      </c>
      <c r="N61" s="17">
        <f>'Rolling report'!CG61*'No Action'!$Y$6</f>
        <v>1.32</v>
      </c>
      <c r="O61" s="17">
        <f>'Rolling report'!CH61*'No Action'!$Y$6</f>
        <v>4.4000000000000004</v>
      </c>
      <c r="P61" s="17">
        <f>'Rolling report'!CI61*'No Action'!$Y$6</f>
        <v>0</v>
      </c>
      <c r="Q61" s="17">
        <f>'Rolling report'!CJ61*'No Action'!$Y$6</f>
        <v>0</v>
      </c>
      <c r="R61" s="17">
        <f>'Rolling report'!CK61*'No Action'!$Y$6</f>
        <v>0</v>
      </c>
      <c r="S61" s="17">
        <f>'Rolling report'!CL61*'No Action'!$Y$6</f>
        <v>2.2000000000000002</v>
      </c>
      <c r="T61" s="17">
        <f>'Rolling report'!CM61*'No Action'!$Y$6</f>
        <v>-3.96</v>
      </c>
      <c r="U61" s="17">
        <f>'Rolling report'!CN61*'No Action'!$Y$6</f>
        <v>3.96</v>
      </c>
      <c r="V61" s="17">
        <f>'Rolling report'!CO61*'No Action'!$Y$6</f>
        <v>0</v>
      </c>
      <c r="W61" s="17">
        <f>'Rolling report'!CP61*'No Action'!$Y$6</f>
        <v>0</v>
      </c>
      <c r="X61" s="17">
        <f>'Rolling report'!CQ61*'No Action'!$Y$6</f>
        <v>0</v>
      </c>
      <c r="Y61" s="17">
        <f>'Rolling report'!CR61*'No Action'!$Y$6</f>
        <v>0</v>
      </c>
      <c r="Z61" s="17">
        <f>'Rolling report'!CS61*'No Action'!$Y$6</f>
        <v>0</v>
      </c>
      <c r="AA61" s="17">
        <f>'Rolling report'!CT61*'No Action'!$Y$6</f>
        <v>2.2000000000000002</v>
      </c>
      <c r="AB61" s="17">
        <f>'Rolling report'!CU61*'No Action'!$Y$6</f>
        <v>0</v>
      </c>
      <c r="AC61" s="17">
        <f>'Rolling report'!CV61*'No Action'!$Y$6</f>
        <v>2.2000000000000002</v>
      </c>
      <c r="AD61" s="17">
        <f>'Rolling report'!CW61*'No Action'!$Y$6</f>
        <v>-6.6</v>
      </c>
      <c r="AE61" s="17">
        <f>'Rolling report'!CX61*'No Action'!$Y$6</f>
        <v>0.88</v>
      </c>
      <c r="AF61" s="17">
        <f>'Rolling report'!CY61*'No Action'!$Y$6</f>
        <v>-18.48</v>
      </c>
      <c r="AG61" s="17">
        <f>'Rolling report'!CZ61*'No Action'!$Y$6</f>
        <v>0</v>
      </c>
      <c r="AH61" s="17">
        <f>'Rolling report'!DA61*'No Action'!$Y$6</f>
        <v>0</v>
      </c>
      <c r="AI61" s="17">
        <f>'Rolling report'!DB61*'No Action'!$Y$6</f>
        <v>0</v>
      </c>
      <c r="AJ61" s="17">
        <f>'Rolling report'!DC61*'No Action'!$Y$6</f>
        <v>0</v>
      </c>
      <c r="AK61" s="17">
        <f>'Rolling report'!DD61*'No Action'!$Y$6</f>
        <v>0</v>
      </c>
      <c r="AL61" s="17">
        <f>'Rolling report'!DE61*'No Action'!$Y$6</f>
        <v>0</v>
      </c>
      <c r="AM61" s="17">
        <f>'Rolling report'!DF61*'No Action'!$Y$6</f>
        <v>0</v>
      </c>
      <c r="AN61" s="17">
        <f>'Rolling report'!DG61*'No Action'!$Y$6</f>
        <v>0</v>
      </c>
      <c r="AO61" s="17">
        <f>'Rolling report'!DH61*'No Action'!$Y$6</f>
        <v>0</v>
      </c>
      <c r="AQ61" s="45"/>
    </row>
    <row r="62" spans="1:43" x14ac:dyDescent="0.25">
      <c r="A62" s="4" t="s">
        <v>113</v>
      </c>
      <c r="B62" s="6" t="s">
        <v>114</v>
      </c>
      <c r="I62" s="17">
        <f>'Rolling report'!CB62*'No Action'!$Y$6</f>
        <v>30.8</v>
      </c>
      <c r="J62" s="17">
        <f>'Rolling report'!CC62*'No Action'!$Y$6</f>
        <v>1.32</v>
      </c>
      <c r="K62" s="17">
        <f>'Rolling report'!CD62*'No Action'!$Y$6</f>
        <v>3.08</v>
      </c>
      <c r="L62" s="17">
        <f>'Rolling report'!CE62*'No Action'!$Y$6</f>
        <v>7.48</v>
      </c>
      <c r="M62" s="17">
        <f>'Rolling report'!CF62*'No Action'!$Y$6</f>
        <v>3.52</v>
      </c>
      <c r="N62" s="17">
        <f>'Rolling report'!CG62*'No Action'!$Y$6</f>
        <v>5.72</v>
      </c>
      <c r="O62" s="17">
        <f>'Rolling report'!CH62*'No Action'!$Y$6</f>
        <v>5.72</v>
      </c>
      <c r="P62" s="17">
        <f>'Rolling report'!CI62*'No Action'!$Y$6</f>
        <v>6.16</v>
      </c>
      <c r="Q62" s="17">
        <f>'Rolling report'!CJ62*'No Action'!$Y$6</f>
        <v>7.92</v>
      </c>
      <c r="R62" s="17">
        <f>'Rolling report'!CK62*'No Action'!$Y$6</f>
        <v>3.52</v>
      </c>
      <c r="S62" s="17">
        <f>'Rolling report'!CL62*'No Action'!$Y$6</f>
        <v>1.32</v>
      </c>
      <c r="T62" s="17">
        <f>'Rolling report'!CM62*'No Action'!$Y$6</f>
        <v>6.16</v>
      </c>
      <c r="U62" s="17">
        <f>'Rolling report'!CN62*'No Action'!$Y$6</f>
        <v>2.64</v>
      </c>
      <c r="V62" s="17">
        <f>'Rolling report'!CO62*'No Action'!$Y$6</f>
        <v>2.64</v>
      </c>
      <c r="W62" s="17">
        <f>'Rolling report'!CP62*'No Action'!$Y$6</f>
        <v>5.28</v>
      </c>
      <c r="X62" s="17">
        <f>'Rolling report'!CQ62*'No Action'!$Y$6</f>
        <v>2.2000000000000002</v>
      </c>
      <c r="Y62" s="17">
        <f>'Rolling report'!CR62*'No Action'!$Y$6</f>
        <v>2.64</v>
      </c>
      <c r="Z62" s="17">
        <f>'Rolling report'!CS62*'No Action'!$Y$6</f>
        <v>1.76</v>
      </c>
      <c r="AA62" s="17">
        <f>'Rolling report'!CT62*'No Action'!$Y$6</f>
        <v>3.08</v>
      </c>
      <c r="AB62" s="17">
        <f>'Rolling report'!CU62*'No Action'!$Y$6</f>
        <v>3.52</v>
      </c>
      <c r="AC62" s="17">
        <f>'Rolling report'!CV62*'No Action'!$Y$6</f>
        <v>6.16</v>
      </c>
      <c r="AD62" s="17">
        <f>'Rolling report'!CW62*'No Action'!$Y$6</f>
        <v>3.08</v>
      </c>
      <c r="AE62" s="17">
        <f>'Rolling report'!CX62*'No Action'!$Y$6</f>
        <v>1.32</v>
      </c>
      <c r="AF62" s="17">
        <f>'Rolling report'!CY62*'No Action'!$Y$6</f>
        <v>-117.04</v>
      </c>
      <c r="AG62" s="17">
        <f>'Rolling report'!CZ62*'No Action'!$Y$6</f>
        <v>0</v>
      </c>
      <c r="AH62" s="17">
        <f>'Rolling report'!DA62*'No Action'!$Y$6</f>
        <v>0</v>
      </c>
      <c r="AI62" s="17">
        <f>'Rolling report'!DB62*'No Action'!$Y$6</f>
        <v>0</v>
      </c>
      <c r="AJ62" s="17">
        <f>'Rolling report'!DC62*'No Action'!$Y$6</f>
        <v>0</v>
      </c>
      <c r="AK62" s="17">
        <f>'Rolling report'!DD62*'No Action'!$Y$6</f>
        <v>0</v>
      </c>
      <c r="AL62" s="17">
        <f>'Rolling report'!DE62*'No Action'!$Y$6</f>
        <v>0</v>
      </c>
      <c r="AM62" s="17">
        <f>'Rolling report'!DF62*'No Action'!$Y$6</f>
        <v>0</v>
      </c>
      <c r="AN62" s="17">
        <f>'Rolling report'!DG62*'No Action'!$Y$6</f>
        <v>0</v>
      </c>
      <c r="AO62" s="17">
        <f>'Rolling report'!DH62*'No Action'!$Y$6</f>
        <v>0</v>
      </c>
      <c r="AQ62" s="45"/>
    </row>
    <row r="63" spans="1:43" x14ac:dyDescent="0.25">
      <c r="A63" s="4" t="s">
        <v>115</v>
      </c>
      <c r="B63" s="6" t="s">
        <v>116</v>
      </c>
      <c r="I63" s="17">
        <f>'Rolling report'!CB63*'No Action'!$Y$6</f>
        <v>65.56</v>
      </c>
      <c r="J63" s="17">
        <f>'Rolling report'!CC63*'No Action'!$Y$6</f>
        <v>7.04</v>
      </c>
      <c r="K63" s="17">
        <f>'Rolling report'!CD63*'No Action'!$Y$6</f>
        <v>11.44</v>
      </c>
      <c r="L63" s="17">
        <f>'Rolling report'!CE63*'No Action'!$Y$6</f>
        <v>11</v>
      </c>
      <c r="M63" s="17">
        <f>'Rolling report'!CF63*'No Action'!$Y$6</f>
        <v>11.44</v>
      </c>
      <c r="N63" s="17">
        <f>'Rolling report'!CG63*'No Action'!$Y$6</f>
        <v>6.6</v>
      </c>
      <c r="O63" s="17">
        <f>'Rolling report'!CH63*'No Action'!$Y$6</f>
        <v>20.68</v>
      </c>
      <c r="P63" s="17">
        <f>'Rolling report'!CI63*'No Action'!$Y$6</f>
        <v>12.76</v>
      </c>
      <c r="Q63" s="17">
        <f>'Rolling report'!CJ63*'No Action'!$Y$6</f>
        <v>7.04</v>
      </c>
      <c r="R63" s="17">
        <f>'Rolling report'!CK63*'No Action'!$Y$6</f>
        <v>4.84</v>
      </c>
      <c r="S63" s="17">
        <f>'Rolling report'!CL63*'No Action'!$Y$6</f>
        <v>6.6</v>
      </c>
      <c r="T63" s="17">
        <f>'Rolling report'!CM63*'No Action'!$Y$6</f>
        <v>8.8000000000000007</v>
      </c>
      <c r="U63" s="17">
        <f>'Rolling report'!CN63*'No Action'!$Y$6</f>
        <v>9.24</v>
      </c>
      <c r="V63" s="17">
        <f>'Rolling report'!CO63*'No Action'!$Y$6</f>
        <v>11.88</v>
      </c>
      <c r="W63" s="17">
        <f>'Rolling report'!CP63*'No Action'!$Y$6</f>
        <v>7.48</v>
      </c>
      <c r="X63" s="17">
        <f>'Rolling report'!CQ63*'No Action'!$Y$6</f>
        <v>3.52</v>
      </c>
      <c r="Y63" s="17">
        <f>'Rolling report'!CR63*'No Action'!$Y$6</f>
        <v>3.96</v>
      </c>
      <c r="Z63" s="17">
        <f>'Rolling report'!CS63*'No Action'!$Y$6</f>
        <v>5.28</v>
      </c>
      <c r="AA63" s="17">
        <f>'Rolling report'!CT63*'No Action'!$Y$6</f>
        <v>5.28</v>
      </c>
      <c r="AB63" s="17">
        <f>'Rolling report'!CU63*'No Action'!$Y$6</f>
        <v>5.72</v>
      </c>
      <c r="AC63" s="17">
        <f>'Rolling report'!CV63*'No Action'!$Y$6</f>
        <v>4.84</v>
      </c>
      <c r="AD63" s="17">
        <f>'Rolling report'!CW63*'No Action'!$Y$6</f>
        <v>0.44</v>
      </c>
      <c r="AE63" s="17">
        <f>'Rolling report'!CX63*'No Action'!$Y$6</f>
        <v>3.96</v>
      </c>
      <c r="AF63" s="17">
        <f>'Rolling report'!CY63*'No Action'!$Y$6</f>
        <v>-235.4</v>
      </c>
      <c r="AG63" s="17">
        <f>'Rolling report'!CZ63*'No Action'!$Y$6</f>
        <v>0</v>
      </c>
      <c r="AH63" s="17">
        <f>'Rolling report'!DA63*'No Action'!$Y$6</f>
        <v>0</v>
      </c>
      <c r="AI63" s="17">
        <f>'Rolling report'!DB63*'No Action'!$Y$6</f>
        <v>0</v>
      </c>
      <c r="AJ63" s="17">
        <f>'Rolling report'!DC63*'No Action'!$Y$6</f>
        <v>0</v>
      </c>
      <c r="AK63" s="17">
        <f>'Rolling report'!DD63*'No Action'!$Y$6</f>
        <v>0</v>
      </c>
      <c r="AL63" s="17">
        <f>'Rolling report'!DE63*'No Action'!$Y$6</f>
        <v>0</v>
      </c>
      <c r="AM63" s="17">
        <f>'Rolling report'!DF63*'No Action'!$Y$6</f>
        <v>0</v>
      </c>
      <c r="AN63" s="17">
        <f>'Rolling report'!DG63*'No Action'!$Y$6</f>
        <v>0</v>
      </c>
      <c r="AO63" s="17">
        <f>'Rolling report'!DH63*'No Action'!$Y$6</f>
        <v>0</v>
      </c>
      <c r="AQ63" s="45"/>
    </row>
    <row r="64" spans="1:43" x14ac:dyDescent="0.25">
      <c r="A64" s="4" t="s">
        <v>117</v>
      </c>
      <c r="B64" s="6" t="s">
        <v>118</v>
      </c>
      <c r="I64" s="17">
        <f>'Rolling report'!CB64*'No Action'!$Y$6</f>
        <v>273.68</v>
      </c>
      <c r="J64" s="17">
        <f>'Rolling report'!CC64*'No Action'!$Y$6</f>
        <v>46.2</v>
      </c>
      <c r="K64" s="17">
        <f>'Rolling report'!CD64*'No Action'!$Y$6</f>
        <v>32.56</v>
      </c>
      <c r="L64" s="17">
        <f>'Rolling report'!CE64*'No Action'!$Y$6</f>
        <v>44.88</v>
      </c>
      <c r="M64" s="17">
        <f>'Rolling report'!CF64*'No Action'!$Y$6</f>
        <v>34.32</v>
      </c>
      <c r="N64" s="17">
        <f>'Rolling report'!CG64*'No Action'!$Y$6</f>
        <v>29.92</v>
      </c>
      <c r="O64" s="17">
        <f>'Rolling report'!CH64*'No Action'!$Y$6</f>
        <v>44.44</v>
      </c>
      <c r="P64" s="17">
        <f>'Rolling report'!CI64*'No Action'!$Y$6</f>
        <v>23.32</v>
      </c>
      <c r="Q64" s="17">
        <f>'Rolling report'!CJ64*'No Action'!$Y$6</f>
        <v>33</v>
      </c>
      <c r="R64" s="17">
        <f>'Rolling report'!CK64*'No Action'!$Y$6</f>
        <v>26.84</v>
      </c>
      <c r="S64" s="17">
        <f>'Rolling report'!CL64*'No Action'!$Y$6</f>
        <v>22</v>
      </c>
      <c r="T64" s="17">
        <f>'Rolling report'!CM64*'No Action'!$Y$6</f>
        <v>23.76</v>
      </c>
      <c r="U64" s="17">
        <f>'Rolling report'!CN64*'No Action'!$Y$6</f>
        <v>17.600000000000001</v>
      </c>
      <c r="V64" s="17">
        <f>'Rolling report'!CO64*'No Action'!$Y$6</f>
        <v>11.44</v>
      </c>
      <c r="W64" s="17">
        <f>'Rolling report'!CP64*'No Action'!$Y$6</f>
        <v>11.88</v>
      </c>
      <c r="X64" s="17">
        <f>'Rolling report'!CQ64*'No Action'!$Y$6</f>
        <v>12.32</v>
      </c>
      <c r="Y64" s="17">
        <f>'Rolling report'!CR64*'No Action'!$Y$6</f>
        <v>12.32</v>
      </c>
      <c r="Z64" s="17">
        <f>'Rolling report'!CS64*'No Action'!$Y$6</f>
        <v>9.68</v>
      </c>
      <c r="AA64" s="17">
        <f>'Rolling report'!CT64*'No Action'!$Y$6</f>
        <v>9.68</v>
      </c>
      <c r="AB64" s="17">
        <f>'Rolling report'!CU64*'No Action'!$Y$6</f>
        <v>6.16</v>
      </c>
      <c r="AC64" s="17">
        <f>'Rolling report'!CV64*'No Action'!$Y$6</f>
        <v>24.64</v>
      </c>
      <c r="AD64" s="17">
        <f>'Rolling report'!CW64*'No Action'!$Y$6</f>
        <v>4.4000000000000004</v>
      </c>
      <c r="AE64" s="17">
        <f>'Rolling report'!CX64*'No Action'!$Y$6</f>
        <v>7.04</v>
      </c>
      <c r="AF64" s="17">
        <f>'Rolling report'!CY64*'No Action'!$Y$6</f>
        <v>-762.08</v>
      </c>
      <c r="AG64" s="17">
        <f>'Rolling report'!CZ64*'No Action'!$Y$6</f>
        <v>0</v>
      </c>
      <c r="AH64" s="17">
        <f>'Rolling report'!DA64*'No Action'!$Y$6</f>
        <v>0</v>
      </c>
      <c r="AI64" s="17">
        <f>'Rolling report'!DB64*'No Action'!$Y$6</f>
        <v>0</v>
      </c>
      <c r="AJ64" s="17">
        <f>'Rolling report'!DC64*'No Action'!$Y$6</f>
        <v>0</v>
      </c>
      <c r="AK64" s="17">
        <f>'Rolling report'!DD64*'No Action'!$Y$6</f>
        <v>0</v>
      </c>
      <c r="AL64" s="17">
        <f>'Rolling report'!DE64*'No Action'!$Y$6</f>
        <v>0</v>
      </c>
      <c r="AM64" s="17">
        <f>'Rolling report'!DF64*'No Action'!$Y$6</f>
        <v>0</v>
      </c>
      <c r="AN64" s="17">
        <f>'Rolling report'!DG64*'No Action'!$Y$6</f>
        <v>0</v>
      </c>
      <c r="AO64" s="17">
        <f>'Rolling report'!DH64*'No Action'!$Y$6</f>
        <v>0</v>
      </c>
      <c r="AQ64" s="45"/>
    </row>
    <row r="65" spans="1:43" x14ac:dyDescent="0.25">
      <c r="A65" s="4" t="s">
        <v>119</v>
      </c>
      <c r="B65" s="6" t="s">
        <v>120</v>
      </c>
      <c r="I65" s="17">
        <f>'Rolling report'!CB65*'No Action'!$Y$6</f>
        <v>41.8</v>
      </c>
      <c r="J65" s="17">
        <f>'Rolling report'!CC65*'No Action'!$Y$6</f>
        <v>8.8000000000000007</v>
      </c>
      <c r="K65" s="17">
        <f>'Rolling report'!CD65*'No Action'!$Y$6</f>
        <v>4.4000000000000004</v>
      </c>
      <c r="L65" s="17">
        <f>'Rolling report'!CE65*'No Action'!$Y$6</f>
        <v>5.28</v>
      </c>
      <c r="M65" s="17">
        <f>'Rolling report'!CF65*'No Action'!$Y$6</f>
        <v>4.84</v>
      </c>
      <c r="N65" s="17">
        <f>'Rolling report'!CG65*'No Action'!$Y$6</f>
        <v>9.24</v>
      </c>
      <c r="O65" s="17">
        <f>'Rolling report'!CH65*'No Action'!$Y$6</f>
        <v>11.44</v>
      </c>
      <c r="P65" s="17">
        <f>'Rolling report'!CI65*'No Action'!$Y$6</f>
        <v>7.92</v>
      </c>
      <c r="Q65" s="17">
        <f>'Rolling report'!CJ65*'No Action'!$Y$6</f>
        <v>6.16</v>
      </c>
      <c r="R65" s="17">
        <f>'Rolling report'!CK65*'No Action'!$Y$6</f>
        <v>7.04</v>
      </c>
      <c r="S65" s="17">
        <f>'Rolling report'!CL65*'No Action'!$Y$6</f>
        <v>1.76</v>
      </c>
      <c r="T65" s="17">
        <f>'Rolling report'!CM65*'No Action'!$Y$6</f>
        <v>9.68</v>
      </c>
      <c r="U65" s="17">
        <f>'Rolling report'!CN65*'No Action'!$Y$6</f>
        <v>5.28</v>
      </c>
      <c r="V65" s="17">
        <f>'Rolling report'!CO65*'No Action'!$Y$6</f>
        <v>2.64</v>
      </c>
      <c r="W65" s="17">
        <f>'Rolling report'!CP65*'No Action'!$Y$6</f>
        <v>1.76</v>
      </c>
      <c r="X65" s="17">
        <f>'Rolling report'!CQ65*'No Action'!$Y$6</f>
        <v>3.08</v>
      </c>
      <c r="Y65" s="17">
        <f>'Rolling report'!CR65*'No Action'!$Y$6</f>
        <v>3.08</v>
      </c>
      <c r="Z65" s="17">
        <f>'Rolling report'!CS65*'No Action'!$Y$6</f>
        <v>3.08</v>
      </c>
      <c r="AA65" s="17">
        <f>'Rolling report'!CT65*'No Action'!$Y$6</f>
        <v>2.2000000000000002</v>
      </c>
      <c r="AB65" s="17">
        <f>'Rolling report'!CU65*'No Action'!$Y$6</f>
        <v>4.4000000000000004</v>
      </c>
      <c r="AC65" s="17">
        <f>'Rolling report'!CV65*'No Action'!$Y$6</f>
        <v>1.76</v>
      </c>
      <c r="AD65" s="17">
        <f>'Rolling report'!CW65*'No Action'!$Y$6</f>
        <v>0</v>
      </c>
      <c r="AE65" s="17">
        <f>'Rolling report'!CX65*'No Action'!$Y$6</f>
        <v>3.08</v>
      </c>
      <c r="AF65" s="17">
        <f>'Rolling report'!CY65*'No Action'!$Y$6</f>
        <v>-148.72</v>
      </c>
      <c r="AG65" s="17">
        <f>'Rolling report'!CZ65*'No Action'!$Y$6</f>
        <v>0</v>
      </c>
      <c r="AH65" s="17">
        <f>'Rolling report'!DA65*'No Action'!$Y$6</f>
        <v>0</v>
      </c>
      <c r="AI65" s="17">
        <f>'Rolling report'!DB65*'No Action'!$Y$6</f>
        <v>0</v>
      </c>
      <c r="AJ65" s="17">
        <f>'Rolling report'!DC65*'No Action'!$Y$6</f>
        <v>0</v>
      </c>
      <c r="AK65" s="17">
        <f>'Rolling report'!DD65*'No Action'!$Y$6</f>
        <v>0</v>
      </c>
      <c r="AL65" s="17">
        <f>'Rolling report'!DE65*'No Action'!$Y$6</f>
        <v>0</v>
      </c>
      <c r="AM65" s="17">
        <f>'Rolling report'!DF65*'No Action'!$Y$6</f>
        <v>0</v>
      </c>
      <c r="AN65" s="17">
        <f>'Rolling report'!DG65*'No Action'!$Y$6</f>
        <v>0</v>
      </c>
      <c r="AO65" s="17">
        <f>'Rolling report'!DH65*'No Action'!$Y$6</f>
        <v>0</v>
      </c>
      <c r="AQ65" s="45"/>
    </row>
    <row r="66" spans="1:43" x14ac:dyDescent="0.25">
      <c r="A66" s="4" t="s">
        <v>121</v>
      </c>
      <c r="B66" s="6" t="s">
        <v>122</v>
      </c>
      <c r="I66" s="17">
        <f>'Rolling report'!CB66*'No Action'!$Y$6</f>
        <v>51.04</v>
      </c>
      <c r="J66" s="17">
        <f>'Rolling report'!CC66*'No Action'!$Y$6</f>
        <v>5.28</v>
      </c>
      <c r="K66" s="17">
        <f>'Rolling report'!CD66*'No Action'!$Y$6</f>
        <v>5.28</v>
      </c>
      <c r="L66" s="17">
        <f>'Rolling report'!CE66*'No Action'!$Y$6</f>
        <v>12.76</v>
      </c>
      <c r="M66" s="17">
        <f>'Rolling report'!CF66*'No Action'!$Y$6</f>
        <v>4.4000000000000004</v>
      </c>
      <c r="N66" s="17">
        <f>'Rolling report'!CG66*'No Action'!$Y$6</f>
        <v>6.6</v>
      </c>
      <c r="O66" s="17">
        <f>'Rolling report'!CH66*'No Action'!$Y$6</f>
        <v>8.8000000000000007</v>
      </c>
      <c r="P66" s="17">
        <f>'Rolling report'!CI66*'No Action'!$Y$6</f>
        <v>4.4000000000000004</v>
      </c>
      <c r="Q66" s="17">
        <f>'Rolling report'!CJ66*'No Action'!$Y$6</f>
        <v>7.92</v>
      </c>
      <c r="R66" s="17">
        <f>'Rolling report'!CK66*'No Action'!$Y$6</f>
        <v>4.84</v>
      </c>
      <c r="S66" s="17">
        <f>'Rolling report'!CL66*'No Action'!$Y$6</f>
        <v>5.28</v>
      </c>
      <c r="T66" s="17">
        <f>'Rolling report'!CM66*'No Action'!$Y$6</f>
        <v>2.64</v>
      </c>
      <c r="U66" s="17">
        <f>'Rolling report'!CN66*'No Action'!$Y$6</f>
        <v>4.4000000000000004</v>
      </c>
      <c r="V66" s="17">
        <f>'Rolling report'!CO66*'No Action'!$Y$6</f>
        <v>6.16</v>
      </c>
      <c r="W66" s="17">
        <f>'Rolling report'!CP66*'No Action'!$Y$6</f>
        <v>3.96</v>
      </c>
      <c r="X66" s="17">
        <f>'Rolling report'!CQ66*'No Action'!$Y$6</f>
        <v>3.52</v>
      </c>
      <c r="Y66" s="17">
        <f>'Rolling report'!CR66*'No Action'!$Y$6</f>
        <v>6.16</v>
      </c>
      <c r="Z66" s="17">
        <f>'Rolling report'!CS66*'No Action'!$Y$6</f>
        <v>4.84</v>
      </c>
      <c r="AA66" s="17">
        <f>'Rolling report'!CT66*'No Action'!$Y$6</f>
        <v>5.72</v>
      </c>
      <c r="AB66" s="17">
        <f>'Rolling report'!CU66*'No Action'!$Y$6</f>
        <v>3.52</v>
      </c>
      <c r="AC66" s="17">
        <f>'Rolling report'!CV66*'No Action'!$Y$6</f>
        <v>7.04</v>
      </c>
      <c r="AD66" s="17">
        <f>'Rolling report'!CW66*'No Action'!$Y$6</f>
        <v>2.64</v>
      </c>
      <c r="AE66" s="17">
        <f>'Rolling report'!CX66*'No Action'!$Y$6</f>
        <v>4.84</v>
      </c>
      <c r="AF66" s="17">
        <f>'Rolling report'!CY66*'No Action'!$Y$6</f>
        <v>-172.04</v>
      </c>
      <c r="AG66" s="17">
        <f>'Rolling report'!CZ66*'No Action'!$Y$6</f>
        <v>0</v>
      </c>
      <c r="AH66" s="17">
        <f>'Rolling report'!DA66*'No Action'!$Y$6</f>
        <v>0</v>
      </c>
      <c r="AI66" s="17">
        <f>'Rolling report'!DB66*'No Action'!$Y$6</f>
        <v>0</v>
      </c>
      <c r="AJ66" s="17">
        <f>'Rolling report'!DC66*'No Action'!$Y$6</f>
        <v>0</v>
      </c>
      <c r="AK66" s="17">
        <f>'Rolling report'!DD66*'No Action'!$Y$6</f>
        <v>0</v>
      </c>
      <c r="AL66" s="17">
        <f>'Rolling report'!DE66*'No Action'!$Y$6</f>
        <v>0</v>
      </c>
      <c r="AM66" s="17">
        <f>'Rolling report'!DF66*'No Action'!$Y$6</f>
        <v>0</v>
      </c>
      <c r="AN66" s="17">
        <f>'Rolling report'!DG66*'No Action'!$Y$6</f>
        <v>0</v>
      </c>
      <c r="AO66" s="17">
        <f>'Rolling report'!DH66*'No Action'!$Y$6</f>
        <v>0</v>
      </c>
      <c r="AQ66" s="45"/>
    </row>
    <row r="67" spans="1:43" x14ac:dyDescent="0.25">
      <c r="A67" s="4" t="s">
        <v>123</v>
      </c>
      <c r="B67" s="6" t="s">
        <v>124</v>
      </c>
      <c r="I67" s="17">
        <f>'Rolling report'!CB67*'No Action'!$Y$6</f>
        <v>36.96</v>
      </c>
      <c r="J67" s="17">
        <f>'Rolling report'!CC67*'No Action'!$Y$6</f>
        <v>5.28</v>
      </c>
      <c r="K67" s="17">
        <f>'Rolling report'!CD67*'No Action'!$Y$6</f>
        <v>8.36</v>
      </c>
      <c r="L67" s="17">
        <f>'Rolling report'!CE67*'No Action'!$Y$6</f>
        <v>6.16</v>
      </c>
      <c r="M67" s="17">
        <f>'Rolling report'!CF67*'No Action'!$Y$6</f>
        <v>4.4000000000000004</v>
      </c>
      <c r="N67" s="17">
        <f>'Rolling report'!CG67*'No Action'!$Y$6</f>
        <v>4.4000000000000004</v>
      </c>
      <c r="O67" s="17">
        <f>'Rolling report'!CH67*'No Action'!$Y$6</f>
        <v>3.96</v>
      </c>
      <c r="P67" s="17">
        <f>'Rolling report'!CI67*'No Action'!$Y$6</f>
        <v>2.2000000000000002</v>
      </c>
      <c r="Q67" s="17">
        <f>'Rolling report'!CJ67*'No Action'!$Y$6</f>
        <v>0.44</v>
      </c>
      <c r="R67" s="17">
        <f>'Rolling report'!CK67*'No Action'!$Y$6</f>
        <v>1.76</v>
      </c>
      <c r="S67" s="17">
        <f>'Rolling report'!CL67*'No Action'!$Y$6</f>
        <v>1.76</v>
      </c>
      <c r="T67" s="17">
        <f>'Rolling report'!CM67*'No Action'!$Y$6</f>
        <v>3.52</v>
      </c>
      <c r="U67" s="17">
        <f>'Rolling report'!CN67*'No Action'!$Y$6</f>
        <v>1.76</v>
      </c>
      <c r="V67" s="17">
        <f>'Rolling report'!CO67*'No Action'!$Y$6</f>
        <v>0.88</v>
      </c>
      <c r="W67" s="17">
        <f>'Rolling report'!CP67*'No Action'!$Y$6</f>
        <v>1.76</v>
      </c>
      <c r="X67" s="17">
        <f>'Rolling report'!CQ67*'No Action'!$Y$6</f>
        <v>0.88</v>
      </c>
      <c r="Y67" s="17">
        <f>'Rolling report'!CR67*'No Action'!$Y$6</f>
        <v>0.88</v>
      </c>
      <c r="Z67" s="17">
        <f>'Rolling report'!CS67*'No Action'!$Y$6</f>
        <v>3.96</v>
      </c>
      <c r="AA67" s="17">
        <f>'Rolling report'!CT67*'No Action'!$Y$6</f>
        <v>2.2000000000000002</v>
      </c>
      <c r="AB67" s="17">
        <f>'Rolling report'!CU67*'No Action'!$Y$6</f>
        <v>0.88</v>
      </c>
      <c r="AC67" s="17">
        <f>'Rolling report'!CV67*'No Action'!$Y$6</f>
        <v>2.64</v>
      </c>
      <c r="AD67" s="17">
        <f>'Rolling report'!CW67*'No Action'!$Y$6</f>
        <v>-0.88</v>
      </c>
      <c r="AE67" s="17">
        <f>'Rolling report'!CX67*'No Action'!$Y$6</f>
        <v>0.44</v>
      </c>
      <c r="AF67" s="17">
        <f>'Rolling report'!CY67*'No Action'!$Y$6</f>
        <v>-94.6</v>
      </c>
      <c r="AG67" s="17">
        <f>'Rolling report'!CZ67*'No Action'!$Y$6</f>
        <v>0</v>
      </c>
      <c r="AH67" s="17">
        <f>'Rolling report'!DA67*'No Action'!$Y$6</f>
        <v>0</v>
      </c>
      <c r="AI67" s="17">
        <f>'Rolling report'!DB67*'No Action'!$Y$6</f>
        <v>0</v>
      </c>
      <c r="AJ67" s="17">
        <f>'Rolling report'!DC67*'No Action'!$Y$6</f>
        <v>0</v>
      </c>
      <c r="AK67" s="17">
        <f>'Rolling report'!DD67*'No Action'!$Y$6</f>
        <v>0</v>
      </c>
      <c r="AL67" s="17">
        <f>'Rolling report'!DE67*'No Action'!$Y$6</f>
        <v>0</v>
      </c>
      <c r="AM67" s="17">
        <f>'Rolling report'!DF67*'No Action'!$Y$6</f>
        <v>0</v>
      </c>
      <c r="AN67" s="17">
        <f>'Rolling report'!DG67*'No Action'!$Y$6</f>
        <v>0</v>
      </c>
      <c r="AO67" s="17">
        <f>'Rolling report'!DH67*'No Action'!$Y$6</f>
        <v>0</v>
      </c>
      <c r="AQ67" s="45"/>
    </row>
    <row r="68" spans="1:43" x14ac:dyDescent="0.25">
      <c r="A68" s="4" t="s">
        <v>125</v>
      </c>
      <c r="B68" s="6" t="s">
        <v>126</v>
      </c>
      <c r="I68" s="17">
        <f>'Rolling report'!CB68*'No Action'!$Y$6</f>
        <v>4.4000000000000004</v>
      </c>
      <c r="J68" s="17">
        <f>'Rolling report'!CC68*'No Action'!$Y$6</f>
        <v>6.6</v>
      </c>
      <c r="K68" s="17">
        <f>'Rolling report'!CD68*'No Action'!$Y$6</f>
        <v>0</v>
      </c>
      <c r="L68" s="17">
        <f>'Rolling report'!CE68*'No Action'!$Y$6</f>
        <v>0</v>
      </c>
      <c r="M68" s="17">
        <f>'Rolling report'!CF68*'No Action'!$Y$6</f>
        <v>0</v>
      </c>
      <c r="N68" s="17">
        <f>'Rolling report'!CG68*'No Action'!$Y$6</f>
        <v>2.2000000000000002</v>
      </c>
      <c r="O68" s="17">
        <f>'Rolling report'!CH68*'No Action'!$Y$6</f>
        <v>4.4000000000000004</v>
      </c>
      <c r="P68" s="17">
        <f>'Rolling report'!CI68*'No Action'!$Y$6</f>
        <v>0</v>
      </c>
      <c r="Q68" s="17">
        <f>'Rolling report'!CJ68*'No Action'!$Y$6</f>
        <v>0</v>
      </c>
      <c r="R68" s="17">
        <f>'Rolling report'!CK68*'No Action'!$Y$6</f>
        <v>0</v>
      </c>
      <c r="S68" s="17">
        <f>'Rolling report'!CL68*'No Action'!$Y$6</f>
        <v>2.2000000000000002</v>
      </c>
      <c r="T68" s="17">
        <f>'Rolling report'!CM68*'No Action'!$Y$6</f>
        <v>0</v>
      </c>
      <c r="U68" s="17">
        <f>'Rolling report'!CN68*'No Action'!$Y$6</f>
        <v>0</v>
      </c>
      <c r="V68" s="17">
        <f>'Rolling report'!CO68*'No Action'!$Y$6</f>
        <v>0</v>
      </c>
      <c r="W68" s="17">
        <f>'Rolling report'!CP68*'No Action'!$Y$6</f>
        <v>0</v>
      </c>
      <c r="X68" s="17">
        <f>'Rolling report'!CQ68*'No Action'!$Y$6</f>
        <v>0</v>
      </c>
      <c r="Y68" s="17">
        <f>'Rolling report'!CR68*'No Action'!$Y$6</f>
        <v>0</v>
      </c>
      <c r="Z68" s="17">
        <f>'Rolling report'!CS68*'No Action'!$Y$6</f>
        <v>0</v>
      </c>
      <c r="AA68" s="17">
        <f>'Rolling report'!CT68*'No Action'!$Y$6</f>
        <v>2.2000000000000002</v>
      </c>
      <c r="AB68" s="17">
        <f>'Rolling report'!CU68*'No Action'!$Y$6</f>
        <v>0</v>
      </c>
      <c r="AC68" s="17">
        <f>'Rolling report'!CV68*'No Action'!$Y$6</f>
        <v>2.2000000000000002</v>
      </c>
      <c r="AD68" s="17">
        <f>'Rolling report'!CW68*'No Action'!$Y$6</f>
        <v>-6.6</v>
      </c>
      <c r="AE68" s="17">
        <f>'Rolling report'!CX68*'No Action'!$Y$6</f>
        <v>0</v>
      </c>
      <c r="AF68" s="17">
        <f>'Rolling report'!CY68*'No Action'!$Y$6</f>
        <v>-17.600000000000001</v>
      </c>
      <c r="AG68" s="17">
        <f>'Rolling report'!CZ68*'No Action'!$Y$6</f>
        <v>0</v>
      </c>
      <c r="AH68" s="17">
        <f>'Rolling report'!DA68*'No Action'!$Y$6</f>
        <v>0</v>
      </c>
      <c r="AI68" s="17">
        <f>'Rolling report'!DB68*'No Action'!$Y$6</f>
        <v>0</v>
      </c>
      <c r="AJ68" s="17">
        <f>'Rolling report'!DC68*'No Action'!$Y$6</f>
        <v>0</v>
      </c>
      <c r="AK68" s="17">
        <f>'Rolling report'!DD68*'No Action'!$Y$6</f>
        <v>0</v>
      </c>
      <c r="AL68" s="17">
        <f>'Rolling report'!DE68*'No Action'!$Y$6</f>
        <v>0</v>
      </c>
      <c r="AM68" s="17">
        <f>'Rolling report'!DF68*'No Action'!$Y$6</f>
        <v>0</v>
      </c>
      <c r="AN68" s="17">
        <f>'Rolling report'!DG68*'No Action'!$Y$6</f>
        <v>0</v>
      </c>
      <c r="AO68" s="17">
        <f>'Rolling report'!DH68*'No Action'!$Y$6</f>
        <v>0</v>
      </c>
      <c r="AQ68" s="45"/>
    </row>
    <row r="69" spans="1:43" x14ac:dyDescent="0.25">
      <c r="A69" s="4" t="s">
        <v>127</v>
      </c>
      <c r="B69" s="6" t="s">
        <v>128</v>
      </c>
      <c r="I69" s="17">
        <f>'Rolling report'!CB69*'No Action'!$Y$6</f>
        <v>61.6</v>
      </c>
      <c r="J69" s="17">
        <f>'Rolling report'!CC69*'No Action'!$Y$6</f>
        <v>7.04</v>
      </c>
      <c r="K69" s="17">
        <f>'Rolling report'!CD69*'No Action'!$Y$6</f>
        <v>12.76</v>
      </c>
      <c r="L69" s="17">
        <f>'Rolling report'!CE69*'No Action'!$Y$6</f>
        <v>6.6</v>
      </c>
      <c r="M69" s="17">
        <f>'Rolling report'!CF69*'No Action'!$Y$6</f>
        <v>2.64</v>
      </c>
      <c r="N69" s="17">
        <f>'Rolling report'!CG69*'No Action'!$Y$6</f>
        <v>5.72</v>
      </c>
      <c r="O69" s="17">
        <f>'Rolling report'!CH69*'No Action'!$Y$6</f>
        <v>2.64</v>
      </c>
      <c r="P69" s="17">
        <f>'Rolling report'!CI69*'No Action'!$Y$6</f>
        <v>1.32</v>
      </c>
      <c r="Q69" s="17">
        <f>'Rolling report'!CJ69*'No Action'!$Y$6</f>
        <v>6.16</v>
      </c>
      <c r="R69" s="17">
        <f>'Rolling report'!CK69*'No Action'!$Y$6</f>
        <v>4.84</v>
      </c>
      <c r="S69" s="17">
        <f>'Rolling report'!CL69*'No Action'!$Y$6</f>
        <v>6.6</v>
      </c>
      <c r="T69" s="17">
        <f>'Rolling report'!CM69*'No Action'!$Y$6</f>
        <v>3.96</v>
      </c>
      <c r="U69" s="17">
        <f>'Rolling report'!CN69*'No Action'!$Y$6</f>
        <v>3.96</v>
      </c>
      <c r="V69" s="17">
        <f>'Rolling report'!CO69*'No Action'!$Y$6</f>
        <v>2.64</v>
      </c>
      <c r="W69" s="17">
        <f>'Rolling report'!CP69*'No Action'!$Y$6</f>
        <v>1.32</v>
      </c>
      <c r="X69" s="17">
        <f>'Rolling report'!CQ69*'No Action'!$Y$6</f>
        <v>2.64</v>
      </c>
      <c r="Y69" s="17">
        <f>'Rolling report'!CR69*'No Action'!$Y$6</f>
        <v>3.96</v>
      </c>
      <c r="Z69" s="17">
        <f>'Rolling report'!CS69*'No Action'!$Y$6</f>
        <v>1.76</v>
      </c>
      <c r="AA69" s="17">
        <f>'Rolling report'!CT69*'No Action'!$Y$6</f>
        <v>3.08</v>
      </c>
      <c r="AB69" s="17">
        <f>'Rolling report'!CU69*'No Action'!$Y$6</f>
        <v>0.88</v>
      </c>
      <c r="AC69" s="17">
        <f>'Rolling report'!CV69*'No Action'!$Y$6</f>
        <v>3.52</v>
      </c>
      <c r="AD69" s="17">
        <f>'Rolling report'!CW69*'No Action'!$Y$6</f>
        <v>0.88</v>
      </c>
      <c r="AE69" s="17">
        <f>'Rolling report'!CX69*'No Action'!$Y$6</f>
        <v>0</v>
      </c>
      <c r="AF69" s="17">
        <f>'Rolling report'!CY69*'No Action'!$Y$6</f>
        <v>-146.52000000000001</v>
      </c>
      <c r="AG69" s="17">
        <f>'Rolling report'!CZ69*'No Action'!$Y$6</f>
        <v>0</v>
      </c>
      <c r="AH69" s="17">
        <f>'Rolling report'!DA69*'No Action'!$Y$6</f>
        <v>0</v>
      </c>
      <c r="AI69" s="17">
        <f>'Rolling report'!DB69*'No Action'!$Y$6</f>
        <v>0</v>
      </c>
      <c r="AJ69" s="17">
        <f>'Rolling report'!DC69*'No Action'!$Y$6</f>
        <v>0</v>
      </c>
      <c r="AK69" s="17">
        <f>'Rolling report'!DD69*'No Action'!$Y$6</f>
        <v>0</v>
      </c>
      <c r="AL69" s="17">
        <f>'Rolling report'!DE69*'No Action'!$Y$6</f>
        <v>0</v>
      </c>
      <c r="AM69" s="17">
        <f>'Rolling report'!DF69*'No Action'!$Y$6</f>
        <v>0</v>
      </c>
      <c r="AN69" s="17">
        <f>'Rolling report'!DG69*'No Action'!$Y$6</f>
        <v>0</v>
      </c>
      <c r="AO69" s="17">
        <f>'Rolling report'!DH69*'No Action'!$Y$6</f>
        <v>0</v>
      </c>
      <c r="AQ69" s="45"/>
    </row>
    <row r="70" spans="1:43" x14ac:dyDescent="0.25">
      <c r="A70" s="4" t="s">
        <v>129</v>
      </c>
      <c r="B70" s="6" t="s">
        <v>130</v>
      </c>
      <c r="I70" s="17">
        <f>'Rolling report'!CB70*'No Action'!$Y$6</f>
        <v>68.2</v>
      </c>
      <c r="J70" s="17">
        <f>'Rolling report'!CC70*'No Action'!$Y$6</f>
        <v>14.08</v>
      </c>
      <c r="K70" s="17">
        <f>'Rolling report'!CD70*'No Action'!$Y$6</f>
        <v>15.4</v>
      </c>
      <c r="L70" s="17">
        <f>'Rolling report'!CE70*'No Action'!$Y$6</f>
        <v>13.64</v>
      </c>
      <c r="M70" s="17">
        <f>'Rolling report'!CF70*'No Action'!$Y$6</f>
        <v>7.04</v>
      </c>
      <c r="N70" s="17">
        <f>'Rolling report'!CG70*'No Action'!$Y$6</f>
        <v>5.28</v>
      </c>
      <c r="O70" s="17">
        <f>'Rolling report'!CH70*'No Action'!$Y$6</f>
        <v>10.119999999999999</v>
      </c>
      <c r="P70" s="17">
        <f>'Rolling report'!CI70*'No Action'!$Y$6</f>
        <v>7.04</v>
      </c>
      <c r="Q70" s="17">
        <f>'Rolling report'!CJ70*'No Action'!$Y$6</f>
        <v>9.24</v>
      </c>
      <c r="R70" s="17">
        <f>'Rolling report'!CK70*'No Action'!$Y$6</f>
        <v>5.28</v>
      </c>
      <c r="S70" s="17">
        <f>'Rolling report'!CL70*'No Action'!$Y$6</f>
        <v>1.32</v>
      </c>
      <c r="T70" s="17">
        <f>'Rolling report'!CM70*'No Action'!$Y$6</f>
        <v>3.96</v>
      </c>
      <c r="U70" s="17">
        <f>'Rolling report'!CN70*'No Action'!$Y$6</f>
        <v>6.6</v>
      </c>
      <c r="V70" s="17">
        <f>'Rolling report'!CO70*'No Action'!$Y$6</f>
        <v>11.44</v>
      </c>
      <c r="W70" s="17">
        <f>'Rolling report'!CP70*'No Action'!$Y$6</f>
        <v>5.28</v>
      </c>
      <c r="X70" s="17">
        <f>'Rolling report'!CQ70*'No Action'!$Y$6</f>
        <v>3.52</v>
      </c>
      <c r="Y70" s="17">
        <f>'Rolling report'!CR70*'No Action'!$Y$6</f>
        <v>7.04</v>
      </c>
      <c r="Z70" s="17">
        <f>'Rolling report'!CS70*'No Action'!$Y$6</f>
        <v>3.96</v>
      </c>
      <c r="AA70" s="17">
        <f>'Rolling report'!CT70*'No Action'!$Y$6</f>
        <v>5.28</v>
      </c>
      <c r="AB70" s="17">
        <f>'Rolling report'!CU70*'No Action'!$Y$6</f>
        <v>4.84</v>
      </c>
      <c r="AC70" s="17">
        <f>'Rolling report'!CV70*'No Action'!$Y$6</f>
        <v>3.96</v>
      </c>
      <c r="AD70" s="17">
        <f>'Rolling report'!CW70*'No Action'!$Y$6</f>
        <v>2.64</v>
      </c>
      <c r="AE70" s="17">
        <f>'Rolling report'!CX70*'No Action'!$Y$6</f>
        <v>5.72</v>
      </c>
      <c r="AF70" s="17">
        <f>'Rolling report'!CY70*'No Action'!$Y$6</f>
        <v>-220.88</v>
      </c>
      <c r="AG70" s="17">
        <f>'Rolling report'!CZ70*'No Action'!$Y$6</f>
        <v>0</v>
      </c>
      <c r="AH70" s="17">
        <f>'Rolling report'!DA70*'No Action'!$Y$6</f>
        <v>0</v>
      </c>
      <c r="AI70" s="17">
        <f>'Rolling report'!DB70*'No Action'!$Y$6</f>
        <v>0</v>
      </c>
      <c r="AJ70" s="17">
        <f>'Rolling report'!DC70*'No Action'!$Y$6</f>
        <v>0</v>
      </c>
      <c r="AK70" s="17">
        <f>'Rolling report'!DD70*'No Action'!$Y$6</f>
        <v>0</v>
      </c>
      <c r="AL70" s="17">
        <f>'Rolling report'!DE70*'No Action'!$Y$6</f>
        <v>0</v>
      </c>
      <c r="AM70" s="17">
        <f>'Rolling report'!DF70*'No Action'!$Y$6</f>
        <v>0</v>
      </c>
      <c r="AN70" s="17">
        <f>'Rolling report'!DG70*'No Action'!$Y$6</f>
        <v>0</v>
      </c>
      <c r="AO70" s="17">
        <f>'Rolling report'!DH70*'No Action'!$Y$6</f>
        <v>0</v>
      </c>
      <c r="AQ70" s="45"/>
    </row>
    <row r="71" spans="1:43" x14ac:dyDescent="0.25">
      <c r="A71" s="4" t="s">
        <v>131</v>
      </c>
      <c r="B71" s="6" t="s">
        <v>132</v>
      </c>
      <c r="I71" s="17">
        <f>'Rolling report'!CB71*'No Action'!$Y$6</f>
        <v>482.24</v>
      </c>
      <c r="J71" s="17">
        <f>'Rolling report'!CC71*'No Action'!$Y$6</f>
        <v>66.88</v>
      </c>
      <c r="K71" s="17">
        <f>'Rolling report'!CD71*'No Action'!$Y$6</f>
        <v>61.6</v>
      </c>
      <c r="L71" s="17">
        <f>'Rolling report'!CE71*'No Action'!$Y$6</f>
        <v>73.92</v>
      </c>
      <c r="M71" s="17">
        <f>'Rolling report'!CF71*'No Action'!$Y$6</f>
        <v>41.8</v>
      </c>
      <c r="N71" s="17">
        <f>'Rolling report'!CG71*'No Action'!$Y$6</f>
        <v>44</v>
      </c>
      <c r="O71" s="17">
        <f>'Rolling report'!CH71*'No Action'!$Y$6</f>
        <v>76.12</v>
      </c>
      <c r="P71" s="17">
        <f>'Rolling report'!CI71*'No Action'!$Y$6</f>
        <v>40.479999999999997</v>
      </c>
      <c r="Q71" s="17">
        <f>'Rolling report'!CJ71*'No Action'!$Y$6</f>
        <v>42.68</v>
      </c>
      <c r="R71" s="17">
        <f>'Rolling report'!CK71*'No Action'!$Y$6</f>
        <v>34.32</v>
      </c>
      <c r="S71" s="17">
        <f>'Rolling report'!CL71*'No Action'!$Y$6</f>
        <v>26.84</v>
      </c>
      <c r="T71" s="17">
        <f>'Rolling report'!CM71*'No Action'!$Y$6</f>
        <v>39.6</v>
      </c>
      <c r="U71" s="17">
        <f>'Rolling report'!CN71*'No Action'!$Y$6</f>
        <v>39.6</v>
      </c>
      <c r="V71" s="17">
        <f>'Rolling report'!CO71*'No Action'!$Y$6</f>
        <v>33.44</v>
      </c>
      <c r="W71" s="17">
        <f>'Rolling report'!CP71*'No Action'!$Y$6</f>
        <v>21.56</v>
      </c>
      <c r="X71" s="17">
        <f>'Rolling report'!CQ71*'No Action'!$Y$6</f>
        <v>18.920000000000002</v>
      </c>
      <c r="Y71" s="17">
        <f>'Rolling report'!CR71*'No Action'!$Y$6</f>
        <v>22.88</v>
      </c>
      <c r="Z71" s="17">
        <f>'Rolling report'!CS71*'No Action'!$Y$6</f>
        <v>17.600000000000001</v>
      </c>
      <c r="AA71" s="17">
        <f>'Rolling report'!CT71*'No Action'!$Y$6</f>
        <v>15.4</v>
      </c>
      <c r="AB71" s="17">
        <f>'Rolling report'!CU71*'No Action'!$Y$6</f>
        <v>14.96</v>
      </c>
      <c r="AC71" s="17">
        <f>'Rolling report'!CV71*'No Action'!$Y$6</f>
        <v>35.200000000000003</v>
      </c>
      <c r="AD71" s="17">
        <f>'Rolling report'!CW71*'No Action'!$Y$6</f>
        <v>3.52</v>
      </c>
      <c r="AE71" s="17">
        <f>'Rolling report'!CX71*'No Action'!$Y$6</f>
        <v>11</v>
      </c>
      <c r="AF71" s="17">
        <f>'Rolling report'!CY71*'No Action'!$Y$6</f>
        <v>-1264.56</v>
      </c>
      <c r="AG71" s="17">
        <f>'Rolling report'!CZ71*'No Action'!$Y$6</f>
        <v>0</v>
      </c>
      <c r="AH71" s="17">
        <f>'Rolling report'!DA71*'No Action'!$Y$6</f>
        <v>0</v>
      </c>
      <c r="AI71" s="17">
        <f>'Rolling report'!DB71*'No Action'!$Y$6</f>
        <v>0</v>
      </c>
      <c r="AJ71" s="17">
        <f>'Rolling report'!DC71*'No Action'!$Y$6</f>
        <v>0</v>
      </c>
      <c r="AK71" s="17">
        <f>'Rolling report'!DD71*'No Action'!$Y$6</f>
        <v>0</v>
      </c>
      <c r="AL71" s="17">
        <f>'Rolling report'!DE71*'No Action'!$Y$6</f>
        <v>0</v>
      </c>
      <c r="AM71" s="17">
        <f>'Rolling report'!DF71*'No Action'!$Y$6</f>
        <v>0</v>
      </c>
      <c r="AN71" s="17">
        <f>'Rolling report'!DG71*'No Action'!$Y$6</f>
        <v>0</v>
      </c>
      <c r="AO71" s="17">
        <f>'Rolling report'!DH71*'No Action'!$Y$6</f>
        <v>0</v>
      </c>
      <c r="AQ71" s="45"/>
    </row>
    <row r="72" spans="1:43" x14ac:dyDescent="0.25">
      <c r="A72" s="4" t="s">
        <v>133</v>
      </c>
      <c r="B72" s="6" t="s">
        <v>134</v>
      </c>
      <c r="I72" s="17">
        <f>'Rolling report'!CB72*'No Action'!$Y$6</f>
        <v>26.4</v>
      </c>
      <c r="J72" s="17">
        <f>'Rolling report'!CC72*'No Action'!$Y$6</f>
        <v>7.48</v>
      </c>
      <c r="K72" s="17">
        <f>'Rolling report'!CD72*'No Action'!$Y$6</f>
        <v>1.76</v>
      </c>
      <c r="L72" s="17">
        <f>'Rolling report'!CE72*'No Action'!$Y$6</f>
        <v>4.84</v>
      </c>
      <c r="M72" s="17">
        <f>'Rolling report'!CF72*'No Action'!$Y$6</f>
        <v>4.4000000000000004</v>
      </c>
      <c r="N72" s="17">
        <f>'Rolling report'!CG72*'No Action'!$Y$6</f>
        <v>2.2000000000000002</v>
      </c>
      <c r="O72" s="17">
        <f>'Rolling report'!CH72*'No Action'!$Y$6</f>
        <v>2.64</v>
      </c>
      <c r="P72" s="17">
        <f>'Rolling report'!CI72*'No Action'!$Y$6</f>
        <v>1.76</v>
      </c>
      <c r="Q72" s="17">
        <f>'Rolling report'!CJ72*'No Action'!$Y$6</f>
        <v>1.32</v>
      </c>
      <c r="R72" s="17">
        <f>'Rolling report'!CK72*'No Action'!$Y$6</f>
        <v>1.76</v>
      </c>
      <c r="S72" s="17">
        <f>'Rolling report'!CL72*'No Action'!$Y$6</f>
        <v>1.32</v>
      </c>
      <c r="T72" s="17">
        <f>'Rolling report'!CM72*'No Action'!$Y$6</f>
        <v>2.2000000000000002</v>
      </c>
      <c r="U72" s="17">
        <f>'Rolling report'!CN72*'No Action'!$Y$6</f>
        <v>1.32</v>
      </c>
      <c r="V72" s="17">
        <f>'Rolling report'!CO72*'No Action'!$Y$6</f>
        <v>2.2000000000000002</v>
      </c>
      <c r="W72" s="17">
        <f>'Rolling report'!CP72*'No Action'!$Y$6</f>
        <v>3.52</v>
      </c>
      <c r="X72" s="17">
        <f>'Rolling report'!CQ72*'No Action'!$Y$6</f>
        <v>0.44</v>
      </c>
      <c r="Y72" s="17">
        <f>'Rolling report'!CR72*'No Action'!$Y$6</f>
        <v>3.08</v>
      </c>
      <c r="Z72" s="17">
        <f>'Rolling report'!CS72*'No Action'!$Y$6</f>
        <v>1.76</v>
      </c>
      <c r="AA72" s="17">
        <f>'Rolling report'!CT72*'No Action'!$Y$6</f>
        <v>1.76</v>
      </c>
      <c r="AB72" s="17">
        <f>'Rolling report'!CU72*'No Action'!$Y$6</f>
        <v>0</v>
      </c>
      <c r="AC72" s="17">
        <f>'Rolling report'!CV72*'No Action'!$Y$6</f>
        <v>1.76</v>
      </c>
      <c r="AD72" s="17">
        <f>'Rolling report'!CW72*'No Action'!$Y$6</f>
        <v>0.44</v>
      </c>
      <c r="AE72" s="17">
        <f>'Rolling report'!CX72*'No Action'!$Y$6</f>
        <v>0.88</v>
      </c>
      <c r="AF72" s="17">
        <f>'Rolling report'!CY72*'No Action'!$Y$6</f>
        <v>-75.239999999999995</v>
      </c>
      <c r="AG72" s="17">
        <f>'Rolling report'!CZ72*'No Action'!$Y$6</f>
        <v>0</v>
      </c>
      <c r="AH72" s="17">
        <f>'Rolling report'!DA72*'No Action'!$Y$6</f>
        <v>0</v>
      </c>
      <c r="AI72" s="17">
        <f>'Rolling report'!DB72*'No Action'!$Y$6</f>
        <v>0</v>
      </c>
      <c r="AJ72" s="17">
        <f>'Rolling report'!DC72*'No Action'!$Y$6</f>
        <v>0</v>
      </c>
      <c r="AK72" s="17">
        <f>'Rolling report'!DD72*'No Action'!$Y$6</f>
        <v>0</v>
      </c>
      <c r="AL72" s="17">
        <f>'Rolling report'!DE72*'No Action'!$Y$6</f>
        <v>0</v>
      </c>
      <c r="AM72" s="17">
        <f>'Rolling report'!DF72*'No Action'!$Y$6</f>
        <v>0</v>
      </c>
      <c r="AN72" s="17">
        <f>'Rolling report'!DG72*'No Action'!$Y$6</f>
        <v>0</v>
      </c>
      <c r="AO72" s="17">
        <f>'Rolling report'!DH72*'No Action'!$Y$6</f>
        <v>0</v>
      </c>
      <c r="AQ72" s="45"/>
    </row>
    <row r="73" spans="1:43" x14ac:dyDescent="0.25">
      <c r="A73" s="4" t="s">
        <v>135</v>
      </c>
      <c r="B73" s="6" t="s">
        <v>136</v>
      </c>
      <c r="I73" s="17">
        <f>'Rolling report'!CB73*'No Action'!$Y$6</f>
        <v>47.08</v>
      </c>
      <c r="J73" s="17">
        <f>'Rolling report'!CC73*'No Action'!$Y$6</f>
        <v>9.24</v>
      </c>
      <c r="K73" s="17">
        <f>'Rolling report'!CD73*'No Action'!$Y$6</f>
        <v>3.52</v>
      </c>
      <c r="L73" s="17">
        <f>'Rolling report'!CE73*'No Action'!$Y$6</f>
        <v>10.56</v>
      </c>
      <c r="M73" s="17">
        <f>'Rolling report'!CF73*'No Action'!$Y$6</f>
        <v>6.16</v>
      </c>
      <c r="N73" s="17">
        <f>'Rolling report'!CG73*'No Action'!$Y$6</f>
        <v>4.4000000000000004</v>
      </c>
      <c r="O73" s="17">
        <f>'Rolling report'!CH73*'No Action'!$Y$6</f>
        <v>13.64</v>
      </c>
      <c r="P73" s="17">
        <f>'Rolling report'!CI73*'No Action'!$Y$6</f>
        <v>6.16</v>
      </c>
      <c r="Q73" s="17">
        <f>'Rolling report'!CJ73*'No Action'!$Y$6</f>
        <v>1.32</v>
      </c>
      <c r="R73" s="17">
        <f>'Rolling report'!CK73*'No Action'!$Y$6</f>
        <v>3.08</v>
      </c>
      <c r="S73" s="17">
        <f>'Rolling report'!CL73*'No Action'!$Y$6</f>
        <v>2.2000000000000002</v>
      </c>
      <c r="T73" s="17">
        <f>'Rolling report'!CM73*'No Action'!$Y$6</f>
        <v>4.4000000000000004</v>
      </c>
      <c r="U73" s="17">
        <f>'Rolling report'!CN73*'No Action'!$Y$6</f>
        <v>2.2000000000000002</v>
      </c>
      <c r="V73" s="17">
        <f>'Rolling report'!CO73*'No Action'!$Y$6</f>
        <v>5.28</v>
      </c>
      <c r="W73" s="17">
        <f>'Rolling report'!CP73*'No Action'!$Y$6</f>
        <v>1.76</v>
      </c>
      <c r="X73" s="17">
        <f>'Rolling report'!CQ73*'No Action'!$Y$6</f>
        <v>2.64</v>
      </c>
      <c r="Y73" s="17">
        <f>'Rolling report'!CR73*'No Action'!$Y$6</f>
        <v>3.08</v>
      </c>
      <c r="Z73" s="17">
        <f>'Rolling report'!CS73*'No Action'!$Y$6</f>
        <v>1.32</v>
      </c>
      <c r="AA73" s="17">
        <f>'Rolling report'!CT73*'No Action'!$Y$6</f>
        <v>2.64</v>
      </c>
      <c r="AB73" s="17">
        <f>'Rolling report'!CU73*'No Action'!$Y$6</f>
        <v>5.72</v>
      </c>
      <c r="AC73" s="17">
        <f>'Rolling report'!CV73*'No Action'!$Y$6</f>
        <v>4.4000000000000004</v>
      </c>
      <c r="AD73" s="17">
        <f>'Rolling report'!CW73*'No Action'!$Y$6</f>
        <v>2.64</v>
      </c>
      <c r="AE73" s="17">
        <f>'Rolling report'!CX73*'No Action'!$Y$6</f>
        <v>3.08</v>
      </c>
      <c r="AF73" s="17">
        <f>'Rolling report'!CY73*'No Action'!$Y$6</f>
        <v>-146.52000000000001</v>
      </c>
      <c r="AG73" s="17">
        <f>'Rolling report'!CZ73*'No Action'!$Y$6</f>
        <v>0</v>
      </c>
      <c r="AH73" s="17">
        <f>'Rolling report'!DA73*'No Action'!$Y$6</f>
        <v>0</v>
      </c>
      <c r="AI73" s="17">
        <f>'Rolling report'!DB73*'No Action'!$Y$6</f>
        <v>0</v>
      </c>
      <c r="AJ73" s="17">
        <f>'Rolling report'!DC73*'No Action'!$Y$6</f>
        <v>0</v>
      </c>
      <c r="AK73" s="17">
        <f>'Rolling report'!DD73*'No Action'!$Y$6</f>
        <v>0</v>
      </c>
      <c r="AL73" s="17">
        <f>'Rolling report'!DE73*'No Action'!$Y$6</f>
        <v>0</v>
      </c>
      <c r="AM73" s="17">
        <f>'Rolling report'!DF73*'No Action'!$Y$6</f>
        <v>0</v>
      </c>
      <c r="AN73" s="17">
        <f>'Rolling report'!DG73*'No Action'!$Y$6</f>
        <v>0</v>
      </c>
      <c r="AO73" s="17">
        <f>'Rolling report'!DH73*'No Action'!$Y$6</f>
        <v>0</v>
      </c>
      <c r="AQ73" s="45"/>
    </row>
    <row r="74" spans="1:43" x14ac:dyDescent="0.25">
      <c r="A74" s="4" t="s">
        <v>137</v>
      </c>
      <c r="B74" s="6" t="s">
        <v>138</v>
      </c>
      <c r="I74" s="17">
        <f>'Rolling report'!CB74*'No Action'!$Y$6</f>
        <v>50.160000000000004</v>
      </c>
      <c r="J74" s="17">
        <f>'Rolling report'!CC74*'No Action'!$Y$6</f>
        <v>7.48</v>
      </c>
      <c r="K74" s="17">
        <f>'Rolling report'!CD74*'No Action'!$Y$6</f>
        <v>5.72</v>
      </c>
      <c r="L74" s="17">
        <f>'Rolling report'!CE74*'No Action'!$Y$6</f>
        <v>7.92</v>
      </c>
      <c r="M74" s="17">
        <f>'Rolling report'!CF74*'No Action'!$Y$6</f>
        <v>5.72</v>
      </c>
      <c r="N74" s="17">
        <f>'Rolling report'!CG74*'No Action'!$Y$6</f>
        <v>1.76</v>
      </c>
      <c r="O74" s="17">
        <f>'Rolling report'!CH74*'No Action'!$Y$6</f>
        <v>10.56</v>
      </c>
      <c r="P74" s="17">
        <f>'Rolling report'!CI74*'No Action'!$Y$6</f>
        <v>9.24</v>
      </c>
      <c r="Q74" s="17">
        <f>'Rolling report'!CJ74*'No Action'!$Y$6</f>
        <v>5.28</v>
      </c>
      <c r="R74" s="17">
        <f>'Rolling report'!CK74*'No Action'!$Y$6</f>
        <v>6.16</v>
      </c>
      <c r="S74" s="17">
        <f>'Rolling report'!CL74*'No Action'!$Y$6</f>
        <v>4.84</v>
      </c>
      <c r="T74" s="17">
        <f>'Rolling report'!CM74*'No Action'!$Y$6</f>
        <v>5.28</v>
      </c>
      <c r="U74" s="17">
        <f>'Rolling report'!CN74*'No Action'!$Y$6</f>
        <v>7.92</v>
      </c>
      <c r="V74" s="17">
        <f>'Rolling report'!CO74*'No Action'!$Y$6</f>
        <v>2.2000000000000002</v>
      </c>
      <c r="W74" s="17">
        <f>'Rolling report'!CP74*'No Action'!$Y$6</f>
        <v>2.2000000000000002</v>
      </c>
      <c r="X74" s="17">
        <f>'Rolling report'!CQ74*'No Action'!$Y$6</f>
        <v>4.84</v>
      </c>
      <c r="Y74" s="17">
        <f>'Rolling report'!CR74*'No Action'!$Y$6</f>
        <v>4.84</v>
      </c>
      <c r="Z74" s="17">
        <f>'Rolling report'!CS74*'No Action'!$Y$6</f>
        <v>3.08</v>
      </c>
      <c r="AA74" s="17">
        <f>'Rolling report'!CT74*'No Action'!$Y$6</f>
        <v>5.28</v>
      </c>
      <c r="AB74" s="17">
        <f>'Rolling report'!CU74*'No Action'!$Y$6</f>
        <v>4.4000000000000004</v>
      </c>
      <c r="AC74" s="17">
        <f>'Rolling report'!CV74*'No Action'!$Y$6</f>
        <v>2.64</v>
      </c>
      <c r="AD74" s="17">
        <f>'Rolling report'!CW74*'No Action'!$Y$6</f>
        <v>1.32</v>
      </c>
      <c r="AE74" s="17">
        <f>'Rolling report'!CX74*'No Action'!$Y$6</f>
        <v>0.88</v>
      </c>
      <c r="AF74" s="17">
        <f>'Rolling report'!CY74*'No Action'!$Y$6</f>
        <v>-159.72</v>
      </c>
      <c r="AG74" s="17">
        <f>'Rolling report'!CZ74*'No Action'!$Y$6</f>
        <v>0</v>
      </c>
      <c r="AH74" s="17">
        <f>'Rolling report'!DA74*'No Action'!$Y$6</f>
        <v>0</v>
      </c>
      <c r="AI74" s="17">
        <f>'Rolling report'!DB74*'No Action'!$Y$6</f>
        <v>0</v>
      </c>
      <c r="AJ74" s="17">
        <f>'Rolling report'!DC74*'No Action'!$Y$6</f>
        <v>0</v>
      </c>
      <c r="AK74" s="17">
        <f>'Rolling report'!DD74*'No Action'!$Y$6</f>
        <v>0</v>
      </c>
      <c r="AL74" s="17">
        <f>'Rolling report'!DE74*'No Action'!$Y$6</f>
        <v>0</v>
      </c>
      <c r="AM74" s="17">
        <f>'Rolling report'!DF74*'No Action'!$Y$6</f>
        <v>0</v>
      </c>
      <c r="AN74" s="17">
        <f>'Rolling report'!DG74*'No Action'!$Y$6</f>
        <v>0</v>
      </c>
      <c r="AO74" s="17">
        <f>'Rolling report'!DH74*'No Action'!$Y$6</f>
        <v>0</v>
      </c>
      <c r="AQ74" s="45"/>
    </row>
    <row r="75" spans="1:43" x14ac:dyDescent="0.25">
      <c r="A75" s="4" t="s">
        <v>139</v>
      </c>
      <c r="B75" s="6" t="s">
        <v>140</v>
      </c>
      <c r="I75" s="17">
        <f>'Rolling report'!CB75*'No Action'!$Y$6</f>
        <v>9.68</v>
      </c>
      <c r="J75" s="17">
        <f>'Rolling report'!CC75*'No Action'!$Y$6</f>
        <v>1.32</v>
      </c>
      <c r="K75" s="17">
        <f>'Rolling report'!CD75*'No Action'!$Y$6</f>
        <v>0.44</v>
      </c>
      <c r="L75" s="17">
        <f>'Rolling report'!CE75*'No Action'!$Y$6</f>
        <v>0.44</v>
      </c>
      <c r="M75" s="17">
        <f>'Rolling report'!CF75*'No Action'!$Y$6</f>
        <v>1.32</v>
      </c>
      <c r="N75" s="17">
        <f>'Rolling report'!CG75*'No Action'!$Y$6</f>
        <v>3.96</v>
      </c>
      <c r="O75" s="17">
        <f>'Rolling report'!CH75*'No Action'!$Y$6</f>
        <v>3.08</v>
      </c>
      <c r="P75" s="17">
        <f>'Rolling report'!CI75*'No Action'!$Y$6</f>
        <v>0</v>
      </c>
      <c r="Q75" s="17">
        <f>'Rolling report'!CJ75*'No Action'!$Y$6</f>
        <v>1.76</v>
      </c>
      <c r="R75" s="17">
        <f>'Rolling report'!CK75*'No Action'!$Y$6</f>
        <v>1.32</v>
      </c>
      <c r="S75" s="17">
        <f>'Rolling report'!CL75*'No Action'!$Y$6</f>
        <v>0</v>
      </c>
      <c r="T75" s="17">
        <f>'Rolling report'!CM75*'No Action'!$Y$6</f>
        <v>1.76</v>
      </c>
      <c r="U75" s="17">
        <f>'Rolling report'!CN75*'No Action'!$Y$6</f>
        <v>0.88</v>
      </c>
      <c r="V75" s="17">
        <f>'Rolling report'!CO75*'No Action'!$Y$6</f>
        <v>0.44</v>
      </c>
      <c r="W75" s="17">
        <f>'Rolling report'!CP75*'No Action'!$Y$6</f>
        <v>0</v>
      </c>
      <c r="X75" s="17">
        <f>'Rolling report'!CQ75*'No Action'!$Y$6</f>
        <v>0</v>
      </c>
      <c r="Y75" s="17">
        <f>'Rolling report'!CR75*'No Action'!$Y$6</f>
        <v>0</v>
      </c>
      <c r="Z75" s="17">
        <f>'Rolling report'!CS75*'No Action'!$Y$6</f>
        <v>0</v>
      </c>
      <c r="AA75" s="17">
        <f>'Rolling report'!CT75*'No Action'!$Y$6</f>
        <v>0.88</v>
      </c>
      <c r="AB75" s="17">
        <f>'Rolling report'!CU75*'No Action'!$Y$6</f>
        <v>0.44</v>
      </c>
      <c r="AC75" s="17">
        <f>'Rolling report'!CV75*'No Action'!$Y$6</f>
        <v>0</v>
      </c>
      <c r="AD75" s="17">
        <f>'Rolling report'!CW75*'No Action'!$Y$6</f>
        <v>0.88</v>
      </c>
      <c r="AE75" s="17">
        <f>'Rolling report'!CX75*'No Action'!$Y$6</f>
        <v>0.44</v>
      </c>
      <c r="AF75" s="17">
        <f>'Rolling report'!CY75*'No Action'!$Y$6</f>
        <v>-29.04</v>
      </c>
      <c r="AG75" s="17">
        <f>'Rolling report'!CZ75*'No Action'!$Y$6</f>
        <v>0</v>
      </c>
      <c r="AH75" s="17">
        <f>'Rolling report'!DA75*'No Action'!$Y$6</f>
        <v>0</v>
      </c>
      <c r="AI75" s="17">
        <f>'Rolling report'!DB75*'No Action'!$Y$6</f>
        <v>0</v>
      </c>
      <c r="AJ75" s="17">
        <f>'Rolling report'!DC75*'No Action'!$Y$6</f>
        <v>0</v>
      </c>
      <c r="AK75" s="17">
        <f>'Rolling report'!DD75*'No Action'!$Y$6</f>
        <v>0</v>
      </c>
      <c r="AL75" s="17">
        <f>'Rolling report'!DE75*'No Action'!$Y$6</f>
        <v>0</v>
      </c>
      <c r="AM75" s="17">
        <f>'Rolling report'!DF75*'No Action'!$Y$6</f>
        <v>0</v>
      </c>
      <c r="AN75" s="17">
        <f>'Rolling report'!DG75*'No Action'!$Y$6</f>
        <v>0</v>
      </c>
      <c r="AO75" s="17">
        <f>'Rolling report'!DH75*'No Action'!$Y$6</f>
        <v>0</v>
      </c>
      <c r="AQ75" s="45"/>
    </row>
    <row r="76" spans="1:43" x14ac:dyDescent="0.25">
      <c r="A76" s="4" t="s">
        <v>141</v>
      </c>
      <c r="B76" s="6" t="s">
        <v>142</v>
      </c>
      <c r="I76" s="17">
        <f>'Rolling report'!CB76*'No Action'!$Y$6</f>
        <v>66</v>
      </c>
      <c r="J76" s="17">
        <f>'Rolling report'!CC76*'No Action'!$Y$6</f>
        <v>14.52</v>
      </c>
      <c r="K76" s="17">
        <f>'Rolling report'!CD76*'No Action'!$Y$6</f>
        <v>14.96</v>
      </c>
      <c r="L76" s="17">
        <f>'Rolling report'!CE76*'No Action'!$Y$6</f>
        <v>13.2</v>
      </c>
      <c r="M76" s="17">
        <f>'Rolling report'!CF76*'No Action'!$Y$6</f>
        <v>9.68</v>
      </c>
      <c r="N76" s="17">
        <f>'Rolling report'!CG76*'No Action'!$Y$6</f>
        <v>5.72</v>
      </c>
      <c r="O76" s="17">
        <f>'Rolling report'!CH76*'No Action'!$Y$6</f>
        <v>3.96</v>
      </c>
      <c r="P76" s="17">
        <f>'Rolling report'!CI76*'No Action'!$Y$6</f>
        <v>5.72</v>
      </c>
      <c r="Q76" s="17">
        <f>'Rolling report'!CJ76*'No Action'!$Y$6</f>
        <v>7.04</v>
      </c>
      <c r="R76" s="17">
        <f>'Rolling report'!CK76*'No Action'!$Y$6</f>
        <v>8.8000000000000007</v>
      </c>
      <c r="S76" s="17">
        <f>'Rolling report'!CL76*'No Action'!$Y$6</f>
        <v>4.4000000000000004</v>
      </c>
      <c r="T76" s="17">
        <f>'Rolling report'!CM76*'No Action'!$Y$6</f>
        <v>9.24</v>
      </c>
      <c r="U76" s="17">
        <f>'Rolling report'!CN76*'No Action'!$Y$6</f>
        <v>5.72</v>
      </c>
      <c r="V76" s="17">
        <f>'Rolling report'!CO76*'No Action'!$Y$6</f>
        <v>3.08</v>
      </c>
      <c r="W76" s="17">
        <f>'Rolling report'!CP76*'No Action'!$Y$6</f>
        <v>4.84</v>
      </c>
      <c r="X76" s="17">
        <f>'Rolling report'!CQ76*'No Action'!$Y$6</f>
        <v>2.2000000000000002</v>
      </c>
      <c r="Y76" s="17">
        <f>'Rolling report'!CR76*'No Action'!$Y$6</f>
        <v>2.64</v>
      </c>
      <c r="Z76" s="17">
        <f>'Rolling report'!CS76*'No Action'!$Y$6</f>
        <v>3.96</v>
      </c>
      <c r="AA76" s="17">
        <f>'Rolling report'!CT76*'No Action'!$Y$6</f>
        <v>6.6</v>
      </c>
      <c r="AB76" s="17">
        <f>'Rolling report'!CU76*'No Action'!$Y$6</f>
        <v>3.52</v>
      </c>
      <c r="AC76" s="17">
        <f>'Rolling report'!CV76*'No Action'!$Y$6</f>
        <v>6.16</v>
      </c>
      <c r="AD76" s="17">
        <f>'Rolling report'!CW76*'No Action'!$Y$6</f>
        <v>0</v>
      </c>
      <c r="AE76" s="17">
        <f>'Rolling report'!CX76*'No Action'!$Y$6</f>
        <v>2.64</v>
      </c>
      <c r="AF76" s="17">
        <f>'Rolling report'!CY76*'No Action'!$Y$6</f>
        <v>-204.6</v>
      </c>
      <c r="AG76" s="17">
        <f>'Rolling report'!CZ76*'No Action'!$Y$6</f>
        <v>0</v>
      </c>
      <c r="AH76" s="17">
        <f>'Rolling report'!DA76*'No Action'!$Y$6</f>
        <v>0</v>
      </c>
      <c r="AI76" s="17">
        <f>'Rolling report'!DB76*'No Action'!$Y$6</f>
        <v>0</v>
      </c>
      <c r="AJ76" s="17">
        <f>'Rolling report'!DC76*'No Action'!$Y$6</f>
        <v>0</v>
      </c>
      <c r="AK76" s="17">
        <f>'Rolling report'!DD76*'No Action'!$Y$6</f>
        <v>0</v>
      </c>
      <c r="AL76" s="17">
        <f>'Rolling report'!DE76*'No Action'!$Y$6</f>
        <v>0</v>
      </c>
      <c r="AM76" s="17">
        <f>'Rolling report'!DF76*'No Action'!$Y$6</f>
        <v>0</v>
      </c>
      <c r="AN76" s="17">
        <f>'Rolling report'!DG76*'No Action'!$Y$6</f>
        <v>0</v>
      </c>
      <c r="AO76" s="17">
        <f>'Rolling report'!DH76*'No Action'!$Y$6</f>
        <v>0</v>
      </c>
      <c r="AQ76" s="45"/>
    </row>
    <row r="77" spans="1:43" x14ac:dyDescent="0.25">
      <c r="A77" s="4" t="s">
        <v>143</v>
      </c>
      <c r="B77" s="6" t="s">
        <v>144</v>
      </c>
      <c r="I77" s="17">
        <f>'Rolling report'!CB77*'No Action'!$Y$6</f>
        <v>146.08000000000001</v>
      </c>
      <c r="J77" s="17">
        <f>'Rolling report'!CC77*'No Action'!$Y$6</f>
        <v>37.840000000000003</v>
      </c>
      <c r="K77" s="17">
        <f>'Rolling report'!CD77*'No Action'!$Y$6</f>
        <v>35.64</v>
      </c>
      <c r="L77" s="17">
        <f>'Rolling report'!CE77*'No Action'!$Y$6</f>
        <v>36.08</v>
      </c>
      <c r="M77" s="17">
        <f>'Rolling report'!CF77*'No Action'!$Y$6</f>
        <v>23.32</v>
      </c>
      <c r="N77" s="17">
        <f>'Rolling report'!CG77*'No Action'!$Y$6</f>
        <v>14.08</v>
      </c>
      <c r="O77" s="17">
        <f>'Rolling report'!CH77*'No Action'!$Y$6</f>
        <v>32.56</v>
      </c>
      <c r="P77" s="17">
        <f>'Rolling report'!CI77*'No Action'!$Y$6</f>
        <v>17.600000000000001</v>
      </c>
      <c r="Q77" s="17">
        <f>'Rolling report'!CJ77*'No Action'!$Y$6</f>
        <v>19.8</v>
      </c>
      <c r="R77" s="17">
        <f>'Rolling report'!CK77*'No Action'!$Y$6</f>
        <v>11</v>
      </c>
      <c r="S77" s="17">
        <f>'Rolling report'!CL77*'No Action'!$Y$6</f>
        <v>7.92</v>
      </c>
      <c r="T77" s="17">
        <f>'Rolling report'!CM77*'No Action'!$Y$6</f>
        <v>13.64</v>
      </c>
      <c r="U77" s="17">
        <f>'Rolling report'!CN77*'No Action'!$Y$6</f>
        <v>10.119999999999999</v>
      </c>
      <c r="V77" s="17">
        <f>'Rolling report'!CO77*'No Action'!$Y$6</f>
        <v>6.16</v>
      </c>
      <c r="W77" s="17">
        <f>'Rolling report'!CP77*'No Action'!$Y$6</f>
        <v>16.28</v>
      </c>
      <c r="X77" s="17">
        <f>'Rolling report'!CQ77*'No Action'!$Y$6</f>
        <v>6.16</v>
      </c>
      <c r="Y77" s="17">
        <f>'Rolling report'!CR77*'No Action'!$Y$6</f>
        <v>9.24</v>
      </c>
      <c r="Z77" s="17">
        <f>'Rolling report'!CS77*'No Action'!$Y$6</f>
        <v>10.119999999999999</v>
      </c>
      <c r="AA77" s="17">
        <f>'Rolling report'!CT77*'No Action'!$Y$6</f>
        <v>10.56</v>
      </c>
      <c r="AB77" s="17">
        <f>'Rolling report'!CU77*'No Action'!$Y$6</f>
        <v>7.48</v>
      </c>
      <c r="AC77" s="17">
        <f>'Rolling report'!CV77*'No Action'!$Y$6</f>
        <v>10.56</v>
      </c>
      <c r="AD77" s="17">
        <f>'Rolling report'!CW77*'No Action'!$Y$6</f>
        <v>7.04</v>
      </c>
      <c r="AE77" s="17">
        <f>'Rolling report'!CX77*'No Action'!$Y$6</f>
        <v>4.84</v>
      </c>
      <c r="AF77" s="17">
        <f>'Rolling report'!CY77*'No Action'!$Y$6</f>
        <v>-494.12</v>
      </c>
      <c r="AG77" s="17">
        <f>'Rolling report'!CZ77*'No Action'!$Y$6</f>
        <v>0</v>
      </c>
      <c r="AH77" s="17">
        <f>'Rolling report'!DA77*'No Action'!$Y$6</f>
        <v>0</v>
      </c>
      <c r="AI77" s="17">
        <f>'Rolling report'!DB77*'No Action'!$Y$6</f>
        <v>0</v>
      </c>
      <c r="AJ77" s="17">
        <f>'Rolling report'!DC77*'No Action'!$Y$6</f>
        <v>0</v>
      </c>
      <c r="AK77" s="17">
        <f>'Rolling report'!DD77*'No Action'!$Y$6</f>
        <v>0</v>
      </c>
      <c r="AL77" s="17">
        <f>'Rolling report'!DE77*'No Action'!$Y$6</f>
        <v>0</v>
      </c>
      <c r="AM77" s="17">
        <f>'Rolling report'!DF77*'No Action'!$Y$6</f>
        <v>0</v>
      </c>
      <c r="AN77" s="17">
        <f>'Rolling report'!DG77*'No Action'!$Y$6</f>
        <v>0</v>
      </c>
      <c r="AO77" s="17">
        <f>'Rolling report'!DH77*'No Action'!$Y$6</f>
        <v>0</v>
      </c>
      <c r="AQ77" s="45"/>
    </row>
    <row r="78" spans="1:43" x14ac:dyDescent="0.25">
      <c r="A78" s="4" t="s">
        <v>145</v>
      </c>
      <c r="B78" s="6" t="s">
        <v>146</v>
      </c>
      <c r="I78" s="17">
        <f>'Rolling report'!CB78*'No Action'!$Y$6</f>
        <v>107.36</v>
      </c>
      <c r="J78" s="17">
        <f>'Rolling report'!CC78*'No Action'!$Y$6</f>
        <v>13.64</v>
      </c>
      <c r="K78" s="17">
        <f>'Rolling report'!CD78*'No Action'!$Y$6</f>
        <v>11</v>
      </c>
      <c r="L78" s="17">
        <f>'Rolling report'!CE78*'No Action'!$Y$6</f>
        <v>11</v>
      </c>
      <c r="M78" s="17">
        <f>'Rolling report'!CF78*'No Action'!$Y$6</f>
        <v>8.8000000000000007</v>
      </c>
      <c r="N78" s="17">
        <f>'Rolling report'!CG78*'No Action'!$Y$6</f>
        <v>5.72</v>
      </c>
      <c r="O78" s="17">
        <f>'Rolling report'!CH78*'No Action'!$Y$6</f>
        <v>25.080000000000002</v>
      </c>
      <c r="P78" s="17">
        <f>'Rolling report'!CI78*'No Action'!$Y$6</f>
        <v>5.72</v>
      </c>
      <c r="Q78" s="17">
        <f>'Rolling report'!CJ78*'No Action'!$Y$6</f>
        <v>13.64</v>
      </c>
      <c r="R78" s="17">
        <f>'Rolling report'!CK78*'No Action'!$Y$6</f>
        <v>9.68</v>
      </c>
      <c r="S78" s="17">
        <f>'Rolling report'!CL78*'No Action'!$Y$6</f>
        <v>2.64</v>
      </c>
      <c r="T78" s="17">
        <f>'Rolling report'!CM78*'No Action'!$Y$6</f>
        <v>12.32</v>
      </c>
      <c r="U78" s="17">
        <f>'Rolling report'!CN78*'No Action'!$Y$6</f>
        <v>5.28</v>
      </c>
      <c r="V78" s="17">
        <f>'Rolling report'!CO78*'No Action'!$Y$6</f>
        <v>5.72</v>
      </c>
      <c r="W78" s="17">
        <f>'Rolling report'!CP78*'No Action'!$Y$6</f>
        <v>2.64</v>
      </c>
      <c r="X78" s="17">
        <f>'Rolling report'!CQ78*'No Action'!$Y$6</f>
        <v>1.32</v>
      </c>
      <c r="Y78" s="17">
        <f>'Rolling report'!CR78*'No Action'!$Y$6</f>
        <v>4.84</v>
      </c>
      <c r="Z78" s="17">
        <f>'Rolling report'!CS78*'No Action'!$Y$6</f>
        <v>4.4000000000000004</v>
      </c>
      <c r="AA78" s="17">
        <f>'Rolling report'!CT78*'No Action'!$Y$6</f>
        <v>6.16</v>
      </c>
      <c r="AB78" s="17">
        <f>'Rolling report'!CU78*'No Action'!$Y$6</f>
        <v>7.92</v>
      </c>
      <c r="AC78" s="17">
        <f>'Rolling report'!CV78*'No Action'!$Y$6</f>
        <v>6.6</v>
      </c>
      <c r="AD78" s="17">
        <f>'Rolling report'!CW78*'No Action'!$Y$6</f>
        <v>2.2000000000000002</v>
      </c>
      <c r="AE78" s="17">
        <f>'Rolling report'!CX78*'No Action'!$Y$6</f>
        <v>5.72</v>
      </c>
      <c r="AF78" s="17">
        <f>'Rolling report'!CY78*'No Action'!$Y$6</f>
        <v>-279.39999999999998</v>
      </c>
      <c r="AG78" s="17">
        <f>'Rolling report'!CZ78*'No Action'!$Y$6</f>
        <v>0</v>
      </c>
      <c r="AH78" s="17">
        <f>'Rolling report'!DA78*'No Action'!$Y$6</f>
        <v>0</v>
      </c>
      <c r="AI78" s="17">
        <f>'Rolling report'!DB78*'No Action'!$Y$6</f>
        <v>0</v>
      </c>
      <c r="AJ78" s="17">
        <f>'Rolling report'!DC78*'No Action'!$Y$6</f>
        <v>0</v>
      </c>
      <c r="AK78" s="17">
        <f>'Rolling report'!DD78*'No Action'!$Y$6</f>
        <v>0</v>
      </c>
      <c r="AL78" s="17">
        <f>'Rolling report'!DE78*'No Action'!$Y$6</f>
        <v>0</v>
      </c>
      <c r="AM78" s="17">
        <f>'Rolling report'!DF78*'No Action'!$Y$6</f>
        <v>0</v>
      </c>
      <c r="AN78" s="17">
        <f>'Rolling report'!DG78*'No Action'!$Y$6</f>
        <v>0</v>
      </c>
      <c r="AO78" s="17">
        <f>'Rolling report'!DH78*'No Action'!$Y$6</f>
        <v>0</v>
      </c>
      <c r="AQ78" s="45"/>
    </row>
    <row r="79" spans="1:43" x14ac:dyDescent="0.25">
      <c r="A79" s="4" t="s">
        <v>147</v>
      </c>
      <c r="B79" s="6" t="s">
        <v>148</v>
      </c>
      <c r="I79" s="17">
        <f>'Rolling report'!CB79*'No Action'!$Y$6</f>
        <v>16.28</v>
      </c>
      <c r="J79" s="17">
        <f>'Rolling report'!CC79*'No Action'!$Y$6</f>
        <v>4.84</v>
      </c>
      <c r="K79" s="17">
        <f>'Rolling report'!CD79*'No Action'!$Y$6</f>
        <v>0.88</v>
      </c>
      <c r="L79" s="17">
        <f>'Rolling report'!CE79*'No Action'!$Y$6</f>
        <v>0.44</v>
      </c>
      <c r="M79" s="17">
        <f>'Rolling report'!CF79*'No Action'!$Y$6</f>
        <v>0.44</v>
      </c>
      <c r="N79" s="17">
        <f>'Rolling report'!CG79*'No Action'!$Y$6</f>
        <v>1.32</v>
      </c>
      <c r="O79" s="17">
        <f>'Rolling report'!CH79*'No Action'!$Y$6</f>
        <v>4.84</v>
      </c>
      <c r="P79" s="17">
        <f>'Rolling report'!CI79*'No Action'!$Y$6</f>
        <v>0.44</v>
      </c>
      <c r="Q79" s="17">
        <f>'Rolling report'!CJ79*'No Action'!$Y$6</f>
        <v>2.2000000000000002</v>
      </c>
      <c r="R79" s="17">
        <f>'Rolling report'!CK79*'No Action'!$Y$6</f>
        <v>0</v>
      </c>
      <c r="S79" s="17">
        <f>'Rolling report'!CL79*'No Action'!$Y$6</f>
        <v>0</v>
      </c>
      <c r="T79" s="17">
        <f>'Rolling report'!CM79*'No Action'!$Y$6</f>
        <v>1.76</v>
      </c>
      <c r="U79" s="17">
        <f>'Rolling report'!CN79*'No Action'!$Y$6</f>
        <v>6.16</v>
      </c>
      <c r="V79" s="17">
        <f>'Rolling report'!CO79*'No Action'!$Y$6</f>
        <v>1.76</v>
      </c>
      <c r="W79" s="17">
        <f>'Rolling report'!CP79*'No Action'!$Y$6</f>
        <v>1.76</v>
      </c>
      <c r="X79" s="17">
        <f>'Rolling report'!CQ79*'No Action'!$Y$6</f>
        <v>0</v>
      </c>
      <c r="Y79" s="17">
        <f>'Rolling report'!CR79*'No Action'!$Y$6</f>
        <v>1.32</v>
      </c>
      <c r="Z79" s="17">
        <f>'Rolling report'!CS79*'No Action'!$Y$6</f>
        <v>1.32</v>
      </c>
      <c r="AA79" s="17">
        <f>'Rolling report'!CT79*'No Action'!$Y$6</f>
        <v>1.32</v>
      </c>
      <c r="AB79" s="17">
        <f>'Rolling report'!CU79*'No Action'!$Y$6</f>
        <v>1.76</v>
      </c>
      <c r="AC79" s="17">
        <f>'Rolling report'!CV79*'No Action'!$Y$6</f>
        <v>0.88</v>
      </c>
      <c r="AD79" s="17">
        <f>'Rolling report'!CW79*'No Action'!$Y$6</f>
        <v>0</v>
      </c>
      <c r="AE79" s="17">
        <f>'Rolling report'!CX79*'No Action'!$Y$6</f>
        <v>1.76</v>
      </c>
      <c r="AF79" s="17">
        <f>'Rolling report'!CY79*'No Action'!$Y$6</f>
        <v>-51.48</v>
      </c>
      <c r="AG79" s="17">
        <f>'Rolling report'!CZ79*'No Action'!$Y$6</f>
        <v>0</v>
      </c>
      <c r="AH79" s="17">
        <f>'Rolling report'!DA79*'No Action'!$Y$6</f>
        <v>0</v>
      </c>
      <c r="AI79" s="17">
        <f>'Rolling report'!DB79*'No Action'!$Y$6</f>
        <v>0</v>
      </c>
      <c r="AJ79" s="17">
        <f>'Rolling report'!DC79*'No Action'!$Y$6</f>
        <v>0</v>
      </c>
      <c r="AK79" s="17">
        <f>'Rolling report'!DD79*'No Action'!$Y$6</f>
        <v>0</v>
      </c>
      <c r="AL79" s="17">
        <f>'Rolling report'!DE79*'No Action'!$Y$6</f>
        <v>0</v>
      </c>
      <c r="AM79" s="17">
        <f>'Rolling report'!DF79*'No Action'!$Y$6</f>
        <v>0</v>
      </c>
      <c r="AN79" s="17">
        <f>'Rolling report'!DG79*'No Action'!$Y$6</f>
        <v>0</v>
      </c>
      <c r="AO79" s="17">
        <f>'Rolling report'!DH79*'No Action'!$Y$6</f>
        <v>0</v>
      </c>
      <c r="AQ79" s="45"/>
    </row>
    <row r="80" spans="1:43" x14ac:dyDescent="0.25">
      <c r="A80" s="4" t="s">
        <v>149</v>
      </c>
      <c r="B80" s="6" t="s">
        <v>150</v>
      </c>
      <c r="I80" s="17">
        <f>'Rolling report'!CB80*'No Action'!$Y$6</f>
        <v>113.52</v>
      </c>
      <c r="J80" s="17">
        <f>'Rolling report'!CC80*'No Action'!$Y$6</f>
        <v>19.8</v>
      </c>
      <c r="K80" s="17">
        <f>'Rolling report'!CD80*'No Action'!$Y$6</f>
        <v>17.600000000000001</v>
      </c>
      <c r="L80" s="17">
        <f>'Rolling report'!CE80*'No Action'!$Y$6</f>
        <v>23.32</v>
      </c>
      <c r="M80" s="17">
        <f>'Rolling report'!CF80*'No Action'!$Y$6</f>
        <v>18.48</v>
      </c>
      <c r="N80" s="17">
        <f>'Rolling report'!CG80*'No Action'!$Y$6</f>
        <v>16.28</v>
      </c>
      <c r="O80" s="17">
        <f>'Rolling report'!CH80*'No Action'!$Y$6</f>
        <v>17.600000000000001</v>
      </c>
      <c r="P80" s="17">
        <f>'Rolling report'!CI80*'No Action'!$Y$6</f>
        <v>9.24</v>
      </c>
      <c r="Q80" s="17">
        <f>'Rolling report'!CJ80*'No Action'!$Y$6</f>
        <v>13.64</v>
      </c>
      <c r="R80" s="17">
        <f>'Rolling report'!CK80*'No Action'!$Y$6</f>
        <v>11.44</v>
      </c>
      <c r="S80" s="17">
        <f>'Rolling report'!CL80*'No Action'!$Y$6</f>
        <v>5.72</v>
      </c>
      <c r="T80" s="17">
        <f>'Rolling report'!CM80*'No Action'!$Y$6</f>
        <v>8.8000000000000007</v>
      </c>
      <c r="U80" s="17">
        <f>'Rolling report'!CN80*'No Action'!$Y$6</f>
        <v>9.24</v>
      </c>
      <c r="V80" s="17">
        <f>'Rolling report'!CO80*'No Action'!$Y$6</f>
        <v>5.28</v>
      </c>
      <c r="W80" s="17">
        <f>'Rolling report'!CP80*'No Action'!$Y$6</f>
        <v>11</v>
      </c>
      <c r="X80" s="17">
        <f>'Rolling report'!CQ80*'No Action'!$Y$6</f>
        <v>6.16</v>
      </c>
      <c r="Y80" s="17">
        <f>'Rolling report'!CR80*'No Action'!$Y$6</f>
        <v>5.72</v>
      </c>
      <c r="Z80" s="17">
        <f>'Rolling report'!CS80*'No Action'!$Y$6</f>
        <v>1.76</v>
      </c>
      <c r="AA80" s="17">
        <f>'Rolling report'!CT80*'No Action'!$Y$6</f>
        <v>8.36</v>
      </c>
      <c r="AB80" s="17">
        <f>'Rolling report'!CU80*'No Action'!$Y$6</f>
        <v>10.119999999999999</v>
      </c>
      <c r="AC80" s="17">
        <f>'Rolling report'!CV80*'No Action'!$Y$6</f>
        <v>7.48</v>
      </c>
      <c r="AD80" s="17">
        <f>'Rolling report'!CW80*'No Action'!$Y$6</f>
        <v>5.28</v>
      </c>
      <c r="AE80" s="17">
        <f>'Rolling report'!CX80*'No Action'!$Y$6</f>
        <v>3.52</v>
      </c>
      <c r="AF80" s="17">
        <f>'Rolling report'!CY80*'No Action'!$Y$6</f>
        <v>-349.36</v>
      </c>
      <c r="AG80" s="17">
        <f>'Rolling report'!CZ80*'No Action'!$Y$6</f>
        <v>0</v>
      </c>
      <c r="AH80" s="17">
        <f>'Rolling report'!DA80*'No Action'!$Y$6</f>
        <v>0</v>
      </c>
      <c r="AI80" s="17">
        <f>'Rolling report'!DB80*'No Action'!$Y$6</f>
        <v>0</v>
      </c>
      <c r="AJ80" s="17">
        <f>'Rolling report'!DC80*'No Action'!$Y$6</f>
        <v>0</v>
      </c>
      <c r="AK80" s="17">
        <f>'Rolling report'!DD80*'No Action'!$Y$6</f>
        <v>0</v>
      </c>
      <c r="AL80" s="17">
        <f>'Rolling report'!DE80*'No Action'!$Y$6</f>
        <v>0</v>
      </c>
      <c r="AM80" s="17">
        <f>'Rolling report'!DF80*'No Action'!$Y$6</f>
        <v>0</v>
      </c>
      <c r="AN80" s="17">
        <f>'Rolling report'!DG80*'No Action'!$Y$6</f>
        <v>0</v>
      </c>
      <c r="AO80" s="17">
        <f>'Rolling report'!DH80*'No Action'!$Y$6</f>
        <v>0</v>
      </c>
      <c r="AQ80" s="45"/>
    </row>
    <row r="81" spans="1:43" x14ac:dyDescent="0.25">
      <c r="A81" s="4" t="s">
        <v>151</v>
      </c>
      <c r="B81" s="6" t="s">
        <v>152</v>
      </c>
      <c r="I81" s="17">
        <f>'Rolling report'!CB81*'No Action'!$Y$6</f>
        <v>68.2</v>
      </c>
      <c r="J81" s="17">
        <f>'Rolling report'!CC81*'No Action'!$Y$6</f>
        <v>8.8000000000000007</v>
      </c>
      <c r="K81" s="17">
        <f>'Rolling report'!CD81*'No Action'!$Y$6</f>
        <v>4.84</v>
      </c>
      <c r="L81" s="17">
        <f>'Rolling report'!CE81*'No Action'!$Y$6</f>
        <v>11</v>
      </c>
      <c r="M81" s="17">
        <f>'Rolling report'!CF81*'No Action'!$Y$6</f>
        <v>3.52</v>
      </c>
      <c r="N81" s="17">
        <f>'Rolling report'!CG81*'No Action'!$Y$6</f>
        <v>6.16</v>
      </c>
      <c r="O81" s="17">
        <f>'Rolling report'!CH81*'No Action'!$Y$6</f>
        <v>9.24</v>
      </c>
      <c r="P81" s="17">
        <f>'Rolling report'!CI81*'No Action'!$Y$6</f>
        <v>4.84</v>
      </c>
      <c r="Q81" s="17">
        <f>'Rolling report'!CJ81*'No Action'!$Y$6</f>
        <v>7.04</v>
      </c>
      <c r="R81" s="17">
        <f>'Rolling report'!CK81*'No Action'!$Y$6</f>
        <v>11.44</v>
      </c>
      <c r="S81" s="17">
        <f>'Rolling report'!CL81*'No Action'!$Y$6</f>
        <v>3.96</v>
      </c>
      <c r="T81" s="17">
        <f>'Rolling report'!CM81*'No Action'!$Y$6</f>
        <v>2.2000000000000002</v>
      </c>
      <c r="U81" s="17">
        <f>'Rolling report'!CN81*'No Action'!$Y$6</f>
        <v>6.16</v>
      </c>
      <c r="V81" s="17">
        <f>'Rolling report'!CO81*'No Action'!$Y$6</f>
        <v>4.4000000000000004</v>
      </c>
      <c r="W81" s="17">
        <f>'Rolling report'!CP81*'No Action'!$Y$6</f>
        <v>3.08</v>
      </c>
      <c r="X81" s="17">
        <f>'Rolling report'!CQ81*'No Action'!$Y$6</f>
        <v>3.08</v>
      </c>
      <c r="Y81" s="17">
        <f>'Rolling report'!CR81*'No Action'!$Y$6</f>
        <v>3.52</v>
      </c>
      <c r="Z81" s="17">
        <f>'Rolling report'!CS81*'No Action'!$Y$6</f>
        <v>2.2000000000000002</v>
      </c>
      <c r="AA81" s="17">
        <f>'Rolling report'!CT81*'No Action'!$Y$6</f>
        <v>5.28</v>
      </c>
      <c r="AB81" s="17">
        <f>'Rolling report'!CU81*'No Action'!$Y$6</f>
        <v>3.96</v>
      </c>
      <c r="AC81" s="17">
        <f>'Rolling report'!CV81*'No Action'!$Y$6</f>
        <v>5.28</v>
      </c>
      <c r="AD81" s="17">
        <f>'Rolling report'!CW81*'No Action'!$Y$6</f>
        <v>0.44</v>
      </c>
      <c r="AE81" s="17">
        <f>'Rolling report'!CX81*'No Action'!$Y$6</f>
        <v>1.76</v>
      </c>
      <c r="AF81" s="17">
        <f>'Rolling report'!CY81*'No Action'!$Y$6</f>
        <v>-180.4</v>
      </c>
      <c r="AG81" s="17">
        <f>'Rolling report'!CZ81*'No Action'!$Y$6</f>
        <v>0</v>
      </c>
      <c r="AH81" s="17">
        <f>'Rolling report'!DA81*'No Action'!$Y$6</f>
        <v>0</v>
      </c>
      <c r="AI81" s="17">
        <f>'Rolling report'!DB81*'No Action'!$Y$6</f>
        <v>0</v>
      </c>
      <c r="AJ81" s="17">
        <f>'Rolling report'!DC81*'No Action'!$Y$6</f>
        <v>0</v>
      </c>
      <c r="AK81" s="17">
        <f>'Rolling report'!DD81*'No Action'!$Y$6</f>
        <v>0</v>
      </c>
      <c r="AL81" s="17">
        <f>'Rolling report'!DE81*'No Action'!$Y$6</f>
        <v>0</v>
      </c>
      <c r="AM81" s="17">
        <f>'Rolling report'!DF81*'No Action'!$Y$6</f>
        <v>0</v>
      </c>
      <c r="AN81" s="17">
        <f>'Rolling report'!DG81*'No Action'!$Y$6</f>
        <v>0</v>
      </c>
      <c r="AO81" s="17">
        <f>'Rolling report'!DH81*'No Action'!$Y$6</f>
        <v>0</v>
      </c>
      <c r="AQ81" s="45"/>
    </row>
    <row r="82" spans="1:43" x14ac:dyDescent="0.25">
      <c r="A82" s="4" t="s">
        <v>153</v>
      </c>
      <c r="B82" s="6" t="s">
        <v>154</v>
      </c>
      <c r="I82" s="17">
        <f>'Rolling report'!CB82*'No Action'!$Y$6</f>
        <v>159.72</v>
      </c>
      <c r="J82" s="17">
        <f>'Rolling report'!CC82*'No Action'!$Y$6</f>
        <v>19.8</v>
      </c>
      <c r="K82" s="17">
        <f>'Rolling report'!CD82*'No Action'!$Y$6</f>
        <v>30.36</v>
      </c>
      <c r="L82" s="17">
        <f>'Rolling report'!CE82*'No Action'!$Y$6</f>
        <v>36.520000000000003</v>
      </c>
      <c r="M82" s="17">
        <f>'Rolling report'!CF82*'No Action'!$Y$6</f>
        <v>16.72</v>
      </c>
      <c r="N82" s="17">
        <f>'Rolling report'!CG82*'No Action'!$Y$6</f>
        <v>17.600000000000001</v>
      </c>
      <c r="O82" s="17">
        <f>'Rolling report'!CH82*'No Action'!$Y$6</f>
        <v>28.16</v>
      </c>
      <c r="P82" s="17">
        <f>'Rolling report'!CI82*'No Action'!$Y$6</f>
        <v>8.36</v>
      </c>
      <c r="Q82" s="17">
        <f>'Rolling report'!CJ82*'No Action'!$Y$6</f>
        <v>26.4</v>
      </c>
      <c r="R82" s="17">
        <f>'Rolling report'!CK82*'No Action'!$Y$6</f>
        <v>13.64</v>
      </c>
      <c r="S82" s="17">
        <f>'Rolling report'!CL82*'No Action'!$Y$6</f>
        <v>5.72</v>
      </c>
      <c r="T82" s="17">
        <f>'Rolling report'!CM82*'No Action'!$Y$6</f>
        <v>10.119999999999999</v>
      </c>
      <c r="U82" s="17">
        <f>'Rolling report'!CN82*'No Action'!$Y$6</f>
        <v>18.48</v>
      </c>
      <c r="V82" s="17">
        <f>'Rolling report'!CO82*'No Action'!$Y$6</f>
        <v>8.8000000000000007</v>
      </c>
      <c r="W82" s="17">
        <f>'Rolling report'!CP82*'No Action'!$Y$6</f>
        <v>6.16</v>
      </c>
      <c r="X82" s="17">
        <f>'Rolling report'!CQ82*'No Action'!$Y$6</f>
        <v>6.16</v>
      </c>
      <c r="Y82" s="17">
        <f>'Rolling report'!CR82*'No Action'!$Y$6</f>
        <v>12.76</v>
      </c>
      <c r="Z82" s="17">
        <f>'Rolling report'!CS82*'No Action'!$Y$6</f>
        <v>4.84</v>
      </c>
      <c r="AA82" s="17">
        <f>'Rolling report'!CT82*'No Action'!$Y$6</f>
        <v>4.84</v>
      </c>
      <c r="AB82" s="17">
        <f>'Rolling report'!CU82*'No Action'!$Y$6</f>
        <v>8.8000000000000007</v>
      </c>
      <c r="AC82" s="17">
        <f>'Rolling report'!CV82*'No Action'!$Y$6</f>
        <v>17.600000000000001</v>
      </c>
      <c r="AD82" s="17">
        <f>'Rolling report'!CW82*'No Action'!$Y$6</f>
        <v>2.64</v>
      </c>
      <c r="AE82" s="17">
        <f>'Rolling report'!CX82*'No Action'!$Y$6</f>
        <v>4.84</v>
      </c>
      <c r="AF82" s="17">
        <f>'Rolling report'!CY82*'No Action'!$Y$6</f>
        <v>-469.04</v>
      </c>
      <c r="AG82" s="17">
        <f>'Rolling report'!CZ82*'No Action'!$Y$6</f>
        <v>0</v>
      </c>
      <c r="AH82" s="17">
        <f>'Rolling report'!DA82*'No Action'!$Y$6</f>
        <v>0</v>
      </c>
      <c r="AI82" s="17">
        <f>'Rolling report'!DB82*'No Action'!$Y$6</f>
        <v>0</v>
      </c>
      <c r="AJ82" s="17">
        <f>'Rolling report'!DC82*'No Action'!$Y$6</f>
        <v>0</v>
      </c>
      <c r="AK82" s="17">
        <f>'Rolling report'!DD82*'No Action'!$Y$6</f>
        <v>0</v>
      </c>
      <c r="AL82" s="17">
        <f>'Rolling report'!DE82*'No Action'!$Y$6</f>
        <v>0</v>
      </c>
      <c r="AM82" s="17">
        <f>'Rolling report'!DF82*'No Action'!$Y$6</f>
        <v>0</v>
      </c>
      <c r="AN82" s="17">
        <f>'Rolling report'!DG82*'No Action'!$Y$6</f>
        <v>0</v>
      </c>
      <c r="AO82" s="17">
        <f>'Rolling report'!DH82*'No Action'!$Y$6</f>
        <v>0</v>
      </c>
      <c r="AQ82" s="45"/>
    </row>
    <row r="83" spans="1:43" x14ac:dyDescent="0.25">
      <c r="A83" s="4" t="s">
        <v>155</v>
      </c>
      <c r="B83" s="6" t="s">
        <v>156</v>
      </c>
      <c r="I83" s="17">
        <f>'Rolling report'!CB83*'No Action'!$Y$6</f>
        <v>28.6</v>
      </c>
      <c r="J83" s="17">
        <f>'Rolling report'!CC83*'No Action'!$Y$6</f>
        <v>4.84</v>
      </c>
      <c r="K83" s="17">
        <f>'Rolling report'!CD83*'No Action'!$Y$6</f>
        <v>6.6</v>
      </c>
      <c r="L83" s="17">
        <f>'Rolling report'!CE83*'No Action'!$Y$6</f>
        <v>7.48</v>
      </c>
      <c r="M83" s="17">
        <f>'Rolling report'!CF83*'No Action'!$Y$6</f>
        <v>2.2000000000000002</v>
      </c>
      <c r="N83" s="17">
        <f>'Rolling report'!CG83*'No Action'!$Y$6</f>
        <v>3.08</v>
      </c>
      <c r="O83" s="17">
        <f>'Rolling report'!CH83*'No Action'!$Y$6</f>
        <v>5.28</v>
      </c>
      <c r="P83" s="17">
        <f>'Rolling report'!CI83*'No Action'!$Y$6</f>
        <v>1.32</v>
      </c>
      <c r="Q83" s="17">
        <f>'Rolling report'!CJ83*'No Action'!$Y$6</f>
        <v>0.88</v>
      </c>
      <c r="R83" s="17">
        <f>'Rolling report'!CK83*'No Action'!$Y$6</f>
        <v>2.64</v>
      </c>
      <c r="S83" s="17">
        <f>'Rolling report'!CL83*'No Action'!$Y$6</f>
        <v>3.52</v>
      </c>
      <c r="T83" s="17">
        <f>'Rolling report'!CM83*'No Action'!$Y$6</f>
        <v>6.6</v>
      </c>
      <c r="U83" s="17">
        <f>'Rolling report'!CN83*'No Action'!$Y$6</f>
        <v>3.08</v>
      </c>
      <c r="V83" s="17">
        <f>'Rolling report'!CO83*'No Action'!$Y$6</f>
        <v>2.64</v>
      </c>
      <c r="W83" s="17">
        <f>'Rolling report'!CP83*'No Action'!$Y$6</f>
        <v>3.52</v>
      </c>
      <c r="X83" s="17">
        <f>'Rolling report'!CQ83*'No Action'!$Y$6</f>
        <v>1.32</v>
      </c>
      <c r="Y83" s="17">
        <f>'Rolling report'!CR83*'No Action'!$Y$6</f>
        <v>0.88</v>
      </c>
      <c r="Z83" s="17">
        <f>'Rolling report'!CS83*'No Action'!$Y$6</f>
        <v>0.88</v>
      </c>
      <c r="AA83" s="17">
        <f>'Rolling report'!CT83*'No Action'!$Y$6</f>
        <v>2.64</v>
      </c>
      <c r="AB83" s="17">
        <f>'Rolling report'!CU83*'No Action'!$Y$6</f>
        <v>3.52</v>
      </c>
      <c r="AC83" s="17">
        <f>'Rolling report'!CV83*'No Action'!$Y$6</f>
        <v>7.04</v>
      </c>
      <c r="AD83" s="17">
        <f>'Rolling report'!CW83*'No Action'!$Y$6</f>
        <v>-0.44</v>
      </c>
      <c r="AE83" s="17">
        <f>'Rolling report'!CX83*'No Action'!$Y$6</f>
        <v>2.64</v>
      </c>
      <c r="AF83" s="17">
        <f>'Rolling report'!CY83*'No Action'!$Y$6</f>
        <v>-100.76</v>
      </c>
      <c r="AG83" s="17">
        <f>'Rolling report'!CZ83*'No Action'!$Y$6</f>
        <v>0</v>
      </c>
      <c r="AH83" s="17">
        <f>'Rolling report'!DA83*'No Action'!$Y$6</f>
        <v>0</v>
      </c>
      <c r="AI83" s="17">
        <f>'Rolling report'!DB83*'No Action'!$Y$6</f>
        <v>0</v>
      </c>
      <c r="AJ83" s="17">
        <f>'Rolling report'!DC83*'No Action'!$Y$6</f>
        <v>0</v>
      </c>
      <c r="AK83" s="17">
        <f>'Rolling report'!DD83*'No Action'!$Y$6</f>
        <v>0</v>
      </c>
      <c r="AL83" s="17">
        <f>'Rolling report'!DE83*'No Action'!$Y$6</f>
        <v>0</v>
      </c>
      <c r="AM83" s="17">
        <f>'Rolling report'!DF83*'No Action'!$Y$6</f>
        <v>0</v>
      </c>
      <c r="AN83" s="17">
        <f>'Rolling report'!DG83*'No Action'!$Y$6</f>
        <v>0</v>
      </c>
      <c r="AO83" s="17">
        <f>'Rolling report'!DH83*'No Action'!$Y$6</f>
        <v>0</v>
      </c>
      <c r="AQ83" s="45"/>
    </row>
    <row r="84" spans="1:43" x14ac:dyDescent="0.25">
      <c r="A84" s="4" t="s">
        <v>157</v>
      </c>
      <c r="B84" s="6" t="s">
        <v>158</v>
      </c>
      <c r="I84" s="17">
        <f>'Rolling report'!CB84*'No Action'!$Y$6</f>
        <v>7.92</v>
      </c>
      <c r="J84" s="17">
        <f>'Rolling report'!CC84*'No Action'!$Y$6</f>
        <v>3.08</v>
      </c>
      <c r="K84" s="17">
        <f>'Rolling report'!CD84*'No Action'!$Y$6</f>
        <v>1.32</v>
      </c>
      <c r="L84" s="17">
        <f>'Rolling report'!CE84*'No Action'!$Y$6</f>
        <v>0</v>
      </c>
      <c r="M84" s="17">
        <f>'Rolling report'!CF84*'No Action'!$Y$6</f>
        <v>0.44</v>
      </c>
      <c r="N84" s="17">
        <f>'Rolling report'!CG84*'No Action'!$Y$6</f>
        <v>1.32</v>
      </c>
      <c r="O84" s="17">
        <f>'Rolling report'!CH84*'No Action'!$Y$6</f>
        <v>3.52</v>
      </c>
      <c r="P84" s="17">
        <f>'Rolling report'!CI84*'No Action'!$Y$6</f>
        <v>0</v>
      </c>
      <c r="Q84" s="17">
        <f>'Rolling report'!CJ84*'No Action'!$Y$6</f>
        <v>0</v>
      </c>
      <c r="R84" s="17">
        <f>'Rolling report'!CK84*'No Action'!$Y$6</f>
        <v>1.32</v>
      </c>
      <c r="S84" s="17">
        <f>'Rolling report'!CL84*'No Action'!$Y$6</f>
        <v>0.88</v>
      </c>
      <c r="T84" s="17">
        <f>'Rolling report'!CM84*'No Action'!$Y$6</f>
        <v>3.52</v>
      </c>
      <c r="U84" s="17">
        <f>'Rolling report'!CN84*'No Action'!$Y$6</f>
        <v>0.44</v>
      </c>
      <c r="V84" s="17">
        <f>'Rolling report'!CO84*'No Action'!$Y$6</f>
        <v>0.44</v>
      </c>
      <c r="W84" s="17">
        <f>'Rolling report'!CP84*'No Action'!$Y$6</f>
        <v>1.32</v>
      </c>
      <c r="X84" s="17">
        <f>'Rolling report'!CQ84*'No Action'!$Y$6</f>
        <v>0</v>
      </c>
      <c r="Y84" s="17">
        <f>'Rolling report'!CR84*'No Action'!$Y$6</f>
        <v>0</v>
      </c>
      <c r="Z84" s="17">
        <f>'Rolling report'!CS84*'No Action'!$Y$6</f>
        <v>0.44</v>
      </c>
      <c r="AA84" s="17">
        <f>'Rolling report'!CT84*'No Action'!$Y$6</f>
        <v>0.88</v>
      </c>
      <c r="AB84" s="17">
        <f>'Rolling report'!CU84*'No Action'!$Y$6</f>
        <v>3.08</v>
      </c>
      <c r="AC84" s="17">
        <f>'Rolling report'!CV84*'No Action'!$Y$6</f>
        <v>1.32</v>
      </c>
      <c r="AD84" s="17">
        <f>'Rolling report'!CW84*'No Action'!$Y$6</f>
        <v>-0.88</v>
      </c>
      <c r="AE84" s="17">
        <f>'Rolling report'!CX84*'No Action'!$Y$6</f>
        <v>0.88</v>
      </c>
      <c r="AF84" s="17">
        <f>'Rolling report'!CY84*'No Action'!$Y$6</f>
        <v>-31.24</v>
      </c>
      <c r="AG84" s="17">
        <f>'Rolling report'!CZ84*'No Action'!$Y$6</f>
        <v>0</v>
      </c>
      <c r="AH84" s="17">
        <f>'Rolling report'!DA84*'No Action'!$Y$6</f>
        <v>0</v>
      </c>
      <c r="AI84" s="17">
        <f>'Rolling report'!DB84*'No Action'!$Y$6</f>
        <v>0</v>
      </c>
      <c r="AJ84" s="17">
        <f>'Rolling report'!DC84*'No Action'!$Y$6</f>
        <v>0</v>
      </c>
      <c r="AK84" s="17">
        <f>'Rolling report'!DD84*'No Action'!$Y$6</f>
        <v>0</v>
      </c>
      <c r="AL84" s="17">
        <f>'Rolling report'!DE84*'No Action'!$Y$6</f>
        <v>0</v>
      </c>
      <c r="AM84" s="17">
        <f>'Rolling report'!DF84*'No Action'!$Y$6</f>
        <v>0</v>
      </c>
      <c r="AN84" s="17">
        <f>'Rolling report'!DG84*'No Action'!$Y$6</f>
        <v>0</v>
      </c>
      <c r="AO84" s="17">
        <f>'Rolling report'!DH84*'No Action'!$Y$6</f>
        <v>0</v>
      </c>
      <c r="AQ84" s="45"/>
    </row>
    <row r="85" spans="1:43" x14ac:dyDescent="0.25">
      <c r="A85" s="4" t="s">
        <v>159</v>
      </c>
      <c r="B85" s="6" t="s">
        <v>160</v>
      </c>
      <c r="I85" s="17">
        <f>'Rolling report'!CB85*'No Action'!$Y$6</f>
        <v>57.64</v>
      </c>
      <c r="J85" s="17">
        <f>'Rolling report'!CC85*'No Action'!$Y$6</f>
        <v>7.04</v>
      </c>
      <c r="K85" s="17">
        <f>'Rolling report'!CD85*'No Action'!$Y$6</f>
        <v>1.32</v>
      </c>
      <c r="L85" s="17">
        <f>'Rolling report'!CE85*'No Action'!$Y$6</f>
        <v>4.84</v>
      </c>
      <c r="M85" s="17">
        <f>'Rolling report'!CF85*'No Action'!$Y$6</f>
        <v>6.16</v>
      </c>
      <c r="N85" s="17">
        <f>'Rolling report'!CG85*'No Action'!$Y$6</f>
        <v>4.84</v>
      </c>
      <c r="O85" s="17">
        <f>'Rolling report'!CH85*'No Action'!$Y$6</f>
        <v>11</v>
      </c>
      <c r="P85" s="17">
        <f>'Rolling report'!CI85*'No Action'!$Y$6</f>
        <v>7.48</v>
      </c>
      <c r="Q85" s="17">
        <f>'Rolling report'!CJ85*'No Action'!$Y$6</f>
        <v>3.52</v>
      </c>
      <c r="R85" s="17">
        <f>'Rolling report'!CK85*'No Action'!$Y$6</f>
        <v>6.6</v>
      </c>
      <c r="S85" s="17">
        <f>'Rolling report'!CL85*'No Action'!$Y$6</f>
        <v>5.72</v>
      </c>
      <c r="T85" s="17">
        <f>'Rolling report'!CM85*'No Action'!$Y$6</f>
        <v>4.4000000000000004</v>
      </c>
      <c r="U85" s="17">
        <f>'Rolling report'!CN85*'No Action'!$Y$6</f>
        <v>7.92</v>
      </c>
      <c r="V85" s="17">
        <f>'Rolling report'!CO85*'No Action'!$Y$6</f>
        <v>6.6</v>
      </c>
      <c r="W85" s="17">
        <f>'Rolling report'!CP85*'No Action'!$Y$6</f>
        <v>1.32</v>
      </c>
      <c r="X85" s="17">
        <f>'Rolling report'!CQ85*'No Action'!$Y$6</f>
        <v>3.52</v>
      </c>
      <c r="Y85" s="17">
        <f>'Rolling report'!CR85*'No Action'!$Y$6</f>
        <v>5.28</v>
      </c>
      <c r="Z85" s="17">
        <f>'Rolling report'!CS85*'No Action'!$Y$6</f>
        <v>0.44</v>
      </c>
      <c r="AA85" s="17">
        <f>'Rolling report'!CT85*'No Action'!$Y$6</f>
        <v>6.16</v>
      </c>
      <c r="AB85" s="17">
        <f>'Rolling report'!CU85*'No Action'!$Y$6</f>
        <v>3.96</v>
      </c>
      <c r="AC85" s="17">
        <f>'Rolling report'!CV85*'No Action'!$Y$6</f>
        <v>4.84</v>
      </c>
      <c r="AD85" s="17">
        <f>'Rolling report'!CW85*'No Action'!$Y$6</f>
        <v>1.32</v>
      </c>
      <c r="AE85" s="17">
        <f>'Rolling report'!CX85*'No Action'!$Y$6</f>
        <v>3.08</v>
      </c>
      <c r="AF85" s="17">
        <f>'Rolling report'!CY85*'No Action'!$Y$6</f>
        <v>-165</v>
      </c>
      <c r="AG85" s="17">
        <f>'Rolling report'!CZ85*'No Action'!$Y$6</f>
        <v>0</v>
      </c>
      <c r="AH85" s="17">
        <f>'Rolling report'!DA85*'No Action'!$Y$6</f>
        <v>0</v>
      </c>
      <c r="AI85" s="17">
        <f>'Rolling report'!DB85*'No Action'!$Y$6</f>
        <v>0</v>
      </c>
      <c r="AJ85" s="17">
        <f>'Rolling report'!DC85*'No Action'!$Y$6</f>
        <v>0</v>
      </c>
      <c r="AK85" s="17">
        <f>'Rolling report'!DD85*'No Action'!$Y$6</f>
        <v>0</v>
      </c>
      <c r="AL85" s="17">
        <f>'Rolling report'!DE85*'No Action'!$Y$6</f>
        <v>0</v>
      </c>
      <c r="AM85" s="17">
        <f>'Rolling report'!DF85*'No Action'!$Y$6</f>
        <v>0</v>
      </c>
      <c r="AN85" s="17">
        <f>'Rolling report'!DG85*'No Action'!$Y$6</f>
        <v>0</v>
      </c>
      <c r="AO85" s="17">
        <f>'Rolling report'!DH85*'No Action'!$Y$6</f>
        <v>0</v>
      </c>
      <c r="AQ85" s="45"/>
    </row>
    <row r="86" spans="1:43" x14ac:dyDescent="0.25">
      <c r="A86" s="4" t="s">
        <v>161</v>
      </c>
      <c r="B86" s="6" t="s">
        <v>162</v>
      </c>
      <c r="I86" s="17">
        <f>'Rolling report'!CB86*'No Action'!$Y$6</f>
        <v>22.88</v>
      </c>
      <c r="J86" s="17">
        <f>'Rolling report'!CC86*'No Action'!$Y$6</f>
        <v>9.24</v>
      </c>
      <c r="K86" s="17">
        <f>'Rolling report'!CD86*'No Action'!$Y$6</f>
        <v>1.32</v>
      </c>
      <c r="L86" s="17">
        <f>'Rolling report'!CE86*'No Action'!$Y$6</f>
        <v>4.4000000000000004</v>
      </c>
      <c r="M86" s="17">
        <f>'Rolling report'!CF86*'No Action'!$Y$6</f>
        <v>2.2000000000000002</v>
      </c>
      <c r="N86" s="17">
        <f>'Rolling report'!CG86*'No Action'!$Y$6</f>
        <v>2.64</v>
      </c>
      <c r="O86" s="17">
        <f>'Rolling report'!CH86*'No Action'!$Y$6</f>
        <v>3.08</v>
      </c>
      <c r="P86" s="17">
        <f>'Rolling report'!CI86*'No Action'!$Y$6</f>
        <v>3.08</v>
      </c>
      <c r="Q86" s="17">
        <f>'Rolling report'!CJ86*'No Action'!$Y$6</f>
        <v>1.76</v>
      </c>
      <c r="R86" s="17">
        <f>'Rolling report'!CK86*'No Action'!$Y$6</f>
        <v>2.2000000000000002</v>
      </c>
      <c r="S86" s="17">
        <f>'Rolling report'!CL86*'No Action'!$Y$6</f>
        <v>3.08</v>
      </c>
      <c r="T86" s="17">
        <f>'Rolling report'!CM86*'No Action'!$Y$6</f>
        <v>3.08</v>
      </c>
      <c r="U86" s="17">
        <f>'Rolling report'!CN86*'No Action'!$Y$6</f>
        <v>2.2000000000000002</v>
      </c>
      <c r="V86" s="17">
        <f>'Rolling report'!CO86*'No Action'!$Y$6</f>
        <v>2.64</v>
      </c>
      <c r="W86" s="17">
        <f>'Rolling report'!CP86*'No Action'!$Y$6</f>
        <v>3.96</v>
      </c>
      <c r="X86" s="17">
        <f>'Rolling report'!CQ86*'No Action'!$Y$6</f>
        <v>-0.44</v>
      </c>
      <c r="Y86" s="17">
        <f>'Rolling report'!CR86*'No Action'!$Y$6</f>
        <v>2.2000000000000002</v>
      </c>
      <c r="Z86" s="17">
        <f>'Rolling report'!CS86*'No Action'!$Y$6</f>
        <v>1.32</v>
      </c>
      <c r="AA86" s="17">
        <f>'Rolling report'!CT86*'No Action'!$Y$6</f>
        <v>1.32</v>
      </c>
      <c r="AB86" s="17">
        <f>'Rolling report'!CU86*'No Action'!$Y$6</f>
        <v>2.2000000000000002</v>
      </c>
      <c r="AC86" s="17">
        <f>'Rolling report'!CV86*'No Action'!$Y$6</f>
        <v>4.84</v>
      </c>
      <c r="AD86" s="17">
        <f>'Rolling report'!CW86*'No Action'!$Y$6</f>
        <v>0.88</v>
      </c>
      <c r="AE86" s="17">
        <f>'Rolling report'!CX86*'No Action'!$Y$6</f>
        <v>1.32</v>
      </c>
      <c r="AF86" s="17">
        <f>'Rolling report'!CY86*'No Action'!$Y$6</f>
        <v>-81.400000000000006</v>
      </c>
      <c r="AG86" s="17">
        <f>'Rolling report'!CZ86*'No Action'!$Y$6</f>
        <v>0</v>
      </c>
      <c r="AH86" s="17">
        <f>'Rolling report'!DA86*'No Action'!$Y$6</f>
        <v>0</v>
      </c>
      <c r="AI86" s="17">
        <f>'Rolling report'!DB86*'No Action'!$Y$6</f>
        <v>0</v>
      </c>
      <c r="AJ86" s="17">
        <f>'Rolling report'!DC86*'No Action'!$Y$6</f>
        <v>0</v>
      </c>
      <c r="AK86" s="17">
        <f>'Rolling report'!DD86*'No Action'!$Y$6</f>
        <v>0</v>
      </c>
      <c r="AL86" s="17">
        <f>'Rolling report'!DE86*'No Action'!$Y$6</f>
        <v>0</v>
      </c>
      <c r="AM86" s="17">
        <f>'Rolling report'!DF86*'No Action'!$Y$6</f>
        <v>0</v>
      </c>
      <c r="AN86" s="17">
        <f>'Rolling report'!DG86*'No Action'!$Y$6</f>
        <v>0</v>
      </c>
      <c r="AO86" s="17">
        <f>'Rolling report'!DH86*'No Action'!$Y$6</f>
        <v>0</v>
      </c>
      <c r="AQ86" s="45"/>
    </row>
    <row r="87" spans="1:43" x14ac:dyDescent="0.25">
      <c r="A87" s="4" t="s">
        <v>163</v>
      </c>
      <c r="B87" s="6" t="s">
        <v>164</v>
      </c>
      <c r="I87" s="17">
        <f>'Rolling report'!CB87*'No Action'!$Y$6</f>
        <v>51.04</v>
      </c>
      <c r="J87" s="17">
        <f>'Rolling report'!CC87*'No Action'!$Y$6</f>
        <v>10.119999999999999</v>
      </c>
      <c r="K87" s="17">
        <f>'Rolling report'!CD87*'No Action'!$Y$6</f>
        <v>10.119999999999999</v>
      </c>
      <c r="L87" s="17">
        <f>'Rolling report'!CE87*'No Action'!$Y$6</f>
        <v>16.72</v>
      </c>
      <c r="M87" s="17">
        <f>'Rolling report'!CF87*'No Action'!$Y$6</f>
        <v>10.119999999999999</v>
      </c>
      <c r="N87" s="17">
        <f>'Rolling report'!CG87*'No Action'!$Y$6</f>
        <v>8.36</v>
      </c>
      <c r="O87" s="17">
        <f>'Rolling report'!CH87*'No Action'!$Y$6</f>
        <v>13.64</v>
      </c>
      <c r="P87" s="17">
        <f>'Rolling report'!CI87*'No Action'!$Y$6</f>
        <v>3.08</v>
      </c>
      <c r="Q87" s="17">
        <f>'Rolling report'!CJ87*'No Action'!$Y$6</f>
        <v>6.6</v>
      </c>
      <c r="R87" s="17">
        <f>'Rolling report'!CK87*'No Action'!$Y$6</f>
        <v>5.72</v>
      </c>
      <c r="S87" s="17">
        <f>'Rolling report'!CL87*'No Action'!$Y$6</f>
        <v>1.32</v>
      </c>
      <c r="T87" s="17">
        <f>'Rolling report'!CM87*'No Action'!$Y$6</f>
        <v>6.6</v>
      </c>
      <c r="U87" s="17">
        <f>'Rolling report'!CN87*'No Action'!$Y$6</f>
        <v>3.52</v>
      </c>
      <c r="V87" s="17">
        <f>'Rolling report'!CO87*'No Action'!$Y$6</f>
        <v>5.28</v>
      </c>
      <c r="W87" s="17">
        <f>'Rolling report'!CP87*'No Action'!$Y$6</f>
        <v>5.28</v>
      </c>
      <c r="X87" s="17">
        <f>'Rolling report'!CQ87*'No Action'!$Y$6</f>
        <v>5.72</v>
      </c>
      <c r="Y87" s="17">
        <f>'Rolling report'!CR87*'No Action'!$Y$6</f>
        <v>2.2000000000000002</v>
      </c>
      <c r="Z87" s="17">
        <f>'Rolling report'!CS87*'No Action'!$Y$6</f>
        <v>3.96</v>
      </c>
      <c r="AA87" s="17">
        <f>'Rolling report'!CT87*'No Action'!$Y$6</f>
        <v>6.6</v>
      </c>
      <c r="AB87" s="17">
        <f>'Rolling report'!CU87*'No Action'!$Y$6</f>
        <v>3.52</v>
      </c>
      <c r="AC87" s="17">
        <f>'Rolling report'!CV87*'No Action'!$Y$6</f>
        <v>11</v>
      </c>
      <c r="AD87" s="17">
        <f>'Rolling report'!CW87*'No Action'!$Y$6</f>
        <v>1.32</v>
      </c>
      <c r="AE87" s="17">
        <f>'Rolling report'!CX87*'No Action'!$Y$6</f>
        <v>6.6</v>
      </c>
      <c r="AF87" s="17">
        <f>'Rolling report'!CY87*'No Action'!$Y$6</f>
        <v>-198.44</v>
      </c>
      <c r="AG87" s="17">
        <f>'Rolling report'!CZ87*'No Action'!$Y$6</f>
        <v>0</v>
      </c>
      <c r="AH87" s="17">
        <f>'Rolling report'!DA87*'No Action'!$Y$6</f>
        <v>0</v>
      </c>
      <c r="AI87" s="17">
        <f>'Rolling report'!DB87*'No Action'!$Y$6</f>
        <v>0</v>
      </c>
      <c r="AJ87" s="17">
        <f>'Rolling report'!DC87*'No Action'!$Y$6</f>
        <v>0</v>
      </c>
      <c r="AK87" s="17">
        <f>'Rolling report'!DD87*'No Action'!$Y$6</f>
        <v>0</v>
      </c>
      <c r="AL87" s="17">
        <f>'Rolling report'!DE87*'No Action'!$Y$6</f>
        <v>0</v>
      </c>
      <c r="AM87" s="17">
        <f>'Rolling report'!DF87*'No Action'!$Y$6</f>
        <v>0</v>
      </c>
      <c r="AN87" s="17">
        <f>'Rolling report'!DG87*'No Action'!$Y$6</f>
        <v>0</v>
      </c>
      <c r="AO87" s="17">
        <f>'Rolling report'!DH87*'No Action'!$Y$6</f>
        <v>0</v>
      </c>
      <c r="AQ87" s="45"/>
    </row>
    <row r="88" spans="1:43" x14ac:dyDescent="0.25">
      <c r="A88" s="4" t="s">
        <v>165</v>
      </c>
      <c r="B88" s="6" t="s">
        <v>166</v>
      </c>
      <c r="I88" s="17">
        <f>'Rolling report'!CB88*'No Action'!$Y$6</f>
        <v>9.24</v>
      </c>
      <c r="J88" s="17">
        <f>'Rolling report'!CC88*'No Action'!$Y$6</f>
        <v>1.76</v>
      </c>
      <c r="K88" s="17">
        <f>'Rolling report'!CD88*'No Action'!$Y$6</f>
        <v>0</v>
      </c>
      <c r="L88" s="17">
        <f>'Rolling report'!CE88*'No Action'!$Y$6</f>
        <v>0</v>
      </c>
      <c r="M88" s="17">
        <f>'Rolling report'!CF88*'No Action'!$Y$6</f>
        <v>0</v>
      </c>
      <c r="N88" s="17">
        <f>'Rolling report'!CG88*'No Action'!$Y$6</f>
        <v>2.2000000000000002</v>
      </c>
      <c r="O88" s="17">
        <f>'Rolling report'!CH88*'No Action'!$Y$6</f>
        <v>4.4000000000000004</v>
      </c>
      <c r="P88" s="17">
        <f>'Rolling report'!CI88*'No Action'!$Y$6</f>
        <v>0</v>
      </c>
      <c r="Q88" s="17">
        <f>'Rolling report'!CJ88*'No Action'!$Y$6</f>
        <v>0</v>
      </c>
      <c r="R88" s="17">
        <f>'Rolling report'!CK88*'No Action'!$Y$6</f>
        <v>0</v>
      </c>
      <c r="S88" s="17">
        <f>'Rolling report'!CL88*'No Action'!$Y$6</f>
        <v>2.2000000000000002</v>
      </c>
      <c r="T88" s="17">
        <f>'Rolling report'!CM88*'No Action'!$Y$6</f>
        <v>-4.84</v>
      </c>
      <c r="U88" s="17">
        <f>'Rolling report'!CN88*'No Action'!$Y$6</f>
        <v>4.84</v>
      </c>
      <c r="V88" s="17">
        <f>'Rolling report'!CO88*'No Action'!$Y$6</f>
        <v>0</v>
      </c>
      <c r="W88" s="17">
        <f>'Rolling report'!CP88*'No Action'!$Y$6</f>
        <v>0</v>
      </c>
      <c r="X88" s="17">
        <f>'Rolling report'!CQ88*'No Action'!$Y$6</f>
        <v>0</v>
      </c>
      <c r="Y88" s="17">
        <f>'Rolling report'!CR88*'No Action'!$Y$6</f>
        <v>0</v>
      </c>
      <c r="Z88" s="17">
        <f>'Rolling report'!CS88*'No Action'!$Y$6</f>
        <v>0</v>
      </c>
      <c r="AA88" s="17">
        <f>'Rolling report'!CT88*'No Action'!$Y$6</f>
        <v>2.2000000000000002</v>
      </c>
      <c r="AB88" s="17">
        <f>'Rolling report'!CU88*'No Action'!$Y$6</f>
        <v>0</v>
      </c>
      <c r="AC88" s="17">
        <f>'Rolling report'!CV88*'No Action'!$Y$6</f>
        <v>2.2000000000000002</v>
      </c>
      <c r="AD88" s="17">
        <f>'Rolling report'!CW88*'No Action'!$Y$6</f>
        <v>-5.28</v>
      </c>
      <c r="AE88" s="17">
        <f>'Rolling report'!CX88*'No Action'!$Y$6</f>
        <v>0</v>
      </c>
      <c r="AF88" s="17">
        <f>'Rolling report'!CY88*'No Action'!$Y$6</f>
        <v>-18.920000000000002</v>
      </c>
      <c r="AG88" s="17">
        <f>'Rolling report'!CZ88*'No Action'!$Y$6</f>
        <v>0</v>
      </c>
      <c r="AH88" s="17">
        <f>'Rolling report'!DA88*'No Action'!$Y$6</f>
        <v>0</v>
      </c>
      <c r="AI88" s="17">
        <f>'Rolling report'!DB88*'No Action'!$Y$6</f>
        <v>0</v>
      </c>
      <c r="AJ88" s="17">
        <f>'Rolling report'!DC88*'No Action'!$Y$6</f>
        <v>0</v>
      </c>
      <c r="AK88" s="17">
        <f>'Rolling report'!DD88*'No Action'!$Y$6</f>
        <v>0</v>
      </c>
      <c r="AL88" s="17">
        <f>'Rolling report'!DE88*'No Action'!$Y$6</f>
        <v>0</v>
      </c>
      <c r="AM88" s="17">
        <f>'Rolling report'!DF88*'No Action'!$Y$6</f>
        <v>0</v>
      </c>
      <c r="AN88" s="17">
        <f>'Rolling report'!DG88*'No Action'!$Y$6</f>
        <v>0</v>
      </c>
      <c r="AO88" s="17">
        <f>'Rolling report'!DH88*'No Action'!$Y$6</f>
        <v>0</v>
      </c>
      <c r="AQ88" s="45"/>
    </row>
    <row r="89" spans="1:43" x14ac:dyDescent="0.25">
      <c r="A89" s="4" t="s">
        <v>167</v>
      </c>
      <c r="B89" s="6" t="s">
        <v>168</v>
      </c>
      <c r="I89" s="17">
        <f>'Rolling report'!CB89*'No Action'!$Y$6</f>
        <v>62.48</v>
      </c>
      <c r="J89" s="17">
        <f>'Rolling report'!CC89*'No Action'!$Y$6</f>
        <v>7.48</v>
      </c>
      <c r="K89" s="17">
        <f>'Rolling report'!CD89*'No Action'!$Y$6</f>
        <v>3.96</v>
      </c>
      <c r="L89" s="17">
        <f>'Rolling report'!CE89*'No Action'!$Y$6</f>
        <v>10.56</v>
      </c>
      <c r="M89" s="17">
        <f>'Rolling report'!CF89*'No Action'!$Y$6</f>
        <v>4.84</v>
      </c>
      <c r="N89" s="17">
        <f>'Rolling report'!CG89*'No Action'!$Y$6</f>
        <v>2.64</v>
      </c>
      <c r="O89" s="17">
        <f>'Rolling report'!CH89*'No Action'!$Y$6</f>
        <v>5.72</v>
      </c>
      <c r="P89" s="17">
        <f>'Rolling report'!CI89*'No Action'!$Y$6</f>
        <v>4.4000000000000004</v>
      </c>
      <c r="Q89" s="17">
        <f>'Rolling report'!CJ89*'No Action'!$Y$6</f>
        <v>4.84</v>
      </c>
      <c r="R89" s="17">
        <f>'Rolling report'!CK89*'No Action'!$Y$6</f>
        <v>0.44</v>
      </c>
      <c r="S89" s="17">
        <f>'Rolling report'!CL89*'No Action'!$Y$6</f>
        <v>1.76</v>
      </c>
      <c r="T89" s="17">
        <f>'Rolling report'!CM89*'No Action'!$Y$6</f>
        <v>3.52</v>
      </c>
      <c r="U89" s="17">
        <f>'Rolling report'!CN89*'No Action'!$Y$6</f>
        <v>6.6</v>
      </c>
      <c r="V89" s="17">
        <f>'Rolling report'!CO89*'No Action'!$Y$6</f>
        <v>2.2000000000000002</v>
      </c>
      <c r="W89" s="17">
        <f>'Rolling report'!CP89*'No Action'!$Y$6</f>
        <v>4.4000000000000004</v>
      </c>
      <c r="X89" s="17">
        <f>'Rolling report'!CQ89*'No Action'!$Y$6</f>
        <v>4.4000000000000004</v>
      </c>
      <c r="Y89" s="17">
        <f>'Rolling report'!CR89*'No Action'!$Y$6</f>
        <v>0.44</v>
      </c>
      <c r="Z89" s="17">
        <f>'Rolling report'!CS89*'No Action'!$Y$6</f>
        <v>1.76</v>
      </c>
      <c r="AA89" s="17">
        <f>'Rolling report'!CT89*'No Action'!$Y$6</f>
        <v>6.16</v>
      </c>
      <c r="AB89" s="17">
        <f>'Rolling report'!CU89*'No Action'!$Y$6</f>
        <v>0.44</v>
      </c>
      <c r="AC89" s="17">
        <f>'Rolling report'!CV89*'No Action'!$Y$6</f>
        <v>2.64</v>
      </c>
      <c r="AD89" s="17">
        <f>'Rolling report'!CW89*'No Action'!$Y$6</f>
        <v>-0.44</v>
      </c>
      <c r="AE89" s="17">
        <f>'Rolling report'!CX89*'No Action'!$Y$6</f>
        <v>0.44</v>
      </c>
      <c r="AF89" s="17">
        <f>'Rolling report'!CY89*'No Action'!$Y$6</f>
        <v>-141.68</v>
      </c>
      <c r="AG89" s="17">
        <f>'Rolling report'!CZ89*'No Action'!$Y$6</f>
        <v>0</v>
      </c>
      <c r="AH89" s="17">
        <f>'Rolling report'!DA89*'No Action'!$Y$6</f>
        <v>0</v>
      </c>
      <c r="AI89" s="17">
        <f>'Rolling report'!DB89*'No Action'!$Y$6</f>
        <v>0</v>
      </c>
      <c r="AJ89" s="17">
        <f>'Rolling report'!DC89*'No Action'!$Y$6</f>
        <v>0</v>
      </c>
      <c r="AK89" s="17">
        <f>'Rolling report'!DD89*'No Action'!$Y$6</f>
        <v>0</v>
      </c>
      <c r="AL89" s="17">
        <f>'Rolling report'!DE89*'No Action'!$Y$6</f>
        <v>0</v>
      </c>
      <c r="AM89" s="17">
        <f>'Rolling report'!DF89*'No Action'!$Y$6</f>
        <v>0</v>
      </c>
      <c r="AN89" s="17">
        <f>'Rolling report'!DG89*'No Action'!$Y$6</f>
        <v>0</v>
      </c>
      <c r="AO89" s="17">
        <f>'Rolling report'!DH89*'No Action'!$Y$6</f>
        <v>0</v>
      </c>
      <c r="AQ89" s="45"/>
    </row>
    <row r="90" spans="1:43" x14ac:dyDescent="0.25">
      <c r="A90" s="4" t="s">
        <v>169</v>
      </c>
      <c r="B90" s="6" t="s">
        <v>170</v>
      </c>
      <c r="I90" s="17">
        <f>'Rolling report'!CB90*'No Action'!$Y$6</f>
        <v>30.36</v>
      </c>
      <c r="J90" s="17">
        <f>'Rolling report'!CC90*'No Action'!$Y$6</f>
        <v>4.84</v>
      </c>
      <c r="K90" s="17">
        <f>'Rolling report'!CD90*'No Action'!$Y$6</f>
        <v>2.64</v>
      </c>
      <c r="L90" s="17">
        <f>'Rolling report'!CE90*'No Action'!$Y$6</f>
        <v>5.28</v>
      </c>
      <c r="M90" s="17">
        <f>'Rolling report'!CF90*'No Action'!$Y$6</f>
        <v>2.64</v>
      </c>
      <c r="N90" s="17">
        <f>'Rolling report'!CG90*'No Action'!$Y$6</f>
        <v>13.64</v>
      </c>
      <c r="O90" s="17">
        <f>'Rolling report'!CH90*'No Action'!$Y$6</f>
        <v>5.72</v>
      </c>
      <c r="P90" s="17">
        <f>'Rolling report'!CI90*'No Action'!$Y$6</f>
        <v>0.44</v>
      </c>
      <c r="Q90" s="17">
        <f>'Rolling report'!CJ90*'No Action'!$Y$6</f>
        <v>3.96</v>
      </c>
      <c r="R90" s="17">
        <f>'Rolling report'!CK90*'No Action'!$Y$6</f>
        <v>3.52</v>
      </c>
      <c r="S90" s="17">
        <f>'Rolling report'!CL90*'No Action'!$Y$6</f>
        <v>2.64</v>
      </c>
      <c r="T90" s="17">
        <f>'Rolling report'!CM90*'No Action'!$Y$6</f>
        <v>3.52</v>
      </c>
      <c r="U90" s="17">
        <f>'Rolling report'!CN90*'No Action'!$Y$6</f>
        <v>1.32</v>
      </c>
      <c r="V90" s="17">
        <f>'Rolling report'!CO90*'No Action'!$Y$6</f>
        <v>1.32</v>
      </c>
      <c r="W90" s="17">
        <f>'Rolling report'!CP90*'No Action'!$Y$6</f>
        <v>2.64</v>
      </c>
      <c r="X90" s="17">
        <f>'Rolling report'!CQ90*'No Action'!$Y$6</f>
        <v>1.32</v>
      </c>
      <c r="Y90" s="17">
        <f>'Rolling report'!CR90*'No Action'!$Y$6</f>
        <v>0.88</v>
      </c>
      <c r="Z90" s="17">
        <f>'Rolling report'!CS90*'No Action'!$Y$6</f>
        <v>3.08</v>
      </c>
      <c r="AA90" s="17">
        <f>'Rolling report'!CT90*'No Action'!$Y$6</f>
        <v>3.08</v>
      </c>
      <c r="AB90" s="17">
        <f>'Rolling report'!CU90*'No Action'!$Y$6</f>
        <v>3.08</v>
      </c>
      <c r="AC90" s="17">
        <f>'Rolling report'!CV90*'No Action'!$Y$6</f>
        <v>-1.32</v>
      </c>
      <c r="AD90" s="17">
        <f>'Rolling report'!CW90*'No Action'!$Y$6</f>
        <v>4.4000000000000004</v>
      </c>
      <c r="AE90" s="17">
        <f>'Rolling report'!CX90*'No Action'!$Y$6</f>
        <v>1.32</v>
      </c>
      <c r="AF90" s="17">
        <f>'Rolling report'!CY90*'No Action'!$Y$6</f>
        <v>-100.32000000000001</v>
      </c>
      <c r="AG90" s="17">
        <f>'Rolling report'!CZ90*'No Action'!$Y$6</f>
        <v>0</v>
      </c>
      <c r="AH90" s="17">
        <f>'Rolling report'!DA90*'No Action'!$Y$6</f>
        <v>0</v>
      </c>
      <c r="AI90" s="17">
        <f>'Rolling report'!DB90*'No Action'!$Y$6</f>
        <v>0</v>
      </c>
      <c r="AJ90" s="17">
        <f>'Rolling report'!DC90*'No Action'!$Y$6</f>
        <v>0</v>
      </c>
      <c r="AK90" s="17">
        <f>'Rolling report'!DD90*'No Action'!$Y$6</f>
        <v>0</v>
      </c>
      <c r="AL90" s="17">
        <f>'Rolling report'!DE90*'No Action'!$Y$6</f>
        <v>0</v>
      </c>
      <c r="AM90" s="17">
        <f>'Rolling report'!DF90*'No Action'!$Y$6</f>
        <v>0</v>
      </c>
      <c r="AN90" s="17">
        <f>'Rolling report'!DG90*'No Action'!$Y$6</f>
        <v>0</v>
      </c>
      <c r="AO90" s="17">
        <f>'Rolling report'!DH90*'No Action'!$Y$6</f>
        <v>0</v>
      </c>
      <c r="AQ90" s="45"/>
    </row>
    <row r="91" spans="1:43" x14ac:dyDescent="0.25">
      <c r="A91" s="4" t="s">
        <v>171</v>
      </c>
      <c r="B91" s="6" t="s">
        <v>172</v>
      </c>
      <c r="I91" s="17">
        <f>'Rolling report'!CB91*'No Action'!$Y$6</f>
        <v>36.520000000000003</v>
      </c>
      <c r="J91" s="17">
        <f>'Rolling report'!CC91*'No Action'!$Y$6</f>
        <v>4.4000000000000004</v>
      </c>
      <c r="K91" s="17">
        <f>'Rolling report'!CD91*'No Action'!$Y$6</f>
        <v>7.48</v>
      </c>
      <c r="L91" s="17">
        <f>'Rolling report'!CE91*'No Action'!$Y$6</f>
        <v>9.68</v>
      </c>
      <c r="M91" s="17">
        <f>'Rolling report'!CF91*'No Action'!$Y$6</f>
        <v>2.2000000000000002</v>
      </c>
      <c r="N91" s="17">
        <f>'Rolling report'!CG91*'No Action'!$Y$6</f>
        <v>3.08</v>
      </c>
      <c r="O91" s="17">
        <f>'Rolling report'!CH91*'No Action'!$Y$6</f>
        <v>8.8000000000000007</v>
      </c>
      <c r="P91" s="17">
        <f>'Rolling report'!CI91*'No Action'!$Y$6</f>
        <v>5.72</v>
      </c>
      <c r="Q91" s="17">
        <f>'Rolling report'!CJ91*'No Action'!$Y$6</f>
        <v>6.16</v>
      </c>
      <c r="R91" s="17">
        <f>'Rolling report'!CK91*'No Action'!$Y$6</f>
        <v>3.08</v>
      </c>
      <c r="S91" s="17">
        <f>'Rolling report'!CL91*'No Action'!$Y$6</f>
        <v>1.76</v>
      </c>
      <c r="T91" s="17">
        <f>'Rolling report'!CM91*'No Action'!$Y$6</f>
        <v>7.04</v>
      </c>
      <c r="U91" s="17">
        <f>'Rolling report'!CN91*'No Action'!$Y$6</f>
        <v>2.64</v>
      </c>
      <c r="V91" s="17">
        <f>'Rolling report'!CO91*'No Action'!$Y$6</f>
        <v>3.52</v>
      </c>
      <c r="W91" s="17">
        <f>'Rolling report'!CP91*'No Action'!$Y$6</f>
        <v>0.88</v>
      </c>
      <c r="X91" s="17">
        <f>'Rolling report'!CQ91*'No Action'!$Y$6</f>
        <v>2.2000000000000002</v>
      </c>
      <c r="Y91" s="17">
        <f>'Rolling report'!CR91*'No Action'!$Y$6</f>
        <v>1.76</v>
      </c>
      <c r="Z91" s="17">
        <f>'Rolling report'!CS91*'No Action'!$Y$6</f>
        <v>2.64</v>
      </c>
      <c r="AA91" s="17">
        <f>'Rolling report'!CT91*'No Action'!$Y$6</f>
        <v>7.92</v>
      </c>
      <c r="AB91" s="17">
        <f>'Rolling report'!CU91*'No Action'!$Y$6</f>
        <v>4.4000000000000004</v>
      </c>
      <c r="AC91" s="17">
        <f>'Rolling report'!CV91*'No Action'!$Y$6</f>
        <v>4.84</v>
      </c>
      <c r="AD91" s="17">
        <f>'Rolling report'!CW91*'No Action'!$Y$6</f>
        <v>0</v>
      </c>
      <c r="AE91" s="17">
        <f>'Rolling report'!CX91*'No Action'!$Y$6</f>
        <v>2.2000000000000002</v>
      </c>
      <c r="AF91" s="17">
        <f>'Rolling report'!CY91*'No Action'!$Y$6</f>
        <v>-128.91999999999999</v>
      </c>
      <c r="AG91" s="17">
        <f>'Rolling report'!CZ91*'No Action'!$Y$6</f>
        <v>0</v>
      </c>
      <c r="AH91" s="17">
        <f>'Rolling report'!DA91*'No Action'!$Y$6</f>
        <v>0</v>
      </c>
      <c r="AI91" s="17">
        <f>'Rolling report'!DB91*'No Action'!$Y$6</f>
        <v>0</v>
      </c>
      <c r="AJ91" s="17">
        <f>'Rolling report'!DC91*'No Action'!$Y$6</f>
        <v>0</v>
      </c>
      <c r="AK91" s="17">
        <f>'Rolling report'!DD91*'No Action'!$Y$6</f>
        <v>0</v>
      </c>
      <c r="AL91" s="17">
        <f>'Rolling report'!DE91*'No Action'!$Y$6</f>
        <v>0</v>
      </c>
      <c r="AM91" s="17">
        <f>'Rolling report'!DF91*'No Action'!$Y$6</f>
        <v>0</v>
      </c>
      <c r="AN91" s="17">
        <f>'Rolling report'!DG91*'No Action'!$Y$6</f>
        <v>0</v>
      </c>
      <c r="AO91" s="17">
        <f>'Rolling report'!DH91*'No Action'!$Y$6</f>
        <v>0</v>
      </c>
      <c r="AQ91" s="45"/>
    </row>
    <row r="92" spans="1:43" x14ac:dyDescent="0.25">
      <c r="A92" s="4" t="s">
        <v>173</v>
      </c>
      <c r="B92" s="6" t="s">
        <v>174</v>
      </c>
      <c r="I92" s="17">
        <f>'Rolling report'!CB92*'No Action'!$Y$6</f>
        <v>183.04</v>
      </c>
      <c r="J92" s="17">
        <f>'Rolling report'!CC92*'No Action'!$Y$6</f>
        <v>30.36</v>
      </c>
      <c r="K92" s="17">
        <f>'Rolling report'!CD92*'No Action'!$Y$6</f>
        <v>32.119999999999997</v>
      </c>
      <c r="L92" s="17">
        <f>'Rolling report'!CE92*'No Action'!$Y$6</f>
        <v>35.64</v>
      </c>
      <c r="M92" s="17">
        <f>'Rolling report'!CF92*'No Action'!$Y$6</f>
        <v>17.600000000000001</v>
      </c>
      <c r="N92" s="17">
        <f>'Rolling report'!CG92*'No Action'!$Y$6</f>
        <v>24.2</v>
      </c>
      <c r="O92" s="17">
        <f>'Rolling report'!CH92*'No Action'!$Y$6</f>
        <v>25.52</v>
      </c>
      <c r="P92" s="17">
        <f>'Rolling report'!CI92*'No Action'!$Y$6</f>
        <v>15.4</v>
      </c>
      <c r="Q92" s="17">
        <f>'Rolling report'!CJ92*'No Action'!$Y$6</f>
        <v>14.08</v>
      </c>
      <c r="R92" s="17">
        <f>'Rolling report'!CK92*'No Action'!$Y$6</f>
        <v>11.44</v>
      </c>
      <c r="S92" s="17">
        <f>'Rolling report'!CL92*'No Action'!$Y$6</f>
        <v>8.36</v>
      </c>
      <c r="T92" s="17">
        <f>'Rolling report'!CM92*'No Action'!$Y$6</f>
        <v>17.600000000000001</v>
      </c>
      <c r="U92" s="17">
        <f>'Rolling report'!CN92*'No Action'!$Y$6</f>
        <v>18.04</v>
      </c>
      <c r="V92" s="17">
        <f>'Rolling report'!CO92*'No Action'!$Y$6</f>
        <v>21.56</v>
      </c>
      <c r="W92" s="17">
        <f>'Rolling report'!CP92*'No Action'!$Y$6</f>
        <v>11</v>
      </c>
      <c r="X92" s="17">
        <f>'Rolling report'!CQ92*'No Action'!$Y$6</f>
        <v>9.24</v>
      </c>
      <c r="Y92" s="17">
        <f>'Rolling report'!CR92*'No Action'!$Y$6</f>
        <v>12.76</v>
      </c>
      <c r="Z92" s="17">
        <f>'Rolling report'!CS92*'No Action'!$Y$6</f>
        <v>8.8000000000000007</v>
      </c>
      <c r="AA92" s="17">
        <f>'Rolling report'!CT92*'No Action'!$Y$6</f>
        <v>6.16</v>
      </c>
      <c r="AB92" s="17">
        <f>'Rolling report'!CU92*'No Action'!$Y$6</f>
        <v>7.92</v>
      </c>
      <c r="AC92" s="17">
        <f>'Rolling report'!CV92*'No Action'!$Y$6</f>
        <v>13.2</v>
      </c>
      <c r="AD92" s="17">
        <f>'Rolling report'!CW92*'No Action'!$Y$6</f>
        <v>1.76</v>
      </c>
      <c r="AE92" s="17">
        <f>'Rolling report'!CX92*'No Action'!$Y$6</f>
        <v>3.52</v>
      </c>
      <c r="AF92" s="17">
        <f>'Rolling report'!CY92*'No Action'!$Y$6</f>
        <v>-529.32000000000005</v>
      </c>
      <c r="AG92" s="17">
        <f>'Rolling report'!CZ92*'No Action'!$Y$6</f>
        <v>0</v>
      </c>
      <c r="AH92" s="17">
        <f>'Rolling report'!DA92*'No Action'!$Y$6</f>
        <v>0</v>
      </c>
      <c r="AI92" s="17">
        <f>'Rolling report'!DB92*'No Action'!$Y$6</f>
        <v>0</v>
      </c>
      <c r="AJ92" s="17">
        <f>'Rolling report'!DC92*'No Action'!$Y$6</f>
        <v>0</v>
      </c>
      <c r="AK92" s="17">
        <f>'Rolling report'!DD92*'No Action'!$Y$6</f>
        <v>0</v>
      </c>
      <c r="AL92" s="17">
        <f>'Rolling report'!DE92*'No Action'!$Y$6</f>
        <v>0</v>
      </c>
      <c r="AM92" s="17">
        <f>'Rolling report'!DF92*'No Action'!$Y$6</f>
        <v>0</v>
      </c>
      <c r="AN92" s="17">
        <f>'Rolling report'!DG92*'No Action'!$Y$6</f>
        <v>0</v>
      </c>
      <c r="AO92" s="17">
        <f>'Rolling report'!DH92*'No Action'!$Y$6</f>
        <v>0</v>
      </c>
      <c r="AQ92" s="45"/>
    </row>
    <row r="93" spans="1:43" x14ac:dyDescent="0.25">
      <c r="A93" s="4" t="s">
        <v>175</v>
      </c>
      <c r="B93" s="6" t="s">
        <v>176</v>
      </c>
      <c r="I93" s="17">
        <f>'Rolling report'!CB93*'No Action'!$Y$6</f>
        <v>11.44</v>
      </c>
      <c r="J93" s="17">
        <f>'Rolling report'!CC93*'No Action'!$Y$6</f>
        <v>1.32</v>
      </c>
      <c r="K93" s="17">
        <f>'Rolling report'!CD93*'No Action'!$Y$6</f>
        <v>1.76</v>
      </c>
      <c r="L93" s="17">
        <f>'Rolling report'!CE93*'No Action'!$Y$6</f>
        <v>1.32</v>
      </c>
      <c r="M93" s="17">
        <f>'Rolling report'!CF93*'No Action'!$Y$6</f>
        <v>0.88</v>
      </c>
      <c r="N93" s="17">
        <f>'Rolling report'!CG93*'No Action'!$Y$6</f>
        <v>0.88</v>
      </c>
      <c r="O93" s="17">
        <f>'Rolling report'!CH93*'No Action'!$Y$6</f>
        <v>0.88</v>
      </c>
      <c r="P93" s="17">
        <f>'Rolling report'!CI93*'No Action'!$Y$6</f>
        <v>0.44</v>
      </c>
      <c r="Q93" s="17">
        <f>'Rolling report'!CJ93*'No Action'!$Y$6</f>
        <v>0</v>
      </c>
      <c r="R93" s="17">
        <f>'Rolling report'!CK93*'No Action'!$Y$6</f>
        <v>0</v>
      </c>
      <c r="S93" s="17">
        <f>'Rolling report'!CL93*'No Action'!$Y$6</f>
        <v>1.32</v>
      </c>
      <c r="T93" s="17">
        <f>'Rolling report'!CM93*'No Action'!$Y$6</f>
        <v>1.32</v>
      </c>
      <c r="U93" s="17">
        <f>'Rolling report'!CN93*'No Action'!$Y$6</f>
        <v>0.44</v>
      </c>
      <c r="V93" s="17">
        <f>'Rolling report'!CO93*'No Action'!$Y$6</f>
        <v>0.44</v>
      </c>
      <c r="W93" s="17">
        <f>'Rolling report'!CP93*'No Action'!$Y$6</f>
        <v>0.88</v>
      </c>
      <c r="X93" s="17">
        <f>'Rolling report'!CQ93*'No Action'!$Y$6</f>
        <v>2.2000000000000002</v>
      </c>
      <c r="Y93" s="17">
        <f>'Rolling report'!CR93*'No Action'!$Y$6</f>
        <v>1.32</v>
      </c>
      <c r="Z93" s="17">
        <f>'Rolling report'!CS93*'No Action'!$Y$6</f>
        <v>0.88</v>
      </c>
      <c r="AA93" s="17">
        <f>'Rolling report'!CT93*'No Action'!$Y$6</f>
        <v>0</v>
      </c>
      <c r="AB93" s="17">
        <f>'Rolling report'!CU93*'No Action'!$Y$6</f>
        <v>2.2000000000000002</v>
      </c>
      <c r="AC93" s="17">
        <f>'Rolling report'!CV93*'No Action'!$Y$6</f>
        <v>1.76</v>
      </c>
      <c r="AD93" s="17">
        <f>'Rolling report'!CW93*'No Action'!$Y$6</f>
        <v>0</v>
      </c>
      <c r="AE93" s="17">
        <f>'Rolling report'!CX93*'No Action'!$Y$6</f>
        <v>2.2000000000000002</v>
      </c>
      <c r="AF93" s="17">
        <f>'Rolling report'!CY93*'No Action'!$Y$6</f>
        <v>-33.880000000000003</v>
      </c>
      <c r="AG93" s="17">
        <f>'Rolling report'!CZ93*'No Action'!$Y$6</f>
        <v>0</v>
      </c>
      <c r="AH93" s="17">
        <f>'Rolling report'!DA93*'No Action'!$Y$6</f>
        <v>0</v>
      </c>
      <c r="AI93" s="17">
        <f>'Rolling report'!DB93*'No Action'!$Y$6</f>
        <v>0</v>
      </c>
      <c r="AJ93" s="17">
        <f>'Rolling report'!DC93*'No Action'!$Y$6</f>
        <v>0</v>
      </c>
      <c r="AK93" s="17">
        <f>'Rolling report'!DD93*'No Action'!$Y$6</f>
        <v>0</v>
      </c>
      <c r="AL93" s="17">
        <f>'Rolling report'!DE93*'No Action'!$Y$6</f>
        <v>0</v>
      </c>
      <c r="AM93" s="17">
        <f>'Rolling report'!DF93*'No Action'!$Y$6</f>
        <v>0</v>
      </c>
      <c r="AN93" s="17">
        <f>'Rolling report'!DG93*'No Action'!$Y$6</f>
        <v>0</v>
      </c>
      <c r="AO93" s="17">
        <f>'Rolling report'!DH93*'No Action'!$Y$6</f>
        <v>0</v>
      </c>
      <c r="AQ93" s="45"/>
    </row>
    <row r="94" spans="1:43" x14ac:dyDescent="0.25">
      <c r="A94" s="4" t="s">
        <v>177</v>
      </c>
      <c r="B94" s="6" t="s">
        <v>178</v>
      </c>
      <c r="I94" s="17">
        <f>'Rolling report'!CB94*'No Action'!$Y$6</f>
        <v>23.76</v>
      </c>
      <c r="J94" s="17">
        <f>'Rolling report'!CC94*'No Action'!$Y$6</f>
        <v>1.32</v>
      </c>
      <c r="K94" s="17">
        <f>'Rolling report'!CD94*'No Action'!$Y$6</f>
        <v>2.64</v>
      </c>
      <c r="L94" s="17">
        <f>'Rolling report'!CE94*'No Action'!$Y$6</f>
        <v>2.64</v>
      </c>
      <c r="M94" s="17">
        <f>'Rolling report'!CF94*'No Action'!$Y$6</f>
        <v>5.28</v>
      </c>
      <c r="N94" s="17">
        <f>'Rolling report'!CG94*'No Action'!$Y$6</f>
        <v>11.44</v>
      </c>
      <c r="O94" s="17">
        <f>'Rolling report'!CH94*'No Action'!$Y$6</f>
        <v>3.52</v>
      </c>
      <c r="P94" s="17">
        <f>'Rolling report'!CI94*'No Action'!$Y$6</f>
        <v>0</v>
      </c>
      <c r="Q94" s="17">
        <f>'Rolling report'!CJ94*'No Action'!$Y$6</f>
        <v>1.76</v>
      </c>
      <c r="R94" s="17">
        <f>'Rolling report'!CK94*'No Action'!$Y$6</f>
        <v>5.72</v>
      </c>
      <c r="S94" s="17">
        <f>'Rolling report'!CL94*'No Action'!$Y$6</f>
        <v>0</v>
      </c>
      <c r="T94" s="17">
        <f>'Rolling report'!CM94*'No Action'!$Y$6</f>
        <v>3.08</v>
      </c>
      <c r="U94" s="17">
        <f>'Rolling report'!CN94*'No Action'!$Y$6</f>
        <v>3.96</v>
      </c>
      <c r="V94" s="17">
        <f>'Rolling report'!CO94*'No Action'!$Y$6</f>
        <v>1.76</v>
      </c>
      <c r="W94" s="17">
        <f>'Rolling report'!CP94*'No Action'!$Y$6</f>
        <v>0.88</v>
      </c>
      <c r="X94" s="17">
        <f>'Rolling report'!CQ94*'No Action'!$Y$6</f>
        <v>2.2000000000000002</v>
      </c>
      <c r="Y94" s="17">
        <f>'Rolling report'!CR94*'No Action'!$Y$6</f>
        <v>0</v>
      </c>
      <c r="Z94" s="17">
        <f>'Rolling report'!CS94*'No Action'!$Y$6</f>
        <v>0</v>
      </c>
      <c r="AA94" s="17">
        <f>'Rolling report'!CT94*'No Action'!$Y$6</f>
        <v>0.44</v>
      </c>
      <c r="AB94" s="17">
        <f>'Rolling report'!CU94*'No Action'!$Y$6</f>
        <v>1.76</v>
      </c>
      <c r="AC94" s="17">
        <f>'Rolling report'!CV94*'No Action'!$Y$6</f>
        <v>3.96</v>
      </c>
      <c r="AD94" s="17">
        <f>'Rolling report'!CW94*'No Action'!$Y$6</f>
        <v>-1.32</v>
      </c>
      <c r="AE94" s="17">
        <f>'Rolling report'!CX94*'No Action'!$Y$6</f>
        <v>0.44</v>
      </c>
      <c r="AF94" s="17">
        <f>'Rolling report'!CY94*'No Action'!$Y$6</f>
        <v>-75.239999999999995</v>
      </c>
      <c r="AG94" s="17">
        <f>'Rolling report'!CZ94*'No Action'!$Y$6</f>
        <v>0</v>
      </c>
      <c r="AH94" s="17">
        <f>'Rolling report'!DA94*'No Action'!$Y$6</f>
        <v>0</v>
      </c>
      <c r="AI94" s="17">
        <f>'Rolling report'!DB94*'No Action'!$Y$6</f>
        <v>0</v>
      </c>
      <c r="AJ94" s="17">
        <f>'Rolling report'!DC94*'No Action'!$Y$6</f>
        <v>0</v>
      </c>
      <c r="AK94" s="17">
        <f>'Rolling report'!DD94*'No Action'!$Y$6</f>
        <v>0</v>
      </c>
      <c r="AL94" s="17">
        <f>'Rolling report'!DE94*'No Action'!$Y$6</f>
        <v>0</v>
      </c>
      <c r="AM94" s="17">
        <f>'Rolling report'!DF94*'No Action'!$Y$6</f>
        <v>0</v>
      </c>
      <c r="AN94" s="17">
        <f>'Rolling report'!DG94*'No Action'!$Y$6</f>
        <v>0</v>
      </c>
      <c r="AO94" s="17">
        <f>'Rolling report'!DH94*'No Action'!$Y$6</f>
        <v>0</v>
      </c>
      <c r="AQ94" s="45"/>
    </row>
    <row r="95" spans="1:43" x14ac:dyDescent="0.25">
      <c r="A95" s="4" t="s">
        <v>179</v>
      </c>
      <c r="B95" s="6" t="s">
        <v>180</v>
      </c>
      <c r="I95" s="17">
        <f>'Rolling report'!CB95*'No Action'!$Y$6</f>
        <v>77.44</v>
      </c>
      <c r="J95" s="17">
        <f>'Rolling report'!CC95*'No Action'!$Y$6</f>
        <v>16.72</v>
      </c>
      <c r="K95" s="17">
        <f>'Rolling report'!CD95*'No Action'!$Y$6</f>
        <v>7.04</v>
      </c>
      <c r="L95" s="17">
        <f>'Rolling report'!CE95*'No Action'!$Y$6</f>
        <v>7.92</v>
      </c>
      <c r="M95" s="17">
        <f>'Rolling report'!CF95*'No Action'!$Y$6</f>
        <v>6.6</v>
      </c>
      <c r="N95" s="17">
        <f>'Rolling report'!CG95*'No Action'!$Y$6</f>
        <v>3.96</v>
      </c>
      <c r="O95" s="17">
        <f>'Rolling report'!CH95*'No Action'!$Y$6</f>
        <v>8.8000000000000007</v>
      </c>
      <c r="P95" s="17">
        <f>'Rolling report'!CI95*'No Action'!$Y$6</f>
        <v>5.72</v>
      </c>
      <c r="Q95" s="17">
        <f>'Rolling report'!CJ95*'No Action'!$Y$6</f>
        <v>8.36</v>
      </c>
      <c r="R95" s="17">
        <f>'Rolling report'!CK95*'No Action'!$Y$6</f>
        <v>4.84</v>
      </c>
      <c r="S95" s="17">
        <f>'Rolling report'!CL95*'No Action'!$Y$6</f>
        <v>7.04</v>
      </c>
      <c r="T95" s="17">
        <f>'Rolling report'!CM95*'No Action'!$Y$6</f>
        <v>6.6</v>
      </c>
      <c r="U95" s="17">
        <f>'Rolling report'!CN95*'No Action'!$Y$6</f>
        <v>3.96</v>
      </c>
      <c r="V95" s="17">
        <f>'Rolling report'!CO95*'No Action'!$Y$6</f>
        <v>2.64</v>
      </c>
      <c r="W95" s="17">
        <f>'Rolling report'!CP95*'No Action'!$Y$6</f>
        <v>2.64</v>
      </c>
      <c r="X95" s="17">
        <f>'Rolling report'!CQ95*'No Action'!$Y$6</f>
        <v>0.88</v>
      </c>
      <c r="Y95" s="17">
        <f>'Rolling report'!CR95*'No Action'!$Y$6</f>
        <v>1.76</v>
      </c>
      <c r="Z95" s="17">
        <f>'Rolling report'!CS95*'No Action'!$Y$6</f>
        <v>5.28</v>
      </c>
      <c r="AA95" s="17">
        <f>'Rolling report'!CT95*'No Action'!$Y$6</f>
        <v>2.2000000000000002</v>
      </c>
      <c r="AB95" s="17">
        <f>'Rolling report'!CU95*'No Action'!$Y$6</f>
        <v>2.64</v>
      </c>
      <c r="AC95" s="17">
        <f>'Rolling report'!CV95*'No Action'!$Y$6</f>
        <v>5.28</v>
      </c>
      <c r="AD95" s="17">
        <f>'Rolling report'!CW95*'No Action'!$Y$6</f>
        <v>-0.44</v>
      </c>
      <c r="AE95" s="17">
        <f>'Rolling report'!CX95*'No Action'!$Y$6</f>
        <v>3.96</v>
      </c>
      <c r="AF95" s="17">
        <f>'Rolling report'!CY95*'No Action'!$Y$6</f>
        <v>-191.84</v>
      </c>
      <c r="AG95" s="17">
        <f>'Rolling report'!CZ95*'No Action'!$Y$6</f>
        <v>0</v>
      </c>
      <c r="AH95" s="17">
        <f>'Rolling report'!DA95*'No Action'!$Y$6</f>
        <v>0</v>
      </c>
      <c r="AI95" s="17">
        <f>'Rolling report'!DB95*'No Action'!$Y$6</f>
        <v>0</v>
      </c>
      <c r="AJ95" s="17">
        <f>'Rolling report'!DC95*'No Action'!$Y$6</f>
        <v>0</v>
      </c>
      <c r="AK95" s="17">
        <f>'Rolling report'!DD95*'No Action'!$Y$6</f>
        <v>0</v>
      </c>
      <c r="AL95" s="17">
        <f>'Rolling report'!DE95*'No Action'!$Y$6</f>
        <v>0</v>
      </c>
      <c r="AM95" s="17">
        <f>'Rolling report'!DF95*'No Action'!$Y$6</f>
        <v>0</v>
      </c>
      <c r="AN95" s="17">
        <f>'Rolling report'!DG95*'No Action'!$Y$6</f>
        <v>0</v>
      </c>
      <c r="AO95" s="17">
        <f>'Rolling report'!DH95*'No Action'!$Y$6</f>
        <v>0</v>
      </c>
      <c r="AQ95" s="45"/>
    </row>
    <row r="96" spans="1:43" x14ac:dyDescent="0.25">
      <c r="A96" s="4" t="s">
        <v>181</v>
      </c>
      <c r="B96" s="6" t="s">
        <v>182</v>
      </c>
      <c r="I96" s="17">
        <f>'Rolling report'!CB96*'No Action'!$Y$6</f>
        <v>58.96</v>
      </c>
      <c r="J96" s="17">
        <f>'Rolling report'!CC96*'No Action'!$Y$6</f>
        <v>14.08</v>
      </c>
      <c r="K96" s="17">
        <f>'Rolling report'!CD96*'No Action'!$Y$6</f>
        <v>9.24</v>
      </c>
      <c r="L96" s="17">
        <f>'Rolling report'!CE96*'No Action'!$Y$6</f>
        <v>17.16</v>
      </c>
      <c r="M96" s="17">
        <f>'Rolling report'!CF96*'No Action'!$Y$6</f>
        <v>5.28</v>
      </c>
      <c r="N96" s="17">
        <f>'Rolling report'!CG96*'No Action'!$Y$6</f>
        <v>0</v>
      </c>
      <c r="O96" s="17">
        <f>'Rolling report'!CH96*'No Action'!$Y$6</f>
        <v>20.239999999999998</v>
      </c>
      <c r="P96" s="17">
        <f>'Rolling report'!CI96*'No Action'!$Y$6</f>
        <v>8.36</v>
      </c>
      <c r="Q96" s="17">
        <f>'Rolling report'!CJ96*'No Action'!$Y$6</f>
        <v>8.8000000000000007</v>
      </c>
      <c r="R96" s="17">
        <f>'Rolling report'!CK96*'No Action'!$Y$6</f>
        <v>6.16</v>
      </c>
      <c r="S96" s="17">
        <f>'Rolling report'!CL96*'No Action'!$Y$6</f>
        <v>1.32</v>
      </c>
      <c r="T96" s="17">
        <f>'Rolling report'!CM96*'No Action'!$Y$6</f>
        <v>2.2000000000000002</v>
      </c>
      <c r="U96" s="17">
        <f>'Rolling report'!CN96*'No Action'!$Y$6</f>
        <v>9.24</v>
      </c>
      <c r="V96" s="17">
        <f>'Rolling report'!CO96*'No Action'!$Y$6</f>
        <v>3.52</v>
      </c>
      <c r="W96" s="17">
        <f>'Rolling report'!CP96*'No Action'!$Y$6</f>
        <v>5.28</v>
      </c>
      <c r="X96" s="17">
        <f>'Rolling report'!CQ96*'No Action'!$Y$6</f>
        <v>1.76</v>
      </c>
      <c r="Y96" s="17">
        <f>'Rolling report'!CR96*'No Action'!$Y$6</f>
        <v>3.08</v>
      </c>
      <c r="Z96" s="17">
        <f>'Rolling report'!CS96*'No Action'!$Y$6</f>
        <v>0</v>
      </c>
      <c r="AA96" s="17">
        <f>'Rolling report'!CT96*'No Action'!$Y$6</f>
        <v>2.64</v>
      </c>
      <c r="AB96" s="17">
        <f>'Rolling report'!CU96*'No Action'!$Y$6</f>
        <v>5.28</v>
      </c>
      <c r="AC96" s="17">
        <f>'Rolling report'!CV96*'No Action'!$Y$6</f>
        <v>2.64</v>
      </c>
      <c r="AD96" s="17">
        <f>'Rolling report'!CW96*'No Action'!$Y$6</f>
        <v>3.08</v>
      </c>
      <c r="AE96" s="17">
        <f>'Rolling report'!CX96*'No Action'!$Y$6</f>
        <v>5.28</v>
      </c>
      <c r="AF96" s="17">
        <f>'Rolling report'!CY96*'No Action'!$Y$6</f>
        <v>-193.6</v>
      </c>
      <c r="AG96" s="17">
        <f>'Rolling report'!CZ96*'No Action'!$Y$6</f>
        <v>0</v>
      </c>
      <c r="AH96" s="17">
        <f>'Rolling report'!DA96*'No Action'!$Y$6</f>
        <v>0</v>
      </c>
      <c r="AI96" s="17">
        <f>'Rolling report'!DB96*'No Action'!$Y$6</f>
        <v>0</v>
      </c>
      <c r="AJ96" s="17">
        <f>'Rolling report'!DC96*'No Action'!$Y$6</f>
        <v>0</v>
      </c>
      <c r="AK96" s="17">
        <f>'Rolling report'!DD96*'No Action'!$Y$6</f>
        <v>0</v>
      </c>
      <c r="AL96" s="17">
        <f>'Rolling report'!DE96*'No Action'!$Y$6</f>
        <v>0</v>
      </c>
      <c r="AM96" s="17">
        <f>'Rolling report'!DF96*'No Action'!$Y$6</f>
        <v>0</v>
      </c>
      <c r="AN96" s="17">
        <f>'Rolling report'!DG96*'No Action'!$Y$6</f>
        <v>0</v>
      </c>
      <c r="AO96" s="17">
        <f>'Rolling report'!DH96*'No Action'!$Y$6</f>
        <v>0</v>
      </c>
      <c r="AQ96" s="45"/>
    </row>
    <row r="97" spans="1:43" x14ac:dyDescent="0.25">
      <c r="A97" s="4" t="s">
        <v>183</v>
      </c>
      <c r="B97" s="6" t="s">
        <v>184</v>
      </c>
      <c r="I97" s="17">
        <f>'Rolling report'!CB97*'No Action'!$Y$6</f>
        <v>46.2</v>
      </c>
      <c r="J97" s="17">
        <f>'Rolling report'!CC97*'No Action'!$Y$6</f>
        <v>5.28</v>
      </c>
      <c r="K97" s="17">
        <f>'Rolling report'!CD97*'No Action'!$Y$6</f>
        <v>7.04</v>
      </c>
      <c r="L97" s="17">
        <f>'Rolling report'!CE97*'No Action'!$Y$6</f>
        <v>8.36</v>
      </c>
      <c r="M97" s="17">
        <f>'Rolling report'!CF97*'No Action'!$Y$6</f>
        <v>3.08</v>
      </c>
      <c r="N97" s="17">
        <f>'Rolling report'!CG97*'No Action'!$Y$6</f>
        <v>3.52</v>
      </c>
      <c r="O97" s="17">
        <f>'Rolling report'!CH97*'No Action'!$Y$6</f>
        <v>7.48</v>
      </c>
      <c r="P97" s="17">
        <f>'Rolling report'!CI97*'No Action'!$Y$6</f>
        <v>2.2000000000000002</v>
      </c>
      <c r="Q97" s="17">
        <f>'Rolling report'!CJ97*'No Action'!$Y$6</f>
        <v>3.96</v>
      </c>
      <c r="R97" s="17">
        <f>'Rolling report'!CK97*'No Action'!$Y$6</f>
        <v>0.44</v>
      </c>
      <c r="S97" s="17">
        <f>'Rolling report'!CL97*'No Action'!$Y$6</f>
        <v>1.76</v>
      </c>
      <c r="T97" s="17">
        <f>'Rolling report'!CM97*'No Action'!$Y$6</f>
        <v>4.4000000000000004</v>
      </c>
      <c r="U97" s="17">
        <f>'Rolling report'!CN97*'No Action'!$Y$6</f>
        <v>0.44</v>
      </c>
      <c r="V97" s="17">
        <f>'Rolling report'!CO97*'No Action'!$Y$6</f>
        <v>0.44</v>
      </c>
      <c r="W97" s="17">
        <f>'Rolling report'!CP97*'No Action'!$Y$6</f>
        <v>2.2000000000000002</v>
      </c>
      <c r="X97" s="17">
        <f>'Rolling report'!CQ97*'No Action'!$Y$6</f>
        <v>1.32</v>
      </c>
      <c r="Y97" s="17">
        <f>'Rolling report'!CR97*'No Action'!$Y$6</f>
        <v>1.76</v>
      </c>
      <c r="Z97" s="17">
        <f>'Rolling report'!CS97*'No Action'!$Y$6</f>
        <v>2.64</v>
      </c>
      <c r="AA97" s="17">
        <f>'Rolling report'!CT97*'No Action'!$Y$6</f>
        <v>1.76</v>
      </c>
      <c r="AB97" s="17">
        <f>'Rolling report'!CU97*'No Action'!$Y$6</f>
        <v>1.32</v>
      </c>
      <c r="AC97" s="17">
        <f>'Rolling report'!CV97*'No Action'!$Y$6</f>
        <v>-0.44</v>
      </c>
      <c r="AD97" s="17">
        <f>'Rolling report'!CW97*'No Action'!$Y$6</f>
        <v>3.08</v>
      </c>
      <c r="AE97" s="17">
        <f>'Rolling report'!CX97*'No Action'!$Y$6</f>
        <v>0.44</v>
      </c>
      <c r="AF97" s="17">
        <f>'Rolling report'!CY97*'No Action'!$Y$6</f>
        <v>-108.68</v>
      </c>
      <c r="AG97" s="17">
        <f>'Rolling report'!CZ97*'No Action'!$Y$6</f>
        <v>0</v>
      </c>
      <c r="AH97" s="17">
        <f>'Rolling report'!DA97*'No Action'!$Y$6</f>
        <v>0</v>
      </c>
      <c r="AI97" s="17">
        <f>'Rolling report'!DB97*'No Action'!$Y$6</f>
        <v>0</v>
      </c>
      <c r="AJ97" s="17">
        <f>'Rolling report'!DC97*'No Action'!$Y$6</f>
        <v>0</v>
      </c>
      <c r="AK97" s="17">
        <f>'Rolling report'!DD97*'No Action'!$Y$6</f>
        <v>0</v>
      </c>
      <c r="AL97" s="17">
        <f>'Rolling report'!DE97*'No Action'!$Y$6</f>
        <v>0</v>
      </c>
      <c r="AM97" s="17">
        <f>'Rolling report'!DF97*'No Action'!$Y$6</f>
        <v>0</v>
      </c>
      <c r="AN97" s="17">
        <f>'Rolling report'!DG97*'No Action'!$Y$6</f>
        <v>0</v>
      </c>
      <c r="AO97" s="17">
        <f>'Rolling report'!DH97*'No Action'!$Y$6</f>
        <v>0</v>
      </c>
      <c r="AQ97" s="45"/>
    </row>
    <row r="98" spans="1:43" x14ac:dyDescent="0.25">
      <c r="A98" s="4" t="s">
        <v>185</v>
      </c>
      <c r="B98" s="6" t="s">
        <v>186</v>
      </c>
      <c r="I98" s="17">
        <f>'Rolling report'!CB98*'No Action'!$Y$6</f>
        <v>131.56</v>
      </c>
      <c r="J98" s="17">
        <f>'Rolling report'!CC98*'No Action'!$Y$6</f>
        <v>16.72</v>
      </c>
      <c r="K98" s="17">
        <f>'Rolling report'!CD98*'No Action'!$Y$6</f>
        <v>18.48</v>
      </c>
      <c r="L98" s="17">
        <f>'Rolling report'!CE98*'No Action'!$Y$6</f>
        <v>33.44</v>
      </c>
      <c r="M98" s="17">
        <f>'Rolling report'!CF98*'No Action'!$Y$6</f>
        <v>20.68</v>
      </c>
      <c r="N98" s="17">
        <f>'Rolling report'!CG98*'No Action'!$Y$6</f>
        <v>17.600000000000001</v>
      </c>
      <c r="O98" s="17">
        <f>'Rolling report'!CH98*'No Action'!$Y$6</f>
        <v>31.24</v>
      </c>
      <c r="P98" s="17">
        <f>'Rolling report'!CI98*'No Action'!$Y$6</f>
        <v>11.88</v>
      </c>
      <c r="Q98" s="17">
        <f>'Rolling report'!CJ98*'No Action'!$Y$6</f>
        <v>18.920000000000002</v>
      </c>
      <c r="R98" s="17">
        <f>'Rolling report'!CK98*'No Action'!$Y$6</f>
        <v>19.36</v>
      </c>
      <c r="S98" s="17">
        <f>'Rolling report'!CL98*'No Action'!$Y$6</f>
        <v>5.28</v>
      </c>
      <c r="T98" s="17">
        <f>'Rolling report'!CM98*'No Action'!$Y$6</f>
        <v>22.88</v>
      </c>
      <c r="U98" s="17">
        <f>'Rolling report'!CN98*'No Action'!$Y$6</f>
        <v>14.96</v>
      </c>
      <c r="V98" s="17">
        <f>'Rolling report'!CO98*'No Action'!$Y$6</f>
        <v>10.56</v>
      </c>
      <c r="W98" s="17">
        <f>'Rolling report'!CP98*'No Action'!$Y$6</f>
        <v>7.92</v>
      </c>
      <c r="X98" s="17">
        <f>'Rolling report'!CQ98*'No Action'!$Y$6</f>
        <v>8.8000000000000007</v>
      </c>
      <c r="Y98" s="17">
        <f>'Rolling report'!CR98*'No Action'!$Y$6</f>
        <v>6.6</v>
      </c>
      <c r="Z98" s="17">
        <f>'Rolling report'!CS98*'No Action'!$Y$6</f>
        <v>13.2</v>
      </c>
      <c r="AA98" s="17">
        <f>'Rolling report'!CT98*'No Action'!$Y$6</f>
        <v>5.72</v>
      </c>
      <c r="AB98" s="17">
        <f>'Rolling report'!CU98*'No Action'!$Y$6</f>
        <v>7.48</v>
      </c>
      <c r="AC98" s="17">
        <f>'Rolling report'!CV98*'No Action'!$Y$6</f>
        <v>5.72</v>
      </c>
      <c r="AD98" s="17">
        <f>'Rolling report'!CW98*'No Action'!$Y$6</f>
        <v>10.119999999999999</v>
      </c>
      <c r="AE98" s="17">
        <f>'Rolling report'!CX98*'No Action'!$Y$6</f>
        <v>5.28</v>
      </c>
      <c r="AF98" s="17">
        <f>'Rolling report'!CY98*'No Action'!$Y$6</f>
        <v>-444.4</v>
      </c>
      <c r="AG98" s="17">
        <f>'Rolling report'!CZ98*'No Action'!$Y$6</f>
        <v>0</v>
      </c>
      <c r="AH98" s="17">
        <f>'Rolling report'!DA98*'No Action'!$Y$6</f>
        <v>0</v>
      </c>
      <c r="AI98" s="17">
        <f>'Rolling report'!DB98*'No Action'!$Y$6</f>
        <v>0</v>
      </c>
      <c r="AJ98" s="17">
        <f>'Rolling report'!DC98*'No Action'!$Y$6</f>
        <v>0</v>
      </c>
      <c r="AK98" s="17">
        <f>'Rolling report'!DD98*'No Action'!$Y$6</f>
        <v>0</v>
      </c>
      <c r="AL98" s="17">
        <f>'Rolling report'!DE98*'No Action'!$Y$6</f>
        <v>0</v>
      </c>
      <c r="AM98" s="17">
        <f>'Rolling report'!DF98*'No Action'!$Y$6</f>
        <v>0</v>
      </c>
      <c r="AN98" s="17">
        <f>'Rolling report'!DG98*'No Action'!$Y$6</f>
        <v>0</v>
      </c>
      <c r="AO98" s="17">
        <f>'Rolling report'!DH98*'No Action'!$Y$6</f>
        <v>0</v>
      </c>
      <c r="AQ98" s="45"/>
    </row>
    <row r="99" spans="1:43" x14ac:dyDescent="0.25">
      <c r="A99" s="4" t="s">
        <v>187</v>
      </c>
      <c r="B99" s="6" t="s">
        <v>188</v>
      </c>
      <c r="I99" s="17">
        <f>'Rolling report'!CB99*'No Action'!$Y$6</f>
        <v>47.52</v>
      </c>
      <c r="J99" s="17">
        <f>'Rolling report'!CC99*'No Action'!$Y$6</f>
        <v>14.08</v>
      </c>
      <c r="K99" s="17">
        <f>'Rolling report'!CD99*'No Action'!$Y$6</f>
        <v>3.96</v>
      </c>
      <c r="L99" s="17">
        <f>'Rolling report'!CE99*'No Action'!$Y$6</f>
        <v>22</v>
      </c>
      <c r="M99" s="17">
        <f>'Rolling report'!CF99*'No Action'!$Y$6</f>
        <v>8.8000000000000007</v>
      </c>
      <c r="N99" s="17">
        <f>'Rolling report'!CG99*'No Action'!$Y$6</f>
        <v>4.4000000000000004</v>
      </c>
      <c r="O99" s="17">
        <f>'Rolling report'!CH99*'No Action'!$Y$6</f>
        <v>9.24</v>
      </c>
      <c r="P99" s="17">
        <f>'Rolling report'!CI99*'No Action'!$Y$6</f>
        <v>3.96</v>
      </c>
      <c r="Q99" s="17">
        <f>'Rolling report'!CJ99*'No Action'!$Y$6</f>
        <v>7.48</v>
      </c>
      <c r="R99" s="17">
        <f>'Rolling report'!CK99*'No Action'!$Y$6</f>
        <v>4.4000000000000004</v>
      </c>
      <c r="S99" s="17">
        <f>'Rolling report'!CL99*'No Action'!$Y$6</f>
        <v>8.36</v>
      </c>
      <c r="T99" s="17">
        <f>'Rolling report'!CM99*'No Action'!$Y$6</f>
        <v>7.04</v>
      </c>
      <c r="U99" s="17">
        <f>'Rolling report'!CN99*'No Action'!$Y$6</f>
        <v>7.48</v>
      </c>
      <c r="V99" s="17">
        <f>'Rolling report'!CO99*'No Action'!$Y$6</f>
        <v>5.72</v>
      </c>
      <c r="W99" s="17">
        <f>'Rolling report'!CP99*'No Action'!$Y$6</f>
        <v>6.6</v>
      </c>
      <c r="X99" s="17">
        <f>'Rolling report'!CQ99*'No Action'!$Y$6</f>
        <v>3.08</v>
      </c>
      <c r="Y99" s="17">
        <f>'Rolling report'!CR99*'No Action'!$Y$6</f>
        <v>3.52</v>
      </c>
      <c r="Z99" s="17">
        <f>'Rolling report'!CS99*'No Action'!$Y$6</f>
        <v>11</v>
      </c>
      <c r="AA99" s="17">
        <f>'Rolling report'!CT99*'No Action'!$Y$6</f>
        <v>6.16</v>
      </c>
      <c r="AB99" s="17">
        <f>'Rolling report'!CU99*'No Action'!$Y$6</f>
        <v>5.28</v>
      </c>
      <c r="AC99" s="17">
        <f>'Rolling report'!CV99*'No Action'!$Y$6</f>
        <v>4.84</v>
      </c>
      <c r="AD99" s="17">
        <f>'Rolling report'!CW99*'No Action'!$Y$6</f>
        <v>5.28</v>
      </c>
      <c r="AE99" s="17">
        <f>'Rolling report'!CX99*'No Action'!$Y$6</f>
        <v>1.32</v>
      </c>
      <c r="AF99" s="17">
        <f>'Rolling report'!CY99*'No Action'!$Y$6</f>
        <v>-201.52</v>
      </c>
      <c r="AG99" s="17">
        <f>'Rolling report'!CZ99*'No Action'!$Y$6</f>
        <v>0</v>
      </c>
      <c r="AH99" s="17">
        <f>'Rolling report'!DA99*'No Action'!$Y$6</f>
        <v>0</v>
      </c>
      <c r="AI99" s="17">
        <f>'Rolling report'!DB99*'No Action'!$Y$6</f>
        <v>0</v>
      </c>
      <c r="AJ99" s="17">
        <f>'Rolling report'!DC99*'No Action'!$Y$6</f>
        <v>0</v>
      </c>
      <c r="AK99" s="17">
        <f>'Rolling report'!DD99*'No Action'!$Y$6</f>
        <v>0</v>
      </c>
      <c r="AL99" s="17">
        <f>'Rolling report'!DE99*'No Action'!$Y$6</f>
        <v>0</v>
      </c>
      <c r="AM99" s="17">
        <f>'Rolling report'!DF99*'No Action'!$Y$6</f>
        <v>0</v>
      </c>
      <c r="AN99" s="17">
        <f>'Rolling report'!DG99*'No Action'!$Y$6</f>
        <v>0</v>
      </c>
      <c r="AO99" s="17">
        <f>'Rolling report'!DH99*'No Action'!$Y$6</f>
        <v>0</v>
      </c>
      <c r="AQ99" s="45"/>
    </row>
    <row r="100" spans="1:43" x14ac:dyDescent="0.25">
      <c r="A100" s="4" t="s">
        <v>189</v>
      </c>
      <c r="B100" s="6" t="s">
        <v>190</v>
      </c>
      <c r="I100" s="17">
        <f>'Rolling report'!CB100*'No Action'!$Y$6</f>
        <v>27.28</v>
      </c>
      <c r="J100" s="17">
        <f>'Rolling report'!CC100*'No Action'!$Y$6</f>
        <v>9.68</v>
      </c>
      <c r="K100" s="17">
        <f>'Rolling report'!CD100*'No Action'!$Y$6</f>
        <v>5.28</v>
      </c>
      <c r="L100" s="17">
        <f>'Rolling report'!CE100*'No Action'!$Y$6</f>
        <v>4.4000000000000004</v>
      </c>
      <c r="M100" s="17">
        <f>'Rolling report'!CF100*'No Action'!$Y$6</f>
        <v>3.08</v>
      </c>
      <c r="N100" s="17">
        <f>'Rolling report'!CG100*'No Action'!$Y$6</f>
        <v>5.28</v>
      </c>
      <c r="O100" s="17">
        <f>'Rolling report'!CH100*'No Action'!$Y$6</f>
        <v>4.4000000000000004</v>
      </c>
      <c r="P100" s="17">
        <f>'Rolling report'!CI100*'No Action'!$Y$6</f>
        <v>4.84</v>
      </c>
      <c r="Q100" s="17">
        <f>'Rolling report'!CJ100*'No Action'!$Y$6</f>
        <v>7.48</v>
      </c>
      <c r="R100" s="17">
        <f>'Rolling report'!CK100*'No Action'!$Y$6</f>
        <v>3.08</v>
      </c>
      <c r="S100" s="17">
        <f>'Rolling report'!CL100*'No Action'!$Y$6</f>
        <v>1.32</v>
      </c>
      <c r="T100" s="17">
        <f>'Rolling report'!CM100*'No Action'!$Y$6</f>
        <v>2.2000000000000002</v>
      </c>
      <c r="U100" s="17">
        <f>'Rolling report'!CN100*'No Action'!$Y$6</f>
        <v>7.48</v>
      </c>
      <c r="V100" s="17">
        <f>'Rolling report'!CO100*'No Action'!$Y$6</f>
        <v>0.88</v>
      </c>
      <c r="W100" s="17">
        <f>'Rolling report'!CP100*'No Action'!$Y$6</f>
        <v>0.88</v>
      </c>
      <c r="X100" s="17">
        <f>'Rolling report'!CQ100*'No Action'!$Y$6</f>
        <v>0</v>
      </c>
      <c r="Y100" s="17">
        <f>'Rolling report'!CR100*'No Action'!$Y$6</f>
        <v>1.76</v>
      </c>
      <c r="Z100" s="17">
        <f>'Rolling report'!CS100*'No Action'!$Y$6</f>
        <v>2.64</v>
      </c>
      <c r="AA100" s="17">
        <f>'Rolling report'!CT100*'No Action'!$Y$6</f>
        <v>0</v>
      </c>
      <c r="AB100" s="17">
        <f>'Rolling report'!CU100*'No Action'!$Y$6</f>
        <v>1.32</v>
      </c>
      <c r="AC100" s="17">
        <f>'Rolling report'!CV100*'No Action'!$Y$6</f>
        <v>1.76</v>
      </c>
      <c r="AD100" s="17">
        <f>'Rolling report'!CW100*'No Action'!$Y$6</f>
        <v>3.08</v>
      </c>
      <c r="AE100" s="17">
        <f>'Rolling report'!CX100*'No Action'!$Y$6</f>
        <v>0.88</v>
      </c>
      <c r="AF100" s="17">
        <f>'Rolling report'!CY100*'No Action'!$Y$6</f>
        <v>-99</v>
      </c>
      <c r="AG100" s="17">
        <f>'Rolling report'!CZ100*'No Action'!$Y$6</f>
        <v>0</v>
      </c>
      <c r="AH100" s="17">
        <f>'Rolling report'!DA100*'No Action'!$Y$6</f>
        <v>0</v>
      </c>
      <c r="AI100" s="17">
        <f>'Rolling report'!DB100*'No Action'!$Y$6</f>
        <v>0</v>
      </c>
      <c r="AJ100" s="17">
        <f>'Rolling report'!DC100*'No Action'!$Y$6</f>
        <v>0</v>
      </c>
      <c r="AK100" s="17">
        <f>'Rolling report'!DD100*'No Action'!$Y$6</f>
        <v>0</v>
      </c>
      <c r="AL100" s="17">
        <f>'Rolling report'!DE100*'No Action'!$Y$6</f>
        <v>0</v>
      </c>
      <c r="AM100" s="17">
        <f>'Rolling report'!DF100*'No Action'!$Y$6</f>
        <v>0</v>
      </c>
      <c r="AN100" s="17">
        <f>'Rolling report'!DG100*'No Action'!$Y$6</f>
        <v>0</v>
      </c>
      <c r="AO100" s="17">
        <f>'Rolling report'!DH100*'No Action'!$Y$6</f>
        <v>0</v>
      </c>
      <c r="AQ100" s="45"/>
    </row>
    <row r="101" spans="1:43" x14ac:dyDescent="0.25">
      <c r="A101" s="4" t="s">
        <v>191</v>
      </c>
      <c r="B101" s="6" t="s">
        <v>192</v>
      </c>
      <c r="I101" s="17">
        <f>'Rolling report'!CB101*'No Action'!$Y$6</f>
        <v>140.80000000000001</v>
      </c>
      <c r="J101" s="17">
        <f>'Rolling report'!CC101*'No Action'!$Y$6</f>
        <v>25.080000000000002</v>
      </c>
      <c r="K101" s="17">
        <f>'Rolling report'!CD101*'No Action'!$Y$6</f>
        <v>25.080000000000002</v>
      </c>
      <c r="L101" s="17">
        <f>'Rolling report'!CE101*'No Action'!$Y$6</f>
        <v>21.56</v>
      </c>
      <c r="M101" s="17">
        <f>'Rolling report'!CF101*'No Action'!$Y$6</f>
        <v>11.88</v>
      </c>
      <c r="N101" s="17">
        <f>'Rolling report'!CG101*'No Action'!$Y$6</f>
        <v>11</v>
      </c>
      <c r="O101" s="17">
        <f>'Rolling report'!CH101*'No Action'!$Y$6</f>
        <v>19.8</v>
      </c>
      <c r="P101" s="17">
        <f>'Rolling report'!CI101*'No Action'!$Y$6</f>
        <v>13.2</v>
      </c>
      <c r="Q101" s="17">
        <f>'Rolling report'!CJ101*'No Action'!$Y$6</f>
        <v>17.16</v>
      </c>
      <c r="R101" s="17">
        <f>'Rolling report'!CK101*'No Action'!$Y$6</f>
        <v>7.48</v>
      </c>
      <c r="S101" s="17">
        <f>'Rolling report'!CL101*'No Action'!$Y$6</f>
        <v>3.96</v>
      </c>
      <c r="T101" s="17">
        <f>'Rolling report'!CM101*'No Action'!$Y$6</f>
        <v>9.24</v>
      </c>
      <c r="U101" s="17">
        <f>'Rolling report'!CN101*'No Action'!$Y$6</f>
        <v>11.88</v>
      </c>
      <c r="V101" s="17">
        <f>'Rolling report'!CO101*'No Action'!$Y$6</f>
        <v>8.8000000000000007</v>
      </c>
      <c r="W101" s="17">
        <f>'Rolling report'!CP101*'No Action'!$Y$6</f>
        <v>15.4</v>
      </c>
      <c r="X101" s="17">
        <f>'Rolling report'!CQ101*'No Action'!$Y$6</f>
        <v>7.48</v>
      </c>
      <c r="Y101" s="17">
        <f>'Rolling report'!CR101*'No Action'!$Y$6</f>
        <v>10.119999999999999</v>
      </c>
      <c r="Z101" s="17">
        <f>'Rolling report'!CS101*'No Action'!$Y$6</f>
        <v>3.52</v>
      </c>
      <c r="AA101" s="17">
        <f>'Rolling report'!CT101*'No Action'!$Y$6</f>
        <v>8.36</v>
      </c>
      <c r="AB101" s="17">
        <f>'Rolling report'!CU101*'No Action'!$Y$6</f>
        <v>8.8000000000000007</v>
      </c>
      <c r="AC101" s="17">
        <f>'Rolling report'!CV101*'No Action'!$Y$6</f>
        <v>9.68</v>
      </c>
      <c r="AD101" s="17">
        <f>'Rolling report'!CW101*'No Action'!$Y$6</f>
        <v>0</v>
      </c>
      <c r="AE101" s="17">
        <f>'Rolling report'!CX101*'No Action'!$Y$6</f>
        <v>7.48</v>
      </c>
      <c r="AF101" s="17">
        <f>'Rolling report'!CY101*'No Action'!$Y$6</f>
        <v>-397.76</v>
      </c>
      <c r="AG101" s="17">
        <f>'Rolling report'!CZ101*'No Action'!$Y$6</f>
        <v>0</v>
      </c>
      <c r="AH101" s="17">
        <f>'Rolling report'!DA101*'No Action'!$Y$6</f>
        <v>0</v>
      </c>
      <c r="AI101" s="17">
        <f>'Rolling report'!DB101*'No Action'!$Y$6</f>
        <v>0</v>
      </c>
      <c r="AJ101" s="17">
        <f>'Rolling report'!DC101*'No Action'!$Y$6</f>
        <v>0</v>
      </c>
      <c r="AK101" s="17">
        <f>'Rolling report'!DD101*'No Action'!$Y$6</f>
        <v>0</v>
      </c>
      <c r="AL101" s="17">
        <f>'Rolling report'!DE101*'No Action'!$Y$6</f>
        <v>0</v>
      </c>
      <c r="AM101" s="17">
        <f>'Rolling report'!DF101*'No Action'!$Y$6</f>
        <v>0</v>
      </c>
      <c r="AN101" s="17">
        <f>'Rolling report'!DG101*'No Action'!$Y$6</f>
        <v>0</v>
      </c>
      <c r="AO101" s="17">
        <f>'Rolling report'!DH101*'No Action'!$Y$6</f>
        <v>0</v>
      </c>
      <c r="AQ101" s="45"/>
    </row>
    <row r="102" spans="1:43" x14ac:dyDescent="0.25">
      <c r="A102" s="4" t="s">
        <v>193</v>
      </c>
      <c r="B102" s="6" t="s">
        <v>194</v>
      </c>
      <c r="I102" s="17">
        <f>'Rolling report'!CB102*'No Action'!$Y$6</f>
        <v>14.96</v>
      </c>
      <c r="J102" s="17">
        <f>'Rolling report'!CC102*'No Action'!$Y$6</f>
        <v>0.44</v>
      </c>
      <c r="K102" s="17">
        <f>'Rolling report'!CD102*'No Action'!$Y$6</f>
        <v>0.44</v>
      </c>
      <c r="L102" s="17">
        <f>'Rolling report'!CE102*'No Action'!$Y$6</f>
        <v>2.64</v>
      </c>
      <c r="M102" s="17">
        <f>'Rolling report'!CF102*'No Action'!$Y$6</f>
        <v>1.76</v>
      </c>
      <c r="N102" s="17">
        <f>'Rolling report'!CG102*'No Action'!$Y$6</f>
        <v>2.2000000000000002</v>
      </c>
      <c r="O102" s="17">
        <f>'Rolling report'!CH102*'No Action'!$Y$6</f>
        <v>1.32</v>
      </c>
      <c r="P102" s="17">
        <f>'Rolling report'!CI102*'No Action'!$Y$6</f>
        <v>0</v>
      </c>
      <c r="Q102" s="17">
        <f>'Rolling report'!CJ102*'No Action'!$Y$6</f>
        <v>3.08</v>
      </c>
      <c r="R102" s="17">
        <f>'Rolling report'!CK102*'No Action'!$Y$6</f>
        <v>2.64</v>
      </c>
      <c r="S102" s="17">
        <f>'Rolling report'!CL102*'No Action'!$Y$6</f>
        <v>0</v>
      </c>
      <c r="T102" s="17">
        <f>'Rolling report'!CM102*'No Action'!$Y$6</f>
        <v>0</v>
      </c>
      <c r="U102" s="17">
        <f>'Rolling report'!CN102*'No Action'!$Y$6</f>
        <v>0.88</v>
      </c>
      <c r="V102" s="17">
        <f>'Rolling report'!CO102*'No Action'!$Y$6</f>
        <v>0.44</v>
      </c>
      <c r="W102" s="17">
        <f>'Rolling report'!CP102*'No Action'!$Y$6</f>
        <v>1.76</v>
      </c>
      <c r="X102" s="17">
        <f>'Rolling report'!CQ102*'No Action'!$Y$6</f>
        <v>0</v>
      </c>
      <c r="Y102" s="17">
        <f>'Rolling report'!CR102*'No Action'!$Y$6</f>
        <v>0.44</v>
      </c>
      <c r="Z102" s="17">
        <f>'Rolling report'!CS102*'No Action'!$Y$6</f>
        <v>0.88</v>
      </c>
      <c r="AA102" s="17">
        <f>'Rolling report'!CT102*'No Action'!$Y$6</f>
        <v>1.32</v>
      </c>
      <c r="AB102" s="17">
        <f>'Rolling report'!CU102*'No Action'!$Y$6</f>
        <v>0</v>
      </c>
      <c r="AC102" s="17">
        <f>'Rolling report'!CV102*'No Action'!$Y$6</f>
        <v>1.32</v>
      </c>
      <c r="AD102" s="17">
        <f>'Rolling report'!CW102*'No Action'!$Y$6</f>
        <v>-0.88</v>
      </c>
      <c r="AE102" s="17">
        <f>'Rolling report'!CX102*'No Action'!$Y$6</f>
        <v>0.88</v>
      </c>
      <c r="AF102" s="17">
        <f>'Rolling report'!CY102*'No Action'!$Y$6</f>
        <v>-36.520000000000003</v>
      </c>
      <c r="AG102" s="17">
        <f>'Rolling report'!CZ102*'No Action'!$Y$6</f>
        <v>0</v>
      </c>
      <c r="AH102" s="17">
        <f>'Rolling report'!DA102*'No Action'!$Y$6</f>
        <v>0</v>
      </c>
      <c r="AI102" s="17">
        <f>'Rolling report'!DB102*'No Action'!$Y$6</f>
        <v>0</v>
      </c>
      <c r="AJ102" s="17">
        <f>'Rolling report'!DC102*'No Action'!$Y$6</f>
        <v>0</v>
      </c>
      <c r="AK102" s="17">
        <f>'Rolling report'!DD102*'No Action'!$Y$6</f>
        <v>0</v>
      </c>
      <c r="AL102" s="17">
        <f>'Rolling report'!DE102*'No Action'!$Y$6</f>
        <v>0</v>
      </c>
      <c r="AM102" s="17">
        <f>'Rolling report'!DF102*'No Action'!$Y$6</f>
        <v>0</v>
      </c>
      <c r="AN102" s="17">
        <f>'Rolling report'!DG102*'No Action'!$Y$6</f>
        <v>0</v>
      </c>
      <c r="AO102" s="17">
        <f>'Rolling report'!DH102*'No Action'!$Y$6</f>
        <v>0</v>
      </c>
      <c r="AQ102" s="45"/>
    </row>
    <row r="103" spans="1:43" x14ac:dyDescent="0.25">
      <c r="A103" s="4" t="s">
        <v>195</v>
      </c>
      <c r="B103" s="6" t="s">
        <v>196</v>
      </c>
      <c r="I103" s="17">
        <f>'Rolling report'!CB103*'No Action'!$Y$6</f>
        <v>281.16000000000003</v>
      </c>
      <c r="J103" s="17">
        <f>'Rolling report'!CC103*'No Action'!$Y$6</f>
        <v>52.36</v>
      </c>
      <c r="K103" s="17">
        <f>'Rolling report'!CD103*'No Action'!$Y$6</f>
        <v>43.56</v>
      </c>
      <c r="L103" s="17">
        <f>'Rolling report'!CE103*'No Action'!$Y$6</f>
        <v>65.12</v>
      </c>
      <c r="M103" s="17">
        <f>'Rolling report'!CF103*'No Action'!$Y$6</f>
        <v>35.200000000000003</v>
      </c>
      <c r="N103" s="17">
        <f>'Rolling report'!CG103*'No Action'!$Y$6</f>
        <v>28.6</v>
      </c>
      <c r="O103" s="17">
        <f>'Rolling report'!CH103*'No Action'!$Y$6</f>
        <v>41.36</v>
      </c>
      <c r="P103" s="17">
        <f>'Rolling report'!CI103*'No Action'!$Y$6</f>
        <v>17.16</v>
      </c>
      <c r="Q103" s="17">
        <f>'Rolling report'!CJ103*'No Action'!$Y$6</f>
        <v>26.4</v>
      </c>
      <c r="R103" s="17">
        <f>'Rolling report'!CK103*'No Action'!$Y$6</f>
        <v>25.52</v>
      </c>
      <c r="S103" s="17">
        <f>'Rolling report'!CL103*'No Action'!$Y$6</f>
        <v>26.4</v>
      </c>
      <c r="T103" s="17">
        <f>'Rolling report'!CM103*'No Action'!$Y$6</f>
        <v>28.6</v>
      </c>
      <c r="U103" s="17">
        <f>'Rolling report'!CN103*'No Action'!$Y$6</f>
        <v>21.56</v>
      </c>
      <c r="V103" s="17">
        <f>'Rolling report'!CO103*'No Action'!$Y$6</f>
        <v>19.36</v>
      </c>
      <c r="W103" s="17">
        <f>'Rolling report'!CP103*'No Action'!$Y$6</f>
        <v>9.24</v>
      </c>
      <c r="X103" s="17">
        <f>'Rolling report'!CQ103*'No Action'!$Y$6</f>
        <v>11.88</v>
      </c>
      <c r="Y103" s="17">
        <f>'Rolling report'!CR103*'No Action'!$Y$6</f>
        <v>12.76</v>
      </c>
      <c r="Z103" s="17">
        <f>'Rolling report'!CS103*'No Action'!$Y$6</f>
        <v>9.24</v>
      </c>
      <c r="AA103" s="17">
        <f>'Rolling report'!CT103*'No Action'!$Y$6</f>
        <v>15.4</v>
      </c>
      <c r="AB103" s="17">
        <f>'Rolling report'!CU103*'No Action'!$Y$6</f>
        <v>14.08</v>
      </c>
      <c r="AC103" s="17">
        <f>'Rolling report'!CV103*'No Action'!$Y$6</f>
        <v>25.96</v>
      </c>
      <c r="AD103" s="17">
        <f>'Rolling report'!CW103*'No Action'!$Y$6</f>
        <v>10.56</v>
      </c>
      <c r="AE103" s="17">
        <f>'Rolling report'!CX103*'No Action'!$Y$6</f>
        <v>10.119999999999999</v>
      </c>
      <c r="AF103" s="17">
        <f>'Rolling report'!CY103*'No Action'!$Y$6</f>
        <v>-831.6</v>
      </c>
      <c r="AG103" s="17">
        <f>'Rolling report'!CZ103*'No Action'!$Y$6</f>
        <v>0</v>
      </c>
      <c r="AH103" s="17">
        <f>'Rolling report'!DA103*'No Action'!$Y$6</f>
        <v>0</v>
      </c>
      <c r="AI103" s="17">
        <f>'Rolling report'!DB103*'No Action'!$Y$6</f>
        <v>0</v>
      </c>
      <c r="AJ103" s="17">
        <f>'Rolling report'!DC103*'No Action'!$Y$6</f>
        <v>0</v>
      </c>
      <c r="AK103" s="17">
        <f>'Rolling report'!DD103*'No Action'!$Y$6</f>
        <v>0</v>
      </c>
      <c r="AL103" s="17">
        <f>'Rolling report'!DE103*'No Action'!$Y$6</f>
        <v>0</v>
      </c>
      <c r="AM103" s="17">
        <f>'Rolling report'!DF103*'No Action'!$Y$6</f>
        <v>0</v>
      </c>
      <c r="AN103" s="17">
        <f>'Rolling report'!DG103*'No Action'!$Y$6</f>
        <v>0</v>
      </c>
      <c r="AO103" s="17">
        <f>'Rolling report'!DH103*'No Action'!$Y$6</f>
        <v>0</v>
      </c>
      <c r="AQ103" s="45"/>
    </row>
    <row r="104" spans="1:43" x14ac:dyDescent="0.25">
      <c r="A104" s="4" t="s">
        <v>197</v>
      </c>
      <c r="B104" s="6" t="s">
        <v>198</v>
      </c>
      <c r="I104" s="17">
        <f>'Rolling report'!CB104*'No Action'!$Y$6</f>
        <v>22.44</v>
      </c>
      <c r="J104" s="17">
        <f>'Rolling report'!CC104*'No Action'!$Y$6</f>
        <v>4.84</v>
      </c>
      <c r="K104" s="17">
        <f>'Rolling report'!CD104*'No Action'!$Y$6</f>
        <v>4.84</v>
      </c>
      <c r="L104" s="17">
        <f>'Rolling report'!CE104*'No Action'!$Y$6</f>
        <v>0.88</v>
      </c>
      <c r="M104" s="17">
        <f>'Rolling report'!CF104*'No Action'!$Y$6</f>
        <v>1.76</v>
      </c>
      <c r="N104" s="17">
        <f>'Rolling report'!CG104*'No Action'!$Y$6</f>
        <v>4.4000000000000004</v>
      </c>
      <c r="O104" s="17">
        <f>'Rolling report'!CH104*'No Action'!$Y$6</f>
        <v>3.52</v>
      </c>
      <c r="P104" s="17">
        <f>'Rolling report'!CI104*'No Action'!$Y$6</f>
        <v>0.44</v>
      </c>
      <c r="Q104" s="17">
        <f>'Rolling report'!CJ104*'No Action'!$Y$6</f>
        <v>4.4000000000000004</v>
      </c>
      <c r="R104" s="17">
        <f>'Rolling report'!CK104*'No Action'!$Y$6</f>
        <v>7.04</v>
      </c>
      <c r="S104" s="17">
        <f>'Rolling report'!CL104*'No Action'!$Y$6</f>
        <v>1.76</v>
      </c>
      <c r="T104" s="17">
        <f>'Rolling report'!CM104*'No Action'!$Y$6</f>
        <v>3.08</v>
      </c>
      <c r="U104" s="17">
        <f>'Rolling report'!CN104*'No Action'!$Y$6</f>
        <v>0.88</v>
      </c>
      <c r="V104" s="17">
        <f>'Rolling report'!CO104*'No Action'!$Y$6</f>
        <v>3.08</v>
      </c>
      <c r="W104" s="17">
        <f>'Rolling report'!CP104*'No Action'!$Y$6</f>
        <v>5.72</v>
      </c>
      <c r="X104" s="17">
        <f>'Rolling report'!CQ104*'No Action'!$Y$6</f>
        <v>1.32</v>
      </c>
      <c r="Y104" s="17">
        <f>'Rolling report'!CR104*'No Action'!$Y$6</f>
        <v>2.2000000000000002</v>
      </c>
      <c r="Z104" s="17">
        <f>'Rolling report'!CS104*'No Action'!$Y$6</f>
        <v>1.32</v>
      </c>
      <c r="AA104" s="17">
        <f>'Rolling report'!CT104*'No Action'!$Y$6</f>
        <v>2.2000000000000002</v>
      </c>
      <c r="AB104" s="17">
        <f>'Rolling report'!CU104*'No Action'!$Y$6</f>
        <v>0.44</v>
      </c>
      <c r="AC104" s="17">
        <f>'Rolling report'!CV104*'No Action'!$Y$6</f>
        <v>1.76</v>
      </c>
      <c r="AD104" s="17">
        <f>'Rolling report'!CW104*'No Action'!$Y$6</f>
        <v>1.76</v>
      </c>
      <c r="AE104" s="17">
        <f>'Rolling report'!CX104*'No Action'!$Y$6</f>
        <v>1.76</v>
      </c>
      <c r="AF104" s="17">
        <f>'Rolling report'!CY104*'No Action'!$Y$6</f>
        <v>-81.84</v>
      </c>
      <c r="AG104" s="17">
        <f>'Rolling report'!CZ104*'No Action'!$Y$6</f>
        <v>0</v>
      </c>
      <c r="AH104" s="17">
        <f>'Rolling report'!DA104*'No Action'!$Y$6</f>
        <v>0</v>
      </c>
      <c r="AI104" s="17">
        <f>'Rolling report'!DB104*'No Action'!$Y$6</f>
        <v>0</v>
      </c>
      <c r="AJ104" s="17">
        <f>'Rolling report'!DC104*'No Action'!$Y$6</f>
        <v>0</v>
      </c>
      <c r="AK104" s="17">
        <f>'Rolling report'!DD104*'No Action'!$Y$6</f>
        <v>0</v>
      </c>
      <c r="AL104" s="17">
        <f>'Rolling report'!DE104*'No Action'!$Y$6</f>
        <v>0</v>
      </c>
      <c r="AM104" s="17">
        <f>'Rolling report'!DF104*'No Action'!$Y$6</f>
        <v>0</v>
      </c>
      <c r="AN104" s="17">
        <f>'Rolling report'!DG104*'No Action'!$Y$6</f>
        <v>0</v>
      </c>
      <c r="AO104" s="17">
        <f>'Rolling report'!DH104*'No Action'!$Y$6</f>
        <v>0</v>
      </c>
      <c r="AQ104" s="45"/>
    </row>
    <row r="105" spans="1:43" x14ac:dyDescent="0.25">
      <c r="A105" s="4" t="s">
        <v>199</v>
      </c>
      <c r="B105" s="6" t="s">
        <v>200</v>
      </c>
      <c r="I105" s="17">
        <f>'Rolling report'!CB105*'No Action'!$Y$6</f>
        <v>30.36</v>
      </c>
      <c r="J105" s="17">
        <f>'Rolling report'!CC105*'No Action'!$Y$6</f>
        <v>6.16</v>
      </c>
      <c r="K105" s="17">
        <f>'Rolling report'!CD105*'No Action'!$Y$6</f>
        <v>3.96</v>
      </c>
      <c r="L105" s="17">
        <f>'Rolling report'!CE105*'No Action'!$Y$6</f>
        <v>3.96</v>
      </c>
      <c r="M105" s="17">
        <f>'Rolling report'!CF105*'No Action'!$Y$6</f>
        <v>0.44</v>
      </c>
      <c r="N105" s="17">
        <f>'Rolling report'!CG105*'No Action'!$Y$6</f>
        <v>0.88</v>
      </c>
      <c r="O105" s="17">
        <f>'Rolling report'!CH105*'No Action'!$Y$6</f>
        <v>3.52</v>
      </c>
      <c r="P105" s="17">
        <f>'Rolling report'!CI105*'No Action'!$Y$6</f>
        <v>4.84</v>
      </c>
      <c r="Q105" s="17">
        <f>'Rolling report'!CJ105*'No Action'!$Y$6</f>
        <v>0.88</v>
      </c>
      <c r="R105" s="17">
        <f>'Rolling report'!CK105*'No Action'!$Y$6</f>
        <v>5.28</v>
      </c>
      <c r="S105" s="17">
        <f>'Rolling report'!CL105*'No Action'!$Y$6</f>
        <v>4.84</v>
      </c>
      <c r="T105" s="17">
        <f>'Rolling report'!CM105*'No Action'!$Y$6</f>
        <v>3.08</v>
      </c>
      <c r="U105" s="17">
        <f>'Rolling report'!CN105*'No Action'!$Y$6</f>
        <v>0.88</v>
      </c>
      <c r="V105" s="17">
        <f>'Rolling report'!CO105*'No Action'!$Y$6</f>
        <v>0.44</v>
      </c>
      <c r="W105" s="17">
        <f>'Rolling report'!CP105*'No Action'!$Y$6</f>
        <v>2.64</v>
      </c>
      <c r="X105" s="17">
        <f>'Rolling report'!CQ105*'No Action'!$Y$6</f>
        <v>0</v>
      </c>
      <c r="Y105" s="17">
        <f>'Rolling report'!CR105*'No Action'!$Y$6</f>
        <v>1.76</v>
      </c>
      <c r="Z105" s="17">
        <f>'Rolling report'!CS105*'No Action'!$Y$6</f>
        <v>1.32</v>
      </c>
      <c r="AA105" s="17">
        <f>'Rolling report'!CT105*'No Action'!$Y$6</f>
        <v>2.2000000000000002</v>
      </c>
      <c r="AB105" s="17">
        <f>'Rolling report'!CU105*'No Action'!$Y$6</f>
        <v>0.44</v>
      </c>
      <c r="AC105" s="17">
        <f>'Rolling report'!CV105*'No Action'!$Y$6</f>
        <v>0</v>
      </c>
      <c r="AD105" s="17">
        <f>'Rolling report'!CW105*'No Action'!$Y$6</f>
        <v>2.64</v>
      </c>
      <c r="AE105" s="17">
        <f>'Rolling report'!CX105*'No Action'!$Y$6</f>
        <v>0</v>
      </c>
      <c r="AF105" s="17">
        <f>'Rolling report'!CY105*'No Action'!$Y$6</f>
        <v>-80.52</v>
      </c>
      <c r="AG105" s="17">
        <f>'Rolling report'!CZ105*'No Action'!$Y$6</f>
        <v>0</v>
      </c>
      <c r="AH105" s="17">
        <f>'Rolling report'!DA105*'No Action'!$Y$6</f>
        <v>0</v>
      </c>
      <c r="AI105" s="17">
        <f>'Rolling report'!DB105*'No Action'!$Y$6</f>
        <v>0</v>
      </c>
      <c r="AJ105" s="17">
        <f>'Rolling report'!DC105*'No Action'!$Y$6</f>
        <v>0</v>
      </c>
      <c r="AK105" s="17">
        <f>'Rolling report'!DD105*'No Action'!$Y$6</f>
        <v>0</v>
      </c>
      <c r="AL105" s="17">
        <f>'Rolling report'!DE105*'No Action'!$Y$6</f>
        <v>0</v>
      </c>
      <c r="AM105" s="17">
        <f>'Rolling report'!DF105*'No Action'!$Y$6</f>
        <v>0</v>
      </c>
      <c r="AN105" s="17">
        <f>'Rolling report'!DG105*'No Action'!$Y$6</f>
        <v>0</v>
      </c>
      <c r="AO105" s="17">
        <f>'Rolling report'!DH105*'No Action'!$Y$6</f>
        <v>0</v>
      </c>
      <c r="AQ105" s="45"/>
    </row>
    <row r="106" spans="1:43" x14ac:dyDescent="0.25">
      <c r="A106" s="4" t="s">
        <v>201</v>
      </c>
      <c r="B106" s="6" t="s">
        <v>202</v>
      </c>
      <c r="I106" s="17">
        <f>'Rolling report'!CB106*'No Action'!$Y$6</f>
        <v>14.96</v>
      </c>
      <c r="J106" s="17">
        <f>'Rolling report'!CC106*'No Action'!$Y$6</f>
        <v>1.32</v>
      </c>
      <c r="K106" s="17">
        <f>'Rolling report'!CD106*'No Action'!$Y$6</f>
        <v>3.96</v>
      </c>
      <c r="L106" s="17">
        <f>'Rolling report'!CE106*'No Action'!$Y$6</f>
        <v>7.92</v>
      </c>
      <c r="M106" s="17">
        <f>'Rolling report'!CF106*'No Action'!$Y$6</f>
        <v>3.96</v>
      </c>
      <c r="N106" s="17">
        <f>'Rolling report'!CG106*'No Action'!$Y$6</f>
        <v>2.64</v>
      </c>
      <c r="O106" s="17">
        <f>'Rolling report'!CH106*'No Action'!$Y$6</f>
        <v>6.16</v>
      </c>
      <c r="P106" s="17">
        <f>'Rolling report'!CI106*'No Action'!$Y$6</f>
        <v>0.88</v>
      </c>
      <c r="Q106" s="17">
        <f>'Rolling report'!CJ106*'No Action'!$Y$6</f>
        <v>2.64</v>
      </c>
      <c r="R106" s="17">
        <f>'Rolling report'!CK106*'No Action'!$Y$6</f>
        <v>0.88</v>
      </c>
      <c r="S106" s="17">
        <f>'Rolling report'!CL106*'No Action'!$Y$6</f>
        <v>3.96</v>
      </c>
      <c r="T106" s="17">
        <f>'Rolling report'!CM106*'No Action'!$Y$6</f>
        <v>2.64</v>
      </c>
      <c r="U106" s="17">
        <f>'Rolling report'!CN106*'No Action'!$Y$6</f>
        <v>1.76</v>
      </c>
      <c r="V106" s="17">
        <f>'Rolling report'!CO106*'No Action'!$Y$6</f>
        <v>3.08</v>
      </c>
      <c r="W106" s="17">
        <f>'Rolling report'!CP106*'No Action'!$Y$6</f>
        <v>0.88</v>
      </c>
      <c r="X106" s="17">
        <f>'Rolling report'!CQ106*'No Action'!$Y$6</f>
        <v>4.4000000000000004</v>
      </c>
      <c r="Y106" s="17">
        <f>'Rolling report'!CR106*'No Action'!$Y$6</f>
        <v>0</v>
      </c>
      <c r="Z106" s="17">
        <f>'Rolling report'!CS106*'No Action'!$Y$6</f>
        <v>0</v>
      </c>
      <c r="AA106" s="17">
        <f>'Rolling report'!CT106*'No Action'!$Y$6</f>
        <v>2.2000000000000002</v>
      </c>
      <c r="AB106" s="17">
        <f>'Rolling report'!CU106*'No Action'!$Y$6</f>
        <v>2.64</v>
      </c>
      <c r="AC106" s="17">
        <f>'Rolling report'!CV106*'No Action'!$Y$6</f>
        <v>1.32</v>
      </c>
      <c r="AD106" s="17">
        <f>'Rolling report'!CW106*'No Action'!$Y$6</f>
        <v>1.32</v>
      </c>
      <c r="AE106" s="17">
        <f>'Rolling report'!CX106*'No Action'!$Y$6</f>
        <v>0.88</v>
      </c>
      <c r="AF106" s="17">
        <f>'Rolling report'!CY106*'No Action'!$Y$6</f>
        <v>-70.400000000000006</v>
      </c>
      <c r="AG106" s="17">
        <f>'Rolling report'!CZ106*'No Action'!$Y$6</f>
        <v>0</v>
      </c>
      <c r="AH106" s="17">
        <f>'Rolling report'!DA106*'No Action'!$Y$6</f>
        <v>0</v>
      </c>
      <c r="AI106" s="17">
        <f>'Rolling report'!DB106*'No Action'!$Y$6</f>
        <v>0</v>
      </c>
      <c r="AJ106" s="17">
        <f>'Rolling report'!DC106*'No Action'!$Y$6</f>
        <v>0</v>
      </c>
      <c r="AK106" s="17">
        <f>'Rolling report'!DD106*'No Action'!$Y$6</f>
        <v>0</v>
      </c>
      <c r="AL106" s="17">
        <f>'Rolling report'!DE106*'No Action'!$Y$6</f>
        <v>0</v>
      </c>
      <c r="AM106" s="17">
        <f>'Rolling report'!DF106*'No Action'!$Y$6</f>
        <v>0</v>
      </c>
      <c r="AN106" s="17">
        <f>'Rolling report'!DG106*'No Action'!$Y$6</f>
        <v>0</v>
      </c>
      <c r="AO106" s="17">
        <f>'Rolling report'!DH106*'No Action'!$Y$6</f>
        <v>0</v>
      </c>
      <c r="AQ106" s="45"/>
    </row>
    <row r="107" spans="1:43" x14ac:dyDescent="0.25">
      <c r="A107" s="4" t="s">
        <v>203</v>
      </c>
      <c r="B107" s="6" t="s">
        <v>204</v>
      </c>
      <c r="I107" s="17">
        <f>'Rolling report'!CB107*'No Action'!$Y$6</f>
        <v>33.880000000000003</v>
      </c>
      <c r="J107" s="17">
        <f>'Rolling report'!CC107*'No Action'!$Y$6</f>
        <v>2.64</v>
      </c>
      <c r="K107" s="17">
        <f>'Rolling report'!CD107*'No Action'!$Y$6</f>
        <v>5.28</v>
      </c>
      <c r="L107" s="17">
        <f>'Rolling report'!CE107*'No Action'!$Y$6</f>
        <v>4.4000000000000004</v>
      </c>
      <c r="M107" s="17">
        <f>'Rolling report'!CF107*'No Action'!$Y$6</f>
        <v>4.4000000000000004</v>
      </c>
      <c r="N107" s="17">
        <f>'Rolling report'!CG107*'No Action'!$Y$6</f>
        <v>3.96</v>
      </c>
      <c r="O107" s="17">
        <f>'Rolling report'!CH107*'No Action'!$Y$6</f>
        <v>4.84</v>
      </c>
      <c r="P107" s="17">
        <f>'Rolling report'!CI107*'No Action'!$Y$6</f>
        <v>3.52</v>
      </c>
      <c r="Q107" s="17">
        <f>'Rolling report'!CJ107*'No Action'!$Y$6</f>
        <v>5.72</v>
      </c>
      <c r="R107" s="17">
        <f>'Rolling report'!CK107*'No Action'!$Y$6</f>
        <v>2.64</v>
      </c>
      <c r="S107" s="17">
        <f>'Rolling report'!CL107*'No Action'!$Y$6</f>
        <v>2.64</v>
      </c>
      <c r="T107" s="17">
        <f>'Rolling report'!CM107*'No Action'!$Y$6</f>
        <v>2.2000000000000002</v>
      </c>
      <c r="U107" s="17">
        <f>'Rolling report'!CN107*'No Action'!$Y$6</f>
        <v>1.76</v>
      </c>
      <c r="V107" s="17">
        <f>'Rolling report'!CO107*'No Action'!$Y$6</f>
        <v>3.08</v>
      </c>
      <c r="W107" s="17">
        <f>'Rolling report'!CP107*'No Action'!$Y$6</f>
        <v>2.64</v>
      </c>
      <c r="X107" s="17">
        <f>'Rolling report'!CQ107*'No Action'!$Y$6</f>
        <v>2.2000000000000002</v>
      </c>
      <c r="Y107" s="17">
        <f>'Rolling report'!CR107*'No Action'!$Y$6</f>
        <v>2.2000000000000002</v>
      </c>
      <c r="Z107" s="17">
        <f>'Rolling report'!CS107*'No Action'!$Y$6</f>
        <v>0.88</v>
      </c>
      <c r="AA107" s="17">
        <f>'Rolling report'!CT107*'No Action'!$Y$6</f>
        <v>1.32</v>
      </c>
      <c r="AB107" s="17">
        <f>'Rolling report'!CU107*'No Action'!$Y$6</f>
        <v>0</v>
      </c>
      <c r="AC107" s="17">
        <f>'Rolling report'!CV107*'No Action'!$Y$6</f>
        <v>4.4000000000000004</v>
      </c>
      <c r="AD107" s="17">
        <f>'Rolling report'!CW107*'No Action'!$Y$6</f>
        <v>-0.44</v>
      </c>
      <c r="AE107" s="17">
        <f>'Rolling report'!CX107*'No Action'!$Y$6</f>
        <v>2.2000000000000002</v>
      </c>
      <c r="AF107" s="17">
        <f>'Rolling report'!CY107*'No Action'!$Y$6</f>
        <v>-96.36</v>
      </c>
      <c r="AG107" s="17">
        <f>'Rolling report'!CZ107*'No Action'!$Y$6</f>
        <v>0</v>
      </c>
      <c r="AH107" s="17">
        <f>'Rolling report'!DA107*'No Action'!$Y$6</f>
        <v>0</v>
      </c>
      <c r="AI107" s="17">
        <f>'Rolling report'!DB107*'No Action'!$Y$6</f>
        <v>0</v>
      </c>
      <c r="AJ107" s="17">
        <f>'Rolling report'!DC107*'No Action'!$Y$6</f>
        <v>0</v>
      </c>
      <c r="AK107" s="17">
        <f>'Rolling report'!DD107*'No Action'!$Y$6</f>
        <v>0</v>
      </c>
      <c r="AL107" s="17">
        <f>'Rolling report'!DE107*'No Action'!$Y$6</f>
        <v>0</v>
      </c>
      <c r="AM107" s="17">
        <f>'Rolling report'!DF107*'No Action'!$Y$6</f>
        <v>0</v>
      </c>
      <c r="AN107" s="17">
        <f>'Rolling report'!DG107*'No Action'!$Y$6</f>
        <v>0</v>
      </c>
      <c r="AO107" s="17">
        <f>'Rolling report'!DH107*'No Action'!$Y$6</f>
        <v>0</v>
      </c>
      <c r="AQ107" s="45"/>
    </row>
    <row r="108" spans="1:43" x14ac:dyDescent="0.25">
      <c r="A108" s="4" t="s">
        <v>205</v>
      </c>
      <c r="B108" s="6" t="s">
        <v>206</v>
      </c>
      <c r="I108" s="17">
        <f>'Rolling report'!CB108*'No Action'!$Y$6</f>
        <v>45.32</v>
      </c>
      <c r="J108" s="17">
        <f>'Rolling report'!CC108*'No Action'!$Y$6</f>
        <v>13.64</v>
      </c>
      <c r="K108" s="17">
        <f>'Rolling report'!CD108*'No Action'!$Y$6</f>
        <v>4.84</v>
      </c>
      <c r="L108" s="17">
        <f>'Rolling report'!CE108*'No Action'!$Y$6</f>
        <v>7.48</v>
      </c>
      <c r="M108" s="17">
        <f>'Rolling report'!CF108*'No Action'!$Y$6</f>
        <v>6.6</v>
      </c>
      <c r="N108" s="17">
        <f>'Rolling report'!CG108*'No Action'!$Y$6</f>
        <v>5.28</v>
      </c>
      <c r="O108" s="17">
        <f>'Rolling report'!CH108*'No Action'!$Y$6</f>
        <v>11</v>
      </c>
      <c r="P108" s="17">
        <f>'Rolling report'!CI108*'No Action'!$Y$6</f>
        <v>4.84</v>
      </c>
      <c r="Q108" s="17">
        <f>'Rolling report'!CJ108*'No Action'!$Y$6</f>
        <v>3.96</v>
      </c>
      <c r="R108" s="17">
        <f>'Rolling report'!CK108*'No Action'!$Y$6</f>
        <v>3.52</v>
      </c>
      <c r="S108" s="17">
        <f>'Rolling report'!CL108*'No Action'!$Y$6</f>
        <v>2.64</v>
      </c>
      <c r="T108" s="17">
        <f>'Rolling report'!CM108*'No Action'!$Y$6</f>
        <v>8.36</v>
      </c>
      <c r="U108" s="17">
        <f>'Rolling report'!CN108*'No Action'!$Y$6</f>
        <v>7.48</v>
      </c>
      <c r="V108" s="17">
        <f>'Rolling report'!CO108*'No Action'!$Y$6</f>
        <v>6.6</v>
      </c>
      <c r="W108" s="17">
        <f>'Rolling report'!CP108*'No Action'!$Y$6</f>
        <v>5.72</v>
      </c>
      <c r="X108" s="17">
        <f>'Rolling report'!CQ108*'No Action'!$Y$6</f>
        <v>0.88</v>
      </c>
      <c r="Y108" s="17">
        <f>'Rolling report'!CR108*'No Action'!$Y$6</f>
        <v>3.96</v>
      </c>
      <c r="Z108" s="17">
        <f>'Rolling report'!CS108*'No Action'!$Y$6</f>
        <v>4.84</v>
      </c>
      <c r="AA108" s="17">
        <f>'Rolling report'!CT108*'No Action'!$Y$6</f>
        <v>3.96</v>
      </c>
      <c r="AB108" s="17">
        <f>'Rolling report'!CU108*'No Action'!$Y$6</f>
        <v>5.28</v>
      </c>
      <c r="AC108" s="17">
        <f>'Rolling report'!CV108*'No Action'!$Y$6</f>
        <v>4.84</v>
      </c>
      <c r="AD108" s="17">
        <f>'Rolling report'!CW108*'No Action'!$Y$6</f>
        <v>1.32</v>
      </c>
      <c r="AE108" s="17">
        <f>'Rolling report'!CX108*'No Action'!$Y$6</f>
        <v>0.88</v>
      </c>
      <c r="AF108" s="17">
        <f>'Rolling report'!CY108*'No Action'!$Y$6</f>
        <v>-163.24</v>
      </c>
      <c r="AG108" s="17">
        <f>'Rolling report'!CZ108*'No Action'!$Y$6</f>
        <v>0</v>
      </c>
      <c r="AH108" s="17">
        <f>'Rolling report'!DA108*'No Action'!$Y$6</f>
        <v>0</v>
      </c>
      <c r="AI108" s="17">
        <f>'Rolling report'!DB108*'No Action'!$Y$6</f>
        <v>0</v>
      </c>
      <c r="AJ108" s="17">
        <f>'Rolling report'!DC108*'No Action'!$Y$6</f>
        <v>0</v>
      </c>
      <c r="AK108" s="17">
        <f>'Rolling report'!DD108*'No Action'!$Y$6</f>
        <v>0</v>
      </c>
      <c r="AL108" s="17">
        <f>'Rolling report'!DE108*'No Action'!$Y$6</f>
        <v>0</v>
      </c>
      <c r="AM108" s="17">
        <f>'Rolling report'!DF108*'No Action'!$Y$6</f>
        <v>0</v>
      </c>
      <c r="AN108" s="17">
        <f>'Rolling report'!DG108*'No Action'!$Y$6</f>
        <v>0</v>
      </c>
      <c r="AO108" s="17">
        <f>'Rolling report'!DH108*'No Action'!$Y$6</f>
        <v>0</v>
      </c>
      <c r="AQ108" s="45"/>
    </row>
    <row r="109" spans="1:43" x14ac:dyDescent="0.25">
      <c r="A109" s="4" t="s">
        <v>207</v>
      </c>
      <c r="B109" s="6" t="s">
        <v>208</v>
      </c>
      <c r="I109" s="17">
        <f>'Rolling report'!CB109*'No Action'!$Y$6</f>
        <v>7.48</v>
      </c>
      <c r="J109" s="17">
        <f>'Rolling report'!CC109*'No Action'!$Y$6</f>
        <v>3.52</v>
      </c>
      <c r="K109" s="17">
        <f>'Rolling report'!CD109*'No Action'!$Y$6</f>
        <v>3.08</v>
      </c>
      <c r="L109" s="17">
        <f>'Rolling report'!CE109*'No Action'!$Y$6</f>
        <v>0.88</v>
      </c>
      <c r="M109" s="17">
        <f>'Rolling report'!CF109*'No Action'!$Y$6</f>
        <v>3.96</v>
      </c>
      <c r="N109" s="17">
        <f>'Rolling report'!CG109*'No Action'!$Y$6</f>
        <v>1.76</v>
      </c>
      <c r="O109" s="17">
        <f>'Rolling report'!CH109*'No Action'!$Y$6</f>
        <v>5.28</v>
      </c>
      <c r="P109" s="17">
        <f>'Rolling report'!CI109*'No Action'!$Y$6</f>
        <v>0</v>
      </c>
      <c r="Q109" s="17">
        <f>'Rolling report'!CJ109*'No Action'!$Y$6</f>
        <v>4.4000000000000004</v>
      </c>
      <c r="R109" s="17">
        <f>'Rolling report'!CK109*'No Action'!$Y$6</f>
        <v>0.88</v>
      </c>
      <c r="S109" s="17">
        <f>'Rolling report'!CL109*'No Action'!$Y$6</f>
        <v>0.88</v>
      </c>
      <c r="T109" s="17">
        <f>'Rolling report'!CM109*'No Action'!$Y$6</f>
        <v>0.88</v>
      </c>
      <c r="U109" s="17">
        <f>'Rolling report'!CN109*'No Action'!$Y$6</f>
        <v>2.64</v>
      </c>
      <c r="V109" s="17">
        <f>'Rolling report'!CO109*'No Action'!$Y$6</f>
        <v>1.32</v>
      </c>
      <c r="W109" s="17">
        <f>'Rolling report'!CP109*'No Action'!$Y$6</f>
        <v>0</v>
      </c>
      <c r="X109" s="17">
        <f>'Rolling report'!CQ109*'No Action'!$Y$6</f>
        <v>0.88</v>
      </c>
      <c r="Y109" s="17">
        <f>'Rolling report'!CR109*'No Action'!$Y$6</f>
        <v>0.88</v>
      </c>
      <c r="Z109" s="17">
        <f>'Rolling report'!CS109*'No Action'!$Y$6</f>
        <v>0</v>
      </c>
      <c r="AA109" s="17">
        <f>'Rolling report'!CT109*'No Action'!$Y$6</f>
        <v>0.88</v>
      </c>
      <c r="AB109" s="17">
        <f>'Rolling report'!CU109*'No Action'!$Y$6</f>
        <v>0</v>
      </c>
      <c r="AC109" s="17">
        <f>'Rolling report'!CV109*'No Action'!$Y$6</f>
        <v>1.32</v>
      </c>
      <c r="AD109" s="17">
        <f>'Rolling report'!CW109*'No Action'!$Y$6</f>
        <v>-0.88</v>
      </c>
      <c r="AE109" s="17">
        <f>'Rolling report'!CX109*'No Action'!$Y$6</f>
        <v>0.44</v>
      </c>
      <c r="AF109" s="17">
        <f>'Rolling report'!CY109*'No Action'!$Y$6</f>
        <v>-40.479999999999997</v>
      </c>
      <c r="AG109" s="17">
        <f>'Rolling report'!CZ109*'No Action'!$Y$6</f>
        <v>0</v>
      </c>
      <c r="AH109" s="17">
        <f>'Rolling report'!DA109*'No Action'!$Y$6</f>
        <v>0</v>
      </c>
      <c r="AI109" s="17">
        <f>'Rolling report'!DB109*'No Action'!$Y$6</f>
        <v>0</v>
      </c>
      <c r="AJ109" s="17">
        <f>'Rolling report'!DC109*'No Action'!$Y$6</f>
        <v>0</v>
      </c>
      <c r="AK109" s="17">
        <f>'Rolling report'!DD109*'No Action'!$Y$6</f>
        <v>0</v>
      </c>
      <c r="AL109" s="17">
        <f>'Rolling report'!DE109*'No Action'!$Y$6</f>
        <v>0</v>
      </c>
      <c r="AM109" s="17">
        <f>'Rolling report'!DF109*'No Action'!$Y$6</f>
        <v>0</v>
      </c>
      <c r="AN109" s="17">
        <f>'Rolling report'!DG109*'No Action'!$Y$6</f>
        <v>0</v>
      </c>
      <c r="AO109" s="17">
        <f>'Rolling report'!DH109*'No Action'!$Y$6</f>
        <v>0</v>
      </c>
      <c r="AQ109" s="45"/>
    </row>
    <row r="110" spans="1:43" x14ac:dyDescent="0.25">
      <c r="A110" s="4" t="s">
        <v>209</v>
      </c>
      <c r="B110" s="6" t="s">
        <v>210</v>
      </c>
      <c r="I110" s="17">
        <f>'Rolling report'!CB110*'No Action'!$Y$6</f>
        <v>106.48</v>
      </c>
      <c r="J110" s="17">
        <f>'Rolling report'!CC110*'No Action'!$Y$6</f>
        <v>16.72</v>
      </c>
      <c r="K110" s="17">
        <f>'Rolling report'!CD110*'No Action'!$Y$6</f>
        <v>12.76</v>
      </c>
      <c r="L110" s="17">
        <f>'Rolling report'!CE110*'No Action'!$Y$6</f>
        <v>13.2</v>
      </c>
      <c r="M110" s="17">
        <f>'Rolling report'!CF110*'No Action'!$Y$6</f>
        <v>12.76</v>
      </c>
      <c r="N110" s="17">
        <f>'Rolling report'!CG110*'No Action'!$Y$6</f>
        <v>7.04</v>
      </c>
      <c r="O110" s="17">
        <f>'Rolling report'!CH110*'No Action'!$Y$6</f>
        <v>18.48</v>
      </c>
      <c r="P110" s="17">
        <f>'Rolling report'!CI110*'No Action'!$Y$6</f>
        <v>3.52</v>
      </c>
      <c r="Q110" s="17">
        <f>'Rolling report'!CJ110*'No Action'!$Y$6</f>
        <v>6.6</v>
      </c>
      <c r="R110" s="17">
        <f>'Rolling report'!CK110*'No Action'!$Y$6</f>
        <v>8.8000000000000007</v>
      </c>
      <c r="S110" s="17">
        <f>'Rolling report'!CL110*'No Action'!$Y$6</f>
        <v>7.92</v>
      </c>
      <c r="T110" s="17">
        <f>'Rolling report'!CM110*'No Action'!$Y$6</f>
        <v>10.119999999999999</v>
      </c>
      <c r="U110" s="17">
        <f>'Rolling report'!CN110*'No Action'!$Y$6</f>
        <v>9.24</v>
      </c>
      <c r="V110" s="17">
        <f>'Rolling report'!CO110*'No Action'!$Y$6</f>
        <v>7.92</v>
      </c>
      <c r="W110" s="17">
        <f>'Rolling report'!CP110*'No Action'!$Y$6</f>
        <v>3.52</v>
      </c>
      <c r="X110" s="17">
        <f>'Rolling report'!CQ110*'No Action'!$Y$6</f>
        <v>2.2000000000000002</v>
      </c>
      <c r="Y110" s="17">
        <f>'Rolling report'!CR110*'No Action'!$Y$6</f>
        <v>6.16</v>
      </c>
      <c r="Z110" s="17">
        <f>'Rolling report'!CS110*'No Action'!$Y$6</f>
        <v>5.72</v>
      </c>
      <c r="AA110" s="17">
        <f>'Rolling report'!CT110*'No Action'!$Y$6</f>
        <v>5.28</v>
      </c>
      <c r="AB110" s="17">
        <f>'Rolling report'!CU110*'No Action'!$Y$6</f>
        <v>2.64</v>
      </c>
      <c r="AC110" s="17">
        <f>'Rolling report'!CV110*'No Action'!$Y$6</f>
        <v>6.6</v>
      </c>
      <c r="AD110" s="17">
        <f>'Rolling report'!CW110*'No Action'!$Y$6</f>
        <v>0.88</v>
      </c>
      <c r="AE110" s="17">
        <f>'Rolling report'!CX110*'No Action'!$Y$6</f>
        <v>2.64</v>
      </c>
      <c r="AF110" s="17">
        <f>'Rolling report'!CY110*'No Action'!$Y$6</f>
        <v>-277.2</v>
      </c>
      <c r="AG110" s="17">
        <f>'Rolling report'!CZ110*'No Action'!$Y$6</f>
        <v>0</v>
      </c>
      <c r="AH110" s="17">
        <f>'Rolling report'!DA110*'No Action'!$Y$6</f>
        <v>0</v>
      </c>
      <c r="AI110" s="17">
        <f>'Rolling report'!DB110*'No Action'!$Y$6</f>
        <v>0</v>
      </c>
      <c r="AJ110" s="17">
        <f>'Rolling report'!DC110*'No Action'!$Y$6</f>
        <v>0</v>
      </c>
      <c r="AK110" s="17">
        <f>'Rolling report'!DD110*'No Action'!$Y$6</f>
        <v>0</v>
      </c>
      <c r="AL110" s="17">
        <f>'Rolling report'!DE110*'No Action'!$Y$6</f>
        <v>0</v>
      </c>
      <c r="AM110" s="17">
        <f>'Rolling report'!DF110*'No Action'!$Y$6</f>
        <v>0</v>
      </c>
      <c r="AN110" s="17">
        <f>'Rolling report'!DG110*'No Action'!$Y$6</f>
        <v>0</v>
      </c>
      <c r="AO110" s="17">
        <f>'Rolling report'!DH110*'No Action'!$Y$6</f>
        <v>0</v>
      </c>
      <c r="AQ110" s="45"/>
    </row>
    <row r="111" spans="1:43" x14ac:dyDescent="0.25">
      <c r="A111" s="4" t="s">
        <v>211</v>
      </c>
      <c r="B111" s="6" t="s">
        <v>212</v>
      </c>
      <c r="I111" s="17">
        <f>'Rolling report'!CB111*'No Action'!$Y$6</f>
        <v>9.24</v>
      </c>
      <c r="J111" s="17">
        <f>'Rolling report'!CC111*'No Action'!$Y$6</f>
        <v>1.76</v>
      </c>
      <c r="K111" s="17">
        <f>'Rolling report'!CD111*'No Action'!$Y$6</f>
        <v>2.2000000000000002</v>
      </c>
      <c r="L111" s="17">
        <f>'Rolling report'!CE111*'No Action'!$Y$6</f>
        <v>2.64</v>
      </c>
      <c r="M111" s="17">
        <f>'Rolling report'!CF111*'No Action'!$Y$6</f>
        <v>3.52</v>
      </c>
      <c r="N111" s="17">
        <f>'Rolling report'!CG111*'No Action'!$Y$6</f>
        <v>1.76</v>
      </c>
      <c r="O111" s="17">
        <f>'Rolling report'!CH111*'No Action'!$Y$6</f>
        <v>1.32</v>
      </c>
      <c r="P111" s="17">
        <f>'Rolling report'!CI111*'No Action'!$Y$6</f>
        <v>0</v>
      </c>
      <c r="Q111" s="17">
        <f>'Rolling report'!CJ111*'No Action'!$Y$6</f>
        <v>1.76</v>
      </c>
      <c r="R111" s="17">
        <f>'Rolling report'!CK111*'No Action'!$Y$6</f>
        <v>2.2000000000000002</v>
      </c>
      <c r="S111" s="17">
        <f>'Rolling report'!CL111*'No Action'!$Y$6</f>
        <v>0.44</v>
      </c>
      <c r="T111" s="17">
        <f>'Rolling report'!CM111*'No Action'!$Y$6</f>
        <v>1.32</v>
      </c>
      <c r="U111" s="17">
        <f>'Rolling report'!CN111*'No Action'!$Y$6</f>
        <v>0</v>
      </c>
      <c r="V111" s="17">
        <f>'Rolling report'!CO111*'No Action'!$Y$6</f>
        <v>0</v>
      </c>
      <c r="W111" s="17">
        <f>'Rolling report'!CP111*'No Action'!$Y$6</f>
        <v>0.44</v>
      </c>
      <c r="X111" s="17">
        <f>'Rolling report'!CQ111*'No Action'!$Y$6</f>
        <v>0.88</v>
      </c>
      <c r="Y111" s="17">
        <f>'Rolling report'!CR111*'No Action'!$Y$6</f>
        <v>1.76</v>
      </c>
      <c r="Z111" s="17">
        <f>'Rolling report'!CS111*'No Action'!$Y$6</f>
        <v>0.88</v>
      </c>
      <c r="AA111" s="17">
        <f>'Rolling report'!CT111*'No Action'!$Y$6</f>
        <v>0.88</v>
      </c>
      <c r="AB111" s="17">
        <f>'Rolling report'!CU111*'No Action'!$Y$6</f>
        <v>0.88</v>
      </c>
      <c r="AC111" s="17">
        <f>'Rolling report'!CV111*'No Action'!$Y$6</f>
        <v>0.88</v>
      </c>
      <c r="AD111" s="17">
        <f>'Rolling report'!CW111*'No Action'!$Y$6</f>
        <v>0</v>
      </c>
      <c r="AE111" s="17">
        <f>'Rolling report'!CX111*'No Action'!$Y$6</f>
        <v>2.64</v>
      </c>
      <c r="AF111" s="17">
        <f>'Rolling report'!CY111*'No Action'!$Y$6</f>
        <v>-37.4</v>
      </c>
      <c r="AG111" s="17">
        <f>'Rolling report'!CZ111*'No Action'!$Y$6</f>
        <v>0</v>
      </c>
      <c r="AH111" s="17">
        <f>'Rolling report'!DA111*'No Action'!$Y$6</f>
        <v>0</v>
      </c>
      <c r="AI111" s="17">
        <f>'Rolling report'!DB111*'No Action'!$Y$6</f>
        <v>0</v>
      </c>
      <c r="AJ111" s="17">
        <f>'Rolling report'!DC111*'No Action'!$Y$6</f>
        <v>0</v>
      </c>
      <c r="AK111" s="17">
        <f>'Rolling report'!DD111*'No Action'!$Y$6</f>
        <v>0</v>
      </c>
      <c r="AL111" s="17">
        <f>'Rolling report'!DE111*'No Action'!$Y$6</f>
        <v>0</v>
      </c>
      <c r="AM111" s="17">
        <f>'Rolling report'!DF111*'No Action'!$Y$6</f>
        <v>0</v>
      </c>
      <c r="AN111" s="17">
        <f>'Rolling report'!DG111*'No Action'!$Y$6</f>
        <v>0</v>
      </c>
      <c r="AO111" s="17">
        <f>'Rolling report'!DH111*'No Action'!$Y$6</f>
        <v>0</v>
      </c>
      <c r="AQ111" s="45"/>
    </row>
    <row r="112" spans="1:43" x14ac:dyDescent="0.25">
      <c r="A112" s="4" t="s">
        <v>213</v>
      </c>
      <c r="B112" s="6" t="s">
        <v>214</v>
      </c>
      <c r="I112" s="17">
        <f>'Rolling report'!CB112*'No Action'!$Y$6</f>
        <v>18.48</v>
      </c>
      <c r="J112" s="17">
        <f>'Rolling report'!CC112*'No Action'!$Y$6</f>
        <v>2.64</v>
      </c>
      <c r="K112" s="17">
        <f>'Rolling report'!CD112*'No Action'!$Y$6</f>
        <v>0.88</v>
      </c>
      <c r="L112" s="17">
        <f>'Rolling report'!CE112*'No Action'!$Y$6</f>
        <v>2.64</v>
      </c>
      <c r="M112" s="17">
        <f>'Rolling report'!CF112*'No Action'!$Y$6</f>
        <v>2.64</v>
      </c>
      <c r="N112" s="17">
        <f>'Rolling report'!CG112*'No Action'!$Y$6</f>
        <v>1.76</v>
      </c>
      <c r="O112" s="17">
        <f>'Rolling report'!CH112*'No Action'!$Y$6</f>
        <v>2.2000000000000002</v>
      </c>
      <c r="P112" s="17">
        <f>'Rolling report'!CI112*'No Action'!$Y$6</f>
        <v>3.08</v>
      </c>
      <c r="Q112" s="17">
        <f>'Rolling report'!CJ112*'No Action'!$Y$6</f>
        <v>0.88</v>
      </c>
      <c r="R112" s="17">
        <f>'Rolling report'!CK112*'No Action'!$Y$6</f>
        <v>0.44</v>
      </c>
      <c r="S112" s="17">
        <f>'Rolling report'!CL112*'No Action'!$Y$6</f>
        <v>2.2000000000000002</v>
      </c>
      <c r="T112" s="17">
        <f>'Rolling report'!CM112*'No Action'!$Y$6</f>
        <v>2.64</v>
      </c>
      <c r="U112" s="17">
        <f>'Rolling report'!CN112*'No Action'!$Y$6</f>
        <v>3.52</v>
      </c>
      <c r="V112" s="17">
        <f>'Rolling report'!CO112*'No Action'!$Y$6</f>
        <v>0.88</v>
      </c>
      <c r="W112" s="17">
        <f>'Rolling report'!CP112*'No Action'!$Y$6</f>
        <v>2.2000000000000002</v>
      </c>
      <c r="X112" s="17">
        <f>'Rolling report'!CQ112*'No Action'!$Y$6</f>
        <v>0</v>
      </c>
      <c r="Y112" s="17">
        <f>'Rolling report'!CR112*'No Action'!$Y$6</f>
        <v>0.88</v>
      </c>
      <c r="Z112" s="17">
        <f>'Rolling report'!CS112*'No Action'!$Y$6</f>
        <v>0.44</v>
      </c>
      <c r="AA112" s="17">
        <f>'Rolling report'!CT112*'No Action'!$Y$6</f>
        <v>0.44</v>
      </c>
      <c r="AB112" s="17">
        <f>'Rolling report'!CU112*'No Action'!$Y$6</f>
        <v>1.76</v>
      </c>
      <c r="AC112" s="17">
        <f>'Rolling report'!CV112*'No Action'!$Y$6</f>
        <v>1.32</v>
      </c>
      <c r="AD112" s="17">
        <f>'Rolling report'!CW112*'No Action'!$Y$6</f>
        <v>1.76</v>
      </c>
      <c r="AE112" s="17">
        <f>'Rolling report'!CX112*'No Action'!$Y$6</f>
        <v>0.88</v>
      </c>
      <c r="AF112" s="17">
        <f>'Rolling report'!CY112*'No Action'!$Y$6</f>
        <v>-54.56</v>
      </c>
      <c r="AG112" s="17">
        <f>'Rolling report'!CZ112*'No Action'!$Y$6</f>
        <v>0</v>
      </c>
      <c r="AH112" s="17">
        <f>'Rolling report'!DA112*'No Action'!$Y$6</f>
        <v>0</v>
      </c>
      <c r="AI112" s="17">
        <f>'Rolling report'!DB112*'No Action'!$Y$6</f>
        <v>0</v>
      </c>
      <c r="AJ112" s="17">
        <f>'Rolling report'!DC112*'No Action'!$Y$6</f>
        <v>0</v>
      </c>
      <c r="AK112" s="17">
        <f>'Rolling report'!DD112*'No Action'!$Y$6</f>
        <v>0</v>
      </c>
      <c r="AL112" s="17">
        <f>'Rolling report'!DE112*'No Action'!$Y$6</f>
        <v>0</v>
      </c>
      <c r="AM112" s="17">
        <f>'Rolling report'!DF112*'No Action'!$Y$6</f>
        <v>0</v>
      </c>
      <c r="AN112" s="17">
        <f>'Rolling report'!DG112*'No Action'!$Y$6</f>
        <v>0</v>
      </c>
      <c r="AO112" s="17">
        <f>'Rolling report'!DH112*'No Action'!$Y$6</f>
        <v>0</v>
      </c>
      <c r="AQ112" s="45"/>
    </row>
    <row r="113" spans="1:43" x14ac:dyDescent="0.25">
      <c r="A113" s="4" t="s">
        <v>215</v>
      </c>
      <c r="B113" s="6" t="s">
        <v>216</v>
      </c>
      <c r="I113" s="17">
        <f>'Rolling report'!CB113*'No Action'!$Y$6</f>
        <v>10.56</v>
      </c>
      <c r="J113" s="17">
        <f>'Rolling report'!CC113*'No Action'!$Y$6</f>
        <v>2.64</v>
      </c>
      <c r="K113" s="17">
        <f>'Rolling report'!CD113*'No Action'!$Y$6</f>
        <v>0.88</v>
      </c>
      <c r="L113" s="17">
        <f>'Rolling report'!CE113*'No Action'!$Y$6</f>
        <v>3.08</v>
      </c>
      <c r="M113" s="17">
        <f>'Rolling report'!CF113*'No Action'!$Y$6</f>
        <v>1.32</v>
      </c>
      <c r="N113" s="17">
        <f>'Rolling report'!CG113*'No Action'!$Y$6</f>
        <v>7.48</v>
      </c>
      <c r="O113" s="17">
        <f>'Rolling report'!CH113*'No Action'!$Y$6</f>
        <v>2.64</v>
      </c>
      <c r="P113" s="17">
        <f>'Rolling report'!CI113*'No Action'!$Y$6</f>
        <v>1.76</v>
      </c>
      <c r="Q113" s="17">
        <f>'Rolling report'!CJ113*'No Action'!$Y$6</f>
        <v>0.88</v>
      </c>
      <c r="R113" s="17">
        <f>'Rolling report'!CK113*'No Action'!$Y$6</f>
        <v>4.4000000000000004</v>
      </c>
      <c r="S113" s="17">
        <f>'Rolling report'!CL113*'No Action'!$Y$6</f>
        <v>1.76</v>
      </c>
      <c r="T113" s="17">
        <f>'Rolling report'!CM113*'No Action'!$Y$6</f>
        <v>0</v>
      </c>
      <c r="U113" s="17">
        <f>'Rolling report'!CN113*'No Action'!$Y$6</f>
        <v>1.32</v>
      </c>
      <c r="V113" s="17">
        <f>'Rolling report'!CO113*'No Action'!$Y$6</f>
        <v>0</v>
      </c>
      <c r="W113" s="17">
        <f>'Rolling report'!CP113*'No Action'!$Y$6</f>
        <v>2.64</v>
      </c>
      <c r="X113" s="17">
        <f>'Rolling report'!CQ113*'No Action'!$Y$6</f>
        <v>1.76</v>
      </c>
      <c r="Y113" s="17">
        <f>'Rolling report'!CR113*'No Action'!$Y$6</f>
        <v>2.64</v>
      </c>
      <c r="Z113" s="17">
        <f>'Rolling report'!CS113*'No Action'!$Y$6</f>
        <v>0</v>
      </c>
      <c r="AA113" s="17">
        <f>'Rolling report'!CT113*'No Action'!$Y$6</f>
        <v>1.32</v>
      </c>
      <c r="AB113" s="17">
        <f>'Rolling report'!CU113*'No Action'!$Y$6</f>
        <v>1.76</v>
      </c>
      <c r="AC113" s="17">
        <f>'Rolling report'!CV113*'No Action'!$Y$6</f>
        <v>0.88</v>
      </c>
      <c r="AD113" s="17">
        <f>'Rolling report'!CW113*'No Action'!$Y$6</f>
        <v>0.44</v>
      </c>
      <c r="AE113" s="17">
        <f>'Rolling report'!CX113*'No Action'!$Y$6</f>
        <v>0.88</v>
      </c>
      <c r="AF113" s="17">
        <f>'Rolling report'!CY113*'No Action'!$Y$6</f>
        <v>-51.04</v>
      </c>
      <c r="AG113" s="17">
        <f>'Rolling report'!CZ113*'No Action'!$Y$6</f>
        <v>0</v>
      </c>
      <c r="AH113" s="17">
        <f>'Rolling report'!DA113*'No Action'!$Y$6</f>
        <v>0</v>
      </c>
      <c r="AI113" s="17">
        <f>'Rolling report'!DB113*'No Action'!$Y$6</f>
        <v>0</v>
      </c>
      <c r="AJ113" s="17">
        <f>'Rolling report'!DC113*'No Action'!$Y$6</f>
        <v>0</v>
      </c>
      <c r="AK113" s="17">
        <f>'Rolling report'!DD113*'No Action'!$Y$6</f>
        <v>0</v>
      </c>
      <c r="AL113" s="17">
        <f>'Rolling report'!DE113*'No Action'!$Y$6</f>
        <v>0</v>
      </c>
      <c r="AM113" s="17">
        <f>'Rolling report'!DF113*'No Action'!$Y$6</f>
        <v>0</v>
      </c>
      <c r="AN113" s="17">
        <f>'Rolling report'!DG113*'No Action'!$Y$6</f>
        <v>0</v>
      </c>
      <c r="AO113" s="17">
        <f>'Rolling report'!DH113*'No Action'!$Y$6</f>
        <v>0</v>
      </c>
      <c r="AQ113" s="45"/>
    </row>
    <row r="114" spans="1:43" x14ac:dyDescent="0.25">
      <c r="A114" s="4" t="s">
        <v>217</v>
      </c>
      <c r="B114" s="6" t="s">
        <v>218</v>
      </c>
      <c r="I114" s="17">
        <f>'Rolling report'!CB114*'No Action'!$Y$6</f>
        <v>22.44</v>
      </c>
      <c r="J114" s="17">
        <f>'Rolling report'!CC114*'No Action'!$Y$6</f>
        <v>9.68</v>
      </c>
      <c r="K114" s="17">
        <f>'Rolling report'!CD114*'No Action'!$Y$6</f>
        <v>2.2000000000000002</v>
      </c>
      <c r="L114" s="17">
        <f>'Rolling report'!CE114*'No Action'!$Y$6</f>
        <v>2.2000000000000002</v>
      </c>
      <c r="M114" s="17">
        <f>'Rolling report'!CF114*'No Action'!$Y$6</f>
        <v>4.84</v>
      </c>
      <c r="N114" s="17">
        <f>'Rolling report'!CG114*'No Action'!$Y$6</f>
        <v>2.2000000000000002</v>
      </c>
      <c r="O114" s="17">
        <f>'Rolling report'!CH114*'No Action'!$Y$6</f>
        <v>6.6</v>
      </c>
      <c r="P114" s="17">
        <f>'Rolling report'!CI114*'No Action'!$Y$6</f>
        <v>4.4000000000000004</v>
      </c>
      <c r="Q114" s="17">
        <f>'Rolling report'!CJ114*'No Action'!$Y$6</f>
        <v>0.44</v>
      </c>
      <c r="R114" s="17">
        <f>'Rolling report'!CK114*'No Action'!$Y$6</f>
        <v>0</v>
      </c>
      <c r="S114" s="17">
        <f>'Rolling report'!CL114*'No Action'!$Y$6</f>
        <v>1.32</v>
      </c>
      <c r="T114" s="17">
        <f>'Rolling report'!CM114*'No Action'!$Y$6</f>
        <v>1.76</v>
      </c>
      <c r="U114" s="17">
        <f>'Rolling report'!CN114*'No Action'!$Y$6</f>
        <v>3.96</v>
      </c>
      <c r="V114" s="17">
        <f>'Rolling report'!CO114*'No Action'!$Y$6</f>
        <v>2.64</v>
      </c>
      <c r="W114" s="17">
        <f>'Rolling report'!CP114*'No Action'!$Y$6</f>
        <v>1.32</v>
      </c>
      <c r="X114" s="17">
        <f>'Rolling report'!CQ114*'No Action'!$Y$6</f>
        <v>1.76</v>
      </c>
      <c r="Y114" s="17">
        <f>'Rolling report'!CR114*'No Action'!$Y$6</f>
        <v>1.76</v>
      </c>
      <c r="Z114" s="17">
        <f>'Rolling report'!CS114*'No Action'!$Y$6</f>
        <v>0.88</v>
      </c>
      <c r="AA114" s="17">
        <f>'Rolling report'!CT114*'No Action'!$Y$6</f>
        <v>0.88</v>
      </c>
      <c r="AB114" s="17">
        <f>'Rolling report'!CU114*'No Action'!$Y$6</f>
        <v>3.96</v>
      </c>
      <c r="AC114" s="17">
        <f>'Rolling report'!CV114*'No Action'!$Y$6</f>
        <v>3.96</v>
      </c>
      <c r="AD114" s="17">
        <f>'Rolling report'!CW114*'No Action'!$Y$6</f>
        <v>1.32</v>
      </c>
      <c r="AE114" s="17">
        <f>'Rolling report'!CX114*'No Action'!$Y$6</f>
        <v>3.96</v>
      </c>
      <c r="AF114" s="17">
        <f>'Rolling report'!CY114*'No Action'!$Y$6</f>
        <v>-84.48</v>
      </c>
      <c r="AG114" s="17">
        <f>'Rolling report'!CZ114*'No Action'!$Y$6</f>
        <v>0</v>
      </c>
      <c r="AH114" s="17">
        <f>'Rolling report'!DA114*'No Action'!$Y$6</f>
        <v>0</v>
      </c>
      <c r="AI114" s="17">
        <f>'Rolling report'!DB114*'No Action'!$Y$6</f>
        <v>0</v>
      </c>
      <c r="AJ114" s="17">
        <f>'Rolling report'!DC114*'No Action'!$Y$6</f>
        <v>0</v>
      </c>
      <c r="AK114" s="17">
        <f>'Rolling report'!DD114*'No Action'!$Y$6</f>
        <v>0</v>
      </c>
      <c r="AL114" s="17">
        <f>'Rolling report'!DE114*'No Action'!$Y$6</f>
        <v>0</v>
      </c>
      <c r="AM114" s="17">
        <f>'Rolling report'!DF114*'No Action'!$Y$6</f>
        <v>0</v>
      </c>
      <c r="AN114" s="17">
        <f>'Rolling report'!DG114*'No Action'!$Y$6</f>
        <v>0</v>
      </c>
      <c r="AO114" s="17">
        <f>'Rolling report'!DH114*'No Action'!$Y$6</f>
        <v>0</v>
      </c>
      <c r="AQ114" s="45"/>
    </row>
    <row r="115" spans="1:43" x14ac:dyDescent="0.25">
      <c r="A115" s="4" t="s">
        <v>219</v>
      </c>
      <c r="B115" s="6" t="s">
        <v>220</v>
      </c>
      <c r="I115" s="17">
        <f>'Rolling report'!CB115*'No Action'!$Y$6</f>
        <v>6.16</v>
      </c>
      <c r="J115" s="17">
        <f>'Rolling report'!CC115*'No Action'!$Y$6</f>
        <v>4.84</v>
      </c>
      <c r="K115" s="17">
        <f>'Rolling report'!CD115*'No Action'!$Y$6</f>
        <v>0</v>
      </c>
      <c r="L115" s="17">
        <f>'Rolling report'!CE115*'No Action'!$Y$6</f>
        <v>0</v>
      </c>
      <c r="M115" s="17">
        <f>'Rolling report'!CF115*'No Action'!$Y$6</f>
        <v>0</v>
      </c>
      <c r="N115" s="17">
        <f>'Rolling report'!CG115*'No Action'!$Y$6</f>
        <v>3.08</v>
      </c>
      <c r="O115" s="17">
        <f>'Rolling report'!CH115*'No Action'!$Y$6</f>
        <v>3.52</v>
      </c>
      <c r="P115" s="17">
        <f>'Rolling report'!CI115*'No Action'!$Y$6</f>
        <v>0</v>
      </c>
      <c r="Q115" s="17">
        <f>'Rolling report'!CJ115*'No Action'!$Y$6</f>
        <v>0</v>
      </c>
      <c r="R115" s="17">
        <f>'Rolling report'!CK115*'No Action'!$Y$6</f>
        <v>2.64</v>
      </c>
      <c r="S115" s="17">
        <f>'Rolling report'!CL115*'No Action'!$Y$6</f>
        <v>0.44</v>
      </c>
      <c r="T115" s="17">
        <f>'Rolling report'!CM115*'No Action'!$Y$6</f>
        <v>3.96</v>
      </c>
      <c r="U115" s="17">
        <f>'Rolling report'!CN115*'No Action'!$Y$6</f>
        <v>0.44</v>
      </c>
      <c r="V115" s="17">
        <f>'Rolling report'!CO115*'No Action'!$Y$6</f>
        <v>3.96</v>
      </c>
      <c r="W115" s="17">
        <f>'Rolling report'!CP115*'No Action'!$Y$6</f>
        <v>0.44</v>
      </c>
      <c r="X115" s="17">
        <f>'Rolling report'!CQ115*'No Action'!$Y$6</f>
        <v>0.44</v>
      </c>
      <c r="Y115" s="17">
        <f>'Rolling report'!CR115*'No Action'!$Y$6</f>
        <v>0.88</v>
      </c>
      <c r="Z115" s="17">
        <f>'Rolling report'!CS115*'No Action'!$Y$6</f>
        <v>0</v>
      </c>
      <c r="AA115" s="17">
        <f>'Rolling report'!CT115*'No Action'!$Y$6</f>
        <v>0.44</v>
      </c>
      <c r="AB115" s="17">
        <f>'Rolling report'!CU115*'No Action'!$Y$6</f>
        <v>2.2000000000000002</v>
      </c>
      <c r="AC115" s="17">
        <f>'Rolling report'!CV115*'No Action'!$Y$6</f>
        <v>1.32</v>
      </c>
      <c r="AD115" s="17">
        <f>'Rolling report'!CW115*'No Action'!$Y$6</f>
        <v>0</v>
      </c>
      <c r="AE115" s="17">
        <f>'Rolling report'!CX115*'No Action'!$Y$6</f>
        <v>1.76</v>
      </c>
      <c r="AF115" s="17">
        <f>'Rolling report'!CY115*'No Action'!$Y$6</f>
        <v>-36.520000000000003</v>
      </c>
      <c r="AG115" s="17">
        <f>'Rolling report'!CZ115*'No Action'!$Y$6</f>
        <v>0</v>
      </c>
      <c r="AH115" s="17">
        <f>'Rolling report'!DA115*'No Action'!$Y$6</f>
        <v>0</v>
      </c>
      <c r="AI115" s="17">
        <f>'Rolling report'!DB115*'No Action'!$Y$6</f>
        <v>0</v>
      </c>
      <c r="AJ115" s="17">
        <f>'Rolling report'!DC115*'No Action'!$Y$6</f>
        <v>0</v>
      </c>
      <c r="AK115" s="17">
        <f>'Rolling report'!DD115*'No Action'!$Y$6</f>
        <v>0</v>
      </c>
      <c r="AL115" s="17">
        <f>'Rolling report'!DE115*'No Action'!$Y$6</f>
        <v>0</v>
      </c>
      <c r="AM115" s="17">
        <f>'Rolling report'!DF115*'No Action'!$Y$6</f>
        <v>0</v>
      </c>
      <c r="AN115" s="17">
        <f>'Rolling report'!DG115*'No Action'!$Y$6</f>
        <v>0</v>
      </c>
      <c r="AO115" s="17">
        <f>'Rolling report'!DH115*'No Action'!$Y$6</f>
        <v>0</v>
      </c>
      <c r="AQ115" s="45"/>
    </row>
    <row r="116" spans="1:43" x14ac:dyDescent="0.25">
      <c r="A116" s="4" t="s">
        <v>221</v>
      </c>
      <c r="B116" s="6" t="s">
        <v>222</v>
      </c>
      <c r="I116" s="17">
        <f>'Rolling report'!CB116*'No Action'!$Y$6</f>
        <v>31.24</v>
      </c>
      <c r="J116" s="17">
        <f>'Rolling report'!CC116*'No Action'!$Y$6</f>
        <v>7.92</v>
      </c>
      <c r="K116" s="17">
        <f>'Rolling report'!CD116*'No Action'!$Y$6</f>
        <v>4.4000000000000004</v>
      </c>
      <c r="L116" s="17">
        <f>'Rolling report'!CE116*'No Action'!$Y$6</f>
        <v>7.48</v>
      </c>
      <c r="M116" s="17">
        <f>'Rolling report'!CF116*'No Action'!$Y$6</f>
        <v>5.72</v>
      </c>
      <c r="N116" s="17">
        <f>'Rolling report'!CG116*'No Action'!$Y$6</f>
        <v>3.96</v>
      </c>
      <c r="O116" s="17">
        <f>'Rolling report'!CH116*'No Action'!$Y$6</f>
        <v>4.84</v>
      </c>
      <c r="P116" s="17">
        <f>'Rolling report'!CI116*'No Action'!$Y$6</f>
        <v>2.64</v>
      </c>
      <c r="Q116" s="17">
        <f>'Rolling report'!CJ116*'No Action'!$Y$6</f>
        <v>2.64</v>
      </c>
      <c r="R116" s="17">
        <f>'Rolling report'!CK116*'No Action'!$Y$6</f>
        <v>5.28</v>
      </c>
      <c r="S116" s="17">
        <f>'Rolling report'!CL116*'No Action'!$Y$6</f>
        <v>0.88</v>
      </c>
      <c r="T116" s="17">
        <f>'Rolling report'!CM116*'No Action'!$Y$6</f>
        <v>0.88</v>
      </c>
      <c r="U116" s="17">
        <f>'Rolling report'!CN116*'No Action'!$Y$6</f>
        <v>0.44</v>
      </c>
      <c r="V116" s="17">
        <f>'Rolling report'!CO116*'No Action'!$Y$6</f>
        <v>3.08</v>
      </c>
      <c r="W116" s="17">
        <f>'Rolling report'!CP116*'No Action'!$Y$6</f>
        <v>1.32</v>
      </c>
      <c r="X116" s="17">
        <f>'Rolling report'!CQ116*'No Action'!$Y$6</f>
        <v>0</v>
      </c>
      <c r="Y116" s="17">
        <f>'Rolling report'!CR116*'No Action'!$Y$6</f>
        <v>2.64</v>
      </c>
      <c r="Z116" s="17">
        <f>'Rolling report'!CS116*'No Action'!$Y$6</f>
        <v>0</v>
      </c>
      <c r="AA116" s="17">
        <f>'Rolling report'!CT116*'No Action'!$Y$6</f>
        <v>1.32</v>
      </c>
      <c r="AB116" s="17">
        <f>'Rolling report'!CU116*'No Action'!$Y$6</f>
        <v>0.88</v>
      </c>
      <c r="AC116" s="17">
        <f>'Rolling report'!CV116*'No Action'!$Y$6</f>
        <v>2.2000000000000002</v>
      </c>
      <c r="AD116" s="17">
        <f>'Rolling report'!CW116*'No Action'!$Y$6</f>
        <v>-0.44</v>
      </c>
      <c r="AE116" s="17">
        <f>'Rolling report'!CX116*'No Action'!$Y$6</f>
        <v>0.88</v>
      </c>
      <c r="AF116" s="17">
        <f>'Rolling report'!CY116*'No Action'!$Y$6</f>
        <v>-90.2</v>
      </c>
      <c r="AG116" s="17">
        <f>'Rolling report'!CZ116*'No Action'!$Y$6</f>
        <v>0</v>
      </c>
      <c r="AH116" s="17">
        <f>'Rolling report'!DA116*'No Action'!$Y$6</f>
        <v>0</v>
      </c>
      <c r="AI116" s="17">
        <f>'Rolling report'!DB116*'No Action'!$Y$6</f>
        <v>0</v>
      </c>
      <c r="AJ116" s="17">
        <f>'Rolling report'!DC116*'No Action'!$Y$6</f>
        <v>0</v>
      </c>
      <c r="AK116" s="17">
        <f>'Rolling report'!DD116*'No Action'!$Y$6</f>
        <v>0</v>
      </c>
      <c r="AL116" s="17">
        <f>'Rolling report'!DE116*'No Action'!$Y$6</f>
        <v>0</v>
      </c>
      <c r="AM116" s="17">
        <f>'Rolling report'!DF116*'No Action'!$Y$6</f>
        <v>0</v>
      </c>
      <c r="AN116" s="17">
        <f>'Rolling report'!DG116*'No Action'!$Y$6</f>
        <v>0</v>
      </c>
      <c r="AO116" s="17">
        <f>'Rolling report'!DH116*'No Action'!$Y$6</f>
        <v>0</v>
      </c>
      <c r="AQ116" s="45"/>
    </row>
    <row r="117" spans="1:43" x14ac:dyDescent="0.25">
      <c r="A117" s="4" t="s">
        <v>223</v>
      </c>
      <c r="B117" s="6" t="s">
        <v>224</v>
      </c>
      <c r="I117" s="17">
        <f>'Rolling report'!CB117*'No Action'!$Y$6</f>
        <v>70.84</v>
      </c>
      <c r="J117" s="17">
        <f>'Rolling report'!CC117*'No Action'!$Y$6</f>
        <v>11.44</v>
      </c>
      <c r="K117" s="17">
        <f>'Rolling report'!CD117*'No Action'!$Y$6</f>
        <v>11.88</v>
      </c>
      <c r="L117" s="17">
        <f>'Rolling report'!CE117*'No Action'!$Y$6</f>
        <v>11</v>
      </c>
      <c r="M117" s="17">
        <f>'Rolling report'!CF117*'No Action'!$Y$6</f>
        <v>7.92</v>
      </c>
      <c r="N117" s="17">
        <f>'Rolling report'!CG117*'No Action'!$Y$6</f>
        <v>5.72</v>
      </c>
      <c r="O117" s="17">
        <f>'Rolling report'!CH117*'No Action'!$Y$6</f>
        <v>19.36</v>
      </c>
      <c r="P117" s="17">
        <f>'Rolling report'!CI117*'No Action'!$Y$6</f>
        <v>9.24</v>
      </c>
      <c r="Q117" s="17">
        <f>'Rolling report'!CJ117*'No Action'!$Y$6</f>
        <v>12.76</v>
      </c>
      <c r="R117" s="17">
        <f>'Rolling report'!CK117*'No Action'!$Y$6</f>
        <v>8.8000000000000007</v>
      </c>
      <c r="S117" s="17">
        <f>'Rolling report'!CL117*'No Action'!$Y$6</f>
        <v>6.6</v>
      </c>
      <c r="T117" s="17">
        <f>'Rolling report'!CM117*'No Action'!$Y$6</f>
        <v>9.68</v>
      </c>
      <c r="U117" s="17">
        <f>'Rolling report'!CN117*'No Action'!$Y$6</f>
        <v>7.92</v>
      </c>
      <c r="V117" s="17">
        <f>'Rolling report'!CO117*'No Action'!$Y$6</f>
        <v>10.119999999999999</v>
      </c>
      <c r="W117" s="17">
        <f>'Rolling report'!CP117*'No Action'!$Y$6</f>
        <v>3.08</v>
      </c>
      <c r="X117" s="17">
        <f>'Rolling report'!CQ117*'No Action'!$Y$6</f>
        <v>4.84</v>
      </c>
      <c r="Y117" s="17">
        <f>'Rolling report'!CR117*'No Action'!$Y$6</f>
        <v>4.84</v>
      </c>
      <c r="Z117" s="17">
        <f>'Rolling report'!CS117*'No Action'!$Y$6</f>
        <v>1.76</v>
      </c>
      <c r="AA117" s="17">
        <f>'Rolling report'!CT117*'No Action'!$Y$6</f>
        <v>3.96</v>
      </c>
      <c r="AB117" s="17">
        <f>'Rolling report'!CU117*'No Action'!$Y$6</f>
        <v>3.08</v>
      </c>
      <c r="AC117" s="17">
        <f>'Rolling report'!CV117*'No Action'!$Y$6</f>
        <v>2.64</v>
      </c>
      <c r="AD117" s="17">
        <f>'Rolling report'!CW117*'No Action'!$Y$6</f>
        <v>1.76</v>
      </c>
      <c r="AE117" s="17">
        <f>'Rolling report'!CX117*'No Action'!$Y$6</f>
        <v>2.64</v>
      </c>
      <c r="AF117" s="17">
        <f>'Rolling report'!CY117*'No Action'!$Y$6</f>
        <v>-231.88</v>
      </c>
      <c r="AG117" s="17">
        <f>'Rolling report'!CZ117*'No Action'!$Y$6</f>
        <v>0</v>
      </c>
      <c r="AH117" s="17">
        <f>'Rolling report'!DA117*'No Action'!$Y$6</f>
        <v>0</v>
      </c>
      <c r="AI117" s="17">
        <f>'Rolling report'!DB117*'No Action'!$Y$6</f>
        <v>0</v>
      </c>
      <c r="AJ117" s="17">
        <f>'Rolling report'!DC117*'No Action'!$Y$6</f>
        <v>0</v>
      </c>
      <c r="AK117" s="17">
        <f>'Rolling report'!DD117*'No Action'!$Y$6</f>
        <v>0</v>
      </c>
      <c r="AL117" s="17">
        <f>'Rolling report'!DE117*'No Action'!$Y$6</f>
        <v>0</v>
      </c>
      <c r="AM117" s="17">
        <f>'Rolling report'!DF117*'No Action'!$Y$6</f>
        <v>0</v>
      </c>
      <c r="AN117" s="17">
        <f>'Rolling report'!DG117*'No Action'!$Y$6</f>
        <v>0</v>
      </c>
      <c r="AO117" s="17">
        <f>'Rolling report'!DH117*'No Action'!$Y$6</f>
        <v>0</v>
      </c>
      <c r="AQ117" s="45"/>
    </row>
    <row r="118" spans="1:43" x14ac:dyDescent="0.25">
      <c r="A118" s="4" t="s">
        <v>225</v>
      </c>
      <c r="B118" s="6" t="s">
        <v>226</v>
      </c>
      <c r="I118" s="17">
        <f>'Rolling report'!CB118*'No Action'!$Y$6</f>
        <v>66.88</v>
      </c>
      <c r="J118" s="17">
        <f>'Rolling report'!CC118*'No Action'!$Y$6</f>
        <v>12.32</v>
      </c>
      <c r="K118" s="17">
        <f>'Rolling report'!CD118*'No Action'!$Y$6</f>
        <v>12.76</v>
      </c>
      <c r="L118" s="17">
        <f>'Rolling report'!CE118*'No Action'!$Y$6</f>
        <v>18.920000000000002</v>
      </c>
      <c r="M118" s="17">
        <f>'Rolling report'!CF118*'No Action'!$Y$6</f>
        <v>10.56</v>
      </c>
      <c r="N118" s="17">
        <f>'Rolling report'!CG118*'No Action'!$Y$6</f>
        <v>9.68</v>
      </c>
      <c r="O118" s="17">
        <f>'Rolling report'!CH118*'No Action'!$Y$6</f>
        <v>10.56</v>
      </c>
      <c r="P118" s="17">
        <f>'Rolling report'!CI118*'No Action'!$Y$6</f>
        <v>7.48</v>
      </c>
      <c r="Q118" s="17">
        <f>'Rolling report'!CJ118*'No Action'!$Y$6</f>
        <v>4.84</v>
      </c>
      <c r="R118" s="17">
        <f>'Rolling report'!CK118*'No Action'!$Y$6</f>
        <v>6.6</v>
      </c>
      <c r="S118" s="17">
        <f>'Rolling report'!CL118*'No Action'!$Y$6</f>
        <v>3.52</v>
      </c>
      <c r="T118" s="17">
        <f>'Rolling report'!CM118*'No Action'!$Y$6</f>
        <v>4.4000000000000004</v>
      </c>
      <c r="U118" s="17">
        <f>'Rolling report'!CN118*'No Action'!$Y$6</f>
        <v>7.48</v>
      </c>
      <c r="V118" s="17">
        <f>'Rolling report'!CO118*'No Action'!$Y$6</f>
        <v>8.36</v>
      </c>
      <c r="W118" s="17">
        <f>'Rolling report'!CP118*'No Action'!$Y$6</f>
        <v>8.8000000000000007</v>
      </c>
      <c r="X118" s="17">
        <f>'Rolling report'!CQ118*'No Action'!$Y$6</f>
        <v>4.84</v>
      </c>
      <c r="Y118" s="17">
        <f>'Rolling report'!CR118*'No Action'!$Y$6</f>
        <v>1.76</v>
      </c>
      <c r="Z118" s="17">
        <f>'Rolling report'!CS118*'No Action'!$Y$6</f>
        <v>3.08</v>
      </c>
      <c r="AA118" s="17">
        <f>'Rolling report'!CT118*'No Action'!$Y$6</f>
        <v>3.96</v>
      </c>
      <c r="AB118" s="17">
        <f>'Rolling report'!CU118*'No Action'!$Y$6</f>
        <v>10.119999999999999</v>
      </c>
      <c r="AC118" s="17">
        <f>'Rolling report'!CV118*'No Action'!$Y$6</f>
        <v>9.68</v>
      </c>
      <c r="AD118" s="17">
        <f>'Rolling report'!CW118*'No Action'!$Y$6</f>
        <v>3.52</v>
      </c>
      <c r="AE118" s="17">
        <f>'Rolling report'!CX118*'No Action'!$Y$6</f>
        <v>7.48</v>
      </c>
      <c r="AF118" s="17">
        <f>'Rolling report'!CY118*'No Action'!$Y$6</f>
        <v>-237.6</v>
      </c>
      <c r="AG118" s="17">
        <f>'Rolling report'!CZ118*'No Action'!$Y$6</f>
        <v>0</v>
      </c>
      <c r="AH118" s="17">
        <f>'Rolling report'!DA118*'No Action'!$Y$6</f>
        <v>0</v>
      </c>
      <c r="AI118" s="17">
        <f>'Rolling report'!DB118*'No Action'!$Y$6</f>
        <v>0</v>
      </c>
      <c r="AJ118" s="17">
        <f>'Rolling report'!DC118*'No Action'!$Y$6</f>
        <v>0</v>
      </c>
      <c r="AK118" s="17">
        <f>'Rolling report'!DD118*'No Action'!$Y$6</f>
        <v>0</v>
      </c>
      <c r="AL118" s="17">
        <f>'Rolling report'!DE118*'No Action'!$Y$6</f>
        <v>0</v>
      </c>
      <c r="AM118" s="17">
        <f>'Rolling report'!DF118*'No Action'!$Y$6</f>
        <v>0</v>
      </c>
      <c r="AN118" s="17">
        <f>'Rolling report'!DG118*'No Action'!$Y$6</f>
        <v>0</v>
      </c>
      <c r="AO118" s="17">
        <f>'Rolling report'!DH118*'No Action'!$Y$6</f>
        <v>0</v>
      </c>
      <c r="AQ118" s="45"/>
    </row>
    <row r="119" spans="1:43" x14ac:dyDescent="0.25">
      <c r="A119" s="4" t="s">
        <v>227</v>
      </c>
      <c r="B119" s="6" t="s">
        <v>228</v>
      </c>
      <c r="I119" s="17">
        <f>'Rolling report'!CB119*'No Action'!$Y$6</f>
        <v>6.16</v>
      </c>
      <c r="J119" s="17">
        <f>'Rolling report'!CC119*'No Action'!$Y$6</f>
        <v>4.84</v>
      </c>
      <c r="K119" s="17">
        <f>'Rolling report'!CD119*'No Action'!$Y$6</f>
        <v>0</v>
      </c>
      <c r="L119" s="17">
        <f>'Rolling report'!CE119*'No Action'!$Y$6</f>
        <v>0</v>
      </c>
      <c r="M119" s="17">
        <f>'Rolling report'!CF119*'No Action'!$Y$6</f>
        <v>0</v>
      </c>
      <c r="N119" s="17">
        <f>'Rolling report'!CG119*'No Action'!$Y$6</f>
        <v>2.2000000000000002</v>
      </c>
      <c r="O119" s="17">
        <f>'Rolling report'!CH119*'No Action'!$Y$6</f>
        <v>4.4000000000000004</v>
      </c>
      <c r="P119" s="17">
        <f>'Rolling report'!CI119*'No Action'!$Y$6</f>
        <v>0</v>
      </c>
      <c r="Q119" s="17">
        <f>'Rolling report'!CJ119*'No Action'!$Y$6</f>
        <v>0</v>
      </c>
      <c r="R119" s="17">
        <f>'Rolling report'!CK119*'No Action'!$Y$6</f>
        <v>0</v>
      </c>
      <c r="S119" s="17">
        <f>'Rolling report'!CL119*'No Action'!$Y$6</f>
        <v>2.2000000000000002</v>
      </c>
      <c r="T119" s="17">
        <f>'Rolling report'!CM119*'No Action'!$Y$6</f>
        <v>-3.08</v>
      </c>
      <c r="U119" s="17">
        <f>'Rolling report'!CN119*'No Action'!$Y$6</f>
        <v>3.08</v>
      </c>
      <c r="V119" s="17">
        <f>'Rolling report'!CO119*'No Action'!$Y$6</f>
        <v>0</v>
      </c>
      <c r="W119" s="17">
        <f>'Rolling report'!CP119*'No Action'!$Y$6</f>
        <v>0</v>
      </c>
      <c r="X119" s="17">
        <f>'Rolling report'!CQ119*'No Action'!$Y$6</f>
        <v>0</v>
      </c>
      <c r="Y119" s="17">
        <f>'Rolling report'!CR119*'No Action'!$Y$6</f>
        <v>0</v>
      </c>
      <c r="Z119" s="17">
        <f>'Rolling report'!CS119*'No Action'!$Y$6</f>
        <v>0</v>
      </c>
      <c r="AA119" s="17">
        <f>'Rolling report'!CT119*'No Action'!$Y$6</f>
        <v>2.2000000000000002</v>
      </c>
      <c r="AB119" s="17">
        <f>'Rolling report'!CU119*'No Action'!$Y$6</f>
        <v>0</v>
      </c>
      <c r="AC119" s="17">
        <f>'Rolling report'!CV119*'No Action'!$Y$6</f>
        <v>2.2000000000000002</v>
      </c>
      <c r="AD119" s="17">
        <f>'Rolling report'!CW119*'No Action'!$Y$6</f>
        <v>-2.64</v>
      </c>
      <c r="AE119" s="17">
        <f>'Rolling report'!CX119*'No Action'!$Y$6</f>
        <v>0</v>
      </c>
      <c r="AF119" s="17">
        <f>'Rolling report'!CY119*'No Action'!$Y$6</f>
        <v>-21.56</v>
      </c>
      <c r="AG119" s="17">
        <f>'Rolling report'!CZ119*'No Action'!$Y$6</f>
        <v>0</v>
      </c>
      <c r="AH119" s="17">
        <f>'Rolling report'!DA119*'No Action'!$Y$6</f>
        <v>0</v>
      </c>
      <c r="AI119" s="17">
        <f>'Rolling report'!DB119*'No Action'!$Y$6</f>
        <v>0</v>
      </c>
      <c r="AJ119" s="17">
        <f>'Rolling report'!DC119*'No Action'!$Y$6</f>
        <v>0</v>
      </c>
      <c r="AK119" s="17">
        <f>'Rolling report'!DD119*'No Action'!$Y$6</f>
        <v>0</v>
      </c>
      <c r="AL119" s="17">
        <f>'Rolling report'!DE119*'No Action'!$Y$6</f>
        <v>0</v>
      </c>
      <c r="AM119" s="17">
        <f>'Rolling report'!DF119*'No Action'!$Y$6</f>
        <v>0</v>
      </c>
      <c r="AN119" s="17">
        <f>'Rolling report'!DG119*'No Action'!$Y$6</f>
        <v>0</v>
      </c>
      <c r="AO119" s="17">
        <f>'Rolling report'!DH119*'No Action'!$Y$6</f>
        <v>0</v>
      </c>
      <c r="AQ119" s="45"/>
    </row>
    <row r="120" spans="1:43" x14ac:dyDescent="0.25">
      <c r="A120" s="4" t="s">
        <v>229</v>
      </c>
      <c r="B120" s="6" t="s">
        <v>230</v>
      </c>
      <c r="I120" s="17">
        <f>'Rolling report'!CB120*'No Action'!$Y$6</f>
        <v>31.68</v>
      </c>
      <c r="J120" s="17">
        <f>'Rolling report'!CC120*'No Action'!$Y$6</f>
        <v>3.52</v>
      </c>
      <c r="K120" s="17">
        <f>'Rolling report'!CD120*'No Action'!$Y$6</f>
        <v>3.96</v>
      </c>
      <c r="L120" s="17">
        <f>'Rolling report'!CE120*'No Action'!$Y$6</f>
        <v>7.92</v>
      </c>
      <c r="M120" s="17">
        <f>'Rolling report'!CF120*'No Action'!$Y$6</f>
        <v>3.96</v>
      </c>
      <c r="N120" s="17">
        <f>'Rolling report'!CG120*'No Action'!$Y$6</f>
        <v>2.2000000000000002</v>
      </c>
      <c r="O120" s="17">
        <f>'Rolling report'!CH120*'No Action'!$Y$6</f>
        <v>7.04</v>
      </c>
      <c r="P120" s="17">
        <f>'Rolling report'!CI120*'No Action'!$Y$6</f>
        <v>0</v>
      </c>
      <c r="Q120" s="17">
        <f>'Rolling report'!CJ120*'No Action'!$Y$6</f>
        <v>7.04</v>
      </c>
      <c r="R120" s="17">
        <f>'Rolling report'!CK120*'No Action'!$Y$6</f>
        <v>2.2000000000000002</v>
      </c>
      <c r="S120" s="17">
        <f>'Rolling report'!CL120*'No Action'!$Y$6</f>
        <v>1.32</v>
      </c>
      <c r="T120" s="17">
        <f>'Rolling report'!CM120*'No Action'!$Y$6</f>
        <v>5.72</v>
      </c>
      <c r="U120" s="17">
        <f>'Rolling report'!CN120*'No Action'!$Y$6</f>
        <v>3.52</v>
      </c>
      <c r="V120" s="17">
        <f>'Rolling report'!CO120*'No Action'!$Y$6</f>
        <v>0</v>
      </c>
      <c r="W120" s="17">
        <f>'Rolling report'!CP120*'No Action'!$Y$6</f>
        <v>0</v>
      </c>
      <c r="X120" s="17">
        <f>'Rolling report'!CQ120*'No Action'!$Y$6</f>
        <v>0</v>
      </c>
      <c r="Y120" s="17">
        <f>'Rolling report'!CR120*'No Action'!$Y$6</f>
        <v>0.88</v>
      </c>
      <c r="Z120" s="17">
        <f>'Rolling report'!CS120*'No Action'!$Y$6</f>
        <v>3.08</v>
      </c>
      <c r="AA120" s="17">
        <f>'Rolling report'!CT120*'No Action'!$Y$6</f>
        <v>1.76</v>
      </c>
      <c r="AB120" s="17">
        <f>'Rolling report'!CU120*'No Action'!$Y$6</f>
        <v>2.64</v>
      </c>
      <c r="AC120" s="17">
        <f>'Rolling report'!CV120*'No Action'!$Y$6</f>
        <v>0.88</v>
      </c>
      <c r="AD120" s="17">
        <f>'Rolling report'!CW120*'No Action'!$Y$6</f>
        <v>1.32</v>
      </c>
      <c r="AE120" s="17">
        <f>'Rolling report'!CX120*'No Action'!$Y$6</f>
        <v>0.44</v>
      </c>
      <c r="AF120" s="17">
        <f>'Rolling report'!CY120*'No Action'!$Y$6</f>
        <v>-91.08</v>
      </c>
      <c r="AG120" s="17">
        <f>'Rolling report'!CZ120*'No Action'!$Y$6</f>
        <v>0</v>
      </c>
      <c r="AH120" s="17">
        <f>'Rolling report'!DA120*'No Action'!$Y$6</f>
        <v>0</v>
      </c>
      <c r="AI120" s="17">
        <f>'Rolling report'!DB120*'No Action'!$Y$6</f>
        <v>0</v>
      </c>
      <c r="AJ120" s="17">
        <f>'Rolling report'!DC120*'No Action'!$Y$6</f>
        <v>0</v>
      </c>
      <c r="AK120" s="17">
        <f>'Rolling report'!DD120*'No Action'!$Y$6</f>
        <v>0</v>
      </c>
      <c r="AL120" s="17">
        <f>'Rolling report'!DE120*'No Action'!$Y$6</f>
        <v>0</v>
      </c>
      <c r="AM120" s="17">
        <f>'Rolling report'!DF120*'No Action'!$Y$6</f>
        <v>0</v>
      </c>
      <c r="AN120" s="17">
        <f>'Rolling report'!DG120*'No Action'!$Y$6</f>
        <v>0</v>
      </c>
      <c r="AO120" s="17">
        <f>'Rolling report'!DH120*'No Action'!$Y$6</f>
        <v>0</v>
      </c>
      <c r="AQ120" s="45"/>
    </row>
    <row r="121" spans="1:43" x14ac:dyDescent="0.25">
      <c r="A121" s="4" t="s">
        <v>231</v>
      </c>
      <c r="B121" s="6" t="s">
        <v>232</v>
      </c>
      <c r="I121" s="17">
        <f>'Rolling report'!CB121*'No Action'!$Y$6</f>
        <v>185.68</v>
      </c>
      <c r="J121" s="17">
        <f>'Rolling report'!CC121*'No Action'!$Y$6</f>
        <v>28.6</v>
      </c>
      <c r="K121" s="17">
        <f>'Rolling report'!CD121*'No Action'!$Y$6</f>
        <v>45.32</v>
      </c>
      <c r="L121" s="17">
        <f>'Rolling report'!CE121*'No Action'!$Y$6</f>
        <v>40.04</v>
      </c>
      <c r="M121" s="17">
        <f>'Rolling report'!CF121*'No Action'!$Y$6</f>
        <v>28.16</v>
      </c>
      <c r="N121" s="17">
        <f>'Rolling report'!CG121*'No Action'!$Y$6</f>
        <v>19.36</v>
      </c>
      <c r="O121" s="17">
        <f>'Rolling report'!CH121*'No Action'!$Y$6</f>
        <v>26.84</v>
      </c>
      <c r="P121" s="17">
        <f>'Rolling report'!CI121*'No Action'!$Y$6</f>
        <v>14.52</v>
      </c>
      <c r="Q121" s="17">
        <f>'Rolling report'!CJ121*'No Action'!$Y$6</f>
        <v>20.68</v>
      </c>
      <c r="R121" s="17">
        <f>'Rolling report'!CK121*'No Action'!$Y$6</f>
        <v>18.04</v>
      </c>
      <c r="S121" s="17">
        <f>'Rolling report'!CL121*'No Action'!$Y$6</f>
        <v>11.88</v>
      </c>
      <c r="T121" s="17">
        <f>'Rolling report'!CM121*'No Action'!$Y$6</f>
        <v>18.48</v>
      </c>
      <c r="U121" s="17">
        <f>'Rolling report'!CN121*'No Action'!$Y$6</f>
        <v>15.4</v>
      </c>
      <c r="V121" s="17">
        <f>'Rolling report'!CO121*'No Action'!$Y$6</f>
        <v>9.68</v>
      </c>
      <c r="W121" s="17">
        <f>'Rolling report'!CP121*'No Action'!$Y$6</f>
        <v>8.36</v>
      </c>
      <c r="X121" s="17">
        <f>'Rolling report'!CQ121*'No Action'!$Y$6</f>
        <v>11</v>
      </c>
      <c r="Y121" s="17">
        <f>'Rolling report'!CR121*'No Action'!$Y$6</f>
        <v>6.16</v>
      </c>
      <c r="Z121" s="17">
        <f>'Rolling report'!CS121*'No Action'!$Y$6</f>
        <v>4.84</v>
      </c>
      <c r="AA121" s="17">
        <f>'Rolling report'!CT121*'No Action'!$Y$6</f>
        <v>5.28</v>
      </c>
      <c r="AB121" s="17">
        <f>'Rolling report'!CU121*'No Action'!$Y$6</f>
        <v>7.04</v>
      </c>
      <c r="AC121" s="17">
        <f>'Rolling report'!CV121*'No Action'!$Y$6</f>
        <v>7.92</v>
      </c>
      <c r="AD121" s="17">
        <f>'Rolling report'!CW121*'No Action'!$Y$6</f>
        <v>4.84</v>
      </c>
      <c r="AE121" s="17">
        <f>'Rolling report'!CX121*'No Action'!$Y$6</f>
        <v>5.28</v>
      </c>
      <c r="AF121" s="17">
        <f>'Rolling report'!CY121*'No Action'!$Y$6</f>
        <v>-543.4</v>
      </c>
      <c r="AG121" s="17">
        <f>'Rolling report'!CZ121*'No Action'!$Y$6</f>
        <v>0</v>
      </c>
      <c r="AH121" s="17">
        <f>'Rolling report'!DA121*'No Action'!$Y$6</f>
        <v>0</v>
      </c>
      <c r="AI121" s="17">
        <f>'Rolling report'!DB121*'No Action'!$Y$6</f>
        <v>0</v>
      </c>
      <c r="AJ121" s="17">
        <f>'Rolling report'!DC121*'No Action'!$Y$6</f>
        <v>0</v>
      </c>
      <c r="AK121" s="17">
        <f>'Rolling report'!DD121*'No Action'!$Y$6</f>
        <v>0</v>
      </c>
      <c r="AL121" s="17">
        <f>'Rolling report'!DE121*'No Action'!$Y$6</f>
        <v>0</v>
      </c>
      <c r="AM121" s="17">
        <f>'Rolling report'!DF121*'No Action'!$Y$6</f>
        <v>0</v>
      </c>
      <c r="AN121" s="17">
        <f>'Rolling report'!DG121*'No Action'!$Y$6</f>
        <v>0</v>
      </c>
      <c r="AO121" s="17">
        <f>'Rolling report'!DH121*'No Action'!$Y$6</f>
        <v>0</v>
      </c>
      <c r="AQ121" s="45"/>
    </row>
    <row r="122" spans="1:43" x14ac:dyDescent="0.25">
      <c r="A122" s="4" t="s">
        <v>233</v>
      </c>
      <c r="B122" s="6" t="s">
        <v>234</v>
      </c>
      <c r="I122" s="17">
        <f>'Rolling report'!CB122*'No Action'!$Y$6</f>
        <v>54.56</v>
      </c>
      <c r="J122" s="17">
        <f>'Rolling report'!CC122*'No Action'!$Y$6</f>
        <v>11.44</v>
      </c>
      <c r="K122" s="17">
        <f>'Rolling report'!CD122*'No Action'!$Y$6</f>
        <v>5.72</v>
      </c>
      <c r="L122" s="17">
        <f>'Rolling report'!CE122*'No Action'!$Y$6</f>
        <v>16.28</v>
      </c>
      <c r="M122" s="17">
        <f>'Rolling report'!CF122*'No Action'!$Y$6</f>
        <v>4.84</v>
      </c>
      <c r="N122" s="17">
        <f>'Rolling report'!CG122*'No Action'!$Y$6</f>
        <v>1.76</v>
      </c>
      <c r="O122" s="17">
        <f>'Rolling report'!CH122*'No Action'!$Y$6</f>
        <v>12.32</v>
      </c>
      <c r="P122" s="17">
        <f>'Rolling report'!CI122*'No Action'!$Y$6</f>
        <v>5.28</v>
      </c>
      <c r="Q122" s="17">
        <f>'Rolling report'!CJ122*'No Action'!$Y$6</f>
        <v>6.6</v>
      </c>
      <c r="R122" s="17">
        <f>'Rolling report'!CK122*'No Action'!$Y$6</f>
        <v>2.2000000000000002</v>
      </c>
      <c r="S122" s="17">
        <f>'Rolling report'!CL122*'No Action'!$Y$6</f>
        <v>2.64</v>
      </c>
      <c r="T122" s="17">
        <f>'Rolling report'!CM122*'No Action'!$Y$6</f>
        <v>1.32</v>
      </c>
      <c r="U122" s="17">
        <f>'Rolling report'!CN122*'No Action'!$Y$6</f>
        <v>3.08</v>
      </c>
      <c r="V122" s="17">
        <f>'Rolling report'!CO122*'No Action'!$Y$6</f>
        <v>1.32</v>
      </c>
      <c r="W122" s="17">
        <f>'Rolling report'!CP122*'No Action'!$Y$6</f>
        <v>1.32</v>
      </c>
      <c r="X122" s="17">
        <f>'Rolling report'!CQ122*'No Action'!$Y$6</f>
        <v>2.64</v>
      </c>
      <c r="Y122" s="17">
        <f>'Rolling report'!CR122*'No Action'!$Y$6</f>
        <v>2.2000000000000002</v>
      </c>
      <c r="Z122" s="17">
        <f>'Rolling report'!CS122*'No Action'!$Y$6</f>
        <v>1.76</v>
      </c>
      <c r="AA122" s="17">
        <f>'Rolling report'!CT122*'No Action'!$Y$6</f>
        <v>4.84</v>
      </c>
      <c r="AB122" s="17">
        <f>'Rolling report'!CU122*'No Action'!$Y$6</f>
        <v>3.96</v>
      </c>
      <c r="AC122" s="17">
        <f>'Rolling report'!CV122*'No Action'!$Y$6</f>
        <v>9.68</v>
      </c>
      <c r="AD122" s="17">
        <f>'Rolling report'!CW122*'No Action'!$Y$6</f>
        <v>-1.32</v>
      </c>
      <c r="AE122" s="17">
        <f>'Rolling report'!CX122*'No Action'!$Y$6</f>
        <v>3.52</v>
      </c>
      <c r="AF122" s="17">
        <f>'Rolling report'!CY122*'No Action'!$Y$6</f>
        <v>-157.96</v>
      </c>
      <c r="AG122" s="17">
        <f>'Rolling report'!CZ122*'No Action'!$Y$6</f>
        <v>0</v>
      </c>
      <c r="AH122" s="17">
        <f>'Rolling report'!DA122*'No Action'!$Y$6</f>
        <v>0</v>
      </c>
      <c r="AI122" s="17">
        <f>'Rolling report'!DB122*'No Action'!$Y$6</f>
        <v>0</v>
      </c>
      <c r="AJ122" s="17">
        <f>'Rolling report'!DC122*'No Action'!$Y$6</f>
        <v>0</v>
      </c>
      <c r="AK122" s="17">
        <f>'Rolling report'!DD122*'No Action'!$Y$6</f>
        <v>0</v>
      </c>
      <c r="AL122" s="17">
        <f>'Rolling report'!DE122*'No Action'!$Y$6</f>
        <v>0</v>
      </c>
      <c r="AM122" s="17">
        <f>'Rolling report'!DF122*'No Action'!$Y$6</f>
        <v>0</v>
      </c>
      <c r="AN122" s="17">
        <f>'Rolling report'!DG122*'No Action'!$Y$6</f>
        <v>0</v>
      </c>
      <c r="AO122" s="17">
        <f>'Rolling report'!DH122*'No Action'!$Y$6</f>
        <v>0</v>
      </c>
      <c r="AQ122" s="45"/>
    </row>
    <row r="123" spans="1:43" x14ac:dyDescent="0.25">
      <c r="A123" s="4" t="s">
        <v>235</v>
      </c>
      <c r="B123" s="6" t="s">
        <v>236</v>
      </c>
      <c r="I123" s="17">
        <f>'Rolling report'!CB123*'No Action'!$Y$6</f>
        <v>8.8000000000000007</v>
      </c>
      <c r="J123" s="17">
        <f>'Rolling report'!CC123*'No Action'!$Y$6</f>
        <v>2.2000000000000002</v>
      </c>
      <c r="K123" s="17">
        <f>'Rolling report'!CD123*'No Action'!$Y$6</f>
        <v>0</v>
      </c>
      <c r="L123" s="17">
        <f>'Rolling report'!CE123*'No Action'!$Y$6</f>
        <v>0</v>
      </c>
      <c r="M123" s="17">
        <f>'Rolling report'!CF123*'No Action'!$Y$6</f>
        <v>2.2000000000000002</v>
      </c>
      <c r="N123" s="17">
        <f>'Rolling report'!CG123*'No Action'!$Y$6</f>
        <v>0.44</v>
      </c>
      <c r="O123" s="17">
        <f>'Rolling report'!CH123*'No Action'!$Y$6</f>
        <v>3.96</v>
      </c>
      <c r="P123" s="17">
        <f>'Rolling report'!CI123*'No Action'!$Y$6</f>
        <v>0</v>
      </c>
      <c r="Q123" s="17">
        <f>'Rolling report'!CJ123*'No Action'!$Y$6</f>
        <v>0</v>
      </c>
      <c r="R123" s="17">
        <f>'Rolling report'!CK123*'No Action'!$Y$6</f>
        <v>0</v>
      </c>
      <c r="S123" s="17">
        <f>'Rolling report'!CL123*'No Action'!$Y$6</f>
        <v>2.2000000000000002</v>
      </c>
      <c r="T123" s="17">
        <f>'Rolling report'!CM123*'No Action'!$Y$6</f>
        <v>0</v>
      </c>
      <c r="U123" s="17">
        <f>'Rolling report'!CN123*'No Action'!$Y$6</f>
        <v>0.88</v>
      </c>
      <c r="V123" s="17">
        <f>'Rolling report'!CO123*'No Action'!$Y$6</f>
        <v>2.2000000000000002</v>
      </c>
      <c r="W123" s="17">
        <f>'Rolling report'!CP123*'No Action'!$Y$6</f>
        <v>0.44</v>
      </c>
      <c r="X123" s="17">
        <f>'Rolling report'!CQ123*'No Action'!$Y$6</f>
        <v>0</v>
      </c>
      <c r="Y123" s="17">
        <f>'Rolling report'!CR123*'No Action'!$Y$6</f>
        <v>0.44</v>
      </c>
      <c r="Z123" s="17">
        <f>'Rolling report'!CS123*'No Action'!$Y$6</f>
        <v>0.88</v>
      </c>
      <c r="AA123" s="17">
        <f>'Rolling report'!CT123*'No Action'!$Y$6</f>
        <v>0.88</v>
      </c>
      <c r="AB123" s="17">
        <f>'Rolling report'!CU123*'No Action'!$Y$6</f>
        <v>0</v>
      </c>
      <c r="AC123" s="17">
        <f>'Rolling report'!CV123*'No Action'!$Y$6</f>
        <v>0</v>
      </c>
      <c r="AD123" s="17">
        <f>'Rolling report'!CW123*'No Action'!$Y$6</f>
        <v>0.44</v>
      </c>
      <c r="AE123" s="17">
        <f>'Rolling report'!CX123*'No Action'!$Y$6</f>
        <v>0</v>
      </c>
      <c r="AF123" s="17">
        <f>'Rolling report'!CY123*'No Action'!$Y$6</f>
        <v>-25.96</v>
      </c>
      <c r="AG123" s="17">
        <f>'Rolling report'!CZ123*'No Action'!$Y$6</f>
        <v>0</v>
      </c>
      <c r="AH123" s="17">
        <f>'Rolling report'!DA123*'No Action'!$Y$6</f>
        <v>0</v>
      </c>
      <c r="AI123" s="17">
        <f>'Rolling report'!DB123*'No Action'!$Y$6</f>
        <v>0</v>
      </c>
      <c r="AJ123" s="17">
        <f>'Rolling report'!DC123*'No Action'!$Y$6</f>
        <v>0</v>
      </c>
      <c r="AK123" s="17">
        <f>'Rolling report'!DD123*'No Action'!$Y$6</f>
        <v>0</v>
      </c>
      <c r="AL123" s="17">
        <f>'Rolling report'!DE123*'No Action'!$Y$6</f>
        <v>0</v>
      </c>
      <c r="AM123" s="17">
        <f>'Rolling report'!DF123*'No Action'!$Y$6</f>
        <v>0</v>
      </c>
      <c r="AN123" s="17">
        <f>'Rolling report'!DG123*'No Action'!$Y$6</f>
        <v>0</v>
      </c>
      <c r="AO123" s="17">
        <f>'Rolling report'!DH123*'No Action'!$Y$6</f>
        <v>0</v>
      </c>
      <c r="AQ123" s="45"/>
    </row>
    <row r="124" spans="1:43" x14ac:dyDescent="0.25">
      <c r="A124" s="4" t="s">
        <v>237</v>
      </c>
      <c r="B124" s="6" t="s">
        <v>238</v>
      </c>
      <c r="I124" s="17">
        <f>'Rolling report'!CB124*'No Action'!$Y$6</f>
        <v>33</v>
      </c>
      <c r="J124" s="17">
        <f>'Rolling report'!CC124*'No Action'!$Y$6</f>
        <v>9.68</v>
      </c>
      <c r="K124" s="17">
        <f>'Rolling report'!CD124*'No Action'!$Y$6</f>
        <v>1.76</v>
      </c>
      <c r="L124" s="17">
        <f>'Rolling report'!CE124*'No Action'!$Y$6</f>
        <v>6.16</v>
      </c>
      <c r="M124" s="17">
        <f>'Rolling report'!CF124*'No Action'!$Y$6</f>
        <v>4.84</v>
      </c>
      <c r="N124" s="17">
        <f>'Rolling report'!CG124*'No Action'!$Y$6</f>
        <v>3.96</v>
      </c>
      <c r="O124" s="17">
        <f>'Rolling report'!CH124*'No Action'!$Y$6</f>
        <v>3.52</v>
      </c>
      <c r="P124" s="17">
        <f>'Rolling report'!CI124*'No Action'!$Y$6</f>
        <v>0.44</v>
      </c>
      <c r="Q124" s="17">
        <f>'Rolling report'!CJ124*'No Action'!$Y$6</f>
        <v>3.96</v>
      </c>
      <c r="R124" s="17">
        <f>'Rolling report'!CK124*'No Action'!$Y$6</f>
        <v>0.88</v>
      </c>
      <c r="S124" s="17">
        <f>'Rolling report'!CL124*'No Action'!$Y$6</f>
        <v>3.08</v>
      </c>
      <c r="T124" s="17">
        <f>'Rolling report'!CM124*'No Action'!$Y$6</f>
        <v>4.84</v>
      </c>
      <c r="U124" s="17">
        <f>'Rolling report'!CN124*'No Action'!$Y$6</f>
        <v>4.4000000000000004</v>
      </c>
      <c r="V124" s="17">
        <f>'Rolling report'!CO124*'No Action'!$Y$6</f>
        <v>1.76</v>
      </c>
      <c r="W124" s="17">
        <f>'Rolling report'!CP124*'No Action'!$Y$6</f>
        <v>0.44</v>
      </c>
      <c r="X124" s="17">
        <f>'Rolling report'!CQ124*'No Action'!$Y$6</f>
        <v>0.44</v>
      </c>
      <c r="Y124" s="17">
        <f>'Rolling report'!CR124*'No Action'!$Y$6</f>
        <v>0.44</v>
      </c>
      <c r="Z124" s="17">
        <f>'Rolling report'!CS124*'No Action'!$Y$6</f>
        <v>1.32</v>
      </c>
      <c r="AA124" s="17">
        <f>'Rolling report'!CT124*'No Action'!$Y$6</f>
        <v>0</v>
      </c>
      <c r="AB124" s="17">
        <f>'Rolling report'!CU124*'No Action'!$Y$6</f>
        <v>0.44</v>
      </c>
      <c r="AC124" s="17">
        <f>'Rolling report'!CV124*'No Action'!$Y$6</f>
        <v>1.76</v>
      </c>
      <c r="AD124" s="17">
        <f>'Rolling report'!CW124*'No Action'!$Y$6</f>
        <v>-1.32</v>
      </c>
      <c r="AE124" s="17">
        <f>'Rolling report'!CX124*'No Action'!$Y$6</f>
        <v>0.88</v>
      </c>
      <c r="AF124" s="17">
        <f>'Rolling report'!CY124*'No Action'!$Y$6</f>
        <v>-86.68</v>
      </c>
      <c r="AG124" s="17">
        <f>'Rolling report'!CZ124*'No Action'!$Y$6</f>
        <v>0</v>
      </c>
      <c r="AH124" s="17">
        <f>'Rolling report'!DA124*'No Action'!$Y$6</f>
        <v>0</v>
      </c>
      <c r="AI124" s="17">
        <f>'Rolling report'!DB124*'No Action'!$Y$6</f>
        <v>0</v>
      </c>
      <c r="AJ124" s="17">
        <f>'Rolling report'!DC124*'No Action'!$Y$6</f>
        <v>0</v>
      </c>
      <c r="AK124" s="17">
        <f>'Rolling report'!DD124*'No Action'!$Y$6</f>
        <v>0</v>
      </c>
      <c r="AL124" s="17">
        <f>'Rolling report'!DE124*'No Action'!$Y$6</f>
        <v>0</v>
      </c>
      <c r="AM124" s="17">
        <f>'Rolling report'!DF124*'No Action'!$Y$6</f>
        <v>0</v>
      </c>
      <c r="AN124" s="17">
        <f>'Rolling report'!DG124*'No Action'!$Y$6</f>
        <v>0</v>
      </c>
      <c r="AO124" s="17">
        <f>'Rolling report'!DH124*'No Action'!$Y$6</f>
        <v>0</v>
      </c>
      <c r="AQ124" s="45"/>
    </row>
    <row r="125" spans="1:43" x14ac:dyDescent="0.25">
      <c r="A125" s="4" t="s">
        <v>239</v>
      </c>
      <c r="B125" s="6" t="s">
        <v>240</v>
      </c>
      <c r="I125" s="17">
        <f>'Rolling report'!CB125*'No Action'!$Y$6</f>
        <v>29.04</v>
      </c>
      <c r="J125" s="17">
        <f>'Rolling report'!CC125*'No Action'!$Y$6</f>
        <v>3.52</v>
      </c>
      <c r="K125" s="17">
        <f>'Rolling report'!CD125*'No Action'!$Y$6</f>
        <v>2.64</v>
      </c>
      <c r="L125" s="17">
        <f>'Rolling report'!CE125*'No Action'!$Y$6</f>
        <v>2.64</v>
      </c>
      <c r="M125" s="17">
        <f>'Rolling report'!CF125*'No Action'!$Y$6</f>
        <v>0.44</v>
      </c>
      <c r="N125" s="17">
        <f>'Rolling report'!CG125*'No Action'!$Y$6</f>
        <v>1.76</v>
      </c>
      <c r="O125" s="17">
        <f>'Rolling report'!CH125*'No Action'!$Y$6</f>
        <v>1.32</v>
      </c>
      <c r="P125" s="17">
        <f>'Rolling report'!CI125*'No Action'!$Y$6</f>
        <v>2.64</v>
      </c>
      <c r="Q125" s="17">
        <f>'Rolling report'!CJ125*'No Action'!$Y$6</f>
        <v>1.76</v>
      </c>
      <c r="R125" s="17">
        <f>'Rolling report'!CK125*'No Action'!$Y$6</f>
        <v>2.2000000000000002</v>
      </c>
      <c r="S125" s="17">
        <f>'Rolling report'!CL125*'No Action'!$Y$6</f>
        <v>0.44</v>
      </c>
      <c r="T125" s="17">
        <f>'Rolling report'!CM125*'No Action'!$Y$6</f>
        <v>2.2000000000000002</v>
      </c>
      <c r="U125" s="17">
        <f>'Rolling report'!CN125*'No Action'!$Y$6</f>
        <v>0.44</v>
      </c>
      <c r="V125" s="17">
        <f>'Rolling report'!CO125*'No Action'!$Y$6</f>
        <v>2.2000000000000002</v>
      </c>
      <c r="W125" s="17">
        <f>'Rolling report'!CP125*'No Action'!$Y$6</f>
        <v>0.44</v>
      </c>
      <c r="X125" s="17">
        <f>'Rolling report'!CQ125*'No Action'!$Y$6</f>
        <v>0.44</v>
      </c>
      <c r="Y125" s="17">
        <f>'Rolling report'!CR125*'No Action'!$Y$6</f>
        <v>0</v>
      </c>
      <c r="Z125" s="17">
        <f>'Rolling report'!CS125*'No Action'!$Y$6</f>
        <v>0</v>
      </c>
      <c r="AA125" s="17">
        <f>'Rolling report'!CT125*'No Action'!$Y$6</f>
        <v>3.96</v>
      </c>
      <c r="AB125" s="17">
        <f>'Rolling report'!CU125*'No Action'!$Y$6</f>
        <v>0.44</v>
      </c>
      <c r="AC125" s="17">
        <f>'Rolling report'!CV125*'No Action'!$Y$6</f>
        <v>3.08</v>
      </c>
      <c r="AD125" s="17">
        <f>'Rolling report'!CW125*'No Action'!$Y$6</f>
        <v>-1.32</v>
      </c>
      <c r="AE125" s="17">
        <f>'Rolling report'!CX125*'No Action'!$Y$6</f>
        <v>-0.44</v>
      </c>
      <c r="AF125" s="17">
        <f>'Rolling report'!CY125*'No Action'!$Y$6</f>
        <v>-59.84</v>
      </c>
      <c r="AG125" s="17">
        <f>'Rolling report'!CZ125*'No Action'!$Y$6</f>
        <v>0</v>
      </c>
      <c r="AH125" s="17">
        <f>'Rolling report'!DA125*'No Action'!$Y$6</f>
        <v>0</v>
      </c>
      <c r="AI125" s="17">
        <f>'Rolling report'!DB125*'No Action'!$Y$6</f>
        <v>0</v>
      </c>
      <c r="AJ125" s="17">
        <f>'Rolling report'!DC125*'No Action'!$Y$6</f>
        <v>0</v>
      </c>
      <c r="AK125" s="17">
        <f>'Rolling report'!DD125*'No Action'!$Y$6</f>
        <v>0</v>
      </c>
      <c r="AL125" s="17">
        <f>'Rolling report'!DE125*'No Action'!$Y$6</f>
        <v>0</v>
      </c>
      <c r="AM125" s="17">
        <f>'Rolling report'!DF125*'No Action'!$Y$6</f>
        <v>0</v>
      </c>
      <c r="AN125" s="17">
        <f>'Rolling report'!DG125*'No Action'!$Y$6</f>
        <v>0</v>
      </c>
      <c r="AO125" s="17">
        <f>'Rolling report'!DH125*'No Action'!$Y$6</f>
        <v>0</v>
      </c>
      <c r="AQ125" s="45"/>
    </row>
    <row r="126" spans="1:43" x14ac:dyDescent="0.25">
      <c r="A126" s="4" t="s">
        <v>241</v>
      </c>
      <c r="B126" s="6" t="s">
        <v>242</v>
      </c>
      <c r="I126" s="17">
        <f>'Rolling report'!CB126*'No Action'!$Y$6</f>
        <v>62.48</v>
      </c>
      <c r="J126" s="17">
        <f>'Rolling report'!CC126*'No Action'!$Y$6</f>
        <v>7.48</v>
      </c>
      <c r="K126" s="17">
        <f>'Rolling report'!CD126*'No Action'!$Y$6</f>
        <v>14.52</v>
      </c>
      <c r="L126" s="17">
        <f>'Rolling report'!CE126*'No Action'!$Y$6</f>
        <v>12.76</v>
      </c>
      <c r="M126" s="17">
        <f>'Rolling report'!CF126*'No Action'!$Y$6</f>
        <v>8.8000000000000007</v>
      </c>
      <c r="N126" s="17">
        <f>'Rolling report'!CG126*'No Action'!$Y$6</f>
        <v>3.96</v>
      </c>
      <c r="O126" s="17">
        <f>'Rolling report'!CH126*'No Action'!$Y$6</f>
        <v>7.04</v>
      </c>
      <c r="P126" s="17">
        <f>'Rolling report'!CI126*'No Action'!$Y$6</f>
        <v>4.4000000000000004</v>
      </c>
      <c r="Q126" s="17">
        <f>'Rolling report'!CJ126*'No Action'!$Y$6</f>
        <v>10.56</v>
      </c>
      <c r="R126" s="17">
        <f>'Rolling report'!CK126*'No Action'!$Y$6</f>
        <v>3.96</v>
      </c>
      <c r="S126" s="17">
        <f>'Rolling report'!CL126*'No Action'!$Y$6</f>
        <v>2.64</v>
      </c>
      <c r="T126" s="17">
        <f>'Rolling report'!CM126*'No Action'!$Y$6</f>
        <v>4.4000000000000004</v>
      </c>
      <c r="U126" s="17">
        <f>'Rolling report'!CN126*'No Action'!$Y$6</f>
        <v>2.64</v>
      </c>
      <c r="V126" s="17">
        <f>'Rolling report'!CO126*'No Action'!$Y$6</f>
        <v>6.16</v>
      </c>
      <c r="W126" s="17">
        <f>'Rolling report'!CP126*'No Action'!$Y$6</f>
        <v>3.08</v>
      </c>
      <c r="X126" s="17">
        <f>'Rolling report'!CQ126*'No Action'!$Y$6</f>
        <v>4.4000000000000004</v>
      </c>
      <c r="Y126" s="17">
        <f>'Rolling report'!CR126*'No Action'!$Y$6</f>
        <v>2.64</v>
      </c>
      <c r="Z126" s="17">
        <f>'Rolling report'!CS126*'No Action'!$Y$6</f>
        <v>4.4000000000000004</v>
      </c>
      <c r="AA126" s="17">
        <f>'Rolling report'!CT126*'No Action'!$Y$6</f>
        <v>3.52</v>
      </c>
      <c r="AB126" s="17">
        <f>'Rolling report'!CU126*'No Action'!$Y$6</f>
        <v>3.52</v>
      </c>
      <c r="AC126" s="17">
        <f>'Rolling report'!CV126*'No Action'!$Y$6</f>
        <v>10.56</v>
      </c>
      <c r="AD126" s="17">
        <f>'Rolling report'!CW126*'No Action'!$Y$6</f>
        <v>-1.32</v>
      </c>
      <c r="AE126" s="17">
        <f>'Rolling report'!CX126*'No Action'!$Y$6</f>
        <v>4.4000000000000004</v>
      </c>
      <c r="AF126" s="17">
        <f>'Rolling report'!CY126*'No Action'!$Y$6</f>
        <v>-187</v>
      </c>
      <c r="AG126" s="17">
        <f>'Rolling report'!CZ126*'No Action'!$Y$6</f>
        <v>0</v>
      </c>
      <c r="AH126" s="17">
        <f>'Rolling report'!DA126*'No Action'!$Y$6</f>
        <v>0</v>
      </c>
      <c r="AI126" s="17">
        <f>'Rolling report'!DB126*'No Action'!$Y$6</f>
        <v>0</v>
      </c>
      <c r="AJ126" s="17">
        <f>'Rolling report'!DC126*'No Action'!$Y$6</f>
        <v>0</v>
      </c>
      <c r="AK126" s="17">
        <f>'Rolling report'!DD126*'No Action'!$Y$6</f>
        <v>0</v>
      </c>
      <c r="AL126" s="17">
        <f>'Rolling report'!DE126*'No Action'!$Y$6</f>
        <v>0</v>
      </c>
      <c r="AM126" s="17">
        <f>'Rolling report'!DF126*'No Action'!$Y$6</f>
        <v>0</v>
      </c>
      <c r="AN126" s="17">
        <f>'Rolling report'!DG126*'No Action'!$Y$6</f>
        <v>0</v>
      </c>
      <c r="AO126" s="17">
        <f>'Rolling report'!DH126*'No Action'!$Y$6</f>
        <v>0</v>
      </c>
      <c r="AQ126" s="45"/>
    </row>
    <row r="127" spans="1:43" x14ac:dyDescent="0.25">
      <c r="A127" s="4" t="s">
        <v>243</v>
      </c>
      <c r="B127" s="6" t="s">
        <v>244</v>
      </c>
      <c r="I127" s="17">
        <f>'Rolling report'!CB127*'No Action'!$Y$6</f>
        <v>12.76</v>
      </c>
      <c r="J127" s="17">
        <f>'Rolling report'!CC127*'No Action'!$Y$6</f>
        <v>1.32</v>
      </c>
      <c r="K127" s="17">
        <f>'Rolling report'!CD127*'No Action'!$Y$6</f>
        <v>1.32</v>
      </c>
      <c r="L127" s="17">
        <f>'Rolling report'!CE127*'No Action'!$Y$6</f>
        <v>1.32</v>
      </c>
      <c r="M127" s="17">
        <f>'Rolling report'!CF127*'No Action'!$Y$6</f>
        <v>4.4000000000000004</v>
      </c>
      <c r="N127" s="17">
        <f>'Rolling report'!CG127*'No Action'!$Y$6</f>
        <v>1.76</v>
      </c>
      <c r="O127" s="17">
        <f>'Rolling report'!CH127*'No Action'!$Y$6</f>
        <v>1.32</v>
      </c>
      <c r="P127" s="17">
        <f>'Rolling report'!CI127*'No Action'!$Y$6</f>
        <v>0</v>
      </c>
      <c r="Q127" s="17">
        <f>'Rolling report'!CJ127*'No Action'!$Y$6</f>
        <v>1.76</v>
      </c>
      <c r="R127" s="17">
        <f>'Rolling report'!CK127*'No Action'!$Y$6</f>
        <v>0.44</v>
      </c>
      <c r="S127" s="17">
        <f>'Rolling report'!CL127*'No Action'!$Y$6</f>
        <v>0</v>
      </c>
      <c r="T127" s="17">
        <f>'Rolling report'!CM127*'No Action'!$Y$6</f>
        <v>0.88</v>
      </c>
      <c r="U127" s="17">
        <f>'Rolling report'!CN127*'No Action'!$Y$6</f>
        <v>0</v>
      </c>
      <c r="V127" s="17">
        <f>'Rolling report'!CO127*'No Action'!$Y$6</f>
        <v>0</v>
      </c>
      <c r="W127" s="17">
        <f>'Rolling report'!CP127*'No Action'!$Y$6</f>
        <v>0</v>
      </c>
      <c r="X127" s="17">
        <f>'Rolling report'!CQ127*'No Action'!$Y$6</f>
        <v>0</v>
      </c>
      <c r="Y127" s="17">
        <f>'Rolling report'!CR127*'No Action'!$Y$6</f>
        <v>2.64</v>
      </c>
      <c r="Z127" s="17">
        <f>'Rolling report'!CS127*'No Action'!$Y$6</f>
        <v>0</v>
      </c>
      <c r="AA127" s="17">
        <f>'Rolling report'!CT127*'No Action'!$Y$6</f>
        <v>0</v>
      </c>
      <c r="AB127" s="17">
        <f>'Rolling report'!CU127*'No Action'!$Y$6</f>
        <v>2.64</v>
      </c>
      <c r="AC127" s="17">
        <f>'Rolling report'!CV127*'No Action'!$Y$6</f>
        <v>1.76</v>
      </c>
      <c r="AD127" s="17">
        <f>'Rolling report'!CW127*'No Action'!$Y$6</f>
        <v>0</v>
      </c>
      <c r="AE127" s="17">
        <f>'Rolling report'!CX127*'No Action'!$Y$6</f>
        <v>0</v>
      </c>
      <c r="AF127" s="17">
        <f>'Rolling report'!CY127*'No Action'!$Y$6</f>
        <v>-34.32</v>
      </c>
      <c r="AG127" s="17">
        <f>'Rolling report'!CZ127*'No Action'!$Y$6</f>
        <v>0</v>
      </c>
      <c r="AH127" s="17">
        <f>'Rolling report'!DA127*'No Action'!$Y$6</f>
        <v>0</v>
      </c>
      <c r="AI127" s="17">
        <f>'Rolling report'!DB127*'No Action'!$Y$6</f>
        <v>0</v>
      </c>
      <c r="AJ127" s="17">
        <f>'Rolling report'!DC127*'No Action'!$Y$6</f>
        <v>0</v>
      </c>
      <c r="AK127" s="17">
        <f>'Rolling report'!DD127*'No Action'!$Y$6</f>
        <v>0</v>
      </c>
      <c r="AL127" s="17">
        <f>'Rolling report'!DE127*'No Action'!$Y$6</f>
        <v>0</v>
      </c>
      <c r="AM127" s="17">
        <f>'Rolling report'!DF127*'No Action'!$Y$6</f>
        <v>0</v>
      </c>
      <c r="AN127" s="17">
        <f>'Rolling report'!DG127*'No Action'!$Y$6</f>
        <v>0</v>
      </c>
      <c r="AO127" s="17">
        <f>'Rolling report'!DH127*'No Action'!$Y$6</f>
        <v>0</v>
      </c>
      <c r="AQ127" s="45"/>
    </row>
    <row r="128" spans="1:43" x14ac:dyDescent="0.25">
      <c r="A128" s="4" t="s">
        <v>245</v>
      </c>
      <c r="B128" s="6" t="s">
        <v>246</v>
      </c>
      <c r="I128" s="17">
        <f>'Rolling report'!CB128*'No Action'!$Y$6</f>
        <v>106.92</v>
      </c>
      <c r="J128" s="17">
        <f>'Rolling report'!CC128*'No Action'!$Y$6</f>
        <v>20.68</v>
      </c>
      <c r="K128" s="17">
        <f>'Rolling report'!CD128*'No Action'!$Y$6</f>
        <v>17.600000000000001</v>
      </c>
      <c r="L128" s="17">
        <f>'Rolling report'!CE128*'No Action'!$Y$6</f>
        <v>20.239999999999998</v>
      </c>
      <c r="M128" s="17">
        <f>'Rolling report'!CF128*'No Action'!$Y$6</f>
        <v>13.64</v>
      </c>
      <c r="N128" s="17">
        <f>'Rolling report'!CG128*'No Action'!$Y$6</f>
        <v>10.119999999999999</v>
      </c>
      <c r="O128" s="17">
        <f>'Rolling report'!CH128*'No Action'!$Y$6</f>
        <v>19.8</v>
      </c>
      <c r="P128" s="17">
        <f>'Rolling report'!CI128*'No Action'!$Y$6</f>
        <v>14.52</v>
      </c>
      <c r="Q128" s="17">
        <f>'Rolling report'!CJ128*'No Action'!$Y$6</f>
        <v>3.96</v>
      </c>
      <c r="R128" s="17">
        <f>'Rolling report'!CK128*'No Action'!$Y$6</f>
        <v>8.8000000000000007</v>
      </c>
      <c r="S128" s="17">
        <f>'Rolling report'!CL128*'No Action'!$Y$6</f>
        <v>9.24</v>
      </c>
      <c r="T128" s="17">
        <f>'Rolling report'!CM128*'No Action'!$Y$6</f>
        <v>10.56</v>
      </c>
      <c r="U128" s="17">
        <f>'Rolling report'!CN128*'No Action'!$Y$6</f>
        <v>6.16</v>
      </c>
      <c r="V128" s="17">
        <f>'Rolling report'!CO128*'No Action'!$Y$6</f>
        <v>9.24</v>
      </c>
      <c r="W128" s="17">
        <f>'Rolling report'!CP128*'No Action'!$Y$6</f>
        <v>10.119999999999999</v>
      </c>
      <c r="X128" s="17">
        <f>'Rolling report'!CQ128*'No Action'!$Y$6</f>
        <v>6.6</v>
      </c>
      <c r="Y128" s="17">
        <f>'Rolling report'!CR128*'No Action'!$Y$6</f>
        <v>1.76</v>
      </c>
      <c r="Z128" s="17">
        <f>'Rolling report'!CS128*'No Action'!$Y$6</f>
        <v>2.2000000000000002</v>
      </c>
      <c r="AA128" s="17">
        <f>'Rolling report'!CT128*'No Action'!$Y$6</f>
        <v>8.8000000000000007</v>
      </c>
      <c r="AB128" s="17">
        <f>'Rolling report'!CU128*'No Action'!$Y$6</f>
        <v>5.72</v>
      </c>
      <c r="AC128" s="17">
        <f>'Rolling report'!CV128*'No Action'!$Y$6</f>
        <v>2.64</v>
      </c>
      <c r="AD128" s="17">
        <f>'Rolling report'!CW128*'No Action'!$Y$6</f>
        <v>2.64</v>
      </c>
      <c r="AE128" s="17">
        <f>'Rolling report'!CX128*'No Action'!$Y$6</f>
        <v>8.36</v>
      </c>
      <c r="AF128" s="17">
        <f>'Rolling report'!CY128*'No Action'!$Y$6</f>
        <v>-320.32</v>
      </c>
      <c r="AG128" s="17">
        <f>'Rolling report'!CZ128*'No Action'!$Y$6</f>
        <v>0</v>
      </c>
      <c r="AH128" s="17">
        <f>'Rolling report'!DA128*'No Action'!$Y$6</f>
        <v>0</v>
      </c>
      <c r="AI128" s="17">
        <f>'Rolling report'!DB128*'No Action'!$Y$6</f>
        <v>0</v>
      </c>
      <c r="AJ128" s="17">
        <f>'Rolling report'!DC128*'No Action'!$Y$6</f>
        <v>0</v>
      </c>
      <c r="AK128" s="17">
        <f>'Rolling report'!DD128*'No Action'!$Y$6</f>
        <v>0</v>
      </c>
      <c r="AL128" s="17">
        <f>'Rolling report'!DE128*'No Action'!$Y$6</f>
        <v>0</v>
      </c>
      <c r="AM128" s="17">
        <f>'Rolling report'!DF128*'No Action'!$Y$6</f>
        <v>0</v>
      </c>
      <c r="AN128" s="17">
        <f>'Rolling report'!DG128*'No Action'!$Y$6</f>
        <v>0</v>
      </c>
      <c r="AO128" s="17">
        <f>'Rolling report'!DH128*'No Action'!$Y$6</f>
        <v>0</v>
      </c>
      <c r="AQ128" s="45"/>
    </row>
    <row r="129" spans="1:43" x14ac:dyDescent="0.25">
      <c r="A129" s="4" t="s">
        <v>247</v>
      </c>
      <c r="B129" s="6" t="s">
        <v>248</v>
      </c>
      <c r="I129" s="17">
        <f>'Rolling report'!CB129*'No Action'!$Y$6</f>
        <v>47.08</v>
      </c>
      <c r="J129" s="17">
        <f>'Rolling report'!CC129*'No Action'!$Y$6</f>
        <v>8.36</v>
      </c>
      <c r="K129" s="17">
        <f>'Rolling report'!CD129*'No Action'!$Y$6</f>
        <v>7.04</v>
      </c>
      <c r="L129" s="17">
        <f>'Rolling report'!CE129*'No Action'!$Y$6</f>
        <v>5.28</v>
      </c>
      <c r="M129" s="17">
        <f>'Rolling report'!CF129*'No Action'!$Y$6</f>
        <v>4.4000000000000004</v>
      </c>
      <c r="N129" s="17">
        <f>'Rolling report'!CG129*'No Action'!$Y$6</f>
        <v>5.72</v>
      </c>
      <c r="O129" s="17">
        <f>'Rolling report'!CH129*'No Action'!$Y$6</f>
        <v>7.48</v>
      </c>
      <c r="P129" s="17">
        <f>'Rolling report'!CI129*'No Action'!$Y$6</f>
        <v>3.96</v>
      </c>
      <c r="Q129" s="17">
        <f>'Rolling report'!CJ129*'No Action'!$Y$6</f>
        <v>3.96</v>
      </c>
      <c r="R129" s="17">
        <f>'Rolling report'!CK129*'No Action'!$Y$6</f>
        <v>3.52</v>
      </c>
      <c r="S129" s="17">
        <f>'Rolling report'!CL129*'No Action'!$Y$6</f>
        <v>0.88</v>
      </c>
      <c r="T129" s="17">
        <f>'Rolling report'!CM129*'No Action'!$Y$6</f>
        <v>0.88</v>
      </c>
      <c r="U129" s="17">
        <f>'Rolling report'!CN129*'No Action'!$Y$6</f>
        <v>4.84</v>
      </c>
      <c r="V129" s="17">
        <f>'Rolling report'!CO129*'No Action'!$Y$6</f>
        <v>1.76</v>
      </c>
      <c r="W129" s="17">
        <f>'Rolling report'!CP129*'No Action'!$Y$6</f>
        <v>3.08</v>
      </c>
      <c r="X129" s="17">
        <f>'Rolling report'!CQ129*'No Action'!$Y$6</f>
        <v>1.32</v>
      </c>
      <c r="Y129" s="17">
        <f>'Rolling report'!CR129*'No Action'!$Y$6</f>
        <v>2.64</v>
      </c>
      <c r="Z129" s="17">
        <f>'Rolling report'!CS129*'No Action'!$Y$6</f>
        <v>0.44</v>
      </c>
      <c r="AA129" s="17">
        <f>'Rolling report'!CT129*'No Action'!$Y$6</f>
        <v>3.08</v>
      </c>
      <c r="AB129" s="17">
        <f>'Rolling report'!CU129*'No Action'!$Y$6</f>
        <v>3.52</v>
      </c>
      <c r="AC129" s="17">
        <f>'Rolling report'!CV129*'No Action'!$Y$6</f>
        <v>5.72</v>
      </c>
      <c r="AD129" s="17">
        <f>'Rolling report'!CW129*'No Action'!$Y$6</f>
        <v>1.76</v>
      </c>
      <c r="AE129" s="17">
        <f>'Rolling report'!CX129*'No Action'!$Y$6</f>
        <v>3.52</v>
      </c>
      <c r="AF129" s="17">
        <f>'Rolling report'!CY129*'No Action'!$Y$6</f>
        <v>-130.24</v>
      </c>
      <c r="AG129" s="17">
        <f>'Rolling report'!CZ129*'No Action'!$Y$6</f>
        <v>0</v>
      </c>
      <c r="AH129" s="17">
        <f>'Rolling report'!DA129*'No Action'!$Y$6</f>
        <v>0</v>
      </c>
      <c r="AI129" s="17">
        <f>'Rolling report'!DB129*'No Action'!$Y$6</f>
        <v>0</v>
      </c>
      <c r="AJ129" s="17">
        <f>'Rolling report'!DC129*'No Action'!$Y$6</f>
        <v>0</v>
      </c>
      <c r="AK129" s="17">
        <f>'Rolling report'!DD129*'No Action'!$Y$6</f>
        <v>0</v>
      </c>
      <c r="AL129" s="17">
        <f>'Rolling report'!DE129*'No Action'!$Y$6</f>
        <v>0</v>
      </c>
      <c r="AM129" s="17">
        <f>'Rolling report'!DF129*'No Action'!$Y$6</f>
        <v>0</v>
      </c>
      <c r="AN129" s="17">
        <f>'Rolling report'!DG129*'No Action'!$Y$6</f>
        <v>0</v>
      </c>
      <c r="AO129" s="17">
        <f>'Rolling report'!DH129*'No Action'!$Y$6</f>
        <v>0</v>
      </c>
      <c r="AQ129" s="45"/>
    </row>
    <row r="130" spans="1:43" x14ac:dyDescent="0.25">
      <c r="A130" s="4" t="s">
        <v>249</v>
      </c>
      <c r="B130" s="6" t="s">
        <v>250</v>
      </c>
      <c r="I130" s="17">
        <f>'Rolling report'!CB130*'No Action'!$Y$6</f>
        <v>17.600000000000001</v>
      </c>
      <c r="J130" s="17">
        <f>'Rolling report'!CC130*'No Action'!$Y$6</f>
        <v>2.2000000000000002</v>
      </c>
      <c r="K130" s="17">
        <f>'Rolling report'!CD130*'No Action'!$Y$6</f>
        <v>3.52</v>
      </c>
      <c r="L130" s="17">
        <f>'Rolling report'!CE130*'No Action'!$Y$6</f>
        <v>7.04</v>
      </c>
      <c r="M130" s="17">
        <f>'Rolling report'!CF130*'No Action'!$Y$6</f>
        <v>2.2000000000000002</v>
      </c>
      <c r="N130" s="17">
        <f>'Rolling report'!CG130*'No Action'!$Y$6</f>
        <v>1.32</v>
      </c>
      <c r="O130" s="17">
        <f>'Rolling report'!CH130*'No Action'!$Y$6</f>
        <v>2.2000000000000002</v>
      </c>
      <c r="P130" s="17">
        <f>'Rolling report'!CI130*'No Action'!$Y$6</f>
        <v>0</v>
      </c>
      <c r="Q130" s="17">
        <f>'Rolling report'!CJ130*'No Action'!$Y$6</f>
        <v>1.32</v>
      </c>
      <c r="R130" s="17">
        <f>'Rolling report'!CK130*'No Action'!$Y$6</f>
        <v>0.88</v>
      </c>
      <c r="S130" s="17">
        <f>'Rolling report'!CL130*'No Action'!$Y$6</f>
        <v>0.88</v>
      </c>
      <c r="T130" s="17">
        <f>'Rolling report'!CM130*'No Action'!$Y$6</f>
        <v>2.2000000000000002</v>
      </c>
      <c r="U130" s="17">
        <f>'Rolling report'!CN130*'No Action'!$Y$6</f>
        <v>1.32</v>
      </c>
      <c r="V130" s="17">
        <f>'Rolling report'!CO130*'No Action'!$Y$6</f>
        <v>1.32</v>
      </c>
      <c r="W130" s="17">
        <f>'Rolling report'!CP130*'No Action'!$Y$6</f>
        <v>3.96</v>
      </c>
      <c r="X130" s="17">
        <f>'Rolling report'!CQ130*'No Action'!$Y$6</f>
        <v>1.76</v>
      </c>
      <c r="Y130" s="17">
        <f>'Rolling report'!CR130*'No Action'!$Y$6</f>
        <v>2.64</v>
      </c>
      <c r="Z130" s="17">
        <f>'Rolling report'!CS130*'No Action'!$Y$6</f>
        <v>0</v>
      </c>
      <c r="AA130" s="17">
        <f>'Rolling report'!CT130*'No Action'!$Y$6</f>
        <v>0.44</v>
      </c>
      <c r="AB130" s="17">
        <f>'Rolling report'!CU130*'No Action'!$Y$6</f>
        <v>1.76</v>
      </c>
      <c r="AC130" s="17">
        <f>'Rolling report'!CV130*'No Action'!$Y$6</f>
        <v>0</v>
      </c>
      <c r="AD130" s="17">
        <f>'Rolling report'!CW130*'No Action'!$Y$6</f>
        <v>1.32</v>
      </c>
      <c r="AE130" s="17">
        <f>'Rolling report'!CX130*'No Action'!$Y$6</f>
        <v>0</v>
      </c>
      <c r="AF130" s="17">
        <f>'Rolling report'!CY130*'No Action'!$Y$6</f>
        <v>-55.88</v>
      </c>
      <c r="AG130" s="17">
        <f>'Rolling report'!CZ130*'No Action'!$Y$6</f>
        <v>0</v>
      </c>
      <c r="AH130" s="17">
        <f>'Rolling report'!DA130*'No Action'!$Y$6</f>
        <v>0</v>
      </c>
      <c r="AI130" s="17">
        <f>'Rolling report'!DB130*'No Action'!$Y$6</f>
        <v>0</v>
      </c>
      <c r="AJ130" s="17">
        <f>'Rolling report'!DC130*'No Action'!$Y$6</f>
        <v>0</v>
      </c>
      <c r="AK130" s="17">
        <f>'Rolling report'!DD130*'No Action'!$Y$6</f>
        <v>0</v>
      </c>
      <c r="AL130" s="17">
        <f>'Rolling report'!DE130*'No Action'!$Y$6</f>
        <v>0</v>
      </c>
      <c r="AM130" s="17">
        <f>'Rolling report'!DF130*'No Action'!$Y$6</f>
        <v>0</v>
      </c>
      <c r="AN130" s="17">
        <f>'Rolling report'!DG130*'No Action'!$Y$6</f>
        <v>0</v>
      </c>
      <c r="AO130" s="17">
        <f>'Rolling report'!DH130*'No Action'!$Y$6</f>
        <v>0</v>
      </c>
      <c r="AQ130" s="45"/>
    </row>
    <row r="131" spans="1:43" x14ac:dyDescent="0.25">
      <c r="A131" s="4" t="s">
        <v>251</v>
      </c>
      <c r="B131" s="6" t="s">
        <v>252</v>
      </c>
      <c r="I131" s="17">
        <f>'Rolling report'!CB131*'No Action'!$Y$6</f>
        <v>9.24</v>
      </c>
      <c r="J131" s="17">
        <f>'Rolling report'!CC131*'No Action'!$Y$6</f>
        <v>2.64</v>
      </c>
      <c r="K131" s="17">
        <f>'Rolling report'!CD131*'No Action'!$Y$6</f>
        <v>3.96</v>
      </c>
      <c r="L131" s="17">
        <f>'Rolling report'!CE131*'No Action'!$Y$6</f>
        <v>2.2000000000000002</v>
      </c>
      <c r="M131" s="17">
        <f>'Rolling report'!CF131*'No Action'!$Y$6</f>
        <v>2.64</v>
      </c>
      <c r="N131" s="17">
        <f>'Rolling report'!CG131*'No Action'!$Y$6</f>
        <v>4.4000000000000004</v>
      </c>
      <c r="O131" s="17">
        <f>'Rolling report'!CH131*'No Action'!$Y$6</f>
        <v>1.32</v>
      </c>
      <c r="P131" s="17">
        <f>'Rolling report'!CI131*'No Action'!$Y$6</f>
        <v>0.88</v>
      </c>
      <c r="Q131" s="17">
        <f>'Rolling report'!CJ131*'No Action'!$Y$6</f>
        <v>1.32</v>
      </c>
      <c r="R131" s="17">
        <f>'Rolling report'!CK131*'No Action'!$Y$6</f>
        <v>0.44</v>
      </c>
      <c r="S131" s="17">
        <f>'Rolling report'!CL131*'No Action'!$Y$6</f>
        <v>0.44</v>
      </c>
      <c r="T131" s="17">
        <f>'Rolling report'!CM131*'No Action'!$Y$6</f>
        <v>2.64</v>
      </c>
      <c r="U131" s="17">
        <f>'Rolling report'!CN131*'No Action'!$Y$6</f>
        <v>3.08</v>
      </c>
      <c r="V131" s="17">
        <f>'Rolling report'!CO131*'No Action'!$Y$6</f>
        <v>1.32</v>
      </c>
      <c r="W131" s="17">
        <f>'Rolling report'!CP131*'No Action'!$Y$6</f>
        <v>0</v>
      </c>
      <c r="X131" s="17">
        <f>'Rolling report'!CQ131*'No Action'!$Y$6</f>
        <v>0</v>
      </c>
      <c r="Y131" s="17">
        <f>'Rolling report'!CR131*'No Action'!$Y$6</f>
        <v>0</v>
      </c>
      <c r="Z131" s="17">
        <f>'Rolling report'!CS131*'No Action'!$Y$6</f>
        <v>1.32</v>
      </c>
      <c r="AA131" s="17">
        <f>'Rolling report'!CT131*'No Action'!$Y$6</f>
        <v>0.88</v>
      </c>
      <c r="AB131" s="17">
        <f>'Rolling report'!CU131*'No Action'!$Y$6</f>
        <v>0</v>
      </c>
      <c r="AC131" s="17">
        <f>'Rolling report'!CV131*'No Action'!$Y$6</f>
        <v>0.88</v>
      </c>
      <c r="AD131" s="17">
        <f>'Rolling report'!CW131*'No Action'!$Y$6</f>
        <v>1.32</v>
      </c>
      <c r="AE131" s="17">
        <f>'Rolling report'!CX131*'No Action'!$Y$6</f>
        <v>0.44</v>
      </c>
      <c r="AF131" s="17">
        <f>'Rolling report'!CY131*'No Action'!$Y$6</f>
        <v>-41.36</v>
      </c>
      <c r="AG131" s="17">
        <f>'Rolling report'!CZ131*'No Action'!$Y$6</f>
        <v>0</v>
      </c>
      <c r="AH131" s="17">
        <f>'Rolling report'!DA131*'No Action'!$Y$6</f>
        <v>0</v>
      </c>
      <c r="AI131" s="17">
        <f>'Rolling report'!DB131*'No Action'!$Y$6</f>
        <v>0</v>
      </c>
      <c r="AJ131" s="17">
        <f>'Rolling report'!DC131*'No Action'!$Y$6</f>
        <v>0</v>
      </c>
      <c r="AK131" s="17">
        <f>'Rolling report'!DD131*'No Action'!$Y$6</f>
        <v>0</v>
      </c>
      <c r="AL131" s="17">
        <f>'Rolling report'!DE131*'No Action'!$Y$6</f>
        <v>0</v>
      </c>
      <c r="AM131" s="17">
        <f>'Rolling report'!DF131*'No Action'!$Y$6</f>
        <v>0</v>
      </c>
      <c r="AN131" s="17">
        <f>'Rolling report'!DG131*'No Action'!$Y$6</f>
        <v>0</v>
      </c>
      <c r="AO131" s="17">
        <f>'Rolling report'!DH131*'No Action'!$Y$6</f>
        <v>0</v>
      </c>
      <c r="AQ131" s="45"/>
    </row>
    <row r="132" spans="1:43" x14ac:dyDescent="0.25">
      <c r="A132" s="4" t="s">
        <v>253</v>
      </c>
      <c r="B132" s="6" t="s">
        <v>254</v>
      </c>
      <c r="I132" s="17">
        <f>'Rolling report'!CB132*'No Action'!$Y$6</f>
        <v>161.47999999999999</v>
      </c>
      <c r="J132" s="17">
        <f>'Rolling report'!CC132*'No Action'!$Y$6</f>
        <v>27.28</v>
      </c>
      <c r="K132" s="17">
        <f>'Rolling report'!CD132*'No Action'!$Y$6</f>
        <v>28.6</v>
      </c>
      <c r="L132" s="17">
        <f>'Rolling report'!CE132*'No Action'!$Y$6</f>
        <v>30.36</v>
      </c>
      <c r="M132" s="17">
        <f>'Rolling report'!CF132*'No Action'!$Y$6</f>
        <v>26.84</v>
      </c>
      <c r="N132" s="17">
        <f>'Rolling report'!CG132*'No Action'!$Y$6</f>
        <v>18.04</v>
      </c>
      <c r="O132" s="17">
        <f>'Rolling report'!CH132*'No Action'!$Y$6</f>
        <v>31.68</v>
      </c>
      <c r="P132" s="17">
        <f>'Rolling report'!CI132*'No Action'!$Y$6</f>
        <v>20.239999999999998</v>
      </c>
      <c r="Q132" s="17">
        <f>'Rolling report'!CJ132*'No Action'!$Y$6</f>
        <v>20.68</v>
      </c>
      <c r="R132" s="17">
        <f>'Rolling report'!CK132*'No Action'!$Y$6</f>
        <v>21.56</v>
      </c>
      <c r="S132" s="17">
        <f>'Rolling report'!CL132*'No Action'!$Y$6</f>
        <v>8.36</v>
      </c>
      <c r="T132" s="17">
        <f>'Rolling report'!CM132*'No Action'!$Y$6</f>
        <v>13.2</v>
      </c>
      <c r="U132" s="17">
        <f>'Rolling report'!CN132*'No Action'!$Y$6</f>
        <v>16.28</v>
      </c>
      <c r="V132" s="17">
        <f>'Rolling report'!CO132*'No Action'!$Y$6</f>
        <v>18.920000000000002</v>
      </c>
      <c r="W132" s="17">
        <f>'Rolling report'!CP132*'No Action'!$Y$6</f>
        <v>11</v>
      </c>
      <c r="X132" s="17">
        <f>'Rolling report'!CQ132*'No Action'!$Y$6</f>
        <v>11.44</v>
      </c>
      <c r="Y132" s="17">
        <f>'Rolling report'!CR132*'No Action'!$Y$6</f>
        <v>5.28</v>
      </c>
      <c r="Z132" s="17">
        <f>'Rolling report'!CS132*'No Action'!$Y$6</f>
        <v>10.119999999999999</v>
      </c>
      <c r="AA132" s="17">
        <f>'Rolling report'!CT132*'No Action'!$Y$6</f>
        <v>7.48</v>
      </c>
      <c r="AB132" s="17">
        <f>'Rolling report'!CU132*'No Action'!$Y$6</f>
        <v>7.04</v>
      </c>
      <c r="AC132" s="17">
        <f>'Rolling report'!CV132*'No Action'!$Y$6</f>
        <v>8.8000000000000007</v>
      </c>
      <c r="AD132" s="17">
        <f>'Rolling report'!CW132*'No Action'!$Y$6</f>
        <v>0.44</v>
      </c>
      <c r="AE132" s="17">
        <f>'Rolling report'!CX132*'No Action'!$Y$6</f>
        <v>7.48</v>
      </c>
      <c r="AF132" s="17">
        <f>'Rolling report'!CY132*'No Action'!$Y$6</f>
        <v>-512.6</v>
      </c>
      <c r="AG132" s="17">
        <f>'Rolling report'!CZ132*'No Action'!$Y$6</f>
        <v>0</v>
      </c>
      <c r="AH132" s="17">
        <f>'Rolling report'!DA132*'No Action'!$Y$6</f>
        <v>0</v>
      </c>
      <c r="AI132" s="17">
        <f>'Rolling report'!DB132*'No Action'!$Y$6</f>
        <v>0</v>
      </c>
      <c r="AJ132" s="17">
        <f>'Rolling report'!DC132*'No Action'!$Y$6</f>
        <v>0</v>
      </c>
      <c r="AK132" s="17">
        <f>'Rolling report'!DD132*'No Action'!$Y$6</f>
        <v>0</v>
      </c>
      <c r="AL132" s="17">
        <f>'Rolling report'!DE132*'No Action'!$Y$6</f>
        <v>0</v>
      </c>
      <c r="AM132" s="17">
        <f>'Rolling report'!DF132*'No Action'!$Y$6</f>
        <v>0</v>
      </c>
      <c r="AN132" s="17">
        <f>'Rolling report'!DG132*'No Action'!$Y$6</f>
        <v>0</v>
      </c>
      <c r="AO132" s="17">
        <f>'Rolling report'!DH132*'No Action'!$Y$6</f>
        <v>0</v>
      </c>
      <c r="AQ132" s="45"/>
    </row>
    <row r="133" spans="1:43" x14ac:dyDescent="0.25">
      <c r="A133" s="4" t="s">
        <v>255</v>
      </c>
      <c r="B133" s="6" t="s">
        <v>256</v>
      </c>
      <c r="I133" s="17">
        <f>'Rolling report'!CB133*'No Action'!$Y$6</f>
        <v>22.44</v>
      </c>
      <c r="J133" s="17">
        <f>'Rolling report'!CC133*'No Action'!$Y$6</f>
        <v>1.32</v>
      </c>
      <c r="K133" s="17">
        <f>'Rolling report'!CD133*'No Action'!$Y$6</f>
        <v>3.52</v>
      </c>
      <c r="L133" s="17">
        <f>'Rolling report'!CE133*'No Action'!$Y$6</f>
        <v>5.28</v>
      </c>
      <c r="M133" s="17">
        <f>'Rolling report'!CF133*'No Action'!$Y$6</f>
        <v>4.4000000000000004</v>
      </c>
      <c r="N133" s="17">
        <f>'Rolling report'!CG133*'No Action'!$Y$6</f>
        <v>1.32</v>
      </c>
      <c r="O133" s="17">
        <f>'Rolling report'!CH133*'No Action'!$Y$6</f>
        <v>1.32</v>
      </c>
      <c r="P133" s="17">
        <f>'Rolling report'!CI133*'No Action'!$Y$6</f>
        <v>0.88</v>
      </c>
      <c r="Q133" s="17">
        <f>'Rolling report'!CJ133*'No Action'!$Y$6</f>
        <v>0.88</v>
      </c>
      <c r="R133" s="17">
        <f>'Rolling report'!CK133*'No Action'!$Y$6</f>
        <v>1.32</v>
      </c>
      <c r="S133" s="17">
        <f>'Rolling report'!CL133*'No Action'!$Y$6</f>
        <v>0.88</v>
      </c>
      <c r="T133" s="17">
        <f>'Rolling report'!CM133*'No Action'!$Y$6</f>
        <v>2.2000000000000002</v>
      </c>
      <c r="U133" s="17">
        <f>'Rolling report'!CN133*'No Action'!$Y$6</f>
        <v>1.32</v>
      </c>
      <c r="V133" s="17">
        <f>'Rolling report'!CO133*'No Action'!$Y$6</f>
        <v>1.76</v>
      </c>
      <c r="W133" s="17">
        <f>'Rolling report'!CP133*'No Action'!$Y$6</f>
        <v>2.2000000000000002</v>
      </c>
      <c r="X133" s="17">
        <f>'Rolling report'!CQ133*'No Action'!$Y$6</f>
        <v>1.32</v>
      </c>
      <c r="Y133" s="17">
        <f>'Rolling report'!CR133*'No Action'!$Y$6</f>
        <v>2.2000000000000002</v>
      </c>
      <c r="Z133" s="17">
        <f>'Rolling report'!CS133*'No Action'!$Y$6</f>
        <v>0.88</v>
      </c>
      <c r="AA133" s="17">
        <f>'Rolling report'!CT133*'No Action'!$Y$6</f>
        <v>0</v>
      </c>
      <c r="AB133" s="17">
        <f>'Rolling report'!CU133*'No Action'!$Y$6</f>
        <v>0</v>
      </c>
      <c r="AC133" s="17">
        <f>'Rolling report'!CV133*'No Action'!$Y$6</f>
        <v>2.2000000000000002</v>
      </c>
      <c r="AD133" s="17">
        <f>'Rolling report'!CW133*'No Action'!$Y$6</f>
        <v>0.44</v>
      </c>
      <c r="AE133" s="17">
        <f>'Rolling report'!CX133*'No Action'!$Y$6</f>
        <v>0.44</v>
      </c>
      <c r="AF133" s="17">
        <f>'Rolling report'!CY133*'No Action'!$Y$6</f>
        <v>-58.52</v>
      </c>
      <c r="AG133" s="17">
        <f>'Rolling report'!CZ133*'No Action'!$Y$6</f>
        <v>0</v>
      </c>
      <c r="AH133" s="17">
        <f>'Rolling report'!DA133*'No Action'!$Y$6</f>
        <v>0</v>
      </c>
      <c r="AI133" s="17">
        <f>'Rolling report'!DB133*'No Action'!$Y$6</f>
        <v>0</v>
      </c>
      <c r="AJ133" s="17">
        <f>'Rolling report'!DC133*'No Action'!$Y$6</f>
        <v>0</v>
      </c>
      <c r="AK133" s="17">
        <f>'Rolling report'!DD133*'No Action'!$Y$6</f>
        <v>0</v>
      </c>
      <c r="AL133" s="17">
        <f>'Rolling report'!DE133*'No Action'!$Y$6</f>
        <v>0</v>
      </c>
      <c r="AM133" s="17">
        <f>'Rolling report'!DF133*'No Action'!$Y$6</f>
        <v>0</v>
      </c>
      <c r="AN133" s="17">
        <f>'Rolling report'!DG133*'No Action'!$Y$6</f>
        <v>0</v>
      </c>
      <c r="AO133" s="17">
        <f>'Rolling report'!DH133*'No Action'!$Y$6</f>
        <v>0</v>
      </c>
      <c r="AQ133" s="45"/>
    </row>
    <row r="134" spans="1:43" x14ac:dyDescent="0.25">
      <c r="A134" s="4" t="s">
        <v>257</v>
      </c>
      <c r="B134" s="6" t="s">
        <v>258</v>
      </c>
      <c r="I134" s="17">
        <f>'Rolling report'!CB134*'No Action'!$Y$6</f>
        <v>432.96</v>
      </c>
      <c r="J134" s="17">
        <f>'Rolling report'!CC134*'No Action'!$Y$6</f>
        <v>66</v>
      </c>
      <c r="K134" s="17">
        <f>'Rolling report'!CD134*'No Action'!$Y$6</f>
        <v>69.959999999999994</v>
      </c>
      <c r="L134" s="17">
        <f>'Rolling report'!CE134*'No Action'!$Y$6</f>
        <v>75.239999999999995</v>
      </c>
      <c r="M134" s="17">
        <f>'Rolling report'!CF134*'No Action'!$Y$6</f>
        <v>56.76</v>
      </c>
      <c r="N134" s="17">
        <f>'Rolling report'!CG134*'No Action'!$Y$6</f>
        <v>44.88</v>
      </c>
      <c r="O134" s="17">
        <f>'Rolling report'!CH134*'No Action'!$Y$6</f>
        <v>70.84</v>
      </c>
      <c r="P134" s="17">
        <f>'Rolling report'!CI134*'No Action'!$Y$6</f>
        <v>26.4</v>
      </c>
      <c r="Q134" s="17">
        <f>'Rolling report'!CJ134*'No Action'!$Y$6</f>
        <v>50.6</v>
      </c>
      <c r="R134" s="17">
        <f>'Rolling report'!CK134*'No Action'!$Y$6</f>
        <v>40.92</v>
      </c>
      <c r="S134" s="17">
        <f>'Rolling report'!CL134*'No Action'!$Y$6</f>
        <v>28.6</v>
      </c>
      <c r="T134" s="17">
        <f>'Rolling report'!CM134*'No Action'!$Y$6</f>
        <v>44</v>
      </c>
      <c r="U134" s="17">
        <f>'Rolling report'!CN134*'No Action'!$Y$6</f>
        <v>29.04</v>
      </c>
      <c r="V134" s="17">
        <f>'Rolling report'!CO134*'No Action'!$Y$6</f>
        <v>26.4</v>
      </c>
      <c r="W134" s="17">
        <f>'Rolling report'!CP134*'No Action'!$Y$6</f>
        <v>29.04</v>
      </c>
      <c r="X134" s="17">
        <f>'Rolling report'!CQ134*'No Action'!$Y$6</f>
        <v>14.96</v>
      </c>
      <c r="Y134" s="17">
        <f>'Rolling report'!CR134*'No Action'!$Y$6</f>
        <v>13.64</v>
      </c>
      <c r="Z134" s="17">
        <f>'Rolling report'!CS134*'No Action'!$Y$6</f>
        <v>25.080000000000002</v>
      </c>
      <c r="AA134" s="17">
        <f>'Rolling report'!CT134*'No Action'!$Y$6</f>
        <v>21.56</v>
      </c>
      <c r="AB134" s="17">
        <f>'Rolling report'!CU134*'No Action'!$Y$6</f>
        <v>14.08</v>
      </c>
      <c r="AC134" s="17">
        <f>'Rolling report'!CV134*'No Action'!$Y$6</f>
        <v>18.04</v>
      </c>
      <c r="AD134" s="17">
        <f>'Rolling report'!CW134*'No Action'!$Y$6</f>
        <v>7.92</v>
      </c>
      <c r="AE134" s="17">
        <f>'Rolling report'!CX134*'No Action'!$Y$6</f>
        <v>13.64</v>
      </c>
      <c r="AF134" s="17">
        <f>'Rolling report'!CY134*'No Action'!$Y$6</f>
        <v>-1220.56</v>
      </c>
      <c r="AG134" s="17">
        <f>'Rolling report'!CZ134*'No Action'!$Y$6</f>
        <v>0</v>
      </c>
      <c r="AH134" s="17">
        <f>'Rolling report'!DA134*'No Action'!$Y$6</f>
        <v>0</v>
      </c>
      <c r="AI134" s="17">
        <f>'Rolling report'!DB134*'No Action'!$Y$6</f>
        <v>0</v>
      </c>
      <c r="AJ134" s="17">
        <f>'Rolling report'!DC134*'No Action'!$Y$6</f>
        <v>0</v>
      </c>
      <c r="AK134" s="17">
        <f>'Rolling report'!DD134*'No Action'!$Y$6</f>
        <v>0</v>
      </c>
      <c r="AL134" s="17">
        <f>'Rolling report'!DE134*'No Action'!$Y$6</f>
        <v>0</v>
      </c>
      <c r="AM134" s="17">
        <f>'Rolling report'!DF134*'No Action'!$Y$6</f>
        <v>0</v>
      </c>
      <c r="AN134" s="17">
        <f>'Rolling report'!DG134*'No Action'!$Y$6</f>
        <v>0</v>
      </c>
      <c r="AO134" s="17">
        <f>'Rolling report'!DH134*'No Action'!$Y$6</f>
        <v>0</v>
      </c>
      <c r="AQ134" s="45"/>
    </row>
    <row r="135" spans="1:43" x14ac:dyDescent="0.25">
      <c r="A135" s="4" t="s">
        <v>259</v>
      </c>
      <c r="B135" s="6" t="s">
        <v>260</v>
      </c>
      <c r="I135" s="17">
        <f>'Rolling report'!CB135*'No Action'!$Y$6</f>
        <v>36.96</v>
      </c>
      <c r="J135" s="17">
        <f>'Rolling report'!CC135*'No Action'!$Y$6</f>
        <v>7.04</v>
      </c>
      <c r="K135" s="17">
        <f>'Rolling report'!CD135*'No Action'!$Y$6</f>
        <v>11.88</v>
      </c>
      <c r="L135" s="17">
        <f>'Rolling report'!CE135*'No Action'!$Y$6</f>
        <v>4.84</v>
      </c>
      <c r="M135" s="17">
        <f>'Rolling report'!CF135*'No Action'!$Y$6</f>
        <v>3.08</v>
      </c>
      <c r="N135" s="17">
        <f>'Rolling report'!CG135*'No Action'!$Y$6</f>
        <v>6.16</v>
      </c>
      <c r="O135" s="17">
        <f>'Rolling report'!CH135*'No Action'!$Y$6</f>
        <v>5.28</v>
      </c>
      <c r="P135" s="17">
        <f>'Rolling report'!CI135*'No Action'!$Y$6</f>
        <v>3.96</v>
      </c>
      <c r="Q135" s="17">
        <f>'Rolling report'!CJ135*'No Action'!$Y$6</f>
        <v>1.32</v>
      </c>
      <c r="R135" s="17">
        <f>'Rolling report'!CK135*'No Action'!$Y$6</f>
        <v>4.84</v>
      </c>
      <c r="S135" s="17">
        <f>'Rolling report'!CL135*'No Action'!$Y$6</f>
        <v>2.64</v>
      </c>
      <c r="T135" s="17">
        <f>'Rolling report'!CM135*'No Action'!$Y$6</f>
        <v>0.88</v>
      </c>
      <c r="U135" s="17">
        <f>'Rolling report'!CN135*'No Action'!$Y$6</f>
        <v>3.08</v>
      </c>
      <c r="V135" s="17">
        <f>'Rolling report'!CO135*'No Action'!$Y$6</f>
        <v>1.76</v>
      </c>
      <c r="W135" s="17">
        <f>'Rolling report'!CP135*'No Action'!$Y$6</f>
        <v>2.2000000000000002</v>
      </c>
      <c r="X135" s="17">
        <f>'Rolling report'!CQ135*'No Action'!$Y$6</f>
        <v>2.64</v>
      </c>
      <c r="Y135" s="17">
        <f>'Rolling report'!CR135*'No Action'!$Y$6</f>
        <v>3.52</v>
      </c>
      <c r="Z135" s="17">
        <f>'Rolling report'!CS135*'No Action'!$Y$6</f>
        <v>0.44</v>
      </c>
      <c r="AA135" s="17">
        <f>'Rolling report'!CT135*'No Action'!$Y$6</f>
        <v>4.84</v>
      </c>
      <c r="AB135" s="17">
        <f>'Rolling report'!CU135*'No Action'!$Y$6</f>
        <v>3.08</v>
      </c>
      <c r="AC135" s="17">
        <f>'Rolling report'!CV135*'No Action'!$Y$6</f>
        <v>2.2000000000000002</v>
      </c>
      <c r="AD135" s="17">
        <f>'Rolling report'!CW135*'No Action'!$Y$6</f>
        <v>3.08</v>
      </c>
      <c r="AE135" s="17">
        <f>'Rolling report'!CX135*'No Action'!$Y$6</f>
        <v>1.76</v>
      </c>
      <c r="AF135" s="17">
        <f>'Rolling report'!CY135*'No Action'!$Y$6</f>
        <v>-117.48</v>
      </c>
      <c r="AG135" s="17">
        <f>'Rolling report'!CZ135*'No Action'!$Y$6</f>
        <v>0</v>
      </c>
      <c r="AH135" s="17">
        <f>'Rolling report'!DA135*'No Action'!$Y$6</f>
        <v>0</v>
      </c>
      <c r="AI135" s="17">
        <f>'Rolling report'!DB135*'No Action'!$Y$6</f>
        <v>0</v>
      </c>
      <c r="AJ135" s="17">
        <f>'Rolling report'!DC135*'No Action'!$Y$6</f>
        <v>0</v>
      </c>
      <c r="AK135" s="17">
        <f>'Rolling report'!DD135*'No Action'!$Y$6</f>
        <v>0</v>
      </c>
      <c r="AL135" s="17">
        <f>'Rolling report'!DE135*'No Action'!$Y$6</f>
        <v>0</v>
      </c>
      <c r="AM135" s="17">
        <f>'Rolling report'!DF135*'No Action'!$Y$6</f>
        <v>0</v>
      </c>
      <c r="AN135" s="17">
        <f>'Rolling report'!DG135*'No Action'!$Y$6</f>
        <v>0</v>
      </c>
      <c r="AO135" s="17">
        <f>'Rolling report'!DH135*'No Action'!$Y$6</f>
        <v>0</v>
      </c>
      <c r="AQ135" s="45"/>
    </row>
    <row r="136" spans="1:43" x14ac:dyDescent="0.25">
      <c r="A136" s="4" t="s">
        <v>261</v>
      </c>
      <c r="B136" s="6" t="s">
        <v>262</v>
      </c>
      <c r="I136" s="17">
        <f>'Rolling report'!CB136*'No Action'!$Y$6</f>
        <v>29.04</v>
      </c>
      <c r="J136" s="17">
        <f>'Rolling report'!CC136*'No Action'!$Y$6</f>
        <v>8.36</v>
      </c>
      <c r="K136" s="17">
        <f>'Rolling report'!CD136*'No Action'!$Y$6</f>
        <v>5.28</v>
      </c>
      <c r="L136" s="17">
        <f>'Rolling report'!CE136*'No Action'!$Y$6</f>
        <v>4.84</v>
      </c>
      <c r="M136" s="17">
        <f>'Rolling report'!CF136*'No Action'!$Y$6</f>
        <v>3.08</v>
      </c>
      <c r="N136" s="17">
        <f>'Rolling report'!CG136*'No Action'!$Y$6</f>
        <v>1.76</v>
      </c>
      <c r="O136" s="17">
        <f>'Rolling report'!CH136*'No Action'!$Y$6</f>
        <v>6.16</v>
      </c>
      <c r="P136" s="17">
        <f>'Rolling report'!CI136*'No Action'!$Y$6</f>
        <v>3.96</v>
      </c>
      <c r="Q136" s="17">
        <f>'Rolling report'!CJ136*'No Action'!$Y$6</f>
        <v>3.08</v>
      </c>
      <c r="R136" s="17">
        <f>'Rolling report'!CK136*'No Action'!$Y$6</f>
        <v>3.08</v>
      </c>
      <c r="S136" s="17">
        <f>'Rolling report'!CL136*'No Action'!$Y$6</f>
        <v>0.44</v>
      </c>
      <c r="T136" s="17">
        <f>'Rolling report'!CM136*'No Action'!$Y$6</f>
        <v>3.08</v>
      </c>
      <c r="U136" s="17">
        <f>'Rolling report'!CN136*'No Action'!$Y$6</f>
        <v>2.2000000000000002</v>
      </c>
      <c r="V136" s="17">
        <f>'Rolling report'!CO136*'No Action'!$Y$6</f>
        <v>0.88</v>
      </c>
      <c r="W136" s="17">
        <f>'Rolling report'!CP136*'No Action'!$Y$6</f>
        <v>1.76</v>
      </c>
      <c r="X136" s="17">
        <f>'Rolling report'!CQ136*'No Action'!$Y$6</f>
        <v>0.88</v>
      </c>
      <c r="Y136" s="17">
        <f>'Rolling report'!CR136*'No Action'!$Y$6</f>
        <v>0.88</v>
      </c>
      <c r="Z136" s="17">
        <f>'Rolling report'!CS136*'No Action'!$Y$6</f>
        <v>3.52</v>
      </c>
      <c r="AA136" s="17">
        <f>'Rolling report'!CT136*'No Action'!$Y$6</f>
        <v>0.88</v>
      </c>
      <c r="AB136" s="17">
        <f>'Rolling report'!CU136*'No Action'!$Y$6</f>
        <v>1.76</v>
      </c>
      <c r="AC136" s="17">
        <f>'Rolling report'!CV136*'No Action'!$Y$6</f>
        <v>3.96</v>
      </c>
      <c r="AD136" s="17">
        <f>'Rolling report'!CW136*'No Action'!$Y$6</f>
        <v>3.52</v>
      </c>
      <c r="AE136" s="17">
        <f>'Rolling report'!CX136*'No Action'!$Y$6</f>
        <v>0.88</v>
      </c>
      <c r="AF136" s="17">
        <f>'Rolling report'!CY136*'No Action'!$Y$6</f>
        <v>-93.28</v>
      </c>
      <c r="AG136" s="17">
        <f>'Rolling report'!CZ136*'No Action'!$Y$6</f>
        <v>0</v>
      </c>
      <c r="AH136" s="17">
        <f>'Rolling report'!DA136*'No Action'!$Y$6</f>
        <v>0</v>
      </c>
      <c r="AI136" s="17">
        <f>'Rolling report'!DB136*'No Action'!$Y$6</f>
        <v>0</v>
      </c>
      <c r="AJ136" s="17">
        <f>'Rolling report'!DC136*'No Action'!$Y$6</f>
        <v>0</v>
      </c>
      <c r="AK136" s="17">
        <f>'Rolling report'!DD136*'No Action'!$Y$6</f>
        <v>0</v>
      </c>
      <c r="AL136" s="17">
        <f>'Rolling report'!DE136*'No Action'!$Y$6</f>
        <v>0</v>
      </c>
      <c r="AM136" s="17">
        <f>'Rolling report'!DF136*'No Action'!$Y$6</f>
        <v>0</v>
      </c>
      <c r="AN136" s="17">
        <f>'Rolling report'!DG136*'No Action'!$Y$6</f>
        <v>0</v>
      </c>
      <c r="AO136" s="17">
        <f>'Rolling report'!DH136*'No Action'!$Y$6</f>
        <v>0</v>
      </c>
      <c r="AQ136" s="45"/>
    </row>
    <row r="137" spans="1:43" x14ac:dyDescent="0.25">
      <c r="A137" s="4" t="s">
        <v>263</v>
      </c>
      <c r="B137" s="6" t="s">
        <v>264</v>
      </c>
      <c r="I137" s="17">
        <f>'Rolling report'!CB137*'No Action'!$Y$6</f>
        <v>16.72</v>
      </c>
      <c r="J137" s="17">
        <f>'Rolling report'!CC137*'No Action'!$Y$6</f>
        <v>2.2000000000000002</v>
      </c>
      <c r="K137" s="17">
        <f>'Rolling report'!CD137*'No Action'!$Y$6</f>
        <v>5.28</v>
      </c>
      <c r="L137" s="17">
        <f>'Rolling report'!CE137*'No Action'!$Y$6</f>
        <v>2.64</v>
      </c>
      <c r="M137" s="17">
        <f>'Rolling report'!CF137*'No Action'!$Y$6</f>
        <v>2.64</v>
      </c>
      <c r="N137" s="17">
        <f>'Rolling report'!CG137*'No Action'!$Y$6</f>
        <v>0.88</v>
      </c>
      <c r="O137" s="17">
        <f>'Rolling report'!CH137*'No Action'!$Y$6</f>
        <v>6.16</v>
      </c>
      <c r="P137" s="17">
        <f>'Rolling report'!CI137*'No Action'!$Y$6</f>
        <v>0.44</v>
      </c>
      <c r="Q137" s="17">
        <f>'Rolling report'!CJ137*'No Action'!$Y$6</f>
        <v>0</v>
      </c>
      <c r="R137" s="17">
        <f>'Rolling report'!CK137*'No Action'!$Y$6</f>
        <v>0.88</v>
      </c>
      <c r="S137" s="17">
        <f>'Rolling report'!CL137*'No Action'!$Y$6</f>
        <v>0.88</v>
      </c>
      <c r="T137" s="17">
        <f>'Rolling report'!CM137*'No Action'!$Y$6</f>
        <v>1.32</v>
      </c>
      <c r="U137" s="17">
        <f>'Rolling report'!CN137*'No Action'!$Y$6</f>
        <v>0.88</v>
      </c>
      <c r="V137" s="17">
        <f>'Rolling report'!CO137*'No Action'!$Y$6</f>
        <v>3.08</v>
      </c>
      <c r="W137" s="17">
        <f>'Rolling report'!CP137*'No Action'!$Y$6</f>
        <v>1.32</v>
      </c>
      <c r="X137" s="17">
        <f>'Rolling report'!CQ137*'No Action'!$Y$6</f>
        <v>0</v>
      </c>
      <c r="Y137" s="17">
        <f>'Rolling report'!CR137*'No Action'!$Y$6</f>
        <v>0</v>
      </c>
      <c r="Z137" s="17">
        <f>'Rolling report'!CS137*'No Action'!$Y$6</f>
        <v>0.88</v>
      </c>
      <c r="AA137" s="17">
        <f>'Rolling report'!CT137*'No Action'!$Y$6</f>
        <v>0.88</v>
      </c>
      <c r="AB137" s="17">
        <f>'Rolling report'!CU137*'No Action'!$Y$6</f>
        <v>1.76</v>
      </c>
      <c r="AC137" s="17">
        <f>'Rolling report'!CV137*'No Action'!$Y$6</f>
        <v>3.96</v>
      </c>
      <c r="AD137" s="17">
        <f>'Rolling report'!CW137*'No Action'!$Y$6</f>
        <v>0.44</v>
      </c>
      <c r="AE137" s="17">
        <f>'Rolling report'!CX137*'No Action'!$Y$6</f>
        <v>0.88</v>
      </c>
      <c r="AF137" s="17">
        <f>'Rolling report'!CY137*'No Action'!$Y$6</f>
        <v>-54.12</v>
      </c>
      <c r="AG137" s="17">
        <f>'Rolling report'!CZ137*'No Action'!$Y$6</f>
        <v>0</v>
      </c>
      <c r="AH137" s="17">
        <f>'Rolling report'!DA137*'No Action'!$Y$6</f>
        <v>0</v>
      </c>
      <c r="AI137" s="17">
        <f>'Rolling report'!DB137*'No Action'!$Y$6</f>
        <v>0</v>
      </c>
      <c r="AJ137" s="17">
        <f>'Rolling report'!DC137*'No Action'!$Y$6</f>
        <v>0</v>
      </c>
      <c r="AK137" s="17">
        <f>'Rolling report'!DD137*'No Action'!$Y$6</f>
        <v>0</v>
      </c>
      <c r="AL137" s="17">
        <f>'Rolling report'!DE137*'No Action'!$Y$6</f>
        <v>0</v>
      </c>
      <c r="AM137" s="17">
        <f>'Rolling report'!DF137*'No Action'!$Y$6</f>
        <v>0</v>
      </c>
      <c r="AN137" s="17">
        <f>'Rolling report'!DG137*'No Action'!$Y$6</f>
        <v>0</v>
      </c>
      <c r="AO137" s="17">
        <f>'Rolling report'!DH137*'No Action'!$Y$6</f>
        <v>0</v>
      </c>
      <c r="AQ137" s="45"/>
    </row>
    <row r="138" spans="1:43" x14ac:dyDescent="0.25">
      <c r="A138" s="4" t="s">
        <v>265</v>
      </c>
      <c r="B138" s="6" t="s">
        <v>266</v>
      </c>
      <c r="I138" s="17">
        <f>'Rolling report'!CB138*'No Action'!$Y$6</f>
        <v>25.52</v>
      </c>
      <c r="J138" s="17">
        <f>'Rolling report'!CC138*'No Action'!$Y$6</f>
        <v>5.28</v>
      </c>
      <c r="K138" s="17">
        <f>'Rolling report'!CD138*'No Action'!$Y$6</f>
        <v>4.84</v>
      </c>
      <c r="L138" s="17">
        <f>'Rolling report'!CE138*'No Action'!$Y$6</f>
        <v>3.08</v>
      </c>
      <c r="M138" s="17">
        <f>'Rolling report'!CF138*'No Action'!$Y$6</f>
        <v>4.84</v>
      </c>
      <c r="N138" s="17">
        <f>'Rolling report'!CG138*'No Action'!$Y$6</f>
        <v>3.96</v>
      </c>
      <c r="O138" s="17">
        <f>'Rolling report'!CH138*'No Action'!$Y$6</f>
        <v>6.16</v>
      </c>
      <c r="P138" s="17">
        <f>'Rolling report'!CI138*'No Action'!$Y$6</f>
        <v>2.64</v>
      </c>
      <c r="Q138" s="17">
        <f>'Rolling report'!CJ138*'No Action'!$Y$6</f>
        <v>2.64</v>
      </c>
      <c r="R138" s="17">
        <f>'Rolling report'!CK138*'No Action'!$Y$6</f>
        <v>2.64</v>
      </c>
      <c r="S138" s="17">
        <f>'Rolling report'!CL138*'No Action'!$Y$6</f>
        <v>2.2000000000000002</v>
      </c>
      <c r="T138" s="17">
        <f>'Rolling report'!CM138*'No Action'!$Y$6</f>
        <v>3.96</v>
      </c>
      <c r="U138" s="17">
        <f>'Rolling report'!CN138*'No Action'!$Y$6</f>
        <v>3.96</v>
      </c>
      <c r="V138" s="17">
        <f>'Rolling report'!CO138*'No Action'!$Y$6</f>
        <v>2.2000000000000002</v>
      </c>
      <c r="W138" s="17">
        <f>'Rolling report'!CP138*'No Action'!$Y$6</f>
        <v>3.52</v>
      </c>
      <c r="X138" s="17">
        <f>'Rolling report'!CQ138*'No Action'!$Y$6</f>
        <v>2.2000000000000002</v>
      </c>
      <c r="Y138" s="17">
        <f>'Rolling report'!CR138*'No Action'!$Y$6</f>
        <v>0</v>
      </c>
      <c r="Z138" s="17">
        <f>'Rolling report'!CS138*'No Action'!$Y$6</f>
        <v>2.2000000000000002</v>
      </c>
      <c r="AA138" s="17">
        <f>'Rolling report'!CT138*'No Action'!$Y$6</f>
        <v>4.84</v>
      </c>
      <c r="AB138" s="17">
        <f>'Rolling report'!CU138*'No Action'!$Y$6</f>
        <v>0</v>
      </c>
      <c r="AC138" s="17">
        <f>'Rolling report'!CV138*'No Action'!$Y$6</f>
        <v>0.88</v>
      </c>
      <c r="AD138" s="17">
        <f>'Rolling report'!CW138*'No Action'!$Y$6</f>
        <v>0</v>
      </c>
      <c r="AE138" s="17">
        <f>'Rolling report'!CX138*'No Action'!$Y$6</f>
        <v>-0.44</v>
      </c>
      <c r="AF138" s="17">
        <f>'Rolling report'!CY138*'No Action'!$Y$6</f>
        <v>-87.12</v>
      </c>
      <c r="AG138" s="17">
        <f>'Rolling report'!CZ138*'No Action'!$Y$6</f>
        <v>0</v>
      </c>
      <c r="AH138" s="17">
        <f>'Rolling report'!DA138*'No Action'!$Y$6</f>
        <v>0</v>
      </c>
      <c r="AI138" s="17">
        <f>'Rolling report'!DB138*'No Action'!$Y$6</f>
        <v>0</v>
      </c>
      <c r="AJ138" s="17">
        <f>'Rolling report'!DC138*'No Action'!$Y$6</f>
        <v>0</v>
      </c>
      <c r="AK138" s="17">
        <f>'Rolling report'!DD138*'No Action'!$Y$6</f>
        <v>0</v>
      </c>
      <c r="AL138" s="17">
        <f>'Rolling report'!DE138*'No Action'!$Y$6</f>
        <v>0</v>
      </c>
      <c r="AM138" s="17">
        <f>'Rolling report'!DF138*'No Action'!$Y$6</f>
        <v>0</v>
      </c>
      <c r="AN138" s="17">
        <f>'Rolling report'!DG138*'No Action'!$Y$6</f>
        <v>0</v>
      </c>
      <c r="AO138" s="17">
        <f>'Rolling report'!DH138*'No Action'!$Y$6</f>
        <v>0</v>
      </c>
      <c r="AQ138" s="45"/>
    </row>
    <row r="139" spans="1:43" x14ac:dyDescent="0.25">
      <c r="A139" s="4" t="s">
        <v>267</v>
      </c>
      <c r="B139" s="6" t="s">
        <v>268</v>
      </c>
      <c r="I139" s="17">
        <f>'Rolling report'!CB139*'No Action'!$Y$6</f>
        <v>13.2</v>
      </c>
      <c r="J139" s="17">
        <f>'Rolling report'!CC139*'No Action'!$Y$6</f>
        <v>0.44</v>
      </c>
      <c r="K139" s="17">
        <f>'Rolling report'!CD139*'No Action'!$Y$6</f>
        <v>3.96</v>
      </c>
      <c r="L139" s="17">
        <f>'Rolling report'!CE139*'No Action'!$Y$6</f>
        <v>0.88</v>
      </c>
      <c r="M139" s="17">
        <f>'Rolling report'!CF139*'No Action'!$Y$6</f>
        <v>1.32</v>
      </c>
      <c r="N139" s="17">
        <f>'Rolling report'!CG139*'No Action'!$Y$6</f>
        <v>6.16</v>
      </c>
      <c r="O139" s="17">
        <f>'Rolling report'!CH139*'No Action'!$Y$6</f>
        <v>2.2000000000000002</v>
      </c>
      <c r="P139" s="17">
        <f>'Rolling report'!CI139*'No Action'!$Y$6</f>
        <v>0</v>
      </c>
      <c r="Q139" s="17">
        <f>'Rolling report'!CJ139*'No Action'!$Y$6</f>
        <v>2.64</v>
      </c>
      <c r="R139" s="17">
        <f>'Rolling report'!CK139*'No Action'!$Y$6</f>
        <v>1.76</v>
      </c>
      <c r="S139" s="17">
        <f>'Rolling report'!CL139*'No Action'!$Y$6</f>
        <v>1.76</v>
      </c>
      <c r="T139" s="17">
        <f>'Rolling report'!CM139*'No Action'!$Y$6</f>
        <v>2.2000000000000002</v>
      </c>
      <c r="U139" s="17">
        <f>'Rolling report'!CN139*'No Action'!$Y$6</f>
        <v>0.88</v>
      </c>
      <c r="V139" s="17">
        <f>'Rolling report'!CO139*'No Action'!$Y$6</f>
        <v>2.2000000000000002</v>
      </c>
      <c r="W139" s="17">
        <f>'Rolling report'!CP139*'No Action'!$Y$6</f>
        <v>0.44</v>
      </c>
      <c r="X139" s="17">
        <f>'Rolling report'!CQ139*'No Action'!$Y$6</f>
        <v>1.76</v>
      </c>
      <c r="Y139" s="17">
        <f>'Rolling report'!CR139*'No Action'!$Y$6</f>
        <v>1.32</v>
      </c>
      <c r="Z139" s="17">
        <f>'Rolling report'!CS139*'No Action'!$Y$6</f>
        <v>0.44</v>
      </c>
      <c r="AA139" s="17">
        <f>'Rolling report'!CT139*'No Action'!$Y$6</f>
        <v>1.32</v>
      </c>
      <c r="AB139" s="17">
        <f>'Rolling report'!CU139*'No Action'!$Y$6</f>
        <v>0.44</v>
      </c>
      <c r="AC139" s="17">
        <f>'Rolling report'!CV139*'No Action'!$Y$6</f>
        <v>2.2000000000000002</v>
      </c>
      <c r="AD139" s="17">
        <f>'Rolling report'!CW139*'No Action'!$Y$6</f>
        <v>0.44</v>
      </c>
      <c r="AE139" s="17">
        <f>'Rolling report'!CX139*'No Action'!$Y$6</f>
        <v>2.64</v>
      </c>
      <c r="AF139" s="17">
        <f>'Rolling report'!CY139*'No Action'!$Y$6</f>
        <v>-50.6</v>
      </c>
      <c r="AG139" s="17">
        <f>'Rolling report'!CZ139*'No Action'!$Y$6</f>
        <v>0</v>
      </c>
      <c r="AH139" s="17">
        <f>'Rolling report'!DA139*'No Action'!$Y$6</f>
        <v>0</v>
      </c>
      <c r="AI139" s="17">
        <f>'Rolling report'!DB139*'No Action'!$Y$6</f>
        <v>0</v>
      </c>
      <c r="AJ139" s="17">
        <f>'Rolling report'!DC139*'No Action'!$Y$6</f>
        <v>0</v>
      </c>
      <c r="AK139" s="17">
        <f>'Rolling report'!DD139*'No Action'!$Y$6</f>
        <v>0</v>
      </c>
      <c r="AL139" s="17">
        <f>'Rolling report'!DE139*'No Action'!$Y$6</f>
        <v>0</v>
      </c>
      <c r="AM139" s="17">
        <f>'Rolling report'!DF139*'No Action'!$Y$6</f>
        <v>0</v>
      </c>
      <c r="AN139" s="17">
        <f>'Rolling report'!DG139*'No Action'!$Y$6</f>
        <v>0</v>
      </c>
      <c r="AO139" s="17">
        <f>'Rolling report'!DH139*'No Action'!$Y$6</f>
        <v>0</v>
      </c>
      <c r="AQ139" s="45"/>
    </row>
    <row r="140" spans="1:43" x14ac:dyDescent="0.25">
      <c r="A140" s="4" t="s">
        <v>269</v>
      </c>
      <c r="B140" s="6" t="s">
        <v>270</v>
      </c>
      <c r="I140" s="17">
        <f>'Rolling report'!CB140*'No Action'!$Y$6</f>
        <v>33.880000000000003</v>
      </c>
      <c r="J140" s="17">
        <f>'Rolling report'!CC140*'No Action'!$Y$6</f>
        <v>3.08</v>
      </c>
      <c r="K140" s="17">
        <f>'Rolling report'!CD140*'No Action'!$Y$6</f>
        <v>3.96</v>
      </c>
      <c r="L140" s="17">
        <f>'Rolling report'!CE140*'No Action'!$Y$6</f>
        <v>3.96</v>
      </c>
      <c r="M140" s="17">
        <f>'Rolling report'!CF140*'No Action'!$Y$6</f>
        <v>6.16</v>
      </c>
      <c r="N140" s="17">
        <f>'Rolling report'!CG140*'No Action'!$Y$6</f>
        <v>1.76</v>
      </c>
      <c r="O140" s="17">
        <f>'Rolling report'!CH140*'No Action'!$Y$6</f>
        <v>3.52</v>
      </c>
      <c r="P140" s="17">
        <f>'Rolling report'!CI140*'No Action'!$Y$6</f>
        <v>2.2000000000000002</v>
      </c>
      <c r="Q140" s="17">
        <f>'Rolling report'!CJ140*'No Action'!$Y$6</f>
        <v>0</v>
      </c>
      <c r="R140" s="17">
        <f>'Rolling report'!CK140*'No Action'!$Y$6</f>
        <v>0.44</v>
      </c>
      <c r="S140" s="17">
        <f>'Rolling report'!CL140*'No Action'!$Y$6</f>
        <v>2.64</v>
      </c>
      <c r="T140" s="17">
        <f>'Rolling report'!CM140*'No Action'!$Y$6</f>
        <v>3.08</v>
      </c>
      <c r="U140" s="17">
        <f>'Rolling report'!CN140*'No Action'!$Y$6</f>
        <v>0.88</v>
      </c>
      <c r="V140" s="17">
        <f>'Rolling report'!CO140*'No Action'!$Y$6</f>
        <v>1.32</v>
      </c>
      <c r="W140" s="17">
        <f>'Rolling report'!CP140*'No Action'!$Y$6</f>
        <v>1.76</v>
      </c>
      <c r="X140" s="17">
        <f>'Rolling report'!CQ140*'No Action'!$Y$6</f>
        <v>0</v>
      </c>
      <c r="Y140" s="17">
        <f>'Rolling report'!CR140*'No Action'!$Y$6</f>
        <v>0.88</v>
      </c>
      <c r="Z140" s="17">
        <f>'Rolling report'!CS140*'No Action'!$Y$6</f>
        <v>0</v>
      </c>
      <c r="AA140" s="17">
        <f>'Rolling report'!CT140*'No Action'!$Y$6</f>
        <v>0.88</v>
      </c>
      <c r="AB140" s="17">
        <f>'Rolling report'!CU140*'No Action'!$Y$6</f>
        <v>0.44</v>
      </c>
      <c r="AC140" s="17">
        <f>'Rolling report'!CV140*'No Action'!$Y$6</f>
        <v>0.88</v>
      </c>
      <c r="AD140" s="17">
        <f>'Rolling report'!CW140*'No Action'!$Y$6</f>
        <v>-0.88</v>
      </c>
      <c r="AE140" s="17">
        <f>'Rolling report'!CX140*'No Action'!$Y$6</f>
        <v>0.88</v>
      </c>
      <c r="AF140" s="17">
        <f>'Rolling report'!CY140*'No Action'!$Y$6</f>
        <v>-71.72</v>
      </c>
      <c r="AG140" s="17">
        <f>'Rolling report'!CZ140*'No Action'!$Y$6</f>
        <v>0</v>
      </c>
      <c r="AH140" s="17">
        <f>'Rolling report'!DA140*'No Action'!$Y$6</f>
        <v>0</v>
      </c>
      <c r="AI140" s="17">
        <f>'Rolling report'!DB140*'No Action'!$Y$6</f>
        <v>0</v>
      </c>
      <c r="AJ140" s="17">
        <f>'Rolling report'!DC140*'No Action'!$Y$6</f>
        <v>0</v>
      </c>
      <c r="AK140" s="17">
        <f>'Rolling report'!DD140*'No Action'!$Y$6</f>
        <v>0</v>
      </c>
      <c r="AL140" s="17">
        <f>'Rolling report'!DE140*'No Action'!$Y$6</f>
        <v>0</v>
      </c>
      <c r="AM140" s="17">
        <f>'Rolling report'!DF140*'No Action'!$Y$6</f>
        <v>0</v>
      </c>
      <c r="AN140" s="17">
        <f>'Rolling report'!DG140*'No Action'!$Y$6</f>
        <v>0</v>
      </c>
      <c r="AO140" s="17">
        <f>'Rolling report'!DH140*'No Action'!$Y$6</f>
        <v>0</v>
      </c>
      <c r="AQ140" s="45"/>
    </row>
    <row r="141" spans="1:43" x14ac:dyDescent="0.25">
      <c r="A141" s="4" t="s">
        <v>271</v>
      </c>
      <c r="B141" s="6" t="s">
        <v>272</v>
      </c>
      <c r="I141" s="17">
        <f>'Rolling report'!CB141*'No Action'!$Y$6</f>
        <v>46.2</v>
      </c>
      <c r="J141" s="17">
        <f>'Rolling report'!CC141*'No Action'!$Y$6</f>
        <v>5.28</v>
      </c>
      <c r="K141" s="17">
        <f>'Rolling report'!CD141*'No Action'!$Y$6</f>
        <v>7.92</v>
      </c>
      <c r="L141" s="17">
        <f>'Rolling report'!CE141*'No Action'!$Y$6</f>
        <v>4.84</v>
      </c>
      <c r="M141" s="17">
        <f>'Rolling report'!CF141*'No Action'!$Y$6</f>
        <v>8.36</v>
      </c>
      <c r="N141" s="17">
        <f>'Rolling report'!CG141*'No Action'!$Y$6</f>
        <v>2.64</v>
      </c>
      <c r="O141" s="17">
        <f>'Rolling report'!CH141*'No Action'!$Y$6</f>
        <v>5.72</v>
      </c>
      <c r="P141" s="17">
        <f>'Rolling report'!CI141*'No Action'!$Y$6</f>
        <v>3.08</v>
      </c>
      <c r="Q141" s="17">
        <f>'Rolling report'!CJ141*'No Action'!$Y$6</f>
        <v>2.2000000000000002</v>
      </c>
      <c r="R141" s="17">
        <f>'Rolling report'!CK141*'No Action'!$Y$6</f>
        <v>6.16</v>
      </c>
      <c r="S141" s="17">
        <f>'Rolling report'!CL141*'No Action'!$Y$6</f>
        <v>3.96</v>
      </c>
      <c r="T141" s="17">
        <f>'Rolling report'!CM141*'No Action'!$Y$6</f>
        <v>3.08</v>
      </c>
      <c r="U141" s="17">
        <f>'Rolling report'!CN141*'No Action'!$Y$6</f>
        <v>2.64</v>
      </c>
      <c r="V141" s="17">
        <f>'Rolling report'!CO141*'No Action'!$Y$6</f>
        <v>2.64</v>
      </c>
      <c r="W141" s="17">
        <f>'Rolling report'!CP141*'No Action'!$Y$6</f>
        <v>3.08</v>
      </c>
      <c r="X141" s="17">
        <f>'Rolling report'!CQ141*'No Action'!$Y$6</f>
        <v>1.32</v>
      </c>
      <c r="Y141" s="17">
        <f>'Rolling report'!CR141*'No Action'!$Y$6</f>
        <v>6.16</v>
      </c>
      <c r="Z141" s="17">
        <f>'Rolling report'!CS141*'No Action'!$Y$6</f>
        <v>1.32</v>
      </c>
      <c r="AA141" s="17">
        <f>'Rolling report'!CT141*'No Action'!$Y$6</f>
        <v>4.4000000000000004</v>
      </c>
      <c r="AB141" s="17">
        <f>'Rolling report'!CU141*'No Action'!$Y$6</f>
        <v>2.64</v>
      </c>
      <c r="AC141" s="17">
        <f>'Rolling report'!CV141*'No Action'!$Y$6</f>
        <v>5.28</v>
      </c>
      <c r="AD141" s="17">
        <f>'Rolling report'!CW141*'No Action'!$Y$6</f>
        <v>-0.44</v>
      </c>
      <c r="AE141" s="17">
        <f>'Rolling report'!CX141*'No Action'!$Y$6</f>
        <v>3.52</v>
      </c>
      <c r="AF141" s="17">
        <f>'Rolling report'!CY141*'No Action'!$Y$6</f>
        <v>-132</v>
      </c>
      <c r="AG141" s="17">
        <f>'Rolling report'!CZ141*'No Action'!$Y$6</f>
        <v>0</v>
      </c>
      <c r="AH141" s="17">
        <f>'Rolling report'!DA141*'No Action'!$Y$6</f>
        <v>0</v>
      </c>
      <c r="AI141" s="17">
        <f>'Rolling report'!DB141*'No Action'!$Y$6</f>
        <v>0</v>
      </c>
      <c r="AJ141" s="17">
        <f>'Rolling report'!DC141*'No Action'!$Y$6</f>
        <v>0</v>
      </c>
      <c r="AK141" s="17">
        <f>'Rolling report'!DD141*'No Action'!$Y$6</f>
        <v>0</v>
      </c>
      <c r="AL141" s="17">
        <f>'Rolling report'!DE141*'No Action'!$Y$6</f>
        <v>0</v>
      </c>
      <c r="AM141" s="17">
        <f>'Rolling report'!DF141*'No Action'!$Y$6</f>
        <v>0</v>
      </c>
      <c r="AN141" s="17">
        <f>'Rolling report'!DG141*'No Action'!$Y$6</f>
        <v>0</v>
      </c>
      <c r="AO141" s="17">
        <f>'Rolling report'!DH141*'No Action'!$Y$6</f>
        <v>0</v>
      </c>
      <c r="AQ141" s="45"/>
    </row>
    <row r="142" spans="1:43" x14ac:dyDescent="0.25">
      <c r="A142" s="4" t="s">
        <v>273</v>
      </c>
      <c r="B142" s="6" t="s">
        <v>274</v>
      </c>
      <c r="I142" s="17">
        <f>'Rolling report'!CB142*'No Action'!$Y$6</f>
        <v>42.24</v>
      </c>
      <c r="J142" s="17">
        <f>'Rolling report'!CC142*'No Action'!$Y$6</f>
        <v>13.2</v>
      </c>
      <c r="K142" s="17">
        <f>'Rolling report'!CD142*'No Action'!$Y$6</f>
        <v>5.72</v>
      </c>
      <c r="L142" s="17">
        <f>'Rolling report'!CE142*'No Action'!$Y$6</f>
        <v>3.96</v>
      </c>
      <c r="M142" s="17">
        <f>'Rolling report'!CF142*'No Action'!$Y$6</f>
        <v>5.72</v>
      </c>
      <c r="N142" s="17">
        <f>'Rolling report'!CG142*'No Action'!$Y$6</f>
        <v>3.08</v>
      </c>
      <c r="O142" s="17">
        <f>'Rolling report'!CH142*'No Action'!$Y$6</f>
        <v>9.24</v>
      </c>
      <c r="P142" s="17">
        <f>'Rolling report'!CI142*'No Action'!$Y$6</f>
        <v>1.76</v>
      </c>
      <c r="Q142" s="17">
        <f>'Rolling report'!CJ142*'No Action'!$Y$6</f>
        <v>3.08</v>
      </c>
      <c r="R142" s="17">
        <f>'Rolling report'!CK142*'No Action'!$Y$6</f>
        <v>5.28</v>
      </c>
      <c r="S142" s="17">
        <f>'Rolling report'!CL142*'No Action'!$Y$6</f>
        <v>0</v>
      </c>
      <c r="T142" s="17">
        <f>'Rolling report'!CM142*'No Action'!$Y$6</f>
        <v>2.2000000000000002</v>
      </c>
      <c r="U142" s="17">
        <f>'Rolling report'!CN142*'No Action'!$Y$6</f>
        <v>1.32</v>
      </c>
      <c r="V142" s="17">
        <f>'Rolling report'!CO142*'No Action'!$Y$6</f>
        <v>7.04</v>
      </c>
      <c r="W142" s="17">
        <f>'Rolling report'!CP142*'No Action'!$Y$6</f>
        <v>2.64</v>
      </c>
      <c r="X142" s="17">
        <f>'Rolling report'!CQ142*'No Action'!$Y$6</f>
        <v>0</v>
      </c>
      <c r="Y142" s="17">
        <f>'Rolling report'!CR142*'No Action'!$Y$6</f>
        <v>1.76</v>
      </c>
      <c r="Z142" s="17">
        <f>'Rolling report'!CS142*'No Action'!$Y$6</f>
        <v>2.64</v>
      </c>
      <c r="AA142" s="17">
        <f>'Rolling report'!CT142*'No Action'!$Y$6</f>
        <v>0</v>
      </c>
      <c r="AB142" s="17">
        <f>'Rolling report'!CU142*'No Action'!$Y$6</f>
        <v>3.96</v>
      </c>
      <c r="AC142" s="17">
        <f>'Rolling report'!CV142*'No Action'!$Y$6</f>
        <v>1.76</v>
      </c>
      <c r="AD142" s="17">
        <f>'Rolling report'!CW142*'No Action'!$Y$6</f>
        <v>2.2000000000000002</v>
      </c>
      <c r="AE142" s="17">
        <f>'Rolling report'!CX142*'No Action'!$Y$6</f>
        <v>1.32</v>
      </c>
      <c r="AF142" s="17">
        <f>'Rolling report'!CY142*'No Action'!$Y$6</f>
        <v>-120.12</v>
      </c>
      <c r="AG142" s="17">
        <f>'Rolling report'!CZ142*'No Action'!$Y$6</f>
        <v>0</v>
      </c>
      <c r="AH142" s="17">
        <f>'Rolling report'!DA142*'No Action'!$Y$6</f>
        <v>0</v>
      </c>
      <c r="AI142" s="17">
        <f>'Rolling report'!DB142*'No Action'!$Y$6</f>
        <v>0</v>
      </c>
      <c r="AJ142" s="17">
        <f>'Rolling report'!DC142*'No Action'!$Y$6</f>
        <v>0</v>
      </c>
      <c r="AK142" s="17">
        <f>'Rolling report'!DD142*'No Action'!$Y$6</f>
        <v>0</v>
      </c>
      <c r="AL142" s="17">
        <f>'Rolling report'!DE142*'No Action'!$Y$6</f>
        <v>0</v>
      </c>
      <c r="AM142" s="17">
        <f>'Rolling report'!DF142*'No Action'!$Y$6</f>
        <v>0</v>
      </c>
      <c r="AN142" s="17">
        <f>'Rolling report'!DG142*'No Action'!$Y$6</f>
        <v>0</v>
      </c>
      <c r="AO142" s="17">
        <f>'Rolling report'!DH142*'No Action'!$Y$6</f>
        <v>0</v>
      </c>
      <c r="AQ142" s="45"/>
    </row>
    <row r="143" spans="1:43" x14ac:dyDescent="0.25">
      <c r="A143" s="4" t="s">
        <v>275</v>
      </c>
      <c r="B143" s="6" t="s">
        <v>276</v>
      </c>
      <c r="I143" s="17">
        <f>'Rolling report'!CB143*'No Action'!$Y$6</f>
        <v>25.96</v>
      </c>
      <c r="J143" s="17">
        <f>'Rolling report'!CC143*'No Action'!$Y$6</f>
        <v>1.32</v>
      </c>
      <c r="K143" s="17">
        <f>'Rolling report'!CD143*'No Action'!$Y$6</f>
        <v>2.2000000000000002</v>
      </c>
      <c r="L143" s="17">
        <f>'Rolling report'!CE143*'No Action'!$Y$6</f>
        <v>2.64</v>
      </c>
      <c r="M143" s="17">
        <f>'Rolling report'!CF143*'No Action'!$Y$6</f>
        <v>3.52</v>
      </c>
      <c r="N143" s="17">
        <f>'Rolling report'!CG143*'No Action'!$Y$6</f>
        <v>5.28</v>
      </c>
      <c r="O143" s="17">
        <f>'Rolling report'!CH143*'No Action'!$Y$6</f>
        <v>8.8000000000000007</v>
      </c>
      <c r="P143" s="17">
        <f>'Rolling report'!CI143*'No Action'!$Y$6</f>
        <v>0.88</v>
      </c>
      <c r="Q143" s="17">
        <f>'Rolling report'!CJ143*'No Action'!$Y$6</f>
        <v>1.32</v>
      </c>
      <c r="R143" s="17">
        <f>'Rolling report'!CK143*'No Action'!$Y$6</f>
        <v>3.08</v>
      </c>
      <c r="S143" s="17">
        <f>'Rolling report'!CL143*'No Action'!$Y$6</f>
        <v>4.84</v>
      </c>
      <c r="T143" s="17">
        <f>'Rolling report'!CM143*'No Action'!$Y$6</f>
        <v>2.2000000000000002</v>
      </c>
      <c r="U143" s="17">
        <f>'Rolling report'!CN143*'No Action'!$Y$6</f>
        <v>1.32</v>
      </c>
      <c r="V143" s="17">
        <f>'Rolling report'!CO143*'No Action'!$Y$6</f>
        <v>2.64</v>
      </c>
      <c r="W143" s="17">
        <f>'Rolling report'!CP143*'No Action'!$Y$6</f>
        <v>4.4000000000000004</v>
      </c>
      <c r="X143" s="17">
        <f>'Rolling report'!CQ143*'No Action'!$Y$6</f>
        <v>0.88</v>
      </c>
      <c r="Y143" s="17">
        <f>'Rolling report'!CR143*'No Action'!$Y$6</f>
        <v>0.88</v>
      </c>
      <c r="Z143" s="17">
        <f>'Rolling report'!CS143*'No Action'!$Y$6</f>
        <v>1.76</v>
      </c>
      <c r="AA143" s="17">
        <f>'Rolling report'!CT143*'No Action'!$Y$6</f>
        <v>0.44</v>
      </c>
      <c r="AB143" s="17">
        <f>'Rolling report'!CU143*'No Action'!$Y$6</f>
        <v>0.44</v>
      </c>
      <c r="AC143" s="17">
        <f>'Rolling report'!CV143*'No Action'!$Y$6</f>
        <v>1.32</v>
      </c>
      <c r="AD143" s="17">
        <f>'Rolling report'!CW143*'No Action'!$Y$6</f>
        <v>2.64</v>
      </c>
      <c r="AE143" s="17">
        <f>'Rolling report'!CX143*'No Action'!$Y$6</f>
        <v>0</v>
      </c>
      <c r="AF143" s="17">
        <f>'Rolling report'!CY143*'No Action'!$Y$6</f>
        <v>-78.760000000000005</v>
      </c>
      <c r="AG143" s="17">
        <f>'Rolling report'!CZ143*'No Action'!$Y$6</f>
        <v>0</v>
      </c>
      <c r="AH143" s="17">
        <f>'Rolling report'!DA143*'No Action'!$Y$6</f>
        <v>0</v>
      </c>
      <c r="AI143" s="17">
        <f>'Rolling report'!DB143*'No Action'!$Y$6</f>
        <v>0</v>
      </c>
      <c r="AJ143" s="17">
        <f>'Rolling report'!DC143*'No Action'!$Y$6</f>
        <v>0</v>
      </c>
      <c r="AK143" s="17">
        <f>'Rolling report'!DD143*'No Action'!$Y$6</f>
        <v>0</v>
      </c>
      <c r="AL143" s="17">
        <f>'Rolling report'!DE143*'No Action'!$Y$6</f>
        <v>0</v>
      </c>
      <c r="AM143" s="17">
        <f>'Rolling report'!DF143*'No Action'!$Y$6</f>
        <v>0</v>
      </c>
      <c r="AN143" s="17">
        <f>'Rolling report'!DG143*'No Action'!$Y$6</f>
        <v>0</v>
      </c>
      <c r="AO143" s="17">
        <f>'Rolling report'!DH143*'No Action'!$Y$6</f>
        <v>0</v>
      </c>
      <c r="AQ143" s="45"/>
    </row>
    <row r="144" spans="1:43" x14ac:dyDescent="0.25">
      <c r="A144" s="4" t="s">
        <v>277</v>
      </c>
      <c r="B144" s="6" t="s">
        <v>278</v>
      </c>
      <c r="I144" s="17">
        <f>'Rolling report'!CB144*'No Action'!$Y$6</f>
        <v>5.72</v>
      </c>
      <c r="J144" s="17">
        <f>'Rolling report'!CC144*'No Action'!$Y$6</f>
        <v>5.28</v>
      </c>
      <c r="K144" s="17">
        <f>'Rolling report'!CD144*'No Action'!$Y$6</f>
        <v>0</v>
      </c>
      <c r="L144" s="17">
        <f>'Rolling report'!CE144*'No Action'!$Y$6</f>
        <v>2.64</v>
      </c>
      <c r="M144" s="17">
        <f>'Rolling report'!CF144*'No Action'!$Y$6</f>
        <v>1.32</v>
      </c>
      <c r="N144" s="17">
        <f>'Rolling report'!CG144*'No Action'!$Y$6</f>
        <v>0</v>
      </c>
      <c r="O144" s="17">
        <f>'Rolling report'!CH144*'No Action'!$Y$6</f>
        <v>2.64</v>
      </c>
      <c r="P144" s="17">
        <f>'Rolling report'!CI144*'No Action'!$Y$6</f>
        <v>0</v>
      </c>
      <c r="Q144" s="17">
        <f>'Rolling report'!CJ144*'No Action'!$Y$6</f>
        <v>0</v>
      </c>
      <c r="R144" s="17">
        <f>'Rolling report'!CK144*'No Action'!$Y$6</f>
        <v>0.44</v>
      </c>
      <c r="S144" s="17">
        <f>'Rolling report'!CL144*'No Action'!$Y$6</f>
        <v>1.76</v>
      </c>
      <c r="T144" s="17">
        <f>'Rolling report'!CM144*'No Action'!$Y$6</f>
        <v>0.88</v>
      </c>
      <c r="U144" s="17">
        <f>'Rolling report'!CN144*'No Action'!$Y$6</f>
        <v>0.88</v>
      </c>
      <c r="V144" s="17">
        <f>'Rolling report'!CO144*'No Action'!$Y$6</f>
        <v>0.44</v>
      </c>
      <c r="W144" s="17">
        <f>'Rolling report'!CP144*'No Action'!$Y$6</f>
        <v>0</v>
      </c>
      <c r="X144" s="17">
        <f>'Rolling report'!CQ144*'No Action'!$Y$6</f>
        <v>0</v>
      </c>
      <c r="Y144" s="17">
        <f>'Rolling report'!CR144*'No Action'!$Y$6</f>
        <v>0</v>
      </c>
      <c r="Z144" s="17">
        <f>'Rolling report'!CS144*'No Action'!$Y$6</f>
        <v>0.88</v>
      </c>
      <c r="AA144" s="17">
        <f>'Rolling report'!CT144*'No Action'!$Y$6</f>
        <v>0.44</v>
      </c>
      <c r="AB144" s="17">
        <f>'Rolling report'!CU144*'No Action'!$Y$6</f>
        <v>0</v>
      </c>
      <c r="AC144" s="17">
        <f>'Rolling report'!CV144*'No Action'!$Y$6</f>
        <v>0.88</v>
      </c>
      <c r="AD144" s="17">
        <f>'Rolling report'!CW144*'No Action'!$Y$6</f>
        <v>1.32</v>
      </c>
      <c r="AE144" s="17">
        <f>'Rolling report'!CX144*'No Action'!$Y$6</f>
        <v>0.88</v>
      </c>
      <c r="AF144" s="17">
        <f>'Rolling report'!CY144*'No Action'!$Y$6</f>
        <v>-26.4</v>
      </c>
      <c r="AG144" s="17">
        <f>'Rolling report'!CZ144*'No Action'!$Y$6</f>
        <v>0</v>
      </c>
      <c r="AH144" s="17">
        <f>'Rolling report'!DA144*'No Action'!$Y$6</f>
        <v>0</v>
      </c>
      <c r="AI144" s="17">
        <f>'Rolling report'!DB144*'No Action'!$Y$6</f>
        <v>0</v>
      </c>
      <c r="AJ144" s="17">
        <f>'Rolling report'!DC144*'No Action'!$Y$6</f>
        <v>0</v>
      </c>
      <c r="AK144" s="17">
        <f>'Rolling report'!DD144*'No Action'!$Y$6</f>
        <v>0</v>
      </c>
      <c r="AL144" s="17">
        <f>'Rolling report'!DE144*'No Action'!$Y$6</f>
        <v>0</v>
      </c>
      <c r="AM144" s="17">
        <f>'Rolling report'!DF144*'No Action'!$Y$6</f>
        <v>0</v>
      </c>
      <c r="AN144" s="17">
        <f>'Rolling report'!DG144*'No Action'!$Y$6</f>
        <v>0</v>
      </c>
      <c r="AO144" s="17">
        <f>'Rolling report'!DH144*'No Action'!$Y$6</f>
        <v>0</v>
      </c>
      <c r="AQ144" s="45"/>
    </row>
    <row r="145" spans="1:43" x14ac:dyDescent="0.25">
      <c r="A145" s="4" t="s">
        <v>279</v>
      </c>
      <c r="B145" s="6" t="s">
        <v>280</v>
      </c>
      <c r="I145" s="17">
        <f>'Rolling report'!CB145*'No Action'!$Y$6</f>
        <v>53.68</v>
      </c>
      <c r="J145" s="17">
        <f>'Rolling report'!CC145*'No Action'!$Y$6</f>
        <v>3.52</v>
      </c>
      <c r="K145" s="17">
        <f>'Rolling report'!CD145*'No Action'!$Y$6</f>
        <v>3.52</v>
      </c>
      <c r="L145" s="17">
        <f>'Rolling report'!CE145*'No Action'!$Y$6</f>
        <v>7.92</v>
      </c>
      <c r="M145" s="17">
        <f>'Rolling report'!CF145*'No Action'!$Y$6</f>
        <v>3.08</v>
      </c>
      <c r="N145" s="17">
        <f>'Rolling report'!CG145*'No Action'!$Y$6</f>
        <v>2.64</v>
      </c>
      <c r="O145" s="17">
        <f>'Rolling report'!CH145*'No Action'!$Y$6</f>
        <v>6.16</v>
      </c>
      <c r="P145" s="17">
        <f>'Rolling report'!CI145*'No Action'!$Y$6</f>
        <v>3.52</v>
      </c>
      <c r="Q145" s="17">
        <f>'Rolling report'!CJ145*'No Action'!$Y$6</f>
        <v>2.2000000000000002</v>
      </c>
      <c r="R145" s="17">
        <f>'Rolling report'!CK145*'No Action'!$Y$6</f>
        <v>1.76</v>
      </c>
      <c r="S145" s="17">
        <f>'Rolling report'!CL145*'No Action'!$Y$6</f>
        <v>3.52</v>
      </c>
      <c r="T145" s="17">
        <f>'Rolling report'!CM145*'No Action'!$Y$6</f>
        <v>3.96</v>
      </c>
      <c r="U145" s="17">
        <f>'Rolling report'!CN145*'No Action'!$Y$6</f>
        <v>3.08</v>
      </c>
      <c r="V145" s="17">
        <f>'Rolling report'!CO145*'No Action'!$Y$6</f>
        <v>7.92</v>
      </c>
      <c r="W145" s="17">
        <f>'Rolling report'!CP145*'No Action'!$Y$6</f>
        <v>1.76</v>
      </c>
      <c r="X145" s="17">
        <f>'Rolling report'!CQ145*'No Action'!$Y$6</f>
        <v>0.88</v>
      </c>
      <c r="Y145" s="17">
        <f>'Rolling report'!CR145*'No Action'!$Y$6</f>
        <v>0.88</v>
      </c>
      <c r="Z145" s="17">
        <f>'Rolling report'!CS145*'No Action'!$Y$6</f>
        <v>2.2000000000000002</v>
      </c>
      <c r="AA145" s="17">
        <f>'Rolling report'!CT145*'No Action'!$Y$6</f>
        <v>3.52</v>
      </c>
      <c r="AB145" s="17">
        <f>'Rolling report'!CU145*'No Action'!$Y$6</f>
        <v>6.6</v>
      </c>
      <c r="AC145" s="17">
        <f>'Rolling report'!CV145*'No Action'!$Y$6</f>
        <v>7.48</v>
      </c>
      <c r="AD145" s="17">
        <f>'Rolling report'!CW145*'No Action'!$Y$6</f>
        <v>0.88</v>
      </c>
      <c r="AE145" s="17">
        <f>'Rolling report'!CX145*'No Action'!$Y$6</f>
        <v>2.64</v>
      </c>
      <c r="AF145" s="17">
        <f>'Rolling report'!CY145*'No Action'!$Y$6</f>
        <v>-133.32</v>
      </c>
      <c r="AG145" s="17">
        <f>'Rolling report'!CZ145*'No Action'!$Y$6</f>
        <v>0</v>
      </c>
      <c r="AH145" s="17">
        <f>'Rolling report'!DA145*'No Action'!$Y$6</f>
        <v>0</v>
      </c>
      <c r="AI145" s="17">
        <f>'Rolling report'!DB145*'No Action'!$Y$6</f>
        <v>0</v>
      </c>
      <c r="AJ145" s="17">
        <f>'Rolling report'!DC145*'No Action'!$Y$6</f>
        <v>0</v>
      </c>
      <c r="AK145" s="17">
        <f>'Rolling report'!DD145*'No Action'!$Y$6</f>
        <v>0</v>
      </c>
      <c r="AL145" s="17">
        <f>'Rolling report'!DE145*'No Action'!$Y$6</f>
        <v>0</v>
      </c>
      <c r="AM145" s="17">
        <f>'Rolling report'!DF145*'No Action'!$Y$6</f>
        <v>0</v>
      </c>
      <c r="AN145" s="17">
        <f>'Rolling report'!DG145*'No Action'!$Y$6</f>
        <v>0</v>
      </c>
      <c r="AO145" s="17">
        <f>'Rolling report'!DH145*'No Action'!$Y$6</f>
        <v>0</v>
      </c>
      <c r="AQ145" s="45"/>
    </row>
    <row r="146" spans="1:43" x14ac:dyDescent="0.25">
      <c r="A146" s="4" t="s">
        <v>281</v>
      </c>
      <c r="B146" s="6" t="s">
        <v>282</v>
      </c>
      <c r="I146" s="17">
        <f>'Rolling report'!CB146*'No Action'!$Y$6</f>
        <v>102.08</v>
      </c>
      <c r="J146" s="17">
        <f>'Rolling report'!CC146*'No Action'!$Y$6</f>
        <v>16.72</v>
      </c>
      <c r="K146" s="17">
        <f>'Rolling report'!CD146*'No Action'!$Y$6</f>
        <v>18.48</v>
      </c>
      <c r="L146" s="17">
        <f>'Rolling report'!CE146*'No Action'!$Y$6</f>
        <v>20.68</v>
      </c>
      <c r="M146" s="17">
        <f>'Rolling report'!CF146*'No Action'!$Y$6</f>
        <v>12.32</v>
      </c>
      <c r="N146" s="17">
        <f>'Rolling report'!CG146*'No Action'!$Y$6</f>
        <v>14.52</v>
      </c>
      <c r="O146" s="17">
        <f>'Rolling report'!CH146*'No Action'!$Y$6</f>
        <v>20.68</v>
      </c>
      <c r="P146" s="17">
        <f>'Rolling report'!CI146*'No Action'!$Y$6</f>
        <v>7.04</v>
      </c>
      <c r="Q146" s="17">
        <f>'Rolling report'!CJ146*'No Action'!$Y$6</f>
        <v>11</v>
      </c>
      <c r="R146" s="17">
        <f>'Rolling report'!CK146*'No Action'!$Y$6</f>
        <v>11.44</v>
      </c>
      <c r="S146" s="17">
        <f>'Rolling report'!CL146*'No Action'!$Y$6</f>
        <v>8.8000000000000007</v>
      </c>
      <c r="T146" s="17">
        <f>'Rolling report'!CM146*'No Action'!$Y$6</f>
        <v>7.92</v>
      </c>
      <c r="U146" s="17">
        <f>'Rolling report'!CN146*'No Action'!$Y$6</f>
        <v>7.92</v>
      </c>
      <c r="V146" s="17">
        <f>'Rolling report'!CO146*'No Action'!$Y$6</f>
        <v>4.4000000000000004</v>
      </c>
      <c r="W146" s="17">
        <f>'Rolling report'!CP146*'No Action'!$Y$6</f>
        <v>6.6</v>
      </c>
      <c r="X146" s="17">
        <f>'Rolling report'!CQ146*'No Action'!$Y$6</f>
        <v>4.84</v>
      </c>
      <c r="Y146" s="17">
        <f>'Rolling report'!CR146*'No Action'!$Y$6</f>
        <v>7.04</v>
      </c>
      <c r="Z146" s="17">
        <f>'Rolling report'!CS146*'No Action'!$Y$6</f>
        <v>8.8000000000000007</v>
      </c>
      <c r="AA146" s="17">
        <f>'Rolling report'!CT146*'No Action'!$Y$6</f>
        <v>7.92</v>
      </c>
      <c r="AB146" s="17">
        <f>'Rolling report'!CU146*'No Action'!$Y$6</f>
        <v>6.16</v>
      </c>
      <c r="AC146" s="17">
        <f>'Rolling report'!CV146*'No Action'!$Y$6</f>
        <v>5.72</v>
      </c>
      <c r="AD146" s="17">
        <f>'Rolling report'!CW146*'No Action'!$Y$6</f>
        <v>1.76</v>
      </c>
      <c r="AE146" s="17">
        <f>'Rolling report'!CX146*'No Action'!$Y$6</f>
        <v>5.72</v>
      </c>
      <c r="AF146" s="17">
        <f>'Rolling report'!CY146*'No Action'!$Y$6</f>
        <v>-318.56</v>
      </c>
      <c r="AG146" s="17">
        <f>'Rolling report'!CZ146*'No Action'!$Y$6</f>
        <v>0</v>
      </c>
      <c r="AH146" s="17">
        <f>'Rolling report'!DA146*'No Action'!$Y$6</f>
        <v>0</v>
      </c>
      <c r="AI146" s="17">
        <f>'Rolling report'!DB146*'No Action'!$Y$6</f>
        <v>0</v>
      </c>
      <c r="AJ146" s="17">
        <f>'Rolling report'!DC146*'No Action'!$Y$6</f>
        <v>0</v>
      </c>
      <c r="AK146" s="17">
        <f>'Rolling report'!DD146*'No Action'!$Y$6</f>
        <v>0</v>
      </c>
      <c r="AL146" s="17">
        <f>'Rolling report'!DE146*'No Action'!$Y$6</f>
        <v>0</v>
      </c>
      <c r="AM146" s="17">
        <f>'Rolling report'!DF146*'No Action'!$Y$6</f>
        <v>0</v>
      </c>
      <c r="AN146" s="17">
        <f>'Rolling report'!DG146*'No Action'!$Y$6</f>
        <v>0</v>
      </c>
      <c r="AO146" s="17">
        <f>'Rolling report'!DH146*'No Action'!$Y$6</f>
        <v>0</v>
      </c>
      <c r="AQ146" s="45"/>
    </row>
    <row r="147" spans="1:43" x14ac:dyDescent="0.25">
      <c r="A147" s="4" t="s">
        <v>283</v>
      </c>
      <c r="B147" s="6" t="s">
        <v>284</v>
      </c>
      <c r="I147" s="17">
        <f>'Rolling report'!CB147*'No Action'!$Y$6</f>
        <v>22</v>
      </c>
      <c r="J147" s="17">
        <f>'Rolling report'!CC147*'No Action'!$Y$6</f>
        <v>6.16</v>
      </c>
      <c r="K147" s="17">
        <f>'Rolling report'!CD147*'No Action'!$Y$6</f>
        <v>9.68</v>
      </c>
      <c r="L147" s="17">
        <f>'Rolling report'!CE147*'No Action'!$Y$6</f>
        <v>8.8000000000000007</v>
      </c>
      <c r="M147" s="17">
        <f>'Rolling report'!CF147*'No Action'!$Y$6</f>
        <v>7.04</v>
      </c>
      <c r="N147" s="17">
        <f>'Rolling report'!CG147*'No Action'!$Y$6</f>
        <v>3.96</v>
      </c>
      <c r="O147" s="17">
        <f>'Rolling report'!CH147*'No Action'!$Y$6</f>
        <v>4.84</v>
      </c>
      <c r="P147" s="17">
        <f>'Rolling report'!CI147*'No Action'!$Y$6</f>
        <v>4.4000000000000004</v>
      </c>
      <c r="Q147" s="17">
        <f>'Rolling report'!CJ147*'No Action'!$Y$6</f>
        <v>5.72</v>
      </c>
      <c r="R147" s="17">
        <f>'Rolling report'!CK147*'No Action'!$Y$6</f>
        <v>3.52</v>
      </c>
      <c r="S147" s="17">
        <f>'Rolling report'!CL147*'No Action'!$Y$6</f>
        <v>2.2000000000000002</v>
      </c>
      <c r="T147" s="17">
        <f>'Rolling report'!CM147*'No Action'!$Y$6</f>
        <v>4.84</v>
      </c>
      <c r="U147" s="17">
        <f>'Rolling report'!CN147*'No Action'!$Y$6</f>
        <v>1.76</v>
      </c>
      <c r="V147" s="17">
        <f>'Rolling report'!CO147*'No Action'!$Y$6</f>
        <v>1.32</v>
      </c>
      <c r="W147" s="17">
        <f>'Rolling report'!CP147*'No Action'!$Y$6</f>
        <v>0.88</v>
      </c>
      <c r="X147" s="17">
        <f>'Rolling report'!CQ147*'No Action'!$Y$6</f>
        <v>1.32</v>
      </c>
      <c r="Y147" s="17">
        <f>'Rolling report'!CR147*'No Action'!$Y$6</f>
        <v>0.44</v>
      </c>
      <c r="Z147" s="17">
        <f>'Rolling report'!CS147*'No Action'!$Y$6</f>
        <v>0.88</v>
      </c>
      <c r="AA147" s="17">
        <f>'Rolling report'!CT147*'No Action'!$Y$6</f>
        <v>3.52</v>
      </c>
      <c r="AB147" s="17">
        <f>'Rolling report'!CU147*'No Action'!$Y$6</f>
        <v>1.32</v>
      </c>
      <c r="AC147" s="17">
        <f>'Rolling report'!CV147*'No Action'!$Y$6</f>
        <v>3.52</v>
      </c>
      <c r="AD147" s="17">
        <f>'Rolling report'!CW147*'No Action'!$Y$6</f>
        <v>0</v>
      </c>
      <c r="AE147" s="17">
        <f>'Rolling report'!CX147*'No Action'!$Y$6</f>
        <v>0.44</v>
      </c>
      <c r="AF147" s="17">
        <f>'Rolling report'!CY147*'No Action'!$Y$6</f>
        <v>-98.56</v>
      </c>
      <c r="AG147" s="17">
        <f>'Rolling report'!CZ147*'No Action'!$Y$6</f>
        <v>0</v>
      </c>
      <c r="AH147" s="17">
        <f>'Rolling report'!DA147*'No Action'!$Y$6</f>
        <v>0</v>
      </c>
      <c r="AI147" s="17">
        <f>'Rolling report'!DB147*'No Action'!$Y$6</f>
        <v>0</v>
      </c>
      <c r="AJ147" s="17">
        <f>'Rolling report'!DC147*'No Action'!$Y$6</f>
        <v>0</v>
      </c>
      <c r="AK147" s="17">
        <f>'Rolling report'!DD147*'No Action'!$Y$6</f>
        <v>0</v>
      </c>
      <c r="AL147" s="17">
        <f>'Rolling report'!DE147*'No Action'!$Y$6</f>
        <v>0</v>
      </c>
      <c r="AM147" s="17">
        <f>'Rolling report'!DF147*'No Action'!$Y$6</f>
        <v>0</v>
      </c>
      <c r="AN147" s="17">
        <f>'Rolling report'!DG147*'No Action'!$Y$6</f>
        <v>0</v>
      </c>
      <c r="AO147" s="17">
        <f>'Rolling report'!DH147*'No Action'!$Y$6</f>
        <v>0</v>
      </c>
      <c r="AQ147" s="45"/>
    </row>
    <row r="148" spans="1:43" x14ac:dyDescent="0.25">
      <c r="A148" s="4" t="s">
        <v>285</v>
      </c>
      <c r="B148" s="6" t="s">
        <v>286</v>
      </c>
      <c r="I148" s="17">
        <f>'Rolling report'!CB148*'No Action'!$Y$6</f>
        <v>149.16</v>
      </c>
      <c r="J148" s="17">
        <f>'Rolling report'!CC148*'No Action'!$Y$6</f>
        <v>16.72</v>
      </c>
      <c r="K148" s="17">
        <f>'Rolling report'!CD148*'No Action'!$Y$6</f>
        <v>15.84</v>
      </c>
      <c r="L148" s="17">
        <f>'Rolling report'!CE148*'No Action'!$Y$6</f>
        <v>25.96</v>
      </c>
      <c r="M148" s="17">
        <f>'Rolling report'!CF148*'No Action'!$Y$6</f>
        <v>20.68</v>
      </c>
      <c r="N148" s="17">
        <f>'Rolling report'!CG148*'No Action'!$Y$6</f>
        <v>18.920000000000002</v>
      </c>
      <c r="O148" s="17">
        <f>'Rolling report'!CH148*'No Action'!$Y$6</f>
        <v>21.56</v>
      </c>
      <c r="P148" s="17">
        <f>'Rolling report'!CI148*'No Action'!$Y$6</f>
        <v>8.8000000000000007</v>
      </c>
      <c r="Q148" s="17">
        <f>'Rolling report'!CJ148*'No Action'!$Y$6</f>
        <v>11.44</v>
      </c>
      <c r="R148" s="17">
        <f>'Rolling report'!CK148*'No Action'!$Y$6</f>
        <v>10.119999999999999</v>
      </c>
      <c r="S148" s="17">
        <f>'Rolling report'!CL148*'No Action'!$Y$6</f>
        <v>12.32</v>
      </c>
      <c r="T148" s="17">
        <f>'Rolling report'!CM148*'No Action'!$Y$6</f>
        <v>12.32</v>
      </c>
      <c r="U148" s="17">
        <f>'Rolling report'!CN148*'No Action'!$Y$6</f>
        <v>13.2</v>
      </c>
      <c r="V148" s="17">
        <f>'Rolling report'!CO148*'No Action'!$Y$6</f>
        <v>7.04</v>
      </c>
      <c r="W148" s="17">
        <f>'Rolling report'!CP148*'No Action'!$Y$6</f>
        <v>9.24</v>
      </c>
      <c r="X148" s="17">
        <f>'Rolling report'!CQ148*'No Action'!$Y$6</f>
        <v>10.119999999999999</v>
      </c>
      <c r="Y148" s="17">
        <f>'Rolling report'!CR148*'No Action'!$Y$6</f>
        <v>2.64</v>
      </c>
      <c r="Z148" s="17">
        <f>'Rolling report'!CS148*'No Action'!$Y$6</f>
        <v>7.48</v>
      </c>
      <c r="AA148" s="17">
        <f>'Rolling report'!CT148*'No Action'!$Y$6</f>
        <v>1.32</v>
      </c>
      <c r="AB148" s="17">
        <f>'Rolling report'!CU148*'No Action'!$Y$6</f>
        <v>7.92</v>
      </c>
      <c r="AC148" s="17">
        <f>'Rolling report'!CV148*'No Action'!$Y$6</f>
        <v>10.56</v>
      </c>
      <c r="AD148" s="17">
        <f>'Rolling report'!CW148*'No Action'!$Y$6</f>
        <v>1.76</v>
      </c>
      <c r="AE148" s="17">
        <f>'Rolling report'!CX148*'No Action'!$Y$6</f>
        <v>4.84</v>
      </c>
      <c r="AF148" s="17">
        <f>'Rolling report'!CY148*'No Action'!$Y$6</f>
        <v>-399.96</v>
      </c>
      <c r="AG148" s="17">
        <f>'Rolling report'!CZ148*'No Action'!$Y$6</f>
        <v>0</v>
      </c>
      <c r="AH148" s="17">
        <f>'Rolling report'!DA148*'No Action'!$Y$6</f>
        <v>0</v>
      </c>
      <c r="AI148" s="17">
        <f>'Rolling report'!DB148*'No Action'!$Y$6</f>
        <v>0</v>
      </c>
      <c r="AJ148" s="17">
        <f>'Rolling report'!DC148*'No Action'!$Y$6</f>
        <v>0</v>
      </c>
      <c r="AK148" s="17">
        <f>'Rolling report'!DD148*'No Action'!$Y$6</f>
        <v>0</v>
      </c>
      <c r="AL148" s="17">
        <f>'Rolling report'!DE148*'No Action'!$Y$6</f>
        <v>0</v>
      </c>
      <c r="AM148" s="17">
        <f>'Rolling report'!DF148*'No Action'!$Y$6</f>
        <v>0</v>
      </c>
      <c r="AN148" s="17">
        <f>'Rolling report'!DG148*'No Action'!$Y$6</f>
        <v>0</v>
      </c>
      <c r="AO148" s="17">
        <f>'Rolling report'!DH148*'No Action'!$Y$6</f>
        <v>0</v>
      </c>
      <c r="AQ148" s="45"/>
    </row>
    <row r="149" spans="1:43" x14ac:dyDescent="0.25">
      <c r="A149" s="4" t="s">
        <v>287</v>
      </c>
      <c r="B149" s="6" t="s">
        <v>288</v>
      </c>
      <c r="I149" s="17">
        <f>'Rolling report'!CB149*'No Action'!$Y$6</f>
        <v>58.52</v>
      </c>
      <c r="J149" s="17">
        <f>'Rolling report'!CC149*'No Action'!$Y$6</f>
        <v>7.48</v>
      </c>
      <c r="K149" s="17">
        <f>'Rolling report'!CD149*'No Action'!$Y$6</f>
        <v>9.68</v>
      </c>
      <c r="L149" s="17">
        <f>'Rolling report'!CE149*'No Action'!$Y$6</f>
        <v>7.92</v>
      </c>
      <c r="M149" s="17">
        <f>'Rolling report'!CF149*'No Action'!$Y$6</f>
        <v>3.52</v>
      </c>
      <c r="N149" s="17">
        <f>'Rolling report'!CG149*'No Action'!$Y$6</f>
        <v>13.2</v>
      </c>
      <c r="O149" s="17">
        <f>'Rolling report'!CH149*'No Action'!$Y$6</f>
        <v>20.239999999999998</v>
      </c>
      <c r="P149" s="17">
        <f>'Rolling report'!CI149*'No Action'!$Y$6</f>
        <v>5.72</v>
      </c>
      <c r="Q149" s="17">
        <f>'Rolling report'!CJ149*'No Action'!$Y$6</f>
        <v>5.28</v>
      </c>
      <c r="R149" s="17">
        <f>'Rolling report'!CK149*'No Action'!$Y$6</f>
        <v>5.72</v>
      </c>
      <c r="S149" s="17">
        <f>'Rolling report'!CL149*'No Action'!$Y$6</f>
        <v>6.6</v>
      </c>
      <c r="T149" s="17">
        <f>'Rolling report'!CM149*'No Action'!$Y$6</f>
        <v>3.96</v>
      </c>
      <c r="U149" s="17">
        <f>'Rolling report'!CN149*'No Action'!$Y$6</f>
        <v>9.68</v>
      </c>
      <c r="V149" s="17">
        <f>'Rolling report'!CO149*'No Action'!$Y$6</f>
        <v>7.48</v>
      </c>
      <c r="W149" s="17">
        <f>'Rolling report'!CP149*'No Action'!$Y$6</f>
        <v>1.32</v>
      </c>
      <c r="X149" s="17">
        <f>'Rolling report'!CQ149*'No Action'!$Y$6</f>
        <v>3.08</v>
      </c>
      <c r="Y149" s="17">
        <f>'Rolling report'!CR149*'No Action'!$Y$6</f>
        <v>3.52</v>
      </c>
      <c r="Z149" s="17">
        <f>'Rolling report'!CS149*'No Action'!$Y$6</f>
        <v>3.52</v>
      </c>
      <c r="AA149" s="17">
        <f>'Rolling report'!CT149*'No Action'!$Y$6</f>
        <v>6.16</v>
      </c>
      <c r="AB149" s="17">
        <f>'Rolling report'!CU149*'No Action'!$Y$6</f>
        <v>3.96</v>
      </c>
      <c r="AC149" s="17">
        <f>'Rolling report'!CV149*'No Action'!$Y$6</f>
        <v>1.32</v>
      </c>
      <c r="AD149" s="17">
        <f>'Rolling report'!CW149*'No Action'!$Y$6</f>
        <v>0.44</v>
      </c>
      <c r="AE149" s="17">
        <f>'Rolling report'!CX149*'No Action'!$Y$6</f>
        <v>1.32</v>
      </c>
      <c r="AF149" s="17">
        <f>'Rolling report'!CY149*'No Action'!$Y$6</f>
        <v>-189.64000000000001</v>
      </c>
      <c r="AG149" s="17">
        <f>'Rolling report'!CZ149*'No Action'!$Y$6</f>
        <v>0</v>
      </c>
      <c r="AH149" s="17">
        <f>'Rolling report'!DA149*'No Action'!$Y$6</f>
        <v>0</v>
      </c>
      <c r="AI149" s="17">
        <f>'Rolling report'!DB149*'No Action'!$Y$6</f>
        <v>0</v>
      </c>
      <c r="AJ149" s="17">
        <f>'Rolling report'!DC149*'No Action'!$Y$6</f>
        <v>0</v>
      </c>
      <c r="AK149" s="17">
        <f>'Rolling report'!DD149*'No Action'!$Y$6</f>
        <v>0</v>
      </c>
      <c r="AL149" s="17">
        <f>'Rolling report'!DE149*'No Action'!$Y$6</f>
        <v>0</v>
      </c>
      <c r="AM149" s="17">
        <f>'Rolling report'!DF149*'No Action'!$Y$6</f>
        <v>0</v>
      </c>
      <c r="AN149" s="17">
        <f>'Rolling report'!DG149*'No Action'!$Y$6</f>
        <v>0</v>
      </c>
      <c r="AO149" s="17">
        <f>'Rolling report'!DH149*'No Action'!$Y$6</f>
        <v>0</v>
      </c>
      <c r="AQ149" s="45"/>
    </row>
    <row r="150" spans="1:43" x14ac:dyDescent="0.25">
      <c r="A150" s="4" t="s">
        <v>289</v>
      </c>
      <c r="B150" s="6" t="s">
        <v>290</v>
      </c>
      <c r="I150" s="17">
        <f>'Rolling report'!CB150*'No Action'!$Y$6</f>
        <v>85.36</v>
      </c>
      <c r="J150" s="17">
        <f>'Rolling report'!CC150*'No Action'!$Y$6</f>
        <v>43.12</v>
      </c>
      <c r="K150" s="17">
        <f>'Rolling report'!CD150*'No Action'!$Y$6</f>
        <v>11.88</v>
      </c>
      <c r="L150" s="17">
        <f>'Rolling report'!CE150*'No Action'!$Y$6</f>
        <v>21.56</v>
      </c>
      <c r="M150" s="17">
        <f>'Rolling report'!CF150*'No Action'!$Y$6</f>
        <v>12.32</v>
      </c>
      <c r="N150" s="17">
        <f>'Rolling report'!CG150*'No Action'!$Y$6</f>
        <v>13.64</v>
      </c>
      <c r="O150" s="17">
        <f>'Rolling report'!CH150*'No Action'!$Y$6</f>
        <v>5.72</v>
      </c>
      <c r="P150" s="17">
        <f>'Rolling report'!CI150*'No Action'!$Y$6</f>
        <v>5.28</v>
      </c>
      <c r="Q150" s="17">
        <f>'Rolling report'!CJ150*'No Action'!$Y$6</f>
        <v>7.48</v>
      </c>
      <c r="R150" s="17">
        <f>'Rolling report'!CK150*'No Action'!$Y$6</f>
        <v>5.28</v>
      </c>
      <c r="S150" s="17">
        <f>'Rolling report'!CL150*'No Action'!$Y$6</f>
        <v>13.2</v>
      </c>
      <c r="T150" s="17">
        <f>'Rolling report'!CM150*'No Action'!$Y$6</f>
        <v>3.52</v>
      </c>
      <c r="U150" s="17">
        <f>'Rolling report'!CN150*'No Action'!$Y$6</f>
        <v>5.28</v>
      </c>
      <c r="V150" s="17">
        <f>'Rolling report'!CO150*'No Action'!$Y$6</f>
        <v>1.32</v>
      </c>
      <c r="W150" s="17">
        <f>'Rolling report'!CP150*'No Action'!$Y$6</f>
        <v>2.2000000000000002</v>
      </c>
      <c r="X150" s="17">
        <f>'Rolling report'!CQ150*'No Action'!$Y$6</f>
        <v>4.4000000000000004</v>
      </c>
      <c r="Y150" s="17">
        <f>'Rolling report'!CR150*'No Action'!$Y$6</f>
        <v>7.48</v>
      </c>
      <c r="Z150" s="17">
        <f>'Rolling report'!CS150*'No Action'!$Y$6</f>
        <v>2.2000000000000002</v>
      </c>
      <c r="AA150" s="17">
        <f>'Rolling report'!CT150*'No Action'!$Y$6</f>
        <v>2.64</v>
      </c>
      <c r="AB150" s="17">
        <f>'Rolling report'!CU150*'No Action'!$Y$6</f>
        <v>3.96</v>
      </c>
      <c r="AC150" s="17">
        <f>'Rolling report'!CV150*'No Action'!$Y$6</f>
        <v>9.68</v>
      </c>
      <c r="AD150" s="17">
        <f>'Rolling report'!CW150*'No Action'!$Y$6</f>
        <v>2.64</v>
      </c>
      <c r="AE150" s="17">
        <f>'Rolling report'!CX150*'No Action'!$Y$6</f>
        <v>1.32</v>
      </c>
      <c r="AF150" s="17">
        <f>'Rolling report'!CY150*'No Action'!$Y$6</f>
        <v>-271.48</v>
      </c>
      <c r="AG150" s="17">
        <f>'Rolling report'!CZ150*'No Action'!$Y$6</f>
        <v>0</v>
      </c>
      <c r="AH150" s="17">
        <f>'Rolling report'!DA150*'No Action'!$Y$6</f>
        <v>0</v>
      </c>
      <c r="AI150" s="17">
        <f>'Rolling report'!DB150*'No Action'!$Y$6</f>
        <v>0</v>
      </c>
      <c r="AJ150" s="17">
        <f>'Rolling report'!DC150*'No Action'!$Y$6</f>
        <v>0</v>
      </c>
      <c r="AK150" s="17">
        <f>'Rolling report'!DD150*'No Action'!$Y$6</f>
        <v>0</v>
      </c>
      <c r="AL150" s="17">
        <f>'Rolling report'!DE150*'No Action'!$Y$6</f>
        <v>0</v>
      </c>
      <c r="AM150" s="17">
        <f>'Rolling report'!DF150*'No Action'!$Y$6</f>
        <v>0</v>
      </c>
      <c r="AN150" s="17">
        <f>'Rolling report'!DG150*'No Action'!$Y$6</f>
        <v>0</v>
      </c>
      <c r="AO150" s="17">
        <f>'Rolling report'!DH150*'No Action'!$Y$6</f>
        <v>0</v>
      </c>
      <c r="AQ150" s="45"/>
    </row>
    <row r="151" spans="1:43" x14ac:dyDescent="0.25">
      <c r="A151" s="4" t="s">
        <v>291</v>
      </c>
      <c r="B151" s="6" t="s">
        <v>292</v>
      </c>
      <c r="I151" s="17">
        <f>'Rolling report'!CB151*'No Action'!$Y$6</f>
        <v>289.08</v>
      </c>
      <c r="J151" s="17">
        <f>'Rolling report'!CC151*'No Action'!$Y$6</f>
        <v>66.88</v>
      </c>
      <c r="K151" s="17">
        <f>'Rolling report'!CD151*'No Action'!$Y$6</f>
        <v>44</v>
      </c>
      <c r="L151" s="17">
        <f>'Rolling report'!CE151*'No Action'!$Y$6</f>
        <v>54.56</v>
      </c>
      <c r="M151" s="17">
        <f>'Rolling report'!CF151*'No Action'!$Y$6</f>
        <v>29.92</v>
      </c>
      <c r="N151" s="17">
        <f>'Rolling report'!CG151*'No Action'!$Y$6</f>
        <v>27.72</v>
      </c>
      <c r="O151" s="17">
        <f>'Rolling report'!CH151*'No Action'!$Y$6</f>
        <v>41.36</v>
      </c>
      <c r="P151" s="17">
        <f>'Rolling report'!CI151*'No Action'!$Y$6</f>
        <v>33.44</v>
      </c>
      <c r="Q151" s="17">
        <f>'Rolling report'!CJ151*'No Action'!$Y$6</f>
        <v>29.04</v>
      </c>
      <c r="R151" s="17">
        <f>'Rolling report'!CK151*'No Action'!$Y$6</f>
        <v>23.76</v>
      </c>
      <c r="S151" s="17">
        <f>'Rolling report'!CL151*'No Action'!$Y$6</f>
        <v>18.48</v>
      </c>
      <c r="T151" s="17">
        <f>'Rolling report'!CM151*'No Action'!$Y$6</f>
        <v>26.4</v>
      </c>
      <c r="U151" s="17">
        <f>'Rolling report'!CN151*'No Action'!$Y$6</f>
        <v>16.28</v>
      </c>
      <c r="V151" s="17">
        <f>'Rolling report'!CO151*'No Action'!$Y$6</f>
        <v>18.04</v>
      </c>
      <c r="W151" s="17">
        <f>'Rolling report'!CP151*'No Action'!$Y$6</f>
        <v>12.76</v>
      </c>
      <c r="X151" s="17">
        <f>'Rolling report'!CQ151*'No Action'!$Y$6</f>
        <v>9.24</v>
      </c>
      <c r="Y151" s="17">
        <f>'Rolling report'!CR151*'No Action'!$Y$6</f>
        <v>12.32</v>
      </c>
      <c r="Z151" s="17">
        <f>'Rolling report'!CS151*'No Action'!$Y$6</f>
        <v>9.24</v>
      </c>
      <c r="AA151" s="17">
        <f>'Rolling report'!CT151*'No Action'!$Y$6</f>
        <v>7.04</v>
      </c>
      <c r="AB151" s="17">
        <f>'Rolling report'!CU151*'No Action'!$Y$6</f>
        <v>9.24</v>
      </c>
      <c r="AC151" s="17">
        <f>'Rolling report'!CV151*'No Action'!$Y$6</f>
        <v>16.72</v>
      </c>
      <c r="AD151" s="17">
        <f>'Rolling report'!CW151*'No Action'!$Y$6</f>
        <v>-2.2000000000000002</v>
      </c>
      <c r="AE151" s="17">
        <f>'Rolling report'!CX151*'No Action'!$Y$6</f>
        <v>9.68</v>
      </c>
      <c r="AF151" s="17">
        <f>'Rolling report'!CY151*'No Action'!$Y$6</f>
        <v>-803</v>
      </c>
      <c r="AG151" s="17">
        <f>'Rolling report'!CZ151*'No Action'!$Y$6</f>
        <v>0</v>
      </c>
      <c r="AH151" s="17">
        <f>'Rolling report'!DA151*'No Action'!$Y$6</f>
        <v>0</v>
      </c>
      <c r="AI151" s="17">
        <f>'Rolling report'!DB151*'No Action'!$Y$6</f>
        <v>0</v>
      </c>
      <c r="AJ151" s="17">
        <f>'Rolling report'!DC151*'No Action'!$Y$6</f>
        <v>0</v>
      </c>
      <c r="AK151" s="17">
        <f>'Rolling report'!DD151*'No Action'!$Y$6</f>
        <v>0</v>
      </c>
      <c r="AL151" s="17">
        <f>'Rolling report'!DE151*'No Action'!$Y$6</f>
        <v>0</v>
      </c>
      <c r="AM151" s="17">
        <f>'Rolling report'!DF151*'No Action'!$Y$6</f>
        <v>0</v>
      </c>
      <c r="AN151" s="17">
        <f>'Rolling report'!DG151*'No Action'!$Y$6</f>
        <v>0</v>
      </c>
      <c r="AO151" s="17">
        <f>'Rolling report'!DH151*'No Action'!$Y$6</f>
        <v>0</v>
      </c>
      <c r="AQ151" s="45"/>
    </row>
    <row r="152" spans="1:43" x14ac:dyDescent="0.25">
      <c r="A152" s="4" t="s">
        <v>293</v>
      </c>
      <c r="B152" s="6" t="s">
        <v>294</v>
      </c>
      <c r="I152" s="17">
        <f>'Rolling report'!CB152*'No Action'!$Y$6</f>
        <v>75.239999999999995</v>
      </c>
      <c r="J152" s="17">
        <f>'Rolling report'!CC152*'No Action'!$Y$6</f>
        <v>14.52</v>
      </c>
      <c r="K152" s="17">
        <f>'Rolling report'!CD152*'No Action'!$Y$6</f>
        <v>7.48</v>
      </c>
      <c r="L152" s="17">
        <f>'Rolling report'!CE152*'No Action'!$Y$6</f>
        <v>11</v>
      </c>
      <c r="M152" s="17">
        <f>'Rolling report'!CF152*'No Action'!$Y$6</f>
        <v>7.04</v>
      </c>
      <c r="N152" s="17">
        <f>'Rolling report'!CG152*'No Action'!$Y$6</f>
        <v>11.44</v>
      </c>
      <c r="O152" s="17">
        <f>'Rolling report'!CH152*'No Action'!$Y$6</f>
        <v>11.88</v>
      </c>
      <c r="P152" s="17">
        <f>'Rolling report'!CI152*'No Action'!$Y$6</f>
        <v>5.28</v>
      </c>
      <c r="Q152" s="17">
        <f>'Rolling report'!CJ152*'No Action'!$Y$6</f>
        <v>8.36</v>
      </c>
      <c r="R152" s="17">
        <f>'Rolling report'!CK152*'No Action'!$Y$6</f>
        <v>7.04</v>
      </c>
      <c r="S152" s="17">
        <f>'Rolling report'!CL152*'No Action'!$Y$6</f>
        <v>3.08</v>
      </c>
      <c r="T152" s="17">
        <f>'Rolling report'!CM152*'No Action'!$Y$6</f>
        <v>6.6</v>
      </c>
      <c r="U152" s="17">
        <f>'Rolling report'!CN152*'No Action'!$Y$6</f>
        <v>9.68</v>
      </c>
      <c r="V152" s="17">
        <f>'Rolling report'!CO152*'No Action'!$Y$6</f>
        <v>7.92</v>
      </c>
      <c r="W152" s="17">
        <f>'Rolling report'!CP152*'No Action'!$Y$6</f>
        <v>5.28</v>
      </c>
      <c r="X152" s="17">
        <f>'Rolling report'!CQ152*'No Action'!$Y$6</f>
        <v>3.08</v>
      </c>
      <c r="Y152" s="17">
        <f>'Rolling report'!CR152*'No Action'!$Y$6</f>
        <v>9.68</v>
      </c>
      <c r="Z152" s="17">
        <f>'Rolling report'!CS152*'No Action'!$Y$6</f>
        <v>3.96</v>
      </c>
      <c r="AA152" s="17">
        <f>'Rolling report'!CT152*'No Action'!$Y$6</f>
        <v>6.6</v>
      </c>
      <c r="AB152" s="17">
        <f>'Rolling report'!CU152*'No Action'!$Y$6</f>
        <v>7.48</v>
      </c>
      <c r="AC152" s="17">
        <f>'Rolling report'!CV152*'No Action'!$Y$6</f>
        <v>7.92</v>
      </c>
      <c r="AD152" s="17">
        <f>'Rolling report'!CW152*'No Action'!$Y$6</f>
        <v>6.16</v>
      </c>
      <c r="AE152" s="17">
        <f>'Rolling report'!CX152*'No Action'!$Y$6</f>
        <v>2.64</v>
      </c>
      <c r="AF152" s="17">
        <f>'Rolling report'!CY152*'No Action'!$Y$6</f>
        <v>-239.36</v>
      </c>
      <c r="AG152" s="17">
        <f>'Rolling report'!CZ152*'No Action'!$Y$6</f>
        <v>0</v>
      </c>
      <c r="AH152" s="17">
        <f>'Rolling report'!DA152*'No Action'!$Y$6</f>
        <v>0</v>
      </c>
      <c r="AI152" s="17">
        <f>'Rolling report'!DB152*'No Action'!$Y$6</f>
        <v>0</v>
      </c>
      <c r="AJ152" s="17">
        <f>'Rolling report'!DC152*'No Action'!$Y$6</f>
        <v>0</v>
      </c>
      <c r="AK152" s="17">
        <f>'Rolling report'!DD152*'No Action'!$Y$6</f>
        <v>0</v>
      </c>
      <c r="AL152" s="17">
        <f>'Rolling report'!DE152*'No Action'!$Y$6</f>
        <v>0</v>
      </c>
      <c r="AM152" s="17">
        <f>'Rolling report'!DF152*'No Action'!$Y$6</f>
        <v>0</v>
      </c>
      <c r="AN152" s="17">
        <f>'Rolling report'!DG152*'No Action'!$Y$6</f>
        <v>0</v>
      </c>
      <c r="AO152" s="17">
        <f>'Rolling report'!DH152*'No Action'!$Y$6</f>
        <v>0</v>
      </c>
      <c r="AQ152" s="45"/>
    </row>
    <row r="153" spans="1:43" x14ac:dyDescent="0.25">
      <c r="A153" s="4" t="s">
        <v>295</v>
      </c>
      <c r="B153" s="6" t="s">
        <v>296</v>
      </c>
      <c r="I153" s="17">
        <f>'Rolling report'!CB153*'No Action'!$Y$6</f>
        <v>19.8</v>
      </c>
      <c r="J153" s="17">
        <f>'Rolling report'!CC153*'No Action'!$Y$6</f>
        <v>2.2000000000000002</v>
      </c>
      <c r="K153" s="17">
        <f>'Rolling report'!CD153*'No Action'!$Y$6</f>
        <v>5.28</v>
      </c>
      <c r="L153" s="17">
        <f>'Rolling report'!CE153*'No Action'!$Y$6</f>
        <v>3.08</v>
      </c>
      <c r="M153" s="17">
        <f>'Rolling report'!CF153*'No Action'!$Y$6</f>
        <v>4.84</v>
      </c>
      <c r="N153" s="17">
        <f>'Rolling report'!CG153*'No Action'!$Y$6</f>
        <v>2.64</v>
      </c>
      <c r="O153" s="17">
        <f>'Rolling report'!CH153*'No Action'!$Y$6</f>
        <v>1.32</v>
      </c>
      <c r="P153" s="17">
        <f>'Rolling report'!CI153*'No Action'!$Y$6</f>
        <v>0</v>
      </c>
      <c r="Q153" s="17">
        <f>'Rolling report'!CJ153*'No Action'!$Y$6</f>
        <v>0</v>
      </c>
      <c r="R153" s="17">
        <f>'Rolling report'!CK153*'No Action'!$Y$6</f>
        <v>1.32</v>
      </c>
      <c r="S153" s="17">
        <f>'Rolling report'!CL153*'No Action'!$Y$6</f>
        <v>0.44</v>
      </c>
      <c r="T153" s="17">
        <f>'Rolling report'!CM153*'No Action'!$Y$6</f>
        <v>2.64</v>
      </c>
      <c r="U153" s="17">
        <f>'Rolling report'!CN153*'No Action'!$Y$6</f>
        <v>0.44</v>
      </c>
      <c r="V153" s="17">
        <f>'Rolling report'!CO153*'No Action'!$Y$6</f>
        <v>0</v>
      </c>
      <c r="W153" s="17">
        <f>'Rolling report'!CP153*'No Action'!$Y$6</f>
        <v>0.44</v>
      </c>
      <c r="X153" s="17">
        <f>'Rolling report'!CQ153*'No Action'!$Y$6</f>
        <v>0.44</v>
      </c>
      <c r="Y153" s="17">
        <f>'Rolling report'!CR153*'No Action'!$Y$6</f>
        <v>1.32</v>
      </c>
      <c r="Z153" s="17">
        <f>'Rolling report'!CS153*'No Action'!$Y$6</f>
        <v>0.44</v>
      </c>
      <c r="AA153" s="17">
        <f>'Rolling report'!CT153*'No Action'!$Y$6</f>
        <v>1.76</v>
      </c>
      <c r="AB153" s="17">
        <f>'Rolling report'!CU153*'No Action'!$Y$6</f>
        <v>0.44</v>
      </c>
      <c r="AC153" s="17">
        <f>'Rolling report'!CV153*'No Action'!$Y$6</f>
        <v>4.4000000000000004</v>
      </c>
      <c r="AD153" s="17">
        <f>'Rolling report'!CW153*'No Action'!$Y$6</f>
        <v>-0.88</v>
      </c>
      <c r="AE153" s="17">
        <f>'Rolling report'!CX153*'No Action'!$Y$6</f>
        <v>0</v>
      </c>
      <c r="AF153" s="17">
        <f>'Rolling report'!CY153*'No Action'!$Y$6</f>
        <v>-52.36</v>
      </c>
      <c r="AG153" s="17">
        <f>'Rolling report'!CZ153*'No Action'!$Y$6</f>
        <v>0</v>
      </c>
      <c r="AH153" s="17">
        <f>'Rolling report'!DA153*'No Action'!$Y$6</f>
        <v>0</v>
      </c>
      <c r="AI153" s="17">
        <f>'Rolling report'!DB153*'No Action'!$Y$6</f>
        <v>0</v>
      </c>
      <c r="AJ153" s="17">
        <f>'Rolling report'!DC153*'No Action'!$Y$6</f>
        <v>0</v>
      </c>
      <c r="AK153" s="17">
        <f>'Rolling report'!DD153*'No Action'!$Y$6</f>
        <v>0</v>
      </c>
      <c r="AL153" s="17">
        <f>'Rolling report'!DE153*'No Action'!$Y$6</f>
        <v>0</v>
      </c>
      <c r="AM153" s="17">
        <f>'Rolling report'!DF153*'No Action'!$Y$6</f>
        <v>0</v>
      </c>
      <c r="AN153" s="17">
        <f>'Rolling report'!DG153*'No Action'!$Y$6</f>
        <v>0</v>
      </c>
      <c r="AO153" s="17">
        <f>'Rolling report'!DH153*'No Action'!$Y$6</f>
        <v>0</v>
      </c>
      <c r="AQ153" s="45"/>
    </row>
    <row r="154" spans="1:43" x14ac:dyDescent="0.25">
      <c r="A154" s="4" t="s">
        <v>297</v>
      </c>
      <c r="B154" s="6" t="s">
        <v>298</v>
      </c>
      <c r="I154" s="17">
        <f>'Rolling report'!CB154*'No Action'!$Y$6</f>
        <v>143.88</v>
      </c>
      <c r="J154" s="17">
        <f>'Rolling report'!CC154*'No Action'!$Y$6</f>
        <v>18.04</v>
      </c>
      <c r="K154" s="17">
        <f>'Rolling report'!CD154*'No Action'!$Y$6</f>
        <v>32.56</v>
      </c>
      <c r="L154" s="17">
        <f>'Rolling report'!CE154*'No Action'!$Y$6</f>
        <v>45.32</v>
      </c>
      <c r="M154" s="17">
        <f>'Rolling report'!CF154*'No Action'!$Y$6</f>
        <v>25.52</v>
      </c>
      <c r="N154" s="17">
        <f>'Rolling report'!CG154*'No Action'!$Y$6</f>
        <v>17.16</v>
      </c>
      <c r="O154" s="17">
        <f>'Rolling report'!CH154*'No Action'!$Y$6</f>
        <v>49.72</v>
      </c>
      <c r="P154" s="17">
        <f>'Rolling report'!CI154*'No Action'!$Y$6</f>
        <v>15.84</v>
      </c>
      <c r="Q154" s="17">
        <f>'Rolling report'!CJ154*'No Action'!$Y$6</f>
        <v>25.52</v>
      </c>
      <c r="R154" s="17">
        <f>'Rolling report'!CK154*'No Action'!$Y$6</f>
        <v>12.76</v>
      </c>
      <c r="S154" s="17">
        <f>'Rolling report'!CL154*'No Action'!$Y$6</f>
        <v>11.44</v>
      </c>
      <c r="T154" s="17">
        <f>'Rolling report'!CM154*'No Action'!$Y$6</f>
        <v>14.52</v>
      </c>
      <c r="U154" s="17">
        <f>'Rolling report'!CN154*'No Action'!$Y$6</f>
        <v>11.44</v>
      </c>
      <c r="V154" s="17">
        <f>'Rolling report'!CO154*'No Action'!$Y$6</f>
        <v>14.08</v>
      </c>
      <c r="W154" s="17">
        <f>'Rolling report'!CP154*'No Action'!$Y$6</f>
        <v>15.4</v>
      </c>
      <c r="X154" s="17">
        <f>'Rolling report'!CQ154*'No Action'!$Y$6</f>
        <v>6.16</v>
      </c>
      <c r="Y154" s="17">
        <f>'Rolling report'!CR154*'No Action'!$Y$6</f>
        <v>7.04</v>
      </c>
      <c r="Z154" s="17">
        <f>'Rolling report'!CS154*'No Action'!$Y$6</f>
        <v>7.48</v>
      </c>
      <c r="AA154" s="17">
        <f>'Rolling report'!CT154*'No Action'!$Y$6</f>
        <v>3.08</v>
      </c>
      <c r="AB154" s="17">
        <f>'Rolling report'!CU154*'No Action'!$Y$6</f>
        <v>8.36</v>
      </c>
      <c r="AC154" s="17">
        <f>'Rolling report'!CV154*'No Action'!$Y$6</f>
        <v>9.68</v>
      </c>
      <c r="AD154" s="17">
        <f>'Rolling report'!CW154*'No Action'!$Y$6</f>
        <v>7.92</v>
      </c>
      <c r="AE154" s="17">
        <f>'Rolling report'!CX154*'No Action'!$Y$6</f>
        <v>7.48</v>
      </c>
      <c r="AF154" s="17">
        <f>'Rolling report'!CY154*'No Action'!$Y$6</f>
        <v>-510.4</v>
      </c>
      <c r="AG154" s="17">
        <f>'Rolling report'!CZ154*'No Action'!$Y$6</f>
        <v>0</v>
      </c>
      <c r="AH154" s="17">
        <f>'Rolling report'!DA154*'No Action'!$Y$6</f>
        <v>0</v>
      </c>
      <c r="AI154" s="17">
        <f>'Rolling report'!DB154*'No Action'!$Y$6</f>
        <v>0</v>
      </c>
      <c r="AJ154" s="17">
        <f>'Rolling report'!DC154*'No Action'!$Y$6</f>
        <v>0</v>
      </c>
      <c r="AK154" s="17">
        <f>'Rolling report'!DD154*'No Action'!$Y$6</f>
        <v>0</v>
      </c>
      <c r="AL154" s="17">
        <f>'Rolling report'!DE154*'No Action'!$Y$6</f>
        <v>0</v>
      </c>
      <c r="AM154" s="17">
        <f>'Rolling report'!DF154*'No Action'!$Y$6</f>
        <v>0</v>
      </c>
      <c r="AN154" s="17">
        <f>'Rolling report'!DG154*'No Action'!$Y$6</f>
        <v>0</v>
      </c>
      <c r="AO154" s="17">
        <f>'Rolling report'!DH154*'No Action'!$Y$6</f>
        <v>0</v>
      </c>
      <c r="AQ154" s="45"/>
    </row>
    <row r="155" spans="1:43" x14ac:dyDescent="0.25">
      <c r="A155" s="4" t="s">
        <v>299</v>
      </c>
      <c r="B155" s="6" t="s">
        <v>300</v>
      </c>
      <c r="I155" s="17">
        <f>'Rolling report'!CB155*'No Action'!$Y$6</f>
        <v>55</v>
      </c>
      <c r="J155" s="17">
        <f>'Rolling report'!CC155*'No Action'!$Y$6</f>
        <v>9.68</v>
      </c>
      <c r="K155" s="17">
        <f>'Rolling report'!CD155*'No Action'!$Y$6</f>
        <v>7.04</v>
      </c>
      <c r="L155" s="17">
        <f>'Rolling report'!CE155*'No Action'!$Y$6</f>
        <v>11.44</v>
      </c>
      <c r="M155" s="17">
        <f>'Rolling report'!CF155*'No Action'!$Y$6</f>
        <v>3.52</v>
      </c>
      <c r="N155" s="17">
        <f>'Rolling report'!CG155*'No Action'!$Y$6</f>
        <v>6.16</v>
      </c>
      <c r="O155" s="17">
        <f>'Rolling report'!CH155*'No Action'!$Y$6</f>
        <v>11</v>
      </c>
      <c r="P155" s="17">
        <f>'Rolling report'!CI155*'No Action'!$Y$6</f>
        <v>3.52</v>
      </c>
      <c r="Q155" s="17">
        <f>'Rolling report'!CJ155*'No Action'!$Y$6</f>
        <v>1.76</v>
      </c>
      <c r="R155" s="17">
        <f>'Rolling report'!CK155*'No Action'!$Y$6</f>
        <v>3.08</v>
      </c>
      <c r="S155" s="17">
        <f>'Rolling report'!CL155*'No Action'!$Y$6</f>
        <v>2.64</v>
      </c>
      <c r="T155" s="17">
        <f>'Rolling report'!CM155*'No Action'!$Y$6</f>
        <v>2.2000000000000002</v>
      </c>
      <c r="U155" s="17">
        <f>'Rolling report'!CN155*'No Action'!$Y$6</f>
        <v>4.84</v>
      </c>
      <c r="V155" s="17">
        <f>'Rolling report'!CO155*'No Action'!$Y$6</f>
        <v>1.32</v>
      </c>
      <c r="W155" s="17">
        <f>'Rolling report'!CP155*'No Action'!$Y$6</f>
        <v>4.84</v>
      </c>
      <c r="X155" s="17">
        <f>'Rolling report'!CQ155*'No Action'!$Y$6</f>
        <v>4.84</v>
      </c>
      <c r="Y155" s="17">
        <f>'Rolling report'!CR155*'No Action'!$Y$6</f>
        <v>0</v>
      </c>
      <c r="Z155" s="17">
        <f>'Rolling report'!CS155*'No Action'!$Y$6</f>
        <v>1.32</v>
      </c>
      <c r="AA155" s="17">
        <f>'Rolling report'!CT155*'No Action'!$Y$6</f>
        <v>2.64</v>
      </c>
      <c r="AB155" s="17">
        <f>'Rolling report'!CU155*'No Action'!$Y$6</f>
        <v>3.96</v>
      </c>
      <c r="AC155" s="17">
        <f>'Rolling report'!CV155*'No Action'!$Y$6</f>
        <v>6.16</v>
      </c>
      <c r="AD155" s="17">
        <f>'Rolling report'!CW155*'No Action'!$Y$6</f>
        <v>-1.32</v>
      </c>
      <c r="AE155" s="17">
        <f>'Rolling report'!CX155*'No Action'!$Y$6</f>
        <v>1.32</v>
      </c>
      <c r="AF155" s="17">
        <f>'Rolling report'!CY155*'No Action'!$Y$6</f>
        <v>-146.96</v>
      </c>
      <c r="AG155" s="17">
        <f>'Rolling report'!CZ155*'No Action'!$Y$6</f>
        <v>0</v>
      </c>
      <c r="AH155" s="17">
        <f>'Rolling report'!DA155*'No Action'!$Y$6</f>
        <v>0</v>
      </c>
      <c r="AI155" s="17">
        <f>'Rolling report'!DB155*'No Action'!$Y$6</f>
        <v>0</v>
      </c>
      <c r="AJ155" s="17">
        <f>'Rolling report'!DC155*'No Action'!$Y$6</f>
        <v>0</v>
      </c>
      <c r="AK155" s="17">
        <f>'Rolling report'!DD155*'No Action'!$Y$6</f>
        <v>0</v>
      </c>
      <c r="AL155" s="17">
        <f>'Rolling report'!DE155*'No Action'!$Y$6</f>
        <v>0</v>
      </c>
      <c r="AM155" s="17">
        <f>'Rolling report'!DF155*'No Action'!$Y$6</f>
        <v>0</v>
      </c>
      <c r="AN155" s="17">
        <f>'Rolling report'!DG155*'No Action'!$Y$6</f>
        <v>0</v>
      </c>
      <c r="AO155" s="17">
        <f>'Rolling report'!DH155*'No Action'!$Y$6</f>
        <v>0</v>
      </c>
      <c r="AQ155" s="45"/>
    </row>
    <row r="156" spans="1:43" x14ac:dyDescent="0.25">
      <c r="A156" s="4" t="s">
        <v>301</v>
      </c>
      <c r="B156" s="6" t="s">
        <v>302</v>
      </c>
      <c r="I156" s="17">
        <f>'Rolling report'!CB156*'No Action'!$Y$6</f>
        <v>46.64</v>
      </c>
      <c r="J156" s="17">
        <f>'Rolling report'!CC156*'No Action'!$Y$6</f>
        <v>10.119999999999999</v>
      </c>
      <c r="K156" s="17">
        <f>'Rolling report'!CD156*'No Action'!$Y$6</f>
        <v>8.36</v>
      </c>
      <c r="L156" s="17">
        <f>'Rolling report'!CE156*'No Action'!$Y$6</f>
        <v>10.56</v>
      </c>
      <c r="M156" s="17">
        <f>'Rolling report'!CF156*'No Action'!$Y$6</f>
        <v>7.48</v>
      </c>
      <c r="N156" s="17">
        <f>'Rolling report'!CG156*'No Action'!$Y$6</f>
        <v>7.04</v>
      </c>
      <c r="O156" s="17">
        <f>'Rolling report'!CH156*'No Action'!$Y$6</f>
        <v>3.08</v>
      </c>
      <c r="P156" s="17">
        <f>'Rolling report'!CI156*'No Action'!$Y$6</f>
        <v>3.96</v>
      </c>
      <c r="Q156" s="17">
        <f>'Rolling report'!CJ156*'No Action'!$Y$6</f>
        <v>3.52</v>
      </c>
      <c r="R156" s="17">
        <f>'Rolling report'!CK156*'No Action'!$Y$6</f>
        <v>4.84</v>
      </c>
      <c r="S156" s="17">
        <f>'Rolling report'!CL156*'No Action'!$Y$6</f>
        <v>0.88</v>
      </c>
      <c r="T156" s="17">
        <f>'Rolling report'!CM156*'No Action'!$Y$6</f>
        <v>7.04</v>
      </c>
      <c r="U156" s="17">
        <f>'Rolling report'!CN156*'No Action'!$Y$6</f>
        <v>3.08</v>
      </c>
      <c r="V156" s="17">
        <f>'Rolling report'!CO156*'No Action'!$Y$6</f>
        <v>3.96</v>
      </c>
      <c r="W156" s="17">
        <f>'Rolling report'!CP156*'No Action'!$Y$6</f>
        <v>3.52</v>
      </c>
      <c r="X156" s="17">
        <f>'Rolling report'!CQ156*'No Action'!$Y$6</f>
        <v>3.96</v>
      </c>
      <c r="Y156" s="17">
        <f>'Rolling report'!CR156*'No Action'!$Y$6</f>
        <v>0.88</v>
      </c>
      <c r="Z156" s="17">
        <f>'Rolling report'!CS156*'No Action'!$Y$6</f>
        <v>0.44</v>
      </c>
      <c r="AA156" s="17">
        <f>'Rolling report'!CT156*'No Action'!$Y$6</f>
        <v>2.64</v>
      </c>
      <c r="AB156" s="17">
        <f>'Rolling report'!CU156*'No Action'!$Y$6</f>
        <v>1.76</v>
      </c>
      <c r="AC156" s="17">
        <f>'Rolling report'!CV156*'No Action'!$Y$6</f>
        <v>2.64</v>
      </c>
      <c r="AD156" s="17">
        <f>'Rolling report'!CW156*'No Action'!$Y$6</f>
        <v>2.2000000000000002</v>
      </c>
      <c r="AE156" s="17">
        <f>'Rolling report'!CX156*'No Action'!$Y$6</f>
        <v>3.96</v>
      </c>
      <c r="AF156" s="17">
        <f>'Rolling report'!CY156*'No Action'!$Y$6</f>
        <v>-142.56</v>
      </c>
      <c r="AG156" s="17">
        <f>'Rolling report'!CZ156*'No Action'!$Y$6</f>
        <v>0</v>
      </c>
      <c r="AH156" s="17">
        <f>'Rolling report'!DA156*'No Action'!$Y$6</f>
        <v>0</v>
      </c>
      <c r="AI156" s="17">
        <f>'Rolling report'!DB156*'No Action'!$Y$6</f>
        <v>0</v>
      </c>
      <c r="AJ156" s="17">
        <f>'Rolling report'!DC156*'No Action'!$Y$6</f>
        <v>0</v>
      </c>
      <c r="AK156" s="17">
        <f>'Rolling report'!DD156*'No Action'!$Y$6</f>
        <v>0</v>
      </c>
      <c r="AL156" s="17">
        <f>'Rolling report'!DE156*'No Action'!$Y$6</f>
        <v>0</v>
      </c>
      <c r="AM156" s="17">
        <f>'Rolling report'!DF156*'No Action'!$Y$6</f>
        <v>0</v>
      </c>
      <c r="AN156" s="17">
        <f>'Rolling report'!DG156*'No Action'!$Y$6</f>
        <v>0</v>
      </c>
      <c r="AO156" s="17">
        <f>'Rolling report'!DH156*'No Action'!$Y$6</f>
        <v>0</v>
      </c>
      <c r="AQ156" s="45"/>
    </row>
    <row r="157" spans="1:43" x14ac:dyDescent="0.25">
      <c r="A157" s="4" t="s">
        <v>303</v>
      </c>
      <c r="B157" s="6" t="s">
        <v>304</v>
      </c>
      <c r="I157" s="17">
        <f>'Rolling report'!CB157*'No Action'!$Y$6</f>
        <v>61.6</v>
      </c>
      <c r="J157" s="17">
        <f>'Rolling report'!CC157*'No Action'!$Y$6</f>
        <v>9.68</v>
      </c>
      <c r="K157" s="17">
        <f>'Rolling report'!CD157*'No Action'!$Y$6</f>
        <v>4.84</v>
      </c>
      <c r="L157" s="17">
        <f>'Rolling report'!CE157*'No Action'!$Y$6</f>
        <v>8.8000000000000007</v>
      </c>
      <c r="M157" s="17">
        <f>'Rolling report'!CF157*'No Action'!$Y$6</f>
        <v>4.84</v>
      </c>
      <c r="N157" s="17">
        <f>'Rolling report'!CG157*'No Action'!$Y$6</f>
        <v>7.92</v>
      </c>
      <c r="O157" s="17">
        <f>'Rolling report'!CH157*'No Action'!$Y$6</f>
        <v>8.8000000000000007</v>
      </c>
      <c r="P157" s="17">
        <f>'Rolling report'!CI157*'No Action'!$Y$6</f>
        <v>4.84</v>
      </c>
      <c r="Q157" s="17">
        <f>'Rolling report'!CJ157*'No Action'!$Y$6</f>
        <v>3.08</v>
      </c>
      <c r="R157" s="17">
        <f>'Rolling report'!CK157*'No Action'!$Y$6</f>
        <v>5.28</v>
      </c>
      <c r="S157" s="17">
        <f>'Rolling report'!CL157*'No Action'!$Y$6</f>
        <v>4.84</v>
      </c>
      <c r="T157" s="17">
        <f>'Rolling report'!CM157*'No Action'!$Y$6</f>
        <v>7.04</v>
      </c>
      <c r="U157" s="17">
        <f>'Rolling report'!CN157*'No Action'!$Y$6</f>
        <v>7.04</v>
      </c>
      <c r="V157" s="17">
        <f>'Rolling report'!CO157*'No Action'!$Y$6</f>
        <v>3.96</v>
      </c>
      <c r="W157" s="17">
        <f>'Rolling report'!CP157*'No Action'!$Y$6</f>
        <v>2.64</v>
      </c>
      <c r="X157" s="17">
        <f>'Rolling report'!CQ157*'No Action'!$Y$6</f>
        <v>6.6</v>
      </c>
      <c r="Y157" s="17">
        <f>'Rolling report'!CR157*'No Action'!$Y$6</f>
        <v>5.28</v>
      </c>
      <c r="Z157" s="17">
        <f>'Rolling report'!CS157*'No Action'!$Y$6</f>
        <v>2.2000000000000002</v>
      </c>
      <c r="AA157" s="17">
        <f>'Rolling report'!CT157*'No Action'!$Y$6</f>
        <v>4.84</v>
      </c>
      <c r="AB157" s="17">
        <f>'Rolling report'!CU157*'No Action'!$Y$6</f>
        <v>0.88</v>
      </c>
      <c r="AC157" s="17">
        <f>'Rolling report'!CV157*'No Action'!$Y$6</f>
        <v>3.96</v>
      </c>
      <c r="AD157" s="17">
        <f>'Rolling report'!CW157*'No Action'!$Y$6</f>
        <v>0.44</v>
      </c>
      <c r="AE157" s="17">
        <f>'Rolling report'!CX157*'No Action'!$Y$6</f>
        <v>3.08</v>
      </c>
      <c r="AF157" s="17">
        <f>'Rolling report'!CY157*'No Action'!$Y$6</f>
        <v>-172.48</v>
      </c>
      <c r="AG157" s="17">
        <f>'Rolling report'!CZ157*'No Action'!$Y$6</f>
        <v>0</v>
      </c>
      <c r="AH157" s="17">
        <f>'Rolling report'!DA157*'No Action'!$Y$6</f>
        <v>0</v>
      </c>
      <c r="AI157" s="17">
        <f>'Rolling report'!DB157*'No Action'!$Y$6</f>
        <v>0</v>
      </c>
      <c r="AJ157" s="17">
        <f>'Rolling report'!DC157*'No Action'!$Y$6</f>
        <v>0</v>
      </c>
      <c r="AK157" s="17">
        <f>'Rolling report'!DD157*'No Action'!$Y$6</f>
        <v>0</v>
      </c>
      <c r="AL157" s="17">
        <f>'Rolling report'!DE157*'No Action'!$Y$6</f>
        <v>0</v>
      </c>
      <c r="AM157" s="17">
        <f>'Rolling report'!DF157*'No Action'!$Y$6</f>
        <v>0</v>
      </c>
      <c r="AN157" s="17">
        <f>'Rolling report'!DG157*'No Action'!$Y$6</f>
        <v>0</v>
      </c>
      <c r="AO157" s="17">
        <f>'Rolling report'!DH157*'No Action'!$Y$6</f>
        <v>0</v>
      </c>
      <c r="AQ157" s="45"/>
    </row>
    <row r="158" spans="1:43" x14ac:dyDescent="0.25">
      <c r="A158" s="4" t="s">
        <v>305</v>
      </c>
      <c r="B158" s="6" t="s">
        <v>306</v>
      </c>
      <c r="I158" s="17">
        <f>'Rolling report'!CB158*'No Action'!$Y$6</f>
        <v>11.88</v>
      </c>
      <c r="J158" s="17">
        <f>'Rolling report'!CC158*'No Action'!$Y$6</f>
        <v>1.76</v>
      </c>
      <c r="K158" s="17">
        <f>'Rolling report'!CD158*'No Action'!$Y$6</f>
        <v>0</v>
      </c>
      <c r="L158" s="17">
        <f>'Rolling report'!CE158*'No Action'!$Y$6</f>
        <v>0.88</v>
      </c>
      <c r="M158" s="17">
        <f>'Rolling report'!CF158*'No Action'!$Y$6</f>
        <v>0.44</v>
      </c>
      <c r="N158" s="17">
        <f>'Rolling report'!CG158*'No Action'!$Y$6</f>
        <v>0</v>
      </c>
      <c r="O158" s="17">
        <f>'Rolling report'!CH158*'No Action'!$Y$6</f>
        <v>3.52</v>
      </c>
      <c r="P158" s="17">
        <f>'Rolling report'!CI158*'No Action'!$Y$6</f>
        <v>0.88</v>
      </c>
      <c r="Q158" s="17">
        <f>'Rolling report'!CJ158*'No Action'!$Y$6</f>
        <v>1.76</v>
      </c>
      <c r="R158" s="17">
        <f>'Rolling report'!CK158*'No Action'!$Y$6</f>
        <v>1.76</v>
      </c>
      <c r="S158" s="17">
        <f>'Rolling report'!CL158*'No Action'!$Y$6</f>
        <v>0</v>
      </c>
      <c r="T158" s="17">
        <f>'Rolling report'!CM158*'No Action'!$Y$6</f>
        <v>0</v>
      </c>
      <c r="U158" s="17">
        <f>'Rolling report'!CN158*'No Action'!$Y$6</f>
        <v>1.32</v>
      </c>
      <c r="V158" s="17">
        <f>'Rolling report'!CO158*'No Action'!$Y$6</f>
        <v>2.64</v>
      </c>
      <c r="W158" s="17">
        <f>'Rolling report'!CP158*'No Action'!$Y$6</f>
        <v>0.44</v>
      </c>
      <c r="X158" s="17">
        <f>'Rolling report'!CQ158*'No Action'!$Y$6</f>
        <v>2.2000000000000002</v>
      </c>
      <c r="Y158" s="17">
        <f>'Rolling report'!CR158*'No Action'!$Y$6</f>
        <v>2.2000000000000002</v>
      </c>
      <c r="Z158" s="17">
        <f>'Rolling report'!CS158*'No Action'!$Y$6</f>
        <v>0.88</v>
      </c>
      <c r="AA158" s="17">
        <f>'Rolling report'!CT158*'No Action'!$Y$6</f>
        <v>0.88</v>
      </c>
      <c r="AB158" s="17">
        <f>'Rolling report'!CU158*'No Action'!$Y$6</f>
        <v>0.44</v>
      </c>
      <c r="AC158" s="17">
        <f>'Rolling report'!CV158*'No Action'!$Y$6</f>
        <v>0.44</v>
      </c>
      <c r="AD158" s="17">
        <f>'Rolling report'!CW158*'No Action'!$Y$6</f>
        <v>0</v>
      </c>
      <c r="AE158" s="17">
        <f>'Rolling report'!CX158*'No Action'!$Y$6</f>
        <v>0.88</v>
      </c>
      <c r="AF158" s="17">
        <f>'Rolling report'!CY158*'No Action'!$Y$6</f>
        <v>-35.200000000000003</v>
      </c>
      <c r="AG158" s="17">
        <f>'Rolling report'!CZ158*'No Action'!$Y$6</f>
        <v>0</v>
      </c>
      <c r="AH158" s="17">
        <f>'Rolling report'!DA158*'No Action'!$Y$6</f>
        <v>0</v>
      </c>
      <c r="AI158" s="17">
        <f>'Rolling report'!DB158*'No Action'!$Y$6</f>
        <v>0</v>
      </c>
      <c r="AJ158" s="17">
        <f>'Rolling report'!DC158*'No Action'!$Y$6</f>
        <v>0</v>
      </c>
      <c r="AK158" s="17">
        <f>'Rolling report'!DD158*'No Action'!$Y$6</f>
        <v>0</v>
      </c>
      <c r="AL158" s="17">
        <f>'Rolling report'!DE158*'No Action'!$Y$6</f>
        <v>0</v>
      </c>
      <c r="AM158" s="17">
        <f>'Rolling report'!DF158*'No Action'!$Y$6</f>
        <v>0</v>
      </c>
      <c r="AN158" s="17">
        <f>'Rolling report'!DG158*'No Action'!$Y$6</f>
        <v>0</v>
      </c>
      <c r="AO158" s="17">
        <f>'Rolling report'!DH158*'No Action'!$Y$6</f>
        <v>0</v>
      </c>
      <c r="AQ158" s="45"/>
    </row>
    <row r="159" spans="1:43" x14ac:dyDescent="0.25">
      <c r="A159" s="4" t="s">
        <v>307</v>
      </c>
      <c r="B159" s="6" t="s">
        <v>308</v>
      </c>
      <c r="I159" s="17">
        <f>'Rolling report'!CB159*'No Action'!$Y$6</f>
        <v>135.08000000000001</v>
      </c>
      <c r="J159" s="17">
        <f>'Rolling report'!CC159*'No Action'!$Y$6</f>
        <v>20.239999999999998</v>
      </c>
      <c r="K159" s="17">
        <f>'Rolling report'!CD159*'No Action'!$Y$6</f>
        <v>18.04</v>
      </c>
      <c r="L159" s="17">
        <f>'Rolling report'!CE159*'No Action'!$Y$6</f>
        <v>29.04</v>
      </c>
      <c r="M159" s="17">
        <f>'Rolling report'!CF159*'No Action'!$Y$6</f>
        <v>24.64</v>
      </c>
      <c r="N159" s="17">
        <f>'Rolling report'!CG159*'No Action'!$Y$6</f>
        <v>24.64</v>
      </c>
      <c r="O159" s="17">
        <f>'Rolling report'!CH159*'No Action'!$Y$6</f>
        <v>33</v>
      </c>
      <c r="P159" s="17">
        <f>'Rolling report'!CI159*'No Action'!$Y$6</f>
        <v>9.24</v>
      </c>
      <c r="Q159" s="17">
        <f>'Rolling report'!CJ159*'No Action'!$Y$6</f>
        <v>18.04</v>
      </c>
      <c r="R159" s="17">
        <f>'Rolling report'!CK159*'No Action'!$Y$6</f>
        <v>15.4</v>
      </c>
      <c r="S159" s="17">
        <f>'Rolling report'!CL159*'No Action'!$Y$6</f>
        <v>8.36</v>
      </c>
      <c r="T159" s="17">
        <f>'Rolling report'!CM159*'No Action'!$Y$6</f>
        <v>18.04</v>
      </c>
      <c r="U159" s="17">
        <f>'Rolling report'!CN159*'No Action'!$Y$6</f>
        <v>12.76</v>
      </c>
      <c r="V159" s="17">
        <f>'Rolling report'!CO159*'No Action'!$Y$6</f>
        <v>9.24</v>
      </c>
      <c r="W159" s="17">
        <f>'Rolling report'!CP159*'No Action'!$Y$6</f>
        <v>11.44</v>
      </c>
      <c r="X159" s="17">
        <f>'Rolling report'!CQ159*'No Action'!$Y$6</f>
        <v>8.8000000000000007</v>
      </c>
      <c r="Y159" s="17">
        <f>'Rolling report'!CR159*'No Action'!$Y$6</f>
        <v>8.8000000000000007</v>
      </c>
      <c r="Z159" s="17">
        <f>'Rolling report'!CS159*'No Action'!$Y$6</f>
        <v>4.4000000000000004</v>
      </c>
      <c r="AA159" s="17">
        <f>'Rolling report'!CT159*'No Action'!$Y$6</f>
        <v>3.08</v>
      </c>
      <c r="AB159" s="17">
        <f>'Rolling report'!CU159*'No Action'!$Y$6</f>
        <v>8.8000000000000007</v>
      </c>
      <c r="AC159" s="17">
        <f>'Rolling report'!CV159*'No Action'!$Y$6</f>
        <v>7.48</v>
      </c>
      <c r="AD159" s="17">
        <f>'Rolling report'!CW159*'No Action'!$Y$6</f>
        <v>3.08</v>
      </c>
      <c r="AE159" s="17">
        <f>'Rolling report'!CX159*'No Action'!$Y$6</f>
        <v>4.84</v>
      </c>
      <c r="AF159" s="17">
        <f>'Rolling report'!CY159*'No Action'!$Y$6</f>
        <v>-436.48</v>
      </c>
      <c r="AG159" s="17">
        <f>'Rolling report'!CZ159*'No Action'!$Y$6</f>
        <v>0</v>
      </c>
      <c r="AH159" s="17">
        <f>'Rolling report'!DA159*'No Action'!$Y$6</f>
        <v>0</v>
      </c>
      <c r="AI159" s="17">
        <f>'Rolling report'!DB159*'No Action'!$Y$6</f>
        <v>0</v>
      </c>
      <c r="AJ159" s="17">
        <f>'Rolling report'!DC159*'No Action'!$Y$6</f>
        <v>0</v>
      </c>
      <c r="AK159" s="17">
        <f>'Rolling report'!DD159*'No Action'!$Y$6</f>
        <v>0</v>
      </c>
      <c r="AL159" s="17">
        <f>'Rolling report'!DE159*'No Action'!$Y$6</f>
        <v>0</v>
      </c>
      <c r="AM159" s="17">
        <f>'Rolling report'!DF159*'No Action'!$Y$6</f>
        <v>0</v>
      </c>
      <c r="AN159" s="17">
        <f>'Rolling report'!DG159*'No Action'!$Y$6</f>
        <v>0</v>
      </c>
      <c r="AO159" s="17">
        <f>'Rolling report'!DH159*'No Action'!$Y$6</f>
        <v>0</v>
      </c>
      <c r="AQ159" s="45"/>
    </row>
    <row r="160" spans="1:43" x14ac:dyDescent="0.25">
      <c r="A160" s="4" t="s">
        <v>309</v>
      </c>
      <c r="B160" s="6" t="s">
        <v>310</v>
      </c>
      <c r="I160" s="17">
        <f>'Rolling report'!CB160*'No Action'!$Y$6</f>
        <v>49.72</v>
      </c>
      <c r="J160" s="17">
        <f>'Rolling report'!CC160*'No Action'!$Y$6</f>
        <v>3.08</v>
      </c>
      <c r="K160" s="17">
        <f>'Rolling report'!CD160*'No Action'!$Y$6</f>
        <v>4.84</v>
      </c>
      <c r="L160" s="17">
        <f>'Rolling report'!CE160*'No Action'!$Y$6</f>
        <v>9.68</v>
      </c>
      <c r="M160" s="17">
        <f>'Rolling report'!CF160*'No Action'!$Y$6</f>
        <v>5.28</v>
      </c>
      <c r="N160" s="17">
        <f>'Rolling report'!CG160*'No Action'!$Y$6</f>
        <v>3.08</v>
      </c>
      <c r="O160" s="17">
        <f>'Rolling report'!CH160*'No Action'!$Y$6</f>
        <v>7.48</v>
      </c>
      <c r="P160" s="17">
        <f>'Rolling report'!CI160*'No Action'!$Y$6</f>
        <v>2.64</v>
      </c>
      <c r="Q160" s="17">
        <f>'Rolling report'!CJ160*'No Action'!$Y$6</f>
        <v>7.92</v>
      </c>
      <c r="R160" s="17">
        <f>'Rolling report'!CK160*'No Action'!$Y$6</f>
        <v>2.2000000000000002</v>
      </c>
      <c r="S160" s="17">
        <f>'Rolling report'!CL160*'No Action'!$Y$6</f>
        <v>5.72</v>
      </c>
      <c r="T160" s="17">
        <f>'Rolling report'!CM160*'No Action'!$Y$6</f>
        <v>2.64</v>
      </c>
      <c r="U160" s="17">
        <f>'Rolling report'!CN160*'No Action'!$Y$6</f>
        <v>4.4000000000000004</v>
      </c>
      <c r="V160" s="17">
        <f>'Rolling report'!CO160*'No Action'!$Y$6</f>
        <v>5.72</v>
      </c>
      <c r="W160" s="17">
        <f>'Rolling report'!CP160*'No Action'!$Y$6</f>
        <v>2.64</v>
      </c>
      <c r="X160" s="17">
        <f>'Rolling report'!CQ160*'No Action'!$Y$6</f>
        <v>3.52</v>
      </c>
      <c r="Y160" s="17">
        <f>'Rolling report'!CR160*'No Action'!$Y$6</f>
        <v>3.08</v>
      </c>
      <c r="Z160" s="17">
        <f>'Rolling report'!CS160*'No Action'!$Y$6</f>
        <v>5.28</v>
      </c>
      <c r="AA160" s="17">
        <f>'Rolling report'!CT160*'No Action'!$Y$6</f>
        <v>3.08</v>
      </c>
      <c r="AB160" s="17">
        <f>'Rolling report'!CU160*'No Action'!$Y$6</f>
        <v>2.2000000000000002</v>
      </c>
      <c r="AC160" s="17">
        <f>'Rolling report'!CV160*'No Action'!$Y$6</f>
        <v>1.32</v>
      </c>
      <c r="AD160" s="17">
        <f>'Rolling report'!CW160*'No Action'!$Y$6</f>
        <v>-0.44</v>
      </c>
      <c r="AE160" s="17">
        <f>'Rolling report'!CX160*'No Action'!$Y$6</f>
        <v>1.32</v>
      </c>
      <c r="AF160" s="17">
        <f>'Rolling report'!CY160*'No Action'!$Y$6</f>
        <v>-136.4</v>
      </c>
      <c r="AG160" s="17">
        <f>'Rolling report'!CZ160*'No Action'!$Y$6</f>
        <v>0</v>
      </c>
      <c r="AH160" s="17">
        <f>'Rolling report'!DA160*'No Action'!$Y$6</f>
        <v>0</v>
      </c>
      <c r="AI160" s="17">
        <f>'Rolling report'!DB160*'No Action'!$Y$6</f>
        <v>0</v>
      </c>
      <c r="AJ160" s="17">
        <f>'Rolling report'!DC160*'No Action'!$Y$6</f>
        <v>0</v>
      </c>
      <c r="AK160" s="17">
        <f>'Rolling report'!DD160*'No Action'!$Y$6</f>
        <v>0</v>
      </c>
      <c r="AL160" s="17">
        <f>'Rolling report'!DE160*'No Action'!$Y$6</f>
        <v>0</v>
      </c>
      <c r="AM160" s="17">
        <f>'Rolling report'!DF160*'No Action'!$Y$6</f>
        <v>0</v>
      </c>
      <c r="AN160" s="17">
        <f>'Rolling report'!DG160*'No Action'!$Y$6</f>
        <v>0</v>
      </c>
      <c r="AO160" s="17">
        <f>'Rolling report'!DH160*'No Action'!$Y$6</f>
        <v>0</v>
      </c>
      <c r="AQ160" s="45"/>
    </row>
    <row r="161" spans="1:43" x14ac:dyDescent="0.25">
      <c r="A161" s="4"/>
      <c r="B161" s="6"/>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c r="AN161" s="17"/>
      <c r="AO161" s="17"/>
      <c r="AQ161" s="45"/>
    </row>
    <row r="162" spans="1:43" x14ac:dyDescent="0.25">
      <c r="A162" s="8" t="s">
        <v>712</v>
      </c>
      <c r="B162" s="11"/>
      <c r="I162" s="17">
        <f>'Rolling report'!CB162*'No Action'!$Y$6</f>
        <v>10799.36</v>
      </c>
      <c r="J162" s="17">
        <f>'Rolling report'!CC162*'No Action'!$Y$6</f>
        <v>1886.28</v>
      </c>
      <c r="K162" s="17">
        <f>'Rolling report'!CD162*'No Action'!$Y$6</f>
        <v>1627.56</v>
      </c>
      <c r="L162" s="17">
        <f>'Rolling report'!CE162*'No Action'!$Y$6</f>
        <v>1995.4</v>
      </c>
      <c r="M162" s="17">
        <f>'Rolling report'!CF162*'No Action'!$Y$6</f>
        <v>1347.28</v>
      </c>
      <c r="N162" s="17">
        <f>'Rolling report'!CG162*'No Action'!$Y$6</f>
        <v>1262.8</v>
      </c>
      <c r="O162" s="17">
        <f>'Rolling report'!CH162*'No Action'!$Y$6</f>
        <v>1883.2</v>
      </c>
      <c r="P162" s="17">
        <f>'Rolling report'!CI162*'No Action'!$Y$6</f>
        <v>903.32</v>
      </c>
      <c r="Q162" s="17">
        <f>'Rolling report'!CJ162*'No Action'!$Y$6</f>
        <v>1140.48</v>
      </c>
      <c r="R162" s="17">
        <f>'Rolling report'!CK162*'No Action'!$Y$6</f>
        <v>953.92</v>
      </c>
      <c r="S162" s="17">
        <f>'Rolling report'!CL162*'No Action'!$Y$6</f>
        <v>689.92</v>
      </c>
      <c r="T162" s="17">
        <f>'Rolling report'!CM162*'No Action'!$Y$6</f>
        <v>1045.44</v>
      </c>
      <c r="U162" s="17">
        <f>'Rolling report'!CN162*'No Action'!$Y$6</f>
        <v>913.88</v>
      </c>
      <c r="V162" s="17">
        <f>'Rolling report'!CO162*'No Action'!$Y$6</f>
        <v>755.92</v>
      </c>
      <c r="W162" s="17">
        <f>'Rolling report'!CP162*'No Action'!$Y$6</f>
        <v>660.88</v>
      </c>
      <c r="X162" s="17">
        <f>'Rolling report'!CQ162*'No Action'!$Y$6</f>
        <v>497.64</v>
      </c>
      <c r="Y162" s="17">
        <f>'Rolling report'!CR162*'No Action'!$Y$6</f>
        <v>573.32000000000005</v>
      </c>
      <c r="Z162" s="17">
        <f>'Rolling report'!CS162*'No Action'!$Y$6</f>
        <v>505.12</v>
      </c>
      <c r="AA162" s="17">
        <f>'Rolling report'!CT162*'No Action'!$Y$6</f>
        <v>626.12</v>
      </c>
      <c r="AB162" s="17">
        <f>'Rolling report'!CU162*'No Action'!$Y$6</f>
        <v>585.64</v>
      </c>
      <c r="AC162" s="17">
        <f>'Rolling report'!CV162*'No Action'!$Y$6</f>
        <v>870.76</v>
      </c>
      <c r="AD162" s="17">
        <f>'Rolling report'!CW162*'No Action'!$Y$6</f>
        <v>171.16</v>
      </c>
      <c r="AE162" s="17">
        <f>'Rolling report'!CX162*'No Action'!$Y$6</f>
        <v>464.64</v>
      </c>
      <c r="AF162" s="17">
        <f>'Rolling report'!CY162*'No Action'!$Y$6</f>
        <v>-32160.04</v>
      </c>
      <c r="AG162" s="17">
        <f>'Rolling report'!CZ162*'No Action'!$Y$6</f>
        <v>0</v>
      </c>
      <c r="AH162" s="17">
        <f>'Rolling report'!DA162*'No Action'!$Y$6</f>
        <v>0</v>
      </c>
      <c r="AI162" s="17">
        <f>'Rolling report'!DB162*'No Action'!$Y$6</f>
        <v>0</v>
      </c>
      <c r="AJ162" s="17">
        <f>'Rolling report'!DC162*'No Action'!$Y$6</f>
        <v>0</v>
      </c>
      <c r="AK162" s="17">
        <f>'Rolling report'!DD162*'No Action'!$Y$6</f>
        <v>0</v>
      </c>
      <c r="AL162" s="17">
        <f>'Rolling report'!DE162*'No Action'!$Y$6</f>
        <v>0</v>
      </c>
      <c r="AM162" s="17">
        <f>'Rolling report'!DF162*'No Action'!$Y$6</f>
        <v>0</v>
      </c>
      <c r="AN162" s="17">
        <f>'Rolling report'!DG162*'No Action'!$Y$6</f>
        <v>0</v>
      </c>
      <c r="AO162" s="17">
        <f>'Rolling report'!DH162*'No Action'!$Y$6</f>
        <v>0</v>
      </c>
      <c r="AQ162" s="45"/>
    </row>
    <row r="163" spans="1:43" ht="15.75" thickBot="1" x14ac:dyDescent="0.3">
      <c r="A163" s="12"/>
      <c r="B163" s="13"/>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c r="AN163" s="17"/>
      <c r="AO163" s="17"/>
      <c r="AQ163" s="45"/>
    </row>
    <row r="164" spans="1:43" x14ac:dyDescent="0.2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c r="AN164" s="17"/>
      <c r="AO164" s="17"/>
      <c r="AQ164" s="45"/>
    </row>
    <row r="165" spans="1:43" ht="20.25" x14ac:dyDescent="0.3">
      <c r="A165" s="1" t="s">
        <v>0</v>
      </c>
      <c r="B165" s="2"/>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c r="AN165" s="17"/>
      <c r="AO165" s="17"/>
      <c r="AQ165" s="45"/>
    </row>
    <row r="166" spans="1:43" x14ac:dyDescent="0.25">
      <c r="A166" s="3" t="s">
        <v>1</v>
      </c>
      <c r="B166" s="2"/>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c r="AN166" s="17"/>
      <c r="AO166" s="17"/>
      <c r="AQ166" s="45"/>
    </row>
    <row r="167" spans="1:43" x14ac:dyDescent="0.25">
      <c r="A167" s="29"/>
      <c r="B167" s="2"/>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c r="AN167" s="17"/>
      <c r="AO167" s="17"/>
      <c r="AQ167" s="45"/>
    </row>
    <row r="168" spans="1:43" x14ac:dyDescent="0.25">
      <c r="A168" s="5" t="s">
        <v>385</v>
      </c>
      <c r="B168" s="6"/>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c r="AN168" s="17"/>
      <c r="AO168" s="17"/>
      <c r="AQ168" s="45"/>
    </row>
    <row r="169" spans="1:43" x14ac:dyDescent="0.25">
      <c r="A169" s="7"/>
      <c r="B169" s="6"/>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c r="AN169" s="17"/>
      <c r="AO169" s="17"/>
      <c r="AQ169" s="45"/>
    </row>
    <row r="170" spans="1:43" x14ac:dyDescent="0.25">
      <c r="A170" s="8" t="s">
        <v>386</v>
      </c>
      <c r="B170" s="30"/>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c r="AN170" s="17"/>
      <c r="AO170" s="17"/>
      <c r="AQ170" s="45"/>
    </row>
    <row r="171" spans="1:43" x14ac:dyDescent="0.25">
      <c r="A171" s="9"/>
      <c r="B171" s="2"/>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c r="AN171" s="17"/>
      <c r="AO171" s="17"/>
      <c r="AQ171" s="45"/>
    </row>
    <row r="172" spans="1:43" x14ac:dyDescent="0.25">
      <c r="A172" s="10" t="s">
        <v>3</v>
      </c>
      <c r="B172" s="31" t="s">
        <v>4</v>
      </c>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c r="AN172" s="17"/>
      <c r="AO172" s="17"/>
      <c r="AQ172" s="45"/>
    </row>
    <row r="173" spans="1:43" x14ac:dyDescent="0.25">
      <c r="A173" s="4"/>
      <c r="B173" s="6"/>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c r="AN173" s="17"/>
      <c r="AO173" s="17"/>
      <c r="AQ173" s="45"/>
    </row>
    <row r="174" spans="1:43" x14ac:dyDescent="0.25">
      <c r="A174" s="4" t="s">
        <v>387</v>
      </c>
      <c r="B174" s="6" t="s">
        <v>388</v>
      </c>
      <c r="I174" s="17">
        <f>'Rolling report'!CB174*'No Action'!$Y$6</f>
        <v>20.239999999999998</v>
      </c>
      <c r="J174" s="17">
        <f>'Rolling report'!CC174*'No Action'!$Y$6</f>
        <v>2.64</v>
      </c>
      <c r="K174" s="17">
        <f>'Rolling report'!CD174*'No Action'!$Y$6</f>
        <v>3.08</v>
      </c>
      <c r="L174" s="17">
        <f>'Rolling report'!CE174*'No Action'!$Y$6</f>
        <v>4.84</v>
      </c>
      <c r="M174" s="17">
        <f>'Rolling report'!CF174*'No Action'!$Y$6</f>
        <v>1.32</v>
      </c>
      <c r="N174" s="17">
        <f>'Rolling report'!CG174*'No Action'!$Y$6</f>
        <v>2.2000000000000002</v>
      </c>
      <c r="O174" s="17">
        <f>'Rolling report'!CH174*'No Action'!$Y$6</f>
        <v>0.88</v>
      </c>
      <c r="P174" s="17">
        <f>'Rolling report'!CI174*'No Action'!$Y$6</f>
        <v>0</v>
      </c>
      <c r="Q174" s="17">
        <f>'Rolling report'!CJ174*'No Action'!$Y$6</f>
        <v>1.32</v>
      </c>
      <c r="R174" s="17">
        <f>'Rolling report'!CK174*'No Action'!$Y$6</f>
        <v>0.88</v>
      </c>
      <c r="S174" s="17">
        <f>'Rolling report'!CL174*'No Action'!$Y$6</f>
        <v>0.88</v>
      </c>
      <c r="T174" s="17">
        <f>'Rolling report'!CM174*'No Action'!$Y$6</f>
        <v>3.52</v>
      </c>
      <c r="U174" s="17">
        <f>'Rolling report'!CN174*'No Action'!$Y$6</f>
        <v>1.76</v>
      </c>
      <c r="V174" s="17">
        <f>'Rolling report'!CO174*'No Action'!$Y$6</f>
        <v>0.44</v>
      </c>
      <c r="W174" s="17">
        <f>'Rolling report'!CP174*'No Action'!$Y$6</f>
        <v>0</v>
      </c>
      <c r="X174" s="17">
        <f>'Rolling report'!CQ174*'No Action'!$Y$6</f>
        <v>0.88</v>
      </c>
      <c r="Y174" s="17">
        <f>'Rolling report'!CR174*'No Action'!$Y$6</f>
        <v>0</v>
      </c>
      <c r="Z174" s="17">
        <f>'Rolling report'!CS174*'No Action'!$Y$6</f>
        <v>0</v>
      </c>
      <c r="AA174" s="17">
        <f>'Rolling report'!CT174*'No Action'!$Y$6</f>
        <v>0</v>
      </c>
      <c r="AB174" s="17">
        <f>'Rolling report'!CU174*'No Action'!$Y$6</f>
        <v>0</v>
      </c>
      <c r="AC174" s="17">
        <f>'Rolling report'!CV174*'No Action'!$Y$6</f>
        <v>0.44</v>
      </c>
      <c r="AD174" s="17">
        <f>'Rolling report'!CW174*'No Action'!$Y$6</f>
        <v>0.44</v>
      </c>
      <c r="AE174" s="17">
        <f>'Rolling report'!CX174*'No Action'!$Y$6</f>
        <v>0.44</v>
      </c>
      <c r="AF174" s="17">
        <f>'Rolling report'!CY174*'No Action'!$Y$6</f>
        <v>-46.2</v>
      </c>
      <c r="AG174" s="17">
        <f>'Rolling report'!CZ174*'No Action'!$Y$6</f>
        <v>0</v>
      </c>
      <c r="AH174" s="17">
        <f>'Rolling report'!DA174*'No Action'!$Y$6</f>
        <v>0</v>
      </c>
      <c r="AI174" s="17">
        <f>'Rolling report'!DB174*'No Action'!$Y$6</f>
        <v>0</v>
      </c>
      <c r="AJ174" s="17">
        <f>'Rolling report'!DC174*'No Action'!$Y$6</f>
        <v>0</v>
      </c>
      <c r="AK174" s="17">
        <f>'Rolling report'!DD174*'No Action'!$Y$6</f>
        <v>0</v>
      </c>
      <c r="AL174" s="17">
        <f>'Rolling report'!DE174*'No Action'!$Y$6</f>
        <v>0</v>
      </c>
      <c r="AM174" s="17">
        <f>'Rolling report'!DF174*'No Action'!$Y$6</f>
        <v>0</v>
      </c>
      <c r="AN174" s="17">
        <f>'Rolling report'!DG174*'No Action'!$Y$6</f>
        <v>0</v>
      </c>
      <c r="AO174" s="17">
        <f>'Rolling report'!DH174*'No Action'!$Y$6</f>
        <v>0</v>
      </c>
      <c r="AQ174" s="45"/>
    </row>
    <row r="175" spans="1:43" x14ac:dyDescent="0.25">
      <c r="A175" s="4" t="s">
        <v>389</v>
      </c>
      <c r="B175" s="6" t="s">
        <v>390</v>
      </c>
      <c r="I175" s="17">
        <f>'Rolling report'!CB175*'No Action'!$Y$6</f>
        <v>20.68</v>
      </c>
      <c r="J175" s="17">
        <f>'Rolling report'!CC175*'No Action'!$Y$6</f>
        <v>2.64</v>
      </c>
      <c r="K175" s="17">
        <f>'Rolling report'!CD175*'No Action'!$Y$6</f>
        <v>2.2000000000000002</v>
      </c>
      <c r="L175" s="17">
        <f>'Rolling report'!CE175*'No Action'!$Y$6</f>
        <v>4.84</v>
      </c>
      <c r="M175" s="17">
        <f>'Rolling report'!CF175*'No Action'!$Y$6</f>
        <v>4.4000000000000004</v>
      </c>
      <c r="N175" s="17">
        <f>'Rolling report'!CG175*'No Action'!$Y$6</f>
        <v>3.08</v>
      </c>
      <c r="O175" s="17">
        <f>'Rolling report'!CH175*'No Action'!$Y$6</f>
        <v>3.52</v>
      </c>
      <c r="P175" s="17">
        <f>'Rolling report'!CI175*'No Action'!$Y$6</f>
        <v>5.28</v>
      </c>
      <c r="Q175" s="17">
        <f>'Rolling report'!CJ175*'No Action'!$Y$6</f>
        <v>1.76</v>
      </c>
      <c r="R175" s="17">
        <f>'Rolling report'!CK175*'No Action'!$Y$6</f>
        <v>6.16</v>
      </c>
      <c r="S175" s="17">
        <f>'Rolling report'!CL175*'No Action'!$Y$6</f>
        <v>0</v>
      </c>
      <c r="T175" s="17">
        <f>'Rolling report'!CM175*'No Action'!$Y$6</f>
        <v>1.32</v>
      </c>
      <c r="U175" s="17">
        <f>'Rolling report'!CN175*'No Action'!$Y$6</f>
        <v>3.08</v>
      </c>
      <c r="V175" s="17">
        <f>'Rolling report'!CO175*'No Action'!$Y$6</f>
        <v>4.4000000000000004</v>
      </c>
      <c r="W175" s="17">
        <f>'Rolling report'!CP175*'No Action'!$Y$6</f>
        <v>4.84</v>
      </c>
      <c r="X175" s="17">
        <f>'Rolling report'!CQ175*'No Action'!$Y$6</f>
        <v>0</v>
      </c>
      <c r="Y175" s="17">
        <f>'Rolling report'!CR175*'No Action'!$Y$6</f>
        <v>1.76</v>
      </c>
      <c r="Z175" s="17">
        <f>'Rolling report'!CS175*'No Action'!$Y$6</f>
        <v>0.44</v>
      </c>
      <c r="AA175" s="17">
        <f>'Rolling report'!CT175*'No Action'!$Y$6</f>
        <v>3.52</v>
      </c>
      <c r="AB175" s="17">
        <f>'Rolling report'!CU175*'No Action'!$Y$6</f>
        <v>2.64</v>
      </c>
      <c r="AC175" s="17">
        <f>'Rolling report'!CV175*'No Action'!$Y$6</f>
        <v>2.64</v>
      </c>
      <c r="AD175" s="17">
        <f>'Rolling report'!CW175*'No Action'!$Y$6</f>
        <v>2.2000000000000002</v>
      </c>
      <c r="AE175" s="17">
        <f>'Rolling report'!CX175*'No Action'!$Y$6</f>
        <v>0</v>
      </c>
      <c r="AF175" s="17">
        <f>'Rolling report'!CY175*'No Action'!$Y$6</f>
        <v>-81.400000000000006</v>
      </c>
      <c r="AG175" s="17">
        <f>'Rolling report'!CZ175*'No Action'!$Y$6</f>
        <v>0</v>
      </c>
      <c r="AH175" s="17">
        <f>'Rolling report'!DA175*'No Action'!$Y$6</f>
        <v>0</v>
      </c>
      <c r="AI175" s="17">
        <f>'Rolling report'!DB175*'No Action'!$Y$6</f>
        <v>0</v>
      </c>
      <c r="AJ175" s="17">
        <f>'Rolling report'!DC175*'No Action'!$Y$6</f>
        <v>0</v>
      </c>
      <c r="AK175" s="17">
        <f>'Rolling report'!DD175*'No Action'!$Y$6</f>
        <v>0</v>
      </c>
      <c r="AL175" s="17">
        <f>'Rolling report'!DE175*'No Action'!$Y$6</f>
        <v>0</v>
      </c>
      <c r="AM175" s="17">
        <f>'Rolling report'!DF175*'No Action'!$Y$6</f>
        <v>0</v>
      </c>
      <c r="AN175" s="17">
        <f>'Rolling report'!DG175*'No Action'!$Y$6</f>
        <v>0</v>
      </c>
      <c r="AO175" s="17">
        <f>'Rolling report'!DH175*'No Action'!$Y$6</f>
        <v>0</v>
      </c>
      <c r="AQ175" s="45"/>
    </row>
    <row r="176" spans="1:43" x14ac:dyDescent="0.25">
      <c r="A176" s="4" t="s">
        <v>391</v>
      </c>
      <c r="B176" s="6" t="s">
        <v>392</v>
      </c>
      <c r="I176" s="17">
        <f>'Rolling report'!CB176*'No Action'!$Y$6</f>
        <v>19.8</v>
      </c>
      <c r="J176" s="17">
        <f>'Rolling report'!CC176*'No Action'!$Y$6</f>
        <v>6.16</v>
      </c>
      <c r="K176" s="17">
        <f>'Rolling report'!CD176*'No Action'!$Y$6</f>
        <v>0.88</v>
      </c>
      <c r="L176" s="17">
        <f>'Rolling report'!CE176*'No Action'!$Y$6</f>
        <v>4.4000000000000004</v>
      </c>
      <c r="M176" s="17">
        <f>'Rolling report'!CF176*'No Action'!$Y$6</f>
        <v>7.92</v>
      </c>
      <c r="N176" s="17">
        <f>'Rolling report'!CG176*'No Action'!$Y$6</f>
        <v>2.2000000000000002</v>
      </c>
      <c r="O176" s="17">
        <f>'Rolling report'!CH176*'No Action'!$Y$6</f>
        <v>5.28</v>
      </c>
      <c r="P176" s="17">
        <f>'Rolling report'!CI176*'No Action'!$Y$6</f>
        <v>1.32</v>
      </c>
      <c r="Q176" s="17">
        <f>'Rolling report'!CJ176*'No Action'!$Y$6</f>
        <v>0.88</v>
      </c>
      <c r="R176" s="17">
        <f>'Rolling report'!CK176*'No Action'!$Y$6</f>
        <v>1.76</v>
      </c>
      <c r="S176" s="17">
        <f>'Rolling report'!CL176*'No Action'!$Y$6</f>
        <v>3.08</v>
      </c>
      <c r="T176" s="17">
        <f>'Rolling report'!CM176*'No Action'!$Y$6</f>
        <v>7.04</v>
      </c>
      <c r="U176" s="17">
        <f>'Rolling report'!CN176*'No Action'!$Y$6</f>
        <v>4.4000000000000004</v>
      </c>
      <c r="V176" s="17">
        <f>'Rolling report'!CO176*'No Action'!$Y$6</f>
        <v>0.88</v>
      </c>
      <c r="W176" s="17">
        <f>'Rolling report'!CP176*'No Action'!$Y$6</f>
        <v>2.2000000000000002</v>
      </c>
      <c r="X176" s="17">
        <f>'Rolling report'!CQ176*'No Action'!$Y$6</f>
        <v>0.88</v>
      </c>
      <c r="Y176" s="17">
        <f>'Rolling report'!CR176*'No Action'!$Y$6</f>
        <v>1.76</v>
      </c>
      <c r="Z176" s="17">
        <f>'Rolling report'!CS176*'No Action'!$Y$6</f>
        <v>0.88</v>
      </c>
      <c r="AA176" s="17">
        <f>'Rolling report'!CT176*'No Action'!$Y$6</f>
        <v>0</v>
      </c>
      <c r="AB176" s="17">
        <f>'Rolling report'!CU176*'No Action'!$Y$6</f>
        <v>0.88</v>
      </c>
      <c r="AC176" s="17">
        <f>'Rolling report'!CV176*'No Action'!$Y$6</f>
        <v>1.32</v>
      </c>
      <c r="AD176" s="17">
        <f>'Rolling report'!CW176*'No Action'!$Y$6</f>
        <v>0</v>
      </c>
      <c r="AE176" s="17">
        <f>'Rolling report'!CX176*'No Action'!$Y$6</f>
        <v>0.44</v>
      </c>
      <c r="AF176" s="17">
        <f>'Rolling report'!CY176*'No Action'!$Y$6</f>
        <v>-74.36</v>
      </c>
      <c r="AG176" s="17">
        <f>'Rolling report'!CZ176*'No Action'!$Y$6</f>
        <v>0</v>
      </c>
      <c r="AH176" s="17">
        <f>'Rolling report'!DA176*'No Action'!$Y$6</f>
        <v>0</v>
      </c>
      <c r="AI176" s="17">
        <f>'Rolling report'!DB176*'No Action'!$Y$6</f>
        <v>0</v>
      </c>
      <c r="AJ176" s="17">
        <f>'Rolling report'!DC176*'No Action'!$Y$6</f>
        <v>0</v>
      </c>
      <c r="AK176" s="17">
        <f>'Rolling report'!DD176*'No Action'!$Y$6</f>
        <v>0</v>
      </c>
      <c r="AL176" s="17">
        <f>'Rolling report'!DE176*'No Action'!$Y$6</f>
        <v>0</v>
      </c>
      <c r="AM176" s="17">
        <f>'Rolling report'!DF176*'No Action'!$Y$6</f>
        <v>0</v>
      </c>
      <c r="AN176" s="17">
        <f>'Rolling report'!DG176*'No Action'!$Y$6</f>
        <v>0</v>
      </c>
      <c r="AO176" s="17">
        <f>'Rolling report'!DH176*'No Action'!$Y$6</f>
        <v>0</v>
      </c>
      <c r="AQ176" s="45"/>
    </row>
    <row r="177" spans="1:43" x14ac:dyDescent="0.25">
      <c r="A177" s="4" t="s">
        <v>393</v>
      </c>
      <c r="B177" s="6" t="s">
        <v>394</v>
      </c>
      <c r="I177" s="17">
        <f>'Rolling report'!CB177*'No Action'!$Y$6</f>
        <v>13.2</v>
      </c>
      <c r="J177" s="17">
        <f>'Rolling report'!CC177*'No Action'!$Y$6</f>
        <v>0</v>
      </c>
      <c r="K177" s="17">
        <f>'Rolling report'!CD177*'No Action'!$Y$6</f>
        <v>3.08</v>
      </c>
      <c r="L177" s="17">
        <f>'Rolling report'!CE177*'No Action'!$Y$6</f>
        <v>3.52</v>
      </c>
      <c r="M177" s="17">
        <f>'Rolling report'!CF177*'No Action'!$Y$6</f>
        <v>1.76</v>
      </c>
      <c r="N177" s="17">
        <f>'Rolling report'!CG177*'No Action'!$Y$6</f>
        <v>2.2000000000000002</v>
      </c>
      <c r="O177" s="17">
        <f>'Rolling report'!CH177*'No Action'!$Y$6</f>
        <v>6.6</v>
      </c>
      <c r="P177" s="17">
        <f>'Rolling report'!CI177*'No Action'!$Y$6</f>
        <v>2.64</v>
      </c>
      <c r="Q177" s="17">
        <f>'Rolling report'!CJ177*'No Action'!$Y$6</f>
        <v>1.32</v>
      </c>
      <c r="R177" s="17">
        <f>'Rolling report'!CK177*'No Action'!$Y$6</f>
        <v>3.96</v>
      </c>
      <c r="S177" s="17">
        <f>'Rolling report'!CL177*'No Action'!$Y$6</f>
        <v>1.76</v>
      </c>
      <c r="T177" s="17">
        <f>'Rolling report'!CM177*'No Action'!$Y$6</f>
        <v>0</v>
      </c>
      <c r="U177" s="17">
        <f>'Rolling report'!CN177*'No Action'!$Y$6</f>
        <v>0.44</v>
      </c>
      <c r="V177" s="17">
        <f>'Rolling report'!CO177*'No Action'!$Y$6</f>
        <v>1.32</v>
      </c>
      <c r="W177" s="17">
        <f>'Rolling report'!CP177*'No Action'!$Y$6</f>
        <v>1.32</v>
      </c>
      <c r="X177" s="17">
        <f>'Rolling report'!CQ177*'No Action'!$Y$6</f>
        <v>0</v>
      </c>
      <c r="Y177" s="17">
        <f>'Rolling report'!CR177*'No Action'!$Y$6</f>
        <v>1.76</v>
      </c>
      <c r="Z177" s="17">
        <f>'Rolling report'!CS177*'No Action'!$Y$6</f>
        <v>0</v>
      </c>
      <c r="AA177" s="17">
        <f>'Rolling report'!CT177*'No Action'!$Y$6</f>
        <v>0</v>
      </c>
      <c r="AB177" s="17">
        <f>'Rolling report'!CU177*'No Action'!$Y$6</f>
        <v>0</v>
      </c>
      <c r="AC177" s="17">
        <f>'Rolling report'!CV177*'No Action'!$Y$6</f>
        <v>0</v>
      </c>
      <c r="AD177" s="17">
        <f>'Rolling report'!CW177*'No Action'!$Y$6</f>
        <v>0</v>
      </c>
      <c r="AE177" s="17">
        <f>'Rolling report'!CX177*'No Action'!$Y$6</f>
        <v>-0.44</v>
      </c>
      <c r="AF177" s="17">
        <f>'Rolling report'!CY177*'No Action'!$Y$6</f>
        <v>-44.44</v>
      </c>
      <c r="AG177" s="17">
        <f>'Rolling report'!CZ177*'No Action'!$Y$6</f>
        <v>0</v>
      </c>
      <c r="AH177" s="17">
        <f>'Rolling report'!DA177*'No Action'!$Y$6</f>
        <v>0</v>
      </c>
      <c r="AI177" s="17">
        <f>'Rolling report'!DB177*'No Action'!$Y$6</f>
        <v>0</v>
      </c>
      <c r="AJ177" s="17">
        <f>'Rolling report'!DC177*'No Action'!$Y$6</f>
        <v>0</v>
      </c>
      <c r="AK177" s="17">
        <f>'Rolling report'!DD177*'No Action'!$Y$6</f>
        <v>0</v>
      </c>
      <c r="AL177" s="17">
        <f>'Rolling report'!DE177*'No Action'!$Y$6</f>
        <v>0</v>
      </c>
      <c r="AM177" s="17">
        <f>'Rolling report'!DF177*'No Action'!$Y$6</f>
        <v>0</v>
      </c>
      <c r="AN177" s="17">
        <f>'Rolling report'!DG177*'No Action'!$Y$6</f>
        <v>0</v>
      </c>
      <c r="AO177" s="17">
        <f>'Rolling report'!DH177*'No Action'!$Y$6</f>
        <v>0</v>
      </c>
      <c r="AQ177" s="45"/>
    </row>
    <row r="178" spans="1:43" x14ac:dyDescent="0.25">
      <c r="A178" s="4" t="s">
        <v>395</v>
      </c>
      <c r="B178" s="6" t="s">
        <v>396</v>
      </c>
      <c r="I178" s="17">
        <f>'Rolling report'!CB178*'No Action'!$Y$6</f>
        <v>94.6</v>
      </c>
      <c r="J178" s="17">
        <f>'Rolling report'!CC178*'No Action'!$Y$6</f>
        <v>15.84</v>
      </c>
      <c r="K178" s="17">
        <f>'Rolling report'!CD178*'No Action'!$Y$6</f>
        <v>15.84</v>
      </c>
      <c r="L178" s="17">
        <f>'Rolling report'!CE178*'No Action'!$Y$6</f>
        <v>14.96</v>
      </c>
      <c r="M178" s="17">
        <f>'Rolling report'!CF178*'No Action'!$Y$6</f>
        <v>10.56</v>
      </c>
      <c r="N178" s="17">
        <f>'Rolling report'!CG178*'No Action'!$Y$6</f>
        <v>4.4000000000000004</v>
      </c>
      <c r="O178" s="17">
        <f>'Rolling report'!CH178*'No Action'!$Y$6</f>
        <v>10.56</v>
      </c>
      <c r="P178" s="17">
        <f>'Rolling report'!CI178*'No Action'!$Y$6</f>
        <v>10.56</v>
      </c>
      <c r="Q178" s="17">
        <f>'Rolling report'!CJ178*'No Action'!$Y$6</f>
        <v>7.04</v>
      </c>
      <c r="R178" s="17">
        <f>'Rolling report'!CK178*'No Action'!$Y$6</f>
        <v>4.4000000000000004</v>
      </c>
      <c r="S178" s="17">
        <f>'Rolling report'!CL178*'No Action'!$Y$6</f>
        <v>7.48</v>
      </c>
      <c r="T178" s="17">
        <f>'Rolling report'!CM178*'No Action'!$Y$6</f>
        <v>11</v>
      </c>
      <c r="U178" s="17">
        <f>'Rolling report'!CN178*'No Action'!$Y$6</f>
        <v>4.4000000000000004</v>
      </c>
      <c r="V178" s="17">
        <f>'Rolling report'!CO178*'No Action'!$Y$6</f>
        <v>6.16</v>
      </c>
      <c r="W178" s="17">
        <f>'Rolling report'!CP178*'No Action'!$Y$6</f>
        <v>4.84</v>
      </c>
      <c r="X178" s="17">
        <f>'Rolling report'!CQ178*'No Action'!$Y$6</f>
        <v>1.76</v>
      </c>
      <c r="Y178" s="17">
        <f>'Rolling report'!CR178*'No Action'!$Y$6</f>
        <v>2.2000000000000002</v>
      </c>
      <c r="Z178" s="17">
        <f>'Rolling report'!CS178*'No Action'!$Y$6</f>
        <v>2.2000000000000002</v>
      </c>
      <c r="AA178" s="17">
        <f>'Rolling report'!CT178*'No Action'!$Y$6</f>
        <v>2.2000000000000002</v>
      </c>
      <c r="AB178" s="17">
        <f>'Rolling report'!CU178*'No Action'!$Y$6</f>
        <v>5.28</v>
      </c>
      <c r="AC178" s="17">
        <f>'Rolling report'!CV178*'No Action'!$Y$6</f>
        <v>5.72</v>
      </c>
      <c r="AD178" s="17">
        <f>'Rolling report'!CW178*'No Action'!$Y$6</f>
        <v>1.32</v>
      </c>
      <c r="AE178" s="17">
        <f>'Rolling report'!CX178*'No Action'!$Y$6</f>
        <v>0.88</v>
      </c>
      <c r="AF178" s="17">
        <f>'Rolling report'!CY178*'No Action'!$Y$6</f>
        <v>-244.2</v>
      </c>
      <c r="AG178" s="17">
        <f>'Rolling report'!CZ178*'No Action'!$Y$6</f>
        <v>0</v>
      </c>
      <c r="AH178" s="17">
        <f>'Rolling report'!DA178*'No Action'!$Y$6</f>
        <v>0</v>
      </c>
      <c r="AI178" s="17">
        <f>'Rolling report'!DB178*'No Action'!$Y$6</f>
        <v>0</v>
      </c>
      <c r="AJ178" s="17">
        <f>'Rolling report'!DC178*'No Action'!$Y$6</f>
        <v>0</v>
      </c>
      <c r="AK178" s="17">
        <f>'Rolling report'!DD178*'No Action'!$Y$6</f>
        <v>0</v>
      </c>
      <c r="AL178" s="17">
        <f>'Rolling report'!DE178*'No Action'!$Y$6</f>
        <v>0</v>
      </c>
      <c r="AM178" s="17">
        <f>'Rolling report'!DF178*'No Action'!$Y$6</f>
        <v>0</v>
      </c>
      <c r="AN178" s="17">
        <f>'Rolling report'!DG178*'No Action'!$Y$6</f>
        <v>0</v>
      </c>
      <c r="AO178" s="17">
        <f>'Rolling report'!DH178*'No Action'!$Y$6</f>
        <v>0</v>
      </c>
      <c r="AQ178" s="45"/>
    </row>
    <row r="179" spans="1:43" x14ac:dyDescent="0.25">
      <c r="A179" s="4" t="s">
        <v>397</v>
      </c>
      <c r="B179" s="6" t="s">
        <v>398</v>
      </c>
      <c r="I179" s="17">
        <f>'Rolling report'!CB179*'No Action'!$Y$6</f>
        <v>2.2000000000000002</v>
      </c>
      <c r="J179" s="17">
        <f>'Rolling report'!CC179*'No Action'!$Y$6</f>
        <v>1.32</v>
      </c>
      <c r="K179" s="17">
        <f>'Rolling report'!CD179*'No Action'!$Y$6</f>
        <v>0</v>
      </c>
      <c r="L179" s="17">
        <f>'Rolling report'!CE179*'No Action'!$Y$6</f>
        <v>3.52</v>
      </c>
      <c r="M179" s="17">
        <f>'Rolling report'!CF179*'No Action'!$Y$6</f>
        <v>1.32</v>
      </c>
      <c r="N179" s="17">
        <f>'Rolling report'!CG179*'No Action'!$Y$6</f>
        <v>0</v>
      </c>
      <c r="O179" s="17">
        <f>'Rolling report'!CH179*'No Action'!$Y$6</f>
        <v>0.88</v>
      </c>
      <c r="P179" s="17">
        <f>'Rolling report'!CI179*'No Action'!$Y$6</f>
        <v>0</v>
      </c>
      <c r="Q179" s="17">
        <f>'Rolling report'!CJ179*'No Action'!$Y$6</f>
        <v>0.88</v>
      </c>
      <c r="R179" s="17">
        <f>'Rolling report'!CK179*'No Action'!$Y$6</f>
        <v>0</v>
      </c>
      <c r="S179" s="17">
        <f>'Rolling report'!CL179*'No Action'!$Y$6</f>
        <v>0</v>
      </c>
      <c r="T179" s="17">
        <f>'Rolling report'!CM179*'No Action'!$Y$6</f>
        <v>0</v>
      </c>
      <c r="U179" s="17">
        <f>'Rolling report'!CN179*'No Action'!$Y$6</f>
        <v>1.32</v>
      </c>
      <c r="V179" s="17">
        <f>'Rolling report'!CO179*'No Action'!$Y$6</f>
        <v>0.44</v>
      </c>
      <c r="W179" s="17">
        <f>'Rolling report'!CP179*'No Action'!$Y$6</f>
        <v>3.52</v>
      </c>
      <c r="X179" s="17">
        <f>'Rolling report'!CQ179*'No Action'!$Y$6</f>
        <v>0</v>
      </c>
      <c r="Y179" s="17">
        <f>'Rolling report'!CR179*'No Action'!$Y$6</f>
        <v>0.88</v>
      </c>
      <c r="Z179" s="17">
        <f>'Rolling report'!CS179*'No Action'!$Y$6</f>
        <v>0.44</v>
      </c>
      <c r="AA179" s="17">
        <f>'Rolling report'!CT179*'No Action'!$Y$6</f>
        <v>0.44</v>
      </c>
      <c r="AB179" s="17">
        <f>'Rolling report'!CU179*'No Action'!$Y$6</f>
        <v>0</v>
      </c>
      <c r="AC179" s="17">
        <f>'Rolling report'!CV179*'No Action'!$Y$6</f>
        <v>0</v>
      </c>
      <c r="AD179" s="17">
        <f>'Rolling report'!CW179*'No Action'!$Y$6</f>
        <v>0</v>
      </c>
      <c r="AE179" s="17">
        <f>'Rolling report'!CX179*'No Action'!$Y$6</f>
        <v>0</v>
      </c>
      <c r="AF179" s="17">
        <f>'Rolling report'!CY179*'No Action'!$Y$6</f>
        <v>-17.16</v>
      </c>
      <c r="AG179" s="17">
        <f>'Rolling report'!CZ179*'No Action'!$Y$6</f>
        <v>0</v>
      </c>
      <c r="AH179" s="17">
        <f>'Rolling report'!DA179*'No Action'!$Y$6</f>
        <v>0</v>
      </c>
      <c r="AI179" s="17">
        <f>'Rolling report'!DB179*'No Action'!$Y$6</f>
        <v>0</v>
      </c>
      <c r="AJ179" s="17">
        <f>'Rolling report'!DC179*'No Action'!$Y$6</f>
        <v>0</v>
      </c>
      <c r="AK179" s="17">
        <f>'Rolling report'!DD179*'No Action'!$Y$6</f>
        <v>0</v>
      </c>
      <c r="AL179" s="17">
        <f>'Rolling report'!DE179*'No Action'!$Y$6</f>
        <v>0</v>
      </c>
      <c r="AM179" s="17">
        <f>'Rolling report'!DF179*'No Action'!$Y$6</f>
        <v>0</v>
      </c>
      <c r="AN179" s="17">
        <f>'Rolling report'!DG179*'No Action'!$Y$6</f>
        <v>0</v>
      </c>
      <c r="AO179" s="17">
        <f>'Rolling report'!DH179*'No Action'!$Y$6</f>
        <v>0</v>
      </c>
      <c r="AQ179" s="45"/>
    </row>
    <row r="180" spans="1:43" x14ac:dyDescent="0.25">
      <c r="A180" s="4" t="s">
        <v>399</v>
      </c>
      <c r="B180" s="6" t="s">
        <v>400</v>
      </c>
      <c r="I180" s="17">
        <f>'Rolling report'!CB180*'No Action'!$Y$6</f>
        <v>19.8</v>
      </c>
      <c r="J180" s="17">
        <f>'Rolling report'!CC180*'No Action'!$Y$6</f>
        <v>2.2000000000000002</v>
      </c>
      <c r="K180" s="17">
        <f>'Rolling report'!CD180*'No Action'!$Y$6</f>
        <v>0</v>
      </c>
      <c r="L180" s="17">
        <f>'Rolling report'!CE180*'No Action'!$Y$6</f>
        <v>5.28</v>
      </c>
      <c r="M180" s="17">
        <f>'Rolling report'!CF180*'No Action'!$Y$6</f>
        <v>3.96</v>
      </c>
      <c r="N180" s="17">
        <f>'Rolling report'!CG180*'No Action'!$Y$6</f>
        <v>2.2000000000000002</v>
      </c>
      <c r="O180" s="17">
        <f>'Rolling report'!CH180*'No Action'!$Y$6</f>
        <v>5.28</v>
      </c>
      <c r="P180" s="17">
        <f>'Rolling report'!CI180*'No Action'!$Y$6</f>
        <v>0.88</v>
      </c>
      <c r="Q180" s="17">
        <f>'Rolling report'!CJ180*'No Action'!$Y$6</f>
        <v>0.88</v>
      </c>
      <c r="R180" s="17">
        <f>'Rolling report'!CK180*'No Action'!$Y$6</f>
        <v>0.88</v>
      </c>
      <c r="S180" s="17">
        <f>'Rolling report'!CL180*'No Action'!$Y$6</f>
        <v>0.88</v>
      </c>
      <c r="T180" s="17">
        <f>'Rolling report'!CM180*'No Action'!$Y$6</f>
        <v>3.08</v>
      </c>
      <c r="U180" s="17">
        <f>'Rolling report'!CN180*'No Action'!$Y$6</f>
        <v>0</v>
      </c>
      <c r="V180" s="17">
        <f>'Rolling report'!CO180*'No Action'!$Y$6</f>
        <v>0</v>
      </c>
      <c r="W180" s="17">
        <f>'Rolling report'!CP180*'No Action'!$Y$6</f>
        <v>0</v>
      </c>
      <c r="X180" s="17">
        <f>'Rolling report'!CQ180*'No Action'!$Y$6</f>
        <v>0.44</v>
      </c>
      <c r="Y180" s="17">
        <f>'Rolling report'!CR180*'No Action'!$Y$6</f>
        <v>1.76</v>
      </c>
      <c r="Z180" s="17">
        <f>'Rolling report'!CS180*'No Action'!$Y$6</f>
        <v>0.44</v>
      </c>
      <c r="AA180" s="17">
        <f>'Rolling report'!CT180*'No Action'!$Y$6</f>
        <v>1.32</v>
      </c>
      <c r="AB180" s="17">
        <f>'Rolling report'!CU180*'No Action'!$Y$6</f>
        <v>0</v>
      </c>
      <c r="AC180" s="17">
        <f>'Rolling report'!CV180*'No Action'!$Y$6</f>
        <v>0.88</v>
      </c>
      <c r="AD180" s="17">
        <f>'Rolling report'!CW180*'No Action'!$Y$6</f>
        <v>1.32</v>
      </c>
      <c r="AE180" s="17">
        <f>'Rolling report'!CX180*'No Action'!$Y$6</f>
        <v>3.08</v>
      </c>
      <c r="AF180" s="17">
        <f>'Rolling report'!CY180*'No Action'!$Y$6</f>
        <v>-54.56</v>
      </c>
      <c r="AG180" s="17">
        <f>'Rolling report'!CZ180*'No Action'!$Y$6</f>
        <v>0</v>
      </c>
      <c r="AH180" s="17">
        <f>'Rolling report'!DA180*'No Action'!$Y$6</f>
        <v>0</v>
      </c>
      <c r="AI180" s="17">
        <f>'Rolling report'!DB180*'No Action'!$Y$6</f>
        <v>0</v>
      </c>
      <c r="AJ180" s="17">
        <f>'Rolling report'!DC180*'No Action'!$Y$6</f>
        <v>0</v>
      </c>
      <c r="AK180" s="17">
        <f>'Rolling report'!DD180*'No Action'!$Y$6</f>
        <v>0</v>
      </c>
      <c r="AL180" s="17">
        <f>'Rolling report'!DE180*'No Action'!$Y$6</f>
        <v>0</v>
      </c>
      <c r="AM180" s="17">
        <f>'Rolling report'!DF180*'No Action'!$Y$6</f>
        <v>0</v>
      </c>
      <c r="AN180" s="17">
        <f>'Rolling report'!DG180*'No Action'!$Y$6</f>
        <v>0</v>
      </c>
      <c r="AO180" s="17">
        <f>'Rolling report'!DH180*'No Action'!$Y$6</f>
        <v>0</v>
      </c>
      <c r="AQ180" s="45"/>
    </row>
    <row r="181" spans="1:43" x14ac:dyDescent="0.25">
      <c r="A181" s="4" t="s">
        <v>401</v>
      </c>
      <c r="B181" s="6" t="s">
        <v>402</v>
      </c>
      <c r="I181" s="17">
        <f>'Rolling report'!CB181*'No Action'!$Y$6</f>
        <v>10.56</v>
      </c>
      <c r="J181" s="17">
        <f>'Rolling report'!CC181*'No Action'!$Y$6</f>
        <v>3.08</v>
      </c>
      <c r="K181" s="17">
        <f>'Rolling report'!CD181*'No Action'!$Y$6</f>
        <v>3.08</v>
      </c>
      <c r="L181" s="17">
        <f>'Rolling report'!CE181*'No Action'!$Y$6</f>
        <v>0.88</v>
      </c>
      <c r="M181" s="17">
        <f>'Rolling report'!CF181*'No Action'!$Y$6</f>
        <v>1.32</v>
      </c>
      <c r="N181" s="17">
        <f>'Rolling report'!CG181*'No Action'!$Y$6</f>
        <v>0.44</v>
      </c>
      <c r="O181" s="17">
        <f>'Rolling report'!CH181*'No Action'!$Y$6</f>
        <v>0</v>
      </c>
      <c r="P181" s="17">
        <f>'Rolling report'!CI181*'No Action'!$Y$6</f>
        <v>0</v>
      </c>
      <c r="Q181" s="17">
        <f>'Rolling report'!CJ181*'No Action'!$Y$6</f>
        <v>0.88</v>
      </c>
      <c r="R181" s="17">
        <f>'Rolling report'!CK181*'No Action'!$Y$6</f>
        <v>0.88</v>
      </c>
      <c r="S181" s="17">
        <f>'Rolling report'!CL181*'No Action'!$Y$6</f>
        <v>0</v>
      </c>
      <c r="T181" s="17">
        <f>'Rolling report'!CM181*'No Action'!$Y$6</f>
        <v>0</v>
      </c>
      <c r="U181" s="17">
        <f>'Rolling report'!CN181*'No Action'!$Y$6</f>
        <v>1.32</v>
      </c>
      <c r="V181" s="17">
        <f>'Rolling report'!CO181*'No Action'!$Y$6</f>
        <v>0</v>
      </c>
      <c r="W181" s="17">
        <f>'Rolling report'!CP181*'No Action'!$Y$6</f>
        <v>0</v>
      </c>
      <c r="X181" s="17">
        <f>'Rolling report'!CQ181*'No Action'!$Y$6</f>
        <v>0</v>
      </c>
      <c r="Y181" s="17">
        <f>'Rolling report'!CR181*'No Action'!$Y$6</f>
        <v>0</v>
      </c>
      <c r="Z181" s="17">
        <f>'Rolling report'!CS181*'No Action'!$Y$6</f>
        <v>0</v>
      </c>
      <c r="AA181" s="17">
        <f>'Rolling report'!CT181*'No Action'!$Y$6</f>
        <v>0</v>
      </c>
      <c r="AB181" s="17">
        <f>'Rolling report'!CU181*'No Action'!$Y$6</f>
        <v>1.76</v>
      </c>
      <c r="AC181" s="17">
        <f>'Rolling report'!CV181*'No Action'!$Y$6</f>
        <v>2.64</v>
      </c>
      <c r="AD181" s="17">
        <f>'Rolling report'!CW181*'No Action'!$Y$6</f>
        <v>0</v>
      </c>
      <c r="AE181" s="17">
        <f>'Rolling report'!CX181*'No Action'!$Y$6</f>
        <v>0.44</v>
      </c>
      <c r="AF181" s="17">
        <f>'Rolling report'!CY181*'No Action'!$Y$6</f>
        <v>-27.28</v>
      </c>
      <c r="AG181" s="17">
        <f>'Rolling report'!CZ181*'No Action'!$Y$6</f>
        <v>0</v>
      </c>
      <c r="AH181" s="17">
        <f>'Rolling report'!DA181*'No Action'!$Y$6</f>
        <v>0</v>
      </c>
      <c r="AI181" s="17">
        <f>'Rolling report'!DB181*'No Action'!$Y$6</f>
        <v>0</v>
      </c>
      <c r="AJ181" s="17">
        <f>'Rolling report'!DC181*'No Action'!$Y$6</f>
        <v>0</v>
      </c>
      <c r="AK181" s="17">
        <f>'Rolling report'!DD181*'No Action'!$Y$6</f>
        <v>0</v>
      </c>
      <c r="AL181" s="17">
        <f>'Rolling report'!DE181*'No Action'!$Y$6</f>
        <v>0</v>
      </c>
      <c r="AM181" s="17">
        <f>'Rolling report'!DF181*'No Action'!$Y$6</f>
        <v>0</v>
      </c>
      <c r="AN181" s="17">
        <f>'Rolling report'!DG181*'No Action'!$Y$6</f>
        <v>0</v>
      </c>
      <c r="AO181" s="17">
        <f>'Rolling report'!DH181*'No Action'!$Y$6</f>
        <v>0</v>
      </c>
      <c r="AQ181" s="45"/>
    </row>
    <row r="182" spans="1:43" x14ac:dyDescent="0.25">
      <c r="A182" s="4" t="s">
        <v>403</v>
      </c>
      <c r="B182" s="6" t="s">
        <v>404</v>
      </c>
      <c r="I182" s="17">
        <f>'Rolling report'!CB182*'No Action'!$Y$6</f>
        <v>6.6</v>
      </c>
      <c r="J182" s="17">
        <f>'Rolling report'!CC182*'No Action'!$Y$6</f>
        <v>2.2000000000000002</v>
      </c>
      <c r="K182" s="17">
        <f>'Rolling report'!CD182*'No Action'!$Y$6</f>
        <v>1.32</v>
      </c>
      <c r="L182" s="17">
        <f>'Rolling report'!CE182*'No Action'!$Y$6</f>
        <v>2.64</v>
      </c>
      <c r="M182" s="17">
        <f>'Rolling report'!CF182*'No Action'!$Y$6</f>
        <v>0</v>
      </c>
      <c r="N182" s="17">
        <f>'Rolling report'!CG182*'No Action'!$Y$6</f>
        <v>0</v>
      </c>
      <c r="O182" s="17">
        <f>'Rolling report'!CH182*'No Action'!$Y$6</f>
        <v>0.44</v>
      </c>
      <c r="P182" s="17">
        <f>'Rolling report'!CI182*'No Action'!$Y$6</f>
        <v>0.88</v>
      </c>
      <c r="Q182" s="17">
        <f>'Rolling report'!CJ182*'No Action'!$Y$6</f>
        <v>0</v>
      </c>
      <c r="R182" s="17">
        <f>'Rolling report'!CK182*'No Action'!$Y$6</f>
        <v>0.88</v>
      </c>
      <c r="S182" s="17">
        <f>'Rolling report'!CL182*'No Action'!$Y$6</f>
        <v>0</v>
      </c>
      <c r="T182" s="17">
        <f>'Rolling report'!CM182*'No Action'!$Y$6</f>
        <v>0.44</v>
      </c>
      <c r="U182" s="17">
        <f>'Rolling report'!CN182*'No Action'!$Y$6</f>
        <v>0.88</v>
      </c>
      <c r="V182" s="17">
        <f>'Rolling report'!CO182*'No Action'!$Y$6</f>
        <v>0</v>
      </c>
      <c r="W182" s="17">
        <f>'Rolling report'!CP182*'No Action'!$Y$6</f>
        <v>0</v>
      </c>
      <c r="X182" s="17">
        <f>'Rolling report'!CQ182*'No Action'!$Y$6</f>
        <v>0.88</v>
      </c>
      <c r="Y182" s="17">
        <f>'Rolling report'!CR182*'No Action'!$Y$6</f>
        <v>1.32</v>
      </c>
      <c r="Z182" s="17">
        <f>'Rolling report'!CS182*'No Action'!$Y$6</f>
        <v>0</v>
      </c>
      <c r="AA182" s="17">
        <f>'Rolling report'!CT182*'No Action'!$Y$6</f>
        <v>0</v>
      </c>
      <c r="AB182" s="17">
        <f>'Rolling report'!CU182*'No Action'!$Y$6</f>
        <v>0</v>
      </c>
      <c r="AC182" s="17">
        <f>'Rolling report'!CV182*'No Action'!$Y$6</f>
        <v>0</v>
      </c>
      <c r="AD182" s="17">
        <f>'Rolling report'!CW182*'No Action'!$Y$6</f>
        <v>0</v>
      </c>
      <c r="AE182" s="17">
        <f>'Rolling report'!CX182*'No Action'!$Y$6</f>
        <v>0</v>
      </c>
      <c r="AF182" s="17">
        <f>'Rolling report'!CY182*'No Action'!$Y$6</f>
        <v>-18.48</v>
      </c>
      <c r="AG182" s="17">
        <f>'Rolling report'!CZ182*'No Action'!$Y$6</f>
        <v>0</v>
      </c>
      <c r="AH182" s="17">
        <f>'Rolling report'!DA182*'No Action'!$Y$6</f>
        <v>0</v>
      </c>
      <c r="AI182" s="17">
        <f>'Rolling report'!DB182*'No Action'!$Y$6</f>
        <v>0</v>
      </c>
      <c r="AJ182" s="17">
        <f>'Rolling report'!DC182*'No Action'!$Y$6</f>
        <v>0</v>
      </c>
      <c r="AK182" s="17">
        <f>'Rolling report'!DD182*'No Action'!$Y$6</f>
        <v>0</v>
      </c>
      <c r="AL182" s="17">
        <f>'Rolling report'!DE182*'No Action'!$Y$6</f>
        <v>0</v>
      </c>
      <c r="AM182" s="17">
        <f>'Rolling report'!DF182*'No Action'!$Y$6</f>
        <v>0</v>
      </c>
      <c r="AN182" s="17">
        <f>'Rolling report'!DG182*'No Action'!$Y$6</f>
        <v>0</v>
      </c>
      <c r="AO182" s="17">
        <f>'Rolling report'!DH182*'No Action'!$Y$6</f>
        <v>0</v>
      </c>
      <c r="AQ182" s="45"/>
    </row>
    <row r="183" spans="1:43" x14ac:dyDescent="0.25">
      <c r="A183" s="4" t="s">
        <v>405</v>
      </c>
      <c r="B183" s="6" t="s">
        <v>406</v>
      </c>
      <c r="I183" s="17">
        <f>'Rolling report'!CB183*'No Action'!$Y$6</f>
        <v>9.68</v>
      </c>
      <c r="J183" s="17">
        <f>'Rolling report'!CC183*'No Action'!$Y$6</f>
        <v>1.76</v>
      </c>
      <c r="K183" s="17">
        <f>'Rolling report'!CD183*'No Action'!$Y$6</f>
        <v>0.44</v>
      </c>
      <c r="L183" s="17">
        <f>'Rolling report'!CE183*'No Action'!$Y$6</f>
        <v>0.88</v>
      </c>
      <c r="M183" s="17">
        <f>'Rolling report'!CF183*'No Action'!$Y$6</f>
        <v>1.76</v>
      </c>
      <c r="N183" s="17">
        <f>'Rolling report'!CG183*'No Action'!$Y$6</f>
        <v>0</v>
      </c>
      <c r="O183" s="17">
        <f>'Rolling report'!CH183*'No Action'!$Y$6</f>
        <v>3.52</v>
      </c>
      <c r="P183" s="17">
        <f>'Rolling report'!CI183*'No Action'!$Y$6</f>
        <v>0.44</v>
      </c>
      <c r="Q183" s="17">
        <f>'Rolling report'!CJ183*'No Action'!$Y$6</f>
        <v>0.44</v>
      </c>
      <c r="R183" s="17">
        <f>'Rolling report'!CK183*'No Action'!$Y$6</f>
        <v>0.88</v>
      </c>
      <c r="S183" s="17">
        <f>'Rolling report'!CL183*'No Action'!$Y$6</f>
        <v>0</v>
      </c>
      <c r="T183" s="17">
        <f>'Rolling report'!CM183*'No Action'!$Y$6</f>
        <v>0</v>
      </c>
      <c r="U183" s="17">
        <f>'Rolling report'!CN183*'No Action'!$Y$6</f>
        <v>0</v>
      </c>
      <c r="V183" s="17">
        <f>'Rolling report'!CO183*'No Action'!$Y$6</f>
        <v>3.52</v>
      </c>
      <c r="W183" s="17">
        <f>'Rolling report'!CP183*'No Action'!$Y$6</f>
        <v>0</v>
      </c>
      <c r="X183" s="17">
        <f>'Rolling report'!CQ183*'No Action'!$Y$6</f>
        <v>0</v>
      </c>
      <c r="Y183" s="17">
        <f>'Rolling report'!CR183*'No Action'!$Y$6</f>
        <v>0.88</v>
      </c>
      <c r="Z183" s="17">
        <f>'Rolling report'!CS183*'No Action'!$Y$6</f>
        <v>0</v>
      </c>
      <c r="AA183" s="17">
        <f>'Rolling report'!CT183*'No Action'!$Y$6</f>
        <v>0.44</v>
      </c>
      <c r="AB183" s="17">
        <f>'Rolling report'!CU183*'No Action'!$Y$6</f>
        <v>0</v>
      </c>
      <c r="AC183" s="17">
        <f>'Rolling report'!CV183*'No Action'!$Y$6</f>
        <v>1.32</v>
      </c>
      <c r="AD183" s="17">
        <f>'Rolling report'!CW183*'No Action'!$Y$6</f>
        <v>0.44</v>
      </c>
      <c r="AE183" s="17">
        <f>'Rolling report'!CX183*'No Action'!$Y$6</f>
        <v>0.88</v>
      </c>
      <c r="AF183" s="17">
        <f>'Rolling report'!CY183*'No Action'!$Y$6</f>
        <v>-27.28</v>
      </c>
      <c r="AG183" s="17">
        <f>'Rolling report'!CZ183*'No Action'!$Y$6</f>
        <v>0</v>
      </c>
      <c r="AH183" s="17">
        <f>'Rolling report'!DA183*'No Action'!$Y$6</f>
        <v>0</v>
      </c>
      <c r="AI183" s="17">
        <f>'Rolling report'!DB183*'No Action'!$Y$6</f>
        <v>0</v>
      </c>
      <c r="AJ183" s="17">
        <f>'Rolling report'!DC183*'No Action'!$Y$6</f>
        <v>0</v>
      </c>
      <c r="AK183" s="17">
        <f>'Rolling report'!DD183*'No Action'!$Y$6</f>
        <v>0</v>
      </c>
      <c r="AL183" s="17">
        <f>'Rolling report'!DE183*'No Action'!$Y$6</f>
        <v>0</v>
      </c>
      <c r="AM183" s="17">
        <f>'Rolling report'!DF183*'No Action'!$Y$6</f>
        <v>0</v>
      </c>
      <c r="AN183" s="17">
        <f>'Rolling report'!DG183*'No Action'!$Y$6</f>
        <v>0</v>
      </c>
      <c r="AO183" s="17">
        <f>'Rolling report'!DH183*'No Action'!$Y$6</f>
        <v>0</v>
      </c>
      <c r="AQ183" s="45"/>
    </row>
    <row r="184" spans="1:43" x14ac:dyDescent="0.25">
      <c r="A184" s="4" t="s">
        <v>407</v>
      </c>
      <c r="B184" s="6" t="s">
        <v>408</v>
      </c>
      <c r="I184" s="17">
        <f>'Rolling report'!CB184*'No Action'!$Y$6</f>
        <v>16.28</v>
      </c>
      <c r="J184" s="17">
        <f>'Rolling report'!CC184*'No Action'!$Y$6</f>
        <v>0.88</v>
      </c>
      <c r="K184" s="17">
        <f>'Rolling report'!CD184*'No Action'!$Y$6</f>
        <v>2.2000000000000002</v>
      </c>
      <c r="L184" s="17">
        <f>'Rolling report'!CE184*'No Action'!$Y$6</f>
        <v>0.44</v>
      </c>
      <c r="M184" s="17">
        <f>'Rolling report'!CF184*'No Action'!$Y$6</f>
        <v>1.32</v>
      </c>
      <c r="N184" s="17">
        <f>'Rolling report'!CG184*'No Action'!$Y$6</f>
        <v>0.44</v>
      </c>
      <c r="O184" s="17">
        <f>'Rolling report'!CH184*'No Action'!$Y$6</f>
        <v>0</v>
      </c>
      <c r="P184" s="17">
        <f>'Rolling report'!CI184*'No Action'!$Y$6</f>
        <v>0</v>
      </c>
      <c r="Q184" s="17">
        <f>'Rolling report'!CJ184*'No Action'!$Y$6</f>
        <v>0</v>
      </c>
      <c r="R184" s="17">
        <f>'Rolling report'!CK184*'No Action'!$Y$6</f>
        <v>1.32</v>
      </c>
      <c r="S184" s="17">
        <f>'Rolling report'!CL184*'No Action'!$Y$6</f>
        <v>1.76</v>
      </c>
      <c r="T184" s="17">
        <f>'Rolling report'!CM184*'No Action'!$Y$6</f>
        <v>0.44</v>
      </c>
      <c r="U184" s="17">
        <f>'Rolling report'!CN184*'No Action'!$Y$6</f>
        <v>1.32</v>
      </c>
      <c r="V184" s="17">
        <f>'Rolling report'!CO184*'No Action'!$Y$6</f>
        <v>0</v>
      </c>
      <c r="W184" s="17">
        <f>'Rolling report'!CP184*'No Action'!$Y$6</f>
        <v>0</v>
      </c>
      <c r="X184" s="17">
        <f>'Rolling report'!CQ184*'No Action'!$Y$6</f>
        <v>0.88</v>
      </c>
      <c r="Y184" s="17">
        <f>'Rolling report'!CR184*'No Action'!$Y$6</f>
        <v>1.32</v>
      </c>
      <c r="Z184" s="17">
        <f>'Rolling report'!CS184*'No Action'!$Y$6</f>
        <v>0</v>
      </c>
      <c r="AA184" s="17">
        <f>'Rolling report'!CT184*'No Action'!$Y$6</f>
        <v>0.88</v>
      </c>
      <c r="AB184" s="17">
        <f>'Rolling report'!CU184*'No Action'!$Y$6</f>
        <v>0</v>
      </c>
      <c r="AC184" s="17">
        <f>'Rolling report'!CV184*'No Action'!$Y$6</f>
        <v>1.76</v>
      </c>
      <c r="AD184" s="17">
        <f>'Rolling report'!CW184*'No Action'!$Y$6</f>
        <v>0</v>
      </c>
      <c r="AE184" s="17">
        <f>'Rolling report'!CX184*'No Action'!$Y$6</f>
        <v>1.32</v>
      </c>
      <c r="AF184" s="17">
        <f>'Rolling report'!CY184*'No Action'!$Y$6</f>
        <v>-32.56</v>
      </c>
      <c r="AG184" s="17">
        <f>'Rolling report'!CZ184*'No Action'!$Y$6</f>
        <v>0</v>
      </c>
      <c r="AH184" s="17">
        <f>'Rolling report'!DA184*'No Action'!$Y$6</f>
        <v>0</v>
      </c>
      <c r="AI184" s="17">
        <f>'Rolling report'!DB184*'No Action'!$Y$6</f>
        <v>0</v>
      </c>
      <c r="AJ184" s="17">
        <f>'Rolling report'!DC184*'No Action'!$Y$6</f>
        <v>0</v>
      </c>
      <c r="AK184" s="17">
        <f>'Rolling report'!DD184*'No Action'!$Y$6</f>
        <v>0</v>
      </c>
      <c r="AL184" s="17">
        <f>'Rolling report'!DE184*'No Action'!$Y$6</f>
        <v>0</v>
      </c>
      <c r="AM184" s="17">
        <f>'Rolling report'!DF184*'No Action'!$Y$6</f>
        <v>0</v>
      </c>
      <c r="AN184" s="17">
        <f>'Rolling report'!DG184*'No Action'!$Y$6</f>
        <v>0</v>
      </c>
      <c r="AO184" s="17">
        <f>'Rolling report'!DH184*'No Action'!$Y$6</f>
        <v>0</v>
      </c>
      <c r="AQ184" s="45"/>
    </row>
    <row r="185" spans="1:43" x14ac:dyDescent="0.25">
      <c r="A185" s="4" t="s">
        <v>409</v>
      </c>
      <c r="B185" s="6" t="s">
        <v>410</v>
      </c>
      <c r="I185" s="17">
        <f>'Rolling report'!CB185*'No Action'!$Y$6</f>
        <v>6.16</v>
      </c>
      <c r="J185" s="17">
        <f>'Rolling report'!CC185*'No Action'!$Y$6</f>
        <v>1.32</v>
      </c>
      <c r="K185" s="17">
        <f>'Rolling report'!CD185*'No Action'!$Y$6</f>
        <v>2.2000000000000002</v>
      </c>
      <c r="L185" s="17">
        <f>'Rolling report'!CE185*'No Action'!$Y$6</f>
        <v>0.88</v>
      </c>
      <c r="M185" s="17">
        <f>'Rolling report'!CF185*'No Action'!$Y$6</f>
        <v>0.88</v>
      </c>
      <c r="N185" s="17">
        <f>'Rolling report'!CG185*'No Action'!$Y$6</f>
        <v>-0.44</v>
      </c>
      <c r="O185" s="17">
        <f>'Rolling report'!CH185*'No Action'!$Y$6</f>
        <v>1.32</v>
      </c>
      <c r="P185" s="17">
        <f>'Rolling report'!CI185*'No Action'!$Y$6</f>
        <v>0.44</v>
      </c>
      <c r="Q185" s="17">
        <f>'Rolling report'!CJ185*'No Action'!$Y$6</f>
        <v>1.32</v>
      </c>
      <c r="R185" s="17">
        <f>'Rolling report'!CK185*'No Action'!$Y$6</f>
        <v>0</v>
      </c>
      <c r="S185" s="17">
        <f>'Rolling report'!CL185*'No Action'!$Y$6</f>
        <v>0.88</v>
      </c>
      <c r="T185" s="17">
        <f>'Rolling report'!CM185*'No Action'!$Y$6</f>
        <v>2.2000000000000002</v>
      </c>
      <c r="U185" s="17">
        <f>'Rolling report'!CN185*'No Action'!$Y$6</f>
        <v>0</v>
      </c>
      <c r="V185" s="17">
        <f>'Rolling report'!CO185*'No Action'!$Y$6</f>
        <v>0</v>
      </c>
      <c r="W185" s="17">
        <f>'Rolling report'!CP185*'No Action'!$Y$6</f>
        <v>0</v>
      </c>
      <c r="X185" s="17">
        <f>'Rolling report'!CQ185*'No Action'!$Y$6</f>
        <v>0</v>
      </c>
      <c r="Y185" s="17">
        <f>'Rolling report'!CR185*'No Action'!$Y$6</f>
        <v>0</v>
      </c>
      <c r="Z185" s="17">
        <f>'Rolling report'!CS185*'No Action'!$Y$6</f>
        <v>0</v>
      </c>
      <c r="AA185" s="17">
        <f>'Rolling report'!CT185*'No Action'!$Y$6</f>
        <v>0</v>
      </c>
      <c r="AB185" s="17">
        <f>'Rolling report'!CU185*'No Action'!$Y$6</f>
        <v>0</v>
      </c>
      <c r="AC185" s="17">
        <f>'Rolling report'!CV185*'No Action'!$Y$6</f>
        <v>0</v>
      </c>
      <c r="AD185" s="17">
        <f>'Rolling report'!CW185*'No Action'!$Y$6</f>
        <v>0</v>
      </c>
      <c r="AE185" s="17">
        <f>'Rolling report'!CX185*'No Action'!$Y$6</f>
        <v>0</v>
      </c>
      <c r="AF185" s="17">
        <f>'Rolling report'!CY185*'No Action'!$Y$6</f>
        <v>-17.16</v>
      </c>
      <c r="AG185" s="17">
        <f>'Rolling report'!CZ185*'No Action'!$Y$6</f>
        <v>0</v>
      </c>
      <c r="AH185" s="17">
        <f>'Rolling report'!DA185*'No Action'!$Y$6</f>
        <v>0</v>
      </c>
      <c r="AI185" s="17">
        <f>'Rolling report'!DB185*'No Action'!$Y$6</f>
        <v>0</v>
      </c>
      <c r="AJ185" s="17">
        <f>'Rolling report'!DC185*'No Action'!$Y$6</f>
        <v>0</v>
      </c>
      <c r="AK185" s="17">
        <f>'Rolling report'!DD185*'No Action'!$Y$6</f>
        <v>0</v>
      </c>
      <c r="AL185" s="17">
        <f>'Rolling report'!DE185*'No Action'!$Y$6</f>
        <v>0</v>
      </c>
      <c r="AM185" s="17">
        <f>'Rolling report'!DF185*'No Action'!$Y$6</f>
        <v>0</v>
      </c>
      <c r="AN185" s="17">
        <f>'Rolling report'!DG185*'No Action'!$Y$6</f>
        <v>0</v>
      </c>
      <c r="AO185" s="17">
        <f>'Rolling report'!DH185*'No Action'!$Y$6</f>
        <v>0</v>
      </c>
      <c r="AQ185" s="45"/>
    </row>
    <row r="186" spans="1:43" x14ac:dyDescent="0.25">
      <c r="A186" s="4" t="s">
        <v>411</v>
      </c>
      <c r="B186" s="6" t="s">
        <v>412</v>
      </c>
      <c r="I186" s="17">
        <f>'Rolling report'!CB186*'No Action'!$Y$6</f>
        <v>7.92</v>
      </c>
      <c r="J186" s="17">
        <f>'Rolling report'!CC186*'No Action'!$Y$6</f>
        <v>4.84</v>
      </c>
      <c r="K186" s="17">
        <f>'Rolling report'!CD186*'No Action'!$Y$6</f>
        <v>1.32</v>
      </c>
      <c r="L186" s="17">
        <f>'Rolling report'!CE186*'No Action'!$Y$6</f>
        <v>0.88</v>
      </c>
      <c r="M186" s="17">
        <f>'Rolling report'!CF186*'No Action'!$Y$6</f>
        <v>0.44</v>
      </c>
      <c r="N186" s="17">
        <f>'Rolling report'!CG186*'No Action'!$Y$6</f>
        <v>1.32</v>
      </c>
      <c r="O186" s="17">
        <f>'Rolling report'!CH186*'No Action'!$Y$6</f>
        <v>1.76</v>
      </c>
      <c r="P186" s="17">
        <f>'Rolling report'!CI186*'No Action'!$Y$6</f>
        <v>0</v>
      </c>
      <c r="Q186" s="17">
        <f>'Rolling report'!CJ186*'No Action'!$Y$6</f>
        <v>1.76</v>
      </c>
      <c r="R186" s="17">
        <f>'Rolling report'!CK186*'No Action'!$Y$6</f>
        <v>0</v>
      </c>
      <c r="S186" s="17">
        <f>'Rolling report'!CL186*'No Action'!$Y$6</f>
        <v>0.88</v>
      </c>
      <c r="T186" s="17">
        <f>'Rolling report'!CM186*'No Action'!$Y$6</f>
        <v>1.76</v>
      </c>
      <c r="U186" s="17">
        <f>'Rolling report'!CN186*'No Action'!$Y$6</f>
        <v>0.44</v>
      </c>
      <c r="V186" s="17">
        <f>'Rolling report'!CO186*'No Action'!$Y$6</f>
        <v>0</v>
      </c>
      <c r="W186" s="17">
        <f>'Rolling report'!CP186*'No Action'!$Y$6</f>
        <v>0</v>
      </c>
      <c r="X186" s="17">
        <f>'Rolling report'!CQ186*'No Action'!$Y$6</f>
        <v>0.44</v>
      </c>
      <c r="Y186" s="17">
        <f>'Rolling report'!CR186*'No Action'!$Y$6</f>
        <v>0</v>
      </c>
      <c r="Z186" s="17">
        <f>'Rolling report'!CS186*'No Action'!$Y$6</f>
        <v>0</v>
      </c>
      <c r="AA186" s="17">
        <f>'Rolling report'!CT186*'No Action'!$Y$6</f>
        <v>0</v>
      </c>
      <c r="AB186" s="17">
        <f>'Rolling report'!CU186*'No Action'!$Y$6</f>
        <v>0</v>
      </c>
      <c r="AC186" s="17">
        <f>'Rolling report'!CV186*'No Action'!$Y$6</f>
        <v>1.32</v>
      </c>
      <c r="AD186" s="17">
        <f>'Rolling report'!CW186*'No Action'!$Y$6</f>
        <v>0</v>
      </c>
      <c r="AE186" s="17">
        <f>'Rolling report'!CX186*'No Action'!$Y$6</f>
        <v>0</v>
      </c>
      <c r="AF186" s="17">
        <f>'Rolling report'!CY186*'No Action'!$Y$6</f>
        <v>-25.080000000000002</v>
      </c>
      <c r="AG186" s="17">
        <f>'Rolling report'!CZ186*'No Action'!$Y$6</f>
        <v>0</v>
      </c>
      <c r="AH186" s="17">
        <f>'Rolling report'!DA186*'No Action'!$Y$6</f>
        <v>0</v>
      </c>
      <c r="AI186" s="17">
        <f>'Rolling report'!DB186*'No Action'!$Y$6</f>
        <v>0</v>
      </c>
      <c r="AJ186" s="17">
        <f>'Rolling report'!DC186*'No Action'!$Y$6</f>
        <v>0</v>
      </c>
      <c r="AK186" s="17">
        <f>'Rolling report'!DD186*'No Action'!$Y$6</f>
        <v>0</v>
      </c>
      <c r="AL186" s="17">
        <f>'Rolling report'!DE186*'No Action'!$Y$6</f>
        <v>0</v>
      </c>
      <c r="AM186" s="17">
        <f>'Rolling report'!DF186*'No Action'!$Y$6</f>
        <v>0</v>
      </c>
      <c r="AN186" s="17">
        <f>'Rolling report'!DG186*'No Action'!$Y$6</f>
        <v>0</v>
      </c>
      <c r="AO186" s="17">
        <f>'Rolling report'!DH186*'No Action'!$Y$6</f>
        <v>0</v>
      </c>
      <c r="AQ186" s="45"/>
    </row>
    <row r="187" spans="1:43" x14ac:dyDescent="0.25">
      <c r="A187" s="4" t="s">
        <v>413</v>
      </c>
      <c r="B187" s="6" t="s">
        <v>414</v>
      </c>
      <c r="I187" s="17">
        <f>'Rolling report'!CB187*'No Action'!$Y$6</f>
        <v>51.92</v>
      </c>
      <c r="J187" s="17">
        <f>'Rolling report'!CC187*'No Action'!$Y$6</f>
        <v>8.36</v>
      </c>
      <c r="K187" s="17">
        <f>'Rolling report'!CD187*'No Action'!$Y$6</f>
        <v>8.8000000000000007</v>
      </c>
      <c r="L187" s="17">
        <f>'Rolling report'!CE187*'No Action'!$Y$6</f>
        <v>4.84</v>
      </c>
      <c r="M187" s="17">
        <f>'Rolling report'!CF187*'No Action'!$Y$6</f>
        <v>4.4000000000000004</v>
      </c>
      <c r="N187" s="17">
        <f>'Rolling report'!CG187*'No Action'!$Y$6</f>
        <v>3.08</v>
      </c>
      <c r="O187" s="17">
        <f>'Rolling report'!CH187*'No Action'!$Y$6</f>
        <v>7.04</v>
      </c>
      <c r="P187" s="17">
        <f>'Rolling report'!CI187*'No Action'!$Y$6</f>
        <v>9.68</v>
      </c>
      <c r="Q187" s="17">
        <f>'Rolling report'!CJ187*'No Action'!$Y$6</f>
        <v>6.6</v>
      </c>
      <c r="R187" s="17">
        <f>'Rolling report'!CK187*'No Action'!$Y$6</f>
        <v>7.48</v>
      </c>
      <c r="S187" s="17">
        <f>'Rolling report'!CL187*'No Action'!$Y$6</f>
        <v>2.2000000000000002</v>
      </c>
      <c r="T187" s="17">
        <f>'Rolling report'!CM187*'No Action'!$Y$6</f>
        <v>7.04</v>
      </c>
      <c r="U187" s="17">
        <f>'Rolling report'!CN187*'No Action'!$Y$6</f>
        <v>1.76</v>
      </c>
      <c r="V187" s="17">
        <f>'Rolling report'!CO187*'No Action'!$Y$6</f>
        <v>3.08</v>
      </c>
      <c r="W187" s="17">
        <f>'Rolling report'!CP187*'No Action'!$Y$6</f>
        <v>0.88</v>
      </c>
      <c r="X187" s="17">
        <f>'Rolling report'!CQ187*'No Action'!$Y$6</f>
        <v>1.32</v>
      </c>
      <c r="Y187" s="17">
        <f>'Rolling report'!CR187*'No Action'!$Y$6</f>
        <v>1.76</v>
      </c>
      <c r="Z187" s="17">
        <f>'Rolling report'!CS187*'No Action'!$Y$6</f>
        <v>4.84</v>
      </c>
      <c r="AA187" s="17">
        <f>'Rolling report'!CT187*'No Action'!$Y$6</f>
        <v>2.2000000000000002</v>
      </c>
      <c r="AB187" s="17">
        <f>'Rolling report'!CU187*'No Action'!$Y$6</f>
        <v>2.64</v>
      </c>
      <c r="AC187" s="17">
        <f>'Rolling report'!CV187*'No Action'!$Y$6</f>
        <v>0.88</v>
      </c>
      <c r="AD187" s="17">
        <f>'Rolling report'!CW187*'No Action'!$Y$6</f>
        <v>1.32</v>
      </c>
      <c r="AE187" s="17">
        <f>'Rolling report'!CX187*'No Action'!$Y$6</f>
        <v>2.64</v>
      </c>
      <c r="AF187" s="17">
        <f>'Rolling report'!CY187*'No Action'!$Y$6</f>
        <v>-144.76</v>
      </c>
      <c r="AG187" s="17">
        <f>'Rolling report'!CZ187*'No Action'!$Y$6</f>
        <v>0</v>
      </c>
      <c r="AH187" s="17">
        <f>'Rolling report'!DA187*'No Action'!$Y$6</f>
        <v>0</v>
      </c>
      <c r="AI187" s="17">
        <f>'Rolling report'!DB187*'No Action'!$Y$6</f>
        <v>0</v>
      </c>
      <c r="AJ187" s="17">
        <f>'Rolling report'!DC187*'No Action'!$Y$6</f>
        <v>0</v>
      </c>
      <c r="AK187" s="17">
        <f>'Rolling report'!DD187*'No Action'!$Y$6</f>
        <v>0</v>
      </c>
      <c r="AL187" s="17">
        <f>'Rolling report'!DE187*'No Action'!$Y$6</f>
        <v>0</v>
      </c>
      <c r="AM187" s="17">
        <f>'Rolling report'!DF187*'No Action'!$Y$6</f>
        <v>0</v>
      </c>
      <c r="AN187" s="17">
        <f>'Rolling report'!DG187*'No Action'!$Y$6</f>
        <v>0</v>
      </c>
      <c r="AO187" s="17">
        <f>'Rolling report'!DH187*'No Action'!$Y$6</f>
        <v>0</v>
      </c>
      <c r="AQ187" s="45"/>
    </row>
    <row r="188" spans="1:43" x14ac:dyDescent="0.25">
      <c r="A188" s="4" t="s">
        <v>415</v>
      </c>
      <c r="B188" s="6" t="s">
        <v>416</v>
      </c>
      <c r="I188" s="17">
        <f>'Rolling report'!CB188*'No Action'!$Y$6</f>
        <v>38.72</v>
      </c>
      <c r="J188" s="17">
        <f>'Rolling report'!CC188*'No Action'!$Y$6</f>
        <v>2.64</v>
      </c>
      <c r="K188" s="17">
        <f>'Rolling report'!CD188*'No Action'!$Y$6</f>
        <v>6.6</v>
      </c>
      <c r="L188" s="17">
        <f>'Rolling report'!CE188*'No Action'!$Y$6</f>
        <v>4.4000000000000004</v>
      </c>
      <c r="M188" s="17">
        <f>'Rolling report'!CF188*'No Action'!$Y$6</f>
        <v>3.08</v>
      </c>
      <c r="N188" s="17">
        <f>'Rolling report'!CG188*'No Action'!$Y$6</f>
        <v>3.96</v>
      </c>
      <c r="O188" s="17">
        <f>'Rolling report'!CH188*'No Action'!$Y$6</f>
        <v>9.24</v>
      </c>
      <c r="P188" s="17">
        <f>'Rolling report'!CI188*'No Action'!$Y$6</f>
        <v>3.08</v>
      </c>
      <c r="Q188" s="17">
        <f>'Rolling report'!CJ188*'No Action'!$Y$6</f>
        <v>3.08</v>
      </c>
      <c r="R188" s="17">
        <f>'Rolling report'!CK188*'No Action'!$Y$6</f>
        <v>7.92</v>
      </c>
      <c r="S188" s="17">
        <f>'Rolling report'!CL188*'No Action'!$Y$6</f>
        <v>1.76</v>
      </c>
      <c r="T188" s="17">
        <f>'Rolling report'!CM188*'No Action'!$Y$6</f>
        <v>4.84</v>
      </c>
      <c r="U188" s="17">
        <f>'Rolling report'!CN188*'No Action'!$Y$6</f>
        <v>2.2000000000000002</v>
      </c>
      <c r="V188" s="17">
        <f>'Rolling report'!CO188*'No Action'!$Y$6</f>
        <v>2.2000000000000002</v>
      </c>
      <c r="W188" s="17">
        <f>'Rolling report'!CP188*'No Action'!$Y$6</f>
        <v>0.44</v>
      </c>
      <c r="X188" s="17">
        <f>'Rolling report'!CQ188*'No Action'!$Y$6</f>
        <v>0</v>
      </c>
      <c r="Y188" s="17">
        <f>'Rolling report'!CR188*'No Action'!$Y$6</f>
        <v>3.52</v>
      </c>
      <c r="Z188" s="17">
        <f>'Rolling report'!CS188*'No Action'!$Y$6</f>
        <v>2.2000000000000002</v>
      </c>
      <c r="AA188" s="17">
        <f>'Rolling report'!CT188*'No Action'!$Y$6</f>
        <v>2.64</v>
      </c>
      <c r="AB188" s="17">
        <f>'Rolling report'!CU188*'No Action'!$Y$6</f>
        <v>3.08</v>
      </c>
      <c r="AC188" s="17">
        <f>'Rolling report'!CV188*'No Action'!$Y$6</f>
        <v>2.2000000000000002</v>
      </c>
      <c r="AD188" s="17">
        <f>'Rolling report'!CW188*'No Action'!$Y$6</f>
        <v>1.76</v>
      </c>
      <c r="AE188" s="17">
        <f>'Rolling report'!CX188*'No Action'!$Y$6</f>
        <v>-0.88</v>
      </c>
      <c r="AF188" s="17">
        <f>'Rolling report'!CY188*'No Action'!$Y$6</f>
        <v>-108.68</v>
      </c>
      <c r="AG188" s="17">
        <f>'Rolling report'!CZ188*'No Action'!$Y$6</f>
        <v>0</v>
      </c>
      <c r="AH188" s="17">
        <f>'Rolling report'!DA188*'No Action'!$Y$6</f>
        <v>0</v>
      </c>
      <c r="AI188" s="17">
        <f>'Rolling report'!DB188*'No Action'!$Y$6</f>
        <v>0</v>
      </c>
      <c r="AJ188" s="17">
        <f>'Rolling report'!DC188*'No Action'!$Y$6</f>
        <v>0</v>
      </c>
      <c r="AK188" s="17">
        <f>'Rolling report'!DD188*'No Action'!$Y$6</f>
        <v>0</v>
      </c>
      <c r="AL188" s="17">
        <f>'Rolling report'!DE188*'No Action'!$Y$6</f>
        <v>0</v>
      </c>
      <c r="AM188" s="17">
        <f>'Rolling report'!DF188*'No Action'!$Y$6</f>
        <v>0</v>
      </c>
      <c r="AN188" s="17">
        <f>'Rolling report'!DG188*'No Action'!$Y$6</f>
        <v>0</v>
      </c>
      <c r="AO188" s="17">
        <f>'Rolling report'!DH188*'No Action'!$Y$6</f>
        <v>0</v>
      </c>
      <c r="AQ188" s="45"/>
    </row>
    <row r="189" spans="1:43" x14ac:dyDescent="0.25">
      <c r="A189" s="4" t="s">
        <v>417</v>
      </c>
      <c r="B189" s="6" t="s">
        <v>418</v>
      </c>
      <c r="I189" s="17">
        <f>'Rolling report'!CB189*'No Action'!$Y$6</f>
        <v>29.92</v>
      </c>
      <c r="J189" s="17">
        <f>'Rolling report'!CC189*'No Action'!$Y$6</f>
        <v>4.84</v>
      </c>
      <c r="K189" s="17">
        <f>'Rolling report'!CD189*'No Action'!$Y$6</f>
        <v>2.2000000000000002</v>
      </c>
      <c r="L189" s="17">
        <f>'Rolling report'!CE189*'No Action'!$Y$6</f>
        <v>3.52</v>
      </c>
      <c r="M189" s="17">
        <f>'Rolling report'!CF189*'No Action'!$Y$6</f>
        <v>7.48</v>
      </c>
      <c r="N189" s="17">
        <f>'Rolling report'!CG189*'No Action'!$Y$6</f>
        <v>6.16</v>
      </c>
      <c r="O189" s="17">
        <f>'Rolling report'!CH189*'No Action'!$Y$6</f>
        <v>3.96</v>
      </c>
      <c r="P189" s="17">
        <f>'Rolling report'!CI189*'No Action'!$Y$6</f>
        <v>0</v>
      </c>
      <c r="Q189" s="17">
        <f>'Rolling report'!CJ189*'No Action'!$Y$6</f>
        <v>7.48</v>
      </c>
      <c r="R189" s="17">
        <f>'Rolling report'!CK189*'No Action'!$Y$6</f>
        <v>7.04</v>
      </c>
      <c r="S189" s="17">
        <f>'Rolling report'!CL189*'No Action'!$Y$6</f>
        <v>5.72</v>
      </c>
      <c r="T189" s="17">
        <f>'Rolling report'!CM189*'No Action'!$Y$6</f>
        <v>3.52</v>
      </c>
      <c r="U189" s="17">
        <f>'Rolling report'!CN189*'No Action'!$Y$6</f>
        <v>3.08</v>
      </c>
      <c r="V189" s="17">
        <f>'Rolling report'!CO189*'No Action'!$Y$6</f>
        <v>1.76</v>
      </c>
      <c r="W189" s="17">
        <f>'Rolling report'!CP189*'No Action'!$Y$6</f>
        <v>0.88</v>
      </c>
      <c r="X189" s="17">
        <f>'Rolling report'!CQ189*'No Action'!$Y$6</f>
        <v>0.88</v>
      </c>
      <c r="Y189" s="17">
        <f>'Rolling report'!CR189*'No Action'!$Y$6</f>
        <v>1.32</v>
      </c>
      <c r="Z189" s="17">
        <f>'Rolling report'!CS189*'No Action'!$Y$6</f>
        <v>2.64</v>
      </c>
      <c r="AA189" s="17">
        <f>'Rolling report'!CT189*'No Action'!$Y$6</f>
        <v>2.64</v>
      </c>
      <c r="AB189" s="17">
        <f>'Rolling report'!CU189*'No Action'!$Y$6</f>
        <v>2.64</v>
      </c>
      <c r="AC189" s="17">
        <f>'Rolling report'!CV189*'No Action'!$Y$6</f>
        <v>2.64</v>
      </c>
      <c r="AD189" s="17">
        <f>'Rolling report'!CW189*'No Action'!$Y$6</f>
        <v>-0.88</v>
      </c>
      <c r="AE189" s="17">
        <f>'Rolling report'!CX189*'No Action'!$Y$6</f>
        <v>0.44</v>
      </c>
      <c r="AF189" s="17">
        <f>'Rolling report'!CY189*'No Action'!$Y$6</f>
        <v>-99.88</v>
      </c>
      <c r="AG189" s="17">
        <f>'Rolling report'!CZ189*'No Action'!$Y$6</f>
        <v>0</v>
      </c>
      <c r="AH189" s="17">
        <f>'Rolling report'!DA189*'No Action'!$Y$6</f>
        <v>0</v>
      </c>
      <c r="AI189" s="17">
        <f>'Rolling report'!DB189*'No Action'!$Y$6</f>
        <v>0</v>
      </c>
      <c r="AJ189" s="17">
        <f>'Rolling report'!DC189*'No Action'!$Y$6</f>
        <v>0</v>
      </c>
      <c r="AK189" s="17">
        <f>'Rolling report'!DD189*'No Action'!$Y$6</f>
        <v>0</v>
      </c>
      <c r="AL189" s="17">
        <f>'Rolling report'!DE189*'No Action'!$Y$6</f>
        <v>0</v>
      </c>
      <c r="AM189" s="17">
        <f>'Rolling report'!DF189*'No Action'!$Y$6</f>
        <v>0</v>
      </c>
      <c r="AN189" s="17">
        <f>'Rolling report'!DG189*'No Action'!$Y$6</f>
        <v>0</v>
      </c>
      <c r="AO189" s="17">
        <f>'Rolling report'!DH189*'No Action'!$Y$6</f>
        <v>0</v>
      </c>
      <c r="AQ189" s="45"/>
    </row>
    <row r="190" spans="1:43" x14ac:dyDescent="0.25">
      <c r="A190" s="4" t="s">
        <v>419</v>
      </c>
      <c r="B190" s="6" t="s">
        <v>420</v>
      </c>
      <c r="I190" s="17">
        <f>'Rolling report'!CB190*'No Action'!$Y$6</f>
        <v>4.4000000000000004</v>
      </c>
      <c r="J190" s="17">
        <f>'Rolling report'!CC190*'No Action'!$Y$6</f>
        <v>1.76</v>
      </c>
      <c r="K190" s="17">
        <f>'Rolling report'!CD190*'No Action'!$Y$6</f>
        <v>0</v>
      </c>
      <c r="L190" s="17">
        <f>'Rolling report'!CE190*'No Action'!$Y$6</f>
        <v>2.64</v>
      </c>
      <c r="M190" s="17">
        <f>'Rolling report'!CF190*'No Action'!$Y$6</f>
        <v>0.44</v>
      </c>
      <c r="N190" s="17">
        <f>'Rolling report'!CG190*'No Action'!$Y$6</f>
        <v>0.44</v>
      </c>
      <c r="O190" s="17">
        <f>'Rolling report'!CH190*'No Action'!$Y$6</f>
        <v>1.32</v>
      </c>
      <c r="P190" s="17">
        <f>'Rolling report'!CI190*'No Action'!$Y$6</f>
        <v>0</v>
      </c>
      <c r="Q190" s="17">
        <f>'Rolling report'!CJ190*'No Action'!$Y$6</f>
        <v>1.32</v>
      </c>
      <c r="R190" s="17">
        <f>'Rolling report'!CK190*'No Action'!$Y$6</f>
        <v>0.44</v>
      </c>
      <c r="S190" s="17">
        <f>'Rolling report'!CL190*'No Action'!$Y$6</f>
        <v>0.44</v>
      </c>
      <c r="T190" s="17">
        <f>'Rolling report'!CM190*'No Action'!$Y$6</f>
        <v>0</v>
      </c>
      <c r="U190" s="17">
        <f>'Rolling report'!CN190*'No Action'!$Y$6</f>
        <v>0.44</v>
      </c>
      <c r="V190" s="17">
        <f>'Rolling report'!CO190*'No Action'!$Y$6</f>
        <v>1.32</v>
      </c>
      <c r="W190" s="17">
        <f>'Rolling report'!CP190*'No Action'!$Y$6</f>
        <v>0</v>
      </c>
      <c r="X190" s="17">
        <f>'Rolling report'!CQ190*'No Action'!$Y$6</f>
        <v>0</v>
      </c>
      <c r="Y190" s="17">
        <f>'Rolling report'!CR190*'No Action'!$Y$6</f>
        <v>0</v>
      </c>
      <c r="Z190" s="17">
        <f>'Rolling report'!CS190*'No Action'!$Y$6</f>
        <v>2.2000000000000002</v>
      </c>
      <c r="AA190" s="17">
        <f>'Rolling report'!CT190*'No Action'!$Y$6</f>
        <v>0</v>
      </c>
      <c r="AB190" s="17">
        <f>'Rolling report'!CU190*'No Action'!$Y$6</f>
        <v>0</v>
      </c>
      <c r="AC190" s="17">
        <f>'Rolling report'!CV190*'No Action'!$Y$6</f>
        <v>0</v>
      </c>
      <c r="AD190" s="17">
        <f>'Rolling report'!CW190*'No Action'!$Y$6</f>
        <v>0</v>
      </c>
      <c r="AE190" s="17">
        <f>'Rolling report'!CX190*'No Action'!$Y$6</f>
        <v>0</v>
      </c>
      <c r="AF190" s="17">
        <f>'Rolling report'!CY190*'No Action'!$Y$6</f>
        <v>-17.16</v>
      </c>
      <c r="AG190" s="17">
        <f>'Rolling report'!CZ190*'No Action'!$Y$6</f>
        <v>0</v>
      </c>
      <c r="AH190" s="17">
        <f>'Rolling report'!DA190*'No Action'!$Y$6</f>
        <v>0</v>
      </c>
      <c r="AI190" s="17">
        <f>'Rolling report'!DB190*'No Action'!$Y$6</f>
        <v>0</v>
      </c>
      <c r="AJ190" s="17">
        <f>'Rolling report'!DC190*'No Action'!$Y$6</f>
        <v>0</v>
      </c>
      <c r="AK190" s="17">
        <f>'Rolling report'!DD190*'No Action'!$Y$6</f>
        <v>0</v>
      </c>
      <c r="AL190" s="17">
        <f>'Rolling report'!DE190*'No Action'!$Y$6</f>
        <v>0</v>
      </c>
      <c r="AM190" s="17">
        <f>'Rolling report'!DF190*'No Action'!$Y$6</f>
        <v>0</v>
      </c>
      <c r="AN190" s="17">
        <f>'Rolling report'!DG190*'No Action'!$Y$6</f>
        <v>0</v>
      </c>
      <c r="AO190" s="17">
        <f>'Rolling report'!DH190*'No Action'!$Y$6</f>
        <v>0</v>
      </c>
      <c r="AQ190" s="45"/>
    </row>
    <row r="191" spans="1:43" x14ac:dyDescent="0.25">
      <c r="A191" s="4" t="s">
        <v>421</v>
      </c>
      <c r="B191" s="6" t="s">
        <v>422</v>
      </c>
      <c r="I191" s="17">
        <f>'Rolling report'!CB191*'No Action'!$Y$6</f>
        <v>9.24</v>
      </c>
      <c r="J191" s="17">
        <f>'Rolling report'!CC191*'No Action'!$Y$6</f>
        <v>1.76</v>
      </c>
      <c r="K191" s="17">
        <f>'Rolling report'!CD191*'No Action'!$Y$6</f>
        <v>1.76</v>
      </c>
      <c r="L191" s="17">
        <f>'Rolling report'!CE191*'No Action'!$Y$6</f>
        <v>0.44</v>
      </c>
      <c r="M191" s="17">
        <f>'Rolling report'!CF191*'No Action'!$Y$6</f>
        <v>0.88</v>
      </c>
      <c r="N191" s="17">
        <f>'Rolling report'!CG191*'No Action'!$Y$6</f>
        <v>0.88</v>
      </c>
      <c r="O191" s="17">
        <f>'Rolling report'!CH191*'No Action'!$Y$6</f>
        <v>1.76</v>
      </c>
      <c r="P191" s="17">
        <f>'Rolling report'!CI191*'No Action'!$Y$6</f>
        <v>0</v>
      </c>
      <c r="Q191" s="17">
        <f>'Rolling report'!CJ191*'No Action'!$Y$6</f>
        <v>1.32</v>
      </c>
      <c r="R191" s="17">
        <f>'Rolling report'!CK191*'No Action'!$Y$6</f>
        <v>0.88</v>
      </c>
      <c r="S191" s="17">
        <f>'Rolling report'!CL191*'No Action'!$Y$6</f>
        <v>0.88</v>
      </c>
      <c r="T191" s="17">
        <f>'Rolling report'!CM191*'No Action'!$Y$6</f>
        <v>0.44</v>
      </c>
      <c r="U191" s="17">
        <f>'Rolling report'!CN191*'No Action'!$Y$6</f>
        <v>0</v>
      </c>
      <c r="V191" s="17">
        <f>'Rolling report'!CO191*'No Action'!$Y$6</f>
        <v>0</v>
      </c>
      <c r="W191" s="17">
        <f>'Rolling report'!CP191*'No Action'!$Y$6</f>
        <v>0</v>
      </c>
      <c r="X191" s="17">
        <f>'Rolling report'!CQ191*'No Action'!$Y$6</f>
        <v>1.32</v>
      </c>
      <c r="Y191" s="17">
        <f>'Rolling report'!CR191*'No Action'!$Y$6</f>
        <v>0.44</v>
      </c>
      <c r="Z191" s="17">
        <f>'Rolling report'!CS191*'No Action'!$Y$6</f>
        <v>0.44</v>
      </c>
      <c r="AA191" s="17">
        <f>'Rolling report'!CT191*'No Action'!$Y$6</f>
        <v>0</v>
      </c>
      <c r="AB191" s="17">
        <f>'Rolling report'!CU191*'No Action'!$Y$6</f>
        <v>0</v>
      </c>
      <c r="AC191" s="17">
        <f>'Rolling report'!CV191*'No Action'!$Y$6</f>
        <v>0.88</v>
      </c>
      <c r="AD191" s="17">
        <f>'Rolling report'!CW191*'No Action'!$Y$6</f>
        <v>0.44</v>
      </c>
      <c r="AE191" s="17">
        <f>'Rolling report'!CX191*'No Action'!$Y$6</f>
        <v>0.44</v>
      </c>
      <c r="AF191" s="17">
        <f>'Rolling report'!CY191*'No Action'!$Y$6</f>
        <v>-24.2</v>
      </c>
      <c r="AG191" s="17">
        <f>'Rolling report'!CZ191*'No Action'!$Y$6</f>
        <v>0</v>
      </c>
      <c r="AH191" s="17">
        <f>'Rolling report'!DA191*'No Action'!$Y$6</f>
        <v>0</v>
      </c>
      <c r="AI191" s="17">
        <f>'Rolling report'!DB191*'No Action'!$Y$6</f>
        <v>0</v>
      </c>
      <c r="AJ191" s="17">
        <f>'Rolling report'!DC191*'No Action'!$Y$6</f>
        <v>0</v>
      </c>
      <c r="AK191" s="17">
        <f>'Rolling report'!DD191*'No Action'!$Y$6</f>
        <v>0</v>
      </c>
      <c r="AL191" s="17">
        <f>'Rolling report'!DE191*'No Action'!$Y$6</f>
        <v>0</v>
      </c>
      <c r="AM191" s="17">
        <f>'Rolling report'!DF191*'No Action'!$Y$6</f>
        <v>0</v>
      </c>
      <c r="AN191" s="17">
        <f>'Rolling report'!DG191*'No Action'!$Y$6</f>
        <v>0</v>
      </c>
      <c r="AO191" s="17">
        <f>'Rolling report'!DH191*'No Action'!$Y$6</f>
        <v>0</v>
      </c>
      <c r="AQ191" s="45"/>
    </row>
    <row r="192" spans="1:43" x14ac:dyDescent="0.25">
      <c r="A192" s="4" t="s">
        <v>423</v>
      </c>
      <c r="B192" s="6" t="s">
        <v>424</v>
      </c>
      <c r="I192" s="17">
        <f>'Rolling report'!CB192*'No Action'!$Y$6</f>
        <v>12.76</v>
      </c>
      <c r="J192" s="17">
        <f>'Rolling report'!CC192*'No Action'!$Y$6</f>
        <v>1.76</v>
      </c>
      <c r="K192" s="17">
        <f>'Rolling report'!CD192*'No Action'!$Y$6</f>
        <v>1.32</v>
      </c>
      <c r="L192" s="17">
        <f>'Rolling report'!CE192*'No Action'!$Y$6</f>
        <v>0.44</v>
      </c>
      <c r="M192" s="17">
        <f>'Rolling report'!CF192*'No Action'!$Y$6</f>
        <v>1.32</v>
      </c>
      <c r="N192" s="17">
        <f>'Rolling report'!CG192*'No Action'!$Y$6</f>
        <v>0</v>
      </c>
      <c r="O192" s="17">
        <f>'Rolling report'!CH192*'No Action'!$Y$6</f>
        <v>-0.44</v>
      </c>
      <c r="P192" s="17">
        <f>'Rolling report'!CI192*'No Action'!$Y$6</f>
        <v>1.32</v>
      </c>
      <c r="Q192" s="17">
        <f>'Rolling report'!CJ192*'No Action'!$Y$6</f>
        <v>0</v>
      </c>
      <c r="R192" s="17">
        <f>'Rolling report'!CK192*'No Action'!$Y$6</f>
        <v>1.32</v>
      </c>
      <c r="S192" s="17">
        <f>'Rolling report'!CL192*'No Action'!$Y$6</f>
        <v>0.88</v>
      </c>
      <c r="T192" s="17">
        <f>'Rolling report'!CM192*'No Action'!$Y$6</f>
        <v>1.76</v>
      </c>
      <c r="U192" s="17">
        <f>'Rolling report'!CN192*'No Action'!$Y$6</f>
        <v>2.2000000000000002</v>
      </c>
      <c r="V192" s="17">
        <f>'Rolling report'!CO192*'No Action'!$Y$6</f>
        <v>0</v>
      </c>
      <c r="W192" s="17">
        <f>'Rolling report'!CP192*'No Action'!$Y$6</f>
        <v>0.88</v>
      </c>
      <c r="X192" s="17">
        <f>'Rolling report'!CQ192*'No Action'!$Y$6</f>
        <v>0</v>
      </c>
      <c r="Y192" s="17">
        <f>'Rolling report'!CR192*'No Action'!$Y$6</f>
        <v>0</v>
      </c>
      <c r="Z192" s="17">
        <f>'Rolling report'!CS192*'No Action'!$Y$6</f>
        <v>0.44</v>
      </c>
      <c r="AA192" s="17">
        <f>'Rolling report'!CT192*'No Action'!$Y$6</f>
        <v>1.32</v>
      </c>
      <c r="AB192" s="17">
        <f>'Rolling report'!CU192*'No Action'!$Y$6</f>
        <v>2.2000000000000002</v>
      </c>
      <c r="AC192" s="17">
        <f>'Rolling report'!CV192*'No Action'!$Y$6</f>
        <v>0.88</v>
      </c>
      <c r="AD192" s="17">
        <f>'Rolling report'!CW192*'No Action'!$Y$6</f>
        <v>-0.88</v>
      </c>
      <c r="AE192" s="17">
        <f>'Rolling report'!CX192*'No Action'!$Y$6</f>
        <v>0</v>
      </c>
      <c r="AF192" s="17">
        <f>'Rolling report'!CY192*'No Action'!$Y$6</f>
        <v>-29.48</v>
      </c>
      <c r="AG192" s="17">
        <f>'Rolling report'!CZ192*'No Action'!$Y$6</f>
        <v>0</v>
      </c>
      <c r="AH192" s="17">
        <f>'Rolling report'!DA192*'No Action'!$Y$6</f>
        <v>0</v>
      </c>
      <c r="AI192" s="17">
        <f>'Rolling report'!DB192*'No Action'!$Y$6</f>
        <v>0</v>
      </c>
      <c r="AJ192" s="17">
        <f>'Rolling report'!DC192*'No Action'!$Y$6</f>
        <v>0</v>
      </c>
      <c r="AK192" s="17">
        <f>'Rolling report'!DD192*'No Action'!$Y$6</f>
        <v>0</v>
      </c>
      <c r="AL192" s="17">
        <f>'Rolling report'!DE192*'No Action'!$Y$6</f>
        <v>0</v>
      </c>
      <c r="AM192" s="17">
        <f>'Rolling report'!DF192*'No Action'!$Y$6</f>
        <v>0</v>
      </c>
      <c r="AN192" s="17">
        <f>'Rolling report'!DG192*'No Action'!$Y$6</f>
        <v>0</v>
      </c>
      <c r="AO192" s="17">
        <f>'Rolling report'!DH192*'No Action'!$Y$6</f>
        <v>0</v>
      </c>
      <c r="AQ192" s="45"/>
    </row>
    <row r="193" spans="1:43" x14ac:dyDescent="0.25">
      <c r="A193" s="4" t="s">
        <v>425</v>
      </c>
      <c r="B193" s="6" t="s">
        <v>426</v>
      </c>
      <c r="I193" s="17">
        <f>'Rolling report'!CB193*'No Action'!$Y$6</f>
        <v>2.2000000000000002</v>
      </c>
      <c r="J193" s="17">
        <f>'Rolling report'!CC193*'No Action'!$Y$6</f>
        <v>0</v>
      </c>
      <c r="K193" s="17">
        <f>'Rolling report'!CD193*'No Action'!$Y$6</f>
        <v>0</v>
      </c>
      <c r="L193" s="17">
        <f>'Rolling report'!CE193*'No Action'!$Y$6</f>
        <v>-2.2000000000000002</v>
      </c>
      <c r="M193" s="17">
        <f>'Rolling report'!CF193*'No Action'!$Y$6</f>
        <v>2.2000000000000002</v>
      </c>
      <c r="N193" s="17">
        <f>'Rolling report'!CG193*'No Action'!$Y$6</f>
        <v>0</v>
      </c>
      <c r="O193" s="17">
        <f>'Rolling report'!CH193*'No Action'!$Y$6</f>
        <v>2.2000000000000002</v>
      </c>
      <c r="P193" s="17">
        <f>'Rolling report'!CI193*'No Action'!$Y$6</f>
        <v>0</v>
      </c>
      <c r="Q193" s="17">
        <f>'Rolling report'!CJ193*'No Action'!$Y$6</f>
        <v>0</v>
      </c>
      <c r="R193" s="17">
        <f>'Rolling report'!CK193*'No Action'!$Y$6</f>
        <v>0</v>
      </c>
      <c r="S193" s="17">
        <f>'Rolling report'!CL193*'No Action'!$Y$6</f>
        <v>-2.2000000000000002</v>
      </c>
      <c r="T193" s="17">
        <f>'Rolling report'!CM193*'No Action'!$Y$6</f>
        <v>2.2000000000000002</v>
      </c>
      <c r="U193" s="17">
        <f>'Rolling report'!CN193*'No Action'!$Y$6</f>
        <v>2.2000000000000002</v>
      </c>
      <c r="V193" s="17">
        <f>'Rolling report'!CO193*'No Action'!$Y$6</f>
        <v>0</v>
      </c>
      <c r="W193" s="17">
        <f>'Rolling report'!CP193*'No Action'!$Y$6</f>
        <v>0</v>
      </c>
      <c r="X193" s="17">
        <f>'Rolling report'!CQ193*'No Action'!$Y$6</f>
        <v>0</v>
      </c>
      <c r="Y193" s="17">
        <f>'Rolling report'!CR193*'No Action'!$Y$6</f>
        <v>0</v>
      </c>
      <c r="Z193" s="17">
        <f>'Rolling report'!CS193*'No Action'!$Y$6</f>
        <v>0</v>
      </c>
      <c r="AA193" s="17">
        <f>'Rolling report'!CT193*'No Action'!$Y$6</f>
        <v>-1.32</v>
      </c>
      <c r="AB193" s="17">
        <f>'Rolling report'!CU193*'No Action'!$Y$6</f>
        <v>0</v>
      </c>
      <c r="AC193" s="17">
        <f>'Rolling report'!CV193*'No Action'!$Y$6</f>
        <v>0</v>
      </c>
      <c r="AD193" s="17">
        <f>'Rolling report'!CW193*'No Action'!$Y$6</f>
        <v>1.32</v>
      </c>
      <c r="AE193" s="17">
        <f>'Rolling report'!CX193*'No Action'!$Y$6</f>
        <v>-3.52</v>
      </c>
      <c r="AF193" s="17">
        <f>'Rolling report'!CY193*'No Action'!$Y$6</f>
        <v>-3.08</v>
      </c>
      <c r="AG193" s="17">
        <f>'Rolling report'!CZ193*'No Action'!$Y$6</f>
        <v>0</v>
      </c>
      <c r="AH193" s="17">
        <f>'Rolling report'!DA193*'No Action'!$Y$6</f>
        <v>0</v>
      </c>
      <c r="AI193" s="17">
        <f>'Rolling report'!DB193*'No Action'!$Y$6</f>
        <v>0</v>
      </c>
      <c r="AJ193" s="17">
        <f>'Rolling report'!DC193*'No Action'!$Y$6</f>
        <v>0</v>
      </c>
      <c r="AK193" s="17">
        <f>'Rolling report'!DD193*'No Action'!$Y$6</f>
        <v>0</v>
      </c>
      <c r="AL193" s="17">
        <f>'Rolling report'!DE193*'No Action'!$Y$6</f>
        <v>0</v>
      </c>
      <c r="AM193" s="17">
        <f>'Rolling report'!DF193*'No Action'!$Y$6</f>
        <v>0</v>
      </c>
      <c r="AN193" s="17">
        <f>'Rolling report'!DG193*'No Action'!$Y$6</f>
        <v>0</v>
      </c>
      <c r="AO193" s="17">
        <f>'Rolling report'!DH193*'No Action'!$Y$6</f>
        <v>0</v>
      </c>
      <c r="AQ193" s="45"/>
    </row>
    <row r="194" spans="1:43" x14ac:dyDescent="0.25">
      <c r="A194" s="4" t="s">
        <v>427</v>
      </c>
      <c r="B194" s="6" t="s">
        <v>428</v>
      </c>
      <c r="I194" s="17">
        <f>'Rolling report'!CB194*'No Action'!$Y$6</f>
        <v>6.16</v>
      </c>
      <c r="J194" s="17">
        <f>'Rolling report'!CC194*'No Action'!$Y$6</f>
        <v>0</v>
      </c>
      <c r="K194" s="17">
        <f>'Rolling report'!CD194*'No Action'!$Y$6</f>
        <v>0</v>
      </c>
      <c r="L194" s="17">
        <f>'Rolling report'!CE194*'No Action'!$Y$6</f>
        <v>4.4000000000000004</v>
      </c>
      <c r="M194" s="17">
        <f>'Rolling report'!CF194*'No Action'!$Y$6</f>
        <v>0</v>
      </c>
      <c r="N194" s="17">
        <f>'Rolling report'!CG194*'No Action'!$Y$6</f>
        <v>2.64</v>
      </c>
      <c r="O194" s="17">
        <f>'Rolling report'!CH194*'No Action'!$Y$6</f>
        <v>1.76</v>
      </c>
      <c r="P194" s="17">
        <f>'Rolling report'!CI194*'No Action'!$Y$6</f>
        <v>0.88</v>
      </c>
      <c r="Q194" s="17">
        <f>'Rolling report'!CJ194*'No Action'!$Y$6</f>
        <v>4.84</v>
      </c>
      <c r="R194" s="17">
        <f>'Rolling report'!CK194*'No Action'!$Y$6</f>
        <v>0</v>
      </c>
      <c r="S194" s="17">
        <f>'Rolling report'!CL194*'No Action'!$Y$6</f>
        <v>0.44</v>
      </c>
      <c r="T194" s="17">
        <f>'Rolling report'!CM194*'No Action'!$Y$6</f>
        <v>1.32</v>
      </c>
      <c r="U194" s="17">
        <f>'Rolling report'!CN194*'No Action'!$Y$6</f>
        <v>4.4000000000000004</v>
      </c>
      <c r="V194" s="17">
        <f>'Rolling report'!CO194*'No Action'!$Y$6</f>
        <v>2.2000000000000002</v>
      </c>
      <c r="W194" s="17">
        <f>'Rolling report'!CP194*'No Action'!$Y$6</f>
        <v>0</v>
      </c>
      <c r="X194" s="17">
        <f>'Rolling report'!CQ194*'No Action'!$Y$6</f>
        <v>0.88</v>
      </c>
      <c r="Y194" s="17">
        <f>'Rolling report'!CR194*'No Action'!$Y$6</f>
        <v>0.88</v>
      </c>
      <c r="Z194" s="17">
        <f>'Rolling report'!CS194*'No Action'!$Y$6</f>
        <v>2.2000000000000002</v>
      </c>
      <c r="AA194" s="17">
        <f>'Rolling report'!CT194*'No Action'!$Y$6</f>
        <v>0</v>
      </c>
      <c r="AB194" s="17">
        <f>'Rolling report'!CU194*'No Action'!$Y$6</f>
        <v>0.88</v>
      </c>
      <c r="AC194" s="17">
        <f>'Rolling report'!CV194*'No Action'!$Y$6</f>
        <v>0</v>
      </c>
      <c r="AD194" s="17">
        <f>'Rolling report'!CW194*'No Action'!$Y$6</f>
        <v>0.44</v>
      </c>
      <c r="AE194" s="17">
        <f>'Rolling report'!CX194*'No Action'!$Y$6</f>
        <v>0.88</v>
      </c>
      <c r="AF194" s="17">
        <f>'Rolling report'!CY194*'No Action'!$Y$6</f>
        <v>-35.200000000000003</v>
      </c>
      <c r="AG194" s="17">
        <f>'Rolling report'!CZ194*'No Action'!$Y$6</f>
        <v>0</v>
      </c>
      <c r="AH194" s="17">
        <f>'Rolling report'!DA194*'No Action'!$Y$6</f>
        <v>0</v>
      </c>
      <c r="AI194" s="17">
        <f>'Rolling report'!DB194*'No Action'!$Y$6</f>
        <v>0</v>
      </c>
      <c r="AJ194" s="17">
        <f>'Rolling report'!DC194*'No Action'!$Y$6</f>
        <v>0</v>
      </c>
      <c r="AK194" s="17">
        <f>'Rolling report'!DD194*'No Action'!$Y$6</f>
        <v>0</v>
      </c>
      <c r="AL194" s="17">
        <f>'Rolling report'!DE194*'No Action'!$Y$6</f>
        <v>0</v>
      </c>
      <c r="AM194" s="17">
        <f>'Rolling report'!DF194*'No Action'!$Y$6</f>
        <v>0</v>
      </c>
      <c r="AN194" s="17">
        <f>'Rolling report'!DG194*'No Action'!$Y$6</f>
        <v>0</v>
      </c>
      <c r="AO194" s="17">
        <f>'Rolling report'!DH194*'No Action'!$Y$6</f>
        <v>0</v>
      </c>
      <c r="AQ194" s="45"/>
    </row>
    <row r="195" spans="1:43" x14ac:dyDescent="0.25">
      <c r="A195" s="4" t="s">
        <v>429</v>
      </c>
      <c r="B195" s="6" t="s">
        <v>430</v>
      </c>
      <c r="I195" s="17">
        <f>'Rolling report'!CB195*'No Action'!$Y$6</f>
        <v>19.36</v>
      </c>
      <c r="J195" s="17">
        <f>'Rolling report'!CC195*'No Action'!$Y$6</f>
        <v>3.96</v>
      </c>
      <c r="K195" s="17">
        <f>'Rolling report'!CD195*'No Action'!$Y$6</f>
        <v>1.32</v>
      </c>
      <c r="L195" s="17">
        <f>'Rolling report'!CE195*'No Action'!$Y$6</f>
        <v>4.4000000000000004</v>
      </c>
      <c r="M195" s="17">
        <f>'Rolling report'!CF195*'No Action'!$Y$6</f>
        <v>0.88</v>
      </c>
      <c r="N195" s="17">
        <f>'Rolling report'!CG195*'No Action'!$Y$6</f>
        <v>0.44</v>
      </c>
      <c r="O195" s="17">
        <f>'Rolling report'!CH195*'No Action'!$Y$6</f>
        <v>1.76</v>
      </c>
      <c r="P195" s="17">
        <f>'Rolling report'!CI195*'No Action'!$Y$6</f>
        <v>0.44</v>
      </c>
      <c r="Q195" s="17">
        <f>'Rolling report'!CJ195*'No Action'!$Y$6</f>
        <v>0.88</v>
      </c>
      <c r="R195" s="17">
        <f>'Rolling report'!CK195*'No Action'!$Y$6</f>
        <v>0.44</v>
      </c>
      <c r="S195" s="17">
        <f>'Rolling report'!CL195*'No Action'!$Y$6</f>
        <v>0.88</v>
      </c>
      <c r="T195" s="17">
        <f>'Rolling report'!CM195*'No Action'!$Y$6</f>
        <v>0</v>
      </c>
      <c r="U195" s="17">
        <f>'Rolling report'!CN195*'No Action'!$Y$6</f>
        <v>0</v>
      </c>
      <c r="V195" s="17">
        <f>'Rolling report'!CO195*'No Action'!$Y$6</f>
        <v>2.64</v>
      </c>
      <c r="W195" s="17">
        <f>'Rolling report'!CP195*'No Action'!$Y$6</f>
        <v>0</v>
      </c>
      <c r="X195" s="17">
        <f>'Rolling report'!CQ195*'No Action'!$Y$6</f>
        <v>0</v>
      </c>
      <c r="Y195" s="17">
        <f>'Rolling report'!CR195*'No Action'!$Y$6</f>
        <v>1.32</v>
      </c>
      <c r="Z195" s="17">
        <f>'Rolling report'!CS195*'No Action'!$Y$6</f>
        <v>2.2000000000000002</v>
      </c>
      <c r="AA195" s="17">
        <f>'Rolling report'!CT195*'No Action'!$Y$6</f>
        <v>0</v>
      </c>
      <c r="AB195" s="17">
        <f>'Rolling report'!CU195*'No Action'!$Y$6</f>
        <v>0</v>
      </c>
      <c r="AC195" s="17">
        <f>'Rolling report'!CV195*'No Action'!$Y$6</f>
        <v>2.2000000000000002</v>
      </c>
      <c r="AD195" s="17">
        <f>'Rolling report'!CW195*'No Action'!$Y$6</f>
        <v>0</v>
      </c>
      <c r="AE195" s="17">
        <f>'Rolling report'!CX195*'No Action'!$Y$6</f>
        <v>0</v>
      </c>
      <c r="AF195" s="17">
        <f>'Rolling report'!CY195*'No Action'!$Y$6</f>
        <v>-43.12</v>
      </c>
      <c r="AG195" s="17">
        <f>'Rolling report'!CZ195*'No Action'!$Y$6</f>
        <v>0</v>
      </c>
      <c r="AH195" s="17">
        <f>'Rolling report'!DA195*'No Action'!$Y$6</f>
        <v>0</v>
      </c>
      <c r="AI195" s="17">
        <f>'Rolling report'!DB195*'No Action'!$Y$6</f>
        <v>0</v>
      </c>
      <c r="AJ195" s="17">
        <f>'Rolling report'!DC195*'No Action'!$Y$6</f>
        <v>0</v>
      </c>
      <c r="AK195" s="17">
        <f>'Rolling report'!DD195*'No Action'!$Y$6</f>
        <v>0</v>
      </c>
      <c r="AL195" s="17">
        <f>'Rolling report'!DE195*'No Action'!$Y$6</f>
        <v>0</v>
      </c>
      <c r="AM195" s="17">
        <f>'Rolling report'!DF195*'No Action'!$Y$6</f>
        <v>0</v>
      </c>
      <c r="AN195" s="17">
        <f>'Rolling report'!DG195*'No Action'!$Y$6</f>
        <v>0</v>
      </c>
      <c r="AO195" s="17">
        <f>'Rolling report'!DH195*'No Action'!$Y$6</f>
        <v>0</v>
      </c>
      <c r="AQ195" s="45"/>
    </row>
    <row r="196" spans="1:43" x14ac:dyDescent="0.25">
      <c r="A196" s="4" t="s">
        <v>431</v>
      </c>
      <c r="B196" s="6" t="s">
        <v>432</v>
      </c>
      <c r="I196" s="17">
        <f>'Rolling report'!CB196*'No Action'!$Y$6</f>
        <v>2.2000000000000002</v>
      </c>
      <c r="J196" s="17">
        <f>'Rolling report'!CC196*'No Action'!$Y$6</f>
        <v>0</v>
      </c>
      <c r="K196" s="17">
        <f>'Rolling report'!CD196*'No Action'!$Y$6</f>
        <v>0</v>
      </c>
      <c r="L196" s="17">
        <f>'Rolling report'!CE196*'No Action'!$Y$6</f>
        <v>0</v>
      </c>
      <c r="M196" s="17">
        <f>'Rolling report'!CF196*'No Action'!$Y$6</f>
        <v>0</v>
      </c>
      <c r="N196" s="17">
        <f>'Rolling report'!CG196*'No Action'!$Y$6</f>
        <v>0</v>
      </c>
      <c r="O196" s="17">
        <f>'Rolling report'!CH196*'No Action'!$Y$6</f>
        <v>2.2000000000000002</v>
      </c>
      <c r="P196" s="17">
        <f>'Rolling report'!CI196*'No Action'!$Y$6</f>
        <v>0</v>
      </c>
      <c r="Q196" s="17">
        <f>'Rolling report'!CJ196*'No Action'!$Y$6</f>
        <v>0</v>
      </c>
      <c r="R196" s="17">
        <f>'Rolling report'!CK196*'No Action'!$Y$6</f>
        <v>0</v>
      </c>
      <c r="S196" s="17">
        <f>'Rolling report'!CL196*'No Action'!$Y$6</f>
        <v>-1.76</v>
      </c>
      <c r="T196" s="17">
        <f>'Rolling report'!CM196*'No Action'!$Y$6</f>
        <v>1.76</v>
      </c>
      <c r="U196" s="17">
        <f>'Rolling report'!CN196*'No Action'!$Y$6</f>
        <v>2.2000000000000002</v>
      </c>
      <c r="V196" s="17">
        <f>'Rolling report'!CO196*'No Action'!$Y$6</f>
        <v>0</v>
      </c>
      <c r="W196" s="17">
        <f>'Rolling report'!CP196*'No Action'!$Y$6</f>
        <v>0</v>
      </c>
      <c r="X196" s="17">
        <f>'Rolling report'!CQ196*'No Action'!$Y$6</f>
        <v>0</v>
      </c>
      <c r="Y196" s="17">
        <f>'Rolling report'!CR196*'No Action'!$Y$6</f>
        <v>0</v>
      </c>
      <c r="Z196" s="17">
        <f>'Rolling report'!CS196*'No Action'!$Y$6</f>
        <v>0</v>
      </c>
      <c r="AA196" s="17">
        <f>'Rolling report'!CT196*'No Action'!$Y$6</f>
        <v>-1.32</v>
      </c>
      <c r="AB196" s="17">
        <f>'Rolling report'!CU196*'No Action'!$Y$6</f>
        <v>0</v>
      </c>
      <c r="AC196" s="17">
        <f>'Rolling report'!CV196*'No Action'!$Y$6</f>
        <v>0.44</v>
      </c>
      <c r="AD196" s="17">
        <f>'Rolling report'!CW196*'No Action'!$Y$6</f>
        <v>0.88</v>
      </c>
      <c r="AE196" s="17">
        <f>'Rolling report'!CX196*'No Action'!$Y$6</f>
        <v>0</v>
      </c>
      <c r="AF196" s="17">
        <f>'Rolling report'!CY196*'No Action'!$Y$6</f>
        <v>-6.6</v>
      </c>
      <c r="AG196" s="17">
        <f>'Rolling report'!CZ196*'No Action'!$Y$6</f>
        <v>0</v>
      </c>
      <c r="AH196" s="17">
        <f>'Rolling report'!DA196*'No Action'!$Y$6</f>
        <v>0</v>
      </c>
      <c r="AI196" s="17">
        <f>'Rolling report'!DB196*'No Action'!$Y$6</f>
        <v>0</v>
      </c>
      <c r="AJ196" s="17">
        <f>'Rolling report'!DC196*'No Action'!$Y$6</f>
        <v>0</v>
      </c>
      <c r="AK196" s="17">
        <f>'Rolling report'!DD196*'No Action'!$Y$6</f>
        <v>0</v>
      </c>
      <c r="AL196" s="17">
        <f>'Rolling report'!DE196*'No Action'!$Y$6</f>
        <v>0</v>
      </c>
      <c r="AM196" s="17">
        <f>'Rolling report'!DF196*'No Action'!$Y$6</f>
        <v>0</v>
      </c>
      <c r="AN196" s="17">
        <f>'Rolling report'!DG196*'No Action'!$Y$6</f>
        <v>0</v>
      </c>
      <c r="AO196" s="17">
        <f>'Rolling report'!DH196*'No Action'!$Y$6</f>
        <v>0</v>
      </c>
      <c r="AQ196" s="45"/>
    </row>
    <row r="197" spans="1:43" x14ac:dyDescent="0.25">
      <c r="A197" s="4" t="s">
        <v>433</v>
      </c>
      <c r="B197" s="6" t="s">
        <v>434</v>
      </c>
      <c r="I197" s="17">
        <f>'Rolling report'!CB197*'No Action'!$Y$6</f>
        <v>29.04</v>
      </c>
      <c r="J197" s="17">
        <f>'Rolling report'!CC197*'No Action'!$Y$6</f>
        <v>7.92</v>
      </c>
      <c r="K197" s="17">
        <f>'Rolling report'!CD197*'No Action'!$Y$6</f>
        <v>7.04</v>
      </c>
      <c r="L197" s="17">
        <f>'Rolling report'!CE197*'No Action'!$Y$6</f>
        <v>3.96</v>
      </c>
      <c r="M197" s="17">
        <f>'Rolling report'!CF197*'No Action'!$Y$6</f>
        <v>11</v>
      </c>
      <c r="N197" s="17">
        <f>'Rolling report'!CG197*'No Action'!$Y$6</f>
        <v>3.08</v>
      </c>
      <c r="O197" s="17">
        <f>'Rolling report'!CH197*'No Action'!$Y$6</f>
        <v>12.32</v>
      </c>
      <c r="P197" s="17">
        <f>'Rolling report'!CI197*'No Action'!$Y$6</f>
        <v>8.36</v>
      </c>
      <c r="Q197" s="17">
        <f>'Rolling report'!CJ197*'No Action'!$Y$6</f>
        <v>6.6</v>
      </c>
      <c r="R197" s="17">
        <f>'Rolling report'!CK197*'No Action'!$Y$6</f>
        <v>6.6</v>
      </c>
      <c r="S197" s="17">
        <f>'Rolling report'!CL197*'No Action'!$Y$6</f>
        <v>3.96</v>
      </c>
      <c r="T197" s="17">
        <f>'Rolling report'!CM197*'No Action'!$Y$6</f>
        <v>2.64</v>
      </c>
      <c r="U197" s="17">
        <f>'Rolling report'!CN197*'No Action'!$Y$6</f>
        <v>3.08</v>
      </c>
      <c r="V197" s="17">
        <f>'Rolling report'!CO197*'No Action'!$Y$6</f>
        <v>1.76</v>
      </c>
      <c r="W197" s="17">
        <f>'Rolling report'!CP197*'No Action'!$Y$6</f>
        <v>1.32</v>
      </c>
      <c r="X197" s="17">
        <f>'Rolling report'!CQ197*'No Action'!$Y$6</f>
        <v>0.88</v>
      </c>
      <c r="Y197" s="17">
        <f>'Rolling report'!CR197*'No Action'!$Y$6</f>
        <v>4.4000000000000004</v>
      </c>
      <c r="Z197" s="17">
        <f>'Rolling report'!CS197*'No Action'!$Y$6</f>
        <v>3.52</v>
      </c>
      <c r="AA197" s="17">
        <f>'Rolling report'!CT197*'No Action'!$Y$6</f>
        <v>1.32</v>
      </c>
      <c r="AB197" s="17">
        <f>'Rolling report'!CU197*'No Action'!$Y$6</f>
        <v>2.2000000000000002</v>
      </c>
      <c r="AC197" s="17">
        <f>'Rolling report'!CV197*'No Action'!$Y$6</f>
        <v>4.84</v>
      </c>
      <c r="AD197" s="17">
        <f>'Rolling report'!CW197*'No Action'!$Y$6</f>
        <v>1.32</v>
      </c>
      <c r="AE197" s="17">
        <f>'Rolling report'!CX197*'No Action'!$Y$6</f>
        <v>2.64</v>
      </c>
      <c r="AF197" s="17">
        <f>'Rolling report'!CY197*'No Action'!$Y$6</f>
        <v>-129.80000000000001</v>
      </c>
      <c r="AG197" s="17">
        <f>'Rolling report'!CZ197*'No Action'!$Y$6</f>
        <v>0</v>
      </c>
      <c r="AH197" s="17">
        <f>'Rolling report'!DA197*'No Action'!$Y$6</f>
        <v>0</v>
      </c>
      <c r="AI197" s="17">
        <f>'Rolling report'!DB197*'No Action'!$Y$6</f>
        <v>0</v>
      </c>
      <c r="AJ197" s="17">
        <f>'Rolling report'!DC197*'No Action'!$Y$6</f>
        <v>0</v>
      </c>
      <c r="AK197" s="17">
        <f>'Rolling report'!DD197*'No Action'!$Y$6</f>
        <v>0</v>
      </c>
      <c r="AL197" s="17">
        <f>'Rolling report'!DE197*'No Action'!$Y$6</f>
        <v>0</v>
      </c>
      <c r="AM197" s="17">
        <f>'Rolling report'!DF197*'No Action'!$Y$6</f>
        <v>0</v>
      </c>
      <c r="AN197" s="17">
        <f>'Rolling report'!DG197*'No Action'!$Y$6</f>
        <v>0</v>
      </c>
      <c r="AO197" s="17">
        <f>'Rolling report'!DH197*'No Action'!$Y$6</f>
        <v>0</v>
      </c>
      <c r="AQ197" s="45"/>
    </row>
    <row r="198" spans="1:43" x14ac:dyDescent="0.25">
      <c r="A198" s="4" t="s">
        <v>435</v>
      </c>
      <c r="B198" s="6" t="s">
        <v>436</v>
      </c>
      <c r="I198" s="17">
        <f>'Rolling report'!CB198*'No Action'!$Y$6</f>
        <v>10.119999999999999</v>
      </c>
      <c r="J198" s="17">
        <f>'Rolling report'!CC198*'No Action'!$Y$6</f>
        <v>0.44</v>
      </c>
      <c r="K198" s="17">
        <f>'Rolling report'!CD198*'No Action'!$Y$6</f>
        <v>0.88</v>
      </c>
      <c r="L198" s="17">
        <f>'Rolling report'!CE198*'No Action'!$Y$6</f>
        <v>0.88</v>
      </c>
      <c r="M198" s="17">
        <f>'Rolling report'!CF198*'No Action'!$Y$6</f>
        <v>0</v>
      </c>
      <c r="N198" s="17">
        <f>'Rolling report'!CG198*'No Action'!$Y$6</f>
        <v>0.88</v>
      </c>
      <c r="O198" s="17">
        <f>'Rolling report'!CH198*'No Action'!$Y$6</f>
        <v>2.2000000000000002</v>
      </c>
      <c r="P198" s="17">
        <f>'Rolling report'!CI198*'No Action'!$Y$6</f>
        <v>0</v>
      </c>
      <c r="Q198" s="17">
        <f>'Rolling report'!CJ198*'No Action'!$Y$6</f>
        <v>0.88</v>
      </c>
      <c r="R198" s="17">
        <f>'Rolling report'!CK198*'No Action'!$Y$6</f>
        <v>2.2000000000000002</v>
      </c>
      <c r="S198" s="17">
        <f>'Rolling report'!CL198*'No Action'!$Y$6</f>
        <v>1.32</v>
      </c>
      <c r="T198" s="17">
        <f>'Rolling report'!CM198*'No Action'!$Y$6</f>
        <v>0</v>
      </c>
      <c r="U198" s="17">
        <f>'Rolling report'!CN198*'No Action'!$Y$6</f>
        <v>0</v>
      </c>
      <c r="V198" s="17">
        <f>'Rolling report'!CO198*'No Action'!$Y$6</f>
        <v>0.88</v>
      </c>
      <c r="W198" s="17">
        <f>'Rolling report'!CP198*'No Action'!$Y$6</f>
        <v>0</v>
      </c>
      <c r="X198" s="17">
        <f>'Rolling report'!CQ198*'No Action'!$Y$6</f>
        <v>0</v>
      </c>
      <c r="Y198" s="17">
        <f>'Rolling report'!CR198*'No Action'!$Y$6</f>
        <v>0</v>
      </c>
      <c r="Z198" s="17">
        <f>'Rolling report'!CS198*'No Action'!$Y$6</f>
        <v>0</v>
      </c>
      <c r="AA198" s="17">
        <f>'Rolling report'!CT198*'No Action'!$Y$6</f>
        <v>1.32</v>
      </c>
      <c r="AB198" s="17">
        <f>'Rolling report'!CU198*'No Action'!$Y$6</f>
        <v>0.88</v>
      </c>
      <c r="AC198" s="17">
        <f>'Rolling report'!CV198*'No Action'!$Y$6</f>
        <v>0.88</v>
      </c>
      <c r="AD198" s="17">
        <f>'Rolling report'!CW198*'No Action'!$Y$6</f>
        <v>-0.44</v>
      </c>
      <c r="AE198" s="17">
        <f>'Rolling report'!CX198*'No Action'!$Y$6</f>
        <v>3.08</v>
      </c>
      <c r="AF198" s="17">
        <f>'Rolling report'!CY198*'No Action'!$Y$6</f>
        <v>-26.4</v>
      </c>
      <c r="AG198" s="17">
        <f>'Rolling report'!CZ198*'No Action'!$Y$6</f>
        <v>0</v>
      </c>
      <c r="AH198" s="17">
        <f>'Rolling report'!DA198*'No Action'!$Y$6</f>
        <v>0</v>
      </c>
      <c r="AI198" s="17">
        <f>'Rolling report'!DB198*'No Action'!$Y$6</f>
        <v>0</v>
      </c>
      <c r="AJ198" s="17">
        <f>'Rolling report'!DC198*'No Action'!$Y$6</f>
        <v>0</v>
      </c>
      <c r="AK198" s="17">
        <f>'Rolling report'!DD198*'No Action'!$Y$6</f>
        <v>0</v>
      </c>
      <c r="AL198" s="17">
        <f>'Rolling report'!DE198*'No Action'!$Y$6</f>
        <v>0</v>
      </c>
      <c r="AM198" s="17">
        <f>'Rolling report'!DF198*'No Action'!$Y$6</f>
        <v>0</v>
      </c>
      <c r="AN198" s="17">
        <f>'Rolling report'!DG198*'No Action'!$Y$6</f>
        <v>0</v>
      </c>
      <c r="AO198" s="17">
        <f>'Rolling report'!DH198*'No Action'!$Y$6</f>
        <v>0</v>
      </c>
      <c r="AQ198" s="45"/>
    </row>
    <row r="199" spans="1:43" x14ac:dyDescent="0.25">
      <c r="A199" s="6" t="s">
        <v>437</v>
      </c>
      <c r="B199" s="6" t="s">
        <v>438</v>
      </c>
      <c r="I199" s="17">
        <f>'Rolling report'!CB199*'No Action'!$Y$6</f>
        <v>21.12</v>
      </c>
      <c r="J199" s="17">
        <f>'Rolling report'!CC199*'No Action'!$Y$6</f>
        <v>3.08</v>
      </c>
      <c r="K199" s="17">
        <f>'Rolling report'!CD199*'No Action'!$Y$6</f>
        <v>3.08</v>
      </c>
      <c r="L199" s="17">
        <f>'Rolling report'!CE199*'No Action'!$Y$6</f>
        <v>3.52</v>
      </c>
      <c r="M199" s="17">
        <f>'Rolling report'!CF199*'No Action'!$Y$6</f>
        <v>0.88</v>
      </c>
      <c r="N199" s="17">
        <f>'Rolling report'!CG199*'No Action'!$Y$6</f>
        <v>2.2000000000000002</v>
      </c>
      <c r="O199" s="17">
        <f>'Rolling report'!CH199*'No Action'!$Y$6</f>
        <v>0.44</v>
      </c>
      <c r="P199" s="17">
        <f>'Rolling report'!CI199*'No Action'!$Y$6</f>
        <v>5.28</v>
      </c>
      <c r="Q199" s="17">
        <f>'Rolling report'!CJ199*'No Action'!$Y$6</f>
        <v>1.32</v>
      </c>
      <c r="R199" s="17">
        <f>'Rolling report'!CK199*'No Action'!$Y$6</f>
        <v>5.28</v>
      </c>
      <c r="S199" s="17">
        <f>'Rolling report'!CL199*'No Action'!$Y$6</f>
        <v>0</v>
      </c>
      <c r="T199" s="17">
        <f>'Rolling report'!CM199*'No Action'!$Y$6</f>
        <v>0</v>
      </c>
      <c r="U199" s="17">
        <f>'Rolling report'!CN199*'No Action'!$Y$6</f>
        <v>0</v>
      </c>
      <c r="V199" s="17">
        <f>'Rolling report'!CO199*'No Action'!$Y$6</f>
        <v>0</v>
      </c>
      <c r="W199" s="17">
        <f>'Rolling report'!CP199*'No Action'!$Y$6</f>
        <v>1.76</v>
      </c>
      <c r="X199" s="17">
        <f>'Rolling report'!CQ199*'No Action'!$Y$6</f>
        <v>0</v>
      </c>
      <c r="Y199" s="17">
        <f>'Rolling report'!CR199*'No Action'!$Y$6</f>
        <v>0</v>
      </c>
      <c r="Z199" s="17">
        <f>'Rolling report'!CS199*'No Action'!$Y$6</f>
        <v>2.64</v>
      </c>
      <c r="AA199" s="17">
        <f>'Rolling report'!CT199*'No Action'!$Y$6</f>
        <v>0.44</v>
      </c>
      <c r="AB199" s="17">
        <f>'Rolling report'!CU199*'No Action'!$Y$6</f>
        <v>0.88</v>
      </c>
      <c r="AC199" s="17">
        <f>'Rolling report'!CV199*'No Action'!$Y$6</f>
        <v>2.2000000000000002</v>
      </c>
      <c r="AD199" s="17">
        <f>'Rolling report'!CW199*'No Action'!$Y$6</f>
        <v>0.88</v>
      </c>
      <c r="AE199" s="17">
        <f>'Rolling report'!CX199*'No Action'!$Y$6</f>
        <v>0</v>
      </c>
      <c r="AF199" s="17">
        <f>'Rolling report'!CY199*'No Action'!$Y$6</f>
        <v>-55</v>
      </c>
      <c r="AG199" s="17">
        <f>'Rolling report'!CZ199*'No Action'!$Y$6</f>
        <v>0</v>
      </c>
      <c r="AH199" s="17">
        <f>'Rolling report'!DA199*'No Action'!$Y$6</f>
        <v>0</v>
      </c>
      <c r="AI199" s="17">
        <f>'Rolling report'!DB199*'No Action'!$Y$6</f>
        <v>0</v>
      </c>
      <c r="AJ199" s="17">
        <f>'Rolling report'!DC199*'No Action'!$Y$6</f>
        <v>0</v>
      </c>
      <c r="AK199" s="17">
        <f>'Rolling report'!DD199*'No Action'!$Y$6</f>
        <v>0</v>
      </c>
      <c r="AL199" s="17">
        <f>'Rolling report'!DE199*'No Action'!$Y$6</f>
        <v>0</v>
      </c>
      <c r="AM199" s="17">
        <f>'Rolling report'!DF199*'No Action'!$Y$6</f>
        <v>0</v>
      </c>
      <c r="AN199" s="17">
        <f>'Rolling report'!DG199*'No Action'!$Y$6</f>
        <v>0</v>
      </c>
      <c r="AO199" s="17">
        <f>'Rolling report'!DH199*'No Action'!$Y$6</f>
        <v>0</v>
      </c>
      <c r="AQ199" s="45"/>
    </row>
    <row r="200" spans="1:43" x14ac:dyDescent="0.25">
      <c r="A200" s="4" t="s">
        <v>439</v>
      </c>
      <c r="B200" s="6" t="s">
        <v>440</v>
      </c>
      <c r="I200" s="17">
        <f>'Rolling report'!CB200*'No Action'!$Y$6</f>
        <v>2.2000000000000002</v>
      </c>
      <c r="J200" s="17">
        <f>'Rolling report'!CC200*'No Action'!$Y$6</f>
        <v>0</v>
      </c>
      <c r="K200" s="17">
        <f>'Rolling report'!CD200*'No Action'!$Y$6</f>
        <v>0</v>
      </c>
      <c r="L200" s="17">
        <f>'Rolling report'!CE200*'No Action'!$Y$6</f>
        <v>0</v>
      </c>
      <c r="M200" s="17">
        <f>'Rolling report'!CF200*'No Action'!$Y$6</f>
        <v>0</v>
      </c>
      <c r="N200" s="17">
        <f>'Rolling report'!CG200*'No Action'!$Y$6</f>
        <v>0</v>
      </c>
      <c r="O200" s="17">
        <f>'Rolling report'!CH200*'No Action'!$Y$6</f>
        <v>2.2000000000000002</v>
      </c>
      <c r="P200" s="17">
        <f>'Rolling report'!CI200*'No Action'!$Y$6</f>
        <v>0</v>
      </c>
      <c r="Q200" s="17">
        <f>'Rolling report'!CJ200*'No Action'!$Y$6</f>
        <v>0</v>
      </c>
      <c r="R200" s="17">
        <f>'Rolling report'!CK200*'No Action'!$Y$6</f>
        <v>0</v>
      </c>
      <c r="S200" s="17">
        <f>'Rolling report'!CL200*'No Action'!$Y$6</f>
        <v>-2.2000000000000002</v>
      </c>
      <c r="T200" s="17">
        <f>'Rolling report'!CM200*'No Action'!$Y$6</f>
        <v>2.2000000000000002</v>
      </c>
      <c r="U200" s="17">
        <f>'Rolling report'!CN200*'No Action'!$Y$6</f>
        <v>2.2000000000000002</v>
      </c>
      <c r="V200" s="17">
        <f>'Rolling report'!CO200*'No Action'!$Y$6</f>
        <v>0</v>
      </c>
      <c r="W200" s="17">
        <f>'Rolling report'!CP200*'No Action'!$Y$6</f>
        <v>0</v>
      </c>
      <c r="X200" s="17">
        <f>'Rolling report'!CQ200*'No Action'!$Y$6</f>
        <v>0</v>
      </c>
      <c r="Y200" s="17">
        <f>'Rolling report'!CR200*'No Action'!$Y$6</f>
        <v>0</v>
      </c>
      <c r="Z200" s="17">
        <f>'Rolling report'!CS200*'No Action'!$Y$6</f>
        <v>0</v>
      </c>
      <c r="AA200" s="17">
        <f>'Rolling report'!CT200*'No Action'!$Y$6</f>
        <v>-1.32</v>
      </c>
      <c r="AB200" s="17">
        <f>'Rolling report'!CU200*'No Action'!$Y$6</f>
        <v>0</v>
      </c>
      <c r="AC200" s="17">
        <f>'Rolling report'!CV200*'No Action'!$Y$6</f>
        <v>0</v>
      </c>
      <c r="AD200" s="17">
        <f>'Rolling report'!CW200*'No Action'!$Y$6</f>
        <v>1.32</v>
      </c>
      <c r="AE200" s="17">
        <f>'Rolling report'!CX200*'No Action'!$Y$6</f>
        <v>-4.4000000000000004</v>
      </c>
      <c r="AF200" s="17">
        <f>'Rolling report'!CY200*'No Action'!$Y$6</f>
        <v>-2.2000000000000002</v>
      </c>
      <c r="AG200" s="17">
        <f>'Rolling report'!CZ200*'No Action'!$Y$6</f>
        <v>0</v>
      </c>
      <c r="AH200" s="17">
        <f>'Rolling report'!DA200*'No Action'!$Y$6</f>
        <v>0</v>
      </c>
      <c r="AI200" s="17">
        <f>'Rolling report'!DB200*'No Action'!$Y$6</f>
        <v>0</v>
      </c>
      <c r="AJ200" s="17">
        <f>'Rolling report'!DC200*'No Action'!$Y$6</f>
        <v>0</v>
      </c>
      <c r="AK200" s="17">
        <f>'Rolling report'!DD200*'No Action'!$Y$6</f>
        <v>0</v>
      </c>
      <c r="AL200" s="17">
        <f>'Rolling report'!DE200*'No Action'!$Y$6</f>
        <v>0</v>
      </c>
      <c r="AM200" s="17">
        <f>'Rolling report'!DF200*'No Action'!$Y$6</f>
        <v>0</v>
      </c>
      <c r="AN200" s="17">
        <f>'Rolling report'!DG200*'No Action'!$Y$6</f>
        <v>0</v>
      </c>
      <c r="AO200" s="17">
        <f>'Rolling report'!DH200*'No Action'!$Y$6</f>
        <v>0</v>
      </c>
      <c r="AQ200" s="45"/>
    </row>
    <row r="201" spans="1:43" x14ac:dyDescent="0.25">
      <c r="A201" s="4" t="s">
        <v>441</v>
      </c>
      <c r="B201" s="6" t="s">
        <v>442</v>
      </c>
      <c r="I201" s="17">
        <f>'Rolling report'!CB201*'No Action'!$Y$6</f>
        <v>14.96</v>
      </c>
      <c r="J201" s="17">
        <f>'Rolling report'!CC201*'No Action'!$Y$6</f>
        <v>0.88</v>
      </c>
      <c r="K201" s="17">
        <f>'Rolling report'!CD201*'No Action'!$Y$6</f>
        <v>1.32</v>
      </c>
      <c r="L201" s="17">
        <f>'Rolling report'!CE201*'No Action'!$Y$6</f>
        <v>2.64</v>
      </c>
      <c r="M201" s="17">
        <f>'Rolling report'!CF201*'No Action'!$Y$6</f>
        <v>0.44</v>
      </c>
      <c r="N201" s="17">
        <f>'Rolling report'!CG201*'No Action'!$Y$6</f>
        <v>0</v>
      </c>
      <c r="O201" s="17">
        <f>'Rolling report'!CH201*'No Action'!$Y$6</f>
        <v>1.32</v>
      </c>
      <c r="P201" s="17">
        <f>'Rolling report'!CI201*'No Action'!$Y$6</f>
        <v>0</v>
      </c>
      <c r="Q201" s="17">
        <f>'Rolling report'!CJ201*'No Action'!$Y$6</f>
        <v>2.2000000000000002</v>
      </c>
      <c r="R201" s="17">
        <f>'Rolling report'!CK201*'No Action'!$Y$6</f>
        <v>1.76</v>
      </c>
      <c r="S201" s="17">
        <f>'Rolling report'!CL201*'No Action'!$Y$6</f>
        <v>0</v>
      </c>
      <c r="T201" s="17">
        <f>'Rolling report'!CM201*'No Action'!$Y$6</f>
        <v>1.32</v>
      </c>
      <c r="U201" s="17">
        <f>'Rolling report'!CN201*'No Action'!$Y$6</f>
        <v>0</v>
      </c>
      <c r="V201" s="17">
        <f>'Rolling report'!CO201*'No Action'!$Y$6</f>
        <v>4.4000000000000004</v>
      </c>
      <c r="W201" s="17">
        <f>'Rolling report'!CP201*'No Action'!$Y$6</f>
        <v>0.44</v>
      </c>
      <c r="X201" s="17">
        <f>'Rolling report'!CQ201*'No Action'!$Y$6</f>
        <v>0</v>
      </c>
      <c r="Y201" s="17">
        <f>'Rolling report'!CR201*'No Action'!$Y$6</f>
        <v>0.88</v>
      </c>
      <c r="Z201" s="17">
        <f>'Rolling report'!CS201*'No Action'!$Y$6</f>
        <v>0.44</v>
      </c>
      <c r="AA201" s="17">
        <f>'Rolling report'!CT201*'No Action'!$Y$6</f>
        <v>0</v>
      </c>
      <c r="AB201" s="17">
        <f>'Rolling report'!CU201*'No Action'!$Y$6</f>
        <v>0</v>
      </c>
      <c r="AC201" s="17">
        <f>'Rolling report'!CV201*'No Action'!$Y$6</f>
        <v>0</v>
      </c>
      <c r="AD201" s="17">
        <f>'Rolling report'!CW201*'No Action'!$Y$6</f>
        <v>0</v>
      </c>
      <c r="AE201" s="17">
        <f>'Rolling report'!CX201*'No Action'!$Y$6</f>
        <v>0.44</v>
      </c>
      <c r="AF201" s="17">
        <f>'Rolling report'!CY201*'No Action'!$Y$6</f>
        <v>-33.44</v>
      </c>
      <c r="AG201" s="17">
        <f>'Rolling report'!CZ201*'No Action'!$Y$6</f>
        <v>0</v>
      </c>
      <c r="AH201" s="17">
        <f>'Rolling report'!DA201*'No Action'!$Y$6</f>
        <v>0</v>
      </c>
      <c r="AI201" s="17">
        <f>'Rolling report'!DB201*'No Action'!$Y$6</f>
        <v>0</v>
      </c>
      <c r="AJ201" s="17">
        <f>'Rolling report'!DC201*'No Action'!$Y$6</f>
        <v>0</v>
      </c>
      <c r="AK201" s="17">
        <f>'Rolling report'!DD201*'No Action'!$Y$6</f>
        <v>0</v>
      </c>
      <c r="AL201" s="17">
        <f>'Rolling report'!DE201*'No Action'!$Y$6</f>
        <v>0</v>
      </c>
      <c r="AM201" s="17">
        <f>'Rolling report'!DF201*'No Action'!$Y$6</f>
        <v>0</v>
      </c>
      <c r="AN201" s="17">
        <f>'Rolling report'!DG201*'No Action'!$Y$6</f>
        <v>0</v>
      </c>
      <c r="AO201" s="17">
        <f>'Rolling report'!DH201*'No Action'!$Y$6</f>
        <v>0</v>
      </c>
      <c r="AQ201" s="45"/>
    </row>
    <row r="202" spans="1:43" x14ac:dyDescent="0.25">
      <c r="A202" s="4" t="s">
        <v>443</v>
      </c>
      <c r="B202" s="6" t="s">
        <v>444</v>
      </c>
      <c r="I202" s="17">
        <f>'Rolling report'!CB202*'No Action'!$Y$6</f>
        <v>15.84</v>
      </c>
      <c r="J202" s="17">
        <f>'Rolling report'!CC202*'No Action'!$Y$6</f>
        <v>4.4000000000000004</v>
      </c>
      <c r="K202" s="17">
        <f>'Rolling report'!CD202*'No Action'!$Y$6</f>
        <v>5.28</v>
      </c>
      <c r="L202" s="17">
        <f>'Rolling report'!CE202*'No Action'!$Y$6</f>
        <v>0.44</v>
      </c>
      <c r="M202" s="17">
        <f>'Rolling report'!CF202*'No Action'!$Y$6</f>
        <v>3.96</v>
      </c>
      <c r="N202" s="17">
        <f>'Rolling report'!CG202*'No Action'!$Y$6</f>
        <v>0.44</v>
      </c>
      <c r="O202" s="17">
        <f>'Rolling report'!CH202*'No Action'!$Y$6</f>
        <v>2.2000000000000002</v>
      </c>
      <c r="P202" s="17">
        <f>'Rolling report'!CI202*'No Action'!$Y$6</f>
        <v>3.96</v>
      </c>
      <c r="Q202" s="17">
        <f>'Rolling report'!CJ202*'No Action'!$Y$6</f>
        <v>2.64</v>
      </c>
      <c r="R202" s="17">
        <f>'Rolling report'!CK202*'No Action'!$Y$6</f>
        <v>2.2000000000000002</v>
      </c>
      <c r="S202" s="17">
        <f>'Rolling report'!CL202*'No Action'!$Y$6</f>
        <v>2.2000000000000002</v>
      </c>
      <c r="T202" s="17">
        <f>'Rolling report'!CM202*'No Action'!$Y$6</f>
        <v>3.08</v>
      </c>
      <c r="U202" s="17">
        <f>'Rolling report'!CN202*'No Action'!$Y$6</f>
        <v>2.64</v>
      </c>
      <c r="V202" s="17">
        <f>'Rolling report'!CO202*'No Action'!$Y$6</f>
        <v>0.44</v>
      </c>
      <c r="W202" s="17">
        <f>'Rolling report'!CP202*'No Action'!$Y$6</f>
        <v>1.32</v>
      </c>
      <c r="X202" s="17">
        <f>'Rolling report'!CQ202*'No Action'!$Y$6</f>
        <v>0</v>
      </c>
      <c r="Y202" s="17">
        <f>'Rolling report'!CR202*'No Action'!$Y$6</f>
        <v>0.44</v>
      </c>
      <c r="Z202" s="17">
        <f>'Rolling report'!CS202*'No Action'!$Y$6</f>
        <v>2.2000000000000002</v>
      </c>
      <c r="AA202" s="17">
        <f>'Rolling report'!CT202*'No Action'!$Y$6</f>
        <v>2.2000000000000002</v>
      </c>
      <c r="AB202" s="17">
        <f>'Rolling report'!CU202*'No Action'!$Y$6</f>
        <v>0</v>
      </c>
      <c r="AC202" s="17">
        <f>'Rolling report'!CV202*'No Action'!$Y$6</f>
        <v>0.44</v>
      </c>
      <c r="AD202" s="17">
        <f>'Rolling report'!CW202*'No Action'!$Y$6</f>
        <v>0.88</v>
      </c>
      <c r="AE202" s="17">
        <f>'Rolling report'!CX202*'No Action'!$Y$6</f>
        <v>3.96</v>
      </c>
      <c r="AF202" s="17">
        <f>'Rolling report'!CY202*'No Action'!$Y$6</f>
        <v>-61.160000000000004</v>
      </c>
      <c r="AG202" s="17">
        <f>'Rolling report'!CZ202*'No Action'!$Y$6</f>
        <v>0</v>
      </c>
      <c r="AH202" s="17">
        <f>'Rolling report'!DA202*'No Action'!$Y$6</f>
        <v>0</v>
      </c>
      <c r="AI202" s="17">
        <f>'Rolling report'!DB202*'No Action'!$Y$6</f>
        <v>0</v>
      </c>
      <c r="AJ202" s="17">
        <f>'Rolling report'!DC202*'No Action'!$Y$6</f>
        <v>0</v>
      </c>
      <c r="AK202" s="17">
        <f>'Rolling report'!DD202*'No Action'!$Y$6</f>
        <v>0</v>
      </c>
      <c r="AL202" s="17">
        <f>'Rolling report'!DE202*'No Action'!$Y$6</f>
        <v>0</v>
      </c>
      <c r="AM202" s="17">
        <f>'Rolling report'!DF202*'No Action'!$Y$6</f>
        <v>0</v>
      </c>
      <c r="AN202" s="17">
        <f>'Rolling report'!DG202*'No Action'!$Y$6</f>
        <v>0</v>
      </c>
      <c r="AO202" s="17">
        <f>'Rolling report'!DH202*'No Action'!$Y$6</f>
        <v>0</v>
      </c>
      <c r="AQ202" s="45"/>
    </row>
    <row r="203" spans="1:43" x14ac:dyDescent="0.25">
      <c r="A203" s="4" t="s">
        <v>445</v>
      </c>
      <c r="B203" s="6" t="s">
        <v>446</v>
      </c>
      <c r="I203" s="17">
        <f>'Rolling report'!CB203*'No Action'!$Y$6</f>
        <v>23.32</v>
      </c>
      <c r="J203" s="17">
        <f>'Rolling report'!CC203*'No Action'!$Y$6</f>
        <v>2.64</v>
      </c>
      <c r="K203" s="17">
        <f>'Rolling report'!CD203*'No Action'!$Y$6</f>
        <v>0</v>
      </c>
      <c r="L203" s="17">
        <f>'Rolling report'!CE203*'No Action'!$Y$6</f>
        <v>2.64</v>
      </c>
      <c r="M203" s="17">
        <f>'Rolling report'!CF203*'No Action'!$Y$6</f>
        <v>2.64</v>
      </c>
      <c r="N203" s="17">
        <f>'Rolling report'!CG203*'No Action'!$Y$6</f>
        <v>1.32</v>
      </c>
      <c r="O203" s="17">
        <f>'Rolling report'!CH203*'No Action'!$Y$6</f>
        <v>2.64</v>
      </c>
      <c r="P203" s="17">
        <f>'Rolling report'!CI203*'No Action'!$Y$6</f>
        <v>0.88</v>
      </c>
      <c r="Q203" s="17">
        <f>'Rolling report'!CJ203*'No Action'!$Y$6</f>
        <v>3.96</v>
      </c>
      <c r="R203" s="17">
        <f>'Rolling report'!CK203*'No Action'!$Y$6</f>
        <v>3.08</v>
      </c>
      <c r="S203" s="17">
        <f>'Rolling report'!CL203*'No Action'!$Y$6</f>
        <v>1.32</v>
      </c>
      <c r="T203" s="17">
        <f>'Rolling report'!CM203*'No Action'!$Y$6</f>
        <v>1.32</v>
      </c>
      <c r="U203" s="17">
        <f>'Rolling report'!CN203*'No Action'!$Y$6</f>
        <v>3.52</v>
      </c>
      <c r="V203" s="17">
        <f>'Rolling report'!CO203*'No Action'!$Y$6</f>
        <v>0.88</v>
      </c>
      <c r="W203" s="17">
        <f>'Rolling report'!CP203*'No Action'!$Y$6</f>
        <v>3.96</v>
      </c>
      <c r="X203" s="17">
        <f>'Rolling report'!CQ203*'No Action'!$Y$6</f>
        <v>0</v>
      </c>
      <c r="Y203" s="17">
        <f>'Rolling report'!CR203*'No Action'!$Y$6</f>
        <v>0.44</v>
      </c>
      <c r="Z203" s="17">
        <f>'Rolling report'!CS203*'No Action'!$Y$6</f>
        <v>0.44</v>
      </c>
      <c r="AA203" s="17">
        <f>'Rolling report'!CT203*'No Action'!$Y$6</f>
        <v>0.88</v>
      </c>
      <c r="AB203" s="17">
        <f>'Rolling report'!CU203*'No Action'!$Y$6</f>
        <v>0</v>
      </c>
      <c r="AC203" s="17">
        <f>'Rolling report'!CV203*'No Action'!$Y$6</f>
        <v>0.88</v>
      </c>
      <c r="AD203" s="17">
        <f>'Rolling report'!CW203*'No Action'!$Y$6</f>
        <v>-0.44</v>
      </c>
      <c r="AE203" s="17">
        <f>'Rolling report'!CX203*'No Action'!$Y$6</f>
        <v>0.44</v>
      </c>
      <c r="AF203" s="17">
        <f>'Rolling report'!CY203*'No Action'!$Y$6</f>
        <v>-56.76</v>
      </c>
      <c r="AG203" s="17">
        <f>'Rolling report'!CZ203*'No Action'!$Y$6</f>
        <v>0</v>
      </c>
      <c r="AH203" s="17">
        <f>'Rolling report'!DA203*'No Action'!$Y$6</f>
        <v>0</v>
      </c>
      <c r="AI203" s="17">
        <f>'Rolling report'!DB203*'No Action'!$Y$6</f>
        <v>0</v>
      </c>
      <c r="AJ203" s="17">
        <f>'Rolling report'!DC203*'No Action'!$Y$6</f>
        <v>0</v>
      </c>
      <c r="AK203" s="17">
        <f>'Rolling report'!DD203*'No Action'!$Y$6</f>
        <v>0</v>
      </c>
      <c r="AL203" s="17">
        <f>'Rolling report'!DE203*'No Action'!$Y$6</f>
        <v>0</v>
      </c>
      <c r="AM203" s="17">
        <f>'Rolling report'!DF203*'No Action'!$Y$6</f>
        <v>0</v>
      </c>
      <c r="AN203" s="17">
        <f>'Rolling report'!DG203*'No Action'!$Y$6</f>
        <v>0</v>
      </c>
      <c r="AO203" s="17">
        <f>'Rolling report'!DH203*'No Action'!$Y$6</f>
        <v>0</v>
      </c>
      <c r="AQ203" s="45"/>
    </row>
    <row r="204" spans="1:43" x14ac:dyDescent="0.25">
      <c r="A204" s="4" t="s">
        <v>447</v>
      </c>
      <c r="B204" s="6" t="s">
        <v>448</v>
      </c>
      <c r="I204" s="17">
        <f>'Rolling report'!CB204*'No Action'!$Y$6</f>
        <v>2.2000000000000002</v>
      </c>
      <c r="J204" s="17">
        <f>'Rolling report'!CC204*'No Action'!$Y$6</f>
        <v>0</v>
      </c>
      <c r="K204" s="17">
        <f>'Rolling report'!CD204*'No Action'!$Y$6</f>
        <v>0</v>
      </c>
      <c r="L204" s="17">
        <f>'Rolling report'!CE204*'No Action'!$Y$6</f>
        <v>0</v>
      </c>
      <c r="M204" s="17">
        <f>'Rolling report'!CF204*'No Action'!$Y$6</f>
        <v>0</v>
      </c>
      <c r="N204" s="17">
        <f>'Rolling report'!CG204*'No Action'!$Y$6</f>
        <v>0</v>
      </c>
      <c r="O204" s="17">
        <f>'Rolling report'!CH204*'No Action'!$Y$6</f>
        <v>2.2000000000000002</v>
      </c>
      <c r="P204" s="17">
        <f>'Rolling report'!CI204*'No Action'!$Y$6</f>
        <v>0</v>
      </c>
      <c r="Q204" s="17">
        <f>'Rolling report'!CJ204*'No Action'!$Y$6</f>
        <v>0</v>
      </c>
      <c r="R204" s="17">
        <f>'Rolling report'!CK204*'No Action'!$Y$6</f>
        <v>0</v>
      </c>
      <c r="S204" s="17">
        <f>'Rolling report'!CL204*'No Action'!$Y$6</f>
        <v>-2.2000000000000002</v>
      </c>
      <c r="T204" s="17">
        <f>'Rolling report'!CM204*'No Action'!$Y$6</f>
        <v>2.2000000000000002</v>
      </c>
      <c r="U204" s="17">
        <f>'Rolling report'!CN204*'No Action'!$Y$6</f>
        <v>2.2000000000000002</v>
      </c>
      <c r="V204" s="17">
        <f>'Rolling report'!CO204*'No Action'!$Y$6</f>
        <v>0</v>
      </c>
      <c r="W204" s="17">
        <f>'Rolling report'!CP204*'No Action'!$Y$6</f>
        <v>0</v>
      </c>
      <c r="X204" s="17">
        <f>'Rolling report'!CQ204*'No Action'!$Y$6</f>
        <v>0</v>
      </c>
      <c r="Y204" s="17">
        <f>'Rolling report'!CR204*'No Action'!$Y$6</f>
        <v>0</v>
      </c>
      <c r="Z204" s="17">
        <f>'Rolling report'!CS204*'No Action'!$Y$6</f>
        <v>0</v>
      </c>
      <c r="AA204" s="17">
        <f>'Rolling report'!CT204*'No Action'!$Y$6</f>
        <v>-1.32</v>
      </c>
      <c r="AB204" s="17">
        <f>'Rolling report'!CU204*'No Action'!$Y$6</f>
        <v>0</v>
      </c>
      <c r="AC204" s="17">
        <f>'Rolling report'!CV204*'No Action'!$Y$6</f>
        <v>0</v>
      </c>
      <c r="AD204" s="17">
        <f>'Rolling report'!CW204*'No Action'!$Y$6</f>
        <v>1.32</v>
      </c>
      <c r="AE204" s="17">
        <f>'Rolling report'!CX204*'No Action'!$Y$6</f>
        <v>-3.08</v>
      </c>
      <c r="AF204" s="17">
        <f>'Rolling report'!CY204*'No Action'!$Y$6</f>
        <v>-3.52</v>
      </c>
      <c r="AG204" s="17">
        <f>'Rolling report'!CZ204*'No Action'!$Y$6</f>
        <v>0</v>
      </c>
      <c r="AH204" s="17">
        <f>'Rolling report'!DA204*'No Action'!$Y$6</f>
        <v>0</v>
      </c>
      <c r="AI204" s="17">
        <f>'Rolling report'!DB204*'No Action'!$Y$6</f>
        <v>0</v>
      </c>
      <c r="AJ204" s="17">
        <f>'Rolling report'!DC204*'No Action'!$Y$6</f>
        <v>0</v>
      </c>
      <c r="AK204" s="17">
        <f>'Rolling report'!DD204*'No Action'!$Y$6</f>
        <v>0</v>
      </c>
      <c r="AL204" s="17">
        <f>'Rolling report'!DE204*'No Action'!$Y$6</f>
        <v>0</v>
      </c>
      <c r="AM204" s="17">
        <f>'Rolling report'!DF204*'No Action'!$Y$6</f>
        <v>0</v>
      </c>
      <c r="AN204" s="17">
        <f>'Rolling report'!DG204*'No Action'!$Y$6</f>
        <v>0</v>
      </c>
      <c r="AO204" s="17">
        <f>'Rolling report'!DH204*'No Action'!$Y$6</f>
        <v>0</v>
      </c>
      <c r="AQ204" s="45"/>
    </row>
    <row r="205" spans="1:43" x14ac:dyDescent="0.25">
      <c r="A205" s="4" t="s">
        <v>526</v>
      </c>
      <c r="B205" s="6" t="s">
        <v>527</v>
      </c>
      <c r="I205" s="17">
        <f>'Rolling report'!CB205*'No Action'!$Y$6</f>
        <v>24.64</v>
      </c>
      <c r="J205" s="17">
        <f>'Rolling report'!CC205*'No Action'!$Y$6</f>
        <v>3.52</v>
      </c>
      <c r="K205" s="17">
        <f>'Rolling report'!CD205*'No Action'!$Y$6</f>
        <v>0</v>
      </c>
      <c r="L205" s="17">
        <f>'Rolling report'!CE205*'No Action'!$Y$6</f>
        <v>0.44</v>
      </c>
      <c r="M205" s="17">
        <f>'Rolling report'!CF205*'No Action'!$Y$6</f>
        <v>2.2000000000000002</v>
      </c>
      <c r="N205" s="17">
        <f>'Rolling report'!CG205*'No Action'!$Y$6</f>
        <v>3.08</v>
      </c>
      <c r="O205" s="17">
        <f>'Rolling report'!CH205*'No Action'!$Y$6</f>
        <v>0.44</v>
      </c>
      <c r="P205" s="17">
        <f>'Rolling report'!CI205*'No Action'!$Y$6</f>
        <v>0</v>
      </c>
      <c r="Q205" s="17">
        <f>'Rolling report'!CJ205*'No Action'!$Y$6</f>
        <v>3.08</v>
      </c>
      <c r="R205" s="17">
        <f>'Rolling report'!CK205*'No Action'!$Y$6</f>
        <v>0.44</v>
      </c>
      <c r="S205" s="17">
        <f>'Rolling report'!CL205*'No Action'!$Y$6</f>
        <v>3.08</v>
      </c>
      <c r="T205" s="17">
        <f>'Rolling report'!CM205*'No Action'!$Y$6</f>
        <v>0.44</v>
      </c>
      <c r="U205" s="17">
        <f>'Rolling report'!CN205*'No Action'!$Y$6</f>
        <v>0</v>
      </c>
      <c r="V205" s="17">
        <f>'Rolling report'!CO205*'No Action'!$Y$6</f>
        <v>1.32</v>
      </c>
      <c r="W205" s="17">
        <f>'Rolling report'!CP205*'No Action'!$Y$6</f>
        <v>2.64</v>
      </c>
      <c r="X205" s="17">
        <f>'Rolling report'!CQ205*'No Action'!$Y$6</f>
        <v>0</v>
      </c>
      <c r="Y205" s="17">
        <f>'Rolling report'!CR205*'No Action'!$Y$6</f>
        <v>0.44</v>
      </c>
      <c r="Z205" s="17">
        <f>'Rolling report'!CS205*'No Action'!$Y$6</f>
        <v>0</v>
      </c>
      <c r="AA205" s="17">
        <f>'Rolling report'!CT205*'No Action'!$Y$6</f>
        <v>1.32</v>
      </c>
      <c r="AB205" s="17">
        <f>'Rolling report'!CU205*'No Action'!$Y$6</f>
        <v>0</v>
      </c>
      <c r="AC205" s="17">
        <f>'Rolling report'!CV205*'No Action'!$Y$6</f>
        <v>0.44</v>
      </c>
      <c r="AD205" s="17">
        <f>'Rolling report'!CW205*'No Action'!$Y$6</f>
        <v>0.44</v>
      </c>
      <c r="AE205" s="17">
        <f>'Rolling report'!CX205*'No Action'!$Y$6</f>
        <v>-0.44</v>
      </c>
      <c r="AF205" s="17">
        <f>'Rolling report'!CY205*'No Action'!$Y$6</f>
        <v>-47.52</v>
      </c>
      <c r="AG205" s="17">
        <f>'Rolling report'!CZ205*'No Action'!$Y$6</f>
        <v>0</v>
      </c>
      <c r="AH205" s="17">
        <f>'Rolling report'!DA205*'No Action'!$Y$6</f>
        <v>0</v>
      </c>
      <c r="AI205" s="17">
        <f>'Rolling report'!DB205*'No Action'!$Y$6</f>
        <v>0</v>
      </c>
      <c r="AJ205" s="17">
        <f>'Rolling report'!DC205*'No Action'!$Y$6</f>
        <v>0</v>
      </c>
      <c r="AK205" s="17">
        <f>'Rolling report'!DD205*'No Action'!$Y$6</f>
        <v>0</v>
      </c>
      <c r="AL205" s="17">
        <f>'Rolling report'!DE205*'No Action'!$Y$6</f>
        <v>0</v>
      </c>
      <c r="AM205" s="17">
        <f>'Rolling report'!DF205*'No Action'!$Y$6</f>
        <v>0</v>
      </c>
      <c r="AN205" s="17">
        <f>'Rolling report'!DG205*'No Action'!$Y$6</f>
        <v>0</v>
      </c>
      <c r="AO205" s="17">
        <f>'Rolling report'!DH205*'No Action'!$Y$6</f>
        <v>0</v>
      </c>
      <c r="AQ205" s="45"/>
    </row>
    <row r="206" spans="1:43" x14ac:dyDescent="0.25">
      <c r="A206" s="4"/>
      <c r="B206" s="6"/>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c r="AN206" s="17"/>
      <c r="AO206" s="17"/>
      <c r="AQ206" s="45"/>
    </row>
    <row r="207" spans="1:43" x14ac:dyDescent="0.25">
      <c r="A207" s="8" t="s">
        <v>628</v>
      </c>
      <c r="B207" s="11"/>
      <c r="I207" s="17">
        <f>'Rolling report'!CB207*'No Action'!$Y$6</f>
        <v>568.04</v>
      </c>
      <c r="J207" s="17">
        <f>'Rolling report'!CC207*'No Action'!$Y$6</f>
        <v>92.84</v>
      </c>
      <c r="K207" s="17">
        <f>'Rolling report'!CD207*'No Action'!$Y$6</f>
        <v>75.239999999999995</v>
      </c>
      <c r="L207" s="17">
        <f>'Rolling report'!CE207*'No Action'!$Y$6</f>
        <v>85.36</v>
      </c>
      <c r="M207" s="17">
        <f>'Rolling report'!CF207*'No Action'!$Y$6</f>
        <v>78.760000000000005</v>
      </c>
      <c r="N207" s="17">
        <f>'Rolling report'!CG207*'No Action'!$Y$6</f>
        <v>46.64</v>
      </c>
      <c r="O207" s="17">
        <f>'Rolling report'!CH207*'No Action'!$Y$6</f>
        <v>96.8</v>
      </c>
      <c r="P207" s="17">
        <f>'Rolling report'!CI207*'No Action'!$Y$6</f>
        <v>56.32</v>
      </c>
      <c r="Q207" s="17">
        <f>'Rolling report'!CJ207*'No Action'!$Y$6</f>
        <v>64.680000000000007</v>
      </c>
      <c r="R207" s="17">
        <f>'Rolling report'!CK207*'No Action'!$Y$6</f>
        <v>69.08</v>
      </c>
      <c r="S207" s="17">
        <f>'Rolling report'!CL207*'No Action'!$Y$6</f>
        <v>34.32</v>
      </c>
      <c r="T207" s="17">
        <f>'Rolling report'!CM207*'No Action'!$Y$6</f>
        <v>66.88</v>
      </c>
      <c r="U207" s="17">
        <f>'Rolling report'!CN207*'No Action'!$Y$6</f>
        <v>51.48</v>
      </c>
      <c r="V207" s="17">
        <f>'Rolling report'!CO207*'No Action'!$Y$6</f>
        <v>40.04</v>
      </c>
      <c r="W207" s="17">
        <f>'Rolling report'!CP207*'No Action'!$Y$6</f>
        <v>31.24</v>
      </c>
      <c r="X207" s="17">
        <f>'Rolling report'!CQ207*'No Action'!$Y$6</f>
        <v>11.44</v>
      </c>
      <c r="Y207" s="17">
        <f>'Rolling report'!CR207*'No Action'!$Y$6</f>
        <v>29.48</v>
      </c>
      <c r="Z207" s="17">
        <f>'Rolling report'!CS207*'No Action'!$Y$6</f>
        <v>30.8</v>
      </c>
      <c r="AA207" s="17">
        <f>'Rolling report'!CT207*'No Action'!$Y$6</f>
        <v>19.8</v>
      </c>
      <c r="AB207" s="17">
        <f>'Rolling report'!CU207*'No Action'!$Y$6</f>
        <v>25.96</v>
      </c>
      <c r="AC207" s="17">
        <f>'Rolling report'!CV207*'No Action'!$Y$6</f>
        <v>37.840000000000003</v>
      </c>
      <c r="AD207" s="17">
        <f>'Rolling report'!CW207*'No Action'!$Y$6</f>
        <v>15.4</v>
      </c>
      <c r="AE207" s="17">
        <f>'Rolling report'!CX207*'No Action'!$Y$6</f>
        <v>9.68</v>
      </c>
      <c r="AF207" s="17">
        <f>'Rolling report'!CY207*'No Action'!$Y$6</f>
        <v>-1638.1200000000001</v>
      </c>
      <c r="AG207" s="17">
        <f>'Rolling report'!CZ207*'No Action'!$Y$6</f>
        <v>0</v>
      </c>
      <c r="AH207" s="17">
        <f>'Rolling report'!DA207*'No Action'!$Y$6</f>
        <v>0</v>
      </c>
      <c r="AI207" s="17">
        <f>'Rolling report'!DB207*'No Action'!$Y$6</f>
        <v>0</v>
      </c>
      <c r="AJ207" s="17">
        <f>'Rolling report'!DC207*'No Action'!$Y$6</f>
        <v>0</v>
      </c>
      <c r="AK207" s="17">
        <f>'Rolling report'!DD207*'No Action'!$Y$6</f>
        <v>0</v>
      </c>
      <c r="AL207" s="17">
        <f>'Rolling report'!DE207*'No Action'!$Y$6</f>
        <v>0</v>
      </c>
      <c r="AM207" s="17">
        <f>'Rolling report'!DF207*'No Action'!$Y$6</f>
        <v>0</v>
      </c>
      <c r="AN207" s="17">
        <f>'Rolling report'!DG207*'No Action'!$Y$6</f>
        <v>0</v>
      </c>
      <c r="AO207" s="17">
        <f>'Rolling report'!DH207*'No Action'!$Y$6</f>
        <v>0</v>
      </c>
      <c r="AQ207" s="45"/>
    </row>
    <row r="208" spans="1:43" x14ac:dyDescent="0.25">
      <c r="A208" s="4"/>
      <c r="B208" s="6"/>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c r="AN208" s="17"/>
      <c r="AO208" s="17"/>
      <c r="AQ208" s="45"/>
    </row>
    <row r="209" spans="1:43" x14ac:dyDescent="0.25">
      <c r="A209" s="33"/>
      <c r="B209" s="33"/>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c r="AN209" s="17"/>
      <c r="AO209" s="17"/>
      <c r="AQ209" s="45"/>
    </row>
    <row r="210" spans="1:43" x14ac:dyDescent="0.25">
      <c r="A210" s="4"/>
      <c r="B210" s="6"/>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c r="AN210" s="17"/>
      <c r="AO210" s="17"/>
      <c r="AQ210" s="45"/>
    </row>
    <row r="211" spans="1:43" x14ac:dyDescent="0.25">
      <c r="A211" s="8" t="s">
        <v>708</v>
      </c>
      <c r="B211" s="11"/>
      <c r="I211" s="17">
        <f>'Rolling report'!CB211*'No Action'!$Y$6</f>
        <v>376.2</v>
      </c>
      <c r="J211" s="17">
        <f>'Rolling report'!CC211*'No Action'!$Y$6</f>
        <v>126.28</v>
      </c>
      <c r="K211" s="17">
        <f>'Rolling report'!CD211*'No Action'!$Y$6</f>
        <v>133.76</v>
      </c>
      <c r="L211" s="17">
        <f>'Rolling report'!CE211*'No Action'!$Y$6</f>
        <v>194.04</v>
      </c>
      <c r="M211" s="17">
        <f>'Rolling report'!CF211*'No Action'!$Y$6</f>
        <v>153.56</v>
      </c>
      <c r="N211" s="17">
        <f>'Rolling report'!CG211*'No Action'!$Y$6</f>
        <v>173.8</v>
      </c>
      <c r="O211" s="17">
        <f>'Rolling report'!CH211*'No Action'!$Y$6</f>
        <v>319.88</v>
      </c>
      <c r="P211" s="17">
        <f>'Rolling report'!CI211*'No Action'!$Y$6</f>
        <v>228.8</v>
      </c>
      <c r="Q211" s="17">
        <f>'Rolling report'!CJ211*'No Action'!$Y$6</f>
        <v>346.72</v>
      </c>
      <c r="R211" s="17">
        <f>'Rolling report'!CK211*'No Action'!$Y$6</f>
        <v>348.04</v>
      </c>
      <c r="S211" s="17">
        <f>'Rolling report'!CL211*'No Action'!$Y$6</f>
        <v>310.64</v>
      </c>
      <c r="T211" s="17">
        <f>'Rolling report'!CM211*'No Action'!$Y$6</f>
        <v>612.04</v>
      </c>
      <c r="U211" s="17">
        <f>'Rolling report'!CN211*'No Action'!$Y$6</f>
        <v>583.44000000000005</v>
      </c>
      <c r="V211" s="17">
        <f>'Rolling report'!CO211*'No Action'!$Y$6</f>
        <v>517.44000000000005</v>
      </c>
      <c r="W211" s="17">
        <f>'Rolling report'!CP211*'No Action'!$Y$6</f>
        <v>404.36</v>
      </c>
      <c r="X211" s="17">
        <f>'Rolling report'!CQ211*'No Action'!$Y$6</f>
        <v>291.72000000000003</v>
      </c>
      <c r="Y211" s="17">
        <f>'Rolling report'!CR211*'No Action'!$Y$6</f>
        <v>330.88</v>
      </c>
      <c r="Z211" s="17">
        <f>'Rolling report'!CS211*'No Action'!$Y$6</f>
        <v>355.52</v>
      </c>
      <c r="AA211" s="17">
        <f>'Rolling report'!CT211*'No Action'!$Y$6</f>
        <v>389.84</v>
      </c>
      <c r="AB211" s="17">
        <f>'Rolling report'!CU211*'No Action'!$Y$6</f>
        <v>337.92</v>
      </c>
      <c r="AC211" s="17">
        <f>'Rolling report'!CV211*'No Action'!$Y$6</f>
        <v>421.08</v>
      </c>
      <c r="AD211" s="17">
        <f>'Rolling report'!CW211*'No Action'!$Y$6</f>
        <v>246.4</v>
      </c>
      <c r="AE211" s="17">
        <f>'Rolling report'!CX211*'No Action'!$Y$6</f>
        <v>219.56</v>
      </c>
      <c r="AF211" s="17">
        <f>'Rolling report'!CY211*'No Action'!$Y$6</f>
        <v>-7421.92</v>
      </c>
      <c r="AG211" s="17">
        <f>'Rolling report'!CZ211*'No Action'!$Y$6</f>
        <v>0</v>
      </c>
      <c r="AH211" s="17">
        <f>'Rolling report'!DA211*'No Action'!$Y$6</f>
        <v>0</v>
      </c>
      <c r="AI211" s="17">
        <f>'Rolling report'!DB211*'No Action'!$Y$6</f>
        <v>0</v>
      </c>
      <c r="AJ211" s="17">
        <f>'Rolling report'!DC211*'No Action'!$Y$6</f>
        <v>0</v>
      </c>
      <c r="AK211" s="17">
        <f>'Rolling report'!DD211*'No Action'!$Y$6</f>
        <v>0</v>
      </c>
      <c r="AL211" s="17">
        <f>'Rolling report'!DE211*'No Action'!$Y$6</f>
        <v>0</v>
      </c>
      <c r="AM211" s="17">
        <f>'Rolling report'!DF211*'No Action'!$Y$6</f>
        <v>0</v>
      </c>
      <c r="AN211" s="17">
        <f>'Rolling report'!DG211*'No Action'!$Y$6</f>
        <v>0</v>
      </c>
      <c r="AO211" s="17">
        <f>'Rolling report'!DH211*'No Action'!$Y$6</f>
        <v>0</v>
      </c>
      <c r="AQ211" s="45"/>
    </row>
    <row r="212" spans="1:43" x14ac:dyDescent="0.25">
      <c r="A212" s="4"/>
      <c r="B212" s="6"/>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c r="AN212" s="17"/>
      <c r="AO212" s="17"/>
      <c r="AQ212" s="45"/>
    </row>
    <row r="213" spans="1:43" x14ac:dyDescent="0.25">
      <c r="A213" s="8" t="s">
        <v>710</v>
      </c>
      <c r="B213" s="11"/>
      <c r="I213" s="17">
        <f>'Rolling report'!CB213*'No Action'!$Y$6</f>
        <v>944.24</v>
      </c>
      <c r="J213" s="17">
        <f>'Rolling report'!CC213*'No Action'!$Y$6</f>
        <v>219.12</v>
      </c>
      <c r="K213" s="17">
        <f>'Rolling report'!CD213*'No Action'!$Y$6</f>
        <v>209</v>
      </c>
      <c r="L213" s="17">
        <f>'Rolling report'!CE213*'No Action'!$Y$6</f>
        <v>279.39999999999998</v>
      </c>
      <c r="M213" s="17">
        <f>'Rolling report'!CF213*'No Action'!$Y$6</f>
        <v>232.32</v>
      </c>
      <c r="N213" s="17">
        <f>'Rolling report'!CG213*'No Action'!$Y$6</f>
        <v>220.44</v>
      </c>
      <c r="O213" s="17">
        <f>'Rolling report'!CH213*'No Action'!$Y$6</f>
        <v>416.68</v>
      </c>
      <c r="P213" s="17">
        <f>'Rolling report'!CI213*'No Action'!$Y$6</f>
        <v>285.12</v>
      </c>
      <c r="Q213" s="17">
        <f>'Rolling report'!CJ213*'No Action'!$Y$6</f>
        <v>411.4</v>
      </c>
      <c r="R213" s="17">
        <f>'Rolling report'!CK213*'No Action'!$Y$6</f>
        <v>417.12</v>
      </c>
      <c r="S213" s="17">
        <f>'Rolling report'!CL213*'No Action'!$Y$6</f>
        <v>344.96</v>
      </c>
      <c r="T213" s="17">
        <f>'Rolling report'!CM213*'No Action'!$Y$6</f>
        <v>678.92</v>
      </c>
      <c r="U213" s="17">
        <f>'Rolling report'!CN213*'No Action'!$Y$6</f>
        <v>634.91999999999996</v>
      </c>
      <c r="V213" s="17">
        <f>'Rolling report'!CO213*'No Action'!$Y$6</f>
        <v>557.48</v>
      </c>
      <c r="W213" s="17">
        <f>'Rolling report'!CP213*'No Action'!$Y$6</f>
        <v>435.6</v>
      </c>
      <c r="X213" s="17">
        <f>'Rolling report'!CQ213*'No Action'!$Y$6</f>
        <v>303.16000000000003</v>
      </c>
      <c r="Y213" s="17">
        <f>'Rolling report'!CR213*'No Action'!$Y$6</f>
        <v>360.36</v>
      </c>
      <c r="Z213" s="17">
        <f>'Rolling report'!CS213*'No Action'!$Y$6</f>
        <v>386.32</v>
      </c>
      <c r="AA213" s="17">
        <f>'Rolling report'!CT213*'No Action'!$Y$6</f>
        <v>409.64</v>
      </c>
      <c r="AB213" s="17">
        <f>'Rolling report'!CU213*'No Action'!$Y$6</f>
        <v>363.88</v>
      </c>
      <c r="AC213" s="17">
        <f>'Rolling report'!CV213*'No Action'!$Y$6</f>
        <v>458.92</v>
      </c>
      <c r="AD213" s="17">
        <f>'Rolling report'!CW213*'No Action'!$Y$6</f>
        <v>261.8</v>
      </c>
      <c r="AE213" s="17">
        <f>'Rolling report'!CX213*'No Action'!$Y$6</f>
        <v>229.24</v>
      </c>
      <c r="AF213" s="17">
        <f>'Rolling report'!CY213*'No Action'!$Y$6</f>
        <v>-9060.0400000000009</v>
      </c>
      <c r="AG213" s="17">
        <f>'Rolling report'!CZ213*'No Action'!$Y$6</f>
        <v>0</v>
      </c>
      <c r="AH213" s="17">
        <f>'Rolling report'!DA213*'No Action'!$Y$6</f>
        <v>0</v>
      </c>
      <c r="AI213" s="17">
        <f>'Rolling report'!DB213*'No Action'!$Y$6</f>
        <v>0</v>
      </c>
      <c r="AJ213" s="17">
        <f>'Rolling report'!DC213*'No Action'!$Y$6</f>
        <v>0</v>
      </c>
      <c r="AK213" s="17">
        <f>'Rolling report'!DD213*'No Action'!$Y$6</f>
        <v>0</v>
      </c>
      <c r="AL213" s="17">
        <f>'Rolling report'!DE213*'No Action'!$Y$6</f>
        <v>0</v>
      </c>
      <c r="AM213" s="17">
        <f>'Rolling report'!DF213*'No Action'!$Y$6</f>
        <v>0</v>
      </c>
      <c r="AN213" s="17">
        <f>'Rolling report'!DG213*'No Action'!$Y$6</f>
        <v>0</v>
      </c>
      <c r="AO213" s="17">
        <f>'Rolling report'!DH213*'No Action'!$Y$6</f>
        <v>0</v>
      </c>
      <c r="AQ213" s="45"/>
    </row>
    <row r="214" spans="1:43" ht="15.75" thickBot="1" x14ac:dyDescent="0.3">
      <c r="A214" s="12"/>
      <c r="B214" s="13"/>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c r="AN214" s="17"/>
      <c r="AO214" s="17"/>
      <c r="AQ214" s="45"/>
    </row>
    <row r="215" spans="1:43" x14ac:dyDescent="0.25">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c r="AN215" s="17"/>
      <c r="AO215" s="17"/>
      <c r="AQ215" s="45"/>
    </row>
    <row r="216" spans="1:43" ht="20.25" x14ac:dyDescent="0.3">
      <c r="A216" s="1" t="s">
        <v>0</v>
      </c>
      <c r="B216" s="2"/>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c r="AN216" s="17"/>
      <c r="AO216" s="17"/>
      <c r="AQ216" s="45"/>
    </row>
    <row r="217" spans="1:43" x14ac:dyDescent="0.25">
      <c r="A217" s="3" t="s">
        <v>1</v>
      </c>
      <c r="B217" s="2"/>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c r="AN217" s="17"/>
      <c r="AO217" s="17"/>
      <c r="AQ217" s="45"/>
    </row>
    <row r="218" spans="1:43" x14ac:dyDescent="0.25">
      <c r="A218" s="4" t="s">
        <v>2</v>
      </c>
      <c r="B218" s="2"/>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c r="AN218" s="17"/>
      <c r="AO218" s="17"/>
      <c r="AQ218" s="45"/>
    </row>
    <row r="219" spans="1:43" x14ac:dyDescent="0.25">
      <c r="A219" s="5" t="s">
        <v>454</v>
      </c>
      <c r="B219" s="6"/>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c r="AN219" s="17"/>
      <c r="AO219" s="17"/>
      <c r="AQ219" s="45"/>
    </row>
    <row r="220" spans="1:43" x14ac:dyDescent="0.25">
      <c r="A220" s="7"/>
      <c r="B220" s="6"/>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c r="AN220" s="17"/>
      <c r="AO220" s="17"/>
      <c r="AQ220" s="45"/>
    </row>
    <row r="221" spans="1:43" x14ac:dyDescent="0.25">
      <c r="A221" s="8" t="s">
        <v>455</v>
      </c>
      <c r="B221" s="30"/>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c r="AN221" s="17"/>
      <c r="AO221" s="17"/>
      <c r="AQ221" s="45"/>
    </row>
    <row r="222" spans="1:43" x14ac:dyDescent="0.25">
      <c r="A222" s="9"/>
      <c r="B222" s="2"/>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Q222" s="45"/>
    </row>
    <row r="223" spans="1:43" x14ac:dyDescent="0.25">
      <c r="A223" s="10" t="s">
        <v>3</v>
      </c>
      <c r="B223" s="31" t="s">
        <v>4</v>
      </c>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Q223" s="45"/>
    </row>
    <row r="224" spans="1:43" x14ac:dyDescent="0.25">
      <c r="A224" s="4"/>
      <c r="B224" s="6"/>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Q224" s="45"/>
    </row>
    <row r="225" spans="1:43" x14ac:dyDescent="0.25">
      <c r="A225" s="4" t="s">
        <v>456</v>
      </c>
      <c r="B225" s="6" t="s">
        <v>457</v>
      </c>
      <c r="I225" s="17">
        <f>'Rolling report'!CB225*'No Action'!$Y$6</f>
        <v>2.2000000000000002</v>
      </c>
      <c r="J225" s="17">
        <f>'Rolling report'!CC225*'No Action'!$Y$6</f>
        <v>0</v>
      </c>
      <c r="K225" s="17">
        <f>'Rolling report'!CD225*'No Action'!$Y$6</f>
        <v>0</v>
      </c>
      <c r="L225" s="17">
        <f>'Rolling report'!CE225*'No Action'!$Y$6</f>
        <v>0</v>
      </c>
      <c r="M225" s="17">
        <f>'Rolling report'!CF225*'No Action'!$Y$6</f>
        <v>1.32</v>
      </c>
      <c r="N225" s="17">
        <f>'Rolling report'!CG225*'No Action'!$Y$6</f>
        <v>0</v>
      </c>
      <c r="O225" s="17">
        <f>'Rolling report'!CH225*'No Action'!$Y$6</f>
        <v>0.88</v>
      </c>
      <c r="P225" s="17">
        <f>'Rolling report'!CI225*'No Action'!$Y$6</f>
        <v>2.2000000000000002</v>
      </c>
      <c r="Q225" s="17">
        <f>'Rolling report'!CJ225*'No Action'!$Y$6</f>
        <v>0</v>
      </c>
      <c r="R225" s="17">
        <f>'Rolling report'!CK225*'No Action'!$Y$6</f>
        <v>0</v>
      </c>
      <c r="S225" s="17">
        <f>'Rolling report'!CL225*'No Action'!$Y$6</f>
        <v>0</v>
      </c>
      <c r="T225" s="17">
        <f>'Rolling report'!CM225*'No Action'!$Y$6</f>
        <v>0</v>
      </c>
      <c r="U225" s="17">
        <f>'Rolling report'!CN225*'No Action'!$Y$6</f>
        <v>0</v>
      </c>
      <c r="V225" s="17">
        <f>'Rolling report'!CO225*'No Action'!$Y$6</f>
        <v>0</v>
      </c>
      <c r="W225" s="17">
        <f>'Rolling report'!CP225*'No Action'!$Y$6</f>
        <v>0.44</v>
      </c>
      <c r="X225" s="17">
        <f>'Rolling report'!CQ225*'No Action'!$Y$6</f>
        <v>0</v>
      </c>
      <c r="Y225" s="17">
        <f>'Rolling report'!CR225*'No Action'!$Y$6</f>
        <v>0</v>
      </c>
      <c r="Z225" s="17">
        <f>'Rolling report'!CS225*'No Action'!$Y$6</f>
        <v>0</v>
      </c>
      <c r="AA225" s="17">
        <f>'Rolling report'!CT225*'No Action'!$Y$6</f>
        <v>0</v>
      </c>
      <c r="AB225" s="17">
        <f>'Rolling report'!CU225*'No Action'!$Y$6</f>
        <v>0.44</v>
      </c>
      <c r="AC225" s="17">
        <f>'Rolling report'!CV225*'No Action'!$Y$6</f>
        <v>3.08</v>
      </c>
      <c r="AD225" s="17">
        <f>'Rolling report'!CW225*'No Action'!$Y$6</f>
        <v>0</v>
      </c>
      <c r="AE225" s="17">
        <f>'Rolling report'!CX225*'No Action'!$Y$6</f>
        <v>0</v>
      </c>
      <c r="AF225" s="17">
        <f>'Rolling report'!CY225*'No Action'!$Y$6</f>
        <v>-10.56</v>
      </c>
      <c r="AG225" s="17">
        <f>'Rolling report'!CZ225*'No Action'!$Y$6</f>
        <v>0</v>
      </c>
      <c r="AH225" s="17">
        <f>'Rolling report'!DA225*'No Action'!$Y$6</f>
        <v>0</v>
      </c>
      <c r="AI225" s="17">
        <f>'Rolling report'!DB225*'No Action'!$Y$6</f>
        <v>0</v>
      </c>
      <c r="AJ225" s="17">
        <f>'Rolling report'!DC225*'No Action'!$Y$6</f>
        <v>0</v>
      </c>
      <c r="AK225" s="17">
        <f>'Rolling report'!DD225*'No Action'!$Y$6</f>
        <v>0</v>
      </c>
      <c r="AL225" s="17">
        <f>'Rolling report'!DE225*'No Action'!$Y$6</f>
        <v>0</v>
      </c>
      <c r="AM225" s="17">
        <f>'Rolling report'!DF225*'No Action'!$Y$6</f>
        <v>0</v>
      </c>
      <c r="AN225" s="17">
        <f>'Rolling report'!DG225*'No Action'!$Y$6</f>
        <v>0</v>
      </c>
      <c r="AO225" s="17">
        <f>'Rolling report'!DH225*'No Action'!$Y$6</f>
        <v>0</v>
      </c>
      <c r="AQ225" s="45"/>
    </row>
    <row r="226" spans="1:43" x14ac:dyDescent="0.25">
      <c r="A226" s="4" t="s">
        <v>458</v>
      </c>
      <c r="B226" s="6" t="s">
        <v>459</v>
      </c>
      <c r="I226" s="17">
        <f>'Rolling report'!CB226*'No Action'!$Y$6</f>
        <v>22.44</v>
      </c>
      <c r="J226" s="17">
        <f>'Rolling report'!CC226*'No Action'!$Y$6</f>
        <v>0</v>
      </c>
      <c r="K226" s="17">
        <f>'Rolling report'!CD226*'No Action'!$Y$6</f>
        <v>2.2000000000000002</v>
      </c>
      <c r="L226" s="17">
        <f>'Rolling report'!CE226*'No Action'!$Y$6</f>
        <v>0.88</v>
      </c>
      <c r="M226" s="17">
        <f>'Rolling report'!CF226*'No Action'!$Y$6</f>
        <v>4.4000000000000004</v>
      </c>
      <c r="N226" s="17">
        <f>'Rolling report'!CG226*'No Action'!$Y$6</f>
        <v>3.52</v>
      </c>
      <c r="O226" s="17">
        <f>'Rolling report'!CH226*'No Action'!$Y$6</f>
        <v>2.2000000000000002</v>
      </c>
      <c r="P226" s="17">
        <f>'Rolling report'!CI226*'No Action'!$Y$6</f>
        <v>4.4000000000000004</v>
      </c>
      <c r="Q226" s="17">
        <f>'Rolling report'!CJ226*'No Action'!$Y$6</f>
        <v>6.16</v>
      </c>
      <c r="R226" s="17">
        <f>'Rolling report'!CK226*'No Action'!$Y$6</f>
        <v>3.08</v>
      </c>
      <c r="S226" s="17">
        <f>'Rolling report'!CL226*'No Action'!$Y$6</f>
        <v>1.32</v>
      </c>
      <c r="T226" s="17">
        <f>'Rolling report'!CM226*'No Action'!$Y$6</f>
        <v>4.84</v>
      </c>
      <c r="U226" s="17">
        <f>'Rolling report'!CN226*'No Action'!$Y$6</f>
        <v>0.88</v>
      </c>
      <c r="V226" s="17">
        <f>'Rolling report'!CO226*'No Action'!$Y$6</f>
        <v>0.88</v>
      </c>
      <c r="W226" s="17">
        <f>'Rolling report'!CP226*'No Action'!$Y$6</f>
        <v>2.64</v>
      </c>
      <c r="X226" s="17">
        <f>'Rolling report'!CQ226*'No Action'!$Y$6</f>
        <v>0.44</v>
      </c>
      <c r="Y226" s="17">
        <f>'Rolling report'!CR226*'No Action'!$Y$6</f>
        <v>2.2000000000000002</v>
      </c>
      <c r="Z226" s="17">
        <f>'Rolling report'!CS226*'No Action'!$Y$6</f>
        <v>0.88</v>
      </c>
      <c r="AA226" s="17">
        <f>'Rolling report'!CT226*'No Action'!$Y$6</f>
        <v>0.44</v>
      </c>
      <c r="AB226" s="17">
        <f>'Rolling report'!CU226*'No Action'!$Y$6</f>
        <v>3.08</v>
      </c>
      <c r="AC226" s="17">
        <f>'Rolling report'!CV226*'No Action'!$Y$6</f>
        <v>0.88</v>
      </c>
      <c r="AD226" s="17">
        <f>'Rolling report'!CW226*'No Action'!$Y$6</f>
        <v>2.2000000000000002</v>
      </c>
      <c r="AE226" s="17">
        <f>'Rolling report'!CX226*'No Action'!$Y$6</f>
        <v>0.44</v>
      </c>
      <c r="AF226" s="17">
        <f>'Rolling report'!CY226*'No Action'!$Y$6</f>
        <v>-70.400000000000006</v>
      </c>
      <c r="AG226" s="17">
        <f>'Rolling report'!CZ226*'No Action'!$Y$6</f>
        <v>0</v>
      </c>
      <c r="AH226" s="17">
        <f>'Rolling report'!DA226*'No Action'!$Y$6</f>
        <v>0</v>
      </c>
      <c r="AI226" s="17">
        <f>'Rolling report'!DB226*'No Action'!$Y$6</f>
        <v>0</v>
      </c>
      <c r="AJ226" s="17">
        <f>'Rolling report'!DC226*'No Action'!$Y$6</f>
        <v>0</v>
      </c>
      <c r="AK226" s="17">
        <f>'Rolling report'!DD226*'No Action'!$Y$6</f>
        <v>0</v>
      </c>
      <c r="AL226" s="17">
        <f>'Rolling report'!DE226*'No Action'!$Y$6</f>
        <v>0</v>
      </c>
      <c r="AM226" s="17">
        <f>'Rolling report'!DF226*'No Action'!$Y$6</f>
        <v>0</v>
      </c>
      <c r="AN226" s="17">
        <f>'Rolling report'!DG226*'No Action'!$Y$6</f>
        <v>0</v>
      </c>
      <c r="AO226" s="17">
        <f>'Rolling report'!DH226*'No Action'!$Y$6</f>
        <v>0</v>
      </c>
      <c r="AQ226" s="45"/>
    </row>
    <row r="227" spans="1:43" x14ac:dyDescent="0.25">
      <c r="A227" s="4" t="s">
        <v>460</v>
      </c>
      <c r="B227" s="6" t="s">
        <v>461</v>
      </c>
      <c r="I227" s="17">
        <f>'Rolling report'!CB227*'No Action'!$Y$6</f>
        <v>11.88</v>
      </c>
      <c r="J227" s="17">
        <f>'Rolling report'!CC227*'No Action'!$Y$6</f>
        <v>1.76</v>
      </c>
      <c r="K227" s="17">
        <f>'Rolling report'!CD227*'No Action'!$Y$6</f>
        <v>0</v>
      </c>
      <c r="L227" s="17">
        <f>'Rolling report'!CE227*'No Action'!$Y$6</f>
        <v>0.88</v>
      </c>
      <c r="M227" s="17">
        <f>'Rolling report'!CF227*'No Action'!$Y$6</f>
        <v>0</v>
      </c>
      <c r="N227" s="17">
        <f>'Rolling report'!CG227*'No Action'!$Y$6</f>
        <v>0</v>
      </c>
      <c r="O227" s="17">
        <f>'Rolling report'!CH227*'No Action'!$Y$6</f>
        <v>2.2000000000000002</v>
      </c>
      <c r="P227" s="17">
        <f>'Rolling report'!CI227*'No Action'!$Y$6</f>
        <v>0</v>
      </c>
      <c r="Q227" s="17">
        <f>'Rolling report'!CJ227*'No Action'!$Y$6</f>
        <v>1.32</v>
      </c>
      <c r="R227" s="17">
        <f>'Rolling report'!CK227*'No Action'!$Y$6</f>
        <v>0.44</v>
      </c>
      <c r="S227" s="17">
        <f>'Rolling report'!CL227*'No Action'!$Y$6</f>
        <v>0</v>
      </c>
      <c r="T227" s="17">
        <f>'Rolling report'!CM227*'No Action'!$Y$6</f>
        <v>0.88</v>
      </c>
      <c r="U227" s="17">
        <f>'Rolling report'!CN227*'No Action'!$Y$6</f>
        <v>1.32</v>
      </c>
      <c r="V227" s="17">
        <f>'Rolling report'!CO227*'No Action'!$Y$6</f>
        <v>2.2000000000000002</v>
      </c>
      <c r="W227" s="17">
        <f>'Rolling report'!CP227*'No Action'!$Y$6</f>
        <v>1.76</v>
      </c>
      <c r="X227" s="17">
        <f>'Rolling report'!CQ227*'No Action'!$Y$6</f>
        <v>0</v>
      </c>
      <c r="Y227" s="17">
        <f>'Rolling report'!CR227*'No Action'!$Y$6</f>
        <v>0</v>
      </c>
      <c r="Z227" s="17">
        <f>'Rolling report'!CS227*'No Action'!$Y$6</f>
        <v>0.88</v>
      </c>
      <c r="AA227" s="17">
        <f>'Rolling report'!CT227*'No Action'!$Y$6</f>
        <v>0</v>
      </c>
      <c r="AB227" s="17">
        <f>'Rolling report'!CU227*'No Action'!$Y$6</f>
        <v>0</v>
      </c>
      <c r="AC227" s="17">
        <f>'Rolling report'!CV227*'No Action'!$Y$6</f>
        <v>0.88</v>
      </c>
      <c r="AD227" s="17">
        <f>'Rolling report'!CW227*'No Action'!$Y$6</f>
        <v>3.08</v>
      </c>
      <c r="AE227" s="17">
        <f>'Rolling report'!CX227*'No Action'!$Y$6</f>
        <v>1.32</v>
      </c>
      <c r="AF227" s="17">
        <f>'Rolling report'!CY227*'No Action'!$Y$6</f>
        <v>-30.8</v>
      </c>
      <c r="AG227" s="17">
        <f>'Rolling report'!CZ227*'No Action'!$Y$6</f>
        <v>0</v>
      </c>
      <c r="AH227" s="17">
        <f>'Rolling report'!DA227*'No Action'!$Y$6</f>
        <v>0</v>
      </c>
      <c r="AI227" s="17">
        <f>'Rolling report'!DB227*'No Action'!$Y$6</f>
        <v>0</v>
      </c>
      <c r="AJ227" s="17">
        <f>'Rolling report'!DC227*'No Action'!$Y$6</f>
        <v>0</v>
      </c>
      <c r="AK227" s="17">
        <f>'Rolling report'!DD227*'No Action'!$Y$6</f>
        <v>0</v>
      </c>
      <c r="AL227" s="17">
        <f>'Rolling report'!DE227*'No Action'!$Y$6</f>
        <v>0</v>
      </c>
      <c r="AM227" s="17">
        <f>'Rolling report'!DF227*'No Action'!$Y$6</f>
        <v>0</v>
      </c>
      <c r="AN227" s="17">
        <f>'Rolling report'!DG227*'No Action'!$Y$6</f>
        <v>0</v>
      </c>
      <c r="AO227" s="17">
        <f>'Rolling report'!DH227*'No Action'!$Y$6</f>
        <v>0</v>
      </c>
      <c r="AQ227" s="45"/>
    </row>
    <row r="228" spans="1:43" x14ac:dyDescent="0.25">
      <c r="A228" s="4" t="s">
        <v>462</v>
      </c>
      <c r="B228" s="6" t="s">
        <v>463</v>
      </c>
      <c r="I228" s="17">
        <f>'Rolling report'!CB228*'No Action'!$Y$6</f>
        <v>47.08</v>
      </c>
      <c r="J228" s="17">
        <f>'Rolling report'!CC228*'No Action'!$Y$6</f>
        <v>7.48</v>
      </c>
      <c r="K228" s="17">
        <f>'Rolling report'!CD228*'No Action'!$Y$6</f>
        <v>5.28</v>
      </c>
      <c r="L228" s="17">
        <f>'Rolling report'!CE228*'No Action'!$Y$6</f>
        <v>9.68</v>
      </c>
      <c r="M228" s="17">
        <f>'Rolling report'!CF228*'No Action'!$Y$6</f>
        <v>1.76</v>
      </c>
      <c r="N228" s="17">
        <f>'Rolling report'!CG228*'No Action'!$Y$6</f>
        <v>2.2000000000000002</v>
      </c>
      <c r="O228" s="17">
        <f>'Rolling report'!CH228*'No Action'!$Y$6</f>
        <v>10.56</v>
      </c>
      <c r="P228" s="17">
        <f>'Rolling report'!CI228*'No Action'!$Y$6</f>
        <v>3.52</v>
      </c>
      <c r="Q228" s="17">
        <f>'Rolling report'!CJ228*'No Action'!$Y$6</f>
        <v>4.4000000000000004</v>
      </c>
      <c r="R228" s="17">
        <f>'Rolling report'!CK228*'No Action'!$Y$6</f>
        <v>1.32</v>
      </c>
      <c r="S228" s="17">
        <f>'Rolling report'!CL228*'No Action'!$Y$6</f>
        <v>2.2000000000000002</v>
      </c>
      <c r="T228" s="17">
        <f>'Rolling report'!CM228*'No Action'!$Y$6</f>
        <v>3.08</v>
      </c>
      <c r="U228" s="17">
        <f>'Rolling report'!CN228*'No Action'!$Y$6</f>
        <v>4.4000000000000004</v>
      </c>
      <c r="V228" s="17">
        <f>'Rolling report'!CO228*'No Action'!$Y$6</f>
        <v>1.32</v>
      </c>
      <c r="W228" s="17">
        <f>'Rolling report'!CP228*'No Action'!$Y$6</f>
        <v>3.96</v>
      </c>
      <c r="X228" s="17">
        <f>'Rolling report'!CQ228*'No Action'!$Y$6</f>
        <v>2.2000000000000002</v>
      </c>
      <c r="Y228" s="17">
        <f>'Rolling report'!CR228*'No Action'!$Y$6</f>
        <v>1.32</v>
      </c>
      <c r="Z228" s="17">
        <f>'Rolling report'!CS228*'No Action'!$Y$6</f>
        <v>1.32</v>
      </c>
      <c r="AA228" s="17">
        <f>'Rolling report'!CT228*'No Action'!$Y$6</f>
        <v>2.64</v>
      </c>
      <c r="AB228" s="17">
        <f>'Rolling report'!CU228*'No Action'!$Y$6</f>
        <v>3.96</v>
      </c>
      <c r="AC228" s="17">
        <f>'Rolling report'!CV228*'No Action'!$Y$6</f>
        <v>3.96</v>
      </c>
      <c r="AD228" s="17">
        <f>'Rolling report'!CW228*'No Action'!$Y$6</f>
        <v>0</v>
      </c>
      <c r="AE228" s="17">
        <f>'Rolling report'!CX228*'No Action'!$Y$6</f>
        <v>1.32</v>
      </c>
      <c r="AF228" s="17">
        <f>'Rolling report'!CY228*'No Action'!$Y$6</f>
        <v>-124.96</v>
      </c>
      <c r="AG228" s="17">
        <f>'Rolling report'!CZ228*'No Action'!$Y$6</f>
        <v>0</v>
      </c>
      <c r="AH228" s="17">
        <f>'Rolling report'!DA228*'No Action'!$Y$6</f>
        <v>0</v>
      </c>
      <c r="AI228" s="17">
        <f>'Rolling report'!DB228*'No Action'!$Y$6</f>
        <v>0</v>
      </c>
      <c r="AJ228" s="17">
        <f>'Rolling report'!DC228*'No Action'!$Y$6</f>
        <v>0</v>
      </c>
      <c r="AK228" s="17">
        <f>'Rolling report'!DD228*'No Action'!$Y$6</f>
        <v>0</v>
      </c>
      <c r="AL228" s="17">
        <f>'Rolling report'!DE228*'No Action'!$Y$6</f>
        <v>0</v>
      </c>
      <c r="AM228" s="17">
        <f>'Rolling report'!DF228*'No Action'!$Y$6</f>
        <v>0</v>
      </c>
      <c r="AN228" s="17">
        <f>'Rolling report'!DG228*'No Action'!$Y$6</f>
        <v>0</v>
      </c>
      <c r="AO228" s="17">
        <f>'Rolling report'!DH228*'No Action'!$Y$6</f>
        <v>0</v>
      </c>
      <c r="AQ228" s="45"/>
    </row>
    <row r="229" spans="1:43" x14ac:dyDescent="0.25">
      <c r="A229" s="4" t="s">
        <v>464</v>
      </c>
      <c r="B229" s="6" t="s">
        <v>465</v>
      </c>
      <c r="I229" s="17">
        <f>'Rolling report'!CB229*'No Action'!$Y$6</f>
        <v>27.72</v>
      </c>
      <c r="J229" s="17">
        <f>'Rolling report'!CC229*'No Action'!$Y$6</f>
        <v>3.52</v>
      </c>
      <c r="K229" s="17">
        <f>'Rolling report'!CD229*'No Action'!$Y$6</f>
        <v>9.68</v>
      </c>
      <c r="L229" s="17">
        <f>'Rolling report'!CE229*'No Action'!$Y$6</f>
        <v>3.08</v>
      </c>
      <c r="M229" s="17">
        <f>'Rolling report'!CF229*'No Action'!$Y$6</f>
        <v>2.2000000000000002</v>
      </c>
      <c r="N229" s="17">
        <f>'Rolling report'!CG229*'No Action'!$Y$6</f>
        <v>7.92</v>
      </c>
      <c r="O229" s="17">
        <f>'Rolling report'!CH229*'No Action'!$Y$6</f>
        <v>4.84</v>
      </c>
      <c r="P229" s="17">
        <f>'Rolling report'!CI229*'No Action'!$Y$6</f>
        <v>5.28</v>
      </c>
      <c r="Q229" s="17">
        <f>'Rolling report'!CJ229*'No Action'!$Y$6</f>
        <v>3.96</v>
      </c>
      <c r="R229" s="17">
        <f>'Rolling report'!CK229*'No Action'!$Y$6</f>
        <v>5.72</v>
      </c>
      <c r="S229" s="17">
        <f>'Rolling report'!CL229*'No Action'!$Y$6</f>
        <v>2.2000000000000002</v>
      </c>
      <c r="T229" s="17">
        <f>'Rolling report'!CM229*'No Action'!$Y$6</f>
        <v>3.52</v>
      </c>
      <c r="U229" s="17">
        <f>'Rolling report'!CN229*'No Action'!$Y$6</f>
        <v>1.76</v>
      </c>
      <c r="V229" s="17">
        <f>'Rolling report'!CO229*'No Action'!$Y$6</f>
        <v>3.08</v>
      </c>
      <c r="W229" s="17">
        <f>'Rolling report'!CP229*'No Action'!$Y$6</f>
        <v>1.32</v>
      </c>
      <c r="X229" s="17">
        <f>'Rolling report'!CQ229*'No Action'!$Y$6</f>
        <v>2.2000000000000002</v>
      </c>
      <c r="Y229" s="17">
        <f>'Rolling report'!CR229*'No Action'!$Y$6</f>
        <v>1.32</v>
      </c>
      <c r="Z229" s="17">
        <f>'Rolling report'!CS229*'No Action'!$Y$6</f>
        <v>1.76</v>
      </c>
      <c r="AA229" s="17">
        <f>'Rolling report'!CT229*'No Action'!$Y$6</f>
        <v>3.52</v>
      </c>
      <c r="AB229" s="17">
        <f>'Rolling report'!CU229*'No Action'!$Y$6</f>
        <v>2.64</v>
      </c>
      <c r="AC229" s="17">
        <f>'Rolling report'!CV229*'No Action'!$Y$6</f>
        <v>3.08</v>
      </c>
      <c r="AD229" s="17">
        <f>'Rolling report'!CW229*'No Action'!$Y$6</f>
        <v>0.44</v>
      </c>
      <c r="AE229" s="17">
        <f>'Rolling report'!CX229*'No Action'!$Y$6</f>
        <v>0</v>
      </c>
      <c r="AF229" s="17">
        <f>'Rolling report'!CY229*'No Action'!$Y$6</f>
        <v>-100.76</v>
      </c>
      <c r="AG229" s="17">
        <f>'Rolling report'!CZ229*'No Action'!$Y$6</f>
        <v>0</v>
      </c>
      <c r="AH229" s="17">
        <f>'Rolling report'!DA229*'No Action'!$Y$6</f>
        <v>0</v>
      </c>
      <c r="AI229" s="17">
        <f>'Rolling report'!DB229*'No Action'!$Y$6</f>
        <v>0</v>
      </c>
      <c r="AJ229" s="17">
        <f>'Rolling report'!DC229*'No Action'!$Y$6</f>
        <v>0</v>
      </c>
      <c r="AK229" s="17">
        <f>'Rolling report'!DD229*'No Action'!$Y$6</f>
        <v>0</v>
      </c>
      <c r="AL229" s="17">
        <f>'Rolling report'!DE229*'No Action'!$Y$6</f>
        <v>0</v>
      </c>
      <c r="AM229" s="17">
        <f>'Rolling report'!DF229*'No Action'!$Y$6</f>
        <v>0</v>
      </c>
      <c r="AN229" s="17">
        <f>'Rolling report'!DG229*'No Action'!$Y$6</f>
        <v>0</v>
      </c>
      <c r="AO229" s="17">
        <f>'Rolling report'!DH229*'No Action'!$Y$6</f>
        <v>0</v>
      </c>
      <c r="AQ229" s="45"/>
    </row>
    <row r="230" spans="1:43" x14ac:dyDescent="0.25">
      <c r="A230" s="4" t="s">
        <v>466</v>
      </c>
      <c r="B230" s="6" t="s">
        <v>467</v>
      </c>
      <c r="I230" s="17">
        <f>'Rolling report'!CB230*'No Action'!$Y$6</f>
        <v>13.2</v>
      </c>
      <c r="J230" s="17">
        <f>'Rolling report'!CC230*'No Action'!$Y$6</f>
        <v>5.28</v>
      </c>
      <c r="K230" s="17">
        <f>'Rolling report'!CD230*'No Action'!$Y$6</f>
        <v>0</v>
      </c>
      <c r="L230" s="17">
        <f>'Rolling report'!CE230*'No Action'!$Y$6</f>
        <v>6.6</v>
      </c>
      <c r="M230" s="17">
        <f>'Rolling report'!CF230*'No Action'!$Y$6</f>
        <v>0</v>
      </c>
      <c r="N230" s="17">
        <f>'Rolling report'!CG230*'No Action'!$Y$6</f>
        <v>0.88</v>
      </c>
      <c r="O230" s="17">
        <f>'Rolling report'!CH230*'No Action'!$Y$6</f>
        <v>3.96</v>
      </c>
      <c r="P230" s="17">
        <f>'Rolling report'!CI230*'No Action'!$Y$6</f>
        <v>1.32</v>
      </c>
      <c r="Q230" s="17">
        <f>'Rolling report'!CJ230*'No Action'!$Y$6</f>
        <v>3.52</v>
      </c>
      <c r="R230" s="17">
        <f>'Rolling report'!CK230*'No Action'!$Y$6</f>
        <v>0.44</v>
      </c>
      <c r="S230" s="17">
        <f>'Rolling report'!CL230*'No Action'!$Y$6</f>
        <v>0</v>
      </c>
      <c r="T230" s="17">
        <f>'Rolling report'!CM230*'No Action'!$Y$6</f>
        <v>0.44</v>
      </c>
      <c r="U230" s="17">
        <f>'Rolling report'!CN230*'No Action'!$Y$6</f>
        <v>1.32</v>
      </c>
      <c r="V230" s="17">
        <f>'Rolling report'!CO230*'No Action'!$Y$6</f>
        <v>0</v>
      </c>
      <c r="W230" s="17">
        <f>'Rolling report'!CP230*'No Action'!$Y$6</f>
        <v>0</v>
      </c>
      <c r="X230" s="17">
        <f>'Rolling report'!CQ230*'No Action'!$Y$6</f>
        <v>0.44</v>
      </c>
      <c r="Y230" s="17">
        <f>'Rolling report'!CR230*'No Action'!$Y$6</f>
        <v>0</v>
      </c>
      <c r="Z230" s="17">
        <f>'Rolling report'!CS230*'No Action'!$Y$6</f>
        <v>1.76</v>
      </c>
      <c r="AA230" s="17">
        <f>'Rolling report'!CT230*'No Action'!$Y$6</f>
        <v>1.76</v>
      </c>
      <c r="AB230" s="17">
        <f>'Rolling report'!CU230*'No Action'!$Y$6</f>
        <v>0</v>
      </c>
      <c r="AC230" s="17">
        <f>'Rolling report'!CV230*'No Action'!$Y$6</f>
        <v>1.76</v>
      </c>
      <c r="AD230" s="17">
        <f>'Rolling report'!CW230*'No Action'!$Y$6</f>
        <v>-0.88</v>
      </c>
      <c r="AE230" s="17">
        <f>'Rolling report'!CX230*'No Action'!$Y$6</f>
        <v>0.88</v>
      </c>
      <c r="AF230" s="17">
        <f>'Rolling report'!CY230*'No Action'!$Y$6</f>
        <v>-42.68</v>
      </c>
      <c r="AG230" s="17">
        <f>'Rolling report'!CZ230*'No Action'!$Y$6</f>
        <v>0</v>
      </c>
      <c r="AH230" s="17">
        <f>'Rolling report'!DA230*'No Action'!$Y$6</f>
        <v>0</v>
      </c>
      <c r="AI230" s="17">
        <f>'Rolling report'!DB230*'No Action'!$Y$6</f>
        <v>0</v>
      </c>
      <c r="AJ230" s="17">
        <f>'Rolling report'!DC230*'No Action'!$Y$6</f>
        <v>0</v>
      </c>
      <c r="AK230" s="17">
        <f>'Rolling report'!DD230*'No Action'!$Y$6</f>
        <v>0</v>
      </c>
      <c r="AL230" s="17">
        <f>'Rolling report'!DE230*'No Action'!$Y$6</f>
        <v>0</v>
      </c>
      <c r="AM230" s="17">
        <f>'Rolling report'!DF230*'No Action'!$Y$6</f>
        <v>0</v>
      </c>
      <c r="AN230" s="17">
        <f>'Rolling report'!DG230*'No Action'!$Y$6</f>
        <v>0</v>
      </c>
      <c r="AO230" s="17">
        <f>'Rolling report'!DH230*'No Action'!$Y$6</f>
        <v>0</v>
      </c>
      <c r="AQ230" s="45"/>
    </row>
    <row r="231" spans="1:43" x14ac:dyDescent="0.25">
      <c r="A231" s="4" t="s">
        <v>468</v>
      </c>
      <c r="B231" s="6" t="s">
        <v>469</v>
      </c>
      <c r="I231" s="17">
        <f>'Rolling report'!CB231*'No Action'!$Y$6</f>
        <v>20.68</v>
      </c>
      <c r="J231" s="17">
        <f>'Rolling report'!CC231*'No Action'!$Y$6</f>
        <v>1.32</v>
      </c>
      <c r="K231" s="17">
        <f>'Rolling report'!CD231*'No Action'!$Y$6</f>
        <v>4.4000000000000004</v>
      </c>
      <c r="L231" s="17">
        <f>'Rolling report'!CE231*'No Action'!$Y$6</f>
        <v>2.2000000000000002</v>
      </c>
      <c r="M231" s="17">
        <f>'Rolling report'!CF231*'No Action'!$Y$6</f>
        <v>0.44</v>
      </c>
      <c r="N231" s="17">
        <f>'Rolling report'!CG231*'No Action'!$Y$6</f>
        <v>1.76</v>
      </c>
      <c r="O231" s="17">
        <f>'Rolling report'!CH231*'No Action'!$Y$6</f>
        <v>2.64</v>
      </c>
      <c r="P231" s="17">
        <f>'Rolling report'!CI231*'No Action'!$Y$6</f>
        <v>1.32</v>
      </c>
      <c r="Q231" s="17">
        <f>'Rolling report'!CJ231*'No Action'!$Y$6</f>
        <v>0.44</v>
      </c>
      <c r="R231" s="17">
        <f>'Rolling report'!CK231*'No Action'!$Y$6</f>
        <v>1.32</v>
      </c>
      <c r="S231" s="17">
        <f>'Rolling report'!CL231*'No Action'!$Y$6</f>
        <v>0.88</v>
      </c>
      <c r="T231" s="17">
        <f>'Rolling report'!CM231*'No Action'!$Y$6</f>
        <v>1.32</v>
      </c>
      <c r="U231" s="17">
        <f>'Rolling report'!CN231*'No Action'!$Y$6</f>
        <v>1.76</v>
      </c>
      <c r="V231" s="17">
        <f>'Rolling report'!CO231*'No Action'!$Y$6</f>
        <v>1.76</v>
      </c>
      <c r="W231" s="17">
        <f>'Rolling report'!CP231*'No Action'!$Y$6</f>
        <v>1.76</v>
      </c>
      <c r="X231" s="17">
        <f>'Rolling report'!CQ231*'No Action'!$Y$6</f>
        <v>0</v>
      </c>
      <c r="Y231" s="17">
        <f>'Rolling report'!CR231*'No Action'!$Y$6</f>
        <v>0</v>
      </c>
      <c r="Z231" s="17">
        <f>'Rolling report'!CS231*'No Action'!$Y$6</f>
        <v>1.76</v>
      </c>
      <c r="AA231" s="17">
        <f>'Rolling report'!CT231*'No Action'!$Y$6</f>
        <v>0</v>
      </c>
      <c r="AB231" s="17">
        <f>'Rolling report'!CU231*'No Action'!$Y$6</f>
        <v>1.32</v>
      </c>
      <c r="AC231" s="17">
        <f>'Rolling report'!CV231*'No Action'!$Y$6</f>
        <v>0.44</v>
      </c>
      <c r="AD231" s="17">
        <f>'Rolling report'!CW231*'No Action'!$Y$6</f>
        <v>0</v>
      </c>
      <c r="AE231" s="17">
        <f>'Rolling report'!CX231*'No Action'!$Y$6</f>
        <v>0</v>
      </c>
      <c r="AF231" s="17">
        <f>'Rolling report'!CY231*'No Action'!$Y$6</f>
        <v>-47.52</v>
      </c>
      <c r="AG231" s="17">
        <f>'Rolling report'!CZ231*'No Action'!$Y$6</f>
        <v>0</v>
      </c>
      <c r="AH231" s="17">
        <f>'Rolling report'!DA231*'No Action'!$Y$6</f>
        <v>0</v>
      </c>
      <c r="AI231" s="17">
        <f>'Rolling report'!DB231*'No Action'!$Y$6</f>
        <v>0</v>
      </c>
      <c r="AJ231" s="17">
        <f>'Rolling report'!DC231*'No Action'!$Y$6</f>
        <v>0</v>
      </c>
      <c r="AK231" s="17">
        <f>'Rolling report'!DD231*'No Action'!$Y$6</f>
        <v>0</v>
      </c>
      <c r="AL231" s="17">
        <f>'Rolling report'!DE231*'No Action'!$Y$6</f>
        <v>0</v>
      </c>
      <c r="AM231" s="17">
        <f>'Rolling report'!DF231*'No Action'!$Y$6</f>
        <v>0</v>
      </c>
      <c r="AN231" s="17">
        <f>'Rolling report'!DG231*'No Action'!$Y$6</f>
        <v>0</v>
      </c>
      <c r="AO231" s="17">
        <f>'Rolling report'!DH231*'No Action'!$Y$6</f>
        <v>0</v>
      </c>
      <c r="AQ231" s="45"/>
    </row>
    <row r="232" spans="1:43" x14ac:dyDescent="0.25">
      <c r="A232" s="4" t="s">
        <v>470</v>
      </c>
      <c r="B232" s="6" t="s">
        <v>471</v>
      </c>
      <c r="I232" s="17">
        <f>'Rolling report'!CB232*'No Action'!$Y$6</f>
        <v>16.28</v>
      </c>
      <c r="J232" s="17">
        <f>'Rolling report'!CC232*'No Action'!$Y$6</f>
        <v>3.52</v>
      </c>
      <c r="K232" s="17">
        <f>'Rolling report'!CD232*'No Action'!$Y$6</f>
        <v>0.44</v>
      </c>
      <c r="L232" s="17">
        <f>'Rolling report'!CE232*'No Action'!$Y$6</f>
        <v>3.08</v>
      </c>
      <c r="M232" s="17">
        <f>'Rolling report'!CF232*'No Action'!$Y$6</f>
        <v>3.96</v>
      </c>
      <c r="N232" s="17">
        <f>'Rolling report'!CG232*'No Action'!$Y$6</f>
        <v>1.76</v>
      </c>
      <c r="O232" s="17">
        <f>'Rolling report'!CH232*'No Action'!$Y$6</f>
        <v>0.44</v>
      </c>
      <c r="P232" s="17">
        <f>'Rolling report'!CI232*'No Action'!$Y$6</f>
        <v>0.88</v>
      </c>
      <c r="Q232" s="17">
        <f>'Rolling report'!CJ232*'No Action'!$Y$6</f>
        <v>0.88</v>
      </c>
      <c r="R232" s="17">
        <f>'Rolling report'!CK232*'No Action'!$Y$6</f>
        <v>0.88</v>
      </c>
      <c r="S232" s="17">
        <f>'Rolling report'!CL232*'No Action'!$Y$6</f>
        <v>1.76</v>
      </c>
      <c r="T232" s="17">
        <f>'Rolling report'!CM232*'No Action'!$Y$6</f>
        <v>0.88</v>
      </c>
      <c r="U232" s="17">
        <f>'Rolling report'!CN232*'No Action'!$Y$6</f>
        <v>0.44</v>
      </c>
      <c r="V232" s="17">
        <f>'Rolling report'!CO232*'No Action'!$Y$6</f>
        <v>0</v>
      </c>
      <c r="W232" s="17">
        <f>'Rolling report'!CP232*'No Action'!$Y$6</f>
        <v>1.32</v>
      </c>
      <c r="X232" s="17">
        <f>'Rolling report'!CQ232*'No Action'!$Y$6</f>
        <v>0.44</v>
      </c>
      <c r="Y232" s="17">
        <f>'Rolling report'!CR232*'No Action'!$Y$6</f>
        <v>1.76</v>
      </c>
      <c r="Z232" s="17">
        <f>'Rolling report'!CS232*'No Action'!$Y$6</f>
        <v>0</v>
      </c>
      <c r="AA232" s="17">
        <f>'Rolling report'!CT232*'No Action'!$Y$6</f>
        <v>1.32</v>
      </c>
      <c r="AB232" s="17">
        <f>'Rolling report'!CU232*'No Action'!$Y$6</f>
        <v>0.44</v>
      </c>
      <c r="AC232" s="17">
        <f>'Rolling report'!CV232*'No Action'!$Y$6</f>
        <v>0</v>
      </c>
      <c r="AD232" s="17">
        <f>'Rolling report'!CW232*'No Action'!$Y$6</f>
        <v>0</v>
      </c>
      <c r="AE232" s="17">
        <f>'Rolling report'!CX232*'No Action'!$Y$6</f>
        <v>-0.44</v>
      </c>
      <c r="AF232" s="17">
        <f>'Rolling report'!CY232*'No Action'!$Y$6</f>
        <v>-40.04</v>
      </c>
      <c r="AG232" s="17">
        <f>'Rolling report'!CZ232*'No Action'!$Y$6</f>
        <v>0</v>
      </c>
      <c r="AH232" s="17">
        <f>'Rolling report'!DA232*'No Action'!$Y$6</f>
        <v>0</v>
      </c>
      <c r="AI232" s="17">
        <f>'Rolling report'!DB232*'No Action'!$Y$6</f>
        <v>0</v>
      </c>
      <c r="AJ232" s="17">
        <f>'Rolling report'!DC232*'No Action'!$Y$6</f>
        <v>0</v>
      </c>
      <c r="AK232" s="17">
        <f>'Rolling report'!DD232*'No Action'!$Y$6</f>
        <v>0</v>
      </c>
      <c r="AL232" s="17">
        <f>'Rolling report'!DE232*'No Action'!$Y$6</f>
        <v>0</v>
      </c>
      <c r="AM232" s="17">
        <f>'Rolling report'!DF232*'No Action'!$Y$6</f>
        <v>0</v>
      </c>
      <c r="AN232" s="17">
        <f>'Rolling report'!DG232*'No Action'!$Y$6</f>
        <v>0</v>
      </c>
      <c r="AO232" s="17">
        <f>'Rolling report'!DH232*'No Action'!$Y$6</f>
        <v>0</v>
      </c>
      <c r="AQ232" s="45"/>
    </row>
    <row r="233" spans="1:43" x14ac:dyDescent="0.25">
      <c r="A233" s="4" t="s">
        <v>472</v>
      </c>
      <c r="B233" s="6" t="s">
        <v>473</v>
      </c>
      <c r="I233" s="17">
        <f>'Rolling report'!CB233*'No Action'!$Y$6</f>
        <v>15.4</v>
      </c>
      <c r="J233" s="17">
        <f>'Rolling report'!CC233*'No Action'!$Y$6</f>
        <v>2.2000000000000002</v>
      </c>
      <c r="K233" s="17">
        <f>'Rolling report'!CD233*'No Action'!$Y$6</f>
        <v>2.64</v>
      </c>
      <c r="L233" s="17">
        <f>'Rolling report'!CE233*'No Action'!$Y$6</f>
        <v>0.88</v>
      </c>
      <c r="M233" s="17">
        <f>'Rolling report'!CF233*'No Action'!$Y$6</f>
        <v>1.32</v>
      </c>
      <c r="N233" s="17">
        <f>'Rolling report'!CG233*'No Action'!$Y$6</f>
        <v>0</v>
      </c>
      <c r="O233" s="17">
        <f>'Rolling report'!CH233*'No Action'!$Y$6</f>
        <v>0</v>
      </c>
      <c r="P233" s="17">
        <f>'Rolling report'!CI233*'No Action'!$Y$6</f>
        <v>3.96</v>
      </c>
      <c r="Q233" s="17">
        <f>'Rolling report'!CJ233*'No Action'!$Y$6</f>
        <v>0</v>
      </c>
      <c r="R233" s="17">
        <f>'Rolling report'!CK233*'No Action'!$Y$6</f>
        <v>2.64</v>
      </c>
      <c r="S233" s="17">
        <f>'Rolling report'!CL233*'No Action'!$Y$6</f>
        <v>2.2000000000000002</v>
      </c>
      <c r="T233" s="17">
        <f>'Rolling report'!CM233*'No Action'!$Y$6</f>
        <v>0.88</v>
      </c>
      <c r="U233" s="17">
        <f>'Rolling report'!CN233*'No Action'!$Y$6</f>
        <v>0.44</v>
      </c>
      <c r="V233" s="17">
        <f>'Rolling report'!CO233*'No Action'!$Y$6</f>
        <v>1.76</v>
      </c>
      <c r="W233" s="17">
        <f>'Rolling report'!CP233*'No Action'!$Y$6</f>
        <v>1.32</v>
      </c>
      <c r="X233" s="17">
        <f>'Rolling report'!CQ233*'No Action'!$Y$6</f>
        <v>1.76</v>
      </c>
      <c r="Y233" s="17">
        <f>'Rolling report'!CR233*'No Action'!$Y$6</f>
        <v>0</v>
      </c>
      <c r="Z233" s="17">
        <f>'Rolling report'!CS233*'No Action'!$Y$6</f>
        <v>1.32</v>
      </c>
      <c r="AA233" s="17">
        <f>'Rolling report'!CT233*'No Action'!$Y$6</f>
        <v>0.44</v>
      </c>
      <c r="AB233" s="17">
        <f>'Rolling report'!CU233*'No Action'!$Y$6</f>
        <v>0.44</v>
      </c>
      <c r="AC233" s="17">
        <f>'Rolling report'!CV233*'No Action'!$Y$6</f>
        <v>0.44</v>
      </c>
      <c r="AD233" s="17">
        <f>'Rolling report'!CW233*'No Action'!$Y$6</f>
        <v>0</v>
      </c>
      <c r="AE233" s="17">
        <f>'Rolling report'!CX233*'No Action'!$Y$6</f>
        <v>2.64</v>
      </c>
      <c r="AF233" s="17">
        <f>'Rolling report'!CY233*'No Action'!$Y$6</f>
        <v>-42.68</v>
      </c>
      <c r="AG233" s="17">
        <f>'Rolling report'!CZ233*'No Action'!$Y$6</f>
        <v>0</v>
      </c>
      <c r="AH233" s="17">
        <f>'Rolling report'!DA233*'No Action'!$Y$6</f>
        <v>0</v>
      </c>
      <c r="AI233" s="17">
        <f>'Rolling report'!DB233*'No Action'!$Y$6</f>
        <v>0</v>
      </c>
      <c r="AJ233" s="17">
        <f>'Rolling report'!DC233*'No Action'!$Y$6</f>
        <v>0</v>
      </c>
      <c r="AK233" s="17">
        <f>'Rolling report'!DD233*'No Action'!$Y$6</f>
        <v>0</v>
      </c>
      <c r="AL233" s="17">
        <f>'Rolling report'!DE233*'No Action'!$Y$6</f>
        <v>0</v>
      </c>
      <c r="AM233" s="17">
        <f>'Rolling report'!DF233*'No Action'!$Y$6</f>
        <v>0</v>
      </c>
      <c r="AN233" s="17">
        <f>'Rolling report'!DG233*'No Action'!$Y$6</f>
        <v>0</v>
      </c>
      <c r="AO233" s="17">
        <f>'Rolling report'!DH233*'No Action'!$Y$6</f>
        <v>0</v>
      </c>
      <c r="AQ233" s="45"/>
    </row>
    <row r="234" spans="1:43" x14ac:dyDescent="0.25">
      <c r="A234" s="4" t="s">
        <v>474</v>
      </c>
      <c r="B234" s="6" t="s">
        <v>475</v>
      </c>
      <c r="I234" s="17">
        <f>'Rolling report'!CB234*'No Action'!$Y$6</f>
        <v>22.88</v>
      </c>
      <c r="J234" s="17">
        <f>'Rolling report'!CC234*'No Action'!$Y$6</f>
        <v>4.84</v>
      </c>
      <c r="K234" s="17">
        <f>'Rolling report'!CD234*'No Action'!$Y$6</f>
        <v>4.4000000000000004</v>
      </c>
      <c r="L234" s="17">
        <f>'Rolling report'!CE234*'No Action'!$Y$6</f>
        <v>10.56</v>
      </c>
      <c r="M234" s="17">
        <f>'Rolling report'!CF234*'No Action'!$Y$6</f>
        <v>0.88</v>
      </c>
      <c r="N234" s="17">
        <f>'Rolling report'!CG234*'No Action'!$Y$6</f>
        <v>2.2000000000000002</v>
      </c>
      <c r="O234" s="17">
        <f>'Rolling report'!CH234*'No Action'!$Y$6</f>
        <v>2.2000000000000002</v>
      </c>
      <c r="P234" s="17">
        <f>'Rolling report'!CI234*'No Action'!$Y$6</f>
        <v>2.64</v>
      </c>
      <c r="Q234" s="17">
        <f>'Rolling report'!CJ234*'No Action'!$Y$6</f>
        <v>2.2000000000000002</v>
      </c>
      <c r="R234" s="17">
        <f>'Rolling report'!CK234*'No Action'!$Y$6</f>
        <v>1.32</v>
      </c>
      <c r="S234" s="17">
        <f>'Rolling report'!CL234*'No Action'!$Y$6</f>
        <v>0.88</v>
      </c>
      <c r="T234" s="17">
        <f>'Rolling report'!CM234*'No Action'!$Y$6</f>
        <v>6.16</v>
      </c>
      <c r="U234" s="17">
        <f>'Rolling report'!CN234*'No Action'!$Y$6</f>
        <v>1.76</v>
      </c>
      <c r="V234" s="17">
        <f>'Rolling report'!CO234*'No Action'!$Y$6</f>
        <v>0.88</v>
      </c>
      <c r="W234" s="17">
        <f>'Rolling report'!CP234*'No Action'!$Y$6</f>
        <v>3.08</v>
      </c>
      <c r="X234" s="17">
        <f>'Rolling report'!CQ234*'No Action'!$Y$6</f>
        <v>1.32</v>
      </c>
      <c r="Y234" s="17">
        <f>'Rolling report'!CR234*'No Action'!$Y$6</f>
        <v>0.88</v>
      </c>
      <c r="Z234" s="17">
        <f>'Rolling report'!CS234*'No Action'!$Y$6</f>
        <v>0</v>
      </c>
      <c r="AA234" s="17">
        <f>'Rolling report'!CT234*'No Action'!$Y$6</f>
        <v>2.64</v>
      </c>
      <c r="AB234" s="17">
        <f>'Rolling report'!CU234*'No Action'!$Y$6</f>
        <v>0</v>
      </c>
      <c r="AC234" s="17">
        <f>'Rolling report'!CV234*'No Action'!$Y$6</f>
        <v>4.4000000000000004</v>
      </c>
      <c r="AD234" s="17">
        <f>'Rolling report'!CW234*'No Action'!$Y$6</f>
        <v>-1.32</v>
      </c>
      <c r="AE234" s="17">
        <f>'Rolling report'!CX234*'No Action'!$Y$6</f>
        <v>0</v>
      </c>
      <c r="AF234" s="17">
        <f>'Rolling report'!CY234*'No Action'!$Y$6</f>
        <v>-74.8</v>
      </c>
      <c r="AG234" s="17">
        <f>'Rolling report'!CZ234*'No Action'!$Y$6</f>
        <v>0</v>
      </c>
      <c r="AH234" s="17">
        <f>'Rolling report'!DA234*'No Action'!$Y$6</f>
        <v>0</v>
      </c>
      <c r="AI234" s="17">
        <f>'Rolling report'!DB234*'No Action'!$Y$6</f>
        <v>0</v>
      </c>
      <c r="AJ234" s="17">
        <f>'Rolling report'!DC234*'No Action'!$Y$6</f>
        <v>0</v>
      </c>
      <c r="AK234" s="17">
        <f>'Rolling report'!DD234*'No Action'!$Y$6</f>
        <v>0</v>
      </c>
      <c r="AL234" s="17">
        <f>'Rolling report'!DE234*'No Action'!$Y$6</f>
        <v>0</v>
      </c>
      <c r="AM234" s="17">
        <f>'Rolling report'!DF234*'No Action'!$Y$6</f>
        <v>0</v>
      </c>
      <c r="AN234" s="17">
        <f>'Rolling report'!DG234*'No Action'!$Y$6</f>
        <v>0</v>
      </c>
      <c r="AO234" s="17">
        <f>'Rolling report'!DH234*'No Action'!$Y$6</f>
        <v>0</v>
      </c>
      <c r="AQ234" s="45"/>
    </row>
    <row r="235" spans="1:43" x14ac:dyDescent="0.25">
      <c r="A235" s="4" t="s">
        <v>476</v>
      </c>
      <c r="B235" s="6" t="s">
        <v>477</v>
      </c>
      <c r="I235" s="17">
        <f>'Rolling report'!CB235*'No Action'!$Y$6</f>
        <v>9.24</v>
      </c>
      <c r="J235" s="17">
        <f>'Rolling report'!CC235*'No Action'!$Y$6</f>
        <v>3.52</v>
      </c>
      <c r="K235" s="17">
        <f>'Rolling report'!CD235*'No Action'!$Y$6</f>
        <v>0</v>
      </c>
      <c r="L235" s="17">
        <f>'Rolling report'!CE235*'No Action'!$Y$6</f>
        <v>1.76</v>
      </c>
      <c r="M235" s="17">
        <f>'Rolling report'!CF235*'No Action'!$Y$6</f>
        <v>2.2000000000000002</v>
      </c>
      <c r="N235" s="17">
        <f>'Rolling report'!CG235*'No Action'!$Y$6</f>
        <v>2.2000000000000002</v>
      </c>
      <c r="O235" s="17">
        <f>'Rolling report'!CH235*'No Action'!$Y$6</f>
        <v>2.64</v>
      </c>
      <c r="P235" s="17">
        <f>'Rolling report'!CI235*'No Action'!$Y$6</f>
        <v>3.52</v>
      </c>
      <c r="Q235" s="17">
        <f>'Rolling report'!CJ235*'No Action'!$Y$6</f>
        <v>0</v>
      </c>
      <c r="R235" s="17">
        <f>'Rolling report'!CK235*'No Action'!$Y$6</f>
        <v>0</v>
      </c>
      <c r="S235" s="17">
        <f>'Rolling report'!CL235*'No Action'!$Y$6</f>
        <v>0</v>
      </c>
      <c r="T235" s="17">
        <f>'Rolling report'!CM235*'No Action'!$Y$6</f>
        <v>0</v>
      </c>
      <c r="U235" s="17">
        <f>'Rolling report'!CN235*'No Action'!$Y$6</f>
        <v>0</v>
      </c>
      <c r="V235" s="17">
        <f>'Rolling report'!CO235*'No Action'!$Y$6</f>
        <v>0.44</v>
      </c>
      <c r="W235" s="17">
        <f>'Rolling report'!CP235*'No Action'!$Y$6</f>
        <v>2.2000000000000002</v>
      </c>
      <c r="X235" s="17">
        <f>'Rolling report'!CQ235*'No Action'!$Y$6</f>
        <v>0.44</v>
      </c>
      <c r="Y235" s="17">
        <f>'Rolling report'!CR235*'No Action'!$Y$6</f>
        <v>1.32</v>
      </c>
      <c r="Z235" s="17">
        <f>'Rolling report'!CS235*'No Action'!$Y$6</f>
        <v>0</v>
      </c>
      <c r="AA235" s="17">
        <f>'Rolling report'!CT235*'No Action'!$Y$6</f>
        <v>0.88</v>
      </c>
      <c r="AB235" s="17">
        <f>'Rolling report'!CU235*'No Action'!$Y$6</f>
        <v>0.88</v>
      </c>
      <c r="AC235" s="17">
        <f>'Rolling report'!CV235*'No Action'!$Y$6</f>
        <v>0</v>
      </c>
      <c r="AD235" s="17">
        <f>'Rolling report'!CW235*'No Action'!$Y$6</f>
        <v>0</v>
      </c>
      <c r="AE235" s="17">
        <f>'Rolling report'!CX235*'No Action'!$Y$6</f>
        <v>0</v>
      </c>
      <c r="AF235" s="17">
        <f>'Rolling report'!CY235*'No Action'!$Y$6</f>
        <v>-31.24</v>
      </c>
      <c r="AG235" s="17">
        <f>'Rolling report'!CZ235*'No Action'!$Y$6</f>
        <v>0</v>
      </c>
      <c r="AH235" s="17">
        <f>'Rolling report'!DA235*'No Action'!$Y$6</f>
        <v>0</v>
      </c>
      <c r="AI235" s="17">
        <f>'Rolling report'!DB235*'No Action'!$Y$6</f>
        <v>0</v>
      </c>
      <c r="AJ235" s="17">
        <f>'Rolling report'!DC235*'No Action'!$Y$6</f>
        <v>0</v>
      </c>
      <c r="AK235" s="17">
        <f>'Rolling report'!DD235*'No Action'!$Y$6</f>
        <v>0</v>
      </c>
      <c r="AL235" s="17">
        <f>'Rolling report'!DE235*'No Action'!$Y$6</f>
        <v>0</v>
      </c>
      <c r="AM235" s="17">
        <f>'Rolling report'!DF235*'No Action'!$Y$6</f>
        <v>0</v>
      </c>
      <c r="AN235" s="17">
        <f>'Rolling report'!DG235*'No Action'!$Y$6</f>
        <v>0</v>
      </c>
      <c r="AO235" s="17">
        <f>'Rolling report'!DH235*'No Action'!$Y$6</f>
        <v>0</v>
      </c>
      <c r="AQ235" s="45"/>
    </row>
    <row r="236" spans="1:43" x14ac:dyDescent="0.25">
      <c r="A236" s="4" t="s">
        <v>478</v>
      </c>
      <c r="B236" s="6" t="s">
        <v>479</v>
      </c>
      <c r="I236" s="17">
        <f>'Rolling report'!CB236*'No Action'!$Y$6</f>
        <v>4.84</v>
      </c>
      <c r="J236" s="17">
        <f>'Rolling report'!CC236*'No Action'!$Y$6</f>
        <v>1.76</v>
      </c>
      <c r="K236" s="17">
        <f>'Rolling report'!CD236*'No Action'!$Y$6</f>
        <v>0.88</v>
      </c>
      <c r="L236" s="17">
        <f>'Rolling report'!CE236*'No Action'!$Y$6</f>
        <v>0</v>
      </c>
      <c r="M236" s="17">
        <f>'Rolling report'!CF236*'No Action'!$Y$6</f>
        <v>0.88</v>
      </c>
      <c r="N236" s="17">
        <f>'Rolling report'!CG236*'No Action'!$Y$6</f>
        <v>0</v>
      </c>
      <c r="O236" s="17">
        <f>'Rolling report'!CH236*'No Action'!$Y$6</f>
        <v>0</v>
      </c>
      <c r="P236" s="17">
        <f>'Rolling report'!CI236*'No Action'!$Y$6</f>
        <v>0</v>
      </c>
      <c r="Q236" s="17">
        <f>'Rolling report'!CJ236*'No Action'!$Y$6</f>
        <v>0</v>
      </c>
      <c r="R236" s="17">
        <f>'Rolling report'!CK236*'No Action'!$Y$6</f>
        <v>0</v>
      </c>
      <c r="S236" s="17">
        <f>'Rolling report'!CL236*'No Action'!$Y$6</f>
        <v>1.76</v>
      </c>
      <c r="T236" s="17">
        <f>'Rolling report'!CM236*'No Action'!$Y$6</f>
        <v>0</v>
      </c>
      <c r="U236" s="17">
        <f>'Rolling report'!CN236*'No Action'!$Y$6</f>
        <v>2.2000000000000002</v>
      </c>
      <c r="V236" s="17">
        <f>'Rolling report'!CO236*'No Action'!$Y$6</f>
        <v>4.4000000000000004</v>
      </c>
      <c r="W236" s="17">
        <f>'Rolling report'!CP236*'No Action'!$Y$6</f>
        <v>0</v>
      </c>
      <c r="X236" s="17">
        <f>'Rolling report'!CQ236*'No Action'!$Y$6</f>
        <v>0</v>
      </c>
      <c r="Y236" s="17">
        <f>'Rolling report'!CR236*'No Action'!$Y$6</f>
        <v>0</v>
      </c>
      <c r="Z236" s="17">
        <f>'Rolling report'!CS236*'No Action'!$Y$6</f>
        <v>0</v>
      </c>
      <c r="AA236" s="17">
        <f>'Rolling report'!CT236*'No Action'!$Y$6</f>
        <v>0.44</v>
      </c>
      <c r="AB236" s="17">
        <f>'Rolling report'!CU236*'No Action'!$Y$6</f>
        <v>0.44</v>
      </c>
      <c r="AC236" s="17">
        <f>'Rolling report'!CV236*'No Action'!$Y$6</f>
        <v>0</v>
      </c>
      <c r="AD236" s="17">
        <f>'Rolling report'!CW236*'No Action'!$Y$6</f>
        <v>0</v>
      </c>
      <c r="AE236" s="17">
        <f>'Rolling report'!CX236*'No Action'!$Y$6</f>
        <v>0</v>
      </c>
      <c r="AF236" s="17">
        <f>'Rolling report'!CY236*'No Action'!$Y$6</f>
        <v>-17.600000000000001</v>
      </c>
      <c r="AG236" s="17">
        <f>'Rolling report'!CZ236*'No Action'!$Y$6</f>
        <v>0</v>
      </c>
      <c r="AH236" s="17">
        <f>'Rolling report'!DA236*'No Action'!$Y$6</f>
        <v>0</v>
      </c>
      <c r="AI236" s="17">
        <f>'Rolling report'!DB236*'No Action'!$Y$6</f>
        <v>0</v>
      </c>
      <c r="AJ236" s="17">
        <f>'Rolling report'!DC236*'No Action'!$Y$6</f>
        <v>0</v>
      </c>
      <c r="AK236" s="17">
        <f>'Rolling report'!DD236*'No Action'!$Y$6</f>
        <v>0</v>
      </c>
      <c r="AL236" s="17">
        <f>'Rolling report'!DE236*'No Action'!$Y$6</f>
        <v>0</v>
      </c>
      <c r="AM236" s="17">
        <f>'Rolling report'!DF236*'No Action'!$Y$6</f>
        <v>0</v>
      </c>
      <c r="AN236" s="17">
        <f>'Rolling report'!DG236*'No Action'!$Y$6</f>
        <v>0</v>
      </c>
      <c r="AO236" s="17">
        <f>'Rolling report'!DH236*'No Action'!$Y$6</f>
        <v>0</v>
      </c>
      <c r="AQ236" s="45"/>
    </row>
    <row r="237" spans="1:43" x14ac:dyDescent="0.25">
      <c r="A237" s="4" t="s">
        <v>480</v>
      </c>
      <c r="B237" s="6" t="s">
        <v>481</v>
      </c>
      <c r="I237" s="17">
        <f>'Rolling report'!CB237*'No Action'!$Y$6</f>
        <v>43.12</v>
      </c>
      <c r="J237" s="17">
        <f>'Rolling report'!CC237*'No Action'!$Y$6</f>
        <v>7.04</v>
      </c>
      <c r="K237" s="17">
        <f>'Rolling report'!CD237*'No Action'!$Y$6</f>
        <v>9.68</v>
      </c>
      <c r="L237" s="17">
        <f>'Rolling report'!CE237*'No Action'!$Y$6</f>
        <v>5.28</v>
      </c>
      <c r="M237" s="17">
        <f>'Rolling report'!CF237*'No Action'!$Y$6</f>
        <v>6.16</v>
      </c>
      <c r="N237" s="17">
        <f>'Rolling report'!CG237*'No Action'!$Y$6</f>
        <v>4.4000000000000004</v>
      </c>
      <c r="O237" s="17">
        <f>'Rolling report'!CH237*'No Action'!$Y$6</f>
        <v>5.28</v>
      </c>
      <c r="P237" s="17">
        <f>'Rolling report'!CI237*'No Action'!$Y$6</f>
        <v>2.2000000000000002</v>
      </c>
      <c r="Q237" s="17">
        <f>'Rolling report'!CJ237*'No Action'!$Y$6</f>
        <v>3.96</v>
      </c>
      <c r="R237" s="17">
        <f>'Rolling report'!CK237*'No Action'!$Y$6</f>
        <v>2.64</v>
      </c>
      <c r="S237" s="17">
        <f>'Rolling report'!CL237*'No Action'!$Y$6</f>
        <v>2.64</v>
      </c>
      <c r="T237" s="17">
        <f>'Rolling report'!CM237*'No Action'!$Y$6</f>
        <v>0.88</v>
      </c>
      <c r="U237" s="17">
        <f>'Rolling report'!CN237*'No Action'!$Y$6</f>
        <v>0</v>
      </c>
      <c r="V237" s="17">
        <f>'Rolling report'!CO237*'No Action'!$Y$6</f>
        <v>2.2000000000000002</v>
      </c>
      <c r="W237" s="17">
        <f>'Rolling report'!CP237*'No Action'!$Y$6</f>
        <v>4.4000000000000004</v>
      </c>
      <c r="X237" s="17">
        <f>'Rolling report'!CQ237*'No Action'!$Y$6</f>
        <v>1.32</v>
      </c>
      <c r="Y237" s="17">
        <f>'Rolling report'!CR237*'No Action'!$Y$6</f>
        <v>3.08</v>
      </c>
      <c r="Z237" s="17">
        <f>'Rolling report'!CS237*'No Action'!$Y$6</f>
        <v>2.64</v>
      </c>
      <c r="AA237" s="17">
        <f>'Rolling report'!CT237*'No Action'!$Y$6</f>
        <v>1.76</v>
      </c>
      <c r="AB237" s="17">
        <f>'Rolling report'!CU237*'No Action'!$Y$6</f>
        <v>0</v>
      </c>
      <c r="AC237" s="17">
        <f>'Rolling report'!CV237*'No Action'!$Y$6</f>
        <v>3.96</v>
      </c>
      <c r="AD237" s="17">
        <f>'Rolling report'!CW237*'No Action'!$Y$6</f>
        <v>-0.44</v>
      </c>
      <c r="AE237" s="17">
        <f>'Rolling report'!CX237*'No Action'!$Y$6</f>
        <v>3.08</v>
      </c>
      <c r="AF237" s="17">
        <f>'Rolling report'!CY237*'No Action'!$Y$6</f>
        <v>-115.28</v>
      </c>
      <c r="AG237" s="17">
        <f>'Rolling report'!CZ237*'No Action'!$Y$6</f>
        <v>0</v>
      </c>
      <c r="AH237" s="17">
        <f>'Rolling report'!DA237*'No Action'!$Y$6</f>
        <v>0</v>
      </c>
      <c r="AI237" s="17">
        <f>'Rolling report'!DB237*'No Action'!$Y$6</f>
        <v>0</v>
      </c>
      <c r="AJ237" s="17">
        <f>'Rolling report'!DC237*'No Action'!$Y$6</f>
        <v>0</v>
      </c>
      <c r="AK237" s="17">
        <f>'Rolling report'!DD237*'No Action'!$Y$6</f>
        <v>0</v>
      </c>
      <c r="AL237" s="17">
        <f>'Rolling report'!DE237*'No Action'!$Y$6</f>
        <v>0</v>
      </c>
      <c r="AM237" s="17">
        <f>'Rolling report'!DF237*'No Action'!$Y$6</f>
        <v>0</v>
      </c>
      <c r="AN237" s="17">
        <f>'Rolling report'!DG237*'No Action'!$Y$6</f>
        <v>0</v>
      </c>
      <c r="AO237" s="17">
        <f>'Rolling report'!DH237*'No Action'!$Y$6</f>
        <v>0</v>
      </c>
      <c r="AQ237" s="45"/>
    </row>
    <row r="238" spans="1:43" x14ac:dyDescent="0.25">
      <c r="A238" s="4" t="s">
        <v>482</v>
      </c>
      <c r="B238" s="6" t="s">
        <v>483</v>
      </c>
      <c r="I238" s="17">
        <f>'Rolling report'!CB238*'No Action'!$Y$6</f>
        <v>12.76</v>
      </c>
      <c r="J238" s="17">
        <f>'Rolling report'!CC238*'No Action'!$Y$6</f>
        <v>0</v>
      </c>
      <c r="K238" s="17">
        <f>'Rolling report'!CD238*'No Action'!$Y$6</f>
        <v>3.52</v>
      </c>
      <c r="L238" s="17">
        <f>'Rolling report'!CE238*'No Action'!$Y$6</f>
        <v>0.88</v>
      </c>
      <c r="M238" s="17">
        <f>'Rolling report'!CF238*'No Action'!$Y$6</f>
        <v>1.32</v>
      </c>
      <c r="N238" s="17">
        <f>'Rolling report'!CG238*'No Action'!$Y$6</f>
        <v>0.88</v>
      </c>
      <c r="O238" s="17">
        <f>'Rolling report'!CH238*'No Action'!$Y$6</f>
        <v>0</v>
      </c>
      <c r="P238" s="17">
        <f>'Rolling report'!CI238*'No Action'!$Y$6</f>
        <v>0.44</v>
      </c>
      <c r="Q238" s="17">
        <f>'Rolling report'!CJ238*'No Action'!$Y$6</f>
        <v>0.88</v>
      </c>
      <c r="R238" s="17">
        <f>'Rolling report'!CK238*'No Action'!$Y$6</f>
        <v>0.88</v>
      </c>
      <c r="S238" s="17">
        <f>'Rolling report'!CL238*'No Action'!$Y$6</f>
        <v>0</v>
      </c>
      <c r="T238" s="17">
        <f>'Rolling report'!CM238*'No Action'!$Y$6</f>
        <v>0</v>
      </c>
      <c r="U238" s="17">
        <f>'Rolling report'!CN238*'No Action'!$Y$6</f>
        <v>1.76</v>
      </c>
      <c r="V238" s="17">
        <f>'Rolling report'!CO238*'No Action'!$Y$6</f>
        <v>0</v>
      </c>
      <c r="W238" s="17">
        <f>'Rolling report'!CP238*'No Action'!$Y$6</f>
        <v>0</v>
      </c>
      <c r="X238" s="17">
        <f>'Rolling report'!CQ238*'No Action'!$Y$6</f>
        <v>0</v>
      </c>
      <c r="Y238" s="17">
        <f>'Rolling report'!CR238*'No Action'!$Y$6</f>
        <v>0</v>
      </c>
      <c r="Z238" s="17">
        <f>'Rolling report'!CS238*'No Action'!$Y$6</f>
        <v>0</v>
      </c>
      <c r="AA238" s="17">
        <f>'Rolling report'!CT238*'No Action'!$Y$6</f>
        <v>0</v>
      </c>
      <c r="AB238" s="17">
        <f>'Rolling report'!CU238*'No Action'!$Y$6</f>
        <v>0</v>
      </c>
      <c r="AC238" s="17">
        <f>'Rolling report'!CV238*'No Action'!$Y$6</f>
        <v>0.44</v>
      </c>
      <c r="AD238" s="17">
        <f>'Rolling report'!CW238*'No Action'!$Y$6</f>
        <v>-0.44</v>
      </c>
      <c r="AE238" s="17">
        <f>'Rolling report'!CX238*'No Action'!$Y$6</f>
        <v>0</v>
      </c>
      <c r="AF238" s="17">
        <f>'Rolling report'!CY238*'No Action'!$Y$6</f>
        <v>-23.32</v>
      </c>
      <c r="AG238" s="17">
        <f>'Rolling report'!CZ238*'No Action'!$Y$6</f>
        <v>0</v>
      </c>
      <c r="AH238" s="17">
        <f>'Rolling report'!DA238*'No Action'!$Y$6</f>
        <v>0</v>
      </c>
      <c r="AI238" s="17">
        <f>'Rolling report'!DB238*'No Action'!$Y$6</f>
        <v>0</v>
      </c>
      <c r="AJ238" s="17">
        <f>'Rolling report'!DC238*'No Action'!$Y$6</f>
        <v>0</v>
      </c>
      <c r="AK238" s="17">
        <f>'Rolling report'!DD238*'No Action'!$Y$6</f>
        <v>0</v>
      </c>
      <c r="AL238" s="17">
        <f>'Rolling report'!DE238*'No Action'!$Y$6</f>
        <v>0</v>
      </c>
      <c r="AM238" s="17">
        <f>'Rolling report'!DF238*'No Action'!$Y$6</f>
        <v>0</v>
      </c>
      <c r="AN238" s="17">
        <f>'Rolling report'!DG238*'No Action'!$Y$6</f>
        <v>0</v>
      </c>
      <c r="AO238" s="17">
        <f>'Rolling report'!DH238*'No Action'!$Y$6</f>
        <v>0</v>
      </c>
      <c r="AQ238" s="45"/>
    </row>
    <row r="239" spans="1:43" x14ac:dyDescent="0.25">
      <c r="A239" s="4" t="s">
        <v>484</v>
      </c>
      <c r="B239" s="6" t="s">
        <v>485</v>
      </c>
      <c r="I239" s="17">
        <f>'Rolling report'!CB239*'No Action'!$Y$6</f>
        <v>9.24</v>
      </c>
      <c r="J239" s="17">
        <f>'Rolling report'!CC239*'No Action'!$Y$6</f>
        <v>4.4000000000000004</v>
      </c>
      <c r="K239" s="17">
        <f>'Rolling report'!CD239*'No Action'!$Y$6</f>
        <v>5.28</v>
      </c>
      <c r="L239" s="17">
        <f>'Rolling report'!CE239*'No Action'!$Y$6</f>
        <v>3.08</v>
      </c>
      <c r="M239" s="17">
        <f>'Rolling report'!CF239*'No Action'!$Y$6</f>
        <v>2.2000000000000002</v>
      </c>
      <c r="N239" s="17">
        <f>'Rolling report'!CG239*'No Action'!$Y$6</f>
        <v>1.32</v>
      </c>
      <c r="O239" s="17">
        <f>'Rolling report'!CH239*'No Action'!$Y$6</f>
        <v>2.2000000000000002</v>
      </c>
      <c r="P239" s="17">
        <f>'Rolling report'!CI239*'No Action'!$Y$6</f>
        <v>1.32</v>
      </c>
      <c r="Q239" s="17">
        <f>'Rolling report'!CJ239*'No Action'!$Y$6</f>
        <v>3.52</v>
      </c>
      <c r="R239" s="17">
        <f>'Rolling report'!CK239*'No Action'!$Y$6</f>
        <v>2.2000000000000002</v>
      </c>
      <c r="S239" s="17">
        <f>'Rolling report'!CL239*'No Action'!$Y$6</f>
        <v>0</v>
      </c>
      <c r="T239" s="17">
        <f>'Rolling report'!CM239*'No Action'!$Y$6</f>
        <v>1.32</v>
      </c>
      <c r="U239" s="17">
        <f>'Rolling report'!CN239*'No Action'!$Y$6</f>
        <v>0</v>
      </c>
      <c r="V239" s="17">
        <f>'Rolling report'!CO239*'No Action'!$Y$6</f>
        <v>1.76</v>
      </c>
      <c r="W239" s="17">
        <f>'Rolling report'!CP239*'No Action'!$Y$6</f>
        <v>0.44</v>
      </c>
      <c r="X239" s="17">
        <f>'Rolling report'!CQ239*'No Action'!$Y$6</f>
        <v>1.76</v>
      </c>
      <c r="Y239" s="17">
        <f>'Rolling report'!CR239*'No Action'!$Y$6</f>
        <v>0</v>
      </c>
      <c r="Z239" s="17">
        <f>'Rolling report'!CS239*'No Action'!$Y$6</f>
        <v>0</v>
      </c>
      <c r="AA239" s="17">
        <f>'Rolling report'!CT239*'No Action'!$Y$6</f>
        <v>0</v>
      </c>
      <c r="AB239" s="17">
        <f>'Rolling report'!CU239*'No Action'!$Y$6</f>
        <v>2.2000000000000002</v>
      </c>
      <c r="AC239" s="17">
        <f>'Rolling report'!CV239*'No Action'!$Y$6</f>
        <v>0</v>
      </c>
      <c r="AD239" s="17">
        <f>'Rolling report'!CW239*'No Action'!$Y$6</f>
        <v>0.88</v>
      </c>
      <c r="AE239" s="17">
        <f>'Rolling report'!CX239*'No Action'!$Y$6</f>
        <v>0</v>
      </c>
      <c r="AF239" s="17">
        <f>'Rolling report'!CY239*'No Action'!$Y$6</f>
        <v>-43.12</v>
      </c>
      <c r="AG239" s="17">
        <f>'Rolling report'!CZ239*'No Action'!$Y$6</f>
        <v>0</v>
      </c>
      <c r="AH239" s="17">
        <f>'Rolling report'!DA239*'No Action'!$Y$6</f>
        <v>0</v>
      </c>
      <c r="AI239" s="17">
        <f>'Rolling report'!DB239*'No Action'!$Y$6</f>
        <v>0</v>
      </c>
      <c r="AJ239" s="17">
        <f>'Rolling report'!DC239*'No Action'!$Y$6</f>
        <v>0</v>
      </c>
      <c r="AK239" s="17">
        <f>'Rolling report'!DD239*'No Action'!$Y$6</f>
        <v>0</v>
      </c>
      <c r="AL239" s="17">
        <f>'Rolling report'!DE239*'No Action'!$Y$6</f>
        <v>0</v>
      </c>
      <c r="AM239" s="17">
        <f>'Rolling report'!DF239*'No Action'!$Y$6</f>
        <v>0</v>
      </c>
      <c r="AN239" s="17">
        <f>'Rolling report'!DG239*'No Action'!$Y$6</f>
        <v>0</v>
      </c>
      <c r="AO239" s="17">
        <f>'Rolling report'!DH239*'No Action'!$Y$6</f>
        <v>0</v>
      </c>
      <c r="AQ239" s="45"/>
    </row>
    <row r="240" spans="1:43" x14ac:dyDescent="0.25">
      <c r="A240" s="4" t="s">
        <v>486</v>
      </c>
      <c r="B240" s="6" t="s">
        <v>487</v>
      </c>
      <c r="I240" s="17">
        <f>'Rolling report'!CB240*'No Action'!$Y$6</f>
        <v>26.4</v>
      </c>
      <c r="J240" s="17">
        <f>'Rolling report'!CC240*'No Action'!$Y$6</f>
        <v>10.119999999999999</v>
      </c>
      <c r="K240" s="17">
        <f>'Rolling report'!CD240*'No Action'!$Y$6</f>
        <v>4.4000000000000004</v>
      </c>
      <c r="L240" s="17">
        <f>'Rolling report'!CE240*'No Action'!$Y$6</f>
        <v>4.84</v>
      </c>
      <c r="M240" s="17">
        <f>'Rolling report'!CF240*'No Action'!$Y$6</f>
        <v>4.84</v>
      </c>
      <c r="N240" s="17">
        <f>'Rolling report'!CG240*'No Action'!$Y$6</f>
        <v>2.64</v>
      </c>
      <c r="O240" s="17">
        <f>'Rolling report'!CH240*'No Action'!$Y$6</f>
        <v>9.68</v>
      </c>
      <c r="P240" s="17">
        <f>'Rolling report'!CI240*'No Action'!$Y$6</f>
        <v>3.52</v>
      </c>
      <c r="Q240" s="17">
        <f>'Rolling report'!CJ240*'No Action'!$Y$6</f>
        <v>5.72</v>
      </c>
      <c r="R240" s="17">
        <f>'Rolling report'!CK240*'No Action'!$Y$6</f>
        <v>5.28</v>
      </c>
      <c r="S240" s="17">
        <f>'Rolling report'!CL240*'No Action'!$Y$6</f>
        <v>2.64</v>
      </c>
      <c r="T240" s="17">
        <f>'Rolling report'!CM240*'No Action'!$Y$6</f>
        <v>3.08</v>
      </c>
      <c r="U240" s="17">
        <f>'Rolling report'!CN240*'No Action'!$Y$6</f>
        <v>3.96</v>
      </c>
      <c r="V240" s="17">
        <f>'Rolling report'!CO240*'No Action'!$Y$6</f>
        <v>0.44</v>
      </c>
      <c r="W240" s="17">
        <f>'Rolling report'!CP240*'No Action'!$Y$6</f>
        <v>3.08</v>
      </c>
      <c r="X240" s="17">
        <f>'Rolling report'!CQ240*'No Action'!$Y$6</f>
        <v>0</v>
      </c>
      <c r="Y240" s="17">
        <f>'Rolling report'!CR240*'No Action'!$Y$6</f>
        <v>3.96</v>
      </c>
      <c r="Z240" s="17">
        <f>'Rolling report'!CS240*'No Action'!$Y$6</f>
        <v>0</v>
      </c>
      <c r="AA240" s="17">
        <f>'Rolling report'!CT240*'No Action'!$Y$6</f>
        <v>0</v>
      </c>
      <c r="AB240" s="17">
        <f>'Rolling report'!CU240*'No Action'!$Y$6</f>
        <v>0</v>
      </c>
      <c r="AC240" s="17">
        <f>'Rolling report'!CV240*'No Action'!$Y$6</f>
        <v>0.44</v>
      </c>
      <c r="AD240" s="17">
        <f>'Rolling report'!CW240*'No Action'!$Y$6</f>
        <v>0.88</v>
      </c>
      <c r="AE240" s="17">
        <f>'Rolling report'!CX240*'No Action'!$Y$6</f>
        <v>0.88</v>
      </c>
      <c r="AF240" s="17">
        <f>'Rolling report'!CY240*'No Action'!$Y$6</f>
        <v>-96.8</v>
      </c>
      <c r="AG240" s="17">
        <f>'Rolling report'!CZ240*'No Action'!$Y$6</f>
        <v>0</v>
      </c>
      <c r="AH240" s="17">
        <f>'Rolling report'!DA240*'No Action'!$Y$6</f>
        <v>0</v>
      </c>
      <c r="AI240" s="17">
        <f>'Rolling report'!DB240*'No Action'!$Y$6</f>
        <v>0</v>
      </c>
      <c r="AJ240" s="17">
        <f>'Rolling report'!DC240*'No Action'!$Y$6</f>
        <v>0</v>
      </c>
      <c r="AK240" s="17">
        <f>'Rolling report'!DD240*'No Action'!$Y$6</f>
        <v>0</v>
      </c>
      <c r="AL240" s="17">
        <f>'Rolling report'!DE240*'No Action'!$Y$6</f>
        <v>0</v>
      </c>
      <c r="AM240" s="17">
        <f>'Rolling report'!DF240*'No Action'!$Y$6</f>
        <v>0</v>
      </c>
      <c r="AN240" s="17">
        <f>'Rolling report'!DG240*'No Action'!$Y$6</f>
        <v>0</v>
      </c>
      <c r="AO240" s="17">
        <f>'Rolling report'!DH240*'No Action'!$Y$6</f>
        <v>0</v>
      </c>
      <c r="AQ240" s="45"/>
    </row>
    <row r="241" spans="1:43" x14ac:dyDescent="0.25">
      <c r="A241" s="4" t="s">
        <v>488</v>
      </c>
      <c r="B241" s="6" t="s">
        <v>489</v>
      </c>
      <c r="I241" s="17">
        <f>'Rolling report'!CB241*'No Action'!$Y$6</f>
        <v>18.48</v>
      </c>
      <c r="J241" s="17">
        <f>'Rolling report'!CC241*'No Action'!$Y$6</f>
        <v>7.92</v>
      </c>
      <c r="K241" s="17">
        <f>'Rolling report'!CD241*'No Action'!$Y$6</f>
        <v>6.16</v>
      </c>
      <c r="L241" s="17">
        <f>'Rolling report'!CE241*'No Action'!$Y$6</f>
        <v>5.28</v>
      </c>
      <c r="M241" s="17">
        <f>'Rolling report'!CF241*'No Action'!$Y$6</f>
        <v>5.72</v>
      </c>
      <c r="N241" s="17">
        <f>'Rolling report'!CG241*'No Action'!$Y$6</f>
        <v>3.96</v>
      </c>
      <c r="O241" s="17">
        <f>'Rolling report'!CH241*'No Action'!$Y$6</f>
        <v>3.96</v>
      </c>
      <c r="P241" s="17">
        <f>'Rolling report'!CI241*'No Action'!$Y$6</f>
        <v>1.32</v>
      </c>
      <c r="Q241" s="17">
        <f>'Rolling report'!CJ241*'No Action'!$Y$6</f>
        <v>6.6</v>
      </c>
      <c r="R241" s="17">
        <f>'Rolling report'!CK241*'No Action'!$Y$6</f>
        <v>4.4000000000000004</v>
      </c>
      <c r="S241" s="17">
        <f>'Rolling report'!CL241*'No Action'!$Y$6</f>
        <v>0.44</v>
      </c>
      <c r="T241" s="17">
        <f>'Rolling report'!CM241*'No Action'!$Y$6</f>
        <v>2.64</v>
      </c>
      <c r="U241" s="17">
        <f>'Rolling report'!CN241*'No Action'!$Y$6</f>
        <v>5.72</v>
      </c>
      <c r="V241" s="17">
        <f>'Rolling report'!CO241*'No Action'!$Y$6</f>
        <v>2.64</v>
      </c>
      <c r="W241" s="17">
        <f>'Rolling report'!CP241*'No Action'!$Y$6</f>
        <v>3.08</v>
      </c>
      <c r="X241" s="17">
        <f>'Rolling report'!CQ241*'No Action'!$Y$6</f>
        <v>0.88</v>
      </c>
      <c r="Y241" s="17">
        <f>'Rolling report'!CR241*'No Action'!$Y$6</f>
        <v>3.96</v>
      </c>
      <c r="Z241" s="17">
        <f>'Rolling report'!CS241*'No Action'!$Y$6</f>
        <v>3.52</v>
      </c>
      <c r="AA241" s="17">
        <f>'Rolling report'!CT241*'No Action'!$Y$6</f>
        <v>1.76</v>
      </c>
      <c r="AB241" s="17">
        <f>'Rolling report'!CU241*'No Action'!$Y$6</f>
        <v>1.32</v>
      </c>
      <c r="AC241" s="17">
        <f>'Rolling report'!CV241*'No Action'!$Y$6</f>
        <v>2.64</v>
      </c>
      <c r="AD241" s="17">
        <f>'Rolling report'!CW241*'No Action'!$Y$6</f>
        <v>-0.44</v>
      </c>
      <c r="AE241" s="17">
        <f>'Rolling report'!CX241*'No Action'!$Y$6</f>
        <v>4.4000000000000004</v>
      </c>
      <c r="AF241" s="17">
        <f>'Rolling report'!CY241*'No Action'!$Y$6</f>
        <v>-96.36</v>
      </c>
      <c r="AG241" s="17">
        <f>'Rolling report'!CZ241*'No Action'!$Y$6</f>
        <v>0</v>
      </c>
      <c r="AH241" s="17">
        <f>'Rolling report'!DA241*'No Action'!$Y$6</f>
        <v>0</v>
      </c>
      <c r="AI241" s="17">
        <f>'Rolling report'!DB241*'No Action'!$Y$6</f>
        <v>0</v>
      </c>
      <c r="AJ241" s="17">
        <f>'Rolling report'!DC241*'No Action'!$Y$6</f>
        <v>0</v>
      </c>
      <c r="AK241" s="17">
        <f>'Rolling report'!DD241*'No Action'!$Y$6</f>
        <v>0</v>
      </c>
      <c r="AL241" s="17">
        <f>'Rolling report'!DE241*'No Action'!$Y$6</f>
        <v>0</v>
      </c>
      <c r="AM241" s="17">
        <f>'Rolling report'!DF241*'No Action'!$Y$6</f>
        <v>0</v>
      </c>
      <c r="AN241" s="17">
        <f>'Rolling report'!DG241*'No Action'!$Y$6</f>
        <v>0</v>
      </c>
      <c r="AO241" s="17">
        <f>'Rolling report'!DH241*'No Action'!$Y$6</f>
        <v>0</v>
      </c>
      <c r="AQ241" s="45"/>
    </row>
    <row r="242" spans="1:43" x14ac:dyDescent="0.25">
      <c r="A242" s="4" t="s">
        <v>490</v>
      </c>
      <c r="B242" s="6" t="s">
        <v>491</v>
      </c>
      <c r="I242" s="17">
        <f>'Rolling report'!CB242*'No Action'!$Y$6</f>
        <v>16.28</v>
      </c>
      <c r="J242" s="17">
        <f>'Rolling report'!CC242*'No Action'!$Y$6</f>
        <v>0.44</v>
      </c>
      <c r="K242" s="17">
        <f>'Rolling report'!CD242*'No Action'!$Y$6</f>
        <v>0.44</v>
      </c>
      <c r="L242" s="17">
        <f>'Rolling report'!CE242*'No Action'!$Y$6</f>
        <v>2.2000000000000002</v>
      </c>
      <c r="M242" s="17">
        <f>'Rolling report'!CF242*'No Action'!$Y$6</f>
        <v>2.2000000000000002</v>
      </c>
      <c r="N242" s="17">
        <f>'Rolling report'!CG242*'No Action'!$Y$6</f>
        <v>0.88</v>
      </c>
      <c r="O242" s="17">
        <f>'Rolling report'!CH242*'No Action'!$Y$6</f>
        <v>3.08</v>
      </c>
      <c r="P242" s="17">
        <f>'Rolling report'!CI242*'No Action'!$Y$6</f>
        <v>1.76</v>
      </c>
      <c r="Q242" s="17">
        <f>'Rolling report'!CJ242*'No Action'!$Y$6</f>
        <v>1.32</v>
      </c>
      <c r="R242" s="17">
        <f>'Rolling report'!CK242*'No Action'!$Y$6</f>
        <v>4.4000000000000004</v>
      </c>
      <c r="S242" s="17">
        <f>'Rolling report'!CL242*'No Action'!$Y$6</f>
        <v>0.88</v>
      </c>
      <c r="T242" s="17">
        <f>'Rolling report'!CM242*'No Action'!$Y$6</f>
        <v>2.64</v>
      </c>
      <c r="U242" s="17">
        <f>'Rolling report'!CN242*'No Action'!$Y$6</f>
        <v>3.52</v>
      </c>
      <c r="V242" s="17">
        <f>'Rolling report'!CO242*'No Action'!$Y$6</f>
        <v>2.64</v>
      </c>
      <c r="W242" s="17">
        <f>'Rolling report'!CP242*'No Action'!$Y$6</f>
        <v>0</v>
      </c>
      <c r="X242" s="17">
        <f>'Rolling report'!CQ242*'No Action'!$Y$6</f>
        <v>1.32</v>
      </c>
      <c r="Y242" s="17">
        <f>'Rolling report'!CR242*'No Action'!$Y$6</f>
        <v>2.64</v>
      </c>
      <c r="Z242" s="17">
        <f>'Rolling report'!CS242*'No Action'!$Y$6</f>
        <v>1.32</v>
      </c>
      <c r="AA242" s="17">
        <f>'Rolling report'!CT242*'No Action'!$Y$6</f>
        <v>0.88</v>
      </c>
      <c r="AB242" s="17">
        <f>'Rolling report'!CU242*'No Action'!$Y$6</f>
        <v>0</v>
      </c>
      <c r="AC242" s="17">
        <f>'Rolling report'!CV242*'No Action'!$Y$6</f>
        <v>0.88</v>
      </c>
      <c r="AD242" s="17">
        <f>'Rolling report'!CW242*'No Action'!$Y$6</f>
        <v>2.2000000000000002</v>
      </c>
      <c r="AE242" s="17">
        <f>'Rolling report'!CX242*'No Action'!$Y$6</f>
        <v>0.44</v>
      </c>
      <c r="AF242" s="17">
        <f>'Rolling report'!CY242*'No Action'!$Y$6</f>
        <v>-52.36</v>
      </c>
      <c r="AG242" s="17">
        <f>'Rolling report'!CZ242*'No Action'!$Y$6</f>
        <v>0</v>
      </c>
      <c r="AH242" s="17">
        <f>'Rolling report'!DA242*'No Action'!$Y$6</f>
        <v>0</v>
      </c>
      <c r="AI242" s="17">
        <f>'Rolling report'!DB242*'No Action'!$Y$6</f>
        <v>0</v>
      </c>
      <c r="AJ242" s="17">
        <f>'Rolling report'!DC242*'No Action'!$Y$6</f>
        <v>0</v>
      </c>
      <c r="AK242" s="17">
        <f>'Rolling report'!DD242*'No Action'!$Y$6</f>
        <v>0</v>
      </c>
      <c r="AL242" s="17">
        <f>'Rolling report'!DE242*'No Action'!$Y$6</f>
        <v>0</v>
      </c>
      <c r="AM242" s="17">
        <f>'Rolling report'!DF242*'No Action'!$Y$6</f>
        <v>0</v>
      </c>
      <c r="AN242" s="17">
        <f>'Rolling report'!DG242*'No Action'!$Y$6</f>
        <v>0</v>
      </c>
      <c r="AO242" s="17">
        <f>'Rolling report'!DH242*'No Action'!$Y$6</f>
        <v>0</v>
      </c>
      <c r="AQ242" s="45"/>
    </row>
    <row r="243" spans="1:43" x14ac:dyDescent="0.25">
      <c r="A243" s="4" t="s">
        <v>492</v>
      </c>
      <c r="B243" s="6" t="s">
        <v>493</v>
      </c>
      <c r="I243" s="17">
        <f>'Rolling report'!CB243*'No Action'!$Y$6</f>
        <v>28.6</v>
      </c>
      <c r="J243" s="17">
        <f>'Rolling report'!CC243*'No Action'!$Y$6</f>
        <v>5.28</v>
      </c>
      <c r="K243" s="17">
        <f>'Rolling report'!CD243*'No Action'!$Y$6</f>
        <v>2.64</v>
      </c>
      <c r="L243" s="17">
        <f>'Rolling report'!CE243*'No Action'!$Y$6</f>
        <v>3.96</v>
      </c>
      <c r="M243" s="17">
        <f>'Rolling report'!CF243*'No Action'!$Y$6</f>
        <v>3.08</v>
      </c>
      <c r="N243" s="17">
        <f>'Rolling report'!CG243*'No Action'!$Y$6</f>
        <v>5.72</v>
      </c>
      <c r="O243" s="17">
        <f>'Rolling report'!CH243*'No Action'!$Y$6</f>
        <v>4.4000000000000004</v>
      </c>
      <c r="P243" s="17">
        <f>'Rolling report'!CI243*'No Action'!$Y$6</f>
        <v>1.76</v>
      </c>
      <c r="Q243" s="17">
        <f>'Rolling report'!CJ243*'No Action'!$Y$6</f>
        <v>4.4000000000000004</v>
      </c>
      <c r="R243" s="17">
        <f>'Rolling report'!CK243*'No Action'!$Y$6</f>
        <v>3.52</v>
      </c>
      <c r="S243" s="17">
        <f>'Rolling report'!CL243*'No Action'!$Y$6</f>
        <v>2.64</v>
      </c>
      <c r="T243" s="17">
        <f>'Rolling report'!CM243*'No Action'!$Y$6</f>
        <v>2.64</v>
      </c>
      <c r="U243" s="17">
        <f>'Rolling report'!CN243*'No Action'!$Y$6</f>
        <v>1.76</v>
      </c>
      <c r="V243" s="17">
        <f>'Rolling report'!CO243*'No Action'!$Y$6</f>
        <v>3.96</v>
      </c>
      <c r="W243" s="17">
        <f>'Rolling report'!CP243*'No Action'!$Y$6</f>
        <v>0.44</v>
      </c>
      <c r="X243" s="17">
        <f>'Rolling report'!CQ243*'No Action'!$Y$6</f>
        <v>5.72</v>
      </c>
      <c r="Y243" s="17">
        <f>'Rolling report'!CR243*'No Action'!$Y$6</f>
        <v>1.32</v>
      </c>
      <c r="Z243" s="17">
        <f>'Rolling report'!CS243*'No Action'!$Y$6</f>
        <v>1.76</v>
      </c>
      <c r="AA243" s="17">
        <f>'Rolling report'!CT243*'No Action'!$Y$6</f>
        <v>0</v>
      </c>
      <c r="AB243" s="17">
        <f>'Rolling report'!CU243*'No Action'!$Y$6</f>
        <v>1.32</v>
      </c>
      <c r="AC243" s="17">
        <f>'Rolling report'!CV243*'No Action'!$Y$6</f>
        <v>0.88</v>
      </c>
      <c r="AD243" s="17">
        <f>'Rolling report'!CW243*'No Action'!$Y$6</f>
        <v>2.64</v>
      </c>
      <c r="AE243" s="17">
        <f>'Rolling report'!CX243*'No Action'!$Y$6</f>
        <v>0</v>
      </c>
      <c r="AF243" s="17">
        <f>'Rolling report'!CY243*'No Action'!$Y$6</f>
        <v>-88.44</v>
      </c>
      <c r="AG243" s="17">
        <f>'Rolling report'!CZ243*'No Action'!$Y$6</f>
        <v>0</v>
      </c>
      <c r="AH243" s="17">
        <f>'Rolling report'!DA243*'No Action'!$Y$6</f>
        <v>0</v>
      </c>
      <c r="AI243" s="17">
        <f>'Rolling report'!DB243*'No Action'!$Y$6</f>
        <v>0</v>
      </c>
      <c r="AJ243" s="17">
        <f>'Rolling report'!DC243*'No Action'!$Y$6</f>
        <v>0</v>
      </c>
      <c r="AK243" s="17">
        <f>'Rolling report'!DD243*'No Action'!$Y$6</f>
        <v>0</v>
      </c>
      <c r="AL243" s="17">
        <f>'Rolling report'!DE243*'No Action'!$Y$6</f>
        <v>0</v>
      </c>
      <c r="AM243" s="17">
        <f>'Rolling report'!DF243*'No Action'!$Y$6</f>
        <v>0</v>
      </c>
      <c r="AN243" s="17">
        <f>'Rolling report'!DG243*'No Action'!$Y$6</f>
        <v>0</v>
      </c>
      <c r="AO243" s="17">
        <f>'Rolling report'!DH243*'No Action'!$Y$6</f>
        <v>0</v>
      </c>
      <c r="AQ243" s="45"/>
    </row>
    <row r="244" spans="1:43" x14ac:dyDescent="0.25">
      <c r="A244" s="4" t="s">
        <v>494</v>
      </c>
      <c r="B244" s="6" t="s">
        <v>495</v>
      </c>
      <c r="I244" s="17">
        <f>'Rolling report'!CB244*'No Action'!$Y$6</f>
        <v>11.44</v>
      </c>
      <c r="J244" s="17">
        <f>'Rolling report'!CC244*'No Action'!$Y$6</f>
        <v>3.52</v>
      </c>
      <c r="K244" s="17">
        <f>'Rolling report'!CD244*'No Action'!$Y$6</f>
        <v>0.88</v>
      </c>
      <c r="L244" s="17">
        <f>'Rolling report'!CE244*'No Action'!$Y$6</f>
        <v>0</v>
      </c>
      <c r="M244" s="17">
        <f>'Rolling report'!CF244*'No Action'!$Y$6</f>
        <v>1.76</v>
      </c>
      <c r="N244" s="17">
        <f>'Rolling report'!CG244*'No Action'!$Y$6</f>
        <v>2.2000000000000002</v>
      </c>
      <c r="O244" s="17">
        <f>'Rolling report'!CH244*'No Action'!$Y$6</f>
        <v>0</v>
      </c>
      <c r="P244" s="17">
        <f>'Rolling report'!CI244*'No Action'!$Y$6</f>
        <v>1.76</v>
      </c>
      <c r="Q244" s="17">
        <f>'Rolling report'!CJ244*'No Action'!$Y$6</f>
        <v>0</v>
      </c>
      <c r="R244" s="17">
        <f>'Rolling report'!CK244*'No Action'!$Y$6</f>
        <v>1.32</v>
      </c>
      <c r="S244" s="17">
        <f>'Rolling report'!CL244*'No Action'!$Y$6</f>
        <v>0</v>
      </c>
      <c r="T244" s="17">
        <f>'Rolling report'!CM244*'No Action'!$Y$6</f>
        <v>0</v>
      </c>
      <c r="U244" s="17">
        <f>'Rolling report'!CN244*'No Action'!$Y$6</f>
        <v>2.64</v>
      </c>
      <c r="V244" s="17">
        <f>'Rolling report'!CO244*'No Action'!$Y$6</f>
        <v>0.88</v>
      </c>
      <c r="W244" s="17">
        <f>'Rolling report'!CP244*'No Action'!$Y$6</f>
        <v>0.88</v>
      </c>
      <c r="X244" s="17">
        <f>'Rolling report'!CQ244*'No Action'!$Y$6</f>
        <v>0</v>
      </c>
      <c r="Y244" s="17">
        <f>'Rolling report'!CR244*'No Action'!$Y$6</f>
        <v>0</v>
      </c>
      <c r="Z244" s="17">
        <f>'Rolling report'!CS244*'No Action'!$Y$6</f>
        <v>0</v>
      </c>
      <c r="AA244" s="17">
        <f>'Rolling report'!CT244*'No Action'!$Y$6</f>
        <v>0</v>
      </c>
      <c r="AB244" s="17">
        <f>'Rolling report'!CU244*'No Action'!$Y$6</f>
        <v>0</v>
      </c>
      <c r="AC244" s="17">
        <f>'Rolling report'!CV244*'No Action'!$Y$6</f>
        <v>3.08</v>
      </c>
      <c r="AD244" s="17">
        <f>'Rolling report'!CW244*'No Action'!$Y$6</f>
        <v>0</v>
      </c>
      <c r="AE244" s="17">
        <f>'Rolling report'!CX244*'No Action'!$Y$6</f>
        <v>1.32</v>
      </c>
      <c r="AF244" s="17">
        <f>'Rolling report'!CY244*'No Action'!$Y$6</f>
        <v>-31.68</v>
      </c>
      <c r="AG244" s="17">
        <f>'Rolling report'!CZ244*'No Action'!$Y$6</f>
        <v>0</v>
      </c>
      <c r="AH244" s="17">
        <f>'Rolling report'!DA244*'No Action'!$Y$6</f>
        <v>0</v>
      </c>
      <c r="AI244" s="17">
        <f>'Rolling report'!DB244*'No Action'!$Y$6</f>
        <v>0</v>
      </c>
      <c r="AJ244" s="17">
        <f>'Rolling report'!DC244*'No Action'!$Y$6</f>
        <v>0</v>
      </c>
      <c r="AK244" s="17">
        <f>'Rolling report'!DD244*'No Action'!$Y$6</f>
        <v>0</v>
      </c>
      <c r="AL244" s="17">
        <f>'Rolling report'!DE244*'No Action'!$Y$6</f>
        <v>0</v>
      </c>
      <c r="AM244" s="17">
        <f>'Rolling report'!DF244*'No Action'!$Y$6</f>
        <v>0</v>
      </c>
      <c r="AN244" s="17">
        <f>'Rolling report'!DG244*'No Action'!$Y$6</f>
        <v>0</v>
      </c>
      <c r="AO244" s="17">
        <f>'Rolling report'!DH244*'No Action'!$Y$6</f>
        <v>0</v>
      </c>
      <c r="AQ244" s="45"/>
    </row>
    <row r="245" spans="1:43" x14ac:dyDescent="0.25">
      <c r="A245" s="4" t="s">
        <v>496</v>
      </c>
      <c r="B245" s="6" t="s">
        <v>497</v>
      </c>
      <c r="I245" s="17">
        <f>'Rolling report'!CB245*'No Action'!$Y$6</f>
        <v>18.04</v>
      </c>
      <c r="J245" s="17">
        <f>'Rolling report'!CC245*'No Action'!$Y$6</f>
        <v>9.24</v>
      </c>
      <c r="K245" s="17">
        <f>'Rolling report'!CD245*'No Action'!$Y$6</f>
        <v>2.64</v>
      </c>
      <c r="L245" s="17">
        <f>'Rolling report'!CE245*'No Action'!$Y$6</f>
        <v>6.16</v>
      </c>
      <c r="M245" s="17">
        <f>'Rolling report'!CF245*'No Action'!$Y$6</f>
        <v>8.36</v>
      </c>
      <c r="N245" s="17">
        <f>'Rolling report'!CG245*'No Action'!$Y$6</f>
        <v>3.96</v>
      </c>
      <c r="O245" s="17">
        <f>'Rolling report'!CH245*'No Action'!$Y$6</f>
        <v>7.92</v>
      </c>
      <c r="P245" s="17">
        <f>'Rolling report'!CI245*'No Action'!$Y$6</f>
        <v>3.96</v>
      </c>
      <c r="Q245" s="17">
        <f>'Rolling report'!CJ245*'No Action'!$Y$6</f>
        <v>1.76</v>
      </c>
      <c r="R245" s="17">
        <f>'Rolling report'!CK245*'No Action'!$Y$6</f>
        <v>3.96</v>
      </c>
      <c r="S245" s="17">
        <f>'Rolling report'!CL245*'No Action'!$Y$6</f>
        <v>0.88</v>
      </c>
      <c r="T245" s="17">
        <f>'Rolling report'!CM245*'No Action'!$Y$6</f>
        <v>3.96</v>
      </c>
      <c r="U245" s="17">
        <f>'Rolling report'!CN245*'No Action'!$Y$6</f>
        <v>1.32</v>
      </c>
      <c r="V245" s="17">
        <f>'Rolling report'!CO245*'No Action'!$Y$6</f>
        <v>3.08</v>
      </c>
      <c r="W245" s="17">
        <f>'Rolling report'!CP245*'No Action'!$Y$6</f>
        <v>3.08</v>
      </c>
      <c r="X245" s="17">
        <f>'Rolling report'!CQ245*'No Action'!$Y$6</f>
        <v>0.88</v>
      </c>
      <c r="Y245" s="17">
        <f>'Rolling report'!CR245*'No Action'!$Y$6</f>
        <v>1.32</v>
      </c>
      <c r="Z245" s="17">
        <f>'Rolling report'!CS245*'No Action'!$Y$6</f>
        <v>2.2000000000000002</v>
      </c>
      <c r="AA245" s="17">
        <f>'Rolling report'!CT245*'No Action'!$Y$6</f>
        <v>0</v>
      </c>
      <c r="AB245" s="17">
        <f>'Rolling report'!CU245*'No Action'!$Y$6</f>
        <v>2.2000000000000002</v>
      </c>
      <c r="AC245" s="17">
        <f>'Rolling report'!CV245*'No Action'!$Y$6</f>
        <v>3.08</v>
      </c>
      <c r="AD245" s="17">
        <f>'Rolling report'!CW245*'No Action'!$Y$6</f>
        <v>1.32</v>
      </c>
      <c r="AE245" s="17">
        <f>'Rolling report'!CX245*'No Action'!$Y$6</f>
        <v>-0.44</v>
      </c>
      <c r="AF245" s="17">
        <f>'Rolling report'!CY245*'No Action'!$Y$6</f>
        <v>-88.88</v>
      </c>
      <c r="AG245" s="17">
        <f>'Rolling report'!CZ245*'No Action'!$Y$6</f>
        <v>0</v>
      </c>
      <c r="AH245" s="17">
        <f>'Rolling report'!DA245*'No Action'!$Y$6</f>
        <v>0</v>
      </c>
      <c r="AI245" s="17">
        <f>'Rolling report'!DB245*'No Action'!$Y$6</f>
        <v>0</v>
      </c>
      <c r="AJ245" s="17">
        <f>'Rolling report'!DC245*'No Action'!$Y$6</f>
        <v>0</v>
      </c>
      <c r="AK245" s="17">
        <f>'Rolling report'!DD245*'No Action'!$Y$6</f>
        <v>0</v>
      </c>
      <c r="AL245" s="17">
        <f>'Rolling report'!DE245*'No Action'!$Y$6</f>
        <v>0</v>
      </c>
      <c r="AM245" s="17">
        <f>'Rolling report'!DF245*'No Action'!$Y$6</f>
        <v>0</v>
      </c>
      <c r="AN245" s="17">
        <f>'Rolling report'!DG245*'No Action'!$Y$6</f>
        <v>0</v>
      </c>
      <c r="AO245" s="17">
        <f>'Rolling report'!DH245*'No Action'!$Y$6</f>
        <v>0</v>
      </c>
      <c r="AQ245" s="45"/>
    </row>
    <row r="246" spans="1:43" x14ac:dyDescent="0.25">
      <c r="A246" s="4" t="s">
        <v>498</v>
      </c>
      <c r="B246" s="6" t="s">
        <v>499</v>
      </c>
      <c r="I246" s="17">
        <f>'Rolling report'!CB246*'No Action'!$Y$6</f>
        <v>16.28</v>
      </c>
      <c r="J246" s="17">
        <f>'Rolling report'!CC246*'No Action'!$Y$6</f>
        <v>5.28</v>
      </c>
      <c r="K246" s="17">
        <f>'Rolling report'!CD246*'No Action'!$Y$6</f>
        <v>7.92</v>
      </c>
      <c r="L246" s="17">
        <f>'Rolling report'!CE246*'No Action'!$Y$6</f>
        <v>3.96</v>
      </c>
      <c r="M246" s="17">
        <f>'Rolling report'!CF246*'No Action'!$Y$6</f>
        <v>1.32</v>
      </c>
      <c r="N246" s="17">
        <f>'Rolling report'!CG246*'No Action'!$Y$6</f>
        <v>2.64</v>
      </c>
      <c r="O246" s="17">
        <f>'Rolling report'!CH246*'No Action'!$Y$6</f>
        <v>4.4000000000000004</v>
      </c>
      <c r="P246" s="17">
        <f>'Rolling report'!CI246*'No Action'!$Y$6</f>
        <v>0</v>
      </c>
      <c r="Q246" s="17">
        <f>'Rolling report'!CJ246*'No Action'!$Y$6</f>
        <v>2.64</v>
      </c>
      <c r="R246" s="17">
        <f>'Rolling report'!CK246*'No Action'!$Y$6</f>
        <v>0.44</v>
      </c>
      <c r="S246" s="17">
        <f>'Rolling report'!CL246*'No Action'!$Y$6</f>
        <v>0</v>
      </c>
      <c r="T246" s="17">
        <f>'Rolling report'!CM246*'No Action'!$Y$6</f>
        <v>0</v>
      </c>
      <c r="U246" s="17">
        <f>'Rolling report'!CN246*'No Action'!$Y$6</f>
        <v>1.76</v>
      </c>
      <c r="V246" s="17">
        <f>'Rolling report'!CO246*'No Action'!$Y$6</f>
        <v>0</v>
      </c>
      <c r="W246" s="17">
        <f>'Rolling report'!CP246*'No Action'!$Y$6</f>
        <v>0.44</v>
      </c>
      <c r="X246" s="17">
        <f>'Rolling report'!CQ246*'No Action'!$Y$6</f>
        <v>0</v>
      </c>
      <c r="Y246" s="17">
        <f>'Rolling report'!CR246*'No Action'!$Y$6</f>
        <v>0</v>
      </c>
      <c r="Z246" s="17">
        <f>'Rolling report'!CS246*'No Action'!$Y$6</f>
        <v>0.44</v>
      </c>
      <c r="AA246" s="17">
        <f>'Rolling report'!CT246*'No Action'!$Y$6</f>
        <v>0</v>
      </c>
      <c r="AB246" s="17">
        <f>'Rolling report'!CU246*'No Action'!$Y$6</f>
        <v>0.88</v>
      </c>
      <c r="AC246" s="17">
        <f>'Rolling report'!CV246*'No Action'!$Y$6</f>
        <v>1.32</v>
      </c>
      <c r="AD246" s="17">
        <f>'Rolling report'!CW246*'No Action'!$Y$6</f>
        <v>0.44</v>
      </c>
      <c r="AE246" s="17">
        <f>'Rolling report'!CX246*'No Action'!$Y$6</f>
        <v>0.44</v>
      </c>
      <c r="AF246" s="17">
        <f>'Rolling report'!CY246*'No Action'!$Y$6</f>
        <v>-50.6</v>
      </c>
      <c r="AG246" s="17">
        <f>'Rolling report'!CZ246*'No Action'!$Y$6</f>
        <v>0</v>
      </c>
      <c r="AH246" s="17">
        <f>'Rolling report'!DA246*'No Action'!$Y$6</f>
        <v>0</v>
      </c>
      <c r="AI246" s="17">
        <f>'Rolling report'!DB246*'No Action'!$Y$6</f>
        <v>0</v>
      </c>
      <c r="AJ246" s="17">
        <f>'Rolling report'!DC246*'No Action'!$Y$6</f>
        <v>0</v>
      </c>
      <c r="AK246" s="17">
        <f>'Rolling report'!DD246*'No Action'!$Y$6</f>
        <v>0</v>
      </c>
      <c r="AL246" s="17">
        <f>'Rolling report'!DE246*'No Action'!$Y$6</f>
        <v>0</v>
      </c>
      <c r="AM246" s="17">
        <f>'Rolling report'!DF246*'No Action'!$Y$6</f>
        <v>0</v>
      </c>
      <c r="AN246" s="17">
        <f>'Rolling report'!DG246*'No Action'!$Y$6</f>
        <v>0</v>
      </c>
      <c r="AO246" s="17">
        <f>'Rolling report'!DH246*'No Action'!$Y$6</f>
        <v>0</v>
      </c>
      <c r="AQ246" s="45"/>
    </row>
    <row r="247" spans="1:43" x14ac:dyDescent="0.25">
      <c r="A247" s="4"/>
      <c r="B247" s="6"/>
      <c r="I247" s="17"/>
      <c r="J247" s="17"/>
      <c r="K247" s="17"/>
      <c r="L247" s="17"/>
      <c r="M247" s="17"/>
      <c r="N247" s="17"/>
      <c r="O247" s="17"/>
      <c r="P247" s="17"/>
      <c r="Q247" s="17"/>
      <c r="R247" s="17"/>
      <c r="S247" s="17"/>
      <c r="T247" s="17"/>
      <c r="U247" s="17"/>
      <c r="V247" s="17"/>
      <c r="W247" s="17"/>
      <c r="X247" s="17"/>
      <c r="Y247" s="17"/>
      <c r="Z247" s="17"/>
      <c r="AA247" s="17"/>
      <c r="AB247" s="17"/>
      <c r="AC247" s="17"/>
      <c r="AD247" s="17"/>
      <c r="AE247" s="17"/>
      <c r="AF247" s="17"/>
      <c r="AG247" s="17"/>
      <c r="AH247" s="17"/>
      <c r="AI247" s="17"/>
      <c r="AJ247" s="17"/>
      <c r="AK247" s="17"/>
      <c r="AL247" s="17"/>
      <c r="AM247" s="17"/>
      <c r="AN247" s="17"/>
      <c r="AO247" s="17"/>
      <c r="AQ247" s="45"/>
    </row>
    <row r="248" spans="1:43" x14ac:dyDescent="0.25">
      <c r="A248" s="8" t="s">
        <v>629</v>
      </c>
      <c r="B248" s="11"/>
      <c r="I248" s="17">
        <f>'Rolling report'!CB248*'No Action'!$Y$6</f>
        <v>414.48</v>
      </c>
      <c r="J248" s="17">
        <f>'Rolling report'!CC248*'No Action'!$Y$6</f>
        <v>88.44</v>
      </c>
      <c r="K248" s="17">
        <f>'Rolling report'!CD248*'No Action'!$Y$6</f>
        <v>73.48</v>
      </c>
      <c r="L248" s="17">
        <f>'Rolling report'!CE248*'No Action'!$Y$6</f>
        <v>75.239999999999995</v>
      </c>
      <c r="M248" s="17">
        <f>'Rolling report'!CF248*'No Action'!$Y$6</f>
        <v>56.32</v>
      </c>
      <c r="N248" s="17">
        <f>'Rolling report'!CG248*'No Action'!$Y$6</f>
        <v>51.04</v>
      </c>
      <c r="O248" s="17">
        <f>'Rolling report'!CH248*'No Action'!$Y$6</f>
        <v>73.48</v>
      </c>
      <c r="P248" s="17">
        <f>'Rolling report'!CI248*'No Action'!$Y$6</f>
        <v>47.08</v>
      </c>
      <c r="Q248" s="17">
        <f>'Rolling report'!CJ248*'No Action'!$Y$6</f>
        <v>53.68</v>
      </c>
      <c r="R248" s="17">
        <f>'Rolling report'!CK248*'No Action'!$Y$6</f>
        <v>46.2</v>
      </c>
      <c r="S248" s="17">
        <f>'Rolling report'!CL248*'No Action'!$Y$6</f>
        <v>23.32</v>
      </c>
      <c r="T248" s="17">
        <f>'Rolling report'!CM248*'No Action'!$Y$6</f>
        <v>39.160000000000004</v>
      </c>
      <c r="U248" s="17">
        <f>'Rolling report'!CN248*'No Action'!$Y$6</f>
        <v>38.72</v>
      </c>
      <c r="V248" s="17">
        <f>'Rolling report'!CO248*'No Action'!$Y$6</f>
        <v>34.32</v>
      </c>
      <c r="W248" s="17">
        <f>'Rolling report'!CP248*'No Action'!$Y$6</f>
        <v>35.64</v>
      </c>
      <c r="X248" s="17">
        <f>'Rolling report'!CQ248*'No Action'!$Y$6</f>
        <v>21.12</v>
      </c>
      <c r="Y248" s="17">
        <f>'Rolling report'!CR248*'No Action'!$Y$6</f>
        <v>25.080000000000002</v>
      </c>
      <c r="Z248" s="17">
        <f>'Rolling report'!CS248*'No Action'!$Y$6</f>
        <v>21.56</v>
      </c>
      <c r="AA248" s="17">
        <f>'Rolling report'!CT248*'No Action'!$Y$6</f>
        <v>18.48</v>
      </c>
      <c r="AB248" s="17">
        <f>'Rolling report'!CU248*'No Action'!$Y$6</f>
        <v>21.56</v>
      </c>
      <c r="AC248" s="17">
        <f>'Rolling report'!CV248*'No Action'!$Y$6</f>
        <v>35.64</v>
      </c>
      <c r="AD248" s="17">
        <f>'Rolling report'!CW248*'No Action'!$Y$6</f>
        <v>10.56</v>
      </c>
      <c r="AE248" s="17">
        <f>'Rolling report'!CX248*'No Action'!$Y$6</f>
        <v>16.28</v>
      </c>
      <c r="AF248" s="17">
        <f>'Rolling report'!CY248*'No Action'!$Y$6</f>
        <v>-1320.88</v>
      </c>
      <c r="AG248" s="17">
        <f>'Rolling report'!CZ248*'No Action'!$Y$6</f>
        <v>0</v>
      </c>
      <c r="AH248" s="17">
        <f>'Rolling report'!DA248*'No Action'!$Y$6</f>
        <v>0</v>
      </c>
      <c r="AI248" s="17">
        <f>'Rolling report'!DB248*'No Action'!$Y$6</f>
        <v>0</v>
      </c>
      <c r="AJ248" s="17">
        <f>'Rolling report'!DC248*'No Action'!$Y$6</f>
        <v>0</v>
      </c>
      <c r="AK248" s="17">
        <f>'Rolling report'!DD248*'No Action'!$Y$6</f>
        <v>0</v>
      </c>
      <c r="AL248" s="17">
        <f>'Rolling report'!DE248*'No Action'!$Y$6</f>
        <v>0</v>
      </c>
      <c r="AM248" s="17">
        <f>'Rolling report'!DF248*'No Action'!$Y$6</f>
        <v>0</v>
      </c>
      <c r="AN248" s="17">
        <f>'Rolling report'!DG248*'No Action'!$Y$6</f>
        <v>0</v>
      </c>
      <c r="AO248" s="17">
        <f>'Rolling report'!DH248*'No Action'!$Y$6</f>
        <v>0</v>
      </c>
      <c r="AQ248" s="45"/>
    </row>
    <row r="249" spans="1:43" x14ac:dyDescent="0.25">
      <c r="A249" s="4"/>
      <c r="B249" s="6"/>
      <c r="I249" s="17"/>
      <c r="J249" s="17"/>
      <c r="K249" s="17"/>
      <c r="L249" s="17"/>
      <c r="M249" s="17"/>
      <c r="N249" s="17"/>
      <c r="O249" s="17"/>
      <c r="P249" s="17"/>
      <c r="Q249" s="17"/>
      <c r="R249" s="17"/>
      <c r="S249" s="17"/>
      <c r="T249" s="17"/>
      <c r="U249" s="17"/>
      <c r="V249" s="17"/>
      <c r="W249" s="17"/>
      <c r="X249" s="17"/>
      <c r="Y249" s="17"/>
      <c r="Z249" s="17"/>
      <c r="AA249" s="17"/>
      <c r="AB249" s="17"/>
      <c r="AC249" s="17"/>
      <c r="AD249" s="17"/>
      <c r="AE249" s="17"/>
      <c r="AF249" s="17"/>
      <c r="AG249" s="17"/>
      <c r="AH249" s="17"/>
      <c r="AI249" s="17"/>
      <c r="AJ249" s="17"/>
      <c r="AK249" s="17"/>
      <c r="AL249" s="17"/>
      <c r="AM249" s="17"/>
      <c r="AN249" s="17"/>
      <c r="AO249" s="17"/>
      <c r="AQ249" s="45"/>
    </row>
    <row r="250" spans="1:43" x14ac:dyDescent="0.25">
      <c r="A250" s="33"/>
      <c r="B250" s="33"/>
      <c r="I250" s="17"/>
      <c r="J250" s="17"/>
      <c r="K250" s="17"/>
      <c r="L250" s="17"/>
      <c r="M250" s="17"/>
      <c r="N250" s="17"/>
      <c r="O250" s="17"/>
      <c r="P250" s="17"/>
      <c r="Q250" s="17"/>
      <c r="R250" s="17"/>
      <c r="S250" s="17"/>
      <c r="T250" s="17"/>
      <c r="U250" s="17"/>
      <c r="V250" s="17"/>
      <c r="W250" s="17"/>
      <c r="X250" s="17"/>
      <c r="Y250" s="17"/>
      <c r="Z250" s="17"/>
      <c r="AA250" s="17"/>
      <c r="AB250" s="17"/>
      <c r="AC250" s="17"/>
      <c r="AD250" s="17"/>
      <c r="AE250" s="17"/>
      <c r="AF250" s="17"/>
      <c r="AG250" s="17"/>
      <c r="AH250" s="17"/>
      <c r="AI250" s="17"/>
      <c r="AJ250" s="17"/>
      <c r="AK250" s="17"/>
      <c r="AL250" s="17"/>
      <c r="AM250" s="17"/>
      <c r="AN250" s="17"/>
      <c r="AO250" s="17"/>
      <c r="AQ250" s="45"/>
    </row>
    <row r="251" spans="1:43" x14ac:dyDescent="0.25">
      <c r="A251" s="4"/>
      <c r="B251" s="6"/>
      <c r="I251" s="17"/>
      <c r="J251" s="17"/>
      <c r="K251" s="17"/>
      <c r="L251" s="17"/>
      <c r="M251" s="17"/>
      <c r="N251" s="17"/>
      <c r="O251" s="17"/>
      <c r="P251" s="17"/>
      <c r="Q251" s="17"/>
      <c r="R251" s="17"/>
      <c r="S251" s="17"/>
      <c r="T251" s="17"/>
      <c r="U251" s="17"/>
      <c r="V251" s="17"/>
      <c r="W251" s="17"/>
      <c r="X251" s="17"/>
      <c r="Y251" s="17"/>
      <c r="Z251" s="17"/>
      <c r="AA251" s="17"/>
      <c r="AB251" s="17"/>
      <c r="AC251" s="17"/>
      <c r="AD251" s="17"/>
      <c r="AE251" s="17"/>
      <c r="AF251" s="17"/>
      <c r="AG251" s="17"/>
      <c r="AH251" s="17"/>
      <c r="AI251" s="17"/>
      <c r="AJ251" s="17"/>
      <c r="AK251" s="17"/>
      <c r="AL251" s="17"/>
      <c r="AM251" s="17"/>
      <c r="AN251" s="17"/>
      <c r="AO251" s="17"/>
      <c r="AQ251" s="45"/>
    </row>
    <row r="252" spans="1:43" x14ac:dyDescent="0.25">
      <c r="A252" s="8" t="s">
        <v>709</v>
      </c>
      <c r="B252" s="11"/>
      <c r="I252" s="17">
        <f>'Rolling report'!CB252*'No Action'!$Y$6</f>
        <v>80.959999999999994</v>
      </c>
      <c r="J252" s="17">
        <f>'Rolling report'!CC252*'No Action'!$Y$6</f>
        <v>44.44</v>
      </c>
      <c r="K252" s="17">
        <f>'Rolling report'!CD252*'No Action'!$Y$6</f>
        <v>41.36</v>
      </c>
      <c r="L252" s="17">
        <f>'Rolling report'!CE252*'No Action'!$Y$6</f>
        <v>44.44</v>
      </c>
      <c r="M252" s="17">
        <f>'Rolling report'!CF252*'No Action'!$Y$6</f>
        <v>48.4</v>
      </c>
      <c r="N252" s="17">
        <f>'Rolling report'!CG252*'No Action'!$Y$6</f>
        <v>81.84</v>
      </c>
      <c r="O252" s="17">
        <f>'Rolling report'!CH252*'No Action'!$Y$6</f>
        <v>136.84</v>
      </c>
      <c r="P252" s="17">
        <f>'Rolling report'!CI252*'No Action'!$Y$6</f>
        <v>82.72</v>
      </c>
      <c r="Q252" s="17">
        <f>'Rolling report'!CJ252*'No Action'!$Y$6</f>
        <v>131.12</v>
      </c>
      <c r="R252" s="17">
        <f>'Rolling report'!CK252*'No Action'!$Y$6</f>
        <v>77.88</v>
      </c>
      <c r="S252" s="17">
        <f>'Rolling report'!CL252*'No Action'!$Y$6</f>
        <v>71.72</v>
      </c>
      <c r="T252" s="17">
        <f>'Rolling report'!CM252*'No Action'!$Y$6</f>
        <v>73.040000000000006</v>
      </c>
      <c r="U252" s="17">
        <f>'Rolling report'!CN252*'No Action'!$Y$6</f>
        <v>78.320000000000007</v>
      </c>
      <c r="V252" s="17">
        <f>'Rolling report'!CO252*'No Action'!$Y$6</f>
        <v>47.52</v>
      </c>
      <c r="W252" s="17">
        <f>'Rolling report'!CP252*'No Action'!$Y$6</f>
        <v>47.08</v>
      </c>
      <c r="X252" s="17">
        <f>'Rolling report'!CQ252*'No Action'!$Y$6</f>
        <v>40.04</v>
      </c>
      <c r="Y252" s="17">
        <f>'Rolling report'!CR252*'No Action'!$Y$6</f>
        <v>25.080000000000002</v>
      </c>
      <c r="Z252" s="17">
        <f>'Rolling report'!CS252*'No Action'!$Y$6</f>
        <v>18.920000000000002</v>
      </c>
      <c r="AA252" s="17">
        <f>'Rolling report'!CT252*'No Action'!$Y$6</f>
        <v>26.4</v>
      </c>
      <c r="AB252" s="17">
        <f>'Rolling report'!CU252*'No Action'!$Y$6</f>
        <v>35.64</v>
      </c>
      <c r="AC252" s="17">
        <f>'Rolling report'!CV252*'No Action'!$Y$6</f>
        <v>28.6</v>
      </c>
      <c r="AD252" s="17">
        <f>'Rolling report'!CW252*'No Action'!$Y$6</f>
        <v>6.6</v>
      </c>
      <c r="AE252" s="17">
        <f>'Rolling report'!CX252*'No Action'!$Y$6</f>
        <v>8.8000000000000007</v>
      </c>
      <c r="AF252" s="17">
        <f>'Rolling report'!CY252*'No Action'!$Y$6</f>
        <v>-1277.76</v>
      </c>
      <c r="AG252" s="17">
        <f>'Rolling report'!CZ252*'No Action'!$Y$6</f>
        <v>0</v>
      </c>
      <c r="AH252" s="17">
        <f>'Rolling report'!DA252*'No Action'!$Y$6</f>
        <v>0</v>
      </c>
      <c r="AI252" s="17">
        <f>'Rolling report'!DB252*'No Action'!$Y$6</f>
        <v>0</v>
      </c>
      <c r="AJ252" s="17">
        <f>'Rolling report'!DC252*'No Action'!$Y$6</f>
        <v>0</v>
      </c>
      <c r="AK252" s="17">
        <f>'Rolling report'!DD252*'No Action'!$Y$6</f>
        <v>0</v>
      </c>
      <c r="AL252" s="17">
        <f>'Rolling report'!DE252*'No Action'!$Y$6</f>
        <v>0</v>
      </c>
      <c r="AM252" s="17">
        <f>'Rolling report'!DF252*'No Action'!$Y$6</f>
        <v>0</v>
      </c>
      <c r="AN252" s="17">
        <f>'Rolling report'!DG252*'No Action'!$Y$6</f>
        <v>0</v>
      </c>
      <c r="AO252" s="17">
        <f>'Rolling report'!DH252*'No Action'!$Y$6</f>
        <v>0</v>
      </c>
      <c r="AQ252" s="45"/>
    </row>
    <row r="253" spans="1:43" x14ac:dyDescent="0.25">
      <c r="A253" s="4"/>
      <c r="B253" s="6"/>
      <c r="I253" s="17"/>
      <c r="J253" s="17"/>
      <c r="K253" s="17"/>
      <c r="L253" s="17"/>
      <c r="M253" s="17"/>
      <c r="N253" s="17"/>
      <c r="O253" s="17"/>
      <c r="P253" s="17"/>
      <c r="Q253" s="17"/>
      <c r="R253" s="17"/>
      <c r="S253" s="17"/>
      <c r="T253" s="17"/>
      <c r="U253" s="17"/>
      <c r="V253" s="17"/>
      <c r="W253" s="17"/>
      <c r="X253" s="17"/>
      <c r="Y253" s="17"/>
      <c r="Z253" s="17"/>
      <c r="AA253" s="17"/>
      <c r="AB253" s="17"/>
      <c r="AC253" s="17"/>
      <c r="AD253" s="17"/>
      <c r="AE253" s="17"/>
      <c r="AF253" s="17"/>
      <c r="AG253" s="17"/>
      <c r="AH253" s="17"/>
      <c r="AI253" s="17"/>
      <c r="AJ253" s="17"/>
      <c r="AK253" s="17"/>
      <c r="AL253" s="17"/>
      <c r="AM253" s="17"/>
      <c r="AN253" s="17"/>
      <c r="AO253" s="17"/>
      <c r="AQ253" s="45"/>
    </row>
    <row r="254" spans="1:43" x14ac:dyDescent="0.25">
      <c r="A254" s="8" t="s">
        <v>711</v>
      </c>
      <c r="B254" s="11"/>
      <c r="I254" s="17">
        <f>'Rolling report'!CB254*'No Action'!$Y$6</f>
        <v>495.44</v>
      </c>
      <c r="J254" s="17">
        <f>'Rolling report'!CC254*'No Action'!$Y$6</f>
        <v>132.88</v>
      </c>
      <c r="K254" s="17">
        <f>'Rolling report'!CD254*'No Action'!$Y$6</f>
        <v>114.84</v>
      </c>
      <c r="L254" s="17">
        <f>'Rolling report'!CE254*'No Action'!$Y$6</f>
        <v>119.68</v>
      </c>
      <c r="M254" s="17">
        <f>'Rolling report'!CF254*'No Action'!$Y$6</f>
        <v>104.72</v>
      </c>
      <c r="N254" s="17">
        <f>'Rolling report'!CG254*'No Action'!$Y$6</f>
        <v>132.88</v>
      </c>
      <c r="O254" s="17">
        <f>'Rolling report'!CH254*'No Action'!$Y$6</f>
        <v>210.32</v>
      </c>
      <c r="P254" s="17">
        <f>'Rolling report'!CI254*'No Action'!$Y$6</f>
        <v>129.80000000000001</v>
      </c>
      <c r="Q254" s="17">
        <f>'Rolling report'!CJ254*'No Action'!$Y$6</f>
        <v>184.8</v>
      </c>
      <c r="R254" s="17">
        <f>'Rolling report'!CK254*'No Action'!$Y$6</f>
        <v>124.08</v>
      </c>
      <c r="S254" s="17">
        <f>'Rolling report'!CL254*'No Action'!$Y$6</f>
        <v>95.04</v>
      </c>
      <c r="T254" s="17">
        <f>'Rolling report'!CM254*'No Action'!$Y$6</f>
        <v>112.2</v>
      </c>
      <c r="U254" s="17">
        <f>'Rolling report'!CN254*'No Action'!$Y$6</f>
        <v>117.04</v>
      </c>
      <c r="V254" s="17">
        <f>'Rolling report'!CO254*'No Action'!$Y$6</f>
        <v>81.84</v>
      </c>
      <c r="W254" s="17">
        <f>'Rolling report'!CP254*'No Action'!$Y$6</f>
        <v>82.72</v>
      </c>
      <c r="X254" s="17">
        <f>'Rolling report'!CQ254*'No Action'!$Y$6</f>
        <v>61.160000000000004</v>
      </c>
      <c r="Y254" s="17">
        <f>'Rolling report'!CR254*'No Action'!$Y$6</f>
        <v>50.160000000000004</v>
      </c>
      <c r="Z254" s="17">
        <f>'Rolling report'!CS254*'No Action'!$Y$6</f>
        <v>40.479999999999997</v>
      </c>
      <c r="AA254" s="17">
        <f>'Rolling report'!CT254*'No Action'!$Y$6</f>
        <v>44.88</v>
      </c>
      <c r="AB254" s="17">
        <f>'Rolling report'!CU254*'No Action'!$Y$6</f>
        <v>57.2</v>
      </c>
      <c r="AC254" s="17">
        <f>'Rolling report'!CV254*'No Action'!$Y$6</f>
        <v>64.239999999999995</v>
      </c>
      <c r="AD254" s="17">
        <f>'Rolling report'!CW254*'No Action'!$Y$6</f>
        <v>17.16</v>
      </c>
      <c r="AE254" s="17">
        <f>'Rolling report'!CX254*'No Action'!$Y$6</f>
        <v>25.080000000000002</v>
      </c>
      <c r="AF254" s="17">
        <f>'Rolling report'!CY254*'No Action'!$Y$6</f>
        <v>-2598.64</v>
      </c>
      <c r="AG254" s="17">
        <f>'Rolling report'!CZ254*'No Action'!$Y$6</f>
        <v>0</v>
      </c>
      <c r="AH254" s="17">
        <f>'Rolling report'!DA254*'No Action'!$Y$6</f>
        <v>0</v>
      </c>
      <c r="AI254" s="17">
        <f>'Rolling report'!DB254*'No Action'!$Y$6</f>
        <v>0</v>
      </c>
      <c r="AJ254" s="17">
        <f>'Rolling report'!DC254*'No Action'!$Y$6</f>
        <v>0</v>
      </c>
      <c r="AK254" s="17">
        <f>'Rolling report'!DD254*'No Action'!$Y$6</f>
        <v>0</v>
      </c>
      <c r="AL254" s="17">
        <f>'Rolling report'!DE254*'No Action'!$Y$6</f>
        <v>0</v>
      </c>
      <c r="AM254" s="17">
        <f>'Rolling report'!DF254*'No Action'!$Y$6</f>
        <v>0</v>
      </c>
      <c r="AN254" s="17">
        <f>'Rolling report'!DG254*'No Action'!$Y$6</f>
        <v>0</v>
      </c>
      <c r="AO254" s="17">
        <f>'Rolling report'!DH254*'No Action'!$Y$6</f>
        <v>0</v>
      </c>
      <c r="AQ254" s="45"/>
    </row>
    <row r="255" spans="1:43" ht="15.75" thickBot="1" x14ac:dyDescent="0.3">
      <c r="A255" s="12"/>
      <c r="B255" s="13"/>
      <c r="I255" s="17"/>
      <c r="J255" s="17"/>
      <c r="K255" s="17"/>
      <c r="L255" s="17"/>
      <c r="M255" s="17"/>
      <c r="N255" s="17"/>
      <c r="O255" s="17"/>
      <c r="P255" s="17"/>
      <c r="Q255" s="17"/>
      <c r="R255" s="17"/>
      <c r="S255" s="17"/>
      <c r="T255" s="17"/>
      <c r="U255" s="17"/>
      <c r="V255" s="17"/>
      <c r="W255" s="17"/>
      <c r="X255" s="17"/>
      <c r="Y255" s="17"/>
      <c r="Z255" s="17"/>
      <c r="AA255" s="17"/>
      <c r="AB255" s="17"/>
      <c r="AC255" s="17"/>
      <c r="AD255" s="17"/>
      <c r="AE255" s="17"/>
      <c r="AF255" s="17"/>
      <c r="AG255" s="17"/>
      <c r="AH255" s="17"/>
      <c r="AI255" s="17"/>
      <c r="AJ255" s="17"/>
      <c r="AK255" s="17"/>
      <c r="AL255" s="17"/>
      <c r="AM255" s="17"/>
      <c r="AN255" s="17"/>
      <c r="AO255" s="17"/>
      <c r="AQ255" s="45"/>
    </row>
    <row r="256" spans="1:43" x14ac:dyDescent="0.25">
      <c r="I256" s="17"/>
      <c r="J256" s="17"/>
      <c r="K256" s="17"/>
      <c r="L256" s="17"/>
      <c r="M256" s="17"/>
      <c r="N256" s="17"/>
      <c r="O256" s="17"/>
      <c r="P256" s="17"/>
      <c r="Q256" s="17"/>
      <c r="R256" s="17"/>
      <c r="S256" s="17"/>
      <c r="T256" s="17"/>
      <c r="U256" s="17"/>
      <c r="V256" s="17"/>
      <c r="W256" s="17"/>
      <c r="X256" s="17"/>
      <c r="Y256" s="17"/>
      <c r="Z256" s="17"/>
      <c r="AA256" s="17"/>
      <c r="AB256" s="17"/>
      <c r="AC256" s="17"/>
      <c r="AD256" s="17"/>
      <c r="AE256" s="17"/>
      <c r="AF256" s="17"/>
      <c r="AG256" s="17"/>
      <c r="AH256" s="17"/>
      <c r="AI256" s="17"/>
      <c r="AJ256" s="17"/>
      <c r="AK256" s="17"/>
      <c r="AL256" s="17"/>
      <c r="AM256" s="17"/>
      <c r="AN256" s="17"/>
      <c r="AO256" s="17"/>
      <c r="AQ256" s="45"/>
    </row>
    <row r="257" spans="1:43" ht="20.25" x14ac:dyDescent="0.3">
      <c r="A257" s="1" t="s">
        <v>0</v>
      </c>
      <c r="B257" s="2"/>
      <c r="I257" s="17"/>
      <c r="J257" s="17"/>
      <c r="K257" s="17"/>
      <c r="L257" s="17"/>
      <c r="M257" s="17"/>
      <c r="N257" s="17"/>
      <c r="O257" s="17"/>
      <c r="P257" s="17"/>
      <c r="Q257" s="17"/>
      <c r="R257" s="17"/>
      <c r="S257" s="17"/>
      <c r="T257" s="17"/>
      <c r="U257" s="17"/>
      <c r="V257" s="17"/>
      <c r="W257" s="17"/>
      <c r="X257" s="17"/>
      <c r="Y257" s="17"/>
      <c r="Z257" s="17"/>
      <c r="AA257" s="17"/>
      <c r="AB257" s="17"/>
      <c r="AC257" s="17"/>
      <c r="AD257" s="17"/>
      <c r="AE257" s="17"/>
      <c r="AF257" s="17"/>
      <c r="AG257" s="17"/>
      <c r="AH257" s="17"/>
      <c r="AI257" s="17"/>
      <c r="AJ257" s="17"/>
      <c r="AK257" s="17"/>
      <c r="AL257" s="17"/>
      <c r="AM257" s="17"/>
      <c r="AN257" s="17"/>
      <c r="AO257" s="17"/>
      <c r="AQ257" s="45"/>
    </row>
    <row r="258" spans="1:43" x14ac:dyDescent="0.25">
      <c r="A258" s="3" t="s">
        <v>1</v>
      </c>
      <c r="B258" s="2"/>
      <c r="I258" s="17"/>
      <c r="J258" s="17"/>
      <c r="K258" s="17"/>
      <c r="L258" s="17"/>
      <c r="M258" s="17"/>
      <c r="N258" s="17"/>
      <c r="O258" s="17"/>
      <c r="P258" s="17"/>
      <c r="Q258" s="17"/>
      <c r="R258" s="17"/>
      <c r="S258" s="17"/>
      <c r="T258" s="17"/>
      <c r="U258" s="17"/>
      <c r="V258" s="17"/>
      <c r="W258" s="17"/>
      <c r="X258" s="17"/>
      <c r="Y258" s="17"/>
      <c r="Z258" s="17"/>
      <c r="AA258" s="17"/>
      <c r="AB258" s="17"/>
      <c r="AC258" s="17"/>
      <c r="AD258" s="17"/>
      <c r="AE258" s="17"/>
      <c r="AF258" s="17"/>
      <c r="AG258" s="17"/>
      <c r="AH258" s="17"/>
      <c r="AI258" s="17"/>
      <c r="AJ258" s="17"/>
      <c r="AK258" s="17"/>
      <c r="AL258" s="17"/>
      <c r="AM258" s="17"/>
      <c r="AN258" s="17"/>
      <c r="AO258" s="17"/>
      <c r="AQ258" s="45"/>
    </row>
    <row r="259" spans="1:43" x14ac:dyDescent="0.25">
      <c r="A259" s="4" t="s">
        <v>2</v>
      </c>
      <c r="B259" s="2"/>
      <c r="I259" s="17"/>
      <c r="J259" s="17"/>
      <c r="K259" s="17"/>
      <c r="L259" s="17"/>
      <c r="M259" s="17"/>
      <c r="N259" s="17"/>
      <c r="O259" s="17"/>
      <c r="P259" s="17"/>
      <c r="Q259" s="17"/>
      <c r="R259" s="17"/>
      <c r="S259" s="17"/>
      <c r="T259" s="17"/>
      <c r="U259" s="17"/>
      <c r="V259" s="17"/>
      <c r="W259" s="17"/>
      <c r="X259" s="17"/>
      <c r="Y259" s="17"/>
      <c r="Z259" s="17"/>
      <c r="AA259" s="17"/>
      <c r="AB259" s="17"/>
      <c r="AC259" s="17"/>
      <c r="AD259" s="17"/>
      <c r="AE259" s="17"/>
      <c r="AF259" s="17"/>
      <c r="AG259" s="17"/>
      <c r="AH259" s="17"/>
      <c r="AI259" s="17"/>
      <c r="AJ259" s="17"/>
      <c r="AK259" s="17"/>
      <c r="AL259" s="17"/>
      <c r="AM259" s="17"/>
      <c r="AN259" s="17"/>
      <c r="AO259" s="17"/>
      <c r="AQ259" s="45"/>
    </row>
    <row r="260" spans="1:43" x14ac:dyDescent="0.25">
      <c r="A260" s="5" t="s">
        <v>558</v>
      </c>
      <c r="B260" s="6"/>
      <c r="I260" s="17"/>
      <c r="J260" s="17"/>
      <c r="K260" s="17"/>
      <c r="L260" s="17"/>
      <c r="M260" s="17"/>
      <c r="N260" s="17"/>
      <c r="O260" s="17"/>
      <c r="P260" s="17"/>
      <c r="Q260" s="17"/>
      <c r="R260" s="17"/>
      <c r="S260" s="17"/>
      <c r="T260" s="17"/>
      <c r="U260" s="17"/>
      <c r="V260" s="17"/>
      <c r="W260" s="17"/>
      <c r="X260" s="17"/>
      <c r="Y260" s="17"/>
      <c r="Z260" s="17"/>
      <c r="AA260" s="17"/>
      <c r="AB260" s="17"/>
      <c r="AC260" s="17"/>
      <c r="AD260" s="17"/>
      <c r="AE260" s="17"/>
      <c r="AF260" s="17"/>
      <c r="AG260" s="17"/>
      <c r="AH260" s="17"/>
      <c r="AI260" s="17"/>
      <c r="AJ260" s="17"/>
      <c r="AK260" s="17"/>
      <c r="AL260" s="17"/>
      <c r="AM260" s="17"/>
      <c r="AN260" s="17"/>
      <c r="AO260" s="17"/>
      <c r="AQ260" s="45"/>
    </row>
    <row r="261" spans="1:43" x14ac:dyDescent="0.25">
      <c r="A261" s="7"/>
      <c r="B261" s="41"/>
      <c r="I261" s="17"/>
      <c r="J261" s="17"/>
      <c r="K261" s="17"/>
      <c r="L261" s="17"/>
      <c r="M261" s="17"/>
      <c r="N261" s="17"/>
      <c r="O261" s="17"/>
      <c r="P261" s="17"/>
      <c r="Q261" s="17"/>
      <c r="R261" s="17"/>
      <c r="S261" s="17"/>
      <c r="T261" s="17"/>
      <c r="U261" s="17"/>
      <c r="V261" s="17"/>
      <c r="W261" s="17"/>
      <c r="X261" s="17"/>
      <c r="Y261" s="17"/>
      <c r="Z261" s="17"/>
      <c r="AA261" s="17"/>
      <c r="AB261" s="17"/>
      <c r="AC261" s="17"/>
      <c r="AD261" s="17"/>
      <c r="AE261" s="17"/>
      <c r="AF261" s="17"/>
      <c r="AG261" s="17"/>
      <c r="AH261" s="17"/>
      <c r="AI261" s="17"/>
      <c r="AJ261" s="17"/>
      <c r="AK261" s="17"/>
      <c r="AL261" s="17"/>
      <c r="AM261" s="17"/>
      <c r="AN261" s="17"/>
      <c r="AO261" s="17"/>
      <c r="AQ261" s="45"/>
    </row>
    <row r="262" spans="1:43" ht="30" x14ac:dyDescent="0.25">
      <c r="A262" s="42" t="s">
        <v>559</v>
      </c>
      <c r="B262" s="16" t="s">
        <v>4</v>
      </c>
      <c r="I262" s="17"/>
      <c r="J262" s="17"/>
      <c r="K262" s="17"/>
      <c r="L262" s="17"/>
      <c r="M262" s="17"/>
      <c r="N262" s="17"/>
      <c r="O262" s="17"/>
      <c r="P262" s="17"/>
      <c r="Q262" s="17"/>
      <c r="R262" s="17"/>
      <c r="S262" s="17"/>
      <c r="T262" s="17"/>
      <c r="U262" s="17"/>
      <c r="V262" s="17"/>
      <c r="W262" s="17"/>
      <c r="X262" s="17"/>
      <c r="Y262" s="17"/>
      <c r="Z262" s="17"/>
      <c r="AA262" s="17"/>
      <c r="AB262" s="17"/>
      <c r="AC262" s="17"/>
      <c r="AD262" s="17"/>
      <c r="AE262" s="17"/>
      <c r="AF262" s="17"/>
      <c r="AG262" s="17"/>
      <c r="AH262" s="17"/>
      <c r="AI262" s="17"/>
      <c r="AJ262" s="17"/>
      <c r="AK262" s="17"/>
      <c r="AL262" s="17"/>
      <c r="AM262" s="17"/>
      <c r="AN262" s="17"/>
      <c r="AO262" s="17"/>
      <c r="AQ262" s="45"/>
    </row>
    <row r="263" spans="1:43" x14ac:dyDescent="0.25">
      <c r="A263" s="9"/>
      <c r="B263" s="2"/>
      <c r="I263" s="17"/>
      <c r="J263" s="17"/>
      <c r="K263" s="17"/>
      <c r="L263" s="17"/>
      <c r="M263" s="17"/>
      <c r="N263" s="17"/>
      <c r="O263" s="17"/>
      <c r="P263" s="17"/>
      <c r="Q263" s="17"/>
      <c r="R263" s="17"/>
      <c r="S263" s="17"/>
      <c r="T263" s="17"/>
      <c r="U263" s="17"/>
      <c r="V263" s="17"/>
      <c r="W263" s="17"/>
      <c r="X263" s="17"/>
      <c r="Y263" s="17"/>
      <c r="Z263" s="17"/>
      <c r="AA263" s="17"/>
      <c r="AB263" s="17"/>
      <c r="AC263" s="17"/>
      <c r="AD263" s="17"/>
      <c r="AE263" s="17"/>
      <c r="AF263" s="17"/>
      <c r="AG263" s="17"/>
      <c r="AH263" s="17"/>
      <c r="AI263" s="17"/>
      <c r="AJ263" s="17"/>
      <c r="AK263" s="17"/>
      <c r="AL263" s="17"/>
      <c r="AM263" s="17"/>
      <c r="AN263" s="17"/>
      <c r="AO263" s="17"/>
      <c r="AQ263" s="45"/>
    </row>
    <row r="264" spans="1:43" x14ac:dyDescent="0.25">
      <c r="A264" s="4" t="s">
        <v>560</v>
      </c>
      <c r="B264" s="6" t="s">
        <v>561</v>
      </c>
      <c r="I264" s="17">
        <f>'Rolling report'!CB264*'No Action'!$Y$6</f>
        <v>3.08</v>
      </c>
      <c r="J264" s="17">
        <f>'Rolling report'!CC264*'No Action'!$Y$6</f>
        <v>2.2000000000000002</v>
      </c>
      <c r="K264" s="17">
        <f>'Rolling report'!CD264*'No Action'!$Y$6</f>
        <v>2.64</v>
      </c>
      <c r="L264" s="17">
        <f>'Rolling report'!CE264*'No Action'!$Y$6</f>
        <v>0.44</v>
      </c>
      <c r="M264" s="17">
        <f>'Rolling report'!CF264*'No Action'!$Y$6</f>
        <v>0</v>
      </c>
      <c r="N264" s="17">
        <f>'Rolling report'!CG264*'No Action'!$Y$6</f>
        <v>2.64</v>
      </c>
      <c r="O264" s="17">
        <f>'Rolling report'!CH264*'No Action'!$Y$6</f>
        <v>0.88</v>
      </c>
      <c r="P264" s="17">
        <f>'Rolling report'!CI264*'No Action'!$Y$6</f>
        <v>0.44</v>
      </c>
      <c r="Q264" s="17">
        <f>'Rolling report'!CJ264*'No Action'!$Y$6</f>
        <v>0</v>
      </c>
      <c r="R264" s="17">
        <f>'Rolling report'!CK264*'No Action'!$Y$6</f>
        <v>0.88</v>
      </c>
      <c r="S264" s="17">
        <f>'Rolling report'!CL264*'No Action'!$Y$6</f>
        <v>0</v>
      </c>
      <c r="T264" s="17">
        <f>'Rolling report'!CM264*'No Action'!$Y$6</f>
        <v>1.32</v>
      </c>
      <c r="U264" s="17">
        <f>'Rolling report'!CN264*'No Action'!$Y$6</f>
        <v>1.76</v>
      </c>
      <c r="V264" s="17">
        <f>'Rolling report'!CO264*'No Action'!$Y$6</f>
        <v>0.44</v>
      </c>
      <c r="W264" s="17">
        <f>'Rolling report'!CP264*'No Action'!$Y$6</f>
        <v>0</v>
      </c>
      <c r="X264" s="17">
        <f>'Rolling report'!CQ264*'No Action'!$Y$6</f>
        <v>0</v>
      </c>
      <c r="Y264" s="17">
        <f>'Rolling report'!CR264*'No Action'!$Y$6</f>
        <v>0.44</v>
      </c>
      <c r="Z264" s="17">
        <f>'Rolling report'!CS264*'No Action'!$Y$6</f>
        <v>0</v>
      </c>
      <c r="AA264" s="17">
        <f>'Rolling report'!CT264*'No Action'!$Y$6</f>
        <v>0</v>
      </c>
      <c r="AB264" s="17">
        <f>'Rolling report'!CU264*'No Action'!$Y$6</f>
        <v>1.76</v>
      </c>
      <c r="AC264" s="17">
        <f>'Rolling report'!CV264*'No Action'!$Y$6</f>
        <v>0</v>
      </c>
      <c r="AD264" s="17">
        <f>'Rolling report'!CW264*'No Action'!$Y$6</f>
        <v>0.44</v>
      </c>
      <c r="AE264" s="17">
        <f>'Rolling report'!CX264*'No Action'!$Y$6</f>
        <v>0</v>
      </c>
      <c r="AF264" s="17">
        <f>'Rolling report'!CY264*'No Action'!$Y$6</f>
        <v>-19.36</v>
      </c>
      <c r="AG264" s="17">
        <f>'Rolling report'!CZ264*'No Action'!$Y$6</f>
        <v>0</v>
      </c>
      <c r="AH264" s="17">
        <f>'Rolling report'!DA264*'No Action'!$Y$6</f>
        <v>0</v>
      </c>
      <c r="AI264" s="17">
        <f>'Rolling report'!DB264*'No Action'!$Y$6</f>
        <v>0</v>
      </c>
      <c r="AJ264" s="17">
        <f>'Rolling report'!DC264*'No Action'!$Y$6</f>
        <v>0</v>
      </c>
      <c r="AK264" s="17">
        <f>'Rolling report'!DD264*'No Action'!$Y$6</f>
        <v>0</v>
      </c>
      <c r="AL264" s="17">
        <f>'Rolling report'!DE264*'No Action'!$Y$6</f>
        <v>0</v>
      </c>
      <c r="AM264" s="17">
        <f>'Rolling report'!DF264*'No Action'!$Y$6</f>
        <v>0</v>
      </c>
      <c r="AN264" s="17">
        <f>'Rolling report'!DG264*'No Action'!$Y$6</f>
        <v>0</v>
      </c>
      <c r="AO264" s="17">
        <f>'Rolling report'!DH264*'No Action'!$Y$6</f>
        <v>0</v>
      </c>
      <c r="AQ264" s="45"/>
    </row>
    <row r="265" spans="1:43" x14ac:dyDescent="0.25">
      <c r="A265" s="4" t="s">
        <v>562</v>
      </c>
      <c r="B265" s="6" t="s">
        <v>563</v>
      </c>
      <c r="I265" s="17">
        <f>'Rolling report'!CB265*'No Action'!$Y$6</f>
        <v>5.28</v>
      </c>
      <c r="J265" s="17">
        <f>'Rolling report'!CC265*'No Action'!$Y$6</f>
        <v>0</v>
      </c>
      <c r="K265" s="17">
        <f>'Rolling report'!CD265*'No Action'!$Y$6</f>
        <v>1.32</v>
      </c>
      <c r="L265" s="17">
        <f>'Rolling report'!CE265*'No Action'!$Y$6</f>
        <v>1.32</v>
      </c>
      <c r="M265" s="17">
        <f>'Rolling report'!CF265*'No Action'!$Y$6</f>
        <v>0</v>
      </c>
      <c r="N265" s="17">
        <f>'Rolling report'!CG265*'No Action'!$Y$6</f>
        <v>1.32</v>
      </c>
      <c r="O265" s="17">
        <f>'Rolling report'!CH265*'No Action'!$Y$6</f>
        <v>0.88</v>
      </c>
      <c r="P265" s="17">
        <f>'Rolling report'!CI265*'No Action'!$Y$6</f>
        <v>1.76</v>
      </c>
      <c r="Q265" s="17">
        <f>'Rolling report'!CJ265*'No Action'!$Y$6</f>
        <v>0.88</v>
      </c>
      <c r="R265" s="17">
        <f>'Rolling report'!CK265*'No Action'!$Y$6</f>
        <v>1.76</v>
      </c>
      <c r="S265" s="17">
        <f>'Rolling report'!CL265*'No Action'!$Y$6</f>
        <v>0</v>
      </c>
      <c r="T265" s="17">
        <f>'Rolling report'!CM265*'No Action'!$Y$6</f>
        <v>2.2000000000000002</v>
      </c>
      <c r="U265" s="17">
        <f>'Rolling report'!CN265*'No Action'!$Y$6</f>
        <v>3.08</v>
      </c>
      <c r="V265" s="17">
        <f>'Rolling report'!CO265*'No Action'!$Y$6</f>
        <v>0</v>
      </c>
      <c r="W265" s="17">
        <f>'Rolling report'!CP265*'No Action'!$Y$6</f>
        <v>0.88</v>
      </c>
      <c r="X265" s="17">
        <f>'Rolling report'!CQ265*'No Action'!$Y$6</f>
        <v>0.44</v>
      </c>
      <c r="Y265" s="17">
        <f>'Rolling report'!CR265*'No Action'!$Y$6</f>
        <v>4.84</v>
      </c>
      <c r="Z265" s="17">
        <f>'Rolling report'!CS265*'No Action'!$Y$6</f>
        <v>2.64</v>
      </c>
      <c r="AA265" s="17">
        <f>'Rolling report'!CT265*'No Action'!$Y$6</f>
        <v>0.44</v>
      </c>
      <c r="AB265" s="17">
        <f>'Rolling report'!CU265*'No Action'!$Y$6</f>
        <v>0</v>
      </c>
      <c r="AC265" s="17">
        <f>'Rolling report'!CV265*'No Action'!$Y$6</f>
        <v>1.76</v>
      </c>
      <c r="AD265" s="17">
        <f>'Rolling report'!CW265*'No Action'!$Y$6</f>
        <v>0.44</v>
      </c>
      <c r="AE265" s="17">
        <f>'Rolling report'!CX265*'No Action'!$Y$6</f>
        <v>3.08</v>
      </c>
      <c r="AF265" s="17">
        <f>'Rolling report'!CY265*'No Action'!$Y$6</f>
        <v>-34.32</v>
      </c>
      <c r="AG265" s="17">
        <f>'Rolling report'!CZ265*'No Action'!$Y$6</f>
        <v>0</v>
      </c>
      <c r="AH265" s="17">
        <f>'Rolling report'!DA265*'No Action'!$Y$6</f>
        <v>0</v>
      </c>
      <c r="AI265" s="17">
        <f>'Rolling report'!DB265*'No Action'!$Y$6</f>
        <v>0</v>
      </c>
      <c r="AJ265" s="17">
        <f>'Rolling report'!DC265*'No Action'!$Y$6</f>
        <v>0</v>
      </c>
      <c r="AK265" s="17">
        <f>'Rolling report'!DD265*'No Action'!$Y$6</f>
        <v>0</v>
      </c>
      <c r="AL265" s="17">
        <f>'Rolling report'!DE265*'No Action'!$Y$6</f>
        <v>0</v>
      </c>
      <c r="AM265" s="17">
        <f>'Rolling report'!DF265*'No Action'!$Y$6</f>
        <v>0</v>
      </c>
      <c r="AN265" s="17">
        <f>'Rolling report'!DG265*'No Action'!$Y$6</f>
        <v>0</v>
      </c>
      <c r="AO265" s="17">
        <f>'Rolling report'!DH265*'No Action'!$Y$6</f>
        <v>0</v>
      </c>
      <c r="AQ265" s="45"/>
    </row>
    <row r="266" spans="1:43" x14ac:dyDescent="0.25">
      <c r="A266" s="4" t="s">
        <v>564</v>
      </c>
      <c r="B266" s="6" t="s">
        <v>565</v>
      </c>
      <c r="I266" s="17">
        <f>'Rolling report'!CB266*'No Action'!$Y$6</f>
        <v>7.04</v>
      </c>
      <c r="J266" s="17">
        <f>'Rolling report'!CC266*'No Action'!$Y$6</f>
        <v>1.32</v>
      </c>
      <c r="K266" s="17">
        <f>'Rolling report'!CD266*'No Action'!$Y$6</f>
        <v>0.44</v>
      </c>
      <c r="L266" s="17">
        <f>'Rolling report'!CE266*'No Action'!$Y$6</f>
        <v>2.2000000000000002</v>
      </c>
      <c r="M266" s="17">
        <f>'Rolling report'!CF266*'No Action'!$Y$6</f>
        <v>3.52</v>
      </c>
      <c r="N266" s="17">
        <f>'Rolling report'!CG266*'No Action'!$Y$6</f>
        <v>0</v>
      </c>
      <c r="O266" s="17">
        <f>'Rolling report'!CH266*'No Action'!$Y$6</f>
        <v>0</v>
      </c>
      <c r="P266" s="17">
        <f>'Rolling report'!CI266*'No Action'!$Y$6</f>
        <v>3.52</v>
      </c>
      <c r="Q266" s="17">
        <f>'Rolling report'!CJ266*'No Action'!$Y$6</f>
        <v>0</v>
      </c>
      <c r="R266" s="17">
        <f>'Rolling report'!CK266*'No Action'!$Y$6</f>
        <v>0.88</v>
      </c>
      <c r="S266" s="17">
        <f>'Rolling report'!CL266*'No Action'!$Y$6</f>
        <v>0</v>
      </c>
      <c r="T266" s="17">
        <f>'Rolling report'!CM266*'No Action'!$Y$6</f>
        <v>2.2000000000000002</v>
      </c>
      <c r="U266" s="17">
        <f>'Rolling report'!CN266*'No Action'!$Y$6</f>
        <v>7.04</v>
      </c>
      <c r="V266" s="17">
        <f>'Rolling report'!CO266*'No Action'!$Y$6</f>
        <v>0</v>
      </c>
      <c r="W266" s="17">
        <f>'Rolling report'!CP266*'No Action'!$Y$6</f>
        <v>1.76</v>
      </c>
      <c r="X266" s="17">
        <f>'Rolling report'!CQ266*'No Action'!$Y$6</f>
        <v>0.88</v>
      </c>
      <c r="Y266" s="17">
        <f>'Rolling report'!CR266*'No Action'!$Y$6</f>
        <v>0.88</v>
      </c>
      <c r="Z266" s="17">
        <f>'Rolling report'!CS266*'No Action'!$Y$6</f>
        <v>0.88</v>
      </c>
      <c r="AA266" s="17">
        <f>'Rolling report'!CT266*'No Action'!$Y$6</f>
        <v>0</v>
      </c>
      <c r="AB266" s="17">
        <f>'Rolling report'!CU266*'No Action'!$Y$6</f>
        <v>0</v>
      </c>
      <c r="AC266" s="17">
        <f>'Rolling report'!CV266*'No Action'!$Y$6</f>
        <v>1.32</v>
      </c>
      <c r="AD266" s="17">
        <f>'Rolling report'!CW266*'No Action'!$Y$6</f>
        <v>0.44</v>
      </c>
      <c r="AE266" s="17">
        <f>'Rolling report'!CX266*'No Action'!$Y$6</f>
        <v>0</v>
      </c>
      <c r="AF266" s="17">
        <f>'Rolling report'!CY266*'No Action'!$Y$6</f>
        <v>-34.32</v>
      </c>
      <c r="AG266" s="17">
        <f>'Rolling report'!CZ266*'No Action'!$Y$6</f>
        <v>0</v>
      </c>
      <c r="AH266" s="17">
        <f>'Rolling report'!DA266*'No Action'!$Y$6</f>
        <v>0</v>
      </c>
      <c r="AI266" s="17">
        <f>'Rolling report'!DB266*'No Action'!$Y$6</f>
        <v>0</v>
      </c>
      <c r="AJ266" s="17">
        <f>'Rolling report'!DC266*'No Action'!$Y$6</f>
        <v>0</v>
      </c>
      <c r="AK266" s="17">
        <f>'Rolling report'!DD266*'No Action'!$Y$6</f>
        <v>0</v>
      </c>
      <c r="AL266" s="17">
        <f>'Rolling report'!DE266*'No Action'!$Y$6</f>
        <v>0</v>
      </c>
      <c r="AM266" s="17">
        <f>'Rolling report'!DF266*'No Action'!$Y$6</f>
        <v>0</v>
      </c>
      <c r="AN266" s="17">
        <f>'Rolling report'!DG266*'No Action'!$Y$6</f>
        <v>0</v>
      </c>
      <c r="AO266" s="17">
        <f>'Rolling report'!DH266*'No Action'!$Y$6</f>
        <v>0</v>
      </c>
      <c r="AQ266" s="45"/>
    </row>
    <row r="267" spans="1:43" x14ac:dyDescent="0.25">
      <c r="A267" s="4" t="s">
        <v>566</v>
      </c>
      <c r="B267" s="6" t="s">
        <v>567</v>
      </c>
      <c r="I267" s="17">
        <f>'Rolling report'!CB267*'No Action'!$Y$6</f>
        <v>8.36</v>
      </c>
      <c r="J267" s="17">
        <f>'Rolling report'!CC267*'No Action'!$Y$6</f>
        <v>6.6</v>
      </c>
      <c r="K267" s="17">
        <f>'Rolling report'!CD267*'No Action'!$Y$6</f>
        <v>4.84</v>
      </c>
      <c r="L267" s="17">
        <f>'Rolling report'!CE267*'No Action'!$Y$6</f>
        <v>1.32</v>
      </c>
      <c r="M267" s="17">
        <f>'Rolling report'!CF267*'No Action'!$Y$6</f>
        <v>0.44</v>
      </c>
      <c r="N267" s="17">
        <f>'Rolling report'!CG267*'No Action'!$Y$6</f>
        <v>0.88</v>
      </c>
      <c r="O267" s="17">
        <f>'Rolling report'!CH267*'No Action'!$Y$6</f>
        <v>0</v>
      </c>
      <c r="P267" s="17">
        <f>'Rolling report'!CI267*'No Action'!$Y$6</f>
        <v>0</v>
      </c>
      <c r="Q267" s="17">
        <f>'Rolling report'!CJ267*'No Action'!$Y$6</f>
        <v>0.44</v>
      </c>
      <c r="R267" s="17">
        <f>'Rolling report'!CK267*'No Action'!$Y$6</f>
        <v>5.28</v>
      </c>
      <c r="S267" s="17">
        <f>'Rolling report'!CL267*'No Action'!$Y$6</f>
        <v>0</v>
      </c>
      <c r="T267" s="17">
        <f>'Rolling report'!CM267*'No Action'!$Y$6</f>
        <v>2.64</v>
      </c>
      <c r="U267" s="17">
        <f>'Rolling report'!CN267*'No Action'!$Y$6</f>
        <v>5.28</v>
      </c>
      <c r="V267" s="17">
        <f>'Rolling report'!CO267*'No Action'!$Y$6</f>
        <v>3.08</v>
      </c>
      <c r="W267" s="17">
        <f>'Rolling report'!CP267*'No Action'!$Y$6</f>
        <v>0.44</v>
      </c>
      <c r="X267" s="17">
        <f>'Rolling report'!CQ267*'No Action'!$Y$6</f>
        <v>0.88</v>
      </c>
      <c r="Y267" s="17">
        <f>'Rolling report'!CR267*'No Action'!$Y$6</f>
        <v>1.32</v>
      </c>
      <c r="Z267" s="17">
        <f>'Rolling report'!CS267*'No Action'!$Y$6</f>
        <v>1.32</v>
      </c>
      <c r="AA267" s="17">
        <f>'Rolling report'!CT267*'No Action'!$Y$6</f>
        <v>0.88</v>
      </c>
      <c r="AB267" s="17">
        <f>'Rolling report'!CU267*'No Action'!$Y$6</f>
        <v>0</v>
      </c>
      <c r="AC267" s="17">
        <f>'Rolling report'!CV267*'No Action'!$Y$6</f>
        <v>1.76</v>
      </c>
      <c r="AD267" s="17">
        <f>'Rolling report'!CW267*'No Action'!$Y$6</f>
        <v>-0.44</v>
      </c>
      <c r="AE267" s="17">
        <f>'Rolling report'!CX267*'No Action'!$Y$6</f>
        <v>1.32</v>
      </c>
      <c r="AF267" s="17">
        <f>'Rolling report'!CY267*'No Action'!$Y$6</f>
        <v>-46.64</v>
      </c>
      <c r="AG267" s="17">
        <f>'Rolling report'!CZ267*'No Action'!$Y$6</f>
        <v>0</v>
      </c>
      <c r="AH267" s="17">
        <f>'Rolling report'!DA267*'No Action'!$Y$6</f>
        <v>0</v>
      </c>
      <c r="AI267" s="17">
        <f>'Rolling report'!DB267*'No Action'!$Y$6</f>
        <v>0</v>
      </c>
      <c r="AJ267" s="17">
        <f>'Rolling report'!DC267*'No Action'!$Y$6</f>
        <v>0</v>
      </c>
      <c r="AK267" s="17">
        <f>'Rolling report'!DD267*'No Action'!$Y$6</f>
        <v>0</v>
      </c>
      <c r="AL267" s="17">
        <f>'Rolling report'!DE267*'No Action'!$Y$6</f>
        <v>0</v>
      </c>
      <c r="AM267" s="17">
        <f>'Rolling report'!DF267*'No Action'!$Y$6</f>
        <v>0</v>
      </c>
      <c r="AN267" s="17">
        <f>'Rolling report'!DG267*'No Action'!$Y$6</f>
        <v>0</v>
      </c>
      <c r="AO267" s="17">
        <f>'Rolling report'!DH267*'No Action'!$Y$6</f>
        <v>0</v>
      </c>
      <c r="AQ267" s="45"/>
    </row>
    <row r="268" spans="1:43" x14ac:dyDescent="0.25">
      <c r="A268" s="4" t="s">
        <v>568</v>
      </c>
      <c r="B268" s="6" t="s">
        <v>569</v>
      </c>
      <c r="I268" s="17">
        <f>'Rolling report'!CB268*'No Action'!$Y$6</f>
        <v>3.08</v>
      </c>
      <c r="J268" s="17">
        <f>'Rolling report'!CC268*'No Action'!$Y$6</f>
        <v>0</v>
      </c>
      <c r="K268" s="17">
        <f>'Rolling report'!CD268*'No Action'!$Y$6</f>
        <v>0</v>
      </c>
      <c r="L268" s="17">
        <f>'Rolling report'!CE268*'No Action'!$Y$6</f>
        <v>0.88</v>
      </c>
      <c r="M268" s="17">
        <f>'Rolling report'!CF268*'No Action'!$Y$6</f>
        <v>0</v>
      </c>
      <c r="N268" s="17">
        <f>'Rolling report'!CG268*'No Action'!$Y$6</f>
        <v>0</v>
      </c>
      <c r="O268" s="17">
        <f>'Rolling report'!CH268*'No Action'!$Y$6</f>
        <v>0</v>
      </c>
      <c r="P268" s="17">
        <f>'Rolling report'!CI268*'No Action'!$Y$6</f>
        <v>0</v>
      </c>
      <c r="Q268" s="17">
        <f>'Rolling report'!CJ268*'No Action'!$Y$6</f>
        <v>2.2000000000000002</v>
      </c>
      <c r="R268" s="17">
        <f>'Rolling report'!CK268*'No Action'!$Y$6</f>
        <v>1.32</v>
      </c>
      <c r="S268" s="17">
        <f>'Rolling report'!CL268*'No Action'!$Y$6</f>
        <v>3.08</v>
      </c>
      <c r="T268" s="17">
        <f>'Rolling report'!CM268*'No Action'!$Y$6</f>
        <v>0</v>
      </c>
      <c r="U268" s="17">
        <f>'Rolling report'!CN268*'No Action'!$Y$6</f>
        <v>0.88</v>
      </c>
      <c r="V268" s="17">
        <f>'Rolling report'!CO268*'No Action'!$Y$6</f>
        <v>0.44</v>
      </c>
      <c r="W268" s="17">
        <f>'Rolling report'!CP268*'No Action'!$Y$6</f>
        <v>0.44</v>
      </c>
      <c r="X268" s="17">
        <f>'Rolling report'!CQ268*'No Action'!$Y$6</f>
        <v>0.88</v>
      </c>
      <c r="Y268" s="17">
        <f>'Rolling report'!CR268*'No Action'!$Y$6</f>
        <v>1.32</v>
      </c>
      <c r="Z268" s="17">
        <f>'Rolling report'!CS268*'No Action'!$Y$6</f>
        <v>0.88</v>
      </c>
      <c r="AA268" s="17">
        <f>'Rolling report'!CT268*'No Action'!$Y$6</f>
        <v>0</v>
      </c>
      <c r="AB268" s="17">
        <f>'Rolling report'!CU268*'No Action'!$Y$6</f>
        <v>0</v>
      </c>
      <c r="AC268" s="17">
        <f>'Rolling report'!CV268*'No Action'!$Y$6</f>
        <v>1.32</v>
      </c>
      <c r="AD268" s="17">
        <f>'Rolling report'!CW268*'No Action'!$Y$6</f>
        <v>0</v>
      </c>
      <c r="AE268" s="17">
        <f>'Rolling report'!CX268*'No Action'!$Y$6</f>
        <v>0</v>
      </c>
      <c r="AF268" s="17">
        <f>'Rolling report'!CY268*'No Action'!$Y$6</f>
        <v>-16.72</v>
      </c>
      <c r="AG268" s="17">
        <f>'Rolling report'!CZ268*'No Action'!$Y$6</f>
        <v>0</v>
      </c>
      <c r="AH268" s="17">
        <f>'Rolling report'!DA268*'No Action'!$Y$6</f>
        <v>0</v>
      </c>
      <c r="AI268" s="17">
        <f>'Rolling report'!DB268*'No Action'!$Y$6</f>
        <v>0</v>
      </c>
      <c r="AJ268" s="17">
        <f>'Rolling report'!DC268*'No Action'!$Y$6</f>
        <v>0</v>
      </c>
      <c r="AK268" s="17">
        <f>'Rolling report'!DD268*'No Action'!$Y$6</f>
        <v>0</v>
      </c>
      <c r="AL268" s="17">
        <f>'Rolling report'!DE268*'No Action'!$Y$6</f>
        <v>0</v>
      </c>
      <c r="AM268" s="17">
        <f>'Rolling report'!DF268*'No Action'!$Y$6</f>
        <v>0</v>
      </c>
      <c r="AN268" s="17">
        <f>'Rolling report'!DG268*'No Action'!$Y$6</f>
        <v>0</v>
      </c>
      <c r="AO268" s="17">
        <f>'Rolling report'!DH268*'No Action'!$Y$6</f>
        <v>0</v>
      </c>
      <c r="AQ268" s="45"/>
    </row>
    <row r="269" spans="1:43" x14ac:dyDescent="0.25">
      <c r="A269" s="4" t="s">
        <v>570</v>
      </c>
      <c r="B269" s="6" t="s">
        <v>571</v>
      </c>
      <c r="I269" s="17">
        <f>'Rolling report'!CB269*'No Action'!$Y$6</f>
        <v>2.2000000000000002</v>
      </c>
      <c r="J269" s="17">
        <f>'Rolling report'!CC269*'No Action'!$Y$6</f>
        <v>0</v>
      </c>
      <c r="K269" s="17">
        <f>'Rolling report'!CD269*'No Action'!$Y$6</f>
        <v>0</v>
      </c>
      <c r="L269" s="17">
        <f>'Rolling report'!CE269*'No Action'!$Y$6</f>
        <v>0.44</v>
      </c>
      <c r="M269" s="17">
        <f>'Rolling report'!CF269*'No Action'!$Y$6</f>
        <v>0</v>
      </c>
      <c r="N269" s="17">
        <f>'Rolling report'!CG269*'No Action'!$Y$6</f>
        <v>1.32</v>
      </c>
      <c r="O269" s="17">
        <f>'Rolling report'!CH269*'No Action'!$Y$6</f>
        <v>0.44</v>
      </c>
      <c r="P269" s="17">
        <f>'Rolling report'!CI269*'No Action'!$Y$6</f>
        <v>0</v>
      </c>
      <c r="Q269" s="17">
        <f>'Rolling report'!CJ269*'No Action'!$Y$6</f>
        <v>0</v>
      </c>
      <c r="R269" s="17">
        <f>'Rolling report'!CK269*'No Action'!$Y$6</f>
        <v>0</v>
      </c>
      <c r="S269" s="17">
        <f>'Rolling report'!CL269*'No Action'!$Y$6</f>
        <v>0</v>
      </c>
      <c r="T269" s="17">
        <f>'Rolling report'!CM269*'No Action'!$Y$6</f>
        <v>0.44</v>
      </c>
      <c r="U269" s="17">
        <f>'Rolling report'!CN269*'No Action'!$Y$6</f>
        <v>0.88</v>
      </c>
      <c r="V269" s="17">
        <f>'Rolling report'!CO269*'No Action'!$Y$6</f>
        <v>0</v>
      </c>
      <c r="W269" s="17">
        <f>'Rolling report'!CP269*'No Action'!$Y$6</f>
        <v>0.44</v>
      </c>
      <c r="X269" s="17">
        <f>'Rolling report'!CQ269*'No Action'!$Y$6</f>
        <v>0.88</v>
      </c>
      <c r="Y269" s="17">
        <f>'Rolling report'!CR269*'No Action'!$Y$6</f>
        <v>1.32</v>
      </c>
      <c r="Z269" s="17">
        <f>'Rolling report'!CS269*'No Action'!$Y$6</f>
        <v>0</v>
      </c>
      <c r="AA269" s="17">
        <f>'Rolling report'!CT269*'No Action'!$Y$6</f>
        <v>0</v>
      </c>
      <c r="AB269" s="17">
        <f>'Rolling report'!CU269*'No Action'!$Y$6</f>
        <v>4.4000000000000004</v>
      </c>
      <c r="AC269" s="17">
        <f>'Rolling report'!CV269*'No Action'!$Y$6</f>
        <v>0</v>
      </c>
      <c r="AD269" s="17">
        <f>'Rolling report'!CW269*'No Action'!$Y$6</f>
        <v>0.88</v>
      </c>
      <c r="AE269" s="17">
        <f>'Rolling report'!CX269*'No Action'!$Y$6</f>
        <v>0</v>
      </c>
      <c r="AF269" s="17">
        <f>'Rolling report'!CY269*'No Action'!$Y$6</f>
        <v>-13.64</v>
      </c>
      <c r="AG269" s="17">
        <f>'Rolling report'!CZ269*'No Action'!$Y$6</f>
        <v>0</v>
      </c>
      <c r="AH269" s="17">
        <f>'Rolling report'!DA269*'No Action'!$Y$6</f>
        <v>0</v>
      </c>
      <c r="AI269" s="17">
        <f>'Rolling report'!DB269*'No Action'!$Y$6</f>
        <v>0</v>
      </c>
      <c r="AJ269" s="17">
        <f>'Rolling report'!DC269*'No Action'!$Y$6</f>
        <v>0</v>
      </c>
      <c r="AK269" s="17">
        <f>'Rolling report'!DD269*'No Action'!$Y$6</f>
        <v>0</v>
      </c>
      <c r="AL269" s="17">
        <f>'Rolling report'!DE269*'No Action'!$Y$6</f>
        <v>0</v>
      </c>
      <c r="AM269" s="17">
        <f>'Rolling report'!DF269*'No Action'!$Y$6</f>
        <v>0</v>
      </c>
      <c r="AN269" s="17">
        <f>'Rolling report'!DG269*'No Action'!$Y$6</f>
        <v>0</v>
      </c>
      <c r="AO269" s="17">
        <f>'Rolling report'!DH269*'No Action'!$Y$6</f>
        <v>0</v>
      </c>
      <c r="AQ269" s="45"/>
    </row>
    <row r="270" spans="1:43" x14ac:dyDescent="0.25">
      <c r="A270" s="4" t="s">
        <v>572</v>
      </c>
      <c r="B270" s="6" t="s">
        <v>573</v>
      </c>
      <c r="I270" s="17">
        <f>'Rolling report'!CB270*'No Action'!$Y$6</f>
        <v>2.64</v>
      </c>
      <c r="J270" s="17">
        <f>'Rolling report'!CC270*'No Action'!$Y$6</f>
        <v>0</v>
      </c>
      <c r="K270" s="17">
        <f>'Rolling report'!CD270*'No Action'!$Y$6</f>
        <v>0</v>
      </c>
      <c r="L270" s="17">
        <f>'Rolling report'!CE270*'No Action'!$Y$6</f>
        <v>0</v>
      </c>
      <c r="M270" s="17">
        <f>'Rolling report'!CF270*'No Action'!$Y$6</f>
        <v>0</v>
      </c>
      <c r="N270" s="17">
        <f>'Rolling report'!CG270*'No Action'!$Y$6</f>
        <v>0</v>
      </c>
      <c r="O270" s="17">
        <f>'Rolling report'!CH270*'No Action'!$Y$6</f>
        <v>0</v>
      </c>
      <c r="P270" s="17">
        <f>'Rolling report'!CI270*'No Action'!$Y$6</f>
        <v>2.2000000000000002</v>
      </c>
      <c r="Q270" s="17">
        <f>'Rolling report'!CJ270*'No Action'!$Y$6</f>
        <v>0</v>
      </c>
      <c r="R270" s="17">
        <f>'Rolling report'!CK270*'No Action'!$Y$6</f>
        <v>0.44</v>
      </c>
      <c r="S270" s="17">
        <f>'Rolling report'!CL270*'No Action'!$Y$6</f>
        <v>0</v>
      </c>
      <c r="T270" s="17">
        <f>'Rolling report'!CM270*'No Action'!$Y$6</f>
        <v>0.88</v>
      </c>
      <c r="U270" s="17">
        <f>'Rolling report'!CN270*'No Action'!$Y$6</f>
        <v>0</v>
      </c>
      <c r="V270" s="17">
        <f>'Rolling report'!CO270*'No Action'!$Y$6</f>
        <v>0.44</v>
      </c>
      <c r="W270" s="17">
        <f>'Rolling report'!CP270*'No Action'!$Y$6</f>
        <v>0</v>
      </c>
      <c r="X270" s="17">
        <f>'Rolling report'!CQ270*'No Action'!$Y$6</f>
        <v>0</v>
      </c>
      <c r="Y270" s="17">
        <f>'Rolling report'!CR270*'No Action'!$Y$6</f>
        <v>1.76</v>
      </c>
      <c r="Z270" s="17">
        <f>'Rolling report'!CS270*'No Action'!$Y$6</f>
        <v>0</v>
      </c>
      <c r="AA270" s="17">
        <f>'Rolling report'!CT270*'No Action'!$Y$6</f>
        <v>0</v>
      </c>
      <c r="AB270" s="17">
        <f>'Rolling report'!CU270*'No Action'!$Y$6</f>
        <v>0.88</v>
      </c>
      <c r="AC270" s="17">
        <f>'Rolling report'!CV270*'No Action'!$Y$6</f>
        <v>0</v>
      </c>
      <c r="AD270" s="17">
        <f>'Rolling report'!CW270*'No Action'!$Y$6</f>
        <v>0</v>
      </c>
      <c r="AE270" s="17">
        <f>'Rolling report'!CX270*'No Action'!$Y$6</f>
        <v>0</v>
      </c>
      <c r="AF270" s="17">
        <f>'Rolling report'!CY270*'No Action'!$Y$6</f>
        <v>-9.24</v>
      </c>
      <c r="AG270" s="17">
        <f>'Rolling report'!CZ270*'No Action'!$Y$6</f>
        <v>0</v>
      </c>
      <c r="AH270" s="17">
        <f>'Rolling report'!DA270*'No Action'!$Y$6</f>
        <v>0</v>
      </c>
      <c r="AI270" s="17">
        <f>'Rolling report'!DB270*'No Action'!$Y$6</f>
        <v>0</v>
      </c>
      <c r="AJ270" s="17">
        <f>'Rolling report'!DC270*'No Action'!$Y$6</f>
        <v>0</v>
      </c>
      <c r="AK270" s="17">
        <f>'Rolling report'!DD270*'No Action'!$Y$6</f>
        <v>0</v>
      </c>
      <c r="AL270" s="17">
        <f>'Rolling report'!DE270*'No Action'!$Y$6</f>
        <v>0</v>
      </c>
      <c r="AM270" s="17">
        <f>'Rolling report'!DF270*'No Action'!$Y$6</f>
        <v>0</v>
      </c>
      <c r="AN270" s="17">
        <f>'Rolling report'!DG270*'No Action'!$Y$6</f>
        <v>0</v>
      </c>
      <c r="AO270" s="17">
        <f>'Rolling report'!DH270*'No Action'!$Y$6</f>
        <v>0</v>
      </c>
      <c r="AQ270" s="45"/>
    </row>
    <row r="271" spans="1:43" x14ac:dyDescent="0.25">
      <c r="A271" s="4" t="s">
        <v>574</v>
      </c>
      <c r="B271" s="6" t="s">
        <v>575</v>
      </c>
      <c r="I271" s="17">
        <f>'Rolling report'!CB271*'No Action'!$Y$6</f>
        <v>2.64</v>
      </c>
      <c r="J271" s="17">
        <f>'Rolling report'!CC271*'No Action'!$Y$6</f>
        <v>0</v>
      </c>
      <c r="K271" s="17">
        <f>'Rolling report'!CD271*'No Action'!$Y$6</f>
        <v>0</v>
      </c>
      <c r="L271" s="17">
        <f>'Rolling report'!CE271*'No Action'!$Y$6</f>
        <v>0</v>
      </c>
      <c r="M271" s="17">
        <f>'Rolling report'!CF271*'No Action'!$Y$6</f>
        <v>2.64</v>
      </c>
      <c r="N271" s="17">
        <f>'Rolling report'!CG271*'No Action'!$Y$6</f>
        <v>1.76</v>
      </c>
      <c r="O271" s="17">
        <f>'Rolling report'!CH271*'No Action'!$Y$6</f>
        <v>0.88</v>
      </c>
      <c r="P271" s="17">
        <f>'Rolling report'!CI271*'No Action'!$Y$6</f>
        <v>2.2000000000000002</v>
      </c>
      <c r="Q271" s="17">
        <f>'Rolling report'!CJ271*'No Action'!$Y$6</f>
        <v>0</v>
      </c>
      <c r="R271" s="17">
        <f>'Rolling report'!CK271*'No Action'!$Y$6</f>
        <v>1.32</v>
      </c>
      <c r="S271" s="17">
        <f>'Rolling report'!CL271*'No Action'!$Y$6</f>
        <v>0</v>
      </c>
      <c r="T271" s="17">
        <f>'Rolling report'!CM271*'No Action'!$Y$6</f>
        <v>0</v>
      </c>
      <c r="U271" s="17">
        <f>'Rolling report'!CN271*'No Action'!$Y$6</f>
        <v>0.44</v>
      </c>
      <c r="V271" s="17">
        <f>'Rolling report'!CO271*'No Action'!$Y$6</f>
        <v>1.76</v>
      </c>
      <c r="W271" s="17">
        <f>'Rolling report'!CP271*'No Action'!$Y$6</f>
        <v>0.44</v>
      </c>
      <c r="X271" s="17">
        <f>'Rolling report'!CQ271*'No Action'!$Y$6</f>
        <v>0</v>
      </c>
      <c r="Y271" s="17">
        <f>'Rolling report'!CR271*'No Action'!$Y$6</f>
        <v>2.2000000000000002</v>
      </c>
      <c r="Z271" s="17">
        <f>'Rolling report'!CS271*'No Action'!$Y$6</f>
        <v>1.32</v>
      </c>
      <c r="AA271" s="17">
        <f>'Rolling report'!CT271*'No Action'!$Y$6</f>
        <v>0.44</v>
      </c>
      <c r="AB271" s="17">
        <f>'Rolling report'!CU271*'No Action'!$Y$6</f>
        <v>0</v>
      </c>
      <c r="AC271" s="17">
        <f>'Rolling report'!CV271*'No Action'!$Y$6</f>
        <v>0</v>
      </c>
      <c r="AD271" s="17">
        <f>'Rolling report'!CW271*'No Action'!$Y$6</f>
        <v>3.52</v>
      </c>
      <c r="AE271" s="17">
        <f>'Rolling report'!CX271*'No Action'!$Y$6</f>
        <v>0.88</v>
      </c>
      <c r="AF271" s="17">
        <f>'Rolling report'!CY271*'No Action'!$Y$6</f>
        <v>-22.44</v>
      </c>
      <c r="AG271" s="17">
        <f>'Rolling report'!CZ271*'No Action'!$Y$6</f>
        <v>0</v>
      </c>
      <c r="AH271" s="17">
        <f>'Rolling report'!DA271*'No Action'!$Y$6</f>
        <v>0</v>
      </c>
      <c r="AI271" s="17">
        <f>'Rolling report'!DB271*'No Action'!$Y$6</f>
        <v>0</v>
      </c>
      <c r="AJ271" s="17">
        <f>'Rolling report'!DC271*'No Action'!$Y$6</f>
        <v>0</v>
      </c>
      <c r="AK271" s="17">
        <f>'Rolling report'!DD271*'No Action'!$Y$6</f>
        <v>0</v>
      </c>
      <c r="AL271" s="17">
        <f>'Rolling report'!DE271*'No Action'!$Y$6</f>
        <v>0</v>
      </c>
      <c r="AM271" s="17">
        <f>'Rolling report'!DF271*'No Action'!$Y$6</f>
        <v>0</v>
      </c>
      <c r="AN271" s="17">
        <f>'Rolling report'!DG271*'No Action'!$Y$6</f>
        <v>0</v>
      </c>
      <c r="AO271" s="17">
        <f>'Rolling report'!DH271*'No Action'!$Y$6</f>
        <v>0</v>
      </c>
      <c r="AQ271" s="45"/>
    </row>
    <row r="272" spans="1:43" x14ac:dyDescent="0.25">
      <c r="A272" s="4" t="s">
        <v>576</v>
      </c>
      <c r="B272" s="6" t="s">
        <v>577</v>
      </c>
      <c r="I272" s="17">
        <f>'Rolling report'!CB272*'No Action'!$Y$6</f>
        <v>7.48</v>
      </c>
      <c r="J272" s="17">
        <f>'Rolling report'!CC272*'No Action'!$Y$6</f>
        <v>2.2000000000000002</v>
      </c>
      <c r="K272" s="17">
        <f>'Rolling report'!CD272*'No Action'!$Y$6</f>
        <v>0.44</v>
      </c>
      <c r="L272" s="17">
        <f>'Rolling report'!CE272*'No Action'!$Y$6</f>
        <v>0.88</v>
      </c>
      <c r="M272" s="17">
        <f>'Rolling report'!CF272*'No Action'!$Y$6</f>
        <v>0.44</v>
      </c>
      <c r="N272" s="17">
        <f>'Rolling report'!CG272*'No Action'!$Y$6</f>
        <v>0.44</v>
      </c>
      <c r="O272" s="17">
        <f>'Rolling report'!CH272*'No Action'!$Y$6</f>
        <v>0.44</v>
      </c>
      <c r="P272" s="17">
        <f>'Rolling report'!CI272*'No Action'!$Y$6</f>
        <v>1.32</v>
      </c>
      <c r="Q272" s="17">
        <f>'Rolling report'!CJ272*'No Action'!$Y$6</f>
        <v>0.44</v>
      </c>
      <c r="R272" s="17">
        <f>'Rolling report'!CK272*'No Action'!$Y$6</f>
        <v>0</v>
      </c>
      <c r="S272" s="17">
        <f>'Rolling report'!CL272*'No Action'!$Y$6</f>
        <v>1.76</v>
      </c>
      <c r="T272" s="17">
        <f>'Rolling report'!CM272*'No Action'!$Y$6</f>
        <v>1.32</v>
      </c>
      <c r="U272" s="17">
        <f>'Rolling report'!CN272*'No Action'!$Y$6</f>
        <v>2.64</v>
      </c>
      <c r="V272" s="17">
        <f>'Rolling report'!CO272*'No Action'!$Y$6</f>
        <v>1.32</v>
      </c>
      <c r="W272" s="17">
        <f>'Rolling report'!CP272*'No Action'!$Y$6</f>
        <v>3.08</v>
      </c>
      <c r="X272" s="17">
        <f>'Rolling report'!CQ272*'No Action'!$Y$6</f>
        <v>0.88</v>
      </c>
      <c r="Y272" s="17">
        <f>'Rolling report'!CR272*'No Action'!$Y$6</f>
        <v>1.32</v>
      </c>
      <c r="Z272" s="17">
        <f>'Rolling report'!CS272*'No Action'!$Y$6</f>
        <v>3.08</v>
      </c>
      <c r="AA272" s="17">
        <f>'Rolling report'!CT272*'No Action'!$Y$6</f>
        <v>0</v>
      </c>
      <c r="AB272" s="17">
        <f>'Rolling report'!CU272*'No Action'!$Y$6</f>
        <v>0</v>
      </c>
      <c r="AC272" s="17">
        <f>'Rolling report'!CV272*'No Action'!$Y$6</f>
        <v>0.44</v>
      </c>
      <c r="AD272" s="17">
        <f>'Rolling report'!CW272*'No Action'!$Y$6</f>
        <v>-0.44</v>
      </c>
      <c r="AE272" s="17">
        <f>'Rolling report'!CX272*'No Action'!$Y$6</f>
        <v>2.2000000000000002</v>
      </c>
      <c r="AF272" s="17">
        <f>'Rolling report'!CY272*'No Action'!$Y$6</f>
        <v>-31.68</v>
      </c>
      <c r="AG272" s="17">
        <f>'Rolling report'!CZ272*'No Action'!$Y$6</f>
        <v>0</v>
      </c>
      <c r="AH272" s="17">
        <f>'Rolling report'!DA272*'No Action'!$Y$6</f>
        <v>0</v>
      </c>
      <c r="AI272" s="17">
        <f>'Rolling report'!DB272*'No Action'!$Y$6</f>
        <v>0</v>
      </c>
      <c r="AJ272" s="17">
        <f>'Rolling report'!DC272*'No Action'!$Y$6</f>
        <v>0</v>
      </c>
      <c r="AK272" s="17">
        <f>'Rolling report'!DD272*'No Action'!$Y$6</f>
        <v>0</v>
      </c>
      <c r="AL272" s="17">
        <f>'Rolling report'!DE272*'No Action'!$Y$6</f>
        <v>0</v>
      </c>
      <c r="AM272" s="17">
        <f>'Rolling report'!DF272*'No Action'!$Y$6</f>
        <v>0</v>
      </c>
      <c r="AN272" s="17">
        <f>'Rolling report'!DG272*'No Action'!$Y$6</f>
        <v>0</v>
      </c>
      <c r="AO272" s="17">
        <f>'Rolling report'!DH272*'No Action'!$Y$6</f>
        <v>0</v>
      </c>
      <c r="AQ272" s="45"/>
    </row>
    <row r="273" spans="1:43" x14ac:dyDescent="0.25">
      <c r="A273" s="4" t="s">
        <v>578</v>
      </c>
      <c r="B273" s="6" t="s">
        <v>579</v>
      </c>
      <c r="I273" s="17">
        <f>'Rolling report'!CB273*'No Action'!$Y$6</f>
        <v>5.28</v>
      </c>
      <c r="J273" s="17">
        <f>'Rolling report'!CC273*'No Action'!$Y$6</f>
        <v>3.08</v>
      </c>
      <c r="K273" s="17">
        <f>'Rolling report'!CD273*'No Action'!$Y$6</f>
        <v>0.88</v>
      </c>
      <c r="L273" s="17">
        <f>'Rolling report'!CE273*'No Action'!$Y$6</f>
        <v>0</v>
      </c>
      <c r="M273" s="17">
        <f>'Rolling report'!CF273*'No Action'!$Y$6</f>
        <v>1.76</v>
      </c>
      <c r="N273" s="17">
        <f>'Rolling report'!CG273*'No Action'!$Y$6</f>
        <v>0</v>
      </c>
      <c r="O273" s="17">
        <f>'Rolling report'!CH273*'No Action'!$Y$6</f>
        <v>0.88</v>
      </c>
      <c r="P273" s="17">
        <f>'Rolling report'!CI273*'No Action'!$Y$6</f>
        <v>1.32</v>
      </c>
      <c r="Q273" s="17">
        <f>'Rolling report'!CJ273*'No Action'!$Y$6</f>
        <v>0</v>
      </c>
      <c r="R273" s="17">
        <f>'Rolling report'!CK273*'No Action'!$Y$6</f>
        <v>1.32</v>
      </c>
      <c r="S273" s="17">
        <f>'Rolling report'!CL273*'No Action'!$Y$6</f>
        <v>0.44</v>
      </c>
      <c r="T273" s="17">
        <f>'Rolling report'!CM273*'No Action'!$Y$6</f>
        <v>2.2000000000000002</v>
      </c>
      <c r="U273" s="17">
        <f>'Rolling report'!CN273*'No Action'!$Y$6</f>
        <v>3.08</v>
      </c>
      <c r="V273" s="17">
        <f>'Rolling report'!CO273*'No Action'!$Y$6</f>
        <v>2.2000000000000002</v>
      </c>
      <c r="W273" s="17">
        <f>'Rolling report'!CP273*'No Action'!$Y$6</f>
        <v>0</v>
      </c>
      <c r="X273" s="17">
        <f>'Rolling report'!CQ273*'No Action'!$Y$6</f>
        <v>0</v>
      </c>
      <c r="Y273" s="17">
        <f>'Rolling report'!CR273*'No Action'!$Y$6</f>
        <v>0</v>
      </c>
      <c r="Z273" s="17">
        <f>'Rolling report'!CS273*'No Action'!$Y$6</f>
        <v>0.88</v>
      </c>
      <c r="AA273" s="17">
        <f>'Rolling report'!CT273*'No Action'!$Y$6</f>
        <v>1.76</v>
      </c>
      <c r="AB273" s="17">
        <f>'Rolling report'!CU273*'No Action'!$Y$6</f>
        <v>3.08</v>
      </c>
      <c r="AC273" s="17">
        <f>'Rolling report'!CV273*'No Action'!$Y$6</f>
        <v>1.32</v>
      </c>
      <c r="AD273" s="17">
        <f>'Rolling report'!CW273*'No Action'!$Y$6</f>
        <v>2.64</v>
      </c>
      <c r="AE273" s="17">
        <f>'Rolling report'!CX273*'No Action'!$Y$6</f>
        <v>1.32</v>
      </c>
      <c r="AF273" s="17">
        <f>'Rolling report'!CY273*'No Action'!$Y$6</f>
        <v>-33.44</v>
      </c>
      <c r="AG273" s="17">
        <f>'Rolling report'!CZ273*'No Action'!$Y$6</f>
        <v>0</v>
      </c>
      <c r="AH273" s="17">
        <f>'Rolling report'!DA273*'No Action'!$Y$6</f>
        <v>0</v>
      </c>
      <c r="AI273" s="17">
        <f>'Rolling report'!DB273*'No Action'!$Y$6</f>
        <v>0</v>
      </c>
      <c r="AJ273" s="17">
        <f>'Rolling report'!DC273*'No Action'!$Y$6</f>
        <v>0</v>
      </c>
      <c r="AK273" s="17">
        <f>'Rolling report'!DD273*'No Action'!$Y$6</f>
        <v>0</v>
      </c>
      <c r="AL273" s="17">
        <f>'Rolling report'!DE273*'No Action'!$Y$6</f>
        <v>0</v>
      </c>
      <c r="AM273" s="17">
        <f>'Rolling report'!DF273*'No Action'!$Y$6</f>
        <v>0</v>
      </c>
      <c r="AN273" s="17">
        <f>'Rolling report'!DG273*'No Action'!$Y$6</f>
        <v>0</v>
      </c>
      <c r="AO273" s="17">
        <f>'Rolling report'!DH273*'No Action'!$Y$6</f>
        <v>0</v>
      </c>
      <c r="AQ273" s="45"/>
    </row>
    <row r="274" spans="1:43" x14ac:dyDescent="0.25">
      <c r="A274" s="4" t="s">
        <v>580</v>
      </c>
      <c r="B274" s="6" t="s">
        <v>581</v>
      </c>
      <c r="I274" s="17">
        <f>'Rolling report'!CB274*'No Action'!$Y$6</f>
        <v>5.72</v>
      </c>
      <c r="J274" s="17">
        <f>'Rolling report'!CC274*'No Action'!$Y$6</f>
        <v>4.84</v>
      </c>
      <c r="K274" s="17">
        <f>'Rolling report'!CD274*'No Action'!$Y$6</f>
        <v>1.76</v>
      </c>
      <c r="L274" s="17">
        <f>'Rolling report'!CE274*'No Action'!$Y$6</f>
        <v>0</v>
      </c>
      <c r="M274" s="17">
        <f>'Rolling report'!CF274*'No Action'!$Y$6</f>
        <v>0</v>
      </c>
      <c r="N274" s="17">
        <f>'Rolling report'!CG274*'No Action'!$Y$6</f>
        <v>0</v>
      </c>
      <c r="O274" s="17">
        <f>'Rolling report'!CH274*'No Action'!$Y$6</f>
        <v>0.88</v>
      </c>
      <c r="P274" s="17">
        <f>'Rolling report'!CI274*'No Action'!$Y$6</f>
        <v>1.32</v>
      </c>
      <c r="Q274" s="17">
        <f>'Rolling report'!CJ274*'No Action'!$Y$6</f>
        <v>0.88</v>
      </c>
      <c r="R274" s="17">
        <f>'Rolling report'!CK274*'No Action'!$Y$6</f>
        <v>0</v>
      </c>
      <c r="S274" s="17">
        <f>'Rolling report'!CL274*'No Action'!$Y$6</f>
        <v>0</v>
      </c>
      <c r="T274" s="17">
        <f>'Rolling report'!CM274*'No Action'!$Y$6</f>
        <v>0</v>
      </c>
      <c r="U274" s="17">
        <f>'Rolling report'!CN274*'No Action'!$Y$6</f>
        <v>3.08</v>
      </c>
      <c r="V274" s="17">
        <f>'Rolling report'!CO274*'No Action'!$Y$6</f>
        <v>0</v>
      </c>
      <c r="W274" s="17">
        <f>'Rolling report'!CP274*'No Action'!$Y$6</f>
        <v>0</v>
      </c>
      <c r="X274" s="17">
        <f>'Rolling report'!CQ274*'No Action'!$Y$6</f>
        <v>0</v>
      </c>
      <c r="Y274" s="17">
        <f>'Rolling report'!CR274*'No Action'!$Y$6</f>
        <v>0</v>
      </c>
      <c r="Z274" s="17">
        <f>'Rolling report'!CS274*'No Action'!$Y$6</f>
        <v>0</v>
      </c>
      <c r="AA274" s="17">
        <f>'Rolling report'!CT274*'No Action'!$Y$6</f>
        <v>1.32</v>
      </c>
      <c r="AB274" s="17">
        <f>'Rolling report'!CU274*'No Action'!$Y$6</f>
        <v>0</v>
      </c>
      <c r="AC274" s="17">
        <f>'Rolling report'!CV274*'No Action'!$Y$6</f>
        <v>0.44</v>
      </c>
      <c r="AD274" s="17">
        <f>'Rolling report'!CW274*'No Action'!$Y$6</f>
        <v>0.44</v>
      </c>
      <c r="AE274" s="17">
        <f>'Rolling report'!CX274*'No Action'!$Y$6</f>
        <v>0.44</v>
      </c>
      <c r="AF274" s="17">
        <f>'Rolling report'!CY274*'No Action'!$Y$6</f>
        <v>-21.12</v>
      </c>
      <c r="AG274" s="17">
        <f>'Rolling report'!CZ274*'No Action'!$Y$6</f>
        <v>0</v>
      </c>
      <c r="AH274" s="17">
        <f>'Rolling report'!DA274*'No Action'!$Y$6</f>
        <v>0</v>
      </c>
      <c r="AI274" s="17">
        <f>'Rolling report'!DB274*'No Action'!$Y$6</f>
        <v>0</v>
      </c>
      <c r="AJ274" s="17">
        <f>'Rolling report'!DC274*'No Action'!$Y$6</f>
        <v>0</v>
      </c>
      <c r="AK274" s="17">
        <f>'Rolling report'!DD274*'No Action'!$Y$6</f>
        <v>0</v>
      </c>
      <c r="AL274" s="17">
        <f>'Rolling report'!DE274*'No Action'!$Y$6</f>
        <v>0</v>
      </c>
      <c r="AM274" s="17">
        <f>'Rolling report'!DF274*'No Action'!$Y$6</f>
        <v>0</v>
      </c>
      <c r="AN274" s="17">
        <f>'Rolling report'!DG274*'No Action'!$Y$6</f>
        <v>0</v>
      </c>
      <c r="AO274" s="17">
        <f>'Rolling report'!DH274*'No Action'!$Y$6</f>
        <v>0</v>
      </c>
      <c r="AQ274" s="45"/>
    </row>
    <row r="275" spans="1:43" x14ac:dyDescent="0.25">
      <c r="A275" s="4"/>
      <c r="B275" s="6"/>
      <c r="I275" s="17"/>
      <c r="J275" s="17"/>
      <c r="K275" s="17"/>
      <c r="L275" s="17"/>
      <c r="M275" s="17"/>
      <c r="N275" s="17"/>
      <c r="O275" s="17"/>
      <c r="P275" s="17"/>
      <c r="Q275" s="17"/>
      <c r="R275" s="17"/>
      <c r="S275" s="17"/>
      <c r="T275" s="17"/>
      <c r="U275" s="17"/>
      <c r="V275" s="17"/>
      <c r="W275" s="17"/>
      <c r="X275" s="17"/>
      <c r="Y275" s="17"/>
      <c r="Z275" s="17"/>
      <c r="AA275" s="17"/>
      <c r="AB275" s="17"/>
      <c r="AC275" s="17"/>
      <c r="AD275" s="17"/>
      <c r="AE275" s="17"/>
      <c r="AF275" s="17"/>
      <c r="AG275" s="17"/>
      <c r="AH275" s="17"/>
      <c r="AI275" s="17"/>
      <c r="AJ275" s="17"/>
      <c r="AK275" s="17"/>
      <c r="AL275" s="17"/>
      <c r="AM275" s="17"/>
      <c r="AN275" s="17"/>
      <c r="AO275" s="17"/>
      <c r="AQ275" s="45"/>
    </row>
    <row r="276" spans="1:43" x14ac:dyDescent="0.25">
      <c r="A276" s="8" t="s">
        <v>713</v>
      </c>
      <c r="B276" s="6"/>
      <c r="I276" s="17">
        <f>'Rolling report'!CB276*'No Action'!$Y$6</f>
        <v>52.8</v>
      </c>
      <c r="J276" s="17">
        <f>'Rolling report'!CC276*'No Action'!$Y$6</f>
        <v>20.239999999999998</v>
      </c>
      <c r="K276" s="17">
        <f>'Rolling report'!CD276*'No Action'!$Y$6</f>
        <v>12.32</v>
      </c>
      <c r="L276" s="17">
        <f>'Rolling report'!CE276*'No Action'!$Y$6</f>
        <v>7.48</v>
      </c>
      <c r="M276" s="17">
        <f>'Rolling report'!CF276*'No Action'!$Y$6</f>
        <v>8.8000000000000007</v>
      </c>
      <c r="N276" s="17">
        <f>'Rolling report'!CG276*'No Action'!$Y$6</f>
        <v>8.36</v>
      </c>
      <c r="O276" s="17">
        <f>'Rolling report'!CH276*'No Action'!$Y$6</f>
        <v>5.28</v>
      </c>
      <c r="P276" s="17">
        <f>'Rolling report'!CI276*'No Action'!$Y$6</f>
        <v>14.08</v>
      </c>
      <c r="Q276" s="17">
        <f>'Rolling report'!CJ276*'No Action'!$Y$6</f>
        <v>4.84</v>
      </c>
      <c r="R276" s="17">
        <f>'Rolling report'!CK276*'No Action'!$Y$6</f>
        <v>13.2</v>
      </c>
      <c r="S276" s="17">
        <f>'Rolling report'!CL276*'No Action'!$Y$6</f>
        <v>5.28</v>
      </c>
      <c r="T276" s="17">
        <f>'Rolling report'!CM276*'No Action'!$Y$6</f>
        <v>13.2</v>
      </c>
      <c r="U276" s="17">
        <f>'Rolling report'!CN276*'No Action'!$Y$6</f>
        <v>28.16</v>
      </c>
      <c r="V276" s="17">
        <f>'Rolling report'!CO276*'No Action'!$Y$6</f>
        <v>9.68</v>
      </c>
      <c r="W276" s="17">
        <f>'Rolling report'!CP276*'No Action'!$Y$6</f>
        <v>7.48</v>
      </c>
      <c r="X276" s="17">
        <f>'Rolling report'!CQ276*'No Action'!$Y$6</f>
        <v>4.84</v>
      </c>
      <c r="Y276" s="17">
        <f>'Rolling report'!CR276*'No Action'!$Y$6</f>
        <v>15.4</v>
      </c>
      <c r="Z276" s="17">
        <f>'Rolling report'!CS276*'No Action'!$Y$6</f>
        <v>11</v>
      </c>
      <c r="AA276" s="17">
        <f>'Rolling report'!CT276*'No Action'!$Y$6</f>
        <v>4.84</v>
      </c>
      <c r="AB276" s="17">
        <f>'Rolling report'!CU276*'No Action'!$Y$6</f>
        <v>10.119999999999999</v>
      </c>
      <c r="AC276" s="17">
        <f>'Rolling report'!CV276*'No Action'!$Y$6</f>
        <v>8.36</v>
      </c>
      <c r="AD276" s="17">
        <f>'Rolling report'!CW276*'No Action'!$Y$6</f>
        <v>7.92</v>
      </c>
      <c r="AE276" s="17">
        <f>'Rolling report'!CX276*'No Action'!$Y$6</f>
        <v>9.24</v>
      </c>
      <c r="AF276" s="17">
        <f>'Rolling report'!CY276*'No Action'!$Y$6</f>
        <v>-282.92</v>
      </c>
      <c r="AG276" s="17">
        <f>'Rolling report'!CZ276*'No Action'!$Y$6</f>
        <v>0</v>
      </c>
      <c r="AH276" s="17">
        <f>'Rolling report'!DA276*'No Action'!$Y$6</f>
        <v>0</v>
      </c>
      <c r="AI276" s="17">
        <f>'Rolling report'!DB276*'No Action'!$Y$6</f>
        <v>0</v>
      </c>
      <c r="AJ276" s="17">
        <f>'Rolling report'!DC276*'No Action'!$Y$6</f>
        <v>0</v>
      </c>
      <c r="AK276" s="17">
        <f>'Rolling report'!DD276*'No Action'!$Y$6</f>
        <v>0</v>
      </c>
      <c r="AL276" s="17">
        <f>'Rolling report'!DE276*'No Action'!$Y$6</f>
        <v>0</v>
      </c>
      <c r="AM276" s="17">
        <f>'Rolling report'!DF276*'No Action'!$Y$6</f>
        <v>0</v>
      </c>
      <c r="AN276" s="17">
        <f>'Rolling report'!DG276*'No Action'!$Y$6</f>
        <v>0</v>
      </c>
      <c r="AO276" s="17">
        <f>'Rolling report'!DH276*'No Action'!$Y$6</f>
        <v>0</v>
      </c>
      <c r="AQ276" s="117"/>
    </row>
    <row r="277" spans="1:43" ht="15.75" thickBot="1" x14ac:dyDescent="0.3">
      <c r="A277" s="12"/>
      <c r="B277" s="43"/>
      <c r="I277" s="17"/>
      <c r="J277" s="17"/>
      <c r="K277" s="17"/>
      <c r="L277" s="17"/>
      <c r="M277" s="17"/>
      <c r="N277" s="17"/>
      <c r="O277" s="17"/>
      <c r="P277" s="17"/>
      <c r="Q277" s="17"/>
      <c r="R277" s="17"/>
      <c r="S277" s="17"/>
      <c r="T277" s="17"/>
      <c r="U277" s="17"/>
      <c r="V277" s="17"/>
      <c r="W277" s="17"/>
      <c r="X277" s="17"/>
      <c r="Y277" s="17"/>
      <c r="Z277" s="17"/>
      <c r="AA277" s="17"/>
      <c r="AB277" s="17"/>
      <c r="AC277" s="17"/>
      <c r="AD277" s="17"/>
      <c r="AE277" s="17"/>
      <c r="AF277" s="17"/>
      <c r="AG277" s="17"/>
      <c r="AH277" s="17"/>
      <c r="AI277" s="17"/>
      <c r="AJ277" s="17"/>
      <c r="AK277" s="17"/>
      <c r="AL277" s="17"/>
      <c r="AM277" s="17"/>
      <c r="AN277" s="17"/>
      <c r="AO277" s="17"/>
      <c r="AQ277" s="45"/>
    </row>
    <row r="278" spans="1:43" x14ac:dyDescent="0.25">
      <c r="I278" s="17"/>
      <c r="J278" s="17"/>
      <c r="K278" s="17"/>
      <c r="L278" s="17"/>
      <c r="M278" s="17"/>
      <c r="N278" s="17"/>
      <c r="O278" s="17"/>
      <c r="P278" s="17"/>
      <c r="Q278" s="17"/>
      <c r="R278" s="17"/>
      <c r="S278" s="17"/>
      <c r="T278" s="17"/>
      <c r="U278" s="17"/>
      <c r="V278" s="17"/>
      <c r="W278" s="17"/>
      <c r="X278" s="17"/>
      <c r="Y278" s="17"/>
      <c r="Z278" s="17"/>
      <c r="AA278" s="17"/>
      <c r="AB278" s="17"/>
      <c r="AC278" s="17"/>
      <c r="AD278" s="17"/>
      <c r="AE278" s="17"/>
      <c r="AF278" s="17"/>
      <c r="AG278" s="17"/>
      <c r="AH278" s="17"/>
      <c r="AI278" s="17"/>
      <c r="AJ278" s="17"/>
      <c r="AK278" s="17"/>
      <c r="AL278" s="17"/>
      <c r="AM278" s="17"/>
      <c r="AN278" s="17"/>
      <c r="AO278" s="17"/>
      <c r="AQ278" s="45"/>
    </row>
    <row r="279" spans="1:43" s="46" customFormat="1" ht="15.75" x14ac:dyDescent="0.25">
      <c r="A279" s="46" t="s">
        <v>714</v>
      </c>
      <c r="I279" s="17">
        <f>'Rolling report'!CB279*'No Action'!$Y$6</f>
        <v>12291.84</v>
      </c>
      <c r="J279" s="17">
        <f>'Rolling report'!CC279*'No Action'!$Y$6</f>
        <v>2258.52</v>
      </c>
      <c r="K279" s="17">
        <f>'Rolling report'!CD279*'No Action'!$Y$6</f>
        <v>1963.72</v>
      </c>
      <c r="L279" s="17">
        <f>'Rolling report'!CE279*'No Action'!$Y$6</f>
        <v>2401.96</v>
      </c>
      <c r="M279" s="17">
        <f>'Rolling report'!CF279*'No Action'!$Y$6</f>
        <v>1693.1200000000001</v>
      </c>
      <c r="N279" s="17">
        <f>'Rolling report'!CG279*'No Action'!$Y$6</f>
        <v>1624.48</v>
      </c>
      <c r="O279" s="17">
        <f>'Rolling report'!CH279*'No Action'!$Y$6</f>
        <v>2515.48</v>
      </c>
      <c r="P279" s="17">
        <f>'Rolling report'!CI279*'No Action'!$Y$6</f>
        <v>1332.32</v>
      </c>
      <c r="Q279" s="17">
        <f>'Rolling report'!CJ279*'No Action'!$Y$6</f>
        <v>1741.52</v>
      </c>
      <c r="R279" s="17">
        <f>'Rolling report'!CK279*'No Action'!$Y$6</f>
        <v>1508.32</v>
      </c>
      <c r="S279" s="17">
        <f>'Rolling report'!CL279*'No Action'!$Y$6</f>
        <v>1135.2</v>
      </c>
      <c r="T279" s="17">
        <f>'Rolling report'!CM279*'No Action'!$Y$6</f>
        <v>1849.76</v>
      </c>
      <c r="U279" s="17">
        <f>'Rolling report'!CN279*'No Action'!$Y$6</f>
        <v>1694</v>
      </c>
      <c r="V279" s="17">
        <f>'Rolling report'!CO279*'No Action'!$Y$6</f>
        <v>1404.92</v>
      </c>
      <c r="W279" s="17">
        <f>'Rolling report'!CP279*'No Action'!$Y$6</f>
        <v>1186.68</v>
      </c>
      <c r="X279" s="17">
        <f>'Rolling report'!CQ279*'No Action'!$Y$6</f>
        <v>866.8</v>
      </c>
      <c r="Y279" s="17">
        <f>'Rolling report'!CR279*'No Action'!$Y$6</f>
        <v>999.24</v>
      </c>
      <c r="Z279" s="17">
        <f>'Rolling report'!CS279*'No Action'!$Y$6</f>
        <v>942.92</v>
      </c>
      <c r="AA279" s="17">
        <f>'Rolling report'!CT279*'No Action'!$Y$6</f>
        <v>1085.48</v>
      </c>
      <c r="AB279" s="17">
        <f>'Rolling report'!CU279*'No Action'!$Y$6</f>
        <v>1016.84</v>
      </c>
      <c r="AC279" s="17">
        <f>'Rolling report'!CV279*'No Action'!$Y$6</f>
        <v>1402.28</v>
      </c>
      <c r="AD279" s="17">
        <f>'Rolling report'!CW279*'No Action'!$Y$6</f>
        <v>458.04</v>
      </c>
      <c r="AE279" s="17">
        <f>'Rolling report'!CX279*'No Action'!$Y$6</f>
        <v>728.2</v>
      </c>
      <c r="AF279" s="17">
        <f>'Rolling report'!CY279*'No Action'!$Y$6</f>
        <v>-44101.64</v>
      </c>
      <c r="AG279" s="17">
        <f>'Rolling report'!CZ279*'No Action'!$Y$6</f>
        <v>0</v>
      </c>
      <c r="AH279" s="17">
        <f>'Rolling report'!DA279*'No Action'!$Y$6</f>
        <v>0</v>
      </c>
      <c r="AI279" s="17">
        <f>'Rolling report'!DB279*'No Action'!$Y$6</f>
        <v>0</v>
      </c>
      <c r="AJ279" s="17">
        <f>'Rolling report'!DC279*'No Action'!$Y$6</f>
        <v>0</v>
      </c>
      <c r="AK279" s="17">
        <f>'Rolling report'!DD279*'No Action'!$Y$6</f>
        <v>0</v>
      </c>
      <c r="AL279" s="17">
        <f>'Rolling report'!DE279*'No Action'!$Y$6</f>
        <v>0</v>
      </c>
      <c r="AM279" s="17">
        <f>'Rolling report'!DF279*'No Action'!$Y$6</f>
        <v>0</v>
      </c>
      <c r="AN279" s="17">
        <f>'Rolling report'!DG279*'No Action'!$Y$6</f>
        <v>0</v>
      </c>
      <c r="AO279" s="17">
        <f>'Rolling report'!DH279*'No Action'!$Y$6</f>
        <v>0</v>
      </c>
      <c r="AP279"/>
      <c r="AQ279" s="45"/>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DB783-147D-4FE1-9668-17BADA03E1E2}">
  <sheetPr codeName="Sheet12"/>
  <dimension ref="A1:DI279"/>
  <sheetViews>
    <sheetView topLeftCell="AM236" zoomScale="98" zoomScaleNormal="98" workbookViewId="0">
      <selection activeCell="AN287" sqref="AN286:AN287"/>
    </sheetView>
  </sheetViews>
  <sheetFormatPr defaultRowHeight="15" x14ac:dyDescent="0.25"/>
  <cols>
    <col min="1" max="1" width="38.7109375" customWidth="1"/>
    <col min="2" max="2" width="15.85546875" customWidth="1"/>
    <col min="3" max="7" width="9.140625" customWidth="1"/>
    <col min="8" max="9" width="10.7109375" style="55" bestFit="1" customWidth="1"/>
    <col min="10" max="43" width="9.140625" style="55"/>
    <col min="44" max="44" width="9.5703125" bestFit="1" customWidth="1"/>
    <col min="80" max="80" width="9.5703125" bestFit="1" customWidth="1"/>
  </cols>
  <sheetData>
    <row r="1" spans="1:113" ht="25.5" customHeight="1" x14ac:dyDescent="0.3">
      <c r="A1" s="1" t="s">
        <v>0</v>
      </c>
      <c r="B1" s="2"/>
    </row>
    <row r="2" spans="1:113" ht="18.75" customHeight="1" x14ac:dyDescent="0.25">
      <c r="A2" s="3" t="s">
        <v>1</v>
      </c>
      <c r="B2" s="2"/>
    </row>
    <row r="3" spans="1:113" ht="19.5" customHeight="1" x14ac:dyDescent="0.25">
      <c r="A3" s="4" t="s">
        <v>2</v>
      </c>
      <c r="B3" s="2"/>
    </row>
    <row r="4" spans="1:113" x14ac:dyDescent="0.25">
      <c r="A4" s="14"/>
      <c r="B4" s="15"/>
    </row>
    <row r="5" spans="1:113" x14ac:dyDescent="0.25">
      <c r="A5" s="5" t="s">
        <v>6</v>
      </c>
      <c r="B5" s="6"/>
    </row>
    <row r="6" spans="1:113" x14ac:dyDescent="0.25">
      <c r="A6" s="7"/>
      <c r="B6" s="6"/>
      <c r="H6" s="55" t="s">
        <v>706</v>
      </c>
      <c r="AR6" t="s">
        <v>594</v>
      </c>
      <c r="CB6" t="s">
        <v>707</v>
      </c>
    </row>
    <row r="7" spans="1:113" ht="15.75" x14ac:dyDescent="0.25">
      <c r="A7" s="10" t="s">
        <v>3</v>
      </c>
      <c r="B7" s="16" t="s">
        <v>4</v>
      </c>
      <c r="H7" s="57">
        <v>44691</v>
      </c>
      <c r="I7" s="57">
        <v>44698</v>
      </c>
      <c r="J7" s="57">
        <v>44705</v>
      </c>
      <c r="K7" s="57">
        <v>44712</v>
      </c>
      <c r="L7" s="57">
        <v>44719</v>
      </c>
      <c r="M7" s="57">
        <v>44726</v>
      </c>
      <c r="N7" s="57">
        <v>44733</v>
      </c>
      <c r="O7" s="57">
        <v>44740</v>
      </c>
      <c r="P7" s="57">
        <v>44747</v>
      </c>
      <c r="Q7" s="57">
        <v>44754</v>
      </c>
      <c r="R7" s="57">
        <v>44761</v>
      </c>
      <c r="S7" s="57">
        <v>44768</v>
      </c>
      <c r="T7" s="57">
        <v>44775</v>
      </c>
      <c r="U7" s="57">
        <v>44782</v>
      </c>
      <c r="V7" s="57">
        <v>44789</v>
      </c>
      <c r="W7" s="57">
        <v>44796</v>
      </c>
      <c r="X7" s="57">
        <v>44803</v>
      </c>
      <c r="Y7" s="57">
        <v>44810</v>
      </c>
      <c r="Z7" s="57">
        <v>44817</v>
      </c>
      <c r="AA7" s="57">
        <v>44824</v>
      </c>
      <c r="AB7" s="57">
        <v>44831</v>
      </c>
      <c r="AC7" s="57">
        <v>44838</v>
      </c>
      <c r="AD7" s="57">
        <v>44845</v>
      </c>
      <c r="AE7" s="57">
        <v>44852</v>
      </c>
      <c r="AF7" s="57">
        <v>44859</v>
      </c>
      <c r="AG7" s="57">
        <v>44866</v>
      </c>
      <c r="AH7" s="57">
        <v>44873</v>
      </c>
      <c r="AI7" s="57">
        <v>44880</v>
      </c>
      <c r="AJ7" s="57">
        <v>44887</v>
      </c>
      <c r="AK7" s="57">
        <v>44894</v>
      </c>
      <c r="AL7" s="57">
        <v>44901</v>
      </c>
      <c r="AM7" s="57">
        <v>44908</v>
      </c>
      <c r="AN7" s="57">
        <v>44915</v>
      </c>
      <c r="AO7" s="57">
        <v>44922</v>
      </c>
      <c r="AP7" s="55" t="s">
        <v>5</v>
      </c>
      <c r="AQ7" s="111"/>
      <c r="AR7" s="44">
        <v>44691</v>
      </c>
      <c r="AS7" s="44">
        <v>44698</v>
      </c>
      <c r="AT7" s="44">
        <v>44705</v>
      </c>
      <c r="AU7" s="44">
        <v>44712</v>
      </c>
      <c r="AV7" s="44">
        <v>44719</v>
      </c>
      <c r="AW7" s="44">
        <v>44726</v>
      </c>
      <c r="AX7" s="44">
        <v>44733</v>
      </c>
      <c r="AY7" s="44">
        <v>44740</v>
      </c>
      <c r="AZ7" s="44">
        <v>44747</v>
      </c>
      <c r="BA7" s="44">
        <v>44754</v>
      </c>
      <c r="BB7" s="44">
        <v>44761</v>
      </c>
      <c r="BC7" s="44">
        <v>44768</v>
      </c>
      <c r="BD7" s="44">
        <v>44775</v>
      </c>
      <c r="BE7" s="44">
        <v>44782</v>
      </c>
      <c r="BF7" s="44">
        <v>44789</v>
      </c>
      <c r="BG7" s="44">
        <v>44796</v>
      </c>
      <c r="BH7" s="44">
        <v>44803</v>
      </c>
      <c r="BI7" s="44">
        <v>44810</v>
      </c>
      <c r="BJ7" s="44">
        <v>44817</v>
      </c>
      <c r="BK7" s="44">
        <v>44824</v>
      </c>
      <c r="BL7" s="44">
        <v>44831</v>
      </c>
      <c r="BM7" s="44">
        <v>44838</v>
      </c>
      <c r="BN7" s="44">
        <v>44845</v>
      </c>
      <c r="BO7" s="44">
        <v>44852</v>
      </c>
      <c r="BP7" s="44">
        <v>44859</v>
      </c>
      <c r="BQ7" s="44">
        <v>44866</v>
      </c>
      <c r="BR7" s="44">
        <v>44873</v>
      </c>
      <c r="BS7" s="44">
        <v>44880</v>
      </c>
      <c r="BT7" s="44">
        <v>44887</v>
      </c>
      <c r="BU7" s="44">
        <v>44894</v>
      </c>
      <c r="BV7" s="44">
        <v>44901</v>
      </c>
      <c r="BW7" s="44">
        <v>44908</v>
      </c>
      <c r="BX7" s="44">
        <v>44915</v>
      </c>
      <c r="BY7" s="44">
        <v>44922</v>
      </c>
      <c r="CB7" s="44">
        <v>44875</v>
      </c>
      <c r="CC7" s="44">
        <v>44882</v>
      </c>
      <c r="CD7" s="44">
        <v>44889</v>
      </c>
      <c r="CE7" s="44">
        <v>44896</v>
      </c>
      <c r="CF7" s="44">
        <v>44903</v>
      </c>
      <c r="CG7" s="44">
        <v>44910</v>
      </c>
      <c r="CH7" s="44">
        <v>44917</v>
      </c>
      <c r="CI7" s="44">
        <v>44924</v>
      </c>
      <c r="CJ7" s="44">
        <v>44931</v>
      </c>
      <c r="CK7" s="44">
        <v>44938</v>
      </c>
      <c r="CL7" s="44">
        <v>44945</v>
      </c>
      <c r="CM7" s="44">
        <v>44952</v>
      </c>
      <c r="CN7" s="44">
        <v>44959</v>
      </c>
      <c r="CO7" s="44">
        <v>44966</v>
      </c>
      <c r="CP7" s="44">
        <v>44973</v>
      </c>
      <c r="CQ7" s="44">
        <v>44980</v>
      </c>
      <c r="CR7" s="44">
        <v>44987</v>
      </c>
      <c r="CS7" s="44">
        <v>44994</v>
      </c>
      <c r="CT7" s="44">
        <v>45001</v>
      </c>
      <c r="CU7" s="44">
        <v>45008</v>
      </c>
      <c r="CV7" s="44">
        <v>45015</v>
      </c>
      <c r="CW7" s="44">
        <v>45022</v>
      </c>
      <c r="CX7" s="44">
        <v>45029</v>
      </c>
      <c r="CY7" s="44">
        <v>45036</v>
      </c>
      <c r="CZ7" s="44">
        <v>45043</v>
      </c>
      <c r="DA7" s="44">
        <v>45050</v>
      </c>
      <c r="DB7" s="44">
        <v>45057</v>
      </c>
      <c r="DC7" s="44">
        <v>45064</v>
      </c>
      <c r="DD7" s="44">
        <v>45071</v>
      </c>
      <c r="DE7" s="44">
        <v>45078</v>
      </c>
      <c r="DF7" s="44">
        <v>45085</v>
      </c>
      <c r="DG7" s="44">
        <v>45092</v>
      </c>
      <c r="DH7" s="44">
        <v>45099</v>
      </c>
      <c r="DI7" s="44">
        <v>45106</v>
      </c>
    </row>
    <row r="8" spans="1:113" ht="15.75" x14ac:dyDescent="0.25">
      <c r="A8" s="9"/>
      <c r="B8" s="9"/>
      <c r="AQ8" s="112"/>
    </row>
    <row r="9" spans="1:113" ht="15.75" x14ac:dyDescent="0.25">
      <c r="A9" s="4" t="s">
        <v>7</v>
      </c>
      <c r="B9" s="6" t="s">
        <v>8</v>
      </c>
      <c r="H9" s="90">
        <f>'Combined data'!H9</f>
        <v>112</v>
      </c>
      <c r="I9" s="90">
        <f>'Combined data'!I9-'Combined data'!H9</f>
        <v>10</v>
      </c>
      <c r="J9" s="90">
        <f>'Combined data'!J9-'Combined data'!I9</f>
        <v>2</v>
      </c>
      <c r="K9" s="90">
        <f>'Combined data'!K9-'Combined data'!J9</f>
        <v>8</v>
      </c>
      <c r="L9" s="90">
        <f>'Combined data'!L9-'Combined data'!K9</f>
        <v>3</v>
      </c>
      <c r="M9" s="90">
        <f>'Combined data'!M9-'Combined data'!L9</f>
        <v>9</v>
      </c>
      <c r="N9" s="90">
        <f>'Combined data'!N9-'Combined data'!M9</f>
        <v>11</v>
      </c>
      <c r="O9" s="90">
        <f>'Combined data'!O9-'Combined data'!N9</f>
        <v>14</v>
      </c>
      <c r="P9" s="90">
        <f>'Combined data'!P9-'Combined data'!O9</f>
        <v>9</v>
      </c>
      <c r="Q9" s="90">
        <f>'Combined data'!Q9-'Combined data'!P9</f>
        <v>11</v>
      </c>
      <c r="R9" s="90">
        <f>'Combined data'!R9-'Combined data'!Q9</f>
        <v>9</v>
      </c>
      <c r="S9" s="90">
        <f>'Combined data'!S9-'Combined data'!R9</f>
        <v>13</v>
      </c>
      <c r="T9" s="90">
        <f>'Combined data'!T9-'Combined data'!S9</f>
        <v>7</v>
      </c>
      <c r="U9" s="90">
        <f>'Combined data'!U9-'Combined data'!T9</f>
        <v>13</v>
      </c>
      <c r="V9" s="90">
        <f>'Combined data'!V9-'Combined data'!U9</f>
        <v>8</v>
      </c>
      <c r="W9" s="90">
        <f>'Combined data'!W9-'Combined data'!V9</f>
        <v>2</v>
      </c>
      <c r="X9" s="90">
        <f>'Combined data'!X9-'Combined data'!W9</f>
        <v>5</v>
      </c>
      <c r="Y9" s="90">
        <f>'Combined data'!Y9-'Combined data'!X9</f>
        <v>11</v>
      </c>
      <c r="Z9" s="90">
        <f>'Combined data'!Z9-'Combined data'!Y9</f>
        <v>14</v>
      </c>
      <c r="AA9" s="90">
        <f>'Combined data'!AA9-'Combined data'!Z9</f>
        <v>9</v>
      </c>
      <c r="AB9" s="90">
        <f>'Combined data'!AB9-'Combined data'!AA9</f>
        <v>14</v>
      </c>
      <c r="AC9" s="90">
        <f>'Combined data'!AC9-'Combined data'!AB9</f>
        <v>4</v>
      </c>
      <c r="AD9" s="90">
        <f>'Combined data'!AD9-'Combined data'!AC9</f>
        <v>17</v>
      </c>
      <c r="AE9" s="90">
        <f>'Combined data'!AE9-'Combined data'!AD9</f>
        <v>-315</v>
      </c>
      <c r="AF9" s="90">
        <f>'Combined data'!AF9-'Combined data'!AE9</f>
        <v>0</v>
      </c>
      <c r="AG9" s="90">
        <f>'Combined data'!AG9-'Combined data'!AF9</f>
        <v>0</v>
      </c>
      <c r="AH9" s="90">
        <f>'Combined data'!AH9-'Combined data'!AG9</f>
        <v>0</v>
      </c>
      <c r="AI9" s="90">
        <f>'Combined data'!AI9-'Combined data'!AH9</f>
        <v>0</v>
      </c>
      <c r="AJ9" s="90">
        <f>'Combined data'!AJ9-'Combined data'!AI9</f>
        <v>0</v>
      </c>
      <c r="AK9" s="90">
        <f>'Combined data'!AK9-'Combined data'!AJ9</f>
        <v>0</v>
      </c>
      <c r="AL9" s="90">
        <f>'Combined data'!AL9-'Combined data'!AK9</f>
        <v>0</v>
      </c>
      <c r="AM9" s="90">
        <f>'Combined data'!AM9-'Combined data'!AL9</f>
        <v>0</v>
      </c>
      <c r="AN9" s="90">
        <f>'Combined data'!AN9-'Combined data'!AM9</f>
        <v>0</v>
      </c>
      <c r="AO9" s="90">
        <f>'Combined data'!AO9-'Combined data'!AN9</f>
        <v>0</v>
      </c>
      <c r="AP9" s="56">
        <f>SUM(H9:AO9)</f>
        <v>0</v>
      </c>
      <c r="AQ9" s="113"/>
      <c r="AR9" s="17">
        <f>'Combined data'!AR9</f>
        <v>46</v>
      </c>
      <c r="AS9" s="17">
        <f>'Combined data'!AS9-'Combined data'!AR9</f>
        <v>5</v>
      </c>
      <c r="AT9" s="17">
        <f>'Combined data'!AT9-'Combined data'!AS9</f>
        <v>8</v>
      </c>
      <c r="AU9" s="17">
        <f>'Combined data'!AU9-'Combined data'!AT9</f>
        <v>7</v>
      </c>
      <c r="AV9" s="17">
        <f>'Combined data'!AV9-'Combined data'!AU9</f>
        <v>10</v>
      </c>
      <c r="AW9" s="17">
        <f>'Combined data'!AW9-'Combined data'!AV9</f>
        <v>3</v>
      </c>
      <c r="AX9" s="17">
        <f>'Combined data'!AX9-'Combined data'!AW9</f>
        <v>7</v>
      </c>
      <c r="AY9" s="17">
        <f>'Combined data'!AY9-'Combined data'!AX9</f>
        <v>11</v>
      </c>
      <c r="AZ9" s="17">
        <f>'Combined data'!AZ9-'Combined data'!AY9</f>
        <v>1</v>
      </c>
      <c r="BA9" s="17">
        <f>'Combined data'!BA9-'Combined data'!AZ9</f>
        <v>3</v>
      </c>
      <c r="BB9" s="17">
        <f>'Combined data'!BB9-'Combined data'!BA9</f>
        <v>2</v>
      </c>
      <c r="BC9" s="17">
        <f>'Combined data'!BC9-'Combined data'!BB9</f>
        <v>10</v>
      </c>
      <c r="BD9" s="17">
        <f>'Combined data'!BD9-'Combined data'!BC9</f>
        <v>14</v>
      </c>
      <c r="BE9" s="17">
        <f>'Combined data'!BE9-'Combined data'!BD9</f>
        <v>4</v>
      </c>
      <c r="BF9" s="17">
        <f>'Combined data'!BF9-'Combined data'!BE9</f>
        <v>5</v>
      </c>
      <c r="BG9" s="17">
        <f>'Combined data'!BG9-'Combined data'!BF9</f>
        <v>5</v>
      </c>
      <c r="BH9" s="17">
        <f>'Combined data'!BH9-'Combined data'!BG9</f>
        <v>4</v>
      </c>
      <c r="BI9" s="17">
        <f>'Combined data'!BI9-'Combined data'!BH9</f>
        <v>2</v>
      </c>
      <c r="BJ9" s="17">
        <f>'Combined data'!BJ9-'Combined data'!BI9</f>
        <v>11</v>
      </c>
      <c r="BK9" s="17">
        <f>'Combined data'!BK9-'Combined data'!BJ9</f>
        <v>8</v>
      </c>
      <c r="BL9" s="17">
        <f>'Combined data'!BL9-'Combined data'!BK9</f>
        <v>14</v>
      </c>
      <c r="BM9" s="17">
        <f>'Combined data'!BM9-'Combined data'!BL9</f>
        <v>5</v>
      </c>
      <c r="BN9" s="17">
        <f>'Combined data'!BN9-'Combined data'!BM9</f>
        <v>15</v>
      </c>
      <c r="BO9" s="17">
        <f>'Combined data'!BO9-'Combined data'!BN9</f>
        <v>-200</v>
      </c>
      <c r="BP9" s="17">
        <f>'Combined data'!BP9-'Combined data'!BO9</f>
        <v>0</v>
      </c>
      <c r="BQ9" s="17">
        <f>'Combined data'!BQ9-'Combined data'!BP9</f>
        <v>0</v>
      </c>
      <c r="BR9" s="17">
        <f>'Combined data'!BR9-'Combined data'!BQ9</f>
        <v>0</v>
      </c>
      <c r="BS9" s="17">
        <f>'Combined data'!BS9-'Combined data'!BR9</f>
        <v>0</v>
      </c>
      <c r="BT9" s="17">
        <f>'Combined data'!BT9-'Combined data'!BS9</f>
        <v>0</v>
      </c>
      <c r="BU9" s="17">
        <f>'Combined data'!BU9-'Combined data'!BT9</f>
        <v>0</v>
      </c>
      <c r="BV9" s="17">
        <f>'Combined data'!BV9-'Combined data'!BU9</f>
        <v>0</v>
      </c>
      <c r="BW9" s="17">
        <f>'Combined data'!BW9-'Combined data'!BV9</f>
        <v>0</v>
      </c>
      <c r="BX9" s="17">
        <f>'Combined data'!BX9-'Combined data'!BW9</f>
        <v>0</v>
      </c>
      <c r="BY9" s="17">
        <f>'Combined data'!BY9-'Combined data'!BX9</f>
        <v>0</v>
      </c>
      <c r="CB9" s="17">
        <f t="shared" ref="CB9:CB40" si="0">AR9</f>
        <v>46</v>
      </c>
      <c r="CC9" s="17">
        <f t="shared" ref="CC9:CC40" si="1">AS9</f>
        <v>5</v>
      </c>
      <c r="CD9" s="17">
        <f t="shared" ref="CD9:CD40" si="2">AT9</f>
        <v>8</v>
      </c>
      <c r="CE9" s="17">
        <f t="shared" ref="CE9:CE40" si="3">AU9</f>
        <v>7</v>
      </c>
      <c r="CF9" s="17">
        <f t="shared" ref="CF9:CF40" si="4">AV9</f>
        <v>10</v>
      </c>
      <c r="CG9" s="17">
        <f t="shared" ref="CG9:CG40" si="5">AW9</f>
        <v>3</v>
      </c>
      <c r="CH9" s="17">
        <f t="shared" ref="CH9:CH40" si="6">AX9</f>
        <v>7</v>
      </c>
      <c r="CI9" s="17">
        <f t="shared" ref="CI9:CI40" si="7">AY9</f>
        <v>11</v>
      </c>
      <c r="CJ9" s="17">
        <f t="shared" ref="CJ9:CJ40" si="8">AZ9</f>
        <v>1</v>
      </c>
      <c r="CK9" s="17">
        <f t="shared" ref="CK9:CK40" si="9">BA9</f>
        <v>3</v>
      </c>
      <c r="CL9" s="17">
        <f t="shared" ref="CL9:CL40" si="10">BB9</f>
        <v>2</v>
      </c>
      <c r="CM9" s="17">
        <f t="shared" ref="CM9:CM40" si="11">BC9</f>
        <v>10</v>
      </c>
      <c r="CN9" s="17">
        <f t="shared" ref="CN9:CN40" si="12">BD9</f>
        <v>14</v>
      </c>
      <c r="CO9" s="17">
        <f t="shared" ref="CO9:CO40" si="13">BE9</f>
        <v>4</v>
      </c>
      <c r="CP9" s="17">
        <f t="shared" ref="CP9:CP40" si="14">BF9</f>
        <v>5</v>
      </c>
      <c r="CQ9" s="17">
        <f t="shared" ref="CQ9:CQ40" si="15">BG9</f>
        <v>5</v>
      </c>
      <c r="CR9" s="17">
        <f t="shared" ref="CR9:CR40" si="16">BH9</f>
        <v>4</v>
      </c>
      <c r="CS9" s="17">
        <f t="shared" ref="CS9:CS40" si="17">BI9</f>
        <v>2</v>
      </c>
      <c r="CT9" s="17">
        <f t="shared" ref="CT9:CT40" si="18">BJ9</f>
        <v>11</v>
      </c>
      <c r="CU9" s="17">
        <f t="shared" ref="CU9:CU40" si="19">BK9</f>
        <v>8</v>
      </c>
      <c r="CV9" s="17">
        <f t="shared" ref="CV9:CV40" si="20">BL9</f>
        <v>14</v>
      </c>
      <c r="CW9" s="17">
        <f t="shared" ref="CW9:CW40" si="21">BM9</f>
        <v>5</v>
      </c>
      <c r="CX9" s="17">
        <f t="shared" ref="CX9:DI24" si="22">BN9</f>
        <v>15</v>
      </c>
      <c r="CY9" s="17">
        <f t="shared" si="22"/>
        <v>-200</v>
      </c>
      <c r="CZ9" s="17">
        <f t="shared" si="22"/>
        <v>0</v>
      </c>
      <c r="DA9" s="17">
        <f t="shared" si="22"/>
        <v>0</v>
      </c>
      <c r="DB9" s="17">
        <f t="shared" si="22"/>
        <v>0</v>
      </c>
      <c r="DC9" s="17">
        <f t="shared" si="22"/>
        <v>0</v>
      </c>
      <c r="DD9" s="17">
        <f t="shared" si="22"/>
        <v>0</v>
      </c>
      <c r="DE9" s="17">
        <f t="shared" si="22"/>
        <v>0</v>
      </c>
      <c r="DF9" s="17">
        <f t="shared" si="22"/>
        <v>0</v>
      </c>
      <c r="DG9" s="17">
        <f t="shared" si="22"/>
        <v>0</v>
      </c>
      <c r="DH9" s="17">
        <f t="shared" si="22"/>
        <v>0</v>
      </c>
      <c r="DI9" s="17">
        <f t="shared" si="22"/>
        <v>0</v>
      </c>
    </row>
    <row r="10" spans="1:113" ht="15.75" x14ac:dyDescent="0.25">
      <c r="A10" s="4" t="s">
        <v>9</v>
      </c>
      <c r="B10" s="6" t="s">
        <v>10</v>
      </c>
      <c r="H10" s="90">
        <f>'Combined data'!H10</f>
        <v>524</v>
      </c>
      <c r="I10" s="90">
        <f>'Combined data'!I10-'Combined data'!H10</f>
        <v>58</v>
      </c>
      <c r="J10" s="90">
        <f>'Combined data'!J10-'Combined data'!I10</f>
        <v>31</v>
      </c>
      <c r="K10" s="90">
        <f>'Combined data'!K10-'Combined data'!J10</f>
        <v>34</v>
      </c>
      <c r="L10" s="90">
        <f>'Combined data'!L10-'Combined data'!K10</f>
        <v>32</v>
      </c>
      <c r="M10" s="90">
        <f>'Combined data'!M10-'Combined data'!L10</f>
        <v>8</v>
      </c>
      <c r="N10" s="90">
        <f>'Combined data'!N10-'Combined data'!M10</f>
        <v>27</v>
      </c>
      <c r="O10" s="90">
        <f>'Combined data'!O10-'Combined data'!N10</f>
        <v>12</v>
      </c>
      <c r="P10" s="90">
        <f>'Combined data'!P10-'Combined data'!O10</f>
        <v>29</v>
      </c>
      <c r="Q10" s="90">
        <f>'Combined data'!Q10-'Combined data'!P10</f>
        <v>15</v>
      </c>
      <c r="R10" s="90">
        <f>'Combined data'!R10-'Combined data'!Q10</f>
        <v>9</v>
      </c>
      <c r="S10" s="90">
        <f>'Combined data'!S10-'Combined data'!R10</f>
        <v>17</v>
      </c>
      <c r="T10" s="90">
        <f>'Combined data'!T10-'Combined data'!S10</f>
        <v>31</v>
      </c>
      <c r="U10" s="90">
        <f>'Combined data'!U10-'Combined data'!T10</f>
        <v>10</v>
      </c>
      <c r="V10" s="90">
        <f>'Combined data'!V10-'Combined data'!U10</f>
        <v>22</v>
      </c>
      <c r="W10" s="90">
        <f>'Combined data'!W10-'Combined data'!V10</f>
        <v>25</v>
      </c>
      <c r="X10" s="90">
        <f>'Combined data'!X10-'Combined data'!W10</f>
        <v>22</v>
      </c>
      <c r="Y10" s="90">
        <f>'Combined data'!Y10-'Combined data'!X10</f>
        <v>35</v>
      </c>
      <c r="Z10" s="90">
        <f>'Combined data'!Z10-'Combined data'!Y10</f>
        <v>20</v>
      </c>
      <c r="AA10" s="90">
        <f>'Combined data'!AA10-'Combined data'!Z10</f>
        <v>11</v>
      </c>
      <c r="AB10" s="90">
        <f>'Combined data'!AB10-'Combined data'!AA10</f>
        <v>5</v>
      </c>
      <c r="AC10" s="90">
        <f>'Combined data'!AC10-'Combined data'!AB10</f>
        <v>1</v>
      </c>
      <c r="AD10" s="90">
        <f>'Combined data'!AD10-'Combined data'!AC10</f>
        <v>28</v>
      </c>
      <c r="AE10" s="90">
        <f>'Combined data'!AE10-'Combined data'!AD10</f>
        <v>-1006</v>
      </c>
      <c r="AF10" s="90">
        <f>'Combined data'!AF10-'Combined data'!AE10</f>
        <v>0</v>
      </c>
      <c r="AG10" s="90">
        <f>'Combined data'!AG10-'Combined data'!AF10</f>
        <v>0</v>
      </c>
      <c r="AH10" s="90">
        <f>'Combined data'!AH10-'Combined data'!AG10</f>
        <v>0</v>
      </c>
      <c r="AI10" s="90">
        <f>'Combined data'!AI10-'Combined data'!AH10</f>
        <v>0</v>
      </c>
      <c r="AJ10" s="90">
        <f>'Combined data'!AJ10-'Combined data'!AI10</f>
        <v>0</v>
      </c>
      <c r="AK10" s="90">
        <f>'Combined data'!AK10-'Combined data'!AJ10</f>
        <v>0</v>
      </c>
      <c r="AL10" s="90">
        <f>'Combined data'!AL10-'Combined data'!AK10</f>
        <v>0</v>
      </c>
      <c r="AM10" s="90">
        <f>'Combined data'!AM10-'Combined data'!AL10</f>
        <v>0</v>
      </c>
      <c r="AN10" s="90">
        <f>'Combined data'!AN10-'Combined data'!AM10</f>
        <v>0</v>
      </c>
      <c r="AO10" s="90">
        <f>'Combined data'!AO10-'Combined data'!AN10</f>
        <v>0</v>
      </c>
      <c r="AP10" s="56">
        <f t="shared" ref="AP10:AP73" si="23">SUM(H10:AO10)</f>
        <v>0</v>
      </c>
      <c r="AQ10" s="113"/>
      <c r="AR10" s="17">
        <f>'Combined data'!AR10</f>
        <v>236</v>
      </c>
      <c r="AS10" s="17">
        <f>'Combined data'!AS10-'Combined data'!AR10</f>
        <v>25</v>
      </c>
      <c r="AT10" s="17">
        <f>'Combined data'!AT10-'Combined data'!AS10</f>
        <v>32</v>
      </c>
      <c r="AU10" s="17">
        <f>'Combined data'!AU10-'Combined data'!AT10</f>
        <v>49</v>
      </c>
      <c r="AV10" s="17">
        <f>'Combined data'!AV10-'Combined data'!AU10</f>
        <v>22</v>
      </c>
      <c r="AW10" s="17">
        <f>'Combined data'!AW10-'Combined data'!AV10</f>
        <v>31</v>
      </c>
      <c r="AX10" s="17">
        <f>'Combined data'!AX10-'Combined data'!AW10</f>
        <v>43</v>
      </c>
      <c r="AY10" s="17">
        <f>'Combined data'!AY10-'Combined data'!AX10</f>
        <v>40</v>
      </c>
      <c r="AZ10" s="17">
        <f>'Combined data'!AZ10-'Combined data'!AY10</f>
        <v>32</v>
      </c>
      <c r="BA10" s="17">
        <f>'Combined data'!BA10-'Combined data'!AZ10</f>
        <v>19</v>
      </c>
      <c r="BB10" s="17">
        <f>'Combined data'!BB10-'Combined data'!BA10</f>
        <v>12</v>
      </c>
      <c r="BC10" s="17">
        <f>'Combined data'!BC10-'Combined data'!BB10</f>
        <v>28</v>
      </c>
      <c r="BD10" s="17">
        <f>'Combined data'!BD10-'Combined data'!BC10</f>
        <v>18</v>
      </c>
      <c r="BE10" s="17">
        <f>'Combined data'!BE10-'Combined data'!BD10</f>
        <v>9</v>
      </c>
      <c r="BF10" s="17">
        <f>'Combined data'!BF10-'Combined data'!BE10</f>
        <v>20</v>
      </c>
      <c r="BG10" s="17">
        <f>'Combined data'!BG10-'Combined data'!BF10</f>
        <v>17</v>
      </c>
      <c r="BH10" s="17">
        <f>'Combined data'!BH10-'Combined data'!BG10</f>
        <v>26</v>
      </c>
      <c r="BI10" s="17">
        <f>'Combined data'!BI10-'Combined data'!BH10</f>
        <v>18</v>
      </c>
      <c r="BJ10" s="17">
        <f>'Combined data'!BJ10-'Combined data'!BI10</f>
        <v>17</v>
      </c>
      <c r="BK10" s="17">
        <f>'Combined data'!BK10-'Combined data'!BJ10</f>
        <v>14</v>
      </c>
      <c r="BL10" s="17">
        <f>'Combined data'!BL10-'Combined data'!BK10</f>
        <v>34</v>
      </c>
      <c r="BM10" s="17">
        <f>'Combined data'!BM10-'Combined data'!BL10</f>
        <v>-1</v>
      </c>
      <c r="BN10" s="17">
        <f>'Combined data'!BN10-'Combined data'!BM10</f>
        <v>17</v>
      </c>
      <c r="BO10" s="17">
        <f>'Combined data'!BO10-'Combined data'!BN10</f>
        <v>-758</v>
      </c>
      <c r="BP10" s="17">
        <f>'Combined data'!BP10-'Combined data'!BO10</f>
        <v>0</v>
      </c>
      <c r="BQ10" s="17">
        <f>'Combined data'!BQ10-'Combined data'!BP10</f>
        <v>0</v>
      </c>
      <c r="BR10" s="17">
        <f>'Combined data'!BR10-'Combined data'!BQ10</f>
        <v>0</v>
      </c>
      <c r="BS10" s="17">
        <f>'Combined data'!BS10-'Combined data'!BR10</f>
        <v>0</v>
      </c>
      <c r="BT10" s="17">
        <f>'Combined data'!BT10-'Combined data'!BS10</f>
        <v>0</v>
      </c>
      <c r="BU10" s="17">
        <f>'Combined data'!BU10-'Combined data'!BT10</f>
        <v>0</v>
      </c>
      <c r="BV10" s="17">
        <f>'Combined data'!BV10-'Combined data'!BU10</f>
        <v>0</v>
      </c>
      <c r="BW10" s="17">
        <f>'Combined data'!BW10-'Combined data'!BV10</f>
        <v>0</v>
      </c>
      <c r="BX10" s="17">
        <f>'Combined data'!BX10-'Combined data'!BW10</f>
        <v>0</v>
      </c>
      <c r="BY10" s="17">
        <f>'Combined data'!BY10-'Combined data'!BX10</f>
        <v>0</v>
      </c>
      <c r="CB10" s="17">
        <f t="shared" si="0"/>
        <v>236</v>
      </c>
      <c r="CC10" s="17">
        <f t="shared" si="1"/>
        <v>25</v>
      </c>
      <c r="CD10" s="17">
        <f t="shared" si="2"/>
        <v>32</v>
      </c>
      <c r="CE10" s="17">
        <f t="shared" si="3"/>
        <v>49</v>
      </c>
      <c r="CF10" s="17">
        <f t="shared" si="4"/>
        <v>22</v>
      </c>
      <c r="CG10" s="17">
        <f t="shared" si="5"/>
        <v>31</v>
      </c>
      <c r="CH10" s="17">
        <f t="shared" si="6"/>
        <v>43</v>
      </c>
      <c r="CI10" s="17">
        <f t="shared" si="7"/>
        <v>40</v>
      </c>
      <c r="CJ10" s="17">
        <f t="shared" si="8"/>
        <v>32</v>
      </c>
      <c r="CK10" s="17">
        <f t="shared" si="9"/>
        <v>19</v>
      </c>
      <c r="CL10" s="17">
        <f t="shared" si="10"/>
        <v>12</v>
      </c>
      <c r="CM10" s="17">
        <f t="shared" si="11"/>
        <v>28</v>
      </c>
      <c r="CN10" s="17">
        <f t="shared" si="12"/>
        <v>18</v>
      </c>
      <c r="CO10" s="17">
        <f t="shared" si="13"/>
        <v>9</v>
      </c>
      <c r="CP10" s="17">
        <f t="shared" si="14"/>
        <v>20</v>
      </c>
      <c r="CQ10" s="17">
        <f t="shared" si="15"/>
        <v>17</v>
      </c>
      <c r="CR10" s="17">
        <f t="shared" si="16"/>
        <v>26</v>
      </c>
      <c r="CS10" s="17">
        <f t="shared" si="17"/>
        <v>18</v>
      </c>
      <c r="CT10" s="17">
        <f t="shared" si="18"/>
        <v>17</v>
      </c>
      <c r="CU10" s="17">
        <f t="shared" si="19"/>
        <v>14</v>
      </c>
      <c r="CV10" s="17">
        <f t="shared" si="20"/>
        <v>34</v>
      </c>
      <c r="CW10" s="17">
        <f t="shared" si="21"/>
        <v>-1</v>
      </c>
      <c r="CX10" s="17">
        <f t="shared" si="22"/>
        <v>17</v>
      </c>
      <c r="CY10" s="17">
        <f t="shared" si="22"/>
        <v>-758</v>
      </c>
      <c r="CZ10" s="17">
        <f t="shared" si="22"/>
        <v>0</v>
      </c>
      <c r="DA10" s="17">
        <f t="shared" si="22"/>
        <v>0</v>
      </c>
      <c r="DB10" s="17">
        <f t="shared" si="22"/>
        <v>0</v>
      </c>
      <c r="DC10" s="17">
        <f t="shared" si="22"/>
        <v>0</v>
      </c>
      <c r="DD10" s="17">
        <f t="shared" si="22"/>
        <v>0</v>
      </c>
      <c r="DE10" s="17">
        <f t="shared" si="22"/>
        <v>0</v>
      </c>
      <c r="DF10" s="17">
        <f t="shared" si="22"/>
        <v>0</v>
      </c>
      <c r="DG10" s="17">
        <f t="shared" si="22"/>
        <v>0</v>
      </c>
      <c r="DH10" s="17">
        <f t="shared" si="22"/>
        <v>0</v>
      </c>
      <c r="DI10" s="17">
        <f t="shared" si="22"/>
        <v>0</v>
      </c>
    </row>
    <row r="11" spans="1:113" ht="15.75" x14ac:dyDescent="0.25">
      <c r="A11" s="4" t="s">
        <v>11</v>
      </c>
      <c r="B11" s="6" t="s">
        <v>12</v>
      </c>
      <c r="H11" s="90">
        <f>'Combined data'!H11</f>
        <v>50</v>
      </c>
      <c r="I11" s="90">
        <f>'Combined data'!I11-'Combined data'!H11</f>
        <v>5</v>
      </c>
      <c r="J11" s="90">
        <f>'Combined data'!J11-'Combined data'!I11</f>
        <v>1</v>
      </c>
      <c r="K11" s="90">
        <f>'Combined data'!K11-'Combined data'!J11</f>
        <v>7</v>
      </c>
      <c r="L11" s="90">
        <f>'Combined data'!L11-'Combined data'!K11</f>
        <v>3</v>
      </c>
      <c r="M11" s="90">
        <f>'Combined data'!M11-'Combined data'!L11</f>
        <v>0</v>
      </c>
      <c r="N11" s="90">
        <f>'Combined data'!N11-'Combined data'!M11</f>
        <v>5</v>
      </c>
      <c r="O11" s="90">
        <f>'Combined data'!O11-'Combined data'!N11</f>
        <v>2</v>
      </c>
      <c r="P11" s="90">
        <f>'Combined data'!P11-'Combined data'!O11</f>
        <v>6</v>
      </c>
      <c r="Q11" s="90">
        <f>'Combined data'!Q11-'Combined data'!P11</f>
        <v>5</v>
      </c>
      <c r="R11" s="90">
        <f>'Combined data'!R11-'Combined data'!Q11</f>
        <v>4</v>
      </c>
      <c r="S11" s="90">
        <f>'Combined data'!S11-'Combined data'!R11</f>
        <v>1</v>
      </c>
      <c r="T11" s="90">
        <f>'Combined data'!T11-'Combined data'!S11</f>
        <v>1</v>
      </c>
      <c r="U11" s="90">
        <f>'Combined data'!U11-'Combined data'!T11</f>
        <v>1</v>
      </c>
      <c r="V11" s="90">
        <f>'Combined data'!V11-'Combined data'!U11</f>
        <v>0</v>
      </c>
      <c r="W11" s="90">
        <f>'Combined data'!W11-'Combined data'!V11</f>
        <v>0</v>
      </c>
      <c r="X11" s="90">
        <f>'Combined data'!X11-'Combined data'!W11</f>
        <v>1</v>
      </c>
      <c r="Y11" s="90">
        <f>'Combined data'!Y11-'Combined data'!X11</f>
        <v>0</v>
      </c>
      <c r="Z11" s="90">
        <f>'Combined data'!Z11-'Combined data'!Y11</f>
        <v>1</v>
      </c>
      <c r="AA11" s="90">
        <f>'Combined data'!AA11-'Combined data'!Z11</f>
        <v>3</v>
      </c>
      <c r="AB11" s="90">
        <f>'Combined data'!AB11-'Combined data'!AA11</f>
        <v>0</v>
      </c>
      <c r="AC11" s="90">
        <f>'Combined data'!AC11-'Combined data'!AB11</f>
        <v>0</v>
      </c>
      <c r="AD11" s="90">
        <f>'Combined data'!AD11-'Combined data'!AC11</f>
        <v>1</v>
      </c>
      <c r="AE11" s="90">
        <f>'Combined data'!AE11-'Combined data'!AD11</f>
        <v>-97</v>
      </c>
      <c r="AF11" s="90">
        <f>'Combined data'!AF11-'Combined data'!AE11</f>
        <v>0</v>
      </c>
      <c r="AG11" s="90">
        <f>'Combined data'!AG11-'Combined data'!AF11</f>
        <v>0</v>
      </c>
      <c r="AH11" s="90">
        <f>'Combined data'!AH11-'Combined data'!AG11</f>
        <v>0</v>
      </c>
      <c r="AI11" s="90">
        <f>'Combined data'!AI11-'Combined data'!AH11</f>
        <v>0</v>
      </c>
      <c r="AJ11" s="90">
        <f>'Combined data'!AJ11-'Combined data'!AI11</f>
        <v>0</v>
      </c>
      <c r="AK11" s="90">
        <f>'Combined data'!AK11-'Combined data'!AJ11</f>
        <v>0</v>
      </c>
      <c r="AL11" s="90">
        <f>'Combined data'!AL11-'Combined data'!AK11</f>
        <v>0</v>
      </c>
      <c r="AM11" s="90">
        <f>'Combined data'!AM11-'Combined data'!AL11</f>
        <v>0</v>
      </c>
      <c r="AN11" s="90">
        <f>'Combined data'!AN11-'Combined data'!AM11</f>
        <v>0</v>
      </c>
      <c r="AO11" s="90">
        <f>'Combined data'!AO11-'Combined data'!AN11</f>
        <v>0</v>
      </c>
      <c r="AP11" s="56">
        <f t="shared" si="23"/>
        <v>0</v>
      </c>
      <c r="AQ11" s="113"/>
      <c r="AR11" s="17">
        <f>'Combined data'!AR11</f>
        <v>24</v>
      </c>
      <c r="AS11" s="17">
        <f>'Combined data'!AS11-'Combined data'!AR11</f>
        <v>5</v>
      </c>
      <c r="AT11" s="17">
        <f>'Combined data'!AT11-'Combined data'!AS11</f>
        <v>3</v>
      </c>
      <c r="AU11" s="17">
        <f>'Combined data'!AU11-'Combined data'!AT11</f>
        <v>0</v>
      </c>
      <c r="AV11" s="17">
        <f>'Combined data'!AV11-'Combined data'!AU11</f>
        <v>4</v>
      </c>
      <c r="AW11" s="17">
        <f>'Combined data'!AW11-'Combined data'!AV11</f>
        <v>0</v>
      </c>
      <c r="AX11" s="17">
        <f>'Combined data'!AX11-'Combined data'!AW11</f>
        <v>4</v>
      </c>
      <c r="AY11" s="17">
        <f>'Combined data'!AY11-'Combined data'!AX11</f>
        <v>0</v>
      </c>
      <c r="AZ11" s="17">
        <f>'Combined data'!AZ11-'Combined data'!AY11</f>
        <v>5</v>
      </c>
      <c r="BA11" s="17">
        <f>'Combined data'!BA11-'Combined data'!AZ11</f>
        <v>1</v>
      </c>
      <c r="BB11" s="17">
        <f>'Combined data'!BB11-'Combined data'!BA11</f>
        <v>4</v>
      </c>
      <c r="BC11" s="17">
        <f>'Combined data'!BC11-'Combined data'!BB11</f>
        <v>6</v>
      </c>
      <c r="BD11" s="17">
        <f>'Combined data'!BD11-'Combined data'!BC11</f>
        <v>2</v>
      </c>
      <c r="BE11" s="17">
        <f>'Combined data'!BE11-'Combined data'!BD11</f>
        <v>2</v>
      </c>
      <c r="BF11" s="17">
        <f>'Combined data'!BF11-'Combined data'!BE11</f>
        <v>1</v>
      </c>
      <c r="BG11" s="17">
        <f>'Combined data'!BG11-'Combined data'!BF11</f>
        <v>0</v>
      </c>
      <c r="BH11" s="17">
        <f>'Combined data'!BH11-'Combined data'!BG11</f>
        <v>0</v>
      </c>
      <c r="BI11" s="17">
        <f>'Combined data'!BI11-'Combined data'!BH11</f>
        <v>0</v>
      </c>
      <c r="BJ11" s="17">
        <f>'Combined data'!BJ11-'Combined data'!BI11</f>
        <v>2</v>
      </c>
      <c r="BK11" s="17">
        <f>'Combined data'!BK11-'Combined data'!BJ11</f>
        <v>2</v>
      </c>
      <c r="BL11" s="17">
        <f>'Combined data'!BL11-'Combined data'!BK11</f>
        <v>0</v>
      </c>
      <c r="BM11" s="17">
        <f>'Combined data'!BM11-'Combined data'!BL11</f>
        <v>2</v>
      </c>
      <c r="BN11" s="17">
        <f>'Combined data'!BN11-'Combined data'!BM11</f>
        <v>0</v>
      </c>
      <c r="BO11" s="17">
        <f>'Combined data'!BO11-'Combined data'!BN11</f>
        <v>-67</v>
      </c>
      <c r="BP11" s="17">
        <f>'Combined data'!BP11-'Combined data'!BO11</f>
        <v>0</v>
      </c>
      <c r="BQ11" s="17">
        <f>'Combined data'!BQ11-'Combined data'!BP11</f>
        <v>0</v>
      </c>
      <c r="BR11" s="17">
        <f>'Combined data'!BR11-'Combined data'!BQ11</f>
        <v>0</v>
      </c>
      <c r="BS11" s="17">
        <f>'Combined data'!BS11-'Combined data'!BR11</f>
        <v>0</v>
      </c>
      <c r="BT11" s="17">
        <f>'Combined data'!BT11-'Combined data'!BS11</f>
        <v>0</v>
      </c>
      <c r="BU11" s="17">
        <f>'Combined data'!BU11-'Combined data'!BT11</f>
        <v>0</v>
      </c>
      <c r="BV11" s="17">
        <f>'Combined data'!BV11-'Combined data'!BU11</f>
        <v>0</v>
      </c>
      <c r="BW11" s="17">
        <f>'Combined data'!BW11-'Combined data'!BV11</f>
        <v>0</v>
      </c>
      <c r="BX11" s="17">
        <f>'Combined data'!BX11-'Combined data'!BW11</f>
        <v>0</v>
      </c>
      <c r="BY11" s="17">
        <f>'Combined data'!BY11-'Combined data'!BX11</f>
        <v>0</v>
      </c>
      <c r="CB11" s="17">
        <f t="shared" si="0"/>
        <v>24</v>
      </c>
      <c r="CC11" s="17">
        <f t="shared" si="1"/>
        <v>5</v>
      </c>
      <c r="CD11" s="17">
        <f t="shared" si="2"/>
        <v>3</v>
      </c>
      <c r="CE11" s="17">
        <f t="shared" si="3"/>
        <v>0</v>
      </c>
      <c r="CF11" s="17">
        <f t="shared" si="4"/>
        <v>4</v>
      </c>
      <c r="CG11" s="17">
        <f t="shared" si="5"/>
        <v>0</v>
      </c>
      <c r="CH11" s="17">
        <f t="shared" si="6"/>
        <v>4</v>
      </c>
      <c r="CI11" s="17">
        <f t="shared" si="7"/>
        <v>0</v>
      </c>
      <c r="CJ11" s="17">
        <f t="shared" si="8"/>
        <v>5</v>
      </c>
      <c r="CK11" s="17">
        <f t="shared" si="9"/>
        <v>1</v>
      </c>
      <c r="CL11" s="17">
        <f t="shared" si="10"/>
        <v>4</v>
      </c>
      <c r="CM11" s="17">
        <f t="shared" si="11"/>
        <v>6</v>
      </c>
      <c r="CN11" s="17">
        <f t="shared" si="12"/>
        <v>2</v>
      </c>
      <c r="CO11" s="17">
        <f t="shared" si="13"/>
        <v>2</v>
      </c>
      <c r="CP11" s="17">
        <f t="shared" si="14"/>
        <v>1</v>
      </c>
      <c r="CQ11" s="17">
        <f t="shared" si="15"/>
        <v>0</v>
      </c>
      <c r="CR11" s="17">
        <f t="shared" si="16"/>
        <v>0</v>
      </c>
      <c r="CS11" s="17">
        <f t="shared" si="17"/>
        <v>0</v>
      </c>
      <c r="CT11" s="17">
        <f t="shared" si="18"/>
        <v>2</v>
      </c>
      <c r="CU11" s="17">
        <f t="shared" si="19"/>
        <v>2</v>
      </c>
      <c r="CV11" s="17">
        <f t="shared" si="20"/>
        <v>0</v>
      </c>
      <c r="CW11" s="17">
        <f t="shared" si="21"/>
        <v>2</v>
      </c>
      <c r="CX11" s="17">
        <f t="shared" si="22"/>
        <v>0</v>
      </c>
      <c r="CY11" s="17">
        <f t="shared" si="22"/>
        <v>-67</v>
      </c>
      <c r="CZ11" s="17">
        <f t="shared" si="22"/>
        <v>0</v>
      </c>
      <c r="DA11" s="17">
        <f t="shared" si="22"/>
        <v>0</v>
      </c>
      <c r="DB11" s="17">
        <f t="shared" si="22"/>
        <v>0</v>
      </c>
      <c r="DC11" s="17">
        <f t="shared" si="22"/>
        <v>0</v>
      </c>
      <c r="DD11" s="17">
        <f t="shared" si="22"/>
        <v>0</v>
      </c>
      <c r="DE11" s="17">
        <f t="shared" si="22"/>
        <v>0</v>
      </c>
      <c r="DF11" s="17">
        <f t="shared" si="22"/>
        <v>0</v>
      </c>
      <c r="DG11" s="17">
        <f t="shared" si="22"/>
        <v>0</v>
      </c>
      <c r="DH11" s="17">
        <f t="shared" si="22"/>
        <v>0</v>
      </c>
      <c r="DI11" s="17">
        <f t="shared" si="22"/>
        <v>0</v>
      </c>
    </row>
    <row r="12" spans="1:113" ht="15.75" x14ac:dyDescent="0.25">
      <c r="A12" s="4" t="s">
        <v>13</v>
      </c>
      <c r="B12" s="6" t="s">
        <v>14</v>
      </c>
      <c r="H12" s="90">
        <f>'Combined data'!H12</f>
        <v>201</v>
      </c>
      <c r="I12" s="90">
        <f>'Combined data'!I12-'Combined data'!H12</f>
        <v>16</v>
      </c>
      <c r="J12" s="90">
        <f>'Combined data'!J12-'Combined data'!I12</f>
        <v>11</v>
      </c>
      <c r="K12" s="90">
        <f>'Combined data'!K12-'Combined data'!J12</f>
        <v>15</v>
      </c>
      <c r="L12" s="90">
        <f>'Combined data'!L12-'Combined data'!K12</f>
        <v>7</v>
      </c>
      <c r="M12" s="90">
        <f>'Combined data'!M12-'Combined data'!L12</f>
        <v>6</v>
      </c>
      <c r="N12" s="90">
        <f>'Combined data'!N12-'Combined data'!M12</f>
        <v>15</v>
      </c>
      <c r="O12" s="90">
        <f>'Combined data'!O12-'Combined data'!N12</f>
        <v>2</v>
      </c>
      <c r="P12" s="90">
        <f>'Combined data'!P12-'Combined data'!O12</f>
        <v>15</v>
      </c>
      <c r="Q12" s="90">
        <f>'Combined data'!Q12-'Combined data'!P12</f>
        <v>3</v>
      </c>
      <c r="R12" s="90">
        <f>'Combined data'!R12-'Combined data'!Q12</f>
        <v>2</v>
      </c>
      <c r="S12" s="90">
        <f>'Combined data'!S12-'Combined data'!R12</f>
        <v>9</v>
      </c>
      <c r="T12" s="90">
        <f>'Combined data'!T12-'Combined data'!S12</f>
        <v>19</v>
      </c>
      <c r="U12" s="90">
        <f>'Combined data'!U12-'Combined data'!T12</f>
        <v>4</v>
      </c>
      <c r="V12" s="90">
        <f>'Combined data'!V12-'Combined data'!U12</f>
        <v>6</v>
      </c>
      <c r="W12" s="90">
        <f>'Combined data'!W12-'Combined data'!V12</f>
        <v>6</v>
      </c>
      <c r="X12" s="90">
        <f>'Combined data'!X12-'Combined data'!W12</f>
        <v>1</v>
      </c>
      <c r="Y12" s="90">
        <f>'Combined data'!Y12-'Combined data'!X12</f>
        <v>6</v>
      </c>
      <c r="Z12" s="90">
        <f>'Combined data'!Z12-'Combined data'!Y12</f>
        <v>12</v>
      </c>
      <c r="AA12" s="90">
        <f>'Combined data'!AA12-'Combined data'!Z12</f>
        <v>3</v>
      </c>
      <c r="AB12" s="90">
        <f>'Combined data'!AB12-'Combined data'!AA12</f>
        <v>2</v>
      </c>
      <c r="AC12" s="90">
        <f>'Combined data'!AC12-'Combined data'!AB12</f>
        <v>0</v>
      </c>
      <c r="AD12" s="90">
        <f>'Combined data'!AD12-'Combined data'!AC12</f>
        <v>5</v>
      </c>
      <c r="AE12" s="90">
        <f>'Combined data'!AE12-'Combined data'!AD12</f>
        <v>-366</v>
      </c>
      <c r="AF12" s="90">
        <f>'Combined data'!AF12-'Combined data'!AE12</f>
        <v>0</v>
      </c>
      <c r="AG12" s="90">
        <f>'Combined data'!AG12-'Combined data'!AF12</f>
        <v>0</v>
      </c>
      <c r="AH12" s="90">
        <f>'Combined data'!AH12-'Combined data'!AG12</f>
        <v>0</v>
      </c>
      <c r="AI12" s="90">
        <f>'Combined data'!AI12-'Combined data'!AH12</f>
        <v>0</v>
      </c>
      <c r="AJ12" s="90">
        <f>'Combined data'!AJ12-'Combined data'!AI12</f>
        <v>0</v>
      </c>
      <c r="AK12" s="90">
        <f>'Combined data'!AK12-'Combined data'!AJ12</f>
        <v>0</v>
      </c>
      <c r="AL12" s="90">
        <f>'Combined data'!AL12-'Combined data'!AK12</f>
        <v>0</v>
      </c>
      <c r="AM12" s="90">
        <f>'Combined data'!AM12-'Combined data'!AL12</f>
        <v>0</v>
      </c>
      <c r="AN12" s="90">
        <f>'Combined data'!AN12-'Combined data'!AM12</f>
        <v>0</v>
      </c>
      <c r="AO12" s="90">
        <f>'Combined data'!AO12-'Combined data'!AN12</f>
        <v>0</v>
      </c>
      <c r="AP12" s="56">
        <f t="shared" si="23"/>
        <v>0</v>
      </c>
      <c r="AQ12" s="113"/>
      <c r="AR12" s="17">
        <f>'Combined data'!AR12</f>
        <v>95</v>
      </c>
      <c r="AS12" s="17">
        <f>'Combined data'!AS12-'Combined data'!AR12</f>
        <v>29</v>
      </c>
      <c r="AT12" s="17">
        <f>'Combined data'!AT12-'Combined data'!AS12</f>
        <v>23</v>
      </c>
      <c r="AU12" s="17">
        <f>'Combined data'!AU12-'Combined data'!AT12</f>
        <v>8</v>
      </c>
      <c r="AV12" s="17">
        <f>'Combined data'!AV12-'Combined data'!AU12</f>
        <v>5</v>
      </c>
      <c r="AW12" s="17">
        <f>'Combined data'!AW12-'Combined data'!AV12</f>
        <v>18</v>
      </c>
      <c r="AX12" s="17">
        <f>'Combined data'!AX12-'Combined data'!AW12</f>
        <v>34</v>
      </c>
      <c r="AY12" s="17">
        <f>'Combined data'!AY12-'Combined data'!AX12</f>
        <v>6</v>
      </c>
      <c r="AZ12" s="17">
        <f>'Combined data'!AZ12-'Combined data'!AY12</f>
        <v>9</v>
      </c>
      <c r="BA12" s="17">
        <f>'Combined data'!BA12-'Combined data'!AZ12</f>
        <v>8</v>
      </c>
      <c r="BB12" s="17">
        <f>'Combined data'!BB12-'Combined data'!BA12</f>
        <v>2</v>
      </c>
      <c r="BC12" s="17">
        <f>'Combined data'!BC12-'Combined data'!BB12</f>
        <v>10</v>
      </c>
      <c r="BD12" s="17">
        <f>'Combined data'!BD12-'Combined data'!BC12</f>
        <v>7</v>
      </c>
      <c r="BE12" s="17">
        <f>'Combined data'!BE12-'Combined data'!BD12</f>
        <v>5</v>
      </c>
      <c r="BF12" s="17">
        <f>'Combined data'!BF12-'Combined data'!BE12</f>
        <v>5</v>
      </c>
      <c r="BG12" s="17">
        <f>'Combined data'!BG12-'Combined data'!BF12</f>
        <v>11</v>
      </c>
      <c r="BH12" s="17">
        <f>'Combined data'!BH12-'Combined data'!BG12</f>
        <v>4</v>
      </c>
      <c r="BI12" s="17">
        <f>'Combined data'!BI12-'Combined data'!BH12</f>
        <v>7</v>
      </c>
      <c r="BJ12" s="17">
        <f>'Combined data'!BJ12-'Combined data'!BI12</f>
        <v>11</v>
      </c>
      <c r="BK12" s="17">
        <f>'Combined data'!BK12-'Combined data'!BJ12</f>
        <v>9</v>
      </c>
      <c r="BL12" s="17">
        <f>'Combined data'!BL12-'Combined data'!BK12</f>
        <v>5</v>
      </c>
      <c r="BM12" s="17">
        <f>'Combined data'!BM12-'Combined data'!BL12</f>
        <v>6</v>
      </c>
      <c r="BN12" s="17">
        <f>'Combined data'!BN12-'Combined data'!BM12</f>
        <v>4</v>
      </c>
      <c r="BO12" s="17">
        <f>'Combined data'!BO12-'Combined data'!BN12</f>
        <v>-321</v>
      </c>
      <c r="BP12" s="17">
        <f>'Combined data'!BP12-'Combined data'!BO12</f>
        <v>0</v>
      </c>
      <c r="BQ12" s="17">
        <f>'Combined data'!BQ12-'Combined data'!BP12</f>
        <v>0</v>
      </c>
      <c r="BR12" s="17">
        <f>'Combined data'!BR12-'Combined data'!BQ12</f>
        <v>0</v>
      </c>
      <c r="BS12" s="17">
        <f>'Combined data'!BS12-'Combined data'!BR12</f>
        <v>0</v>
      </c>
      <c r="BT12" s="17">
        <f>'Combined data'!BT12-'Combined data'!BS12</f>
        <v>0</v>
      </c>
      <c r="BU12" s="17">
        <f>'Combined data'!BU12-'Combined data'!BT12</f>
        <v>0</v>
      </c>
      <c r="BV12" s="17">
        <f>'Combined data'!BV12-'Combined data'!BU12</f>
        <v>0</v>
      </c>
      <c r="BW12" s="17">
        <f>'Combined data'!BW12-'Combined data'!BV12</f>
        <v>0</v>
      </c>
      <c r="BX12" s="17">
        <f>'Combined data'!BX12-'Combined data'!BW12</f>
        <v>0</v>
      </c>
      <c r="BY12" s="17">
        <f>'Combined data'!BY12-'Combined data'!BX12</f>
        <v>0</v>
      </c>
      <c r="CB12" s="17">
        <f t="shared" si="0"/>
        <v>95</v>
      </c>
      <c r="CC12" s="17">
        <f t="shared" si="1"/>
        <v>29</v>
      </c>
      <c r="CD12" s="17">
        <f t="shared" si="2"/>
        <v>23</v>
      </c>
      <c r="CE12" s="17">
        <f t="shared" si="3"/>
        <v>8</v>
      </c>
      <c r="CF12" s="17">
        <f t="shared" si="4"/>
        <v>5</v>
      </c>
      <c r="CG12" s="17">
        <f t="shared" si="5"/>
        <v>18</v>
      </c>
      <c r="CH12" s="17">
        <f t="shared" si="6"/>
        <v>34</v>
      </c>
      <c r="CI12" s="17">
        <f t="shared" si="7"/>
        <v>6</v>
      </c>
      <c r="CJ12" s="17">
        <f t="shared" si="8"/>
        <v>9</v>
      </c>
      <c r="CK12" s="17">
        <f t="shared" si="9"/>
        <v>8</v>
      </c>
      <c r="CL12" s="17">
        <f t="shared" si="10"/>
        <v>2</v>
      </c>
      <c r="CM12" s="17">
        <f t="shared" si="11"/>
        <v>10</v>
      </c>
      <c r="CN12" s="17">
        <f t="shared" si="12"/>
        <v>7</v>
      </c>
      <c r="CO12" s="17">
        <f t="shared" si="13"/>
        <v>5</v>
      </c>
      <c r="CP12" s="17">
        <f t="shared" si="14"/>
        <v>5</v>
      </c>
      <c r="CQ12" s="17">
        <f t="shared" si="15"/>
        <v>11</v>
      </c>
      <c r="CR12" s="17">
        <f t="shared" si="16"/>
        <v>4</v>
      </c>
      <c r="CS12" s="17">
        <f t="shared" si="17"/>
        <v>7</v>
      </c>
      <c r="CT12" s="17">
        <f t="shared" si="18"/>
        <v>11</v>
      </c>
      <c r="CU12" s="17">
        <f t="shared" si="19"/>
        <v>9</v>
      </c>
      <c r="CV12" s="17">
        <f t="shared" si="20"/>
        <v>5</v>
      </c>
      <c r="CW12" s="17">
        <f t="shared" si="21"/>
        <v>6</v>
      </c>
      <c r="CX12" s="17">
        <f t="shared" si="22"/>
        <v>4</v>
      </c>
      <c r="CY12" s="17">
        <f t="shared" si="22"/>
        <v>-321</v>
      </c>
      <c r="CZ12" s="17">
        <f t="shared" si="22"/>
        <v>0</v>
      </c>
      <c r="DA12" s="17">
        <f t="shared" si="22"/>
        <v>0</v>
      </c>
      <c r="DB12" s="17">
        <f t="shared" si="22"/>
        <v>0</v>
      </c>
      <c r="DC12" s="17">
        <f t="shared" si="22"/>
        <v>0</v>
      </c>
      <c r="DD12" s="17">
        <f t="shared" si="22"/>
        <v>0</v>
      </c>
      <c r="DE12" s="17">
        <f t="shared" si="22"/>
        <v>0</v>
      </c>
      <c r="DF12" s="17">
        <f t="shared" si="22"/>
        <v>0</v>
      </c>
      <c r="DG12" s="17">
        <f t="shared" si="22"/>
        <v>0</v>
      </c>
      <c r="DH12" s="17">
        <f t="shared" si="22"/>
        <v>0</v>
      </c>
      <c r="DI12" s="17">
        <f t="shared" si="22"/>
        <v>0</v>
      </c>
    </row>
    <row r="13" spans="1:113" ht="15.75" x14ac:dyDescent="0.25">
      <c r="A13" s="4" t="s">
        <v>15</v>
      </c>
      <c r="B13" s="6" t="s">
        <v>16</v>
      </c>
      <c r="H13" s="90">
        <f>'Combined data'!H13</f>
        <v>281</v>
      </c>
      <c r="I13" s="90">
        <f>'Combined data'!I13-'Combined data'!H13</f>
        <v>5</v>
      </c>
      <c r="J13" s="90">
        <f>'Combined data'!J13-'Combined data'!I13</f>
        <v>14</v>
      </c>
      <c r="K13" s="90">
        <f>'Combined data'!K13-'Combined data'!J13</f>
        <v>24</v>
      </c>
      <c r="L13" s="90">
        <f>'Combined data'!L13-'Combined data'!K13</f>
        <v>4</v>
      </c>
      <c r="M13" s="90">
        <f>'Combined data'!M13-'Combined data'!L13</f>
        <v>6</v>
      </c>
      <c r="N13" s="90">
        <f>'Combined data'!N13-'Combined data'!M13</f>
        <v>18</v>
      </c>
      <c r="O13" s="90">
        <f>'Combined data'!O13-'Combined data'!N13</f>
        <v>9</v>
      </c>
      <c r="P13" s="90">
        <f>'Combined data'!P13-'Combined data'!O13</f>
        <v>12</v>
      </c>
      <c r="Q13" s="90">
        <f>'Combined data'!Q13-'Combined data'!P13</f>
        <v>5</v>
      </c>
      <c r="R13" s="90">
        <f>'Combined data'!R13-'Combined data'!Q13</f>
        <v>1</v>
      </c>
      <c r="S13" s="90">
        <f>'Combined data'!S13-'Combined data'!R13</f>
        <v>4</v>
      </c>
      <c r="T13" s="90">
        <f>'Combined data'!T13-'Combined data'!S13</f>
        <v>17</v>
      </c>
      <c r="U13" s="90">
        <f>'Combined data'!U13-'Combined data'!T13</f>
        <v>3</v>
      </c>
      <c r="V13" s="90">
        <f>'Combined data'!V13-'Combined data'!U13</f>
        <v>11</v>
      </c>
      <c r="W13" s="90">
        <f>'Combined data'!W13-'Combined data'!V13</f>
        <v>2</v>
      </c>
      <c r="X13" s="90">
        <f>'Combined data'!X13-'Combined data'!W13</f>
        <v>0</v>
      </c>
      <c r="Y13" s="90">
        <f>'Combined data'!Y13-'Combined data'!X13</f>
        <v>1</v>
      </c>
      <c r="Z13" s="90">
        <f>'Combined data'!Z13-'Combined data'!Y13</f>
        <v>3</v>
      </c>
      <c r="AA13" s="90">
        <f>'Combined data'!AA13-'Combined data'!Z13</f>
        <v>1</v>
      </c>
      <c r="AB13" s="90">
        <f>'Combined data'!AB13-'Combined data'!AA13</f>
        <v>3</v>
      </c>
      <c r="AC13" s="90">
        <f>'Combined data'!AC13-'Combined data'!AB13</f>
        <v>1</v>
      </c>
      <c r="AD13" s="90">
        <f>'Combined data'!AD13-'Combined data'!AC13</f>
        <v>5</v>
      </c>
      <c r="AE13" s="90">
        <f>'Combined data'!AE13-'Combined data'!AD13</f>
        <v>-430</v>
      </c>
      <c r="AF13" s="90">
        <f>'Combined data'!AF13-'Combined data'!AE13</f>
        <v>0</v>
      </c>
      <c r="AG13" s="90">
        <f>'Combined data'!AG13-'Combined data'!AF13</f>
        <v>0</v>
      </c>
      <c r="AH13" s="90">
        <f>'Combined data'!AH13-'Combined data'!AG13</f>
        <v>0</v>
      </c>
      <c r="AI13" s="90">
        <f>'Combined data'!AI13-'Combined data'!AH13</f>
        <v>0</v>
      </c>
      <c r="AJ13" s="90">
        <f>'Combined data'!AJ13-'Combined data'!AI13</f>
        <v>0</v>
      </c>
      <c r="AK13" s="90">
        <f>'Combined data'!AK13-'Combined data'!AJ13</f>
        <v>0</v>
      </c>
      <c r="AL13" s="90">
        <f>'Combined data'!AL13-'Combined data'!AK13</f>
        <v>0</v>
      </c>
      <c r="AM13" s="90">
        <f>'Combined data'!AM13-'Combined data'!AL13</f>
        <v>0</v>
      </c>
      <c r="AN13" s="90">
        <f>'Combined data'!AN13-'Combined data'!AM13</f>
        <v>0</v>
      </c>
      <c r="AO13" s="90">
        <f>'Combined data'!AO13-'Combined data'!AN13</f>
        <v>0</v>
      </c>
      <c r="AP13" s="56">
        <f t="shared" si="23"/>
        <v>0</v>
      </c>
      <c r="AQ13" s="113"/>
      <c r="AR13" s="17">
        <f>'Combined data'!AR13</f>
        <v>159</v>
      </c>
      <c r="AS13" s="17">
        <f>'Combined data'!AS13-'Combined data'!AR13</f>
        <v>21</v>
      </c>
      <c r="AT13" s="17">
        <f>'Combined data'!AT13-'Combined data'!AS13</f>
        <v>18</v>
      </c>
      <c r="AU13" s="17">
        <f>'Combined data'!AU13-'Combined data'!AT13</f>
        <v>27</v>
      </c>
      <c r="AV13" s="17">
        <f>'Combined data'!AV13-'Combined data'!AU13</f>
        <v>17</v>
      </c>
      <c r="AW13" s="17">
        <f>'Combined data'!AW13-'Combined data'!AV13</f>
        <v>14</v>
      </c>
      <c r="AX13" s="17">
        <f>'Combined data'!AX13-'Combined data'!AW13</f>
        <v>8</v>
      </c>
      <c r="AY13" s="17">
        <f>'Combined data'!AY13-'Combined data'!AX13</f>
        <v>8</v>
      </c>
      <c r="AZ13" s="17">
        <f>'Combined data'!AZ13-'Combined data'!AY13</f>
        <v>7</v>
      </c>
      <c r="BA13" s="17">
        <f>'Combined data'!BA13-'Combined data'!AZ13</f>
        <v>9</v>
      </c>
      <c r="BB13" s="17">
        <f>'Combined data'!BB13-'Combined data'!BA13</f>
        <v>9</v>
      </c>
      <c r="BC13" s="17">
        <f>'Combined data'!BC13-'Combined data'!BB13</f>
        <v>8</v>
      </c>
      <c r="BD13" s="17">
        <f>'Combined data'!BD13-'Combined data'!BC13</f>
        <v>5</v>
      </c>
      <c r="BE13" s="17">
        <f>'Combined data'!BE13-'Combined data'!BD13</f>
        <v>11</v>
      </c>
      <c r="BF13" s="17">
        <f>'Combined data'!BF13-'Combined data'!BE13</f>
        <v>8</v>
      </c>
      <c r="BG13" s="17">
        <f>'Combined data'!BG13-'Combined data'!BF13</f>
        <v>8</v>
      </c>
      <c r="BH13" s="17">
        <f>'Combined data'!BH13-'Combined data'!BG13</f>
        <v>11</v>
      </c>
      <c r="BI13" s="17">
        <f>'Combined data'!BI13-'Combined data'!BH13</f>
        <v>3</v>
      </c>
      <c r="BJ13" s="17">
        <f>'Combined data'!BJ13-'Combined data'!BI13</f>
        <v>1</v>
      </c>
      <c r="BK13" s="17">
        <f>'Combined data'!BK13-'Combined data'!BJ13</f>
        <v>4</v>
      </c>
      <c r="BL13" s="17">
        <f>'Combined data'!BL13-'Combined data'!BK13</f>
        <v>8</v>
      </c>
      <c r="BM13" s="17">
        <f>'Combined data'!BM13-'Combined data'!BL13</f>
        <v>-2</v>
      </c>
      <c r="BN13" s="17">
        <f>'Combined data'!BN13-'Combined data'!BM13</f>
        <v>5</v>
      </c>
      <c r="BO13" s="17">
        <f>'Combined data'!BO13-'Combined data'!BN13</f>
        <v>-367</v>
      </c>
      <c r="BP13" s="17">
        <f>'Combined data'!BP13-'Combined data'!BO13</f>
        <v>0</v>
      </c>
      <c r="BQ13" s="17">
        <f>'Combined data'!BQ13-'Combined data'!BP13</f>
        <v>0</v>
      </c>
      <c r="BR13" s="17">
        <f>'Combined data'!BR13-'Combined data'!BQ13</f>
        <v>0</v>
      </c>
      <c r="BS13" s="17">
        <f>'Combined data'!BS13-'Combined data'!BR13</f>
        <v>0</v>
      </c>
      <c r="BT13" s="17">
        <f>'Combined data'!BT13-'Combined data'!BS13</f>
        <v>0</v>
      </c>
      <c r="BU13" s="17">
        <f>'Combined data'!BU13-'Combined data'!BT13</f>
        <v>0</v>
      </c>
      <c r="BV13" s="17">
        <f>'Combined data'!BV13-'Combined data'!BU13</f>
        <v>0</v>
      </c>
      <c r="BW13" s="17">
        <f>'Combined data'!BW13-'Combined data'!BV13</f>
        <v>0</v>
      </c>
      <c r="BX13" s="17">
        <f>'Combined data'!BX13-'Combined data'!BW13</f>
        <v>0</v>
      </c>
      <c r="BY13" s="17">
        <f>'Combined data'!BY13-'Combined data'!BX13</f>
        <v>0</v>
      </c>
      <c r="CB13" s="17">
        <f t="shared" si="0"/>
        <v>159</v>
      </c>
      <c r="CC13" s="17">
        <f t="shared" si="1"/>
        <v>21</v>
      </c>
      <c r="CD13" s="17">
        <f t="shared" si="2"/>
        <v>18</v>
      </c>
      <c r="CE13" s="17">
        <f t="shared" si="3"/>
        <v>27</v>
      </c>
      <c r="CF13" s="17">
        <f t="shared" si="4"/>
        <v>17</v>
      </c>
      <c r="CG13" s="17">
        <f t="shared" si="5"/>
        <v>14</v>
      </c>
      <c r="CH13" s="17">
        <f t="shared" si="6"/>
        <v>8</v>
      </c>
      <c r="CI13" s="17">
        <f t="shared" si="7"/>
        <v>8</v>
      </c>
      <c r="CJ13" s="17">
        <f t="shared" si="8"/>
        <v>7</v>
      </c>
      <c r="CK13" s="17">
        <f t="shared" si="9"/>
        <v>9</v>
      </c>
      <c r="CL13" s="17">
        <f t="shared" si="10"/>
        <v>9</v>
      </c>
      <c r="CM13" s="17">
        <f t="shared" si="11"/>
        <v>8</v>
      </c>
      <c r="CN13" s="17">
        <f t="shared" si="12"/>
        <v>5</v>
      </c>
      <c r="CO13" s="17">
        <f t="shared" si="13"/>
        <v>11</v>
      </c>
      <c r="CP13" s="17">
        <f t="shared" si="14"/>
        <v>8</v>
      </c>
      <c r="CQ13" s="17">
        <f t="shared" si="15"/>
        <v>8</v>
      </c>
      <c r="CR13" s="17">
        <f t="shared" si="16"/>
        <v>11</v>
      </c>
      <c r="CS13" s="17">
        <f t="shared" si="17"/>
        <v>3</v>
      </c>
      <c r="CT13" s="17">
        <f t="shared" si="18"/>
        <v>1</v>
      </c>
      <c r="CU13" s="17">
        <f t="shared" si="19"/>
        <v>4</v>
      </c>
      <c r="CV13" s="17">
        <f t="shared" si="20"/>
        <v>8</v>
      </c>
      <c r="CW13" s="17">
        <f t="shared" si="21"/>
        <v>-2</v>
      </c>
      <c r="CX13" s="17">
        <f t="shared" si="22"/>
        <v>5</v>
      </c>
      <c r="CY13" s="17">
        <f t="shared" si="22"/>
        <v>-367</v>
      </c>
      <c r="CZ13" s="17">
        <f t="shared" si="22"/>
        <v>0</v>
      </c>
      <c r="DA13" s="17">
        <f t="shared" si="22"/>
        <v>0</v>
      </c>
      <c r="DB13" s="17">
        <f t="shared" si="22"/>
        <v>0</v>
      </c>
      <c r="DC13" s="17">
        <f t="shared" si="22"/>
        <v>0</v>
      </c>
      <c r="DD13" s="17">
        <f t="shared" si="22"/>
        <v>0</v>
      </c>
      <c r="DE13" s="17">
        <f t="shared" si="22"/>
        <v>0</v>
      </c>
      <c r="DF13" s="17">
        <f t="shared" si="22"/>
        <v>0</v>
      </c>
      <c r="DG13" s="17">
        <f t="shared" si="22"/>
        <v>0</v>
      </c>
      <c r="DH13" s="17">
        <f t="shared" si="22"/>
        <v>0</v>
      </c>
      <c r="DI13" s="17">
        <f t="shared" si="22"/>
        <v>0</v>
      </c>
    </row>
    <row r="14" spans="1:113" ht="15.75" x14ac:dyDescent="0.25">
      <c r="A14" s="4" t="s">
        <v>17</v>
      </c>
      <c r="B14" s="6" t="s">
        <v>18</v>
      </c>
      <c r="H14" s="90">
        <f>'Combined data'!H14</f>
        <v>184</v>
      </c>
      <c r="I14" s="90">
        <f>'Combined data'!I14-'Combined data'!H14</f>
        <v>13</v>
      </c>
      <c r="J14" s="90">
        <f>'Combined data'!J14-'Combined data'!I14</f>
        <v>7</v>
      </c>
      <c r="K14" s="90">
        <f>'Combined data'!K14-'Combined data'!J14</f>
        <v>12</v>
      </c>
      <c r="L14" s="90">
        <f>'Combined data'!L14-'Combined data'!K14</f>
        <v>4</v>
      </c>
      <c r="M14" s="90">
        <f>'Combined data'!M14-'Combined data'!L14</f>
        <v>2</v>
      </c>
      <c r="N14" s="90">
        <f>'Combined data'!N14-'Combined data'!M14</f>
        <v>10</v>
      </c>
      <c r="O14" s="90">
        <f>'Combined data'!O14-'Combined data'!N14</f>
        <v>2</v>
      </c>
      <c r="P14" s="90">
        <f>'Combined data'!P14-'Combined data'!O14</f>
        <v>4</v>
      </c>
      <c r="Q14" s="90">
        <f>'Combined data'!Q14-'Combined data'!P14</f>
        <v>4</v>
      </c>
      <c r="R14" s="90">
        <f>'Combined data'!R14-'Combined data'!Q14</f>
        <v>6</v>
      </c>
      <c r="S14" s="90">
        <f>'Combined data'!S14-'Combined data'!R14</f>
        <v>9</v>
      </c>
      <c r="T14" s="90">
        <f>'Combined data'!T14-'Combined data'!S14</f>
        <v>8</v>
      </c>
      <c r="U14" s="90">
        <f>'Combined data'!U14-'Combined data'!T14</f>
        <v>12</v>
      </c>
      <c r="V14" s="90">
        <f>'Combined data'!V14-'Combined data'!U14</f>
        <v>5</v>
      </c>
      <c r="W14" s="90">
        <f>'Combined data'!W14-'Combined data'!V14</f>
        <v>2</v>
      </c>
      <c r="X14" s="90">
        <f>'Combined data'!X14-'Combined data'!W14</f>
        <v>3</v>
      </c>
      <c r="Y14" s="90">
        <f>'Combined data'!Y14-'Combined data'!X14</f>
        <v>9</v>
      </c>
      <c r="Z14" s="90">
        <f>'Combined data'!Z14-'Combined data'!Y14</f>
        <v>4</v>
      </c>
      <c r="AA14" s="90">
        <f>'Combined data'!AA14-'Combined data'!Z14</f>
        <v>4</v>
      </c>
      <c r="AB14" s="90">
        <f>'Combined data'!AB14-'Combined data'!AA14</f>
        <v>0</v>
      </c>
      <c r="AC14" s="90">
        <f>'Combined data'!AC14-'Combined data'!AB14</f>
        <v>1</v>
      </c>
      <c r="AD14" s="90">
        <f>'Combined data'!AD14-'Combined data'!AC14</f>
        <v>5</v>
      </c>
      <c r="AE14" s="90">
        <f>'Combined data'!AE14-'Combined data'!AD14</f>
        <v>-310</v>
      </c>
      <c r="AF14" s="90">
        <f>'Combined data'!AF14-'Combined data'!AE14</f>
        <v>0</v>
      </c>
      <c r="AG14" s="90">
        <f>'Combined data'!AG14-'Combined data'!AF14</f>
        <v>0</v>
      </c>
      <c r="AH14" s="90">
        <f>'Combined data'!AH14-'Combined data'!AG14</f>
        <v>0</v>
      </c>
      <c r="AI14" s="90">
        <f>'Combined data'!AI14-'Combined data'!AH14</f>
        <v>0</v>
      </c>
      <c r="AJ14" s="90">
        <f>'Combined data'!AJ14-'Combined data'!AI14</f>
        <v>0</v>
      </c>
      <c r="AK14" s="90">
        <f>'Combined data'!AK14-'Combined data'!AJ14</f>
        <v>0</v>
      </c>
      <c r="AL14" s="90">
        <f>'Combined data'!AL14-'Combined data'!AK14</f>
        <v>0</v>
      </c>
      <c r="AM14" s="90">
        <f>'Combined data'!AM14-'Combined data'!AL14</f>
        <v>0</v>
      </c>
      <c r="AN14" s="90">
        <f>'Combined data'!AN14-'Combined data'!AM14</f>
        <v>0</v>
      </c>
      <c r="AO14" s="90">
        <f>'Combined data'!AO14-'Combined data'!AN14</f>
        <v>0</v>
      </c>
      <c r="AP14" s="56">
        <f t="shared" si="23"/>
        <v>0</v>
      </c>
      <c r="AQ14" s="113"/>
      <c r="AR14" s="17">
        <f>'Combined data'!AR14</f>
        <v>92</v>
      </c>
      <c r="AS14" s="17">
        <f>'Combined data'!AS14-'Combined data'!AR14</f>
        <v>14</v>
      </c>
      <c r="AT14" s="17">
        <f>'Combined data'!AT14-'Combined data'!AS14</f>
        <v>8</v>
      </c>
      <c r="AU14" s="17">
        <f>'Combined data'!AU14-'Combined data'!AT14</f>
        <v>26</v>
      </c>
      <c r="AV14" s="17">
        <f>'Combined data'!AV14-'Combined data'!AU14</f>
        <v>12</v>
      </c>
      <c r="AW14" s="17">
        <f>'Combined data'!AW14-'Combined data'!AV14</f>
        <v>10</v>
      </c>
      <c r="AX14" s="17">
        <f>'Combined data'!AX14-'Combined data'!AW14</f>
        <v>10</v>
      </c>
      <c r="AY14" s="17">
        <f>'Combined data'!AY14-'Combined data'!AX14</f>
        <v>6</v>
      </c>
      <c r="AZ14" s="17">
        <f>'Combined data'!AZ14-'Combined data'!AY14</f>
        <v>3</v>
      </c>
      <c r="BA14" s="17">
        <f>'Combined data'!BA14-'Combined data'!AZ14</f>
        <v>11</v>
      </c>
      <c r="BB14" s="17">
        <f>'Combined data'!BB14-'Combined data'!BA14</f>
        <v>5</v>
      </c>
      <c r="BC14" s="17">
        <f>'Combined data'!BC14-'Combined data'!BB14</f>
        <v>3</v>
      </c>
      <c r="BD14" s="17">
        <f>'Combined data'!BD14-'Combined data'!BC14</f>
        <v>4</v>
      </c>
      <c r="BE14" s="17">
        <f>'Combined data'!BE14-'Combined data'!BD14</f>
        <v>10</v>
      </c>
      <c r="BF14" s="17">
        <f>'Combined data'!BF14-'Combined data'!BE14</f>
        <v>0</v>
      </c>
      <c r="BG14" s="17">
        <f>'Combined data'!BG14-'Combined data'!BF14</f>
        <v>6</v>
      </c>
      <c r="BH14" s="17">
        <f>'Combined data'!BH14-'Combined data'!BG14</f>
        <v>4</v>
      </c>
      <c r="BI14" s="17">
        <f>'Combined data'!BI14-'Combined data'!BH14</f>
        <v>9</v>
      </c>
      <c r="BJ14" s="17">
        <f>'Combined data'!BJ14-'Combined data'!BI14</f>
        <v>8</v>
      </c>
      <c r="BK14" s="17">
        <f>'Combined data'!BK14-'Combined data'!BJ14</f>
        <v>2</v>
      </c>
      <c r="BL14" s="17">
        <f>'Combined data'!BL14-'Combined data'!BK14</f>
        <v>8</v>
      </c>
      <c r="BM14" s="17">
        <f>'Combined data'!BM14-'Combined data'!BL14</f>
        <v>3</v>
      </c>
      <c r="BN14" s="17">
        <f>'Combined data'!BN14-'Combined data'!BM14</f>
        <v>0</v>
      </c>
      <c r="BO14" s="17">
        <f>'Combined data'!BO14-'Combined data'!BN14</f>
        <v>-254</v>
      </c>
      <c r="BP14" s="17">
        <f>'Combined data'!BP14-'Combined data'!BO14</f>
        <v>0</v>
      </c>
      <c r="BQ14" s="17">
        <f>'Combined data'!BQ14-'Combined data'!BP14</f>
        <v>0</v>
      </c>
      <c r="BR14" s="17">
        <f>'Combined data'!BR14-'Combined data'!BQ14</f>
        <v>0</v>
      </c>
      <c r="BS14" s="17">
        <f>'Combined data'!BS14-'Combined data'!BR14</f>
        <v>0</v>
      </c>
      <c r="BT14" s="17">
        <f>'Combined data'!BT14-'Combined data'!BS14</f>
        <v>0</v>
      </c>
      <c r="BU14" s="17">
        <f>'Combined data'!BU14-'Combined data'!BT14</f>
        <v>0</v>
      </c>
      <c r="BV14" s="17">
        <f>'Combined data'!BV14-'Combined data'!BU14</f>
        <v>0</v>
      </c>
      <c r="BW14" s="17">
        <f>'Combined data'!BW14-'Combined data'!BV14</f>
        <v>0</v>
      </c>
      <c r="BX14" s="17">
        <f>'Combined data'!BX14-'Combined data'!BW14</f>
        <v>0</v>
      </c>
      <c r="BY14" s="17">
        <f>'Combined data'!BY14-'Combined data'!BX14</f>
        <v>0</v>
      </c>
      <c r="CB14" s="17">
        <f t="shared" si="0"/>
        <v>92</v>
      </c>
      <c r="CC14" s="17">
        <f t="shared" si="1"/>
        <v>14</v>
      </c>
      <c r="CD14" s="17">
        <f t="shared" si="2"/>
        <v>8</v>
      </c>
      <c r="CE14" s="17">
        <f t="shared" si="3"/>
        <v>26</v>
      </c>
      <c r="CF14" s="17">
        <f t="shared" si="4"/>
        <v>12</v>
      </c>
      <c r="CG14" s="17">
        <f t="shared" si="5"/>
        <v>10</v>
      </c>
      <c r="CH14" s="17">
        <f t="shared" si="6"/>
        <v>10</v>
      </c>
      <c r="CI14" s="17">
        <f t="shared" si="7"/>
        <v>6</v>
      </c>
      <c r="CJ14" s="17">
        <f t="shared" si="8"/>
        <v>3</v>
      </c>
      <c r="CK14" s="17">
        <f t="shared" si="9"/>
        <v>11</v>
      </c>
      <c r="CL14" s="17">
        <f t="shared" si="10"/>
        <v>5</v>
      </c>
      <c r="CM14" s="17">
        <f t="shared" si="11"/>
        <v>3</v>
      </c>
      <c r="CN14" s="17">
        <f t="shared" si="12"/>
        <v>4</v>
      </c>
      <c r="CO14" s="17">
        <f t="shared" si="13"/>
        <v>10</v>
      </c>
      <c r="CP14" s="17">
        <f t="shared" si="14"/>
        <v>0</v>
      </c>
      <c r="CQ14" s="17">
        <f t="shared" si="15"/>
        <v>6</v>
      </c>
      <c r="CR14" s="17">
        <f t="shared" si="16"/>
        <v>4</v>
      </c>
      <c r="CS14" s="17">
        <f t="shared" si="17"/>
        <v>9</v>
      </c>
      <c r="CT14" s="17">
        <f t="shared" si="18"/>
        <v>8</v>
      </c>
      <c r="CU14" s="17">
        <f t="shared" si="19"/>
        <v>2</v>
      </c>
      <c r="CV14" s="17">
        <f t="shared" si="20"/>
        <v>8</v>
      </c>
      <c r="CW14" s="17">
        <f t="shared" si="21"/>
        <v>3</v>
      </c>
      <c r="CX14" s="17">
        <f t="shared" si="22"/>
        <v>0</v>
      </c>
      <c r="CY14" s="17">
        <f t="shared" si="22"/>
        <v>-254</v>
      </c>
      <c r="CZ14" s="17">
        <f t="shared" si="22"/>
        <v>0</v>
      </c>
      <c r="DA14" s="17">
        <f t="shared" si="22"/>
        <v>0</v>
      </c>
      <c r="DB14" s="17">
        <f t="shared" si="22"/>
        <v>0</v>
      </c>
      <c r="DC14" s="17">
        <f t="shared" si="22"/>
        <v>0</v>
      </c>
      <c r="DD14" s="17">
        <f t="shared" si="22"/>
        <v>0</v>
      </c>
      <c r="DE14" s="17">
        <f t="shared" si="22"/>
        <v>0</v>
      </c>
      <c r="DF14" s="17">
        <f t="shared" si="22"/>
        <v>0</v>
      </c>
      <c r="DG14" s="17">
        <f t="shared" si="22"/>
        <v>0</v>
      </c>
      <c r="DH14" s="17">
        <f t="shared" si="22"/>
        <v>0</v>
      </c>
      <c r="DI14" s="17">
        <f t="shared" si="22"/>
        <v>0</v>
      </c>
    </row>
    <row r="15" spans="1:113" ht="15.75" x14ac:dyDescent="0.25">
      <c r="A15" s="4" t="s">
        <v>19</v>
      </c>
      <c r="B15" s="6" t="s">
        <v>20</v>
      </c>
      <c r="H15" s="90">
        <f>'Combined data'!H15</f>
        <v>414</v>
      </c>
      <c r="I15" s="90">
        <f>'Combined data'!I15-'Combined data'!H15</f>
        <v>34</v>
      </c>
      <c r="J15" s="90">
        <f>'Combined data'!J15-'Combined data'!I15</f>
        <v>36</v>
      </c>
      <c r="K15" s="90">
        <f>'Combined data'!K15-'Combined data'!J15</f>
        <v>36</v>
      </c>
      <c r="L15" s="90">
        <f>'Combined data'!L15-'Combined data'!K15</f>
        <v>28</v>
      </c>
      <c r="M15" s="90">
        <f>'Combined data'!M15-'Combined data'!L15</f>
        <v>10</v>
      </c>
      <c r="N15" s="90">
        <f>'Combined data'!N15-'Combined data'!M15</f>
        <v>36</v>
      </c>
      <c r="O15" s="90">
        <f>'Combined data'!O15-'Combined data'!N15</f>
        <v>28</v>
      </c>
      <c r="P15" s="90">
        <f>'Combined data'!P15-'Combined data'!O15</f>
        <v>19</v>
      </c>
      <c r="Q15" s="90">
        <f>'Combined data'!Q15-'Combined data'!P15</f>
        <v>19</v>
      </c>
      <c r="R15" s="90">
        <f>'Combined data'!R15-'Combined data'!Q15</f>
        <v>14</v>
      </c>
      <c r="S15" s="90">
        <f>'Combined data'!S15-'Combined data'!R15</f>
        <v>14</v>
      </c>
      <c r="T15" s="90">
        <f>'Combined data'!T15-'Combined data'!S15</f>
        <v>27</v>
      </c>
      <c r="U15" s="90">
        <f>'Combined data'!U15-'Combined data'!T15</f>
        <v>12</v>
      </c>
      <c r="V15" s="90">
        <f>'Combined data'!V15-'Combined data'!U15</f>
        <v>12</v>
      </c>
      <c r="W15" s="90">
        <f>'Combined data'!W15-'Combined data'!V15</f>
        <v>12</v>
      </c>
      <c r="X15" s="90">
        <f>'Combined data'!X15-'Combined data'!W15</f>
        <v>10</v>
      </c>
      <c r="Y15" s="90">
        <f>'Combined data'!Y15-'Combined data'!X15</f>
        <v>12</v>
      </c>
      <c r="Z15" s="90">
        <f>'Combined data'!Z15-'Combined data'!Y15</f>
        <v>18</v>
      </c>
      <c r="AA15" s="90">
        <f>'Combined data'!AA15-'Combined data'!Z15</f>
        <v>13</v>
      </c>
      <c r="AB15" s="90">
        <f>'Combined data'!AB15-'Combined data'!AA15</f>
        <v>2</v>
      </c>
      <c r="AC15" s="90">
        <f>'Combined data'!AC15-'Combined data'!AB15</f>
        <v>7</v>
      </c>
      <c r="AD15" s="90">
        <f>'Combined data'!AD15-'Combined data'!AC15</f>
        <v>16</v>
      </c>
      <c r="AE15" s="90">
        <f>'Combined data'!AE15-'Combined data'!AD15</f>
        <v>-829</v>
      </c>
      <c r="AF15" s="90">
        <f>'Combined data'!AF15-'Combined data'!AE15</f>
        <v>0</v>
      </c>
      <c r="AG15" s="90">
        <f>'Combined data'!AG15-'Combined data'!AF15</f>
        <v>0</v>
      </c>
      <c r="AH15" s="90">
        <f>'Combined data'!AH15-'Combined data'!AG15</f>
        <v>0</v>
      </c>
      <c r="AI15" s="90">
        <f>'Combined data'!AI15-'Combined data'!AH15</f>
        <v>0</v>
      </c>
      <c r="AJ15" s="90">
        <f>'Combined data'!AJ15-'Combined data'!AI15</f>
        <v>0</v>
      </c>
      <c r="AK15" s="90">
        <f>'Combined data'!AK15-'Combined data'!AJ15</f>
        <v>0</v>
      </c>
      <c r="AL15" s="90">
        <f>'Combined data'!AL15-'Combined data'!AK15</f>
        <v>0</v>
      </c>
      <c r="AM15" s="90">
        <f>'Combined data'!AM15-'Combined data'!AL15</f>
        <v>0</v>
      </c>
      <c r="AN15" s="90">
        <f>'Combined data'!AN15-'Combined data'!AM15</f>
        <v>0</v>
      </c>
      <c r="AO15" s="90">
        <f>'Combined data'!AO15-'Combined data'!AN15</f>
        <v>0</v>
      </c>
      <c r="AP15" s="56">
        <f t="shared" si="23"/>
        <v>0</v>
      </c>
      <c r="AQ15" s="113"/>
      <c r="AR15" s="17">
        <f>'Combined data'!AR15</f>
        <v>183</v>
      </c>
      <c r="AS15" s="17">
        <f>'Combined data'!AS15-'Combined data'!AR15</f>
        <v>39</v>
      </c>
      <c r="AT15" s="17">
        <f>'Combined data'!AT15-'Combined data'!AS15</f>
        <v>23</v>
      </c>
      <c r="AU15" s="17">
        <f>'Combined data'!AU15-'Combined data'!AT15</f>
        <v>44</v>
      </c>
      <c r="AV15" s="17">
        <f>'Combined data'!AV15-'Combined data'!AU15</f>
        <v>24</v>
      </c>
      <c r="AW15" s="17">
        <f>'Combined data'!AW15-'Combined data'!AV15</f>
        <v>29</v>
      </c>
      <c r="AX15" s="17">
        <f>'Combined data'!AX15-'Combined data'!AW15</f>
        <v>53</v>
      </c>
      <c r="AY15" s="17">
        <f>'Combined data'!AY15-'Combined data'!AX15</f>
        <v>15</v>
      </c>
      <c r="AZ15" s="17">
        <f>'Combined data'!AZ15-'Combined data'!AY15</f>
        <v>20</v>
      </c>
      <c r="BA15" s="17">
        <f>'Combined data'!BA15-'Combined data'!AZ15</f>
        <v>20</v>
      </c>
      <c r="BB15" s="17">
        <f>'Combined data'!BB15-'Combined data'!BA15</f>
        <v>6</v>
      </c>
      <c r="BC15" s="17">
        <f>'Combined data'!BC15-'Combined data'!BB15</f>
        <v>27</v>
      </c>
      <c r="BD15" s="17">
        <f>'Combined data'!BD15-'Combined data'!BC15</f>
        <v>10</v>
      </c>
      <c r="BE15" s="17">
        <f>'Combined data'!BE15-'Combined data'!BD15</f>
        <v>15</v>
      </c>
      <c r="BF15" s="17">
        <f>'Combined data'!BF15-'Combined data'!BE15</f>
        <v>15</v>
      </c>
      <c r="BG15" s="17">
        <f>'Combined data'!BG15-'Combined data'!BF15</f>
        <v>17</v>
      </c>
      <c r="BH15" s="17">
        <f>'Combined data'!BH15-'Combined data'!BG15</f>
        <v>16</v>
      </c>
      <c r="BI15" s="17">
        <f>'Combined data'!BI15-'Combined data'!BH15</f>
        <v>11</v>
      </c>
      <c r="BJ15" s="17">
        <f>'Combined data'!BJ15-'Combined data'!BI15</f>
        <v>19</v>
      </c>
      <c r="BK15" s="17">
        <f>'Combined data'!BK15-'Combined data'!BJ15</f>
        <v>18</v>
      </c>
      <c r="BL15" s="17">
        <f>'Combined data'!BL15-'Combined data'!BK15</f>
        <v>13</v>
      </c>
      <c r="BM15" s="17">
        <f>'Combined data'!BM15-'Combined data'!BL15</f>
        <v>10</v>
      </c>
      <c r="BN15" s="17">
        <f>'Combined data'!BN15-'Combined data'!BM15</f>
        <v>14</v>
      </c>
      <c r="BO15" s="17">
        <f>'Combined data'!BO15-'Combined data'!BN15</f>
        <v>-641</v>
      </c>
      <c r="BP15" s="17">
        <f>'Combined data'!BP15-'Combined data'!BO15</f>
        <v>0</v>
      </c>
      <c r="BQ15" s="17">
        <f>'Combined data'!BQ15-'Combined data'!BP15</f>
        <v>0</v>
      </c>
      <c r="BR15" s="17">
        <f>'Combined data'!BR15-'Combined data'!BQ15</f>
        <v>0</v>
      </c>
      <c r="BS15" s="17">
        <f>'Combined data'!BS15-'Combined data'!BR15</f>
        <v>0</v>
      </c>
      <c r="BT15" s="17">
        <f>'Combined data'!BT15-'Combined data'!BS15</f>
        <v>0</v>
      </c>
      <c r="BU15" s="17">
        <f>'Combined data'!BU15-'Combined data'!BT15</f>
        <v>0</v>
      </c>
      <c r="BV15" s="17">
        <f>'Combined data'!BV15-'Combined data'!BU15</f>
        <v>0</v>
      </c>
      <c r="BW15" s="17">
        <f>'Combined data'!BW15-'Combined data'!BV15</f>
        <v>0</v>
      </c>
      <c r="BX15" s="17">
        <f>'Combined data'!BX15-'Combined data'!BW15</f>
        <v>0</v>
      </c>
      <c r="BY15" s="17">
        <f>'Combined data'!BY15-'Combined data'!BX15</f>
        <v>0</v>
      </c>
      <c r="CB15" s="17">
        <f t="shared" si="0"/>
        <v>183</v>
      </c>
      <c r="CC15" s="17">
        <f t="shared" si="1"/>
        <v>39</v>
      </c>
      <c r="CD15" s="17">
        <f t="shared" si="2"/>
        <v>23</v>
      </c>
      <c r="CE15" s="17">
        <f t="shared" si="3"/>
        <v>44</v>
      </c>
      <c r="CF15" s="17">
        <f t="shared" si="4"/>
        <v>24</v>
      </c>
      <c r="CG15" s="17">
        <f t="shared" si="5"/>
        <v>29</v>
      </c>
      <c r="CH15" s="17">
        <f t="shared" si="6"/>
        <v>53</v>
      </c>
      <c r="CI15" s="17">
        <f t="shared" si="7"/>
        <v>15</v>
      </c>
      <c r="CJ15" s="17">
        <f t="shared" si="8"/>
        <v>20</v>
      </c>
      <c r="CK15" s="17">
        <f t="shared" si="9"/>
        <v>20</v>
      </c>
      <c r="CL15" s="17">
        <f t="shared" si="10"/>
        <v>6</v>
      </c>
      <c r="CM15" s="17">
        <f t="shared" si="11"/>
        <v>27</v>
      </c>
      <c r="CN15" s="17">
        <f t="shared" si="12"/>
        <v>10</v>
      </c>
      <c r="CO15" s="17">
        <f t="shared" si="13"/>
        <v>15</v>
      </c>
      <c r="CP15" s="17">
        <f t="shared" si="14"/>
        <v>15</v>
      </c>
      <c r="CQ15" s="17">
        <f t="shared" si="15"/>
        <v>17</v>
      </c>
      <c r="CR15" s="17">
        <f t="shared" si="16"/>
        <v>16</v>
      </c>
      <c r="CS15" s="17">
        <f t="shared" si="17"/>
        <v>11</v>
      </c>
      <c r="CT15" s="17">
        <f t="shared" si="18"/>
        <v>19</v>
      </c>
      <c r="CU15" s="17">
        <f t="shared" si="19"/>
        <v>18</v>
      </c>
      <c r="CV15" s="17">
        <f t="shared" si="20"/>
        <v>13</v>
      </c>
      <c r="CW15" s="17">
        <f t="shared" si="21"/>
        <v>10</v>
      </c>
      <c r="CX15" s="17">
        <f t="shared" si="22"/>
        <v>14</v>
      </c>
      <c r="CY15" s="17">
        <f t="shared" si="22"/>
        <v>-641</v>
      </c>
      <c r="CZ15" s="17">
        <f t="shared" si="22"/>
        <v>0</v>
      </c>
      <c r="DA15" s="17">
        <f t="shared" si="22"/>
        <v>0</v>
      </c>
      <c r="DB15" s="17">
        <f t="shared" si="22"/>
        <v>0</v>
      </c>
      <c r="DC15" s="17">
        <f t="shared" si="22"/>
        <v>0</v>
      </c>
      <c r="DD15" s="17">
        <f t="shared" si="22"/>
        <v>0</v>
      </c>
      <c r="DE15" s="17">
        <f t="shared" si="22"/>
        <v>0</v>
      </c>
      <c r="DF15" s="17">
        <f t="shared" si="22"/>
        <v>0</v>
      </c>
      <c r="DG15" s="17">
        <f t="shared" si="22"/>
        <v>0</v>
      </c>
      <c r="DH15" s="17">
        <f t="shared" si="22"/>
        <v>0</v>
      </c>
      <c r="DI15" s="17">
        <f t="shared" si="22"/>
        <v>0</v>
      </c>
    </row>
    <row r="16" spans="1:113" ht="15.75" x14ac:dyDescent="0.25">
      <c r="A16" s="4" t="s">
        <v>21</v>
      </c>
      <c r="B16" s="6" t="s">
        <v>22</v>
      </c>
      <c r="H16" s="90">
        <f>'Combined data'!H16</f>
        <v>36</v>
      </c>
      <c r="I16" s="90">
        <f>'Combined data'!I16-'Combined data'!H16</f>
        <v>6</v>
      </c>
      <c r="J16" s="90">
        <f>'Combined data'!J16-'Combined data'!I16</f>
        <v>-1</v>
      </c>
      <c r="K16" s="90">
        <f>'Combined data'!K16-'Combined data'!J16</f>
        <v>4</v>
      </c>
      <c r="L16" s="90">
        <f>'Combined data'!L16-'Combined data'!K16</f>
        <v>4</v>
      </c>
      <c r="M16" s="90">
        <f>'Combined data'!M16-'Combined data'!L16</f>
        <v>1</v>
      </c>
      <c r="N16" s="90">
        <f>'Combined data'!N16-'Combined data'!M16</f>
        <v>3</v>
      </c>
      <c r="O16" s="90">
        <f>'Combined data'!O16-'Combined data'!N16</f>
        <v>1</v>
      </c>
      <c r="P16" s="90">
        <f>'Combined data'!P16-'Combined data'!O16</f>
        <v>4</v>
      </c>
      <c r="Q16" s="90">
        <f>'Combined data'!Q16-'Combined data'!P16</f>
        <v>1</v>
      </c>
      <c r="R16" s="90">
        <f>'Combined data'!R16-'Combined data'!Q16</f>
        <v>1</v>
      </c>
      <c r="S16" s="90">
        <f>'Combined data'!S16-'Combined data'!R16</f>
        <v>-1</v>
      </c>
      <c r="T16" s="90">
        <f>'Combined data'!T16-'Combined data'!S16</f>
        <v>1</v>
      </c>
      <c r="U16" s="90">
        <f>'Combined data'!U16-'Combined data'!T16</f>
        <v>1</v>
      </c>
      <c r="V16" s="90">
        <f>'Combined data'!V16-'Combined data'!U16</f>
        <v>1</v>
      </c>
      <c r="W16" s="90">
        <f>'Combined data'!W16-'Combined data'!V16</f>
        <v>4</v>
      </c>
      <c r="X16" s="90">
        <f>'Combined data'!X16-'Combined data'!W16</f>
        <v>0</v>
      </c>
      <c r="Y16" s="90">
        <f>'Combined data'!Y16-'Combined data'!X16</f>
        <v>3</v>
      </c>
      <c r="Z16" s="90">
        <f>'Combined data'!Z16-'Combined data'!Y16</f>
        <v>3</v>
      </c>
      <c r="AA16" s="90">
        <f>'Combined data'!AA16-'Combined data'!Z16</f>
        <v>4</v>
      </c>
      <c r="AB16" s="90">
        <f>'Combined data'!AB16-'Combined data'!AA16</f>
        <v>0</v>
      </c>
      <c r="AC16" s="90">
        <f>'Combined data'!AC16-'Combined data'!AB16</f>
        <v>0</v>
      </c>
      <c r="AD16" s="90">
        <f>'Combined data'!AD16-'Combined data'!AC16</f>
        <v>1</v>
      </c>
      <c r="AE16" s="90">
        <f>'Combined data'!AE16-'Combined data'!AD16</f>
        <v>-77</v>
      </c>
      <c r="AF16" s="90">
        <f>'Combined data'!AF16-'Combined data'!AE16</f>
        <v>0</v>
      </c>
      <c r="AG16" s="90">
        <f>'Combined data'!AG16-'Combined data'!AF16</f>
        <v>0</v>
      </c>
      <c r="AH16" s="90">
        <f>'Combined data'!AH16-'Combined data'!AG16</f>
        <v>0</v>
      </c>
      <c r="AI16" s="90">
        <f>'Combined data'!AI16-'Combined data'!AH16</f>
        <v>0</v>
      </c>
      <c r="AJ16" s="90">
        <f>'Combined data'!AJ16-'Combined data'!AI16</f>
        <v>0</v>
      </c>
      <c r="AK16" s="90">
        <f>'Combined data'!AK16-'Combined data'!AJ16</f>
        <v>0</v>
      </c>
      <c r="AL16" s="90">
        <f>'Combined data'!AL16-'Combined data'!AK16</f>
        <v>0</v>
      </c>
      <c r="AM16" s="90">
        <f>'Combined data'!AM16-'Combined data'!AL16</f>
        <v>0</v>
      </c>
      <c r="AN16" s="90">
        <f>'Combined data'!AN16-'Combined data'!AM16</f>
        <v>0</v>
      </c>
      <c r="AO16" s="90">
        <f>'Combined data'!AO16-'Combined data'!AN16</f>
        <v>0</v>
      </c>
      <c r="AP16" s="56">
        <f t="shared" si="23"/>
        <v>0</v>
      </c>
      <c r="AQ16" s="113"/>
      <c r="AR16" s="17">
        <f>'Combined data'!AR16</f>
        <v>14</v>
      </c>
      <c r="AS16" s="17">
        <f>'Combined data'!AS16-'Combined data'!AR16</f>
        <v>11</v>
      </c>
      <c r="AT16" s="17">
        <f>'Combined data'!AT16-'Combined data'!AS16</f>
        <v>0</v>
      </c>
      <c r="AU16" s="17">
        <f>'Combined data'!AU16-'Combined data'!AT16</f>
        <v>2</v>
      </c>
      <c r="AV16" s="17">
        <f>'Combined data'!AV16-'Combined data'!AU16</f>
        <v>3</v>
      </c>
      <c r="AW16" s="17">
        <f>'Combined data'!AW16-'Combined data'!AV16</f>
        <v>0</v>
      </c>
      <c r="AX16" s="17">
        <f>'Combined data'!AX16-'Combined data'!AW16</f>
        <v>10</v>
      </c>
      <c r="AY16" s="17">
        <f>'Combined data'!AY16-'Combined data'!AX16</f>
        <v>0</v>
      </c>
      <c r="AZ16" s="17">
        <f>'Combined data'!AZ16-'Combined data'!AY16</f>
        <v>0</v>
      </c>
      <c r="BA16" s="17">
        <f>'Combined data'!BA16-'Combined data'!AZ16</f>
        <v>0</v>
      </c>
      <c r="BB16" s="17">
        <f>'Combined data'!BB16-'Combined data'!BA16</f>
        <v>5</v>
      </c>
      <c r="BC16" s="17">
        <f>'Combined data'!BC16-'Combined data'!BB16</f>
        <v>-8</v>
      </c>
      <c r="BD16" s="17">
        <f>'Combined data'!BD16-'Combined data'!BC16</f>
        <v>8</v>
      </c>
      <c r="BE16" s="17">
        <f>'Combined data'!BE16-'Combined data'!BD16</f>
        <v>0</v>
      </c>
      <c r="BF16" s="17">
        <f>'Combined data'!BF16-'Combined data'!BE16</f>
        <v>0</v>
      </c>
      <c r="BG16" s="17">
        <f>'Combined data'!BG16-'Combined data'!BF16</f>
        <v>0</v>
      </c>
      <c r="BH16" s="17">
        <f>'Combined data'!BH16-'Combined data'!BG16</f>
        <v>0</v>
      </c>
      <c r="BI16" s="17">
        <f>'Combined data'!BI16-'Combined data'!BH16</f>
        <v>0</v>
      </c>
      <c r="BJ16" s="17">
        <f>'Combined data'!BJ16-'Combined data'!BI16</f>
        <v>5</v>
      </c>
      <c r="BK16" s="17">
        <f>'Combined data'!BK16-'Combined data'!BJ16</f>
        <v>0</v>
      </c>
      <c r="BL16" s="17">
        <f>'Combined data'!BL16-'Combined data'!BK16</f>
        <v>5</v>
      </c>
      <c r="BM16" s="17">
        <f>'Combined data'!BM16-'Combined data'!BL16</f>
        <v>-5</v>
      </c>
      <c r="BN16" s="17">
        <f>'Combined data'!BN16-'Combined data'!BM16</f>
        <v>2</v>
      </c>
      <c r="BO16" s="17">
        <f>'Combined data'!BO16-'Combined data'!BN16</f>
        <v>-52</v>
      </c>
      <c r="BP16" s="17">
        <f>'Combined data'!BP16-'Combined data'!BO16</f>
        <v>0</v>
      </c>
      <c r="BQ16" s="17">
        <f>'Combined data'!BQ16-'Combined data'!BP16</f>
        <v>0</v>
      </c>
      <c r="BR16" s="17">
        <f>'Combined data'!BR16-'Combined data'!BQ16</f>
        <v>0</v>
      </c>
      <c r="BS16" s="17">
        <f>'Combined data'!BS16-'Combined data'!BR16</f>
        <v>0</v>
      </c>
      <c r="BT16" s="17">
        <f>'Combined data'!BT16-'Combined data'!BS16</f>
        <v>0</v>
      </c>
      <c r="BU16" s="17">
        <f>'Combined data'!BU16-'Combined data'!BT16</f>
        <v>0</v>
      </c>
      <c r="BV16" s="17">
        <f>'Combined data'!BV16-'Combined data'!BU16</f>
        <v>0</v>
      </c>
      <c r="BW16" s="17">
        <f>'Combined data'!BW16-'Combined data'!BV16</f>
        <v>0</v>
      </c>
      <c r="BX16" s="17">
        <f>'Combined data'!BX16-'Combined data'!BW16</f>
        <v>0</v>
      </c>
      <c r="BY16" s="17">
        <f>'Combined data'!BY16-'Combined data'!BX16</f>
        <v>0</v>
      </c>
      <c r="CB16" s="17">
        <f t="shared" si="0"/>
        <v>14</v>
      </c>
      <c r="CC16" s="17">
        <f t="shared" si="1"/>
        <v>11</v>
      </c>
      <c r="CD16" s="17">
        <f t="shared" si="2"/>
        <v>0</v>
      </c>
      <c r="CE16" s="17">
        <f t="shared" si="3"/>
        <v>2</v>
      </c>
      <c r="CF16" s="17">
        <f t="shared" si="4"/>
        <v>3</v>
      </c>
      <c r="CG16" s="17">
        <f t="shared" si="5"/>
        <v>0</v>
      </c>
      <c r="CH16" s="17">
        <f t="shared" si="6"/>
        <v>10</v>
      </c>
      <c r="CI16" s="17">
        <f t="shared" si="7"/>
        <v>0</v>
      </c>
      <c r="CJ16" s="17">
        <f t="shared" si="8"/>
        <v>0</v>
      </c>
      <c r="CK16" s="17">
        <f t="shared" si="9"/>
        <v>0</v>
      </c>
      <c r="CL16" s="17">
        <f t="shared" si="10"/>
        <v>5</v>
      </c>
      <c r="CM16" s="17">
        <f t="shared" si="11"/>
        <v>-8</v>
      </c>
      <c r="CN16" s="17">
        <f t="shared" si="12"/>
        <v>8</v>
      </c>
      <c r="CO16" s="17">
        <f t="shared" si="13"/>
        <v>0</v>
      </c>
      <c r="CP16" s="17">
        <f t="shared" si="14"/>
        <v>0</v>
      </c>
      <c r="CQ16" s="17">
        <f t="shared" si="15"/>
        <v>0</v>
      </c>
      <c r="CR16" s="17">
        <f t="shared" si="16"/>
        <v>0</v>
      </c>
      <c r="CS16" s="17">
        <f t="shared" si="17"/>
        <v>0</v>
      </c>
      <c r="CT16" s="17">
        <f t="shared" si="18"/>
        <v>5</v>
      </c>
      <c r="CU16" s="17">
        <f t="shared" si="19"/>
        <v>0</v>
      </c>
      <c r="CV16" s="17">
        <f t="shared" si="20"/>
        <v>5</v>
      </c>
      <c r="CW16" s="17">
        <f t="shared" si="21"/>
        <v>-5</v>
      </c>
      <c r="CX16" s="17">
        <f t="shared" si="22"/>
        <v>2</v>
      </c>
      <c r="CY16" s="17">
        <f t="shared" si="22"/>
        <v>-52</v>
      </c>
      <c r="CZ16" s="17">
        <f t="shared" si="22"/>
        <v>0</v>
      </c>
      <c r="DA16" s="17">
        <f t="shared" si="22"/>
        <v>0</v>
      </c>
      <c r="DB16" s="17">
        <f t="shared" si="22"/>
        <v>0</v>
      </c>
      <c r="DC16" s="17">
        <f t="shared" si="22"/>
        <v>0</v>
      </c>
      <c r="DD16" s="17">
        <f t="shared" si="22"/>
        <v>0</v>
      </c>
      <c r="DE16" s="17">
        <f t="shared" si="22"/>
        <v>0</v>
      </c>
      <c r="DF16" s="17">
        <f t="shared" si="22"/>
        <v>0</v>
      </c>
      <c r="DG16" s="17">
        <f t="shared" si="22"/>
        <v>0</v>
      </c>
      <c r="DH16" s="17">
        <f t="shared" si="22"/>
        <v>0</v>
      </c>
      <c r="DI16" s="17">
        <f t="shared" si="22"/>
        <v>0</v>
      </c>
    </row>
    <row r="17" spans="1:113" ht="15.75" x14ac:dyDescent="0.25">
      <c r="A17" s="4" t="s">
        <v>23</v>
      </c>
      <c r="B17" s="6" t="s">
        <v>24</v>
      </c>
      <c r="H17" s="90">
        <f>'Combined data'!H17</f>
        <v>61</v>
      </c>
      <c r="I17" s="90">
        <f>'Combined data'!I17-'Combined data'!H17</f>
        <v>4</v>
      </c>
      <c r="J17" s="90">
        <f>'Combined data'!J17-'Combined data'!I17</f>
        <v>2</v>
      </c>
      <c r="K17" s="90">
        <f>'Combined data'!K17-'Combined data'!J17</f>
        <v>2</v>
      </c>
      <c r="L17" s="90">
        <f>'Combined data'!L17-'Combined data'!K17</f>
        <v>3</v>
      </c>
      <c r="M17" s="90">
        <f>'Combined data'!M17-'Combined data'!L17</f>
        <v>0</v>
      </c>
      <c r="N17" s="90">
        <f>'Combined data'!N17-'Combined data'!M17</f>
        <v>3</v>
      </c>
      <c r="O17" s="90">
        <f>'Combined data'!O17-'Combined data'!N17</f>
        <v>1</v>
      </c>
      <c r="P17" s="90">
        <f>'Combined data'!P17-'Combined data'!O17</f>
        <v>5</v>
      </c>
      <c r="Q17" s="90">
        <f>'Combined data'!Q17-'Combined data'!P17</f>
        <v>3</v>
      </c>
      <c r="R17" s="90">
        <f>'Combined data'!R17-'Combined data'!Q17</f>
        <v>0</v>
      </c>
      <c r="S17" s="90">
        <f>'Combined data'!S17-'Combined data'!R17</f>
        <v>0</v>
      </c>
      <c r="T17" s="90">
        <f>'Combined data'!T17-'Combined data'!S17</f>
        <v>0</v>
      </c>
      <c r="U17" s="90">
        <f>'Combined data'!U17-'Combined data'!T17</f>
        <v>2</v>
      </c>
      <c r="V17" s="90">
        <f>'Combined data'!V17-'Combined data'!U17</f>
        <v>3</v>
      </c>
      <c r="W17" s="90">
        <f>'Combined data'!W17-'Combined data'!V17</f>
        <v>3</v>
      </c>
      <c r="X17" s="90">
        <f>'Combined data'!X17-'Combined data'!W17</f>
        <v>1</v>
      </c>
      <c r="Y17" s="90">
        <f>'Combined data'!Y17-'Combined data'!X17</f>
        <v>2</v>
      </c>
      <c r="Z17" s="90">
        <f>'Combined data'!Z17-'Combined data'!Y17</f>
        <v>1</v>
      </c>
      <c r="AA17" s="90">
        <f>'Combined data'!AA17-'Combined data'!Z17</f>
        <v>0</v>
      </c>
      <c r="AB17" s="90">
        <f>'Combined data'!AB17-'Combined data'!AA17</f>
        <v>-1</v>
      </c>
      <c r="AC17" s="90">
        <f>'Combined data'!AC17-'Combined data'!AB17</f>
        <v>1</v>
      </c>
      <c r="AD17" s="90">
        <f>'Combined data'!AD17-'Combined data'!AC17</f>
        <v>3</v>
      </c>
      <c r="AE17" s="90">
        <f>'Combined data'!AE17-'Combined data'!AD17</f>
        <v>-99</v>
      </c>
      <c r="AF17" s="90">
        <f>'Combined data'!AF17-'Combined data'!AE17</f>
        <v>0</v>
      </c>
      <c r="AG17" s="90">
        <f>'Combined data'!AG17-'Combined data'!AF17</f>
        <v>0</v>
      </c>
      <c r="AH17" s="90">
        <f>'Combined data'!AH17-'Combined data'!AG17</f>
        <v>0</v>
      </c>
      <c r="AI17" s="90">
        <f>'Combined data'!AI17-'Combined data'!AH17</f>
        <v>0</v>
      </c>
      <c r="AJ17" s="90">
        <f>'Combined data'!AJ17-'Combined data'!AI17</f>
        <v>0</v>
      </c>
      <c r="AK17" s="90">
        <f>'Combined data'!AK17-'Combined data'!AJ17</f>
        <v>0</v>
      </c>
      <c r="AL17" s="90">
        <f>'Combined data'!AL17-'Combined data'!AK17</f>
        <v>0</v>
      </c>
      <c r="AM17" s="90">
        <f>'Combined data'!AM17-'Combined data'!AL17</f>
        <v>0</v>
      </c>
      <c r="AN17" s="90">
        <f>'Combined data'!AN17-'Combined data'!AM17</f>
        <v>0</v>
      </c>
      <c r="AO17" s="90">
        <f>'Combined data'!AO17-'Combined data'!AN17</f>
        <v>0</v>
      </c>
      <c r="AP17" s="56">
        <f t="shared" si="23"/>
        <v>0</v>
      </c>
      <c r="AQ17" s="113"/>
      <c r="AR17" s="17">
        <f>'Combined data'!AR17</f>
        <v>39</v>
      </c>
      <c r="AS17" s="17">
        <f>'Combined data'!AS17-'Combined data'!AR17</f>
        <v>2</v>
      </c>
      <c r="AT17" s="17">
        <f>'Combined data'!AT17-'Combined data'!AS17</f>
        <v>5</v>
      </c>
      <c r="AU17" s="17">
        <f>'Combined data'!AU17-'Combined data'!AT17</f>
        <v>4</v>
      </c>
      <c r="AV17" s="17">
        <f>'Combined data'!AV17-'Combined data'!AU17</f>
        <v>2</v>
      </c>
      <c r="AW17" s="17">
        <f>'Combined data'!AW17-'Combined data'!AV17</f>
        <v>1</v>
      </c>
      <c r="AX17" s="17">
        <f>'Combined data'!AX17-'Combined data'!AW17</f>
        <v>6</v>
      </c>
      <c r="AY17" s="17">
        <f>'Combined data'!AY17-'Combined data'!AX17</f>
        <v>2</v>
      </c>
      <c r="AZ17" s="17">
        <f>'Combined data'!AZ17-'Combined data'!AY17</f>
        <v>0</v>
      </c>
      <c r="BA17" s="17">
        <f>'Combined data'!BA17-'Combined data'!AZ17</f>
        <v>0</v>
      </c>
      <c r="BB17" s="17">
        <f>'Combined data'!BB17-'Combined data'!BA17</f>
        <v>1</v>
      </c>
      <c r="BC17" s="17">
        <f>'Combined data'!BC17-'Combined data'!BB17</f>
        <v>5</v>
      </c>
      <c r="BD17" s="17">
        <f>'Combined data'!BD17-'Combined data'!BC17</f>
        <v>5</v>
      </c>
      <c r="BE17" s="17">
        <f>'Combined data'!BE17-'Combined data'!BD17</f>
        <v>0</v>
      </c>
      <c r="BF17" s="17">
        <f>'Combined data'!BF17-'Combined data'!BE17</f>
        <v>1</v>
      </c>
      <c r="BG17" s="17">
        <f>'Combined data'!BG17-'Combined data'!BF17</f>
        <v>0</v>
      </c>
      <c r="BH17" s="17">
        <f>'Combined data'!BH17-'Combined data'!BG17</f>
        <v>1</v>
      </c>
      <c r="BI17" s="17">
        <f>'Combined data'!BI17-'Combined data'!BH17</f>
        <v>0</v>
      </c>
      <c r="BJ17" s="17">
        <f>'Combined data'!BJ17-'Combined data'!BI17</f>
        <v>0</v>
      </c>
      <c r="BK17" s="17">
        <f>'Combined data'!BK17-'Combined data'!BJ17</f>
        <v>2</v>
      </c>
      <c r="BL17" s="17">
        <f>'Combined data'!BL17-'Combined data'!BK17</f>
        <v>5</v>
      </c>
      <c r="BM17" s="17">
        <f>'Combined data'!BM17-'Combined data'!BL17</f>
        <v>-5</v>
      </c>
      <c r="BN17" s="17">
        <f>'Combined data'!BN17-'Combined data'!BM17</f>
        <v>2</v>
      </c>
      <c r="BO17" s="17">
        <f>'Combined data'!BO17-'Combined data'!BN17</f>
        <v>-78</v>
      </c>
      <c r="BP17" s="17">
        <f>'Combined data'!BP17-'Combined data'!BO17</f>
        <v>0</v>
      </c>
      <c r="BQ17" s="17">
        <f>'Combined data'!BQ17-'Combined data'!BP17</f>
        <v>0</v>
      </c>
      <c r="BR17" s="17">
        <f>'Combined data'!BR17-'Combined data'!BQ17</f>
        <v>0</v>
      </c>
      <c r="BS17" s="17">
        <f>'Combined data'!BS17-'Combined data'!BR17</f>
        <v>0</v>
      </c>
      <c r="BT17" s="17">
        <f>'Combined data'!BT17-'Combined data'!BS17</f>
        <v>0</v>
      </c>
      <c r="BU17" s="17">
        <f>'Combined data'!BU17-'Combined data'!BT17</f>
        <v>0</v>
      </c>
      <c r="BV17" s="17">
        <f>'Combined data'!BV17-'Combined data'!BU17</f>
        <v>0</v>
      </c>
      <c r="BW17" s="17">
        <f>'Combined data'!BW17-'Combined data'!BV17</f>
        <v>0</v>
      </c>
      <c r="BX17" s="17">
        <f>'Combined data'!BX17-'Combined data'!BW17</f>
        <v>0</v>
      </c>
      <c r="BY17" s="17">
        <f>'Combined data'!BY17-'Combined data'!BX17</f>
        <v>0</v>
      </c>
      <c r="CB17" s="17">
        <f t="shared" si="0"/>
        <v>39</v>
      </c>
      <c r="CC17" s="17">
        <f t="shared" si="1"/>
        <v>2</v>
      </c>
      <c r="CD17" s="17">
        <f t="shared" si="2"/>
        <v>5</v>
      </c>
      <c r="CE17" s="17">
        <f t="shared" si="3"/>
        <v>4</v>
      </c>
      <c r="CF17" s="17">
        <f t="shared" si="4"/>
        <v>2</v>
      </c>
      <c r="CG17" s="17">
        <f t="shared" si="5"/>
        <v>1</v>
      </c>
      <c r="CH17" s="17">
        <f t="shared" si="6"/>
        <v>6</v>
      </c>
      <c r="CI17" s="17">
        <f t="shared" si="7"/>
        <v>2</v>
      </c>
      <c r="CJ17" s="17">
        <f t="shared" si="8"/>
        <v>0</v>
      </c>
      <c r="CK17" s="17">
        <f t="shared" si="9"/>
        <v>0</v>
      </c>
      <c r="CL17" s="17">
        <f t="shared" si="10"/>
        <v>1</v>
      </c>
      <c r="CM17" s="17">
        <f t="shared" si="11"/>
        <v>5</v>
      </c>
      <c r="CN17" s="17">
        <f t="shared" si="12"/>
        <v>5</v>
      </c>
      <c r="CO17" s="17">
        <f t="shared" si="13"/>
        <v>0</v>
      </c>
      <c r="CP17" s="17">
        <f t="shared" si="14"/>
        <v>1</v>
      </c>
      <c r="CQ17" s="17">
        <f t="shared" si="15"/>
        <v>0</v>
      </c>
      <c r="CR17" s="17">
        <f t="shared" si="16"/>
        <v>1</v>
      </c>
      <c r="CS17" s="17">
        <f t="shared" si="17"/>
        <v>0</v>
      </c>
      <c r="CT17" s="17">
        <f t="shared" si="18"/>
        <v>0</v>
      </c>
      <c r="CU17" s="17">
        <f t="shared" si="19"/>
        <v>2</v>
      </c>
      <c r="CV17" s="17">
        <f t="shared" si="20"/>
        <v>5</v>
      </c>
      <c r="CW17" s="17">
        <f t="shared" si="21"/>
        <v>-5</v>
      </c>
      <c r="CX17" s="17">
        <f t="shared" si="22"/>
        <v>2</v>
      </c>
      <c r="CY17" s="17">
        <f t="shared" si="22"/>
        <v>-78</v>
      </c>
      <c r="CZ17" s="17">
        <f t="shared" si="22"/>
        <v>0</v>
      </c>
      <c r="DA17" s="17">
        <f t="shared" si="22"/>
        <v>0</v>
      </c>
      <c r="DB17" s="17">
        <f t="shared" si="22"/>
        <v>0</v>
      </c>
      <c r="DC17" s="17">
        <f t="shared" si="22"/>
        <v>0</v>
      </c>
      <c r="DD17" s="17">
        <f t="shared" si="22"/>
        <v>0</v>
      </c>
      <c r="DE17" s="17">
        <f t="shared" si="22"/>
        <v>0</v>
      </c>
      <c r="DF17" s="17">
        <f t="shared" si="22"/>
        <v>0</v>
      </c>
      <c r="DG17" s="17">
        <f t="shared" si="22"/>
        <v>0</v>
      </c>
      <c r="DH17" s="17">
        <f t="shared" si="22"/>
        <v>0</v>
      </c>
      <c r="DI17" s="17">
        <f t="shared" si="22"/>
        <v>0</v>
      </c>
    </row>
    <row r="18" spans="1:113" ht="15.75" x14ac:dyDescent="0.25">
      <c r="A18" s="4" t="s">
        <v>25</v>
      </c>
      <c r="B18" s="6" t="s">
        <v>26</v>
      </c>
      <c r="H18" s="90">
        <f>'Combined data'!H18</f>
        <v>91</v>
      </c>
      <c r="I18" s="90">
        <f>'Combined data'!I18-'Combined data'!H18</f>
        <v>6</v>
      </c>
      <c r="J18" s="90">
        <f>'Combined data'!J18-'Combined data'!I18</f>
        <v>10</v>
      </c>
      <c r="K18" s="90">
        <f>'Combined data'!K18-'Combined data'!J18</f>
        <v>5</v>
      </c>
      <c r="L18" s="90">
        <f>'Combined data'!L18-'Combined data'!K18</f>
        <v>3</v>
      </c>
      <c r="M18" s="90">
        <f>'Combined data'!M18-'Combined data'!L18</f>
        <v>6</v>
      </c>
      <c r="N18" s="90">
        <f>'Combined data'!N18-'Combined data'!M18</f>
        <v>6</v>
      </c>
      <c r="O18" s="90">
        <f>'Combined data'!O18-'Combined data'!N18</f>
        <v>3</v>
      </c>
      <c r="P18" s="90">
        <f>'Combined data'!P18-'Combined data'!O18</f>
        <v>3</v>
      </c>
      <c r="Q18" s="90">
        <f>'Combined data'!Q18-'Combined data'!P18</f>
        <v>6</v>
      </c>
      <c r="R18" s="90">
        <f>'Combined data'!R18-'Combined data'!Q18</f>
        <v>1</v>
      </c>
      <c r="S18" s="90">
        <f>'Combined data'!S18-'Combined data'!R18</f>
        <v>4</v>
      </c>
      <c r="T18" s="90">
        <f>'Combined data'!T18-'Combined data'!S18</f>
        <v>3</v>
      </c>
      <c r="U18" s="90">
        <f>'Combined data'!U18-'Combined data'!T18</f>
        <v>1</v>
      </c>
      <c r="V18" s="90">
        <f>'Combined data'!V18-'Combined data'!U18</f>
        <v>1</v>
      </c>
      <c r="W18" s="90">
        <f>'Combined data'!W18-'Combined data'!V18</f>
        <v>1</v>
      </c>
      <c r="X18" s="90">
        <f>'Combined data'!X18-'Combined data'!W18</f>
        <v>0</v>
      </c>
      <c r="Y18" s="90">
        <f>'Combined data'!Y18-'Combined data'!X18</f>
        <v>3</v>
      </c>
      <c r="Z18" s="90">
        <f>'Combined data'!Z18-'Combined data'!Y18</f>
        <v>1</v>
      </c>
      <c r="AA18" s="90">
        <f>'Combined data'!AA18-'Combined data'!Z18</f>
        <v>-2</v>
      </c>
      <c r="AB18" s="90">
        <f>'Combined data'!AB18-'Combined data'!AA18</f>
        <v>0</v>
      </c>
      <c r="AC18" s="90">
        <f>'Combined data'!AC18-'Combined data'!AB18</f>
        <v>2</v>
      </c>
      <c r="AD18" s="90">
        <f>'Combined data'!AD18-'Combined data'!AC18</f>
        <v>2</v>
      </c>
      <c r="AE18" s="90">
        <f>'Combined data'!AE18-'Combined data'!AD18</f>
        <v>-156</v>
      </c>
      <c r="AF18" s="90">
        <f>'Combined data'!AF18-'Combined data'!AE18</f>
        <v>0</v>
      </c>
      <c r="AG18" s="90">
        <f>'Combined data'!AG18-'Combined data'!AF18</f>
        <v>0</v>
      </c>
      <c r="AH18" s="90">
        <f>'Combined data'!AH18-'Combined data'!AG18</f>
        <v>0</v>
      </c>
      <c r="AI18" s="90">
        <f>'Combined data'!AI18-'Combined data'!AH18</f>
        <v>0</v>
      </c>
      <c r="AJ18" s="90">
        <f>'Combined data'!AJ18-'Combined data'!AI18</f>
        <v>0</v>
      </c>
      <c r="AK18" s="90">
        <f>'Combined data'!AK18-'Combined data'!AJ18</f>
        <v>0</v>
      </c>
      <c r="AL18" s="90">
        <f>'Combined data'!AL18-'Combined data'!AK18</f>
        <v>0</v>
      </c>
      <c r="AM18" s="90">
        <f>'Combined data'!AM18-'Combined data'!AL18</f>
        <v>0</v>
      </c>
      <c r="AN18" s="90">
        <f>'Combined data'!AN18-'Combined data'!AM18</f>
        <v>0</v>
      </c>
      <c r="AO18" s="90">
        <f>'Combined data'!AO18-'Combined data'!AN18</f>
        <v>0</v>
      </c>
      <c r="AP18" s="56">
        <f t="shared" si="23"/>
        <v>0</v>
      </c>
      <c r="AQ18" s="113"/>
      <c r="AR18" s="17">
        <f>'Combined data'!AR18</f>
        <v>38</v>
      </c>
      <c r="AS18" s="17">
        <f>'Combined data'!AS18-'Combined data'!AR18</f>
        <v>5</v>
      </c>
      <c r="AT18" s="17">
        <f>'Combined data'!AT18-'Combined data'!AS18</f>
        <v>4</v>
      </c>
      <c r="AU18" s="17">
        <f>'Combined data'!AU18-'Combined data'!AT18</f>
        <v>8</v>
      </c>
      <c r="AV18" s="17">
        <f>'Combined data'!AV18-'Combined data'!AU18</f>
        <v>2</v>
      </c>
      <c r="AW18" s="17">
        <f>'Combined data'!AW18-'Combined data'!AV18</f>
        <v>3</v>
      </c>
      <c r="AX18" s="17">
        <f>'Combined data'!AX18-'Combined data'!AW18</f>
        <v>6</v>
      </c>
      <c r="AY18" s="17">
        <f>'Combined data'!AY18-'Combined data'!AX18</f>
        <v>7</v>
      </c>
      <c r="AZ18" s="17">
        <f>'Combined data'!AZ18-'Combined data'!AY18</f>
        <v>17</v>
      </c>
      <c r="BA18" s="17">
        <f>'Combined data'!BA18-'Combined data'!AZ18</f>
        <v>8</v>
      </c>
      <c r="BB18" s="17">
        <f>'Combined data'!BB18-'Combined data'!BA18</f>
        <v>1</v>
      </c>
      <c r="BC18" s="17">
        <f>'Combined data'!BC18-'Combined data'!BB18</f>
        <v>13</v>
      </c>
      <c r="BD18" s="17">
        <f>'Combined data'!BD18-'Combined data'!BC18</f>
        <v>3</v>
      </c>
      <c r="BE18" s="17">
        <f>'Combined data'!BE18-'Combined data'!BD18</f>
        <v>0</v>
      </c>
      <c r="BF18" s="17">
        <f>'Combined data'!BF18-'Combined data'!BE18</f>
        <v>4</v>
      </c>
      <c r="BG18" s="17">
        <f>'Combined data'!BG18-'Combined data'!BF18</f>
        <v>0</v>
      </c>
      <c r="BH18" s="17">
        <f>'Combined data'!BH18-'Combined data'!BG18</f>
        <v>1</v>
      </c>
      <c r="BI18" s="17">
        <f>'Combined data'!BI18-'Combined data'!BH18</f>
        <v>5</v>
      </c>
      <c r="BJ18" s="17">
        <f>'Combined data'!BJ18-'Combined data'!BI18</f>
        <v>0</v>
      </c>
      <c r="BK18" s="17">
        <f>'Combined data'!BK18-'Combined data'!BJ18</f>
        <v>0</v>
      </c>
      <c r="BL18" s="17">
        <f>'Combined data'!BL18-'Combined data'!BK18</f>
        <v>3</v>
      </c>
      <c r="BM18" s="17">
        <f>'Combined data'!BM18-'Combined data'!BL18</f>
        <v>0</v>
      </c>
      <c r="BN18" s="17">
        <f>'Combined data'!BN18-'Combined data'!BM18</f>
        <v>2</v>
      </c>
      <c r="BO18" s="17">
        <f>'Combined data'!BO18-'Combined data'!BN18</f>
        <v>-130</v>
      </c>
      <c r="BP18" s="17">
        <f>'Combined data'!BP18-'Combined data'!BO18</f>
        <v>0</v>
      </c>
      <c r="BQ18" s="17">
        <f>'Combined data'!BQ18-'Combined data'!BP18</f>
        <v>0</v>
      </c>
      <c r="BR18" s="17">
        <f>'Combined data'!BR18-'Combined data'!BQ18</f>
        <v>0</v>
      </c>
      <c r="BS18" s="17">
        <f>'Combined data'!BS18-'Combined data'!BR18</f>
        <v>0</v>
      </c>
      <c r="BT18" s="17">
        <f>'Combined data'!BT18-'Combined data'!BS18</f>
        <v>0</v>
      </c>
      <c r="BU18" s="17">
        <f>'Combined data'!BU18-'Combined data'!BT18</f>
        <v>0</v>
      </c>
      <c r="BV18" s="17">
        <f>'Combined data'!BV18-'Combined data'!BU18</f>
        <v>0</v>
      </c>
      <c r="BW18" s="17">
        <f>'Combined data'!BW18-'Combined data'!BV18</f>
        <v>0</v>
      </c>
      <c r="BX18" s="17">
        <f>'Combined data'!BX18-'Combined data'!BW18</f>
        <v>0</v>
      </c>
      <c r="BY18" s="17">
        <f>'Combined data'!BY18-'Combined data'!BX18</f>
        <v>0</v>
      </c>
      <c r="CB18" s="17">
        <f t="shared" si="0"/>
        <v>38</v>
      </c>
      <c r="CC18" s="17">
        <f t="shared" si="1"/>
        <v>5</v>
      </c>
      <c r="CD18" s="17">
        <f t="shared" si="2"/>
        <v>4</v>
      </c>
      <c r="CE18" s="17">
        <f t="shared" si="3"/>
        <v>8</v>
      </c>
      <c r="CF18" s="17">
        <f t="shared" si="4"/>
        <v>2</v>
      </c>
      <c r="CG18" s="17">
        <f t="shared" si="5"/>
        <v>3</v>
      </c>
      <c r="CH18" s="17">
        <f t="shared" si="6"/>
        <v>6</v>
      </c>
      <c r="CI18" s="17">
        <f t="shared" si="7"/>
        <v>7</v>
      </c>
      <c r="CJ18" s="17">
        <f t="shared" si="8"/>
        <v>17</v>
      </c>
      <c r="CK18" s="17">
        <f t="shared" si="9"/>
        <v>8</v>
      </c>
      <c r="CL18" s="17">
        <f t="shared" si="10"/>
        <v>1</v>
      </c>
      <c r="CM18" s="17">
        <f t="shared" si="11"/>
        <v>13</v>
      </c>
      <c r="CN18" s="17">
        <f t="shared" si="12"/>
        <v>3</v>
      </c>
      <c r="CO18" s="17">
        <f t="shared" si="13"/>
        <v>0</v>
      </c>
      <c r="CP18" s="17">
        <f t="shared" si="14"/>
        <v>4</v>
      </c>
      <c r="CQ18" s="17">
        <f t="shared" si="15"/>
        <v>0</v>
      </c>
      <c r="CR18" s="17">
        <f t="shared" si="16"/>
        <v>1</v>
      </c>
      <c r="CS18" s="17">
        <f t="shared" si="17"/>
        <v>5</v>
      </c>
      <c r="CT18" s="17">
        <f t="shared" si="18"/>
        <v>0</v>
      </c>
      <c r="CU18" s="17">
        <f t="shared" si="19"/>
        <v>0</v>
      </c>
      <c r="CV18" s="17">
        <f t="shared" si="20"/>
        <v>3</v>
      </c>
      <c r="CW18" s="17">
        <f t="shared" si="21"/>
        <v>0</v>
      </c>
      <c r="CX18" s="17">
        <f t="shared" si="22"/>
        <v>2</v>
      </c>
      <c r="CY18" s="17">
        <f t="shared" si="22"/>
        <v>-130</v>
      </c>
      <c r="CZ18" s="17">
        <f t="shared" si="22"/>
        <v>0</v>
      </c>
      <c r="DA18" s="17">
        <f t="shared" si="22"/>
        <v>0</v>
      </c>
      <c r="DB18" s="17">
        <f t="shared" si="22"/>
        <v>0</v>
      </c>
      <c r="DC18" s="17">
        <f t="shared" si="22"/>
        <v>0</v>
      </c>
      <c r="DD18" s="17">
        <f t="shared" si="22"/>
        <v>0</v>
      </c>
      <c r="DE18" s="17">
        <f t="shared" si="22"/>
        <v>0</v>
      </c>
      <c r="DF18" s="17">
        <f t="shared" si="22"/>
        <v>0</v>
      </c>
      <c r="DG18" s="17">
        <f t="shared" si="22"/>
        <v>0</v>
      </c>
      <c r="DH18" s="17">
        <f t="shared" si="22"/>
        <v>0</v>
      </c>
      <c r="DI18" s="17">
        <f t="shared" si="22"/>
        <v>0</v>
      </c>
    </row>
    <row r="19" spans="1:113" ht="15.75" x14ac:dyDescent="0.25">
      <c r="A19" s="4" t="s">
        <v>27</v>
      </c>
      <c r="B19" s="6" t="s">
        <v>28</v>
      </c>
      <c r="H19" s="90">
        <f>'Combined data'!H19</f>
        <v>362</v>
      </c>
      <c r="I19" s="90">
        <f>'Combined data'!I19-'Combined data'!H19</f>
        <v>11</v>
      </c>
      <c r="J19" s="90">
        <f>'Combined data'!J19-'Combined data'!I19</f>
        <v>21</v>
      </c>
      <c r="K19" s="90">
        <f>'Combined data'!K19-'Combined data'!J19</f>
        <v>27</v>
      </c>
      <c r="L19" s="90">
        <f>'Combined data'!L19-'Combined data'!K19</f>
        <v>2</v>
      </c>
      <c r="M19" s="90">
        <f>'Combined data'!M19-'Combined data'!L19</f>
        <v>7</v>
      </c>
      <c r="N19" s="90">
        <f>'Combined data'!N19-'Combined data'!M19</f>
        <v>27</v>
      </c>
      <c r="O19" s="90">
        <f>'Combined data'!O19-'Combined data'!N19</f>
        <v>12</v>
      </c>
      <c r="P19" s="90">
        <f>'Combined data'!P19-'Combined data'!O19</f>
        <v>15</v>
      </c>
      <c r="Q19" s="90">
        <f>'Combined data'!Q19-'Combined data'!P19</f>
        <v>20</v>
      </c>
      <c r="R19" s="90">
        <f>'Combined data'!R19-'Combined data'!Q19</f>
        <v>3</v>
      </c>
      <c r="S19" s="90">
        <f>'Combined data'!S19-'Combined data'!R19</f>
        <v>5</v>
      </c>
      <c r="T19" s="90">
        <f>'Combined data'!T19-'Combined data'!S19</f>
        <v>8</v>
      </c>
      <c r="U19" s="90">
        <f>'Combined data'!U19-'Combined data'!T19</f>
        <v>10</v>
      </c>
      <c r="V19" s="90">
        <f>'Combined data'!V19-'Combined data'!U19</f>
        <v>10</v>
      </c>
      <c r="W19" s="90">
        <f>'Combined data'!W19-'Combined data'!V19</f>
        <v>11</v>
      </c>
      <c r="X19" s="90">
        <f>'Combined data'!X19-'Combined data'!W19</f>
        <v>4</v>
      </c>
      <c r="Y19" s="90">
        <f>'Combined data'!Y19-'Combined data'!X19</f>
        <v>6</v>
      </c>
      <c r="Z19" s="90">
        <f>'Combined data'!Z19-'Combined data'!Y19</f>
        <v>4</v>
      </c>
      <c r="AA19" s="90">
        <f>'Combined data'!AA19-'Combined data'!Z19</f>
        <v>1</v>
      </c>
      <c r="AB19" s="90">
        <f>'Combined data'!AB19-'Combined data'!AA19</f>
        <v>2</v>
      </c>
      <c r="AC19" s="90">
        <f>'Combined data'!AC19-'Combined data'!AB19</f>
        <v>2</v>
      </c>
      <c r="AD19" s="90">
        <f>'Combined data'!AD19-'Combined data'!AC19</f>
        <v>9</v>
      </c>
      <c r="AE19" s="90">
        <f>'Combined data'!AE19-'Combined data'!AD19</f>
        <v>-579</v>
      </c>
      <c r="AF19" s="90">
        <f>'Combined data'!AF19-'Combined data'!AE19</f>
        <v>0</v>
      </c>
      <c r="AG19" s="90">
        <f>'Combined data'!AG19-'Combined data'!AF19</f>
        <v>0</v>
      </c>
      <c r="AH19" s="90">
        <f>'Combined data'!AH19-'Combined data'!AG19</f>
        <v>0</v>
      </c>
      <c r="AI19" s="90">
        <f>'Combined data'!AI19-'Combined data'!AH19</f>
        <v>0</v>
      </c>
      <c r="AJ19" s="90">
        <f>'Combined data'!AJ19-'Combined data'!AI19</f>
        <v>0</v>
      </c>
      <c r="AK19" s="90">
        <f>'Combined data'!AK19-'Combined data'!AJ19</f>
        <v>0</v>
      </c>
      <c r="AL19" s="90">
        <f>'Combined data'!AL19-'Combined data'!AK19</f>
        <v>0</v>
      </c>
      <c r="AM19" s="90">
        <f>'Combined data'!AM19-'Combined data'!AL19</f>
        <v>0</v>
      </c>
      <c r="AN19" s="90">
        <f>'Combined data'!AN19-'Combined data'!AM19</f>
        <v>0</v>
      </c>
      <c r="AO19" s="90">
        <f>'Combined data'!AO19-'Combined data'!AN19</f>
        <v>0</v>
      </c>
      <c r="AP19" s="56">
        <f t="shared" si="23"/>
        <v>0</v>
      </c>
      <c r="AQ19" s="113"/>
      <c r="AR19" s="17">
        <f>'Combined data'!AR19</f>
        <v>201</v>
      </c>
      <c r="AS19" s="17">
        <f>'Combined data'!AS19-'Combined data'!AR19</f>
        <v>23</v>
      </c>
      <c r="AT19" s="17">
        <f>'Combined data'!AT19-'Combined data'!AS19</f>
        <v>23</v>
      </c>
      <c r="AU19" s="17">
        <f>'Combined data'!AU19-'Combined data'!AT19</f>
        <v>23</v>
      </c>
      <c r="AV19" s="17">
        <f>'Combined data'!AV19-'Combined data'!AU19</f>
        <v>14</v>
      </c>
      <c r="AW19" s="17">
        <f>'Combined data'!AW19-'Combined data'!AV19</f>
        <v>22</v>
      </c>
      <c r="AX19" s="17">
        <f>'Combined data'!AX19-'Combined data'!AW19</f>
        <v>27</v>
      </c>
      <c r="AY19" s="17">
        <f>'Combined data'!AY19-'Combined data'!AX19</f>
        <v>20</v>
      </c>
      <c r="AZ19" s="17">
        <f>'Combined data'!AZ19-'Combined data'!AY19</f>
        <v>17</v>
      </c>
      <c r="BA19" s="17">
        <f>'Combined data'!BA19-'Combined data'!AZ19</f>
        <v>17</v>
      </c>
      <c r="BB19" s="17">
        <f>'Combined data'!BB19-'Combined data'!BA19</f>
        <v>7</v>
      </c>
      <c r="BC19" s="17">
        <f>'Combined data'!BC19-'Combined data'!BB19</f>
        <v>20</v>
      </c>
      <c r="BD19" s="17">
        <f>'Combined data'!BD19-'Combined data'!BC19</f>
        <v>5</v>
      </c>
      <c r="BE19" s="17">
        <f>'Combined data'!BE19-'Combined data'!BD19</f>
        <v>8</v>
      </c>
      <c r="BF19" s="17">
        <f>'Combined data'!BF19-'Combined data'!BE19</f>
        <v>9</v>
      </c>
      <c r="BG19" s="17">
        <f>'Combined data'!BG19-'Combined data'!BF19</f>
        <v>5</v>
      </c>
      <c r="BH19" s="17">
        <f>'Combined data'!BH19-'Combined data'!BG19</f>
        <v>8</v>
      </c>
      <c r="BI19" s="17">
        <f>'Combined data'!BI19-'Combined data'!BH19</f>
        <v>3</v>
      </c>
      <c r="BJ19" s="17">
        <f>'Combined data'!BJ19-'Combined data'!BI19</f>
        <v>10</v>
      </c>
      <c r="BK19" s="17">
        <f>'Combined data'!BK19-'Combined data'!BJ19</f>
        <v>6</v>
      </c>
      <c r="BL19" s="17">
        <f>'Combined data'!BL19-'Combined data'!BK19</f>
        <v>17</v>
      </c>
      <c r="BM19" s="17">
        <f>'Combined data'!BM19-'Combined data'!BL19</f>
        <v>2</v>
      </c>
      <c r="BN19" s="17">
        <f>'Combined data'!BN19-'Combined data'!BM19</f>
        <v>7</v>
      </c>
      <c r="BO19" s="17">
        <f>'Combined data'!BO19-'Combined data'!BN19</f>
        <v>-494</v>
      </c>
      <c r="BP19" s="17">
        <f>'Combined data'!BP19-'Combined data'!BO19</f>
        <v>0</v>
      </c>
      <c r="BQ19" s="17">
        <f>'Combined data'!BQ19-'Combined data'!BP19</f>
        <v>0</v>
      </c>
      <c r="BR19" s="17">
        <f>'Combined data'!BR19-'Combined data'!BQ19</f>
        <v>0</v>
      </c>
      <c r="BS19" s="17">
        <f>'Combined data'!BS19-'Combined data'!BR19</f>
        <v>0</v>
      </c>
      <c r="BT19" s="17">
        <f>'Combined data'!BT19-'Combined data'!BS19</f>
        <v>0</v>
      </c>
      <c r="BU19" s="17">
        <f>'Combined data'!BU19-'Combined data'!BT19</f>
        <v>0</v>
      </c>
      <c r="BV19" s="17">
        <f>'Combined data'!BV19-'Combined data'!BU19</f>
        <v>0</v>
      </c>
      <c r="BW19" s="17">
        <f>'Combined data'!BW19-'Combined data'!BV19</f>
        <v>0</v>
      </c>
      <c r="BX19" s="17">
        <f>'Combined data'!BX19-'Combined data'!BW19</f>
        <v>0</v>
      </c>
      <c r="BY19" s="17">
        <f>'Combined data'!BY19-'Combined data'!BX19</f>
        <v>0</v>
      </c>
      <c r="CB19" s="17">
        <f t="shared" si="0"/>
        <v>201</v>
      </c>
      <c r="CC19" s="17">
        <f t="shared" si="1"/>
        <v>23</v>
      </c>
      <c r="CD19" s="17">
        <f t="shared" si="2"/>
        <v>23</v>
      </c>
      <c r="CE19" s="17">
        <f t="shared" si="3"/>
        <v>23</v>
      </c>
      <c r="CF19" s="17">
        <f t="shared" si="4"/>
        <v>14</v>
      </c>
      <c r="CG19" s="17">
        <f t="shared" si="5"/>
        <v>22</v>
      </c>
      <c r="CH19" s="17">
        <f t="shared" si="6"/>
        <v>27</v>
      </c>
      <c r="CI19" s="17">
        <f t="shared" si="7"/>
        <v>20</v>
      </c>
      <c r="CJ19" s="17">
        <f t="shared" si="8"/>
        <v>17</v>
      </c>
      <c r="CK19" s="17">
        <f t="shared" si="9"/>
        <v>17</v>
      </c>
      <c r="CL19" s="17">
        <f t="shared" si="10"/>
        <v>7</v>
      </c>
      <c r="CM19" s="17">
        <f t="shared" si="11"/>
        <v>20</v>
      </c>
      <c r="CN19" s="17">
        <f t="shared" si="12"/>
        <v>5</v>
      </c>
      <c r="CO19" s="17">
        <f t="shared" si="13"/>
        <v>8</v>
      </c>
      <c r="CP19" s="17">
        <f t="shared" si="14"/>
        <v>9</v>
      </c>
      <c r="CQ19" s="17">
        <f t="shared" si="15"/>
        <v>5</v>
      </c>
      <c r="CR19" s="17">
        <f t="shared" si="16"/>
        <v>8</v>
      </c>
      <c r="CS19" s="17">
        <f t="shared" si="17"/>
        <v>3</v>
      </c>
      <c r="CT19" s="17">
        <f t="shared" si="18"/>
        <v>10</v>
      </c>
      <c r="CU19" s="17">
        <f t="shared" si="19"/>
        <v>6</v>
      </c>
      <c r="CV19" s="17">
        <f t="shared" si="20"/>
        <v>17</v>
      </c>
      <c r="CW19" s="17">
        <f t="shared" si="21"/>
        <v>2</v>
      </c>
      <c r="CX19" s="17">
        <f t="shared" si="22"/>
        <v>7</v>
      </c>
      <c r="CY19" s="17">
        <f t="shared" si="22"/>
        <v>-494</v>
      </c>
      <c r="CZ19" s="17">
        <f t="shared" si="22"/>
        <v>0</v>
      </c>
      <c r="DA19" s="17">
        <f t="shared" si="22"/>
        <v>0</v>
      </c>
      <c r="DB19" s="17">
        <f t="shared" si="22"/>
        <v>0</v>
      </c>
      <c r="DC19" s="17">
        <f t="shared" si="22"/>
        <v>0</v>
      </c>
      <c r="DD19" s="17">
        <f t="shared" si="22"/>
        <v>0</v>
      </c>
      <c r="DE19" s="17">
        <f t="shared" si="22"/>
        <v>0</v>
      </c>
      <c r="DF19" s="17">
        <f t="shared" si="22"/>
        <v>0</v>
      </c>
      <c r="DG19" s="17">
        <f t="shared" si="22"/>
        <v>0</v>
      </c>
      <c r="DH19" s="17">
        <f t="shared" si="22"/>
        <v>0</v>
      </c>
      <c r="DI19" s="17">
        <f t="shared" si="22"/>
        <v>0</v>
      </c>
    </row>
    <row r="20" spans="1:113" ht="15.75" x14ac:dyDescent="0.25">
      <c r="A20" s="4" t="s">
        <v>29</v>
      </c>
      <c r="B20" s="6" t="s">
        <v>30</v>
      </c>
      <c r="H20" s="90">
        <f>'Combined data'!H20</f>
        <v>98</v>
      </c>
      <c r="I20" s="90">
        <f>'Combined data'!I20-'Combined data'!H20</f>
        <v>5</v>
      </c>
      <c r="J20" s="90">
        <f>'Combined data'!J20-'Combined data'!I20</f>
        <v>1</v>
      </c>
      <c r="K20" s="90">
        <f>'Combined data'!K20-'Combined data'!J20</f>
        <v>9</v>
      </c>
      <c r="L20" s="90">
        <f>'Combined data'!L20-'Combined data'!K20</f>
        <v>1</v>
      </c>
      <c r="M20" s="90">
        <f>'Combined data'!M20-'Combined data'!L20</f>
        <v>7</v>
      </c>
      <c r="N20" s="90">
        <f>'Combined data'!N20-'Combined data'!M20</f>
        <v>11</v>
      </c>
      <c r="O20" s="90">
        <f>'Combined data'!O20-'Combined data'!N20</f>
        <v>6</v>
      </c>
      <c r="P20" s="90">
        <f>'Combined data'!P20-'Combined data'!O20</f>
        <v>7</v>
      </c>
      <c r="Q20" s="90">
        <f>'Combined data'!Q20-'Combined data'!P20</f>
        <v>3</v>
      </c>
      <c r="R20" s="90">
        <f>'Combined data'!R20-'Combined data'!Q20</f>
        <v>1</v>
      </c>
      <c r="S20" s="90">
        <f>'Combined data'!S20-'Combined data'!R20</f>
        <v>5</v>
      </c>
      <c r="T20" s="90">
        <f>'Combined data'!T20-'Combined data'!S20</f>
        <v>4</v>
      </c>
      <c r="U20" s="90">
        <f>'Combined data'!U20-'Combined data'!T20</f>
        <v>1</v>
      </c>
      <c r="V20" s="90">
        <f>'Combined data'!V20-'Combined data'!U20</f>
        <v>4</v>
      </c>
      <c r="W20" s="90">
        <f>'Combined data'!W20-'Combined data'!V20</f>
        <v>0</v>
      </c>
      <c r="X20" s="90">
        <f>'Combined data'!X20-'Combined data'!W20</f>
        <v>1</v>
      </c>
      <c r="Y20" s="90">
        <f>'Combined data'!Y20-'Combined data'!X20</f>
        <v>1</v>
      </c>
      <c r="Z20" s="90">
        <f>'Combined data'!Z20-'Combined data'!Y20</f>
        <v>2</v>
      </c>
      <c r="AA20" s="90">
        <f>'Combined data'!AA20-'Combined data'!Z20</f>
        <v>1</v>
      </c>
      <c r="AB20" s="90">
        <f>'Combined data'!AB20-'Combined data'!AA20</f>
        <v>3</v>
      </c>
      <c r="AC20" s="90">
        <f>'Combined data'!AC20-'Combined data'!AB20</f>
        <v>0</v>
      </c>
      <c r="AD20" s="90">
        <f>'Combined data'!AD20-'Combined data'!AC20</f>
        <v>5</v>
      </c>
      <c r="AE20" s="90">
        <f>'Combined data'!AE20-'Combined data'!AD20</f>
        <v>-176</v>
      </c>
      <c r="AF20" s="90">
        <f>'Combined data'!AF20-'Combined data'!AE20</f>
        <v>0</v>
      </c>
      <c r="AG20" s="90">
        <f>'Combined data'!AG20-'Combined data'!AF20</f>
        <v>0</v>
      </c>
      <c r="AH20" s="90">
        <f>'Combined data'!AH20-'Combined data'!AG20</f>
        <v>0</v>
      </c>
      <c r="AI20" s="90">
        <f>'Combined data'!AI20-'Combined data'!AH20</f>
        <v>0</v>
      </c>
      <c r="AJ20" s="90">
        <f>'Combined data'!AJ20-'Combined data'!AI20</f>
        <v>0</v>
      </c>
      <c r="AK20" s="90">
        <f>'Combined data'!AK20-'Combined data'!AJ20</f>
        <v>0</v>
      </c>
      <c r="AL20" s="90">
        <f>'Combined data'!AL20-'Combined data'!AK20</f>
        <v>0</v>
      </c>
      <c r="AM20" s="90">
        <f>'Combined data'!AM20-'Combined data'!AL20</f>
        <v>0</v>
      </c>
      <c r="AN20" s="90">
        <f>'Combined data'!AN20-'Combined data'!AM20</f>
        <v>0</v>
      </c>
      <c r="AO20" s="90">
        <f>'Combined data'!AO20-'Combined data'!AN20</f>
        <v>0</v>
      </c>
      <c r="AP20" s="56">
        <f t="shared" si="23"/>
        <v>0</v>
      </c>
      <c r="AQ20" s="113"/>
      <c r="AR20" s="17">
        <f>'Combined data'!AR20</f>
        <v>38</v>
      </c>
      <c r="AS20" s="17">
        <f>'Combined data'!AS20-'Combined data'!AR20</f>
        <v>20</v>
      </c>
      <c r="AT20" s="17">
        <f>'Combined data'!AT20-'Combined data'!AS20</f>
        <v>4</v>
      </c>
      <c r="AU20" s="17">
        <f>'Combined data'!AU20-'Combined data'!AT20</f>
        <v>8</v>
      </c>
      <c r="AV20" s="17">
        <f>'Combined data'!AV20-'Combined data'!AU20</f>
        <v>3</v>
      </c>
      <c r="AW20" s="17">
        <f>'Combined data'!AW20-'Combined data'!AV20</f>
        <v>6</v>
      </c>
      <c r="AX20" s="17">
        <f>'Combined data'!AX20-'Combined data'!AW20</f>
        <v>4</v>
      </c>
      <c r="AY20" s="17">
        <f>'Combined data'!AY20-'Combined data'!AX20</f>
        <v>7</v>
      </c>
      <c r="AZ20" s="17">
        <f>'Combined data'!AZ20-'Combined data'!AY20</f>
        <v>7</v>
      </c>
      <c r="BA20" s="17">
        <f>'Combined data'!BA20-'Combined data'!AZ20</f>
        <v>4</v>
      </c>
      <c r="BB20" s="17">
        <f>'Combined data'!BB20-'Combined data'!BA20</f>
        <v>9</v>
      </c>
      <c r="BC20" s="17">
        <f>'Combined data'!BC20-'Combined data'!BB20</f>
        <v>8</v>
      </c>
      <c r="BD20" s="17">
        <f>'Combined data'!BD20-'Combined data'!BC20</f>
        <v>7</v>
      </c>
      <c r="BE20" s="17">
        <f>'Combined data'!BE20-'Combined data'!BD20</f>
        <v>4</v>
      </c>
      <c r="BF20" s="17">
        <f>'Combined data'!BF20-'Combined data'!BE20</f>
        <v>2</v>
      </c>
      <c r="BG20" s="17">
        <f>'Combined data'!BG20-'Combined data'!BF20</f>
        <v>5</v>
      </c>
      <c r="BH20" s="17">
        <f>'Combined data'!BH20-'Combined data'!BG20</f>
        <v>4</v>
      </c>
      <c r="BI20" s="17">
        <f>'Combined data'!BI20-'Combined data'!BH20</f>
        <v>0</v>
      </c>
      <c r="BJ20" s="17">
        <f>'Combined data'!BJ20-'Combined data'!BI20</f>
        <v>2</v>
      </c>
      <c r="BK20" s="17">
        <f>'Combined data'!BK20-'Combined data'!BJ20</f>
        <v>0</v>
      </c>
      <c r="BL20" s="17">
        <f>'Combined data'!BL20-'Combined data'!BK20</f>
        <v>11</v>
      </c>
      <c r="BM20" s="17">
        <f>'Combined data'!BM20-'Combined data'!BL20</f>
        <v>-2</v>
      </c>
      <c r="BN20" s="17">
        <f>'Combined data'!BN20-'Combined data'!BM20</f>
        <v>3</v>
      </c>
      <c r="BO20" s="17">
        <f>'Combined data'!BO20-'Combined data'!BN20</f>
        <v>-154</v>
      </c>
      <c r="BP20" s="17">
        <f>'Combined data'!BP20-'Combined data'!BO20</f>
        <v>0</v>
      </c>
      <c r="BQ20" s="17">
        <f>'Combined data'!BQ20-'Combined data'!BP20</f>
        <v>0</v>
      </c>
      <c r="BR20" s="17">
        <f>'Combined data'!BR20-'Combined data'!BQ20</f>
        <v>0</v>
      </c>
      <c r="BS20" s="17">
        <f>'Combined data'!BS20-'Combined data'!BR20</f>
        <v>0</v>
      </c>
      <c r="BT20" s="17">
        <f>'Combined data'!BT20-'Combined data'!BS20</f>
        <v>0</v>
      </c>
      <c r="BU20" s="17">
        <f>'Combined data'!BU20-'Combined data'!BT20</f>
        <v>0</v>
      </c>
      <c r="BV20" s="17">
        <f>'Combined data'!BV20-'Combined data'!BU20</f>
        <v>0</v>
      </c>
      <c r="BW20" s="17">
        <f>'Combined data'!BW20-'Combined data'!BV20</f>
        <v>0</v>
      </c>
      <c r="BX20" s="17">
        <f>'Combined data'!BX20-'Combined data'!BW20</f>
        <v>0</v>
      </c>
      <c r="BY20" s="17">
        <f>'Combined data'!BY20-'Combined data'!BX20</f>
        <v>0</v>
      </c>
      <c r="CB20" s="17">
        <f t="shared" si="0"/>
        <v>38</v>
      </c>
      <c r="CC20" s="17">
        <f t="shared" si="1"/>
        <v>20</v>
      </c>
      <c r="CD20" s="17">
        <f t="shared" si="2"/>
        <v>4</v>
      </c>
      <c r="CE20" s="17">
        <f t="shared" si="3"/>
        <v>8</v>
      </c>
      <c r="CF20" s="17">
        <f t="shared" si="4"/>
        <v>3</v>
      </c>
      <c r="CG20" s="17">
        <f t="shared" si="5"/>
        <v>6</v>
      </c>
      <c r="CH20" s="17">
        <f t="shared" si="6"/>
        <v>4</v>
      </c>
      <c r="CI20" s="17">
        <f t="shared" si="7"/>
        <v>7</v>
      </c>
      <c r="CJ20" s="17">
        <f t="shared" si="8"/>
        <v>7</v>
      </c>
      <c r="CK20" s="17">
        <f t="shared" si="9"/>
        <v>4</v>
      </c>
      <c r="CL20" s="17">
        <f t="shared" si="10"/>
        <v>9</v>
      </c>
      <c r="CM20" s="17">
        <f t="shared" si="11"/>
        <v>8</v>
      </c>
      <c r="CN20" s="17">
        <f t="shared" si="12"/>
        <v>7</v>
      </c>
      <c r="CO20" s="17">
        <f t="shared" si="13"/>
        <v>4</v>
      </c>
      <c r="CP20" s="17">
        <f t="shared" si="14"/>
        <v>2</v>
      </c>
      <c r="CQ20" s="17">
        <f t="shared" si="15"/>
        <v>5</v>
      </c>
      <c r="CR20" s="17">
        <f t="shared" si="16"/>
        <v>4</v>
      </c>
      <c r="CS20" s="17">
        <f t="shared" si="17"/>
        <v>0</v>
      </c>
      <c r="CT20" s="17">
        <f t="shared" si="18"/>
        <v>2</v>
      </c>
      <c r="CU20" s="17">
        <f t="shared" si="19"/>
        <v>0</v>
      </c>
      <c r="CV20" s="17">
        <f t="shared" si="20"/>
        <v>11</v>
      </c>
      <c r="CW20" s="17">
        <f t="shared" si="21"/>
        <v>-2</v>
      </c>
      <c r="CX20" s="17">
        <f t="shared" si="22"/>
        <v>3</v>
      </c>
      <c r="CY20" s="17">
        <f t="shared" si="22"/>
        <v>-154</v>
      </c>
      <c r="CZ20" s="17">
        <f t="shared" si="22"/>
        <v>0</v>
      </c>
      <c r="DA20" s="17">
        <f t="shared" si="22"/>
        <v>0</v>
      </c>
      <c r="DB20" s="17">
        <f t="shared" si="22"/>
        <v>0</v>
      </c>
      <c r="DC20" s="17">
        <f t="shared" si="22"/>
        <v>0</v>
      </c>
      <c r="DD20" s="17">
        <f t="shared" si="22"/>
        <v>0</v>
      </c>
      <c r="DE20" s="17">
        <f t="shared" si="22"/>
        <v>0</v>
      </c>
      <c r="DF20" s="17">
        <f t="shared" si="22"/>
        <v>0</v>
      </c>
      <c r="DG20" s="17">
        <f t="shared" si="22"/>
        <v>0</v>
      </c>
      <c r="DH20" s="17">
        <f t="shared" si="22"/>
        <v>0</v>
      </c>
      <c r="DI20" s="17">
        <f t="shared" si="22"/>
        <v>0</v>
      </c>
    </row>
    <row r="21" spans="1:113" ht="15.75" x14ac:dyDescent="0.25">
      <c r="A21" s="4" t="s">
        <v>31</v>
      </c>
      <c r="B21" s="6" t="s">
        <v>32</v>
      </c>
      <c r="H21" s="90">
        <f>'Combined data'!H21</f>
        <v>223</v>
      </c>
      <c r="I21" s="90">
        <f>'Combined data'!I21-'Combined data'!H21</f>
        <v>27</v>
      </c>
      <c r="J21" s="90">
        <f>'Combined data'!J21-'Combined data'!I21</f>
        <v>17</v>
      </c>
      <c r="K21" s="90">
        <f>'Combined data'!K21-'Combined data'!J21</f>
        <v>14</v>
      </c>
      <c r="L21" s="90">
        <f>'Combined data'!L21-'Combined data'!K21</f>
        <v>15</v>
      </c>
      <c r="M21" s="90">
        <f>'Combined data'!M21-'Combined data'!L21</f>
        <v>3</v>
      </c>
      <c r="N21" s="90">
        <f>'Combined data'!N21-'Combined data'!M21</f>
        <v>19</v>
      </c>
      <c r="O21" s="90">
        <f>'Combined data'!O21-'Combined data'!N21</f>
        <v>8</v>
      </c>
      <c r="P21" s="90">
        <f>'Combined data'!P21-'Combined data'!O21</f>
        <v>6</v>
      </c>
      <c r="Q21" s="90">
        <f>'Combined data'!Q21-'Combined data'!P21</f>
        <v>8</v>
      </c>
      <c r="R21" s="90">
        <f>'Combined data'!R21-'Combined data'!Q21</f>
        <v>1</v>
      </c>
      <c r="S21" s="90">
        <f>'Combined data'!S21-'Combined data'!R21</f>
        <v>11</v>
      </c>
      <c r="T21" s="90">
        <f>'Combined data'!T21-'Combined data'!S21</f>
        <v>7</v>
      </c>
      <c r="U21" s="90">
        <f>'Combined data'!U21-'Combined data'!T21</f>
        <v>12</v>
      </c>
      <c r="V21" s="90">
        <f>'Combined data'!V21-'Combined data'!U21</f>
        <v>4</v>
      </c>
      <c r="W21" s="90">
        <f>'Combined data'!W21-'Combined data'!V21</f>
        <v>11</v>
      </c>
      <c r="X21" s="90">
        <f>'Combined data'!X21-'Combined data'!W21</f>
        <v>2</v>
      </c>
      <c r="Y21" s="90">
        <f>'Combined data'!Y21-'Combined data'!X21</f>
        <v>9</v>
      </c>
      <c r="Z21" s="90">
        <f>'Combined data'!Z21-'Combined data'!Y21</f>
        <v>11</v>
      </c>
      <c r="AA21" s="90">
        <f>'Combined data'!AA21-'Combined data'!Z21</f>
        <v>2</v>
      </c>
      <c r="AB21" s="90">
        <f>'Combined data'!AB21-'Combined data'!AA21</f>
        <v>3</v>
      </c>
      <c r="AC21" s="90">
        <f>'Combined data'!AC21-'Combined data'!AB21</f>
        <v>-1</v>
      </c>
      <c r="AD21" s="90">
        <f>'Combined data'!AD21-'Combined data'!AC21</f>
        <v>8</v>
      </c>
      <c r="AE21" s="90">
        <f>'Combined data'!AE21-'Combined data'!AD21</f>
        <v>-420</v>
      </c>
      <c r="AF21" s="90">
        <f>'Combined data'!AF21-'Combined data'!AE21</f>
        <v>0</v>
      </c>
      <c r="AG21" s="90">
        <f>'Combined data'!AG21-'Combined data'!AF21</f>
        <v>0</v>
      </c>
      <c r="AH21" s="90">
        <f>'Combined data'!AH21-'Combined data'!AG21</f>
        <v>0</v>
      </c>
      <c r="AI21" s="90">
        <f>'Combined data'!AI21-'Combined data'!AH21</f>
        <v>0</v>
      </c>
      <c r="AJ21" s="90">
        <f>'Combined data'!AJ21-'Combined data'!AI21</f>
        <v>0</v>
      </c>
      <c r="AK21" s="90">
        <f>'Combined data'!AK21-'Combined data'!AJ21</f>
        <v>0</v>
      </c>
      <c r="AL21" s="90">
        <f>'Combined data'!AL21-'Combined data'!AK21</f>
        <v>0</v>
      </c>
      <c r="AM21" s="90">
        <f>'Combined data'!AM21-'Combined data'!AL21</f>
        <v>0</v>
      </c>
      <c r="AN21" s="90">
        <f>'Combined data'!AN21-'Combined data'!AM21</f>
        <v>0</v>
      </c>
      <c r="AO21" s="90">
        <f>'Combined data'!AO21-'Combined data'!AN21</f>
        <v>0</v>
      </c>
      <c r="AP21" s="56">
        <f t="shared" si="23"/>
        <v>0</v>
      </c>
      <c r="AQ21" s="113"/>
      <c r="AR21" s="17">
        <f>'Combined data'!AR21</f>
        <v>97</v>
      </c>
      <c r="AS21" s="17">
        <f>'Combined data'!AS21-'Combined data'!AR21</f>
        <v>21</v>
      </c>
      <c r="AT21" s="17">
        <f>'Combined data'!AT21-'Combined data'!AS21</f>
        <v>11</v>
      </c>
      <c r="AU21" s="17">
        <f>'Combined data'!AU21-'Combined data'!AT21</f>
        <v>13</v>
      </c>
      <c r="AV21" s="17">
        <f>'Combined data'!AV21-'Combined data'!AU21</f>
        <v>26</v>
      </c>
      <c r="AW21" s="17">
        <f>'Combined data'!AW21-'Combined data'!AV21</f>
        <v>18</v>
      </c>
      <c r="AX21" s="17">
        <f>'Combined data'!AX21-'Combined data'!AW21</f>
        <v>20</v>
      </c>
      <c r="AY21" s="17">
        <f>'Combined data'!AY21-'Combined data'!AX21</f>
        <v>25</v>
      </c>
      <c r="AZ21" s="17">
        <f>'Combined data'!AZ21-'Combined data'!AY21</f>
        <v>12</v>
      </c>
      <c r="BA21" s="17">
        <f>'Combined data'!BA21-'Combined data'!AZ21</f>
        <v>6</v>
      </c>
      <c r="BB21" s="17">
        <f>'Combined data'!BB21-'Combined data'!BA21</f>
        <v>1</v>
      </c>
      <c r="BC21" s="17">
        <f>'Combined data'!BC21-'Combined data'!BB21</f>
        <v>8</v>
      </c>
      <c r="BD21" s="17">
        <f>'Combined data'!BD21-'Combined data'!BC21</f>
        <v>13</v>
      </c>
      <c r="BE21" s="17">
        <f>'Combined data'!BE21-'Combined data'!BD21</f>
        <v>5</v>
      </c>
      <c r="BF21" s="17">
        <f>'Combined data'!BF21-'Combined data'!BE21</f>
        <v>5</v>
      </c>
      <c r="BG21" s="17">
        <f>'Combined data'!BG21-'Combined data'!BF21</f>
        <v>10</v>
      </c>
      <c r="BH21" s="17">
        <f>'Combined data'!BH21-'Combined data'!BG21</f>
        <v>2</v>
      </c>
      <c r="BI21" s="17">
        <f>'Combined data'!BI21-'Combined data'!BH21</f>
        <v>7</v>
      </c>
      <c r="BJ21" s="17">
        <f>'Combined data'!BJ21-'Combined data'!BI21</f>
        <v>9</v>
      </c>
      <c r="BK21" s="17">
        <f>'Combined data'!BK21-'Combined data'!BJ21</f>
        <v>10</v>
      </c>
      <c r="BL21" s="17">
        <f>'Combined data'!BL21-'Combined data'!BK21</f>
        <v>18</v>
      </c>
      <c r="BM21" s="17">
        <f>'Combined data'!BM21-'Combined data'!BL21</f>
        <v>2</v>
      </c>
      <c r="BN21" s="17">
        <f>'Combined data'!BN21-'Combined data'!BM21</f>
        <v>5</v>
      </c>
      <c r="BO21" s="17">
        <f>'Combined data'!BO21-'Combined data'!BN21</f>
        <v>-344</v>
      </c>
      <c r="BP21" s="17">
        <f>'Combined data'!BP21-'Combined data'!BO21</f>
        <v>0</v>
      </c>
      <c r="BQ21" s="17">
        <f>'Combined data'!BQ21-'Combined data'!BP21</f>
        <v>0</v>
      </c>
      <c r="BR21" s="17">
        <f>'Combined data'!BR21-'Combined data'!BQ21</f>
        <v>0</v>
      </c>
      <c r="BS21" s="17">
        <f>'Combined data'!BS21-'Combined data'!BR21</f>
        <v>0</v>
      </c>
      <c r="BT21" s="17">
        <f>'Combined data'!BT21-'Combined data'!BS21</f>
        <v>0</v>
      </c>
      <c r="BU21" s="17">
        <f>'Combined data'!BU21-'Combined data'!BT21</f>
        <v>0</v>
      </c>
      <c r="BV21" s="17">
        <f>'Combined data'!BV21-'Combined data'!BU21</f>
        <v>0</v>
      </c>
      <c r="BW21" s="17">
        <f>'Combined data'!BW21-'Combined data'!BV21</f>
        <v>0</v>
      </c>
      <c r="BX21" s="17">
        <f>'Combined data'!BX21-'Combined data'!BW21</f>
        <v>0</v>
      </c>
      <c r="BY21" s="17">
        <f>'Combined data'!BY21-'Combined data'!BX21</f>
        <v>0</v>
      </c>
      <c r="CB21" s="17">
        <f t="shared" si="0"/>
        <v>97</v>
      </c>
      <c r="CC21" s="17">
        <f t="shared" si="1"/>
        <v>21</v>
      </c>
      <c r="CD21" s="17">
        <f t="shared" si="2"/>
        <v>11</v>
      </c>
      <c r="CE21" s="17">
        <f t="shared" si="3"/>
        <v>13</v>
      </c>
      <c r="CF21" s="17">
        <f t="shared" si="4"/>
        <v>26</v>
      </c>
      <c r="CG21" s="17">
        <f t="shared" si="5"/>
        <v>18</v>
      </c>
      <c r="CH21" s="17">
        <f t="shared" si="6"/>
        <v>20</v>
      </c>
      <c r="CI21" s="17">
        <f t="shared" si="7"/>
        <v>25</v>
      </c>
      <c r="CJ21" s="17">
        <f t="shared" si="8"/>
        <v>12</v>
      </c>
      <c r="CK21" s="17">
        <f t="shared" si="9"/>
        <v>6</v>
      </c>
      <c r="CL21" s="17">
        <f t="shared" si="10"/>
        <v>1</v>
      </c>
      <c r="CM21" s="17">
        <f t="shared" si="11"/>
        <v>8</v>
      </c>
      <c r="CN21" s="17">
        <f t="shared" si="12"/>
        <v>13</v>
      </c>
      <c r="CO21" s="17">
        <f t="shared" si="13"/>
        <v>5</v>
      </c>
      <c r="CP21" s="17">
        <f t="shared" si="14"/>
        <v>5</v>
      </c>
      <c r="CQ21" s="17">
        <f t="shared" si="15"/>
        <v>10</v>
      </c>
      <c r="CR21" s="17">
        <f t="shared" si="16"/>
        <v>2</v>
      </c>
      <c r="CS21" s="17">
        <f t="shared" si="17"/>
        <v>7</v>
      </c>
      <c r="CT21" s="17">
        <f t="shared" si="18"/>
        <v>9</v>
      </c>
      <c r="CU21" s="17">
        <f t="shared" si="19"/>
        <v>10</v>
      </c>
      <c r="CV21" s="17">
        <f t="shared" si="20"/>
        <v>18</v>
      </c>
      <c r="CW21" s="17">
        <f t="shared" si="21"/>
        <v>2</v>
      </c>
      <c r="CX21" s="17">
        <f t="shared" si="22"/>
        <v>5</v>
      </c>
      <c r="CY21" s="17">
        <f t="shared" si="22"/>
        <v>-344</v>
      </c>
      <c r="CZ21" s="17">
        <f t="shared" si="22"/>
        <v>0</v>
      </c>
      <c r="DA21" s="17">
        <f t="shared" si="22"/>
        <v>0</v>
      </c>
      <c r="DB21" s="17">
        <f t="shared" si="22"/>
        <v>0</v>
      </c>
      <c r="DC21" s="17">
        <f t="shared" si="22"/>
        <v>0</v>
      </c>
      <c r="DD21" s="17">
        <f t="shared" si="22"/>
        <v>0</v>
      </c>
      <c r="DE21" s="17">
        <f t="shared" si="22"/>
        <v>0</v>
      </c>
      <c r="DF21" s="17">
        <f t="shared" si="22"/>
        <v>0</v>
      </c>
      <c r="DG21" s="17">
        <f t="shared" si="22"/>
        <v>0</v>
      </c>
      <c r="DH21" s="17">
        <f t="shared" si="22"/>
        <v>0</v>
      </c>
      <c r="DI21" s="17">
        <f t="shared" si="22"/>
        <v>0</v>
      </c>
    </row>
    <row r="22" spans="1:113" ht="15.75" x14ac:dyDescent="0.25">
      <c r="A22" s="4" t="s">
        <v>33</v>
      </c>
      <c r="B22" s="6" t="s">
        <v>34</v>
      </c>
      <c r="H22" s="90">
        <f>'Combined data'!H22</f>
        <v>209</v>
      </c>
      <c r="I22" s="90">
        <f>'Combined data'!I22-'Combined data'!H22</f>
        <v>9</v>
      </c>
      <c r="J22" s="90">
        <f>'Combined data'!J22-'Combined data'!I22</f>
        <v>14</v>
      </c>
      <c r="K22" s="90">
        <f>'Combined data'!K22-'Combined data'!J22</f>
        <v>24</v>
      </c>
      <c r="L22" s="90">
        <f>'Combined data'!L22-'Combined data'!K22</f>
        <v>6</v>
      </c>
      <c r="M22" s="90">
        <f>'Combined data'!M22-'Combined data'!L22</f>
        <v>1</v>
      </c>
      <c r="N22" s="90">
        <f>'Combined data'!N22-'Combined data'!M22</f>
        <v>16</v>
      </c>
      <c r="O22" s="90">
        <f>'Combined data'!O22-'Combined data'!N22</f>
        <v>15</v>
      </c>
      <c r="P22" s="90">
        <f>'Combined data'!P22-'Combined data'!O22</f>
        <v>14</v>
      </c>
      <c r="Q22" s="90">
        <f>'Combined data'!Q22-'Combined data'!P22</f>
        <v>6</v>
      </c>
      <c r="R22" s="90">
        <f>'Combined data'!R22-'Combined data'!Q22</f>
        <v>11</v>
      </c>
      <c r="S22" s="90">
        <f>'Combined data'!S22-'Combined data'!R22</f>
        <v>6</v>
      </c>
      <c r="T22" s="90">
        <f>'Combined data'!T22-'Combined data'!S22</f>
        <v>9</v>
      </c>
      <c r="U22" s="90">
        <f>'Combined data'!U22-'Combined data'!T22</f>
        <v>15</v>
      </c>
      <c r="V22" s="90">
        <f>'Combined data'!V22-'Combined data'!U22</f>
        <v>17</v>
      </c>
      <c r="W22" s="90">
        <f>'Combined data'!W22-'Combined data'!V22</f>
        <v>12</v>
      </c>
      <c r="X22" s="90">
        <f>'Combined data'!X22-'Combined data'!W22</f>
        <v>9</v>
      </c>
      <c r="Y22" s="90">
        <f>'Combined data'!Y22-'Combined data'!X22</f>
        <v>12</v>
      </c>
      <c r="Z22" s="90">
        <f>'Combined data'!Z22-'Combined data'!Y22</f>
        <v>19</v>
      </c>
      <c r="AA22" s="90">
        <f>'Combined data'!AA22-'Combined data'!Z22</f>
        <v>5</v>
      </c>
      <c r="AB22" s="90">
        <f>'Combined data'!AB22-'Combined data'!AA22</f>
        <v>10</v>
      </c>
      <c r="AC22" s="90">
        <f>'Combined data'!AC22-'Combined data'!AB22</f>
        <v>6</v>
      </c>
      <c r="AD22" s="90">
        <f>'Combined data'!AD22-'Combined data'!AC22</f>
        <v>16</v>
      </c>
      <c r="AE22" s="90">
        <f>'Combined data'!AE22-'Combined data'!AD22</f>
        <v>-461</v>
      </c>
      <c r="AF22" s="90">
        <f>'Combined data'!AF22-'Combined data'!AE22</f>
        <v>0</v>
      </c>
      <c r="AG22" s="90">
        <f>'Combined data'!AG22-'Combined data'!AF22</f>
        <v>0</v>
      </c>
      <c r="AH22" s="90">
        <f>'Combined data'!AH22-'Combined data'!AG22</f>
        <v>0</v>
      </c>
      <c r="AI22" s="90">
        <f>'Combined data'!AI22-'Combined data'!AH22</f>
        <v>0</v>
      </c>
      <c r="AJ22" s="90">
        <f>'Combined data'!AJ22-'Combined data'!AI22</f>
        <v>0</v>
      </c>
      <c r="AK22" s="90">
        <f>'Combined data'!AK22-'Combined data'!AJ22</f>
        <v>0</v>
      </c>
      <c r="AL22" s="90">
        <f>'Combined data'!AL22-'Combined data'!AK22</f>
        <v>0</v>
      </c>
      <c r="AM22" s="90">
        <f>'Combined data'!AM22-'Combined data'!AL22</f>
        <v>0</v>
      </c>
      <c r="AN22" s="90">
        <f>'Combined data'!AN22-'Combined data'!AM22</f>
        <v>0</v>
      </c>
      <c r="AO22" s="90">
        <f>'Combined data'!AO22-'Combined data'!AN22</f>
        <v>0</v>
      </c>
      <c r="AP22" s="56">
        <f t="shared" si="23"/>
        <v>0</v>
      </c>
      <c r="AQ22" s="113"/>
      <c r="AR22" s="17">
        <f>'Combined data'!AR22</f>
        <v>102</v>
      </c>
      <c r="AS22" s="17">
        <f>'Combined data'!AS22-'Combined data'!AR22</f>
        <v>8</v>
      </c>
      <c r="AT22" s="17">
        <f>'Combined data'!AT22-'Combined data'!AS22</f>
        <v>9</v>
      </c>
      <c r="AU22" s="17">
        <f>'Combined data'!AU22-'Combined data'!AT22</f>
        <v>14</v>
      </c>
      <c r="AV22" s="17">
        <f>'Combined data'!AV22-'Combined data'!AU22</f>
        <v>13</v>
      </c>
      <c r="AW22" s="17">
        <f>'Combined data'!AW22-'Combined data'!AV22</f>
        <v>12</v>
      </c>
      <c r="AX22" s="17">
        <f>'Combined data'!AX22-'Combined data'!AW22</f>
        <v>14</v>
      </c>
      <c r="AY22" s="17">
        <f>'Combined data'!AY22-'Combined data'!AX22</f>
        <v>5</v>
      </c>
      <c r="AZ22" s="17">
        <f>'Combined data'!AZ22-'Combined data'!AY22</f>
        <v>11</v>
      </c>
      <c r="BA22" s="17">
        <f>'Combined data'!BA22-'Combined data'!AZ22</f>
        <v>5</v>
      </c>
      <c r="BB22" s="17">
        <f>'Combined data'!BB22-'Combined data'!BA22</f>
        <v>6</v>
      </c>
      <c r="BC22" s="17">
        <f>'Combined data'!BC22-'Combined data'!BB22</f>
        <v>11</v>
      </c>
      <c r="BD22" s="17">
        <f>'Combined data'!BD22-'Combined data'!BC22</f>
        <v>6</v>
      </c>
      <c r="BE22" s="17">
        <f>'Combined data'!BE22-'Combined data'!BD22</f>
        <v>3</v>
      </c>
      <c r="BF22" s="17">
        <f>'Combined data'!BF22-'Combined data'!BE22</f>
        <v>12</v>
      </c>
      <c r="BG22" s="17">
        <f>'Combined data'!BG22-'Combined data'!BF22</f>
        <v>9</v>
      </c>
      <c r="BH22" s="17">
        <f>'Combined data'!BH22-'Combined data'!BG22</f>
        <v>8</v>
      </c>
      <c r="BI22" s="17">
        <f>'Combined data'!BI22-'Combined data'!BH22</f>
        <v>1</v>
      </c>
      <c r="BJ22" s="17">
        <f>'Combined data'!BJ22-'Combined data'!BI22</f>
        <v>19</v>
      </c>
      <c r="BK22" s="17">
        <f>'Combined data'!BK22-'Combined data'!BJ22</f>
        <v>14</v>
      </c>
      <c r="BL22" s="17">
        <f>'Combined data'!BL22-'Combined data'!BK22</f>
        <v>25</v>
      </c>
      <c r="BM22" s="17">
        <f>'Combined data'!BM22-'Combined data'!BL22</f>
        <v>-1</v>
      </c>
      <c r="BN22" s="17">
        <f>'Combined data'!BN22-'Combined data'!BM22</f>
        <v>6</v>
      </c>
      <c r="BO22" s="17">
        <f>'Combined data'!BO22-'Combined data'!BN22</f>
        <v>-312</v>
      </c>
      <c r="BP22" s="17">
        <f>'Combined data'!BP22-'Combined data'!BO22</f>
        <v>0</v>
      </c>
      <c r="BQ22" s="17">
        <f>'Combined data'!BQ22-'Combined data'!BP22</f>
        <v>0</v>
      </c>
      <c r="BR22" s="17">
        <f>'Combined data'!BR22-'Combined data'!BQ22</f>
        <v>0</v>
      </c>
      <c r="BS22" s="17">
        <f>'Combined data'!BS22-'Combined data'!BR22</f>
        <v>0</v>
      </c>
      <c r="BT22" s="17">
        <f>'Combined data'!BT22-'Combined data'!BS22</f>
        <v>0</v>
      </c>
      <c r="BU22" s="17">
        <f>'Combined data'!BU22-'Combined data'!BT22</f>
        <v>0</v>
      </c>
      <c r="BV22" s="17">
        <f>'Combined data'!BV22-'Combined data'!BU22</f>
        <v>0</v>
      </c>
      <c r="BW22" s="17">
        <f>'Combined data'!BW22-'Combined data'!BV22</f>
        <v>0</v>
      </c>
      <c r="BX22" s="17">
        <f>'Combined data'!BX22-'Combined data'!BW22</f>
        <v>0</v>
      </c>
      <c r="BY22" s="17">
        <f>'Combined data'!BY22-'Combined data'!BX22</f>
        <v>0</v>
      </c>
      <c r="CB22" s="17">
        <f t="shared" si="0"/>
        <v>102</v>
      </c>
      <c r="CC22" s="17">
        <f t="shared" si="1"/>
        <v>8</v>
      </c>
      <c r="CD22" s="17">
        <f t="shared" si="2"/>
        <v>9</v>
      </c>
      <c r="CE22" s="17">
        <f t="shared" si="3"/>
        <v>14</v>
      </c>
      <c r="CF22" s="17">
        <f t="shared" si="4"/>
        <v>13</v>
      </c>
      <c r="CG22" s="17">
        <f t="shared" si="5"/>
        <v>12</v>
      </c>
      <c r="CH22" s="17">
        <f t="shared" si="6"/>
        <v>14</v>
      </c>
      <c r="CI22" s="17">
        <f t="shared" si="7"/>
        <v>5</v>
      </c>
      <c r="CJ22" s="17">
        <f t="shared" si="8"/>
        <v>11</v>
      </c>
      <c r="CK22" s="17">
        <f t="shared" si="9"/>
        <v>5</v>
      </c>
      <c r="CL22" s="17">
        <f t="shared" si="10"/>
        <v>6</v>
      </c>
      <c r="CM22" s="17">
        <f t="shared" si="11"/>
        <v>11</v>
      </c>
      <c r="CN22" s="17">
        <f t="shared" si="12"/>
        <v>6</v>
      </c>
      <c r="CO22" s="17">
        <f t="shared" si="13"/>
        <v>3</v>
      </c>
      <c r="CP22" s="17">
        <f t="shared" si="14"/>
        <v>12</v>
      </c>
      <c r="CQ22" s="17">
        <f t="shared" si="15"/>
        <v>9</v>
      </c>
      <c r="CR22" s="17">
        <f t="shared" si="16"/>
        <v>8</v>
      </c>
      <c r="CS22" s="17">
        <f t="shared" si="17"/>
        <v>1</v>
      </c>
      <c r="CT22" s="17">
        <f t="shared" si="18"/>
        <v>19</v>
      </c>
      <c r="CU22" s="17">
        <f t="shared" si="19"/>
        <v>14</v>
      </c>
      <c r="CV22" s="17">
        <f t="shared" si="20"/>
        <v>25</v>
      </c>
      <c r="CW22" s="17">
        <f t="shared" si="21"/>
        <v>-1</v>
      </c>
      <c r="CX22" s="17">
        <f t="shared" si="22"/>
        <v>6</v>
      </c>
      <c r="CY22" s="17">
        <f t="shared" si="22"/>
        <v>-312</v>
      </c>
      <c r="CZ22" s="17">
        <f t="shared" si="22"/>
        <v>0</v>
      </c>
      <c r="DA22" s="17">
        <f t="shared" si="22"/>
        <v>0</v>
      </c>
      <c r="DB22" s="17">
        <f t="shared" si="22"/>
        <v>0</v>
      </c>
      <c r="DC22" s="17">
        <f t="shared" si="22"/>
        <v>0</v>
      </c>
      <c r="DD22" s="17">
        <f t="shared" si="22"/>
        <v>0</v>
      </c>
      <c r="DE22" s="17">
        <f t="shared" si="22"/>
        <v>0</v>
      </c>
      <c r="DF22" s="17">
        <f t="shared" si="22"/>
        <v>0</v>
      </c>
      <c r="DG22" s="17">
        <f t="shared" si="22"/>
        <v>0</v>
      </c>
      <c r="DH22" s="17">
        <f t="shared" si="22"/>
        <v>0</v>
      </c>
      <c r="DI22" s="17">
        <f t="shared" si="22"/>
        <v>0</v>
      </c>
    </row>
    <row r="23" spans="1:113" ht="15.75" x14ac:dyDescent="0.25">
      <c r="A23" s="4" t="s">
        <v>35</v>
      </c>
      <c r="B23" s="6" t="s">
        <v>36</v>
      </c>
      <c r="H23" s="90">
        <f>'Combined data'!H23</f>
        <v>344</v>
      </c>
      <c r="I23" s="90">
        <f>'Combined data'!I23-'Combined data'!H23</f>
        <v>18</v>
      </c>
      <c r="J23" s="90">
        <f>'Combined data'!J23-'Combined data'!I23</f>
        <v>19</v>
      </c>
      <c r="K23" s="90">
        <f>'Combined data'!K23-'Combined data'!J23</f>
        <v>37</v>
      </c>
      <c r="L23" s="90">
        <f>'Combined data'!L23-'Combined data'!K23</f>
        <v>0</v>
      </c>
      <c r="M23" s="90">
        <f>'Combined data'!M23-'Combined data'!L23</f>
        <v>10</v>
      </c>
      <c r="N23" s="90">
        <f>'Combined data'!N23-'Combined data'!M23</f>
        <v>13</v>
      </c>
      <c r="O23" s="90">
        <f>'Combined data'!O23-'Combined data'!N23</f>
        <v>10</v>
      </c>
      <c r="P23" s="90">
        <f>'Combined data'!P23-'Combined data'!O23</f>
        <v>6</v>
      </c>
      <c r="Q23" s="90">
        <f>'Combined data'!Q23-'Combined data'!P23</f>
        <v>8</v>
      </c>
      <c r="R23" s="90">
        <f>'Combined data'!R23-'Combined data'!Q23</f>
        <v>5</v>
      </c>
      <c r="S23" s="90">
        <f>'Combined data'!S23-'Combined data'!R23</f>
        <v>10</v>
      </c>
      <c r="T23" s="90">
        <f>'Combined data'!T23-'Combined data'!S23</f>
        <v>10</v>
      </c>
      <c r="U23" s="90">
        <f>'Combined data'!U23-'Combined data'!T23</f>
        <v>10</v>
      </c>
      <c r="V23" s="90">
        <f>'Combined data'!V23-'Combined data'!U23</f>
        <v>7</v>
      </c>
      <c r="W23" s="90">
        <f>'Combined data'!W23-'Combined data'!V23</f>
        <v>2</v>
      </c>
      <c r="X23" s="90">
        <f>'Combined data'!X23-'Combined data'!W23</f>
        <v>7</v>
      </c>
      <c r="Y23" s="90">
        <f>'Combined data'!Y23-'Combined data'!X23</f>
        <v>5</v>
      </c>
      <c r="Z23" s="90">
        <f>'Combined data'!Z23-'Combined data'!Y23</f>
        <v>9</v>
      </c>
      <c r="AA23" s="90">
        <f>'Combined data'!AA23-'Combined data'!Z23</f>
        <v>6</v>
      </c>
      <c r="AB23" s="90">
        <f>'Combined data'!AB23-'Combined data'!AA23</f>
        <v>1</v>
      </c>
      <c r="AC23" s="90">
        <f>'Combined data'!AC23-'Combined data'!AB23</f>
        <v>0</v>
      </c>
      <c r="AD23" s="90">
        <f>'Combined data'!AD23-'Combined data'!AC23</f>
        <v>8</v>
      </c>
      <c r="AE23" s="90">
        <f>'Combined data'!AE23-'Combined data'!AD23</f>
        <v>-545</v>
      </c>
      <c r="AF23" s="90">
        <f>'Combined data'!AF23-'Combined data'!AE23</f>
        <v>0</v>
      </c>
      <c r="AG23" s="90">
        <f>'Combined data'!AG23-'Combined data'!AF23</f>
        <v>0</v>
      </c>
      <c r="AH23" s="90">
        <f>'Combined data'!AH23-'Combined data'!AG23</f>
        <v>0</v>
      </c>
      <c r="AI23" s="90">
        <f>'Combined data'!AI23-'Combined data'!AH23</f>
        <v>0</v>
      </c>
      <c r="AJ23" s="90">
        <f>'Combined data'!AJ23-'Combined data'!AI23</f>
        <v>0</v>
      </c>
      <c r="AK23" s="90">
        <f>'Combined data'!AK23-'Combined data'!AJ23</f>
        <v>0</v>
      </c>
      <c r="AL23" s="90">
        <f>'Combined data'!AL23-'Combined data'!AK23</f>
        <v>0</v>
      </c>
      <c r="AM23" s="90">
        <f>'Combined data'!AM23-'Combined data'!AL23</f>
        <v>0</v>
      </c>
      <c r="AN23" s="90">
        <f>'Combined data'!AN23-'Combined data'!AM23</f>
        <v>0</v>
      </c>
      <c r="AO23" s="90">
        <f>'Combined data'!AO23-'Combined data'!AN23</f>
        <v>0</v>
      </c>
      <c r="AP23" s="56">
        <f t="shared" si="23"/>
        <v>0</v>
      </c>
      <c r="AQ23" s="113"/>
      <c r="AR23" s="17">
        <f>'Combined data'!AR23</f>
        <v>196</v>
      </c>
      <c r="AS23" s="17">
        <f>'Combined data'!AS23-'Combined data'!AR23</f>
        <v>31</v>
      </c>
      <c r="AT23" s="17">
        <f>'Combined data'!AT23-'Combined data'!AS23</f>
        <v>21</v>
      </c>
      <c r="AU23" s="17">
        <f>'Combined data'!AU23-'Combined data'!AT23</f>
        <v>25</v>
      </c>
      <c r="AV23" s="17">
        <f>'Combined data'!AV23-'Combined data'!AU23</f>
        <v>18</v>
      </c>
      <c r="AW23" s="17">
        <f>'Combined data'!AW23-'Combined data'!AV23</f>
        <v>16</v>
      </c>
      <c r="AX23" s="17">
        <f>'Combined data'!AX23-'Combined data'!AW23</f>
        <v>36</v>
      </c>
      <c r="AY23" s="17">
        <f>'Combined data'!AY23-'Combined data'!AX23</f>
        <v>7</v>
      </c>
      <c r="AZ23" s="17">
        <f>'Combined data'!AZ23-'Combined data'!AY23</f>
        <v>10</v>
      </c>
      <c r="BA23" s="17">
        <f>'Combined data'!BA23-'Combined data'!AZ23</f>
        <v>10</v>
      </c>
      <c r="BB23" s="17">
        <f>'Combined data'!BB23-'Combined data'!BA23</f>
        <v>4</v>
      </c>
      <c r="BC23" s="17">
        <f>'Combined data'!BC23-'Combined data'!BB23</f>
        <v>12</v>
      </c>
      <c r="BD23" s="17">
        <f>'Combined data'!BD23-'Combined data'!BC23</f>
        <v>10</v>
      </c>
      <c r="BE23" s="17">
        <f>'Combined data'!BE23-'Combined data'!BD23</f>
        <v>5</v>
      </c>
      <c r="BF23" s="17">
        <f>'Combined data'!BF23-'Combined data'!BE23</f>
        <v>13</v>
      </c>
      <c r="BG23" s="17">
        <f>'Combined data'!BG23-'Combined data'!BF23</f>
        <v>5</v>
      </c>
      <c r="BH23" s="17">
        <f>'Combined data'!BH23-'Combined data'!BG23</f>
        <v>8</v>
      </c>
      <c r="BI23" s="17">
        <f>'Combined data'!BI23-'Combined data'!BH23</f>
        <v>4</v>
      </c>
      <c r="BJ23" s="17">
        <f>'Combined data'!BJ23-'Combined data'!BI23</f>
        <v>9</v>
      </c>
      <c r="BK23" s="17">
        <f>'Combined data'!BK23-'Combined data'!BJ23</f>
        <v>5</v>
      </c>
      <c r="BL23" s="17">
        <f>'Combined data'!BL23-'Combined data'!BK23</f>
        <v>8</v>
      </c>
      <c r="BM23" s="17">
        <f>'Combined data'!BM23-'Combined data'!BL23</f>
        <v>-3</v>
      </c>
      <c r="BN23" s="17">
        <f>'Combined data'!BN23-'Combined data'!BM23</f>
        <v>7</v>
      </c>
      <c r="BO23" s="17">
        <f>'Combined data'!BO23-'Combined data'!BN23</f>
        <v>-457</v>
      </c>
      <c r="BP23" s="17">
        <f>'Combined data'!BP23-'Combined data'!BO23</f>
        <v>0</v>
      </c>
      <c r="BQ23" s="17">
        <f>'Combined data'!BQ23-'Combined data'!BP23</f>
        <v>0</v>
      </c>
      <c r="BR23" s="17">
        <f>'Combined data'!BR23-'Combined data'!BQ23</f>
        <v>0</v>
      </c>
      <c r="BS23" s="17">
        <f>'Combined data'!BS23-'Combined data'!BR23</f>
        <v>0</v>
      </c>
      <c r="BT23" s="17">
        <f>'Combined data'!BT23-'Combined data'!BS23</f>
        <v>0</v>
      </c>
      <c r="BU23" s="17">
        <f>'Combined data'!BU23-'Combined data'!BT23</f>
        <v>0</v>
      </c>
      <c r="BV23" s="17">
        <f>'Combined data'!BV23-'Combined data'!BU23</f>
        <v>0</v>
      </c>
      <c r="BW23" s="17">
        <f>'Combined data'!BW23-'Combined data'!BV23</f>
        <v>0</v>
      </c>
      <c r="BX23" s="17">
        <f>'Combined data'!BX23-'Combined data'!BW23</f>
        <v>0</v>
      </c>
      <c r="BY23" s="17">
        <f>'Combined data'!BY23-'Combined data'!BX23</f>
        <v>0</v>
      </c>
      <c r="CB23" s="17">
        <f t="shared" si="0"/>
        <v>196</v>
      </c>
      <c r="CC23" s="17">
        <f t="shared" si="1"/>
        <v>31</v>
      </c>
      <c r="CD23" s="17">
        <f t="shared" si="2"/>
        <v>21</v>
      </c>
      <c r="CE23" s="17">
        <f t="shared" si="3"/>
        <v>25</v>
      </c>
      <c r="CF23" s="17">
        <f t="shared" si="4"/>
        <v>18</v>
      </c>
      <c r="CG23" s="17">
        <f t="shared" si="5"/>
        <v>16</v>
      </c>
      <c r="CH23" s="17">
        <f t="shared" si="6"/>
        <v>36</v>
      </c>
      <c r="CI23" s="17">
        <f t="shared" si="7"/>
        <v>7</v>
      </c>
      <c r="CJ23" s="17">
        <f t="shared" si="8"/>
        <v>10</v>
      </c>
      <c r="CK23" s="17">
        <f t="shared" si="9"/>
        <v>10</v>
      </c>
      <c r="CL23" s="17">
        <f t="shared" si="10"/>
        <v>4</v>
      </c>
      <c r="CM23" s="17">
        <f t="shared" si="11"/>
        <v>12</v>
      </c>
      <c r="CN23" s="17">
        <f t="shared" si="12"/>
        <v>10</v>
      </c>
      <c r="CO23" s="17">
        <f t="shared" si="13"/>
        <v>5</v>
      </c>
      <c r="CP23" s="17">
        <f t="shared" si="14"/>
        <v>13</v>
      </c>
      <c r="CQ23" s="17">
        <f t="shared" si="15"/>
        <v>5</v>
      </c>
      <c r="CR23" s="17">
        <f t="shared" si="16"/>
        <v>8</v>
      </c>
      <c r="CS23" s="17">
        <f t="shared" si="17"/>
        <v>4</v>
      </c>
      <c r="CT23" s="17">
        <f t="shared" si="18"/>
        <v>9</v>
      </c>
      <c r="CU23" s="17">
        <f t="shared" si="19"/>
        <v>5</v>
      </c>
      <c r="CV23" s="17">
        <f t="shared" si="20"/>
        <v>8</v>
      </c>
      <c r="CW23" s="17">
        <f t="shared" si="21"/>
        <v>-3</v>
      </c>
      <c r="CX23" s="17">
        <f t="shared" si="22"/>
        <v>7</v>
      </c>
      <c r="CY23" s="17">
        <f t="shared" si="22"/>
        <v>-457</v>
      </c>
      <c r="CZ23" s="17">
        <f t="shared" si="22"/>
        <v>0</v>
      </c>
      <c r="DA23" s="17">
        <f t="shared" si="22"/>
        <v>0</v>
      </c>
      <c r="DB23" s="17">
        <f t="shared" si="22"/>
        <v>0</v>
      </c>
      <c r="DC23" s="17">
        <f t="shared" si="22"/>
        <v>0</v>
      </c>
      <c r="DD23" s="17">
        <f t="shared" si="22"/>
        <v>0</v>
      </c>
      <c r="DE23" s="17">
        <f t="shared" si="22"/>
        <v>0</v>
      </c>
      <c r="DF23" s="17">
        <f t="shared" si="22"/>
        <v>0</v>
      </c>
      <c r="DG23" s="17">
        <f t="shared" si="22"/>
        <v>0</v>
      </c>
      <c r="DH23" s="17">
        <f t="shared" si="22"/>
        <v>0</v>
      </c>
      <c r="DI23" s="17">
        <f t="shared" si="22"/>
        <v>0</v>
      </c>
    </row>
    <row r="24" spans="1:113" ht="15.75" x14ac:dyDescent="0.25">
      <c r="A24" s="4" t="s">
        <v>37</v>
      </c>
      <c r="B24" s="6" t="s">
        <v>38</v>
      </c>
      <c r="H24" s="90">
        <f>'Combined data'!H24</f>
        <v>423</v>
      </c>
      <c r="I24" s="90">
        <f>'Combined data'!I24-'Combined data'!H24</f>
        <v>30</v>
      </c>
      <c r="J24" s="90">
        <f>'Combined data'!J24-'Combined data'!I24</f>
        <v>21</v>
      </c>
      <c r="K24" s="90">
        <f>'Combined data'!K24-'Combined data'!J24</f>
        <v>27</v>
      </c>
      <c r="L24" s="90">
        <f>'Combined data'!L24-'Combined data'!K24</f>
        <v>16</v>
      </c>
      <c r="M24" s="90">
        <f>'Combined data'!M24-'Combined data'!L24</f>
        <v>5</v>
      </c>
      <c r="N24" s="90">
        <f>'Combined data'!N24-'Combined data'!M24</f>
        <v>32</v>
      </c>
      <c r="O24" s="90">
        <f>'Combined data'!O24-'Combined data'!N24</f>
        <v>5</v>
      </c>
      <c r="P24" s="90">
        <f>'Combined data'!P24-'Combined data'!O24</f>
        <v>17</v>
      </c>
      <c r="Q24" s="90">
        <f>'Combined data'!Q24-'Combined data'!P24</f>
        <v>10</v>
      </c>
      <c r="R24" s="90">
        <f>'Combined data'!R24-'Combined data'!Q24</f>
        <v>8</v>
      </c>
      <c r="S24" s="90">
        <f>'Combined data'!S24-'Combined data'!R24</f>
        <v>10</v>
      </c>
      <c r="T24" s="90">
        <f>'Combined data'!T24-'Combined data'!S24</f>
        <v>7</v>
      </c>
      <c r="U24" s="90">
        <f>'Combined data'!U24-'Combined data'!T24</f>
        <v>17</v>
      </c>
      <c r="V24" s="90">
        <f>'Combined data'!V24-'Combined data'!U24</f>
        <v>16</v>
      </c>
      <c r="W24" s="90">
        <f>'Combined data'!W24-'Combined data'!V24</f>
        <v>7</v>
      </c>
      <c r="X24" s="90">
        <f>'Combined data'!X24-'Combined data'!W24</f>
        <v>5</v>
      </c>
      <c r="Y24" s="90">
        <f>'Combined data'!Y24-'Combined data'!X24</f>
        <v>10</v>
      </c>
      <c r="Z24" s="90">
        <f>'Combined data'!Z24-'Combined data'!Y24</f>
        <v>13</v>
      </c>
      <c r="AA24" s="90">
        <f>'Combined data'!AA24-'Combined data'!Z24</f>
        <v>6</v>
      </c>
      <c r="AB24" s="90">
        <f>'Combined data'!AB24-'Combined data'!AA24</f>
        <v>9</v>
      </c>
      <c r="AC24" s="90">
        <f>'Combined data'!AC24-'Combined data'!AB24</f>
        <v>0</v>
      </c>
      <c r="AD24" s="90">
        <f>'Combined data'!AD24-'Combined data'!AC24</f>
        <v>8</v>
      </c>
      <c r="AE24" s="90">
        <f>'Combined data'!AE24-'Combined data'!AD24</f>
        <v>-702</v>
      </c>
      <c r="AF24" s="90">
        <f>'Combined data'!AF24-'Combined data'!AE24</f>
        <v>0</v>
      </c>
      <c r="AG24" s="90">
        <f>'Combined data'!AG24-'Combined data'!AF24</f>
        <v>0</v>
      </c>
      <c r="AH24" s="90">
        <f>'Combined data'!AH24-'Combined data'!AG24</f>
        <v>0</v>
      </c>
      <c r="AI24" s="90">
        <f>'Combined data'!AI24-'Combined data'!AH24</f>
        <v>0</v>
      </c>
      <c r="AJ24" s="90">
        <f>'Combined data'!AJ24-'Combined data'!AI24</f>
        <v>0</v>
      </c>
      <c r="AK24" s="90">
        <f>'Combined data'!AK24-'Combined data'!AJ24</f>
        <v>0</v>
      </c>
      <c r="AL24" s="90">
        <f>'Combined data'!AL24-'Combined data'!AK24</f>
        <v>0</v>
      </c>
      <c r="AM24" s="90">
        <f>'Combined data'!AM24-'Combined data'!AL24</f>
        <v>0</v>
      </c>
      <c r="AN24" s="90">
        <f>'Combined data'!AN24-'Combined data'!AM24</f>
        <v>0</v>
      </c>
      <c r="AO24" s="90">
        <f>'Combined data'!AO24-'Combined data'!AN24</f>
        <v>0</v>
      </c>
      <c r="AP24" s="56">
        <f t="shared" si="23"/>
        <v>0</v>
      </c>
      <c r="AQ24" s="113"/>
      <c r="AR24" s="17">
        <f>'Combined data'!AR24</f>
        <v>200</v>
      </c>
      <c r="AS24" s="17">
        <f>'Combined data'!AS24-'Combined data'!AR24</f>
        <v>38</v>
      </c>
      <c r="AT24" s="17">
        <f>'Combined data'!AT24-'Combined data'!AS24</f>
        <v>40</v>
      </c>
      <c r="AU24" s="17">
        <f>'Combined data'!AU24-'Combined data'!AT24</f>
        <v>35</v>
      </c>
      <c r="AV24" s="17">
        <f>'Combined data'!AV24-'Combined data'!AU24</f>
        <v>37</v>
      </c>
      <c r="AW24" s="17">
        <f>'Combined data'!AW24-'Combined data'!AV24</f>
        <v>27</v>
      </c>
      <c r="AX24" s="17">
        <f>'Combined data'!AX24-'Combined data'!AW24</f>
        <v>22</v>
      </c>
      <c r="AY24" s="17">
        <f>'Combined data'!AY24-'Combined data'!AX24</f>
        <v>11</v>
      </c>
      <c r="AZ24" s="17">
        <f>'Combined data'!AZ24-'Combined data'!AY24</f>
        <v>12</v>
      </c>
      <c r="BA24" s="17">
        <f>'Combined data'!BA24-'Combined data'!AZ24</f>
        <v>19</v>
      </c>
      <c r="BB24" s="17">
        <f>'Combined data'!BB24-'Combined data'!BA24</f>
        <v>17</v>
      </c>
      <c r="BC24" s="17">
        <f>'Combined data'!BC24-'Combined data'!BB24</f>
        <v>31</v>
      </c>
      <c r="BD24" s="17">
        <f>'Combined data'!BD24-'Combined data'!BC24</f>
        <v>11</v>
      </c>
      <c r="BE24" s="17">
        <f>'Combined data'!BE24-'Combined data'!BD24</f>
        <v>9</v>
      </c>
      <c r="BF24" s="17">
        <f>'Combined data'!BF24-'Combined data'!BE24</f>
        <v>12</v>
      </c>
      <c r="BG24" s="17">
        <f>'Combined data'!BG24-'Combined data'!BF24</f>
        <v>2</v>
      </c>
      <c r="BH24" s="17">
        <f>'Combined data'!BH24-'Combined data'!BG24</f>
        <v>11</v>
      </c>
      <c r="BI24" s="17">
        <f>'Combined data'!BI24-'Combined data'!BH24</f>
        <v>2</v>
      </c>
      <c r="BJ24" s="17">
        <f>'Combined data'!BJ24-'Combined data'!BI24</f>
        <v>10</v>
      </c>
      <c r="BK24" s="17">
        <f>'Combined data'!BK24-'Combined data'!BJ24</f>
        <v>11</v>
      </c>
      <c r="BL24" s="17">
        <f>'Combined data'!BL24-'Combined data'!BK24</f>
        <v>17</v>
      </c>
      <c r="BM24" s="17">
        <f>'Combined data'!BM24-'Combined data'!BL24</f>
        <v>5</v>
      </c>
      <c r="BN24" s="17">
        <f>'Combined data'!BN24-'Combined data'!BM24</f>
        <v>8</v>
      </c>
      <c r="BO24" s="17">
        <f>'Combined data'!BO24-'Combined data'!BN24</f>
        <v>-587</v>
      </c>
      <c r="BP24" s="17">
        <f>'Combined data'!BP24-'Combined data'!BO24</f>
        <v>0</v>
      </c>
      <c r="BQ24" s="17">
        <f>'Combined data'!BQ24-'Combined data'!BP24</f>
        <v>0</v>
      </c>
      <c r="BR24" s="17">
        <f>'Combined data'!BR24-'Combined data'!BQ24</f>
        <v>0</v>
      </c>
      <c r="BS24" s="17">
        <f>'Combined data'!BS24-'Combined data'!BR24</f>
        <v>0</v>
      </c>
      <c r="BT24" s="17">
        <f>'Combined data'!BT24-'Combined data'!BS24</f>
        <v>0</v>
      </c>
      <c r="BU24" s="17">
        <f>'Combined data'!BU24-'Combined data'!BT24</f>
        <v>0</v>
      </c>
      <c r="BV24" s="17">
        <f>'Combined data'!BV24-'Combined data'!BU24</f>
        <v>0</v>
      </c>
      <c r="BW24" s="17">
        <f>'Combined data'!BW24-'Combined data'!BV24</f>
        <v>0</v>
      </c>
      <c r="BX24" s="17">
        <f>'Combined data'!BX24-'Combined data'!BW24</f>
        <v>0</v>
      </c>
      <c r="BY24" s="17">
        <f>'Combined data'!BY24-'Combined data'!BX24</f>
        <v>0</v>
      </c>
      <c r="CB24" s="17">
        <f t="shared" si="0"/>
        <v>200</v>
      </c>
      <c r="CC24" s="17">
        <f t="shared" si="1"/>
        <v>38</v>
      </c>
      <c r="CD24" s="17">
        <f t="shared" si="2"/>
        <v>40</v>
      </c>
      <c r="CE24" s="17">
        <f t="shared" si="3"/>
        <v>35</v>
      </c>
      <c r="CF24" s="17">
        <f t="shared" si="4"/>
        <v>37</v>
      </c>
      <c r="CG24" s="17">
        <f t="shared" si="5"/>
        <v>27</v>
      </c>
      <c r="CH24" s="17">
        <f t="shared" si="6"/>
        <v>22</v>
      </c>
      <c r="CI24" s="17">
        <f t="shared" si="7"/>
        <v>11</v>
      </c>
      <c r="CJ24" s="17">
        <f t="shared" si="8"/>
        <v>12</v>
      </c>
      <c r="CK24" s="17">
        <f t="shared" si="9"/>
        <v>19</v>
      </c>
      <c r="CL24" s="17">
        <f t="shared" si="10"/>
        <v>17</v>
      </c>
      <c r="CM24" s="17">
        <f t="shared" si="11"/>
        <v>31</v>
      </c>
      <c r="CN24" s="17">
        <f t="shared" si="12"/>
        <v>11</v>
      </c>
      <c r="CO24" s="17">
        <f t="shared" si="13"/>
        <v>9</v>
      </c>
      <c r="CP24" s="17">
        <f t="shared" si="14"/>
        <v>12</v>
      </c>
      <c r="CQ24" s="17">
        <f t="shared" si="15"/>
        <v>2</v>
      </c>
      <c r="CR24" s="17">
        <f t="shared" si="16"/>
        <v>11</v>
      </c>
      <c r="CS24" s="17">
        <f t="shared" si="17"/>
        <v>2</v>
      </c>
      <c r="CT24" s="17">
        <f t="shared" si="18"/>
        <v>10</v>
      </c>
      <c r="CU24" s="17">
        <f t="shared" si="19"/>
        <v>11</v>
      </c>
      <c r="CV24" s="17">
        <f t="shared" si="20"/>
        <v>17</v>
      </c>
      <c r="CW24" s="17">
        <f t="shared" si="21"/>
        <v>5</v>
      </c>
      <c r="CX24" s="17">
        <f t="shared" si="22"/>
        <v>8</v>
      </c>
      <c r="CY24" s="17">
        <f t="shared" si="22"/>
        <v>-587</v>
      </c>
      <c r="CZ24" s="17">
        <f t="shared" si="22"/>
        <v>0</v>
      </c>
      <c r="DA24" s="17">
        <f t="shared" si="22"/>
        <v>0</v>
      </c>
      <c r="DB24" s="17">
        <f t="shared" si="22"/>
        <v>0</v>
      </c>
      <c r="DC24" s="17">
        <f t="shared" si="22"/>
        <v>0</v>
      </c>
      <c r="DD24" s="17">
        <f t="shared" si="22"/>
        <v>0</v>
      </c>
      <c r="DE24" s="17">
        <f t="shared" si="22"/>
        <v>0</v>
      </c>
      <c r="DF24" s="17">
        <f t="shared" si="22"/>
        <v>0</v>
      </c>
      <c r="DG24" s="17">
        <f t="shared" si="22"/>
        <v>0</v>
      </c>
      <c r="DH24" s="17">
        <f t="shared" si="22"/>
        <v>0</v>
      </c>
      <c r="DI24" s="17">
        <f t="shared" si="22"/>
        <v>0</v>
      </c>
    </row>
    <row r="25" spans="1:113" ht="15.75" x14ac:dyDescent="0.25">
      <c r="A25" s="4" t="s">
        <v>39</v>
      </c>
      <c r="B25" s="6" t="s">
        <v>40</v>
      </c>
      <c r="H25" s="90">
        <f>'Combined data'!H25</f>
        <v>403</v>
      </c>
      <c r="I25" s="90">
        <f>'Combined data'!I25-'Combined data'!H25</f>
        <v>16</v>
      </c>
      <c r="J25" s="90">
        <f>'Combined data'!J25-'Combined data'!I25</f>
        <v>24</v>
      </c>
      <c r="K25" s="90">
        <f>'Combined data'!K25-'Combined data'!J25</f>
        <v>32</v>
      </c>
      <c r="L25" s="90">
        <f>'Combined data'!L25-'Combined data'!K25</f>
        <v>13</v>
      </c>
      <c r="M25" s="90">
        <f>'Combined data'!M25-'Combined data'!L25</f>
        <v>17</v>
      </c>
      <c r="N25" s="90">
        <f>'Combined data'!N25-'Combined data'!M25</f>
        <v>16</v>
      </c>
      <c r="O25" s="90">
        <f>'Combined data'!O25-'Combined data'!N25</f>
        <v>7</v>
      </c>
      <c r="P25" s="90">
        <f>'Combined data'!P25-'Combined data'!O25</f>
        <v>13</v>
      </c>
      <c r="Q25" s="90">
        <f>'Combined data'!Q25-'Combined data'!P25</f>
        <v>25</v>
      </c>
      <c r="R25" s="90">
        <f>'Combined data'!R25-'Combined data'!Q25</f>
        <v>9</v>
      </c>
      <c r="S25" s="90">
        <f>'Combined data'!S25-'Combined data'!R25</f>
        <v>17</v>
      </c>
      <c r="T25" s="90">
        <f>'Combined data'!T25-'Combined data'!S25</f>
        <v>14</v>
      </c>
      <c r="U25" s="90">
        <f>'Combined data'!U25-'Combined data'!T25</f>
        <v>10</v>
      </c>
      <c r="V25" s="90">
        <f>'Combined data'!V25-'Combined data'!U25</f>
        <v>11</v>
      </c>
      <c r="W25" s="90">
        <f>'Combined data'!W25-'Combined data'!V25</f>
        <v>7</v>
      </c>
      <c r="X25" s="90">
        <f>'Combined data'!X25-'Combined data'!W25</f>
        <v>10</v>
      </c>
      <c r="Y25" s="90">
        <f>'Combined data'!Y25-'Combined data'!X25</f>
        <v>10</v>
      </c>
      <c r="Z25" s="90">
        <f>'Combined data'!Z25-'Combined data'!Y25</f>
        <v>6</v>
      </c>
      <c r="AA25" s="90">
        <f>'Combined data'!AA25-'Combined data'!Z25</f>
        <v>8</v>
      </c>
      <c r="AB25" s="90">
        <f>'Combined data'!AB25-'Combined data'!AA25</f>
        <v>4</v>
      </c>
      <c r="AC25" s="90">
        <f>'Combined data'!AC25-'Combined data'!AB25</f>
        <v>0</v>
      </c>
      <c r="AD25" s="90">
        <f>'Combined data'!AD25-'Combined data'!AC25</f>
        <v>21</v>
      </c>
      <c r="AE25" s="90">
        <f>'Combined data'!AE25-'Combined data'!AD25</f>
        <v>-693</v>
      </c>
      <c r="AF25" s="90">
        <f>'Combined data'!AF25-'Combined data'!AE25</f>
        <v>0</v>
      </c>
      <c r="AG25" s="90">
        <f>'Combined data'!AG25-'Combined data'!AF25</f>
        <v>0</v>
      </c>
      <c r="AH25" s="90">
        <f>'Combined data'!AH25-'Combined data'!AG25</f>
        <v>0</v>
      </c>
      <c r="AI25" s="90">
        <f>'Combined data'!AI25-'Combined data'!AH25</f>
        <v>0</v>
      </c>
      <c r="AJ25" s="90">
        <f>'Combined data'!AJ25-'Combined data'!AI25</f>
        <v>0</v>
      </c>
      <c r="AK25" s="90">
        <f>'Combined data'!AK25-'Combined data'!AJ25</f>
        <v>0</v>
      </c>
      <c r="AL25" s="90">
        <f>'Combined data'!AL25-'Combined data'!AK25</f>
        <v>0</v>
      </c>
      <c r="AM25" s="90">
        <f>'Combined data'!AM25-'Combined data'!AL25</f>
        <v>0</v>
      </c>
      <c r="AN25" s="90">
        <f>'Combined data'!AN25-'Combined data'!AM25</f>
        <v>0</v>
      </c>
      <c r="AO25" s="90">
        <f>'Combined data'!AO25-'Combined data'!AN25</f>
        <v>0</v>
      </c>
      <c r="AP25" s="56">
        <f t="shared" si="23"/>
        <v>0</v>
      </c>
      <c r="AQ25" s="113"/>
      <c r="AR25" s="17">
        <f>'Combined data'!AR25</f>
        <v>215</v>
      </c>
      <c r="AS25" s="17">
        <f>'Combined data'!AS25-'Combined data'!AR25</f>
        <v>22</v>
      </c>
      <c r="AT25" s="17">
        <f>'Combined data'!AT25-'Combined data'!AS25</f>
        <v>32</v>
      </c>
      <c r="AU25" s="17">
        <f>'Combined data'!AU25-'Combined data'!AT25</f>
        <v>32</v>
      </c>
      <c r="AV25" s="17">
        <f>'Combined data'!AV25-'Combined data'!AU25</f>
        <v>30</v>
      </c>
      <c r="AW25" s="17">
        <f>'Combined data'!AW25-'Combined data'!AV25</f>
        <v>13</v>
      </c>
      <c r="AX25" s="17">
        <f>'Combined data'!AX25-'Combined data'!AW25</f>
        <v>11</v>
      </c>
      <c r="AY25" s="17">
        <f>'Combined data'!AY25-'Combined data'!AX25</f>
        <v>13</v>
      </c>
      <c r="AZ25" s="17">
        <f>'Combined data'!AZ25-'Combined data'!AY25</f>
        <v>12</v>
      </c>
      <c r="BA25" s="17">
        <f>'Combined data'!BA25-'Combined data'!AZ25</f>
        <v>17</v>
      </c>
      <c r="BB25" s="17">
        <f>'Combined data'!BB25-'Combined data'!BA25</f>
        <v>11</v>
      </c>
      <c r="BC25" s="17">
        <f>'Combined data'!BC25-'Combined data'!BB25</f>
        <v>16</v>
      </c>
      <c r="BD25" s="17">
        <f>'Combined data'!BD25-'Combined data'!BC25</f>
        <v>11</v>
      </c>
      <c r="BE25" s="17">
        <f>'Combined data'!BE25-'Combined data'!BD25</f>
        <v>20</v>
      </c>
      <c r="BF25" s="17">
        <f>'Combined data'!BF25-'Combined data'!BE25</f>
        <v>5</v>
      </c>
      <c r="BG25" s="17">
        <f>'Combined data'!BG25-'Combined data'!BF25</f>
        <v>10</v>
      </c>
      <c r="BH25" s="17">
        <f>'Combined data'!BH25-'Combined data'!BG25</f>
        <v>11</v>
      </c>
      <c r="BI25" s="17">
        <f>'Combined data'!BI25-'Combined data'!BH25</f>
        <v>9</v>
      </c>
      <c r="BJ25" s="17">
        <f>'Combined data'!BJ25-'Combined data'!BI25</f>
        <v>8</v>
      </c>
      <c r="BK25" s="17">
        <f>'Combined data'!BK25-'Combined data'!BJ25</f>
        <v>14</v>
      </c>
      <c r="BL25" s="17">
        <f>'Combined data'!BL25-'Combined data'!BK25</f>
        <v>18</v>
      </c>
      <c r="BM25" s="17">
        <f>'Combined data'!BM25-'Combined data'!BL25</f>
        <v>-6</v>
      </c>
      <c r="BN25" s="17">
        <f>'Combined data'!BN25-'Combined data'!BM25</f>
        <v>11</v>
      </c>
      <c r="BO25" s="17">
        <f>'Combined data'!BO25-'Combined data'!BN25</f>
        <v>-535</v>
      </c>
      <c r="BP25" s="17">
        <f>'Combined data'!BP25-'Combined data'!BO25</f>
        <v>0</v>
      </c>
      <c r="BQ25" s="17">
        <f>'Combined data'!BQ25-'Combined data'!BP25</f>
        <v>0</v>
      </c>
      <c r="BR25" s="17">
        <f>'Combined data'!BR25-'Combined data'!BQ25</f>
        <v>0</v>
      </c>
      <c r="BS25" s="17">
        <f>'Combined data'!BS25-'Combined data'!BR25</f>
        <v>0</v>
      </c>
      <c r="BT25" s="17">
        <f>'Combined data'!BT25-'Combined data'!BS25</f>
        <v>0</v>
      </c>
      <c r="BU25" s="17">
        <f>'Combined data'!BU25-'Combined data'!BT25</f>
        <v>0</v>
      </c>
      <c r="BV25" s="17">
        <f>'Combined data'!BV25-'Combined data'!BU25</f>
        <v>0</v>
      </c>
      <c r="BW25" s="17">
        <f>'Combined data'!BW25-'Combined data'!BV25</f>
        <v>0</v>
      </c>
      <c r="BX25" s="17">
        <f>'Combined data'!BX25-'Combined data'!BW25</f>
        <v>0</v>
      </c>
      <c r="BY25" s="17">
        <f>'Combined data'!BY25-'Combined data'!BX25</f>
        <v>0</v>
      </c>
      <c r="CB25" s="17">
        <f t="shared" si="0"/>
        <v>215</v>
      </c>
      <c r="CC25" s="17">
        <f t="shared" si="1"/>
        <v>22</v>
      </c>
      <c r="CD25" s="17">
        <f t="shared" si="2"/>
        <v>32</v>
      </c>
      <c r="CE25" s="17">
        <f t="shared" si="3"/>
        <v>32</v>
      </c>
      <c r="CF25" s="17">
        <f t="shared" si="4"/>
        <v>30</v>
      </c>
      <c r="CG25" s="17">
        <f t="shared" si="5"/>
        <v>13</v>
      </c>
      <c r="CH25" s="17">
        <f t="shared" si="6"/>
        <v>11</v>
      </c>
      <c r="CI25" s="17">
        <f t="shared" si="7"/>
        <v>13</v>
      </c>
      <c r="CJ25" s="17">
        <f t="shared" si="8"/>
        <v>12</v>
      </c>
      <c r="CK25" s="17">
        <f t="shared" si="9"/>
        <v>17</v>
      </c>
      <c r="CL25" s="17">
        <f t="shared" si="10"/>
        <v>11</v>
      </c>
      <c r="CM25" s="17">
        <f t="shared" si="11"/>
        <v>16</v>
      </c>
      <c r="CN25" s="17">
        <f t="shared" si="12"/>
        <v>11</v>
      </c>
      <c r="CO25" s="17">
        <f t="shared" si="13"/>
        <v>20</v>
      </c>
      <c r="CP25" s="17">
        <f t="shared" si="14"/>
        <v>5</v>
      </c>
      <c r="CQ25" s="17">
        <f t="shared" si="15"/>
        <v>10</v>
      </c>
      <c r="CR25" s="17">
        <f t="shared" si="16"/>
        <v>11</v>
      </c>
      <c r="CS25" s="17">
        <f t="shared" si="17"/>
        <v>9</v>
      </c>
      <c r="CT25" s="17">
        <f t="shared" si="18"/>
        <v>8</v>
      </c>
      <c r="CU25" s="17">
        <f t="shared" si="19"/>
        <v>14</v>
      </c>
      <c r="CV25" s="17">
        <f t="shared" si="20"/>
        <v>18</v>
      </c>
      <c r="CW25" s="17">
        <f t="shared" si="21"/>
        <v>-6</v>
      </c>
      <c r="CX25" s="17">
        <f t="shared" ref="CX25:DI40" si="24">BN25</f>
        <v>11</v>
      </c>
      <c r="CY25" s="17">
        <f t="shared" si="24"/>
        <v>-535</v>
      </c>
      <c r="CZ25" s="17">
        <f t="shared" si="24"/>
        <v>0</v>
      </c>
      <c r="DA25" s="17">
        <f t="shared" si="24"/>
        <v>0</v>
      </c>
      <c r="DB25" s="17">
        <f t="shared" si="24"/>
        <v>0</v>
      </c>
      <c r="DC25" s="17">
        <f t="shared" si="24"/>
        <v>0</v>
      </c>
      <c r="DD25" s="17">
        <f t="shared" si="24"/>
        <v>0</v>
      </c>
      <c r="DE25" s="17">
        <f t="shared" si="24"/>
        <v>0</v>
      </c>
      <c r="DF25" s="17">
        <f t="shared" si="24"/>
        <v>0</v>
      </c>
      <c r="DG25" s="17">
        <f t="shared" si="24"/>
        <v>0</v>
      </c>
      <c r="DH25" s="17">
        <f t="shared" si="24"/>
        <v>0</v>
      </c>
      <c r="DI25" s="17">
        <f t="shared" si="24"/>
        <v>0</v>
      </c>
    </row>
    <row r="26" spans="1:113" ht="15.75" x14ac:dyDescent="0.25">
      <c r="A26" s="4" t="s">
        <v>41</v>
      </c>
      <c r="B26" s="6" t="s">
        <v>42</v>
      </c>
      <c r="H26" s="90">
        <f>'Combined data'!H26</f>
        <v>928</v>
      </c>
      <c r="I26" s="90">
        <f>'Combined data'!I26-'Combined data'!H26</f>
        <v>56</v>
      </c>
      <c r="J26" s="90">
        <f>'Combined data'!J26-'Combined data'!I26</f>
        <v>76</v>
      </c>
      <c r="K26" s="90">
        <f>'Combined data'!K26-'Combined data'!J26</f>
        <v>115</v>
      </c>
      <c r="L26" s="90">
        <f>'Combined data'!L26-'Combined data'!K26</f>
        <v>30</v>
      </c>
      <c r="M26" s="90">
        <f>'Combined data'!M26-'Combined data'!L26</f>
        <v>18</v>
      </c>
      <c r="N26" s="90">
        <f>'Combined data'!N26-'Combined data'!M26</f>
        <v>66</v>
      </c>
      <c r="O26" s="90">
        <f>'Combined data'!O26-'Combined data'!N26</f>
        <v>33</v>
      </c>
      <c r="P26" s="90">
        <f>'Combined data'!P26-'Combined data'!O26</f>
        <v>48</v>
      </c>
      <c r="Q26" s="90">
        <f>'Combined data'!Q26-'Combined data'!P26</f>
        <v>33</v>
      </c>
      <c r="R26" s="90">
        <f>'Combined data'!R26-'Combined data'!Q26</f>
        <v>28</v>
      </c>
      <c r="S26" s="90">
        <f>'Combined data'!S26-'Combined data'!R26</f>
        <v>24</v>
      </c>
      <c r="T26" s="90">
        <f>'Combined data'!T26-'Combined data'!S26</f>
        <v>22</v>
      </c>
      <c r="U26" s="90">
        <f>'Combined data'!U26-'Combined data'!T26</f>
        <v>19</v>
      </c>
      <c r="V26" s="90">
        <f>'Combined data'!V26-'Combined data'!U26</f>
        <v>30</v>
      </c>
      <c r="W26" s="90">
        <f>'Combined data'!W26-'Combined data'!V26</f>
        <v>30</v>
      </c>
      <c r="X26" s="90">
        <f>'Combined data'!X26-'Combined data'!W26</f>
        <v>13</v>
      </c>
      <c r="Y26" s="90">
        <f>'Combined data'!Y26-'Combined data'!X26</f>
        <v>27</v>
      </c>
      <c r="Z26" s="90">
        <f>'Combined data'!Z26-'Combined data'!Y26</f>
        <v>24</v>
      </c>
      <c r="AA26" s="90">
        <f>'Combined data'!AA26-'Combined data'!Z26</f>
        <v>9</v>
      </c>
      <c r="AB26" s="90">
        <f>'Combined data'!AB26-'Combined data'!AA26</f>
        <v>4</v>
      </c>
      <c r="AC26" s="90">
        <f>'Combined data'!AC26-'Combined data'!AB26</f>
        <v>-5</v>
      </c>
      <c r="AD26" s="90">
        <f>'Combined data'!AD26-'Combined data'!AC26</f>
        <v>17</v>
      </c>
      <c r="AE26" s="90">
        <f>'Combined data'!AE26-'Combined data'!AD26</f>
        <v>-1645</v>
      </c>
      <c r="AF26" s="90">
        <f>'Combined data'!AF26-'Combined data'!AE26</f>
        <v>0</v>
      </c>
      <c r="AG26" s="90">
        <f>'Combined data'!AG26-'Combined data'!AF26</f>
        <v>0</v>
      </c>
      <c r="AH26" s="90">
        <f>'Combined data'!AH26-'Combined data'!AG26</f>
        <v>0</v>
      </c>
      <c r="AI26" s="90">
        <f>'Combined data'!AI26-'Combined data'!AH26</f>
        <v>0</v>
      </c>
      <c r="AJ26" s="90">
        <f>'Combined data'!AJ26-'Combined data'!AI26</f>
        <v>0</v>
      </c>
      <c r="AK26" s="90">
        <f>'Combined data'!AK26-'Combined data'!AJ26</f>
        <v>0</v>
      </c>
      <c r="AL26" s="90">
        <f>'Combined data'!AL26-'Combined data'!AK26</f>
        <v>0</v>
      </c>
      <c r="AM26" s="90">
        <f>'Combined data'!AM26-'Combined data'!AL26</f>
        <v>0</v>
      </c>
      <c r="AN26" s="90">
        <f>'Combined data'!AN26-'Combined data'!AM26</f>
        <v>0</v>
      </c>
      <c r="AO26" s="90">
        <f>'Combined data'!AO26-'Combined data'!AN26</f>
        <v>0</v>
      </c>
      <c r="AP26" s="56">
        <f t="shared" si="23"/>
        <v>0</v>
      </c>
      <c r="AQ26" s="113"/>
      <c r="AR26" s="17">
        <f>'Combined data'!AR26</f>
        <v>506</v>
      </c>
      <c r="AS26" s="17">
        <f>'Combined data'!AS26-'Combined data'!AR26</f>
        <v>82</v>
      </c>
      <c r="AT26" s="17">
        <f>'Combined data'!AT26-'Combined data'!AS26</f>
        <v>73</v>
      </c>
      <c r="AU26" s="17">
        <f>'Combined data'!AU26-'Combined data'!AT26</f>
        <v>80</v>
      </c>
      <c r="AV26" s="17">
        <f>'Combined data'!AV26-'Combined data'!AU26</f>
        <v>49</v>
      </c>
      <c r="AW26" s="17">
        <f>'Combined data'!AW26-'Combined data'!AV26</f>
        <v>43</v>
      </c>
      <c r="AX26" s="17">
        <f>'Combined data'!AX26-'Combined data'!AW26</f>
        <v>95</v>
      </c>
      <c r="AY26" s="17">
        <f>'Combined data'!AY26-'Combined data'!AX26</f>
        <v>45</v>
      </c>
      <c r="AZ26" s="17">
        <f>'Combined data'!AZ26-'Combined data'!AY26</f>
        <v>52</v>
      </c>
      <c r="BA26" s="17">
        <f>'Combined data'!BA26-'Combined data'!AZ26</f>
        <v>32</v>
      </c>
      <c r="BB26" s="17">
        <f>'Combined data'!BB26-'Combined data'!BA26</f>
        <v>15</v>
      </c>
      <c r="BC26" s="17">
        <f>'Combined data'!BC26-'Combined data'!BB26</f>
        <v>56</v>
      </c>
      <c r="BD26" s="17">
        <f>'Combined data'!BD26-'Combined data'!BC26</f>
        <v>23</v>
      </c>
      <c r="BE26" s="17">
        <f>'Combined data'!BE26-'Combined data'!BD26</f>
        <v>35</v>
      </c>
      <c r="BF26" s="17">
        <f>'Combined data'!BF26-'Combined data'!BE26</f>
        <v>23</v>
      </c>
      <c r="BG26" s="17">
        <f>'Combined data'!BG26-'Combined data'!BF26</f>
        <v>16</v>
      </c>
      <c r="BH26" s="17">
        <f>'Combined data'!BH26-'Combined data'!BG26</f>
        <v>22</v>
      </c>
      <c r="BI26" s="17">
        <f>'Combined data'!BI26-'Combined data'!BH26</f>
        <v>20</v>
      </c>
      <c r="BJ26" s="17">
        <f>'Combined data'!BJ26-'Combined data'!BI26</f>
        <v>24</v>
      </c>
      <c r="BK26" s="17">
        <f>'Combined data'!BK26-'Combined data'!BJ26</f>
        <v>25</v>
      </c>
      <c r="BL26" s="17">
        <f>'Combined data'!BL26-'Combined data'!BK26</f>
        <v>35</v>
      </c>
      <c r="BM26" s="17">
        <f>'Combined data'!BM26-'Combined data'!BL26</f>
        <v>3</v>
      </c>
      <c r="BN26" s="17">
        <f>'Combined data'!BN26-'Combined data'!BM26</f>
        <v>22</v>
      </c>
      <c r="BO26" s="17">
        <f>'Combined data'!BO26-'Combined data'!BN26</f>
        <v>-1376</v>
      </c>
      <c r="BP26" s="17">
        <f>'Combined data'!BP26-'Combined data'!BO26</f>
        <v>0</v>
      </c>
      <c r="BQ26" s="17">
        <f>'Combined data'!BQ26-'Combined data'!BP26</f>
        <v>0</v>
      </c>
      <c r="BR26" s="17">
        <f>'Combined data'!BR26-'Combined data'!BQ26</f>
        <v>0</v>
      </c>
      <c r="BS26" s="17">
        <f>'Combined data'!BS26-'Combined data'!BR26</f>
        <v>0</v>
      </c>
      <c r="BT26" s="17">
        <f>'Combined data'!BT26-'Combined data'!BS26</f>
        <v>0</v>
      </c>
      <c r="BU26" s="17">
        <f>'Combined data'!BU26-'Combined data'!BT26</f>
        <v>0</v>
      </c>
      <c r="BV26" s="17">
        <f>'Combined data'!BV26-'Combined data'!BU26</f>
        <v>0</v>
      </c>
      <c r="BW26" s="17">
        <f>'Combined data'!BW26-'Combined data'!BV26</f>
        <v>0</v>
      </c>
      <c r="BX26" s="17">
        <f>'Combined data'!BX26-'Combined data'!BW26</f>
        <v>0</v>
      </c>
      <c r="BY26" s="17">
        <f>'Combined data'!BY26-'Combined data'!BX26</f>
        <v>0</v>
      </c>
      <c r="CB26" s="17">
        <f t="shared" si="0"/>
        <v>506</v>
      </c>
      <c r="CC26" s="17">
        <f t="shared" si="1"/>
        <v>82</v>
      </c>
      <c r="CD26" s="17">
        <f t="shared" si="2"/>
        <v>73</v>
      </c>
      <c r="CE26" s="17">
        <f t="shared" si="3"/>
        <v>80</v>
      </c>
      <c r="CF26" s="17">
        <f t="shared" si="4"/>
        <v>49</v>
      </c>
      <c r="CG26" s="17">
        <f t="shared" si="5"/>
        <v>43</v>
      </c>
      <c r="CH26" s="17">
        <f t="shared" si="6"/>
        <v>95</v>
      </c>
      <c r="CI26" s="17">
        <f t="shared" si="7"/>
        <v>45</v>
      </c>
      <c r="CJ26" s="17">
        <f t="shared" si="8"/>
        <v>52</v>
      </c>
      <c r="CK26" s="17">
        <f t="shared" si="9"/>
        <v>32</v>
      </c>
      <c r="CL26" s="17">
        <f t="shared" si="10"/>
        <v>15</v>
      </c>
      <c r="CM26" s="17">
        <f t="shared" si="11"/>
        <v>56</v>
      </c>
      <c r="CN26" s="17">
        <f t="shared" si="12"/>
        <v>23</v>
      </c>
      <c r="CO26" s="17">
        <f t="shared" si="13"/>
        <v>35</v>
      </c>
      <c r="CP26" s="17">
        <f t="shared" si="14"/>
        <v>23</v>
      </c>
      <c r="CQ26" s="17">
        <f t="shared" si="15"/>
        <v>16</v>
      </c>
      <c r="CR26" s="17">
        <f t="shared" si="16"/>
        <v>22</v>
      </c>
      <c r="CS26" s="17">
        <f t="shared" si="17"/>
        <v>20</v>
      </c>
      <c r="CT26" s="17">
        <f t="shared" si="18"/>
        <v>24</v>
      </c>
      <c r="CU26" s="17">
        <f t="shared" si="19"/>
        <v>25</v>
      </c>
      <c r="CV26" s="17">
        <f t="shared" si="20"/>
        <v>35</v>
      </c>
      <c r="CW26" s="17">
        <f t="shared" si="21"/>
        <v>3</v>
      </c>
      <c r="CX26" s="17">
        <f t="shared" si="24"/>
        <v>22</v>
      </c>
      <c r="CY26" s="17">
        <f t="shared" si="24"/>
        <v>-1376</v>
      </c>
      <c r="CZ26" s="17">
        <f t="shared" si="24"/>
        <v>0</v>
      </c>
      <c r="DA26" s="17">
        <f t="shared" si="24"/>
        <v>0</v>
      </c>
      <c r="DB26" s="17">
        <f t="shared" si="24"/>
        <v>0</v>
      </c>
      <c r="DC26" s="17">
        <f t="shared" si="24"/>
        <v>0</v>
      </c>
      <c r="DD26" s="17">
        <f t="shared" si="24"/>
        <v>0</v>
      </c>
      <c r="DE26" s="17">
        <f t="shared" si="24"/>
        <v>0</v>
      </c>
      <c r="DF26" s="17">
        <f t="shared" si="24"/>
        <v>0</v>
      </c>
      <c r="DG26" s="17">
        <f t="shared" si="24"/>
        <v>0</v>
      </c>
      <c r="DH26" s="17">
        <f t="shared" si="24"/>
        <v>0</v>
      </c>
      <c r="DI26" s="17">
        <f t="shared" si="24"/>
        <v>0</v>
      </c>
    </row>
    <row r="27" spans="1:113" ht="15.75" x14ac:dyDescent="0.25">
      <c r="A27" s="4" t="s">
        <v>43</v>
      </c>
      <c r="B27" s="6" t="s">
        <v>44</v>
      </c>
      <c r="H27" s="90">
        <f>'Combined data'!H27</f>
        <v>71</v>
      </c>
      <c r="I27" s="90">
        <f>'Combined data'!I27-'Combined data'!H27</f>
        <v>5</v>
      </c>
      <c r="J27" s="90">
        <f>'Combined data'!J27-'Combined data'!I27</f>
        <v>8</v>
      </c>
      <c r="K27" s="90">
        <f>'Combined data'!K27-'Combined data'!J27</f>
        <v>13</v>
      </c>
      <c r="L27" s="90">
        <f>'Combined data'!L27-'Combined data'!K27</f>
        <v>9</v>
      </c>
      <c r="M27" s="90">
        <f>'Combined data'!M27-'Combined data'!L27</f>
        <v>3</v>
      </c>
      <c r="N27" s="90">
        <f>'Combined data'!N27-'Combined data'!M27</f>
        <v>5</v>
      </c>
      <c r="O27" s="90">
        <f>'Combined data'!O27-'Combined data'!N27</f>
        <v>0</v>
      </c>
      <c r="P27" s="90">
        <f>'Combined data'!P27-'Combined data'!O27</f>
        <v>10</v>
      </c>
      <c r="Q27" s="90">
        <f>'Combined data'!Q27-'Combined data'!P27</f>
        <v>3</v>
      </c>
      <c r="R27" s="90">
        <f>'Combined data'!R27-'Combined data'!Q27</f>
        <v>3</v>
      </c>
      <c r="S27" s="90">
        <f>'Combined data'!S27-'Combined data'!R27</f>
        <v>6</v>
      </c>
      <c r="T27" s="90">
        <f>'Combined data'!T27-'Combined data'!S27</f>
        <v>6</v>
      </c>
      <c r="U27" s="90">
        <f>'Combined data'!U27-'Combined data'!T27</f>
        <v>3</v>
      </c>
      <c r="V27" s="90">
        <f>'Combined data'!V27-'Combined data'!U27</f>
        <v>2</v>
      </c>
      <c r="W27" s="90">
        <f>'Combined data'!W27-'Combined data'!V27</f>
        <v>4</v>
      </c>
      <c r="X27" s="90">
        <f>'Combined data'!X27-'Combined data'!W27</f>
        <v>0</v>
      </c>
      <c r="Y27" s="90">
        <f>'Combined data'!Y27-'Combined data'!X27</f>
        <v>1</v>
      </c>
      <c r="Z27" s="90">
        <f>'Combined data'!Z27-'Combined data'!Y27</f>
        <v>8</v>
      </c>
      <c r="AA27" s="90">
        <f>'Combined data'!AA27-'Combined data'!Z27</f>
        <v>1</v>
      </c>
      <c r="AB27" s="90">
        <f>'Combined data'!AB27-'Combined data'!AA27</f>
        <v>1</v>
      </c>
      <c r="AC27" s="90">
        <f>'Combined data'!AC27-'Combined data'!AB27</f>
        <v>0</v>
      </c>
      <c r="AD27" s="90">
        <f>'Combined data'!AD27-'Combined data'!AC27</f>
        <v>4</v>
      </c>
      <c r="AE27" s="90">
        <f>'Combined data'!AE27-'Combined data'!AD27</f>
        <v>-166</v>
      </c>
      <c r="AF27" s="90">
        <f>'Combined data'!AF27-'Combined data'!AE27</f>
        <v>0</v>
      </c>
      <c r="AG27" s="90">
        <f>'Combined data'!AG27-'Combined data'!AF27</f>
        <v>0</v>
      </c>
      <c r="AH27" s="90">
        <f>'Combined data'!AH27-'Combined data'!AG27</f>
        <v>0</v>
      </c>
      <c r="AI27" s="90">
        <f>'Combined data'!AI27-'Combined data'!AH27</f>
        <v>0</v>
      </c>
      <c r="AJ27" s="90">
        <f>'Combined data'!AJ27-'Combined data'!AI27</f>
        <v>0</v>
      </c>
      <c r="AK27" s="90">
        <f>'Combined data'!AK27-'Combined data'!AJ27</f>
        <v>0</v>
      </c>
      <c r="AL27" s="90">
        <f>'Combined data'!AL27-'Combined data'!AK27</f>
        <v>0</v>
      </c>
      <c r="AM27" s="90">
        <f>'Combined data'!AM27-'Combined data'!AL27</f>
        <v>0</v>
      </c>
      <c r="AN27" s="90">
        <f>'Combined data'!AN27-'Combined data'!AM27</f>
        <v>0</v>
      </c>
      <c r="AO27" s="90">
        <f>'Combined data'!AO27-'Combined data'!AN27</f>
        <v>0</v>
      </c>
      <c r="AP27" s="56">
        <f t="shared" si="23"/>
        <v>0</v>
      </c>
      <c r="AQ27" s="113"/>
      <c r="AR27" s="17">
        <f>'Combined data'!AR27</f>
        <v>31</v>
      </c>
      <c r="AS27" s="17">
        <f>'Combined data'!AS27-'Combined data'!AR27</f>
        <v>6</v>
      </c>
      <c r="AT27" s="17">
        <f>'Combined data'!AT27-'Combined data'!AS27</f>
        <v>4</v>
      </c>
      <c r="AU27" s="17">
        <f>'Combined data'!AU27-'Combined data'!AT27</f>
        <v>7</v>
      </c>
      <c r="AV27" s="17">
        <f>'Combined data'!AV27-'Combined data'!AU27</f>
        <v>10</v>
      </c>
      <c r="AW27" s="17">
        <f>'Combined data'!AW27-'Combined data'!AV27</f>
        <v>2</v>
      </c>
      <c r="AX27" s="17">
        <f>'Combined data'!AX27-'Combined data'!AW27</f>
        <v>4</v>
      </c>
      <c r="AY27" s="17">
        <f>'Combined data'!AY27-'Combined data'!AX27</f>
        <v>0</v>
      </c>
      <c r="AZ27" s="17">
        <f>'Combined data'!AZ27-'Combined data'!AY27</f>
        <v>5</v>
      </c>
      <c r="BA27" s="17">
        <f>'Combined data'!BA27-'Combined data'!AZ27</f>
        <v>15</v>
      </c>
      <c r="BB27" s="17">
        <f>'Combined data'!BB27-'Combined data'!BA27</f>
        <v>0</v>
      </c>
      <c r="BC27" s="17">
        <f>'Combined data'!BC27-'Combined data'!BB27</f>
        <v>7</v>
      </c>
      <c r="BD27" s="17">
        <f>'Combined data'!BD27-'Combined data'!BC27</f>
        <v>6</v>
      </c>
      <c r="BE27" s="17">
        <f>'Combined data'!BE27-'Combined data'!BD27</f>
        <v>1</v>
      </c>
      <c r="BF27" s="17">
        <f>'Combined data'!BF27-'Combined data'!BE27</f>
        <v>3</v>
      </c>
      <c r="BG27" s="17">
        <f>'Combined data'!BG27-'Combined data'!BF27</f>
        <v>1</v>
      </c>
      <c r="BH27" s="17">
        <f>'Combined data'!BH27-'Combined data'!BG27</f>
        <v>1</v>
      </c>
      <c r="BI27" s="17">
        <f>'Combined data'!BI27-'Combined data'!BH27</f>
        <v>4</v>
      </c>
      <c r="BJ27" s="17">
        <f>'Combined data'!BJ27-'Combined data'!BI27</f>
        <v>1</v>
      </c>
      <c r="BK27" s="17">
        <f>'Combined data'!BK27-'Combined data'!BJ27</f>
        <v>0</v>
      </c>
      <c r="BL27" s="17">
        <f>'Combined data'!BL27-'Combined data'!BK27</f>
        <v>3</v>
      </c>
      <c r="BM27" s="17">
        <f>'Combined data'!BM27-'Combined data'!BL27</f>
        <v>2</v>
      </c>
      <c r="BN27" s="17">
        <f>'Combined data'!BN27-'Combined data'!BM27</f>
        <v>4</v>
      </c>
      <c r="BO27" s="17">
        <f>'Combined data'!BO27-'Combined data'!BN27</f>
        <v>-117</v>
      </c>
      <c r="BP27" s="17">
        <f>'Combined data'!BP27-'Combined data'!BO27</f>
        <v>0</v>
      </c>
      <c r="BQ27" s="17">
        <f>'Combined data'!BQ27-'Combined data'!BP27</f>
        <v>0</v>
      </c>
      <c r="BR27" s="17">
        <f>'Combined data'!BR27-'Combined data'!BQ27</f>
        <v>0</v>
      </c>
      <c r="BS27" s="17">
        <f>'Combined data'!BS27-'Combined data'!BR27</f>
        <v>0</v>
      </c>
      <c r="BT27" s="17">
        <f>'Combined data'!BT27-'Combined data'!BS27</f>
        <v>0</v>
      </c>
      <c r="BU27" s="17">
        <f>'Combined data'!BU27-'Combined data'!BT27</f>
        <v>0</v>
      </c>
      <c r="BV27" s="17">
        <f>'Combined data'!BV27-'Combined data'!BU27</f>
        <v>0</v>
      </c>
      <c r="BW27" s="17">
        <f>'Combined data'!BW27-'Combined data'!BV27</f>
        <v>0</v>
      </c>
      <c r="BX27" s="17">
        <f>'Combined data'!BX27-'Combined data'!BW27</f>
        <v>0</v>
      </c>
      <c r="BY27" s="17">
        <f>'Combined data'!BY27-'Combined data'!BX27</f>
        <v>0</v>
      </c>
      <c r="CB27" s="17">
        <f t="shared" si="0"/>
        <v>31</v>
      </c>
      <c r="CC27" s="17">
        <f t="shared" si="1"/>
        <v>6</v>
      </c>
      <c r="CD27" s="17">
        <f t="shared" si="2"/>
        <v>4</v>
      </c>
      <c r="CE27" s="17">
        <f t="shared" si="3"/>
        <v>7</v>
      </c>
      <c r="CF27" s="17">
        <f t="shared" si="4"/>
        <v>10</v>
      </c>
      <c r="CG27" s="17">
        <f t="shared" si="5"/>
        <v>2</v>
      </c>
      <c r="CH27" s="17">
        <f t="shared" si="6"/>
        <v>4</v>
      </c>
      <c r="CI27" s="17">
        <f t="shared" si="7"/>
        <v>0</v>
      </c>
      <c r="CJ27" s="17">
        <f t="shared" si="8"/>
        <v>5</v>
      </c>
      <c r="CK27" s="17">
        <f t="shared" si="9"/>
        <v>15</v>
      </c>
      <c r="CL27" s="17">
        <f t="shared" si="10"/>
        <v>0</v>
      </c>
      <c r="CM27" s="17">
        <f t="shared" si="11"/>
        <v>7</v>
      </c>
      <c r="CN27" s="17">
        <f t="shared" si="12"/>
        <v>6</v>
      </c>
      <c r="CO27" s="17">
        <f t="shared" si="13"/>
        <v>1</v>
      </c>
      <c r="CP27" s="17">
        <f t="shared" si="14"/>
        <v>3</v>
      </c>
      <c r="CQ27" s="17">
        <f t="shared" si="15"/>
        <v>1</v>
      </c>
      <c r="CR27" s="17">
        <f t="shared" si="16"/>
        <v>1</v>
      </c>
      <c r="CS27" s="17">
        <f t="shared" si="17"/>
        <v>4</v>
      </c>
      <c r="CT27" s="17">
        <f t="shared" si="18"/>
        <v>1</v>
      </c>
      <c r="CU27" s="17">
        <f t="shared" si="19"/>
        <v>0</v>
      </c>
      <c r="CV27" s="17">
        <f t="shared" si="20"/>
        <v>3</v>
      </c>
      <c r="CW27" s="17">
        <f t="shared" si="21"/>
        <v>2</v>
      </c>
      <c r="CX27" s="17">
        <f t="shared" si="24"/>
        <v>4</v>
      </c>
      <c r="CY27" s="17">
        <f t="shared" si="24"/>
        <v>-117</v>
      </c>
      <c r="CZ27" s="17">
        <f t="shared" si="24"/>
        <v>0</v>
      </c>
      <c r="DA27" s="17">
        <f t="shared" si="24"/>
        <v>0</v>
      </c>
      <c r="DB27" s="17">
        <f t="shared" si="24"/>
        <v>0</v>
      </c>
      <c r="DC27" s="17">
        <f t="shared" si="24"/>
        <v>0</v>
      </c>
      <c r="DD27" s="17">
        <f t="shared" si="24"/>
        <v>0</v>
      </c>
      <c r="DE27" s="17">
        <f t="shared" si="24"/>
        <v>0</v>
      </c>
      <c r="DF27" s="17">
        <f t="shared" si="24"/>
        <v>0</v>
      </c>
      <c r="DG27" s="17">
        <f t="shared" si="24"/>
        <v>0</v>
      </c>
      <c r="DH27" s="17">
        <f t="shared" si="24"/>
        <v>0</v>
      </c>
      <c r="DI27" s="17">
        <f t="shared" si="24"/>
        <v>0</v>
      </c>
    </row>
    <row r="28" spans="1:113" ht="15.75" x14ac:dyDescent="0.25">
      <c r="A28" s="4" t="s">
        <v>45</v>
      </c>
      <c r="B28" s="6" t="s">
        <v>46</v>
      </c>
      <c r="H28" s="90">
        <f>'Combined data'!H28</f>
        <v>96</v>
      </c>
      <c r="I28" s="90">
        <f>'Combined data'!I28-'Combined data'!H28</f>
        <v>7</v>
      </c>
      <c r="J28" s="90">
        <f>'Combined data'!J28-'Combined data'!I28</f>
        <v>8</v>
      </c>
      <c r="K28" s="90">
        <f>'Combined data'!K28-'Combined data'!J28</f>
        <v>10</v>
      </c>
      <c r="L28" s="90">
        <f>'Combined data'!L28-'Combined data'!K28</f>
        <v>3</v>
      </c>
      <c r="M28" s="90">
        <f>'Combined data'!M28-'Combined data'!L28</f>
        <v>1</v>
      </c>
      <c r="N28" s="90">
        <f>'Combined data'!N28-'Combined data'!M28</f>
        <v>10</v>
      </c>
      <c r="O28" s="90">
        <f>'Combined data'!O28-'Combined data'!N28</f>
        <v>2</v>
      </c>
      <c r="P28" s="90">
        <f>'Combined data'!P28-'Combined data'!O28</f>
        <v>5</v>
      </c>
      <c r="Q28" s="90">
        <f>'Combined data'!Q28-'Combined data'!P28</f>
        <v>11</v>
      </c>
      <c r="R28" s="90">
        <f>'Combined data'!R28-'Combined data'!Q28</f>
        <v>2</v>
      </c>
      <c r="S28" s="90">
        <f>'Combined data'!S28-'Combined data'!R28</f>
        <v>7</v>
      </c>
      <c r="T28" s="90">
        <f>'Combined data'!T28-'Combined data'!S28</f>
        <v>2</v>
      </c>
      <c r="U28" s="90">
        <f>'Combined data'!U28-'Combined data'!T28</f>
        <v>8</v>
      </c>
      <c r="V28" s="90">
        <f>'Combined data'!V28-'Combined data'!U28</f>
        <v>3</v>
      </c>
      <c r="W28" s="90">
        <f>'Combined data'!W28-'Combined data'!V28</f>
        <v>1</v>
      </c>
      <c r="X28" s="90">
        <f>'Combined data'!X28-'Combined data'!W28</f>
        <v>2</v>
      </c>
      <c r="Y28" s="90">
        <f>'Combined data'!Y28-'Combined data'!X28</f>
        <v>3</v>
      </c>
      <c r="Z28" s="90">
        <f>'Combined data'!Z28-'Combined data'!Y28</f>
        <v>3</v>
      </c>
      <c r="AA28" s="90">
        <f>'Combined data'!AA28-'Combined data'!Z28</f>
        <v>3</v>
      </c>
      <c r="AB28" s="90">
        <f>'Combined data'!AB28-'Combined data'!AA28</f>
        <v>2</v>
      </c>
      <c r="AC28" s="90">
        <f>'Combined data'!AC28-'Combined data'!AB28</f>
        <v>0</v>
      </c>
      <c r="AD28" s="90">
        <f>'Combined data'!AD28-'Combined data'!AC28</f>
        <v>2</v>
      </c>
      <c r="AE28" s="90">
        <f>'Combined data'!AE28-'Combined data'!AD28</f>
        <v>-191</v>
      </c>
      <c r="AF28" s="90">
        <f>'Combined data'!AF28-'Combined data'!AE28</f>
        <v>0</v>
      </c>
      <c r="AG28" s="90">
        <f>'Combined data'!AG28-'Combined data'!AF28</f>
        <v>0</v>
      </c>
      <c r="AH28" s="90">
        <f>'Combined data'!AH28-'Combined data'!AG28</f>
        <v>0</v>
      </c>
      <c r="AI28" s="90">
        <f>'Combined data'!AI28-'Combined data'!AH28</f>
        <v>0</v>
      </c>
      <c r="AJ28" s="90">
        <f>'Combined data'!AJ28-'Combined data'!AI28</f>
        <v>0</v>
      </c>
      <c r="AK28" s="90">
        <f>'Combined data'!AK28-'Combined data'!AJ28</f>
        <v>0</v>
      </c>
      <c r="AL28" s="90">
        <f>'Combined data'!AL28-'Combined data'!AK28</f>
        <v>0</v>
      </c>
      <c r="AM28" s="90">
        <f>'Combined data'!AM28-'Combined data'!AL28</f>
        <v>0</v>
      </c>
      <c r="AN28" s="90">
        <f>'Combined data'!AN28-'Combined data'!AM28</f>
        <v>0</v>
      </c>
      <c r="AO28" s="90">
        <f>'Combined data'!AO28-'Combined data'!AN28</f>
        <v>0</v>
      </c>
      <c r="AP28" s="56">
        <f t="shared" si="23"/>
        <v>0</v>
      </c>
      <c r="AQ28" s="113"/>
      <c r="AR28" s="17">
        <f>'Combined data'!AR28</f>
        <v>44</v>
      </c>
      <c r="AS28" s="17">
        <f>'Combined data'!AS28-'Combined data'!AR28</f>
        <v>13</v>
      </c>
      <c r="AT28" s="17">
        <f>'Combined data'!AT28-'Combined data'!AS28</f>
        <v>12</v>
      </c>
      <c r="AU28" s="17">
        <f>'Combined data'!AU28-'Combined data'!AT28</f>
        <v>11</v>
      </c>
      <c r="AV28" s="17">
        <f>'Combined data'!AV28-'Combined data'!AU28</f>
        <v>4</v>
      </c>
      <c r="AW28" s="17">
        <f>'Combined data'!AW28-'Combined data'!AV28</f>
        <v>3</v>
      </c>
      <c r="AX28" s="17">
        <f>'Combined data'!AX28-'Combined data'!AW28</f>
        <v>16</v>
      </c>
      <c r="AY28" s="17">
        <f>'Combined data'!AY28-'Combined data'!AX28</f>
        <v>5</v>
      </c>
      <c r="AZ28" s="17">
        <f>'Combined data'!AZ28-'Combined data'!AY28</f>
        <v>5</v>
      </c>
      <c r="BA28" s="17">
        <f>'Combined data'!BA28-'Combined data'!AZ28</f>
        <v>0</v>
      </c>
      <c r="BB28" s="17">
        <f>'Combined data'!BB28-'Combined data'!BA28</f>
        <v>0</v>
      </c>
      <c r="BC28" s="17">
        <f>'Combined data'!BC28-'Combined data'!BB28</f>
        <v>12</v>
      </c>
      <c r="BD28" s="17">
        <f>'Combined data'!BD28-'Combined data'!BC28</f>
        <v>7</v>
      </c>
      <c r="BE28" s="17">
        <f>'Combined data'!BE28-'Combined data'!BD28</f>
        <v>10</v>
      </c>
      <c r="BF28" s="17">
        <f>'Combined data'!BF28-'Combined data'!BE28</f>
        <v>2</v>
      </c>
      <c r="BG28" s="17">
        <f>'Combined data'!BG28-'Combined data'!BF28</f>
        <v>1</v>
      </c>
      <c r="BH28" s="17">
        <f>'Combined data'!BH28-'Combined data'!BG28</f>
        <v>0</v>
      </c>
      <c r="BI28" s="17">
        <f>'Combined data'!BI28-'Combined data'!BH28</f>
        <v>3</v>
      </c>
      <c r="BJ28" s="17">
        <f>'Combined data'!BJ28-'Combined data'!BI28</f>
        <v>2</v>
      </c>
      <c r="BK28" s="17">
        <f>'Combined data'!BK28-'Combined data'!BJ28</f>
        <v>5</v>
      </c>
      <c r="BL28" s="17">
        <f>'Combined data'!BL28-'Combined data'!BK28</f>
        <v>2</v>
      </c>
      <c r="BM28" s="17">
        <f>'Combined data'!BM28-'Combined data'!BL28</f>
        <v>6</v>
      </c>
      <c r="BN28" s="17">
        <f>'Combined data'!BN28-'Combined data'!BM28</f>
        <v>3</v>
      </c>
      <c r="BO28" s="17">
        <f>'Combined data'!BO28-'Combined data'!BN28</f>
        <v>-166</v>
      </c>
      <c r="BP28" s="17">
        <f>'Combined data'!BP28-'Combined data'!BO28</f>
        <v>0</v>
      </c>
      <c r="BQ28" s="17">
        <f>'Combined data'!BQ28-'Combined data'!BP28</f>
        <v>0</v>
      </c>
      <c r="BR28" s="17">
        <f>'Combined data'!BR28-'Combined data'!BQ28</f>
        <v>0</v>
      </c>
      <c r="BS28" s="17">
        <f>'Combined data'!BS28-'Combined data'!BR28</f>
        <v>0</v>
      </c>
      <c r="BT28" s="17">
        <f>'Combined data'!BT28-'Combined data'!BS28</f>
        <v>0</v>
      </c>
      <c r="BU28" s="17">
        <f>'Combined data'!BU28-'Combined data'!BT28</f>
        <v>0</v>
      </c>
      <c r="BV28" s="17">
        <f>'Combined data'!BV28-'Combined data'!BU28</f>
        <v>0</v>
      </c>
      <c r="BW28" s="17">
        <f>'Combined data'!BW28-'Combined data'!BV28</f>
        <v>0</v>
      </c>
      <c r="BX28" s="17">
        <f>'Combined data'!BX28-'Combined data'!BW28</f>
        <v>0</v>
      </c>
      <c r="BY28" s="17">
        <f>'Combined data'!BY28-'Combined data'!BX28</f>
        <v>0</v>
      </c>
      <c r="CB28" s="17">
        <f t="shared" si="0"/>
        <v>44</v>
      </c>
      <c r="CC28" s="17">
        <f t="shared" si="1"/>
        <v>13</v>
      </c>
      <c r="CD28" s="17">
        <f t="shared" si="2"/>
        <v>12</v>
      </c>
      <c r="CE28" s="17">
        <f t="shared" si="3"/>
        <v>11</v>
      </c>
      <c r="CF28" s="17">
        <f t="shared" si="4"/>
        <v>4</v>
      </c>
      <c r="CG28" s="17">
        <f t="shared" si="5"/>
        <v>3</v>
      </c>
      <c r="CH28" s="17">
        <f t="shared" si="6"/>
        <v>16</v>
      </c>
      <c r="CI28" s="17">
        <f t="shared" si="7"/>
        <v>5</v>
      </c>
      <c r="CJ28" s="17">
        <f t="shared" si="8"/>
        <v>5</v>
      </c>
      <c r="CK28" s="17">
        <f t="shared" si="9"/>
        <v>0</v>
      </c>
      <c r="CL28" s="17">
        <f t="shared" si="10"/>
        <v>0</v>
      </c>
      <c r="CM28" s="17">
        <f t="shared" si="11"/>
        <v>12</v>
      </c>
      <c r="CN28" s="17">
        <f t="shared" si="12"/>
        <v>7</v>
      </c>
      <c r="CO28" s="17">
        <f t="shared" si="13"/>
        <v>10</v>
      </c>
      <c r="CP28" s="17">
        <f t="shared" si="14"/>
        <v>2</v>
      </c>
      <c r="CQ28" s="17">
        <f t="shared" si="15"/>
        <v>1</v>
      </c>
      <c r="CR28" s="17">
        <f t="shared" si="16"/>
        <v>0</v>
      </c>
      <c r="CS28" s="17">
        <f t="shared" si="17"/>
        <v>3</v>
      </c>
      <c r="CT28" s="17">
        <f t="shared" si="18"/>
        <v>2</v>
      </c>
      <c r="CU28" s="17">
        <f t="shared" si="19"/>
        <v>5</v>
      </c>
      <c r="CV28" s="17">
        <f t="shared" si="20"/>
        <v>2</v>
      </c>
      <c r="CW28" s="17">
        <f t="shared" si="21"/>
        <v>6</v>
      </c>
      <c r="CX28" s="17">
        <f t="shared" si="24"/>
        <v>3</v>
      </c>
      <c r="CY28" s="17">
        <f t="shared" si="24"/>
        <v>-166</v>
      </c>
      <c r="CZ28" s="17">
        <f t="shared" si="24"/>
        <v>0</v>
      </c>
      <c r="DA28" s="17">
        <f t="shared" si="24"/>
        <v>0</v>
      </c>
      <c r="DB28" s="17">
        <f t="shared" si="24"/>
        <v>0</v>
      </c>
      <c r="DC28" s="17">
        <f t="shared" si="24"/>
        <v>0</v>
      </c>
      <c r="DD28" s="17">
        <f t="shared" si="24"/>
        <v>0</v>
      </c>
      <c r="DE28" s="17">
        <f t="shared" si="24"/>
        <v>0</v>
      </c>
      <c r="DF28" s="17">
        <f t="shared" si="24"/>
        <v>0</v>
      </c>
      <c r="DG28" s="17">
        <f t="shared" si="24"/>
        <v>0</v>
      </c>
      <c r="DH28" s="17">
        <f t="shared" si="24"/>
        <v>0</v>
      </c>
      <c r="DI28" s="17">
        <f t="shared" si="24"/>
        <v>0</v>
      </c>
    </row>
    <row r="29" spans="1:113" ht="15.75" x14ac:dyDescent="0.25">
      <c r="A29" s="4" t="s">
        <v>47</v>
      </c>
      <c r="B29" s="6" t="s">
        <v>48</v>
      </c>
      <c r="H29" s="90">
        <f>'Combined data'!H29</f>
        <v>1133</v>
      </c>
      <c r="I29" s="90">
        <f>'Combined data'!I29-'Combined data'!H29</f>
        <v>70</v>
      </c>
      <c r="J29" s="90">
        <f>'Combined data'!J29-'Combined data'!I29</f>
        <v>103</v>
      </c>
      <c r="K29" s="90">
        <f>'Combined data'!K29-'Combined data'!J29</f>
        <v>92</v>
      </c>
      <c r="L29" s="90">
        <f>'Combined data'!L29-'Combined data'!K29</f>
        <v>34</v>
      </c>
      <c r="M29" s="90">
        <f>'Combined data'!M29-'Combined data'!L29</f>
        <v>42</v>
      </c>
      <c r="N29" s="90">
        <f>'Combined data'!N29-'Combined data'!M29</f>
        <v>92</v>
      </c>
      <c r="O29" s="90">
        <f>'Combined data'!O29-'Combined data'!N29</f>
        <v>40</v>
      </c>
      <c r="P29" s="90">
        <f>'Combined data'!P29-'Combined data'!O29</f>
        <v>58</v>
      </c>
      <c r="Q29" s="90">
        <f>'Combined data'!Q29-'Combined data'!P29</f>
        <v>55</v>
      </c>
      <c r="R29" s="90">
        <f>'Combined data'!R29-'Combined data'!Q29</f>
        <v>16</v>
      </c>
      <c r="S29" s="90">
        <f>'Combined data'!S29-'Combined data'!R29</f>
        <v>40</v>
      </c>
      <c r="T29" s="90">
        <f>'Combined data'!T29-'Combined data'!S29</f>
        <v>34</v>
      </c>
      <c r="U29" s="90">
        <f>'Combined data'!U29-'Combined data'!T29</f>
        <v>27</v>
      </c>
      <c r="V29" s="90">
        <f>'Combined data'!V29-'Combined data'!U29</f>
        <v>28</v>
      </c>
      <c r="W29" s="90">
        <f>'Combined data'!W29-'Combined data'!V29</f>
        <v>21</v>
      </c>
      <c r="X29" s="90">
        <f>'Combined data'!X29-'Combined data'!W29</f>
        <v>16</v>
      </c>
      <c r="Y29" s="90">
        <f>'Combined data'!Y29-'Combined data'!X29</f>
        <v>25</v>
      </c>
      <c r="Z29" s="90">
        <f>'Combined data'!Z29-'Combined data'!Y29</f>
        <v>28</v>
      </c>
      <c r="AA29" s="90">
        <f>'Combined data'!AA29-'Combined data'!Z29</f>
        <v>7</v>
      </c>
      <c r="AB29" s="90">
        <f>'Combined data'!AB29-'Combined data'!AA29</f>
        <v>11</v>
      </c>
      <c r="AC29" s="90">
        <f>'Combined data'!AC29-'Combined data'!AB29</f>
        <v>4</v>
      </c>
      <c r="AD29" s="90">
        <f>'Combined data'!AD29-'Combined data'!AC29</f>
        <v>66</v>
      </c>
      <c r="AE29" s="90">
        <f>'Combined data'!AE29-'Combined data'!AD29</f>
        <v>-2042</v>
      </c>
      <c r="AF29" s="90">
        <f>'Combined data'!AF29-'Combined data'!AE29</f>
        <v>0</v>
      </c>
      <c r="AG29" s="90">
        <f>'Combined data'!AG29-'Combined data'!AF29</f>
        <v>0</v>
      </c>
      <c r="AH29" s="90">
        <f>'Combined data'!AH29-'Combined data'!AG29</f>
        <v>0</v>
      </c>
      <c r="AI29" s="90">
        <f>'Combined data'!AI29-'Combined data'!AH29</f>
        <v>0</v>
      </c>
      <c r="AJ29" s="90">
        <f>'Combined data'!AJ29-'Combined data'!AI29</f>
        <v>0</v>
      </c>
      <c r="AK29" s="90">
        <f>'Combined data'!AK29-'Combined data'!AJ29</f>
        <v>0</v>
      </c>
      <c r="AL29" s="90">
        <f>'Combined data'!AL29-'Combined data'!AK29</f>
        <v>0</v>
      </c>
      <c r="AM29" s="90">
        <f>'Combined data'!AM29-'Combined data'!AL29</f>
        <v>0</v>
      </c>
      <c r="AN29" s="90">
        <f>'Combined data'!AN29-'Combined data'!AM29</f>
        <v>0</v>
      </c>
      <c r="AO29" s="90">
        <f>'Combined data'!AO29-'Combined data'!AN29</f>
        <v>0</v>
      </c>
      <c r="AP29" s="56">
        <f t="shared" si="23"/>
        <v>0</v>
      </c>
      <c r="AQ29" s="113"/>
      <c r="AR29" s="17">
        <f>'Combined data'!AR29</f>
        <v>517</v>
      </c>
      <c r="AS29" s="17">
        <f>'Combined data'!AS29-'Combined data'!AR29</f>
        <v>115</v>
      </c>
      <c r="AT29" s="17">
        <f>'Combined data'!AT29-'Combined data'!AS29</f>
        <v>83</v>
      </c>
      <c r="AU29" s="17">
        <f>'Combined data'!AU29-'Combined data'!AT29</f>
        <v>122</v>
      </c>
      <c r="AV29" s="17">
        <f>'Combined data'!AV29-'Combined data'!AU29</f>
        <v>87</v>
      </c>
      <c r="AW29" s="17">
        <f>'Combined data'!AW29-'Combined data'!AV29</f>
        <v>104</v>
      </c>
      <c r="AX29" s="17">
        <f>'Combined data'!AX29-'Combined data'!AW29</f>
        <v>105</v>
      </c>
      <c r="AY29" s="17">
        <f>'Combined data'!AY29-'Combined data'!AX29</f>
        <v>37</v>
      </c>
      <c r="AZ29" s="17">
        <f>'Combined data'!AZ29-'Combined data'!AY29</f>
        <v>54</v>
      </c>
      <c r="BA29" s="17">
        <f>'Combined data'!BA29-'Combined data'!AZ29</f>
        <v>45</v>
      </c>
      <c r="BB29" s="17">
        <f>'Combined data'!BB29-'Combined data'!BA29</f>
        <v>33</v>
      </c>
      <c r="BC29" s="17">
        <f>'Combined data'!BC29-'Combined data'!BB29</f>
        <v>70</v>
      </c>
      <c r="BD29" s="17">
        <f>'Combined data'!BD29-'Combined data'!BC29</f>
        <v>37</v>
      </c>
      <c r="BE29" s="17">
        <f>'Combined data'!BE29-'Combined data'!BD29</f>
        <v>41</v>
      </c>
      <c r="BF29" s="17">
        <f>'Combined data'!BF29-'Combined data'!BE29</f>
        <v>30</v>
      </c>
      <c r="BG29" s="17">
        <f>'Combined data'!BG29-'Combined data'!BF29</f>
        <v>20</v>
      </c>
      <c r="BH29" s="17">
        <f>'Combined data'!BH29-'Combined data'!BG29</f>
        <v>29</v>
      </c>
      <c r="BI29" s="17">
        <f>'Combined data'!BI29-'Combined data'!BH29</f>
        <v>28</v>
      </c>
      <c r="BJ29" s="17">
        <f>'Combined data'!BJ29-'Combined data'!BI29</f>
        <v>27</v>
      </c>
      <c r="BK29" s="17">
        <f>'Combined data'!BK29-'Combined data'!BJ29</f>
        <v>34</v>
      </c>
      <c r="BL29" s="17">
        <f>'Combined data'!BL29-'Combined data'!BK29</f>
        <v>47</v>
      </c>
      <c r="BM29" s="17">
        <f>'Combined data'!BM29-'Combined data'!BL29</f>
        <v>5</v>
      </c>
      <c r="BN29" s="17">
        <f>'Combined data'!BN29-'Combined data'!BM29</f>
        <v>23</v>
      </c>
      <c r="BO29" s="17">
        <f>'Combined data'!BO29-'Combined data'!BN29</f>
        <v>-1693</v>
      </c>
      <c r="BP29" s="17">
        <f>'Combined data'!BP29-'Combined data'!BO29</f>
        <v>0</v>
      </c>
      <c r="BQ29" s="17">
        <f>'Combined data'!BQ29-'Combined data'!BP29</f>
        <v>0</v>
      </c>
      <c r="BR29" s="17">
        <f>'Combined data'!BR29-'Combined data'!BQ29</f>
        <v>0</v>
      </c>
      <c r="BS29" s="17">
        <f>'Combined data'!BS29-'Combined data'!BR29</f>
        <v>0</v>
      </c>
      <c r="BT29" s="17">
        <f>'Combined data'!BT29-'Combined data'!BS29</f>
        <v>0</v>
      </c>
      <c r="BU29" s="17">
        <f>'Combined data'!BU29-'Combined data'!BT29</f>
        <v>0</v>
      </c>
      <c r="BV29" s="17">
        <f>'Combined data'!BV29-'Combined data'!BU29</f>
        <v>0</v>
      </c>
      <c r="BW29" s="17">
        <f>'Combined data'!BW29-'Combined data'!BV29</f>
        <v>0</v>
      </c>
      <c r="BX29" s="17">
        <f>'Combined data'!BX29-'Combined data'!BW29</f>
        <v>0</v>
      </c>
      <c r="BY29" s="17">
        <f>'Combined data'!BY29-'Combined data'!BX29</f>
        <v>0</v>
      </c>
      <c r="CB29" s="17">
        <f t="shared" si="0"/>
        <v>517</v>
      </c>
      <c r="CC29" s="17">
        <f t="shared" si="1"/>
        <v>115</v>
      </c>
      <c r="CD29" s="17">
        <f t="shared" si="2"/>
        <v>83</v>
      </c>
      <c r="CE29" s="17">
        <f t="shared" si="3"/>
        <v>122</v>
      </c>
      <c r="CF29" s="17">
        <f t="shared" si="4"/>
        <v>87</v>
      </c>
      <c r="CG29" s="17">
        <f t="shared" si="5"/>
        <v>104</v>
      </c>
      <c r="CH29" s="17">
        <f t="shared" si="6"/>
        <v>105</v>
      </c>
      <c r="CI29" s="17">
        <f t="shared" si="7"/>
        <v>37</v>
      </c>
      <c r="CJ29" s="17">
        <f t="shared" si="8"/>
        <v>54</v>
      </c>
      <c r="CK29" s="17">
        <f t="shared" si="9"/>
        <v>45</v>
      </c>
      <c r="CL29" s="17">
        <f t="shared" si="10"/>
        <v>33</v>
      </c>
      <c r="CM29" s="17">
        <f t="shared" si="11"/>
        <v>70</v>
      </c>
      <c r="CN29" s="17">
        <f t="shared" si="12"/>
        <v>37</v>
      </c>
      <c r="CO29" s="17">
        <f t="shared" si="13"/>
        <v>41</v>
      </c>
      <c r="CP29" s="17">
        <f t="shared" si="14"/>
        <v>30</v>
      </c>
      <c r="CQ29" s="17">
        <f t="shared" si="15"/>
        <v>20</v>
      </c>
      <c r="CR29" s="17">
        <f t="shared" si="16"/>
        <v>29</v>
      </c>
      <c r="CS29" s="17">
        <f t="shared" si="17"/>
        <v>28</v>
      </c>
      <c r="CT29" s="17">
        <f t="shared" si="18"/>
        <v>27</v>
      </c>
      <c r="CU29" s="17">
        <f t="shared" si="19"/>
        <v>34</v>
      </c>
      <c r="CV29" s="17">
        <f t="shared" si="20"/>
        <v>47</v>
      </c>
      <c r="CW29" s="17">
        <f t="shared" si="21"/>
        <v>5</v>
      </c>
      <c r="CX29" s="17">
        <f t="shared" si="24"/>
        <v>23</v>
      </c>
      <c r="CY29" s="17">
        <f t="shared" si="24"/>
        <v>-1693</v>
      </c>
      <c r="CZ29" s="17">
        <f t="shared" si="24"/>
        <v>0</v>
      </c>
      <c r="DA29" s="17">
        <f t="shared" si="24"/>
        <v>0</v>
      </c>
      <c r="DB29" s="17">
        <f t="shared" si="24"/>
        <v>0</v>
      </c>
      <c r="DC29" s="17">
        <f t="shared" si="24"/>
        <v>0</v>
      </c>
      <c r="DD29" s="17">
        <f t="shared" si="24"/>
        <v>0</v>
      </c>
      <c r="DE29" s="17">
        <f t="shared" si="24"/>
        <v>0</v>
      </c>
      <c r="DF29" s="17">
        <f t="shared" si="24"/>
        <v>0</v>
      </c>
      <c r="DG29" s="17">
        <f t="shared" si="24"/>
        <v>0</v>
      </c>
      <c r="DH29" s="17">
        <f t="shared" si="24"/>
        <v>0</v>
      </c>
      <c r="DI29" s="17">
        <f t="shared" si="24"/>
        <v>0</v>
      </c>
    </row>
    <row r="30" spans="1:113" ht="15.75" x14ac:dyDescent="0.25">
      <c r="A30" s="4" t="s">
        <v>49</v>
      </c>
      <c r="B30" s="6" t="s">
        <v>50</v>
      </c>
      <c r="H30" s="90">
        <f>'Combined data'!H30</f>
        <v>432</v>
      </c>
      <c r="I30" s="90">
        <f>'Combined data'!I30-'Combined data'!H30</f>
        <v>21</v>
      </c>
      <c r="J30" s="90">
        <f>'Combined data'!J30-'Combined data'!I30</f>
        <v>27</v>
      </c>
      <c r="K30" s="90">
        <f>'Combined data'!K30-'Combined data'!J30</f>
        <v>39</v>
      </c>
      <c r="L30" s="90">
        <f>'Combined data'!L30-'Combined data'!K30</f>
        <v>6</v>
      </c>
      <c r="M30" s="90">
        <f>'Combined data'!M30-'Combined data'!L30</f>
        <v>12</v>
      </c>
      <c r="N30" s="90">
        <f>'Combined data'!N30-'Combined data'!M30</f>
        <v>20</v>
      </c>
      <c r="O30" s="90">
        <f>'Combined data'!O30-'Combined data'!N30</f>
        <v>17</v>
      </c>
      <c r="P30" s="90">
        <f>'Combined data'!P30-'Combined data'!O30</f>
        <v>19</v>
      </c>
      <c r="Q30" s="90">
        <f>'Combined data'!Q30-'Combined data'!P30</f>
        <v>16</v>
      </c>
      <c r="R30" s="90">
        <f>'Combined data'!R30-'Combined data'!Q30</f>
        <v>7</v>
      </c>
      <c r="S30" s="90">
        <f>'Combined data'!S30-'Combined data'!R30</f>
        <v>11</v>
      </c>
      <c r="T30" s="90">
        <f>'Combined data'!T30-'Combined data'!S30</f>
        <v>10</v>
      </c>
      <c r="U30" s="90">
        <f>'Combined data'!U30-'Combined data'!T30</f>
        <v>17</v>
      </c>
      <c r="V30" s="90">
        <f>'Combined data'!V30-'Combined data'!U30</f>
        <v>12</v>
      </c>
      <c r="W30" s="90">
        <f>'Combined data'!W30-'Combined data'!V30</f>
        <v>11</v>
      </c>
      <c r="X30" s="90">
        <f>'Combined data'!X30-'Combined data'!W30</f>
        <v>8</v>
      </c>
      <c r="Y30" s="90">
        <f>'Combined data'!Y30-'Combined data'!X30</f>
        <v>6</v>
      </c>
      <c r="Z30" s="90">
        <f>'Combined data'!Z30-'Combined data'!Y30</f>
        <v>16</v>
      </c>
      <c r="AA30" s="90">
        <f>'Combined data'!AA30-'Combined data'!Z30</f>
        <v>10</v>
      </c>
      <c r="AB30" s="90">
        <f>'Combined data'!AB30-'Combined data'!AA30</f>
        <v>5</v>
      </c>
      <c r="AC30" s="90">
        <f>'Combined data'!AC30-'Combined data'!AB30</f>
        <v>2</v>
      </c>
      <c r="AD30" s="90">
        <f>'Combined data'!AD30-'Combined data'!AC30</f>
        <v>18</v>
      </c>
      <c r="AE30" s="90">
        <f>'Combined data'!AE30-'Combined data'!AD30</f>
        <v>-742</v>
      </c>
      <c r="AF30" s="90">
        <f>'Combined data'!AF30-'Combined data'!AE30</f>
        <v>0</v>
      </c>
      <c r="AG30" s="90">
        <f>'Combined data'!AG30-'Combined data'!AF30</f>
        <v>0</v>
      </c>
      <c r="AH30" s="90">
        <f>'Combined data'!AH30-'Combined data'!AG30</f>
        <v>0</v>
      </c>
      <c r="AI30" s="90">
        <f>'Combined data'!AI30-'Combined data'!AH30</f>
        <v>0</v>
      </c>
      <c r="AJ30" s="90">
        <f>'Combined data'!AJ30-'Combined data'!AI30</f>
        <v>0</v>
      </c>
      <c r="AK30" s="90">
        <f>'Combined data'!AK30-'Combined data'!AJ30</f>
        <v>0</v>
      </c>
      <c r="AL30" s="90">
        <f>'Combined data'!AL30-'Combined data'!AK30</f>
        <v>0</v>
      </c>
      <c r="AM30" s="90">
        <f>'Combined data'!AM30-'Combined data'!AL30</f>
        <v>0</v>
      </c>
      <c r="AN30" s="90">
        <f>'Combined data'!AN30-'Combined data'!AM30</f>
        <v>0</v>
      </c>
      <c r="AO30" s="90">
        <f>'Combined data'!AO30-'Combined data'!AN30</f>
        <v>0</v>
      </c>
      <c r="AP30" s="56">
        <f t="shared" si="23"/>
        <v>0</v>
      </c>
      <c r="AQ30" s="113"/>
      <c r="AR30" s="17">
        <f>'Combined data'!AR30</f>
        <v>238</v>
      </c>
      <c r="AS30" s="17">
        <f>'Combined data'!AS30-'Combined data'!AR30</f>
        <v>25</v>
      </c>
      <c r="AT30" s="17">
        <f>'Combined data'!AT30-'Combined data'!AS30</f>
        <v>15</v>
      </c>
      <c r="AU30" s="17">
        <f>'Combined data'!AU30-'Combined data'!AT30</f>
        <v>26</v>
      </c>
      <c r="AV30" s="17">
        <f>'Combined data'!AV30-'Combined data'!AU30</f>
        <v>15</v>
      </c>
      <c r="AW30" s="17">
        <f>'Combined data'!AW30-'Combined data'!AV30</f>
        <v>13</v>
      </c>
      <c r="AX30" s="17">
        <f>'Combined data'!AX30-'Combined data'!AW30</f>
        <v>23</v>
      </c>
      <c r="AY30" s="17">
        <f>'Combined data'!AY30-'Combined data'!AX30</f>
        <v>15</v>
      </c>
      <c r="AZ30" s="17">
        <f>'Combined data'!AZ30-'Combined data'!AY30</f>
        <v>34</v>
      </c>
      <c r="BA30" s="17">
        <f>'Combined data'!BA30-'Combined data'!AZ30</f>
        <v>18</v>
      </c>
      <c r="BB30" s="17">
        <f>'Combined data'!BB30-'Combined data'!BA30</f>
        <v>24</v>
      </c>
      <c r="BC30" s="17">
        <f>'Combined data'!BC30-'Combined data'!BB30</f>
        <v>23</v>
      </c>
      <c r="BD30" s="17">
        <f>'Combined data'!BD30-'Combined data'!BC30</f>
        <v>32</v>
      </c>
      <c r="BE30" s="17">
        <f>'Combined data'!BE30-'Combined data'!BD30</f>
        <v>4</v>
      </c>
      <c r="BF30" s="17">
        <f>'Combined data'!BF30-'Combined data'!BE30</f>
        <v>8</v>
      </c>
      <c r="BG30" s="17">
        <f>'Combined data'!BG30-'Combined data'!BF30</f>
        <v>4</v>
      </c>
      <c r="BH30" s="17">
        <f>'Combined data'!BH30-'Combined data'!BG30</f>
        <v>12</v>
      </c>
      <c r="BI30" s="17">
        <f>'Combined data'!BI30-'Combined data'!BH30</f>
        <v>11</v>
      </c>
      <c r="BJ30" s="17">
        <f>'Combined data'!BJ30-'Combined data'!BI30</f>
        <v>15</v>
      </c>
      <c r="BK30" s="17">
        <f>'Combined data'!BK30-'Combined data'!BJ30</f>
        <v>11</v>
      </c>
      <c r="BL30" s="17">
        <f>'Combined data'!BL30-'Combined data'!BK30</f>
        <v>12</v>
      </c>
      <c r="BM30" s="17">
        <f>'Combined data'!BM30-'Combined data'!BL30</f>
        <v>2</v>
      </c>
      <c r="BN30" s="17">
        <f>'Combined data'!BN30-'Combined data'!BM30</f>
        <v>8</v>
      </c>
      <c r="BO30" s="17">
        <f>'Combined data'!BO30-'Combined data'!BN30</f>
        <v>-588</v>
      </c>
      <c r="BP30" s="17">
        <f>'Combined data'!BP30-'Combined data'!BO30</f>
        <v>0</v>
      </c>
      <c r="BQ30" s="17">
        <f>'Combined data'!BQ30-'Combined data'!BP30</f>
        <v>0</v>
      </c>
      <c r="BR30" s="17">
        <f>'Combined data'!BR30-'Combined data'!BQ30</f>
        <v>0</v>
      </c>
      <c r="BS30" s="17">
        <f>'Combined data'!BS30-'Combined data'!BR30</f>
        <v>0</v>
      </c>
      <c r="BT30" s="17">
        <f>'Combined data'!BT30-'Combined data'!BS30</f>
        <v>0</v>
      </c>
      <c r="BU30" s="17">
        <f>'Combined data'!BU30-'Combined data'!BT30</f>
        <v>0</v>
      </c>
      <c r="BV30" s="17">
        <f>'Combined data'!BV30-'Combined data'!BU30</f>
        <v>0</v>
      </c>
      <c r="BW30" s="17">
        <f>'Combined data'!BW30-'Combined data'!BV30</f>
        <v>0</v>
      </c>
      <c r="BX30" s="17">
        <f>'Combined data'!BX30-'Combined data'!BW30</f>
        <v>0</v>
      </c>
      <c r="BY30" s="17">
        <f>'Combined data'!BY30-'Combined data'!BX30</f>
        <v>0</v>
      </c>
      <c r="CB30" s="17">
        <f t="shared" si="0"/>
        <v>238</v>
      </c>
      <c r="CC30" s="17">
        <f t="shared" si="1"/>
        <v>25</v>
      </c>
      <c r="CD30" s="17">
        <f t="shared" si="2"/>
        <v>15</v>
      </c>
      <c r="CE30" s="17">
        <f t="shared" si="3"/>
        <v>26</v>
      </c>
      <c r="CF30" s="17">
        <f t="shared" si="4"/>
        <v>15</v>
      </c>
      <c r="CG30" s="17">
        <f t="shared" si="5"/>
        <v>13</v>
      </c>
      <c r="CH30" s="17">
        <f t="shared" si="6"/>
        <v>23</v>
      </c>
      <c r="CI30" s="17">
        <f t="shared" si="7"/>
        <v>15</v>
      </c>
      <c r="CJ30" s="17">
        <f t="shared" si="8"/>
        <v>34</v>
      </c>
      <c r="CK30" s="17">
        <f t="shared" si="9"/>
        <v>18</v>
      </c>
      <c r="CL30" s="17">
        <f t="shared" si="10"/>
        <v>24</v>
      </c>
      <c r="CM30" s="17">
        <f t="shared" si="11"/>
        <v>23</v>
      </c>
      <c r="CN30" s="17">
        <f t="shared" si="12"/>
        <v>32</v>
      </c>
      <c r="CO30" s="17">
        <f t="shared" si="13"/>
        <v>4</v>
      </c>
      <c r="CP30" s="17">
        <f t="shared" si="14"/>
        <v>8</v>
      </c>
      <c r="CQ30" s="17">
        <f t="shared" si="15"/>
        <v>4</v>
      </c>
      <c r="CR30" s="17">
        <f t="shared" si="16"/>
        <v>12</v>
      </c>
      <c r="CS30" s="17">
        <f t="shared" si="17"/>
        <v>11</v>
      </c>
      <c r="CT30" s="17">
        <f t="shared" si="18"/>
        <v>15</v>
      </c>
      <c r="CU30" s="17">
        <f t="shared" si="19"/>
        <v>11</v>
      </c>
      <c r="CV30" s="17">
        <f t="shared" si="20"/>
        <v>12</v>
      </c>
      <c r="CW30" s="17">
        <f t="shared" si="21"/>
        <v>2</v>
      </c>
      <c r="CX30" s="17">
        <f t="shared" si="24"/>
        <v>8</v>
      </c>
      <c r="CY30" s="17">
        <f t="shared" si="24"/>
        <v>-588</v>
      </c>
      <c r="CZ30" s="17">
        <f t="shared" si="24"/>
        <v>0</v>
      </c>
      <c r="DA30" s="17">
        <f t="shared" si="24"/>
        <v>0</v>
      </c>
      <c r="DB30" s="17">
        <f t="shared" si="24"/>
        <v>0</v>
      </c>
      <c r="DC30" s="17">
        <f t="shared" si="24"/>
        <v>0</v>
      </c>
      <c r="DD30" s="17">
        <f t="shared" si="24"/>
        <v>0</v>
      </c>
      <c r="DE30" s="17">
        <f t="shared" si="24"/>
        <v>0</v>
      </c>
      <c r="DF30" s="17">
        <f t="shared" si="24"/>
        <v>0</v>
      </c>
      <c r="DG30" s="17">
        <f t="shared" si="24"/>
        <v>0</v>
      </c>
      <c r="DH30" s="17">
        <f t="shared" si="24"/>
        <v>0</v>
      </c>
      <c r="DI30" s="17">
        <f t="shared" si="24"/>
        <v>0</v>
      </c>
    </row>
    <row r="31" spans="1:113" ht="15.75" x14ac:dyDescent="0.25">
      <c r="A31" s="4" t="s">
        <v>51</v>
      </c>
      <c r="B31" s="6" t="s">
        <v>52</v>
      </c>
      <c r="H31" s="90">
        <f>'Combined data'!H31</f>
        <v>239</v>
      </c>
      <c r="I31" s="90">
        <f>'Combined data'!I31-'Combined data'!H31</f>
        <v>17</v>
      </c>
      <c r="J31" s="90">
        <f>'Combined data'!J31-'Combined data'!I31</f>
        <v>14</v>
      </c>
      <c r="K31" s="90">
        <f>'Combined data'!K31-'Combined data'!J31</f>
        <v>35</v>
      </c>
      <c r="L31" s="90">
        <f>'Combined data'!L31-'Combined data'!K31</f>
        <v>15</v>
      </c>
      <c r="M31" s="90">
        <f>'Combined data'!M31-'Combined data'!L31</f>
        <v>2</v>
      </c>
      <c r="N31" s="90">
        <f>'Combined data'!N31-'Combined data'!M31</f>
        <v>21</v>
      </c>
      <c r="O31" s="90">
        <f>'Combined data'!O31-'Combined data'!N31</f>
        <v>3</v>
      </c>
      <c r="P31" s="90">
        <f>'Combined data'!P31-'Combined data'!O31</f>
        <v>9</v>
      </c>
      <c r="Q31" s="90">
        <f>'Combined data'!Q31-'Combined data'!P31</f>
        <v>20</v>
      </c>
      <c r="R31" s="90">
        <f>'Combined data'!R31-'Combined data'!Q31</f>
        <v>3</v>
      </c>
      <c r="S31" s="90">
        <f>'Combined data'!S31-'Combined data'!R31</f>
        <v>13</v>
      </c>
      <c r="T31" s="90">
        <f>'Combined data'!T31-'Combined data'!S31</f>
        <v>3</v>
      </c>
      <c r="U31" s="90">
        <f>'Combined data'!U31-'Combined data'!T31</f>
        <v>6</v>
      </c>
      <c r="V31" s="90">
        <f>'Combined data'!V31-'Combined data'!U31</f>
        <v>1</v>
      </c>
      <c r="W31" s="90">
        <f>'Combined data'!W31-'Combined data'!V31</f>
        <v>13</v>
      </c>
      <c r="X31" s="90">
        <f>'Combined data'!X31-'Combined data'!W31</f>
        <v>6</v>
      </c>
      <c r="Y31" s="90">
        <f>'Combined data'!Y31-'Combined data'!X31</f>
        <v>6</v>
      </c>
      <c r="Z31" s="90">
        <f>'Combined data'!Z31-'Combined data'!Y31</f>
        <v>5</v>
      </c>
      <c r="AA31" s="90">
        <f>'Combined data'!AA31-'Combined data'!Z31</f>
        <v>0</v>
      </c>
      <c r="AB31" s="90">
        <f>'Combined data'!AB31-'Combined data'!AA31</f>
        <v>5</v>
      </c>
      <c r="AC31" s="90">
        <f>'Combined data'!AC31-'Combined data'!AB31</f>
        <v>-1</v>
      </c>
      <c r="AD31" s="90">
        <f>'Combined data'!AD31-'Combined data'!AC31</f>
        <v>2</v>
      </c>
      <c r="AE31" s="90">
        <f>'Combined data'!AE31-'Combined data'!AD31</f>
        <v>-437</v>
      </c>
      <c r="AF31" s="90">
        <f>'Combined data'!AF31-'Combined data'!AE31</f>
        <v>0</v>
      </c>
      <c r="AG31" s="90">
        <f>'Combined data'!AG31-'Combined data'!AF31</f>
        <v>0</v>
      </c>
      <c r="AH31" s="90">
        <f>'Combined data'!AH31-'Combined data'!AG31</f>
        <v>0</v>
      </c>
      <c r="AI31" s="90">
        <f>'Combined data'!AI31-'Combined data'!AH31</f>
        <v>0</v>
      </c>
      <c r="AJ31" s="90">
        <f>'Combined data'!AJ31-'Combined data'!AI31</f>
        <v>0</v>
      </c>
      <c r="AK31" s="90">
        <f>'Combined data'!AK31-'Combined data'!AJ31</f>
        <v>0</v>
      </c>
      <c r="AL31" s="90">
        <f>'Combined data'!AL31-'Combined data'!AK31</f>
        <v>0</v>
      </c>
      <c r="AM31" s="90">
        <f>'Combined data'!AM31-'Combined data'!AL31</f>
        <v>0</v>
      </c>
      <c r="AN31" s="90">
        <f>'Combined data'!AN31-'Combined data'!AM31</f>
        <v>0</v>
      </c>
      <c r="AO31" s="90">
        <f>'Combined data'!AO31-'Combined data'!AN31</f>
        <v>0</v>
      </c>
      <c r="AP31" s="56">
        <f t="shared" si="23"/>
        <v>0</v>
      </c>
      <c r="AQ31" s="113"/>
      <c r="AR31" s="17">
        <f>'Combined data'!AR31</f>
        <v>115</v>
      </c>
      <c r="AS31" s="17">
        <f>'Combined data'!AS31-'Combined data'!AR31</f>
        <v>22</v>
      </c>
      <c r="AT31" s="17">
        <f>'Combined data'!AT31-'Combined data'!AS31</f>
        <v>19</v>
      </c>
      <c r="AU31" s="17">
        <f>'Combined data'!AU31-'Combined data'!AT31</f>
        <v>27</v>
      </c>
      <c r="AV31" s="17">
        <f>'Combined data'!AV31-'Combined data'!AU31</f>
        <v>9</v>
      </c>
      <c r="AW31" s="17">
        <f>'Combined data'!AW31-'Combined data'!AV31</f>
        <v>19</v>
      </c>
      <c r="AX31" s="17">
        <f>'Combined data'!AX31-'Combined data'!AW31</f>
        <v>27</v>
      </c>
      <c r="AY31" s="17">
        <f>'Combined data'!AY31-'Combined data'!AX31</f>
        <v>3</v>
      </c>
      <c r="AZ31" s="17">
        <f>'Combined data'!AZ31-'Combined data'!AY31</f>
        <v>11</v>
      </c>
      <c r="BA31" s="17">
        <f>'Combined data'!BA31-'Combined data'!AZ31</f>
        <v>9</v>
      </c>
      <c r="BB31" s="17">
        <f>'Combined data'!BB31-'Combined data'!BA31</f>
        <v>5</v>
      </c>
      <c r="BC31" s="17">
        <f>'Combined data'!BC31-'Combined data'!BB31</f>
        <v>17</v>
      </c>
      <c r="BD31" s="17">
        <f>'Combined data'!BD31-'Combined data'!BC31</f>
        <v>10</v>
      </c>
      <c r="BE31" s="17">
        <f>'Combined data'!BE31-'Combined data'!BD31</f>
        <v>7</v>
      </c>
      <c r="BF31" s="17">
        <f>'Combined data'!BF31-'Combined data'!BE31</f>
        <v>8</v>
      </c>
      <c r="BG31" s="17">
        <f>'Combined data'!BG31-'Combined data'!BF31</f>
        <v>10</v>
      </c>
      <c r="BH31" s="17">
        <f>'Combined data'!BH31-'Combined data'!BG31</f>
        <v>6</v>
      </c>
      <c r="BI31" s="17">
        <f>'Combined data'!BI31-'Combined data'!BH31</f>
        <v>4</v>
      </c>
      <c r="BJ31" s="17">
        <f>'Combined data'!BJ31-'Combined data'!BI31</f>
        <v>10</v>
      </c>
      <c r="BK31" s="17">
        <f>'Combined data'!BK31-'Combined data'!BJ31</f>
        <v>3</v>
      </c>
      <c r="BL31" s="17">
        <f>'Combined data'!BL31-'Combined data'!BK31</f>
        <v>9</v>
      </c>
      <c r="BM31" s="17">
        <f>'Combined data'!BM31-'Combined data'!BL31</f>
        <v>0</v>
      </c>
      <c r="BN31" s="17">
        <f>'Combined data'!BN31-'Combined data'!BM31</f>
        <v>8</v>
      </c>
      <c r="BO31" s="17">
        <f>'Combined data'!BO31-'Combined data'!BN31</f>
        <v>-358</v>
      </c>
      <c r="BP31" s="17">
        <f>'Combined data'!BP31-'Combined data'!BO31</f>
        <v>0</v>
      </c>
      <c r="BQ31" s="17">
        <f>'Combined data'!BQ31-'Combined data'!BP31</f>
        <v>0</v>
      </c>
      <c r="BR31" s="17">
        <f>'Combined data'!BR31-'Combined data'!BQ31</f>
        <v>0</v>
      </c>
      <c r="BS31" s="17">
        <f>'Combined data'!BS31-'Combined data'!BR31</f>
        <v>0</v>
      </c>
      <c r="BT31" s="17">
        <f>'Combined data'!BT31-'Combined data'!BS31</f>
        <v>0</v>
      </c>
      <c r="BU31" s="17">
        <f>'Combined data'!BU31-'Combined data'!BT31</f>
        <v>0</v>
      </c>
      <c r="BV31" s="17">
        <f>'Combined data'!BV31-'Combined data'!BU31</f>
        <v>0</v>
      </c>
      <c r="BW31" s="17">
        <f>'Combined data'!BW31-'Combined data'!BV31</f>
        <v>0</v>
      </c>
      <c r="BX31" s="17">
        <f>'Combined data'!BX31-'Combined data'!BW31</f>
        <v>0</v>
      </c>
      <c r="BY31" s="17">
        <f>'Combined data'!BY31-'Combined data'!BX31</f>
        <v>0</v>
      </c>
      <c r="CB31" s="17">
        <f t="shared" si="0"/>
        <v>115</v>
      </c>
      <c r="CC31" s="17">
        <f t="shared" si="1"/>
        <v>22</v>
      </c>
      <c r="CD31" s="17">
        <f t="shared" si="2"/>
        <v>19</v>
      </c>
      <c r="CE31" s="17">
        <f t="shared" si="3"/>
        <v>27</v>
      </c>
      <c r="CF31" s="17">
        <f t="shared" si="4"/>
        <v>9</v>
      </c>
      <c r="CG31" s="17">
        <f t="shared" si="5"/>
        <v>19</v>
      </c>
      <c r="CH31" s="17">
        <f t="shared" si="6"/>
        <v>27</v>
      </c>
      <c r="CI31" s="17">
        <f t="shared" si="7"/>
        <v>3</v>
      </c>
      <c r="CJ31" s="17">
        <f t="shared" si="8"/>
        <v>11</v>
      </c>
      <c r="CK31" s="17">
        <f t="shared" si="9"/>
        <v>9</v>
      </c>
      <c r="CL31" s="17">
        <f t="shared" si="10"/>
        <v>5</v>
      </c>
      <c r="CM31" s="17">
        <f t="shared" si="11"/>
        <v>17</v>
      </c>
      <c r="CN31" s="17">
        <f t="shared" si="12"/>
        <v>10</v>
      </c>
      <c r="CO31" s="17">
        <f t="shared" si="13"/>
        <v>7</v>
      </c>
      <c r="CP31" s="17">
        <f t="shared" si="14"/>
        <v>8</v>
      </c>
      <c r="CQ31" s="17">
        <f t="shared" si="15"/>
        <v>10</v>
      </c>
      <c r="CR31" s="17">
        <f t="shared" si="16"/>
        <v>6</v>
      </c>
      <c r="CS31" s="17">
        <f t="shared" si="17"/>
        <v>4</v>
      </c>
      <c r="CT31" s="17">
        <f t="shared" si="18"/>
        <v>10</v>
      </c>
      <c r="CU31" s="17">
        <f t="shared" si="19"/>
        <v>3</v>
      </c>
      <c r="CV31" s="17">
        <f t="shared" si="20"/>
        <v>9</v>
      </c>
      <c r="CW31" s="17">
        <f t="shared" si="21"/>
        <v>0</v>
      </c>
      <c r="CX31" s="17">
        <f t="shared" si="24"/>
        <v>8</v>
      </c>
      <c r="CY31" s="17">
        <f t="shared" si="24"/>
        <v>-358</v>
      </c>
      <c r="CZ31" s="17">
        <f t="shared" si="24"/>
        <v>0</v>
      </c>
      <c r="DA31" s="17">
        <f t="shared" si="24"/>
        <v>0</v>
      </c>
      <c r="DB31" s="17">
        <f t="shared" si="24"/>
        <v>0</v>
      </c>
      <c r="DC31" s="17">
        <f t="shared" si="24"/>
        <v>0</v>
      </c>
      <c r="DD31" s="17">
        <f t="shared" si="24"/>
        <v>0</v>
      </c>
      <c r="DE31" s="17">
        <f t="shared" si="24"/>
        <v>0</v>
      </c>
      <c r="DF31" s="17">
        <f t="shared" si="24"/>
        <v>0</v>
      </c>
      <c r="DG31" s="17">
        <f t="shared" si="24"/>
        <v>0</v>
      </c>
      <c r="DH31" s="17">
        <f t="shared" si="24"/>
        <v>0</v>
      </c>
      <c r="DI31" s="17">
        <f t="shared" si="24"/>
        <v>0</v>
      </c>
    </row>
    <row r="32" spans="1:113" ht="15.75" x14ac:dyDescent="0.25">
      <c r="A32" s="4" t="s">
        <v>53</v>
      </c>
      <c r="B32" s="6" t="s">
        <v>54</v>
      </c>
      <c r="H32" s="90">
        <f>'Combined data'!H32</f>
        <v>368</v>
      </c>
      <c r="I32" s="90">
        <f>'Combined data'!I32-'Combined data'!H32</f>
        <v>34</v>
      </c>
      <c r="J32" s="90">
        <f>'Combined data'!J32-'Combined data'!I32</f>
        <v>29</v>
      </c>
      <c r="K32" s="90">
        <f>'Combined data'!K32-'Combined data'!J32</f>
        <v>33</v>
      </c>
      <c r="L32" s="90">
        <f>'Combined data'!L32-'Combined data'!K32</f>
        <v>25</v>
      </c>
      <c r="M32" s="90">
        <f>'Combined data'!M32-'Combined data'!L32</f>
        <v>18</v>
      </c>
      <c r="N32" s="90">
        <f>'Combined data'!N32-'Combined data'!M32</f>
        <v>31</v>
      </c>
      <c r="O32" s="90">
        <f>'Combined data'!O32-'Combined data'!N32</f>
        <v>25</v>
      </c>
      <c r="P32" s="90">
        <f>'Combined data'!P32-'Combined data'!O32</f>
        <v>21</v>
      </c>
      <c r="Q32" s="90">
        <f>'Combined data'!Q32-'Combined data'!P32</f>
        <v>15</v>
      </c>
      <c r="R32" s="90">
        <f>'Combined data'!R32-'Combined data'!Q32</f>
        <v>5</v>
      </c>
      <c r="S32" s="90">
        <f>'Combined data'!S32-'Combined data'!R32</f>
        <v>11</v>
      </c>
      <c r="T32" s="90">
        <f>'Combined data'!T32-'Combined data'!S32</f>
        <v>8</v>
      </c>
      <c r="U32" s="90">
        <f>'Combined data'!U32-'Combined data'!T32</f>
        <v>19</v>
      </c>
      <c r="V32" s="90">
        <f>'Combined data'!V32-'Combined data'!U32</f>
        <v>14</v>
      </c>
      <c r="W32" s="90">
        <f>'Combined data'!W32-'Combined data'!V32</f>
        <v>1</v>
      </c>
      <c r="X32" s="90">
        <f>'Combined data'!X32-'Combined data'!W32</f>
        <v>2</v>
      </c>
      <c r="Y32" s="90">
        <f>'Combined data'!Y32-'Combined data'!X32</f>
        <v>4</v>
      </c>
      <c r="Z32" s="90">
        <f>'Combined data'!Z32-'Combined data'!Y32</f>
        <v>12</v>
      </c>
      <c r="AA32" s="90">
        <f>'Combined data'!AA32-'Combined data'!Z32</f>
        <v>0</v>
      </c>
      <c r="AB32" s="90">
        <f>'Combined data'!AB32-'Combined data'!AA32</f>
        <v>2</v>
      </c>
      <c r="AC32" s="90">
        <f>'Combined data'!AC32-'Combined data'!AB32</f>
        <v>5</v>
      </c>
      <c r="AD32" s="90">
        <f>'Combined data'!AD32-'Combined data'!AC32</f>
        <v>8</v>
      </c>
      <c r="AE32" s="90">
        <f>'Combined data'!AE32-'Combined data'!AD32</f>
        <v>-690</v>
      </c>
      <c r="AF32" s="90">
        <f>'Combined data'!AF32-'Combined data'!AE32</f>
        <v>0</v>
      </c>
      <c r="AG32" s="90">
        <f>'Combined data'!AG32-'Combined data'!AF32</f>
        <v>0</v>
      </c>
      <c r="AH32" s="90">
        <f>'Combined data'!AH32-'Combined data'!AG32</f>
        <v>0</v>
      </c>
      <c r="AI32" s="90">
        <f>'Combined data'!AI32-'Combined data'!AH32</f>
        <v>0</v>
      </c>
      <c r="AJ32" s="90">
        <f>'Combined data'!AJ32-'Combined data'!AI32</f>
        <v>0</v>
      </c>
      <c r="AK32" s="90">
        <f>'Combined data'!AK32-'Combined data'!AJ32</f>
        <v>0</v>
      </c>
      <c r="AL32" s="90">
        <f>'Combined data'!AL32-'Combined data'!AK32</f>
        <v>0</v>
      </c>
      <c r="AM32" s="90">
        <f>'Combined data'!AM32-'Combined data'!AL32</f>
        <v>0</v>
      </c>
      <c r="AN32" s="90">
        <f>'Combined data'!AN32-'Combined data'!AM32</f>
        <v>0</v>
      </c>
      <c r="AO32" s="90">
        <f>'Combined data'!AO32-'Combined data'!AN32</f>
        <v>0</v>
      </c>
      <c r="AP32" s="56">
        <f t="shared" si="23"/>
        <v>0</v>
      </c>
      <c r="AQ32" s="113"/>
      <c r="AR32" s="17">
        <f>'Combined data'!AR32</f>
        <v>178</v>
      </c>
      <c r="AS32" s="17">
        <f>'Combined data'!AS32-'Combined data'!AR32</f>
        <v>28</v>
      </c>
      <c r="AT32" s="17">
        <f>'Combined data'!AT32-'Combined data'!AS32</f>
        <v>35</v>
      </c>
      <c r="AU32" s="17">
        <f>'Combined data'!AU32-'Combined data'!AT32</f>
        <v>28</v>
      </c>
      <c r="AV32" s="17">
        <f>'Combined data'!AV32-'Combined data'!AU32</f>
        <v>26</v>
      </c>
      <c r="AW32" s="17">
        <f>'Combined data'!AW32-'Combined data'!AV32</f>
        <v>24</v>
      </c>
      <c r="AX32" s="17">
        <f>'Combined data'!AX32-'Combined data'!AW32</f>
        <v>58</v>
      </c>
      <c r="AY32" s="17">
        <f>'Combined data'!AY32-'Combined data'!AX32</f>
        <v>8</v>
      </c>
      <c r="AZ32" s="17">
        <f>'Combined data'!AZ32-'Combined data'!AY32</f>
        <v>16</v>
      </c>
      <c r="BA32" s="17">
        <f>'Combined data'!BA32-'Combined data'!AZ32</f>
        <v>22</v>
      </c>
      <c r="BB32" s="17">
        <f>'Combined data'!BB32-'Combined data'!BA32</f>
        <v>21</v>
      </c>
      <c r="BC32" s="17">
        <f>'Combined data'!BC32-'Combined data'!BB32</f>
        <v>18</v>
      </c>
      <c r="BD32" s="17">
        <f>'Combined data'!BD32-'Combined data'!BC32</f>
        <v>13</v>
      </c>
      <c r="BE32" s="17">
        <f>'Combined data'!BE32-'Combined data'!BD32</f>
        <v>4</v>
      </c>
      <c r="BF32" s="17">
        <f>'Combined data'!BF32-'Combined data'!BE32</f>
        <v>17</v>
      </c>
      <c r="BG32" s="17">
        <f>'Combined data'!BG32-'Combined data'!BF32</f>
        <v>6</v>
      </c>
      <c r="BH32" s="17">
        <f>'Combined data'!BH32-'Combined data'!BG32</f>
        <v>14</v>
      </c>
      <c r="BI32" s="17">
        <f>'Combined data'!BI32-'Combined data'!BH32</f>
        <v>9</v>
      </c>
      <c r="BJ32" s="17">
        <f>'Combined data'!BJ32-'Combined data'!BI32</f>
        <v>14</v>
      </c>
      <c r="BK32" s="17">
        <f>'Combined data'!BK32-'Combined data'!BJ32</f>
        <v>16</v>
      </c>
      <c r="BL32" s="17">
        <f>'Combined data'!BL32-'Combined data'!BK32</f>
        <v>19</v>
      </c>
      <c r="BM32" s="17">
        <f>'Combined data'!BM32-'Combined data'!BL32</f>
        <v>-1</v>
      </c>
      <c r="BN32" s="17">
        <f>'Combined data'!BN32-'Combined data'!BM32</f>
        <v>11</v>
      </c>
      <c r="BO32" s="17">
        <f>'Combined data'!BO32-'Combined data'!BN32</f>
        <v>-584</v>
      </c>
      <c r="BP32" s="17">
        <f>'Combined data'!BP32-'Combined data'!BO32</f>
        <v>0</v>
      </c>
      <c r="BQ32" s="17">
        <f>'Combined data'!BQ32-'Combined data'!BP32</f>
        <v>0</v>
      </c>
      <c r="BR32" s="17">
        <f>'Combined data'!BR32-'Combined data'!BQ32</f>
        <v>0</v>
      </c>
      <c r="BS32" s="17">
        <f>'Combined data'!BS32-'Combined data'!BR32</f>
        <v>0</v>
      </c>
      <c r="BT32" s="17">
        <f>'Combined data'!BT32-'Combined data'!BS32</f>
        <v>0</v>
      </c>
      <c r="BU32" s="17">
        <f>'Combined data'!BU32-'Combined data'!BT32</f>
        <v>0</v>
      </c>
      <c r="BV32" s="17">
        <f>'Combined data'!BV32-'Combined data'!BU32</f>
        <v>0</v>
      </c>
      <c r="BW32" s="17">
        <f>'Combined data'!BW32-'Combined data'!BV32</f>
        <v>0</v>
      </c>
      <c r="BX32" s="17">
        <f>'Combined data'!BX32-'Combined data'!BW32</f>
        <v>0</v>
      </c>
      <c r="BY32" s="17">
        <f>'Combined data'!BY32-'Combined data'!BX32</f>
        <v>0</v>
      </c>
      <c r="CB32" s="17">
        <f t="shared" si="0"/>
        <v>178</v>
      </c>
      <c r="CC32" s="17">
        <f t="shared" si="1"/>
        <v>28</v>
      </c>
      <c r="CD32" s="17">
        <f t="shared" si="2"/>
        <v>35</v>
      </c>
      <c r="CE32" s="17">
        <f t="shared" si="3"/>
        <v>28</v>
      </c>
      <c r="CF32" s="17">
        <f t="shared" si="4"/>
        <v>26</v>
      </c>
      <c r="CG32" s="17">
        <f t="shared" si="5"/>
        <v>24</v>
      </c>
      <c r="CH32" s="17">
        <f t="shared" si="6"/>
        <v>58</v>
      </c>
      <c r="CI32" s="17">
        <f t="shared" si="7"/>
        <v>8</v>
      </c>
      <c r="CJ32" s="17">
        <f t="shared" si="8"/>
        <v>16</v>
      </c>
      <c r="CK32" s="17">
        <f t="shared" si="9"/>
        <v>22</v>
      </c>
      <c r="CL32" s="17">
        <f t="shared" si="10"/>
        <v>21</v>
      </c>
      <c r="CM32" s="17">
        <f t="shared" si="11"/>
        <v>18</v>
      </c>
      <c r="CN32" s="17">
        <f t="shared" si="12"/>
        <v>13</v>
      </c>
      <c r="CO32" s="17">
        <f t="shared" si="13"/>
        <v>4</v>
      </c>
      <c r="CP32" s="17">
        <f t="shared" si="14"/>
        <v>17</v>
      </c>
      <c r="CQ32" s="17">
        <f t="shared" si="15"/>
        <v>6</v>
      </c>
      <c r="CR32" s="17">
        <f t="shared" si="16"/>
        <v>14</v>
      </c>
      <c r="CS32" s="17">
        <f t="shared" si="17"/>
        <v>9</v>
      </c>
      <c r="CT32" s="17">
        <f t="shared" si="18"/>
        <v>14</v>
      </c>
      <c r="CU32" s="17">
        <f t="shared" si="19"/>
        <v>16</v>
      </c>
      <c r="CV32" s="17">
        <f t="shared" si="20"/>
        <v>19</v>
      </c>
      <c r="CW32" s="17">
        <f t="shared" si="21"/>
        <v>-1</v>
      </c>
      <c r="CX32" s="17">
        <f t="shared" si="24"/>
        <v>11</v>
      </c>
      <c r="CY32" s="17">
        <f t="shared" si="24"/>
        <v>-584</v>
      </c>
      <c r="CZ32" s="17">
        <f t="shared" si="24"/>
        <v>0</v>
      </c>
      <c r="DA32" s="17">
        <f t="shared" si="24"/>
        <v>0</v>
      </c>
      <c r="DB32" s="17">
        <f t="shared" si="24"/>
        <v>0</v>
      </c>
      <c r="DC32" s="17">
        <f t="shared" si="24"/>
        <v>0</v>
      </c>
      <c r="DD32" s="17">
        <f t="shared" si="24"/>
        <v>0</v>
      </c>
      <c r="DE32" s="17">
        <f t="shared" si="24"/>
        <v>0</v>
      </c>
      <c r="DF32" s="17">
        <f t="shared" si="24"/>
        <v>0</v>
      </c>
      <c r="DG32" s="17">
        <f t="shared" si="24"/>
        <v>0</v>
      </c>
      <c r="DH32" s="17">
        <f t="shared" si="24"/>
        <v>0</v>
      </c>
      <c r="DI32" s="17">
        <f t="shared" si="24"/>
        <v>0</v>
      </c>
    </row>
    <row r="33" spans="1:113" ht="15.75" x14ac:dyDescent="0.25">
      <c r="A33" s="4" t="s">
        <v>55</v>
      </c>
      <c r="B33" s="6" t="s">
        <v>56</v>
      </c>
      <c r="H33" s="90">
        <f>'Combined data'!H33</f>
        <v>331</v>
      </c>
      <c r="I33" s="90">
        <f>'Combined data'!I33-'Combined data'!H33</f>
        <v>19</v>
      </c>
      <c r="J33" s="90">
        <f>'Combined data'!J33-'Combined data'!I33</f>
        <v>26</v>
      </c>
      <c r="K33" s="90">
        <f>'Combined data'!K33-'Combined data'!J33</f>
        <v>39</v>
      </c>
      <c r="L33" s="90">
        <f>'Combined data'!L33-'Combined data'!K33</f>
        <v>12</v>
      </c>
      <c r="M33" s="90">
        <f>'Combined data'!M33-'Combined data'!L33</f>
        <v>10</v>
      </c>
      <c r="N33" s="90">
        <f>'Combined data'!N33-'Combined data'!M33</f>
        <v>34</v>
      </c>
      <c r="O33" s="90">
        <f>'Combined data'!O33-'Combined data'!N33</f>
        <v>13</v>
      </c>
      <c r="P33" s="90">
        <f>'Combined data'!P33-'Combined data'!O33</f>
        <v>18</v>
      </c>
      <c r="Q33" s="90">
        <f>'Combined data'!Q33-'Combined data'!P33</f>
        <v>13</v>
      </c>
      <c r="R33" s="90">
        <f>'Combined data'!R33-'Combined data'!Q33</f>
        <v>7</v>
      </c>
      <c r="S33" s="90">
        <f>'Combined data'!S33-'Combined data'!R33</f>
        <v>19</v>
      </c>
      <c r="T33" s="90">
        <f>'Combined data'!T33-'Combined data'!S33</f>
        <v>15</v>
      </c>
      <c r="U33" s="90">
        <f>'Combined data'!U33-'Combined data'!T33</f>
        <v>12</v>
      </c>
      <c r="V33" s="90">
        <f>'Combined data'!V33-'Combined data'!U33</f>
        <v>16</v>
      </c>
      <c r="W33" s="90">
        <f>'Combined data'!W33-'Combined data'!V33</f>
        <v>7</v>
      </c>
      <c r="X33" s="90">
        <f>'Combined data'!X33-'Combined data'!W33</f>
        <v>4</v>
      </c>
      <c r="Y33" s="90">
        <f>'Combined data'!Y33-'Combined data'!X33</f>
        <v>10</v>
      </c>
      <c r="Z33" s="90">
        <f>'Combined data'!Z33-'Combined data'!Y33</f>
        <v>13</v>
      </c>
      <c r="AA33" s="90">
        <f>'Combined data'!AA33-'Combined data'!Z33</f>
        <v>6</v>
      </c>
      <c r="AB33" s="90">
        <f>'Combined data'!AB33-'Combined data'!AA33</f>
        <v>2</v>
      </c>
      <c r="AC33" s="90">
        <f>'Combined data'!AC33-'Combined data'!AB33</f>
        <v>4</v>
      </c>
      <c r="AD33" s="90">
        <f>'Combined data'!AD33-'Combined data'!AC33</f>
        <v>7</v>
      </c>
      <c r="AE33" s="90">
        <f>'Combined data'!AE33-'Combined data'!AD33</f>
        <v>-637</v>
      </c>
      <c r="AF33" s="90">
        <f>'Combined data'!AF33-'Combined data'!AE33</f>
        <v>0</v>
      </c>
      <c r="AG33" s="90">
        <f>'Combined data'!AG33-'Combined data'!AF33</f>
        <v>0</v>
      </c>
      <c r="AH33" s="90">
        <f>'Combined data'!AH33-'Combined data'!AG33</f>
        <v>0</v>
      </c>
      <c r="AI33" s="90">
        <f>'Combined data'!AI33-'Combined data'!AH33</f>
        <v>0</v>
      </c>
      <c r="AJ33" s="90">
        <f>'Combined data'!AJ33-'Combined data'!AI33</f>
        <v>0</v>
      </c>
      <c r="AK33" s="90">
        <f>'Combined data'!AK33-'Combined data'!AJ33</f>
        <v>0</v>
      </c>
      <c r="AL33" s="90">
        <f>'Combined data'!AL33-'Combined data'!AK33</f>
        <v>0</v>
      </c>
      <c r="AM33" s="90">
        <f>'Combined data'!AM33-'Combined data'!AL33</f>
        <v>0</v>
      </c>
      <c r="AN33" s="90">
        <f>'Combined data'!AN33-'Combined data'!AM33</f>
        <v>0</v>
      </c>
      <c r="AO33" s="90">
        <f>'Combined data'!AO33-'Combined data'!AN33</f>
        <v>0</v>
      </c>
      <c r="AP33" s="56">
        <f t="shared" si="23"/>
        <v>0</v>
      </c>
      <c r="AQ33" s="113"/>
      <c r="AR33" s="17">
        <f>'Combined data'!AR33</f>
        <v>175</v>
      </c>
      <c r="AS33" s="17">
        <f>'Combined data'!AS33-'Combined data'!AR33</f>
        <v>30</v>
      </c>
      <c r="AT33" s="17">
        <f>'Combined data'!AT33-'Combined data'!AS33</f>
        <v>35</v>
      </c>
      <c r="AU33" s="17">
        <f>'Combined data'!AU33-'Combined data'!AT33</f>
        <v>24</v>
      </c>
      <c r="AV33" s="17">
        <f>'Combined data'!AV33-'Combined data'!AU33</f>
        <v>17</v>
      </c>
      <c r="AW33" s="17">
        <f>'Combined data'!AW33-'Combined data'!AV33</f>
        <v>33</v>
      </c>
      <c r="AX33" s="17">
        <f>'Combined data'!AX33-'Combined data'!AW33</f>
        <v>35</v>
      </c>
      <c r="AY33" s="17">
        <f>'Combined data'!AY33-'Combined data'!AX33</f>
        <v>24</v>
      </c>
      <c r="AZ33" s="17">
        <f>'Combined data'!AZ33-'Combined data'!AY33</f>
        <v>16</v>
      </c>
      <c r="BA33" s="17">
        <f>'Combined data'!BA33-'Combined data'!AZ33</f>
        <v>14</v>
      </c>
      <c r="BB33" s="17">
        <f>'Combined data'!BB33-'Combined data'!BA33</f>
        <v>4</v>
      </c>
      <c r="BC33" s="17">
        <f>'Combined data'!BC33-'Combined data'!BB33</f>
        <v>16</v>
      </c>
      <c r="BD33" s="17">
        <f>'Combined data'!BD33-'Combined data'!BC33</f>
        <v>22</v>
      </c>
      <c r="BE33" s="17">
        <f>'Combined data'!BE33-'Combined data'!BD33</f>
        <v>18</v>
      </c>
      <c r="BF33" s="17">
        <f>'Combined data'!BF33-'Combined data'!BE33</f>
        <v>8</v>
      </c>
      <c r="BG33" s="17">
        <f>'Combined data'!BG33-'Combined data'!BF33</f>
        <v>12</v>
      </c>
      <c r="BH33" s="17">
        <f>'Combined data'!BH33-'Combined data'!BG33</f>
        <v>4</v>
      </c>
      <c r="BI33" s="17">
        <f>'Combined data'!BI33-'Combined data'!BH33</f>
        <v>14</v>
      </c>
      <c r="BJ33" s="17">
        <f>'Combined data'!BJ33-'Combined data'!BI33</f>
        <v>13</v>
      </c>
      <c r="BK33" s="17">
        <f>'Combined data'!BK33-'Combined data'!BJ33</f>
        <v>14</v>
      </c>
      <c r="BL33" s="17">
        <f>'Combined data'!BL33-'Combined data'!BK33</f>
        <v>6</v>
      </c>
      <c r="BM33" s="17">
        <f>'Combined data'!BM33-'Combined data'!BL33</f>
        <v>9</v>
      </c>
      <c r="BN33" s="17">
        <f>'Combined data'!BN33-'Combined data'!BM33</f>
        <v>5</v>
      </c>
      <c r="BO33" s="17">
        <f>'Combined data'!BO33-'Combined data'!BN33</f>
        <v>-548</v>
      </c>
      <c r="BP33" s="17">
        <f>'Combined data'!BP33-'Combined data'!BO33</f>
        <v>0</v>
      </c>
      <c r="BQ33" s="17">
        <f>'Combined data'!BQ33-'Combined data'!BP33</f>
        <v>0</v>
      </c>
      <c r="BR33" s="17">
        <f>'Combined data'!BR33-'Combined data'!BQ33</f>
        <v>0</v>
      </c>
      <c r="BS33" s="17">
        <f>'Combined data'!BS33-'Combined data'!BR33</f>
        <v>0</v>
      </c>
      <c r="BT33" s="17">
        <f>'Combined data'!BT33-'Combined data'!BS33</f>
        <v>0</v>
      </c>
      <c r="BU33" s="17">
        <f>'Combined data'!BU33-'Combined data'!BT33</f>
        <v>0</v>
      </c>
      <c r="BV33" s="17">
        <f>'Combined data'!BV33-'Combined data'!BU33</f>
        <v>0</v>
      </c>
      <c r="BW33" s="17">
        <f>'Combined data'!BW33-'Combined data'!BV33</f>
        <v>0</v>
      </c>
      <c r="BX33" s="17">
        <f>'Combined data'!BX33-'Combined data'!BW33</f>
        <v>0</v>
      </c>
      <c r="BY33" s="17">
        <f>'Combined data'!BY33-'Combined data'!BX33</f>
        <v>0</v>
      </c>
      <c r="CB33" s="17">
        <f t="shared" si="0"/>
        <v>175</v>
      </c>
      <c r="CC33" s="17">
        <f t="shared" si="1"/>
        <v>30</v>
      </c>
      <c r="CD33" s="17">
        <f t="shared" si="2"/>
        <v>35</v>
      </c>
      <c r="CE33" s="17">
        <f t="shared" si="3"/>
        <v>24</v>
      </c>
      <c r="CF33" s="17">
        <f t="shared" si="4"/>
        <v>17</v>
      </c>
      <c r="CG33" s="17">
        <f t="shared" si="5"/>
        <v>33</v>
      </c>
      <c r="CH33" s="17">
        <f t="shared" si="6"/>
        <v>35</v>
      </c>
      <c r="CI33" s="17">
        <f t="shared" si="7"/>
        <v>24</v>
      </c>
      <c r="CJ33" s="17">
        <f t="shared" si="8"/>
        <v>16</v>
      </c>
      <c r="CK33" s="17">
        <f t="shared" si="9"/>
        <v>14</v>
      </c>
      <c r="CL33" s="17">
        <f t="shared" si="10"/>
        <v>4</v>
      </c>
      <c r="CM33" s="17">
        <f t="shared" si="11"/>
        <v>16</v>
      </c>
      <c r="CN33" s="17">
        <f t="shared" si="12"/>
        <v>22</v>
      </c>
      <c r="CO33" s="17">
        <f t="shared" si="13"/>
        <v>18</v>
      </c>
      <c r="CP33" s="17">
        <f t="shared" si="14"/>
        <v>8</v>
      </c>
      <c r="CQ33" s="17">
        <f t="shared" si="15"/>
        <v>12</v>
      </c>
      <c r="CR33" s="17">
        <f t="shared" si="16"/>
        <v>4</v>
      </c>
      <c r="CS33" s="17">
        <f t="shared" si="17"/>
        <v>14</v>
      </c>
      <c r="CT33" s="17">
        <f t="shared" si="18"/>
        <v>13</v>
      </c>
      <c r="CU33" s="17">
        <f t="shared" si="19"/>
        <v>14</v>
      </c>
      <c r="CV33" s="17">
        <f t="shared" si="20"/>
        <v>6</v>
      </c>
      <c r="CW33" s="17">
        <f t="shared" si="21"/>
        <v>9</v>
      </c>
      <c r="CX33" s="17">
        <f t="shared" si="24"/>
        <v>5</v>
      </c>
      <c r="CY33" s="17">
        <f t="shared" si="24"/>
        <v>-548</v>
      </c>
      <c r="CZ33" s="17">
        <f t="shared" si="24"/>
        <v>0</v>
      </c>
      <c r="DA33" s="17">
        <f t="shared" si="24"/>
        <v>0</v>
      </c>
      <c r="DB33" s="17">
        <f t="shared" si="24"/>
        <v>0</v>
      </c>
      <c r="DC33" s="17">
        <f t="shared" si="24"/>
        <v>0</v>
      </c>
      <c r="DD33" s="17">
        <f t="shared" si="24"/>
        <v>0</v>
      </c>
      <c r="DE33" s="17">
        <f t="shared" si="24"/>
        <v>0</v>
      </c>
      <c r="DF33" s="17">
        <f t="shared" si="24"/>
        <v>0</v>
      </c>
      <c r="DG33" s="17">
        <f t="shared" si="24"/>
        <v>0</v>
      </c>
      <c r="DH33" s="17">
        <f t="shared" si="24"/>
        <v>0</v>
      </c>
      <c r="DI33" s="17">
        <f t="shared" si="24"/>
        <v>0</v>
      </c>
    </row>
    <row r="34" spans="1:113" ht="15.75" x14ac:dyDescent="0.25">
      <c r="A34" s="4" t="s">
        <v>57</v>
      </c>
      <c r="B34" s="6" t="s">
        <v>58</v>
      </c>
      <c r="H34" s="90">
        <f>'Combined data'!H34</f>
        <v>10</v>
      </c>
      <c r="I34" s="90">
        <f>'Combined data'!I34-'Combined data'!H34</f>
        <v>15</v>
      </c>
      <c r="J34" s="90">
        <f>'Combined data'!J34-'Combined data'!I34</f>
        <v>0</v>
      </c>
      <c r="K34" s="90">
        <f>'Combined data'!K34-'Combined data'!J34</f>
        <v>0</v>
      </c>
      <c r="L34" s="90">
        <f>'Combined data'!L34-'Combined data'!K34</f>
        <v>0</v>
      </c>
      <c r="M34" s="90">
        <f>'Combined data'!M34-'Combined data'!L34</f>
        <v>5</v>
      </c>
      <c r="N34" s="90">
        <f>'Combined data'!N34-'Combined data'!M34</f>
        <v>10</v>
      </c>
      <c r="O34" s="90">
        <f>'Combined data'!O34-'Combined data'!N34</f>
        <v>0</v>
      </c>
      <c r="P34" s="90">
        <f>'Combined data'!P34-'Combined data'!O34</f>
        <v>0</v>
      </c>
      <c r="Q34" s="90">
        <f>'Combined data'!Q34-'Combined data'!P34</f>
        <v>0</v>
      </c>
      <c r="R34" s="90">
        <f>'Combined data'!R34-'Combined data'!Q34</f>
        <v>5</v>
      </c>
      <c r="S34" s="90">
        <f>'Combined data'!S34-'Combined data'!R34</f>
        <v>0</v>
      </c>
      <c r="T34" s="90">
        <f>'Combined data'!T34-'Combined data'!S34</f>
        <v>0</v>
      </c>
      <c r="U34" s="90">
        <f>'Combined data'!U34-'Combined data'!T34</f>
        <v>0</v>
      </c>
      <c r="V34" s="90">
        <f>'Combined data'!V34-'Combined data'!U34</f>
        <v>0</v>
      </c>
      <c r="W34" s="90">
        <f>'Combined data'!W34-'Combined data'!V34</f>
        <v>0</v>
      </c>
      <c r="X34" s="90">
        <f>'Combined data'!X34-'Combined data'!W34</f>
        <v>0</v>
      </c>
      <c r="Y34" s="90">
        <f>'Combined data'!Y34-'Combined data'!X34</f>
        <v>0</v>
      </c>
      <c r="Z34" s="90">
        <f>'Combined data'!Z34-'Combined data'!Y34</f>
        <v>5</v>
      </c>
      <c r="AA34" s="90">
        <f>'Combined data'!AA34-'Combined data'!Z34</f>
        <v>0</v>
      </c>
      <c r="AB34" s="90">
        <f>'Combined data'!AB34-'Combined data'!AA34</f>
        <v>5</v>
      </c>
      <c r="AC34" s="90">
        <f>'Combined data'!AC34-'Combined data'!AB34</f>
        <v>-15</v>
      </c>
      <c r="AD34" s="90">
        <f>'Combined data'!AD34-'Combined data'!AC34</f>
        <v>0</v>
      </c>
      <c r="AE34" s="90">
        <f>'Combined data'!AE34-'Combined data'!AD34</f>
        <v>-40</v>
      </c>
      <c r="AF34" s="90">
        <f>'Combined data'!AF34-'Combined data'!AE34</f>
        <v>0</v>
      </c>
      <c r="AG34" s="90">
        <f>'Combined data'!AG34-'Combined data'!AF34</f>
        <v>0</v>
      </c>
      <c r="AH34" s="90">
        <f>'Combined data'!AH34-'Combined data'!AG34</f>
        <v>0</v>
      </c>
      <c r="AI34" s="90">
        <f>'Combined data'!AI34-'Combined data'!AH34</f>
        <v>0</v>
      </c>
      <c r="AJ34" s="90">
        <f>'Combined data'!AJ34-'Combined data'!AI34</f>
        <v>0</v>
      </c>
      <c r="AK34" s="90">
        <f>'Combined data'!AK34-'Combined data'!AJ34</f>
        <v>0</v>
      </c>
      <c r="AL34" s="90">
        <f>'Combined data'!AL34-'Combined data'!AK34</f>
        <v>0</v>
      </c>
      <c r="AM34" s="90">
        <f>'Combined data'!AM34-'Combined data'!AL34</f>
        <v>0</v>
      </c>
      <c r="AN34" s="90">
        <f>'Combined data'!AN34-'Combined data'!AM34</f>
        <v>0</v>
      </c>
      <c r="AO34" s="90">
        <f>'Combined data'!AO34-'Combined data'!AN34</f>
        <v>0</v>
      </c>
      <c r="AP34" s="56">
        <f t="shared" si="23"/>
        <v>0</v>
      </c>
      <c r="AQ34" s="113"/>
      <c r="AR34" s="17">
        <f>'Combined data'!AR34</f>
        <v>10</v>
      </c>
      <c r="AS34" s="17">
        <f>'Combined data'!AS34-'Combined data'!AR34</f>
        <v>15</v>
      </c>
      <c r="AT34" s="17">
        <f>'Combined data'!AT34-'Combined data'!AS34</f>
        <v>0</v>
      </c>
      <c r="AU34" s="17">
        <f>'Combined data'!AU34-'Combined data'!AT34</f>
        <v>0</v>
      </c>
      <c r="AV34" s="17">
        <f>'Combined data'!AV34-'Combined data'!AU34</f>
        <v>0</v>
      </c>
      <c r="AW34" s="17">
        <f>'Combined data'!AW34-'Combined data'!AV34</f>
        <v>5</v>
      </c>
      <c r="AX34" s="17">
        <f>'Combined data'!AX34-'Combined data'!AW34</f>
        <v>10</v>
      </c>
      <c r="AY34" s="17">
        <f>'Combined data'!AY34-'Combined data'!AX34</f>
        <v>0</v>
      </c>
      <c r="AZ34" s="17">
        <f>'Combined data'!AZ34-'Combined data'!AY34</f>
        <v>0</v>
      </c>
      <c r="BA34" s="17">
        <f>'Combined data'!BA34-'Combined data'!AZ34</f>
        <v>0</v>
      </c>
      <c r="BB34" s="17">
        <f>'Combined data'!BB34-'Combined data'!BA34</f>
        <v>5</v>
      </c>
      <c r="BC34" s="17">
        <f>'Combined data'!BC34-'Combined data'!BB34</f>
        <v>0</v>
      </c>
      <c r="BD34" s="17">
        <f>'Combined data'!BD34-'Combined data'!BC34</f>
        <v>0</v>
      </c>
      <c r="BE34" s="17">
        <f>'Combined data'!BE34-'Combined data'!BD34</f>
        <v>0</v>
      </c>
      <c r="BF34" s="17">
        <f>'Combined data'!BF34-'Combined data'!BE34</f>
        <v>0</v>
      </c>
      <c r="BG34" s="17">
        <f>'Combined data'!BG34-'Combined data'!BF34</f>
        <v>0</v>
      </c>
      <c r="BH34" s="17">
        <f>'Combined data'!BH34-'Combined data'!BG34</f>
        <v>0</v>
      </c>
      <c r="BI34" s="17">
        <f>'Combined data'!BI34-'Combined data'!BH34</f>
        <v>0</v>
      </c>
      <c r="BJ34" s="17">
        <f>'Combined data'!BJ34-'Combined data'!BI34</f>
        <v>5</v>
      </c>
      <c r="BK34" s="17">
        <f>'Combined data'!BK34-'Combined data'!BJ34</f>
        <v>0</v>
      </c>
      <c r="BL34" s="17">
        <f>'Combined data'!BL34-'Combined data'!BK34</f>
        <v>5</v>
      </c>
      <c r="BM34" s="17">
        <f>'Combined data'!BM34-'Combined data'!BL34</f>
        <v>-15</v>
      </c>
      <c r="BN34" s="17">
        <f>'Combined data'!BN34-'Combined data'!BM34</f>
        <v>0</v>
      </c>
      <c r="BO34" s="17">
        <f>'Combined data'!BO34-'Combined data'!BN34</f>
        <v>-40</v>
      </c>
      <c r="BP34" s="17">
        <f>'Combined data'!BP34-'Combined data'!BO34</f>
        <v>0</v>
      </c>
      <c r="BQ34" s="17">
        <f>'Combined data'!BQ34-'Combined data'!BP34</f>
        <v>0</v>
      </c>
      <c r="BR34" s="17">
        <f>'Combined data'!BR34-'Combined data'!BQ34</f>
        <v>0</v>
      </c>
      <c r="BS34" s="17">
        <f>'Combined data'!BS34-'Combined data'!BR34</f>
        <v>0</v>
      </c>
      <c r="BT34" s="17">
        <f>'Combined data'!BT34-'Combined data'!BS34</f>
        <v>0</v>
      </c>
      <c r="BU34" s="17">
        <f>'Combined data'!BU34-'Combined data'!BT34</f>
        <v>0</v>
      </c>
      <c r="BV34" s="17">
        <f>'Combined data'!BV34-'Combined data'!BU34</f>
        <v>0</v>
      </c>
      <c r="BW34" s="17">
        <f>'Combined data'!BW34-'Combined data'!BV34</f>
        <v>0</v>
      </c>
      <c r="BX34" s="17">
        <f>'Combined data'!BX34-'Combined data'!BW34</f>
        <v>0</v>
      </c>
      <c r="BY34" s="17">
        <f>'Combined data'!BY34-'Combined data'!BX34</f>
        <v>0</v>
      </c>
      <c r="CB34" s="17">
        <f t="shared" si="0"/>
        <v>10</v>
      </c>
      <c r="CC34" s="17">
        <f t="shared" si="1"/>
        <v>15</v>
      </c>
      <c r="CD34" s="17">
        <f t="shared" si="2"/>
        <v>0</v>
      </c>
      <c r="CE34" s="17">
        <f t="shared" si="3"/>
        <v>0</v>
      </c>
      <c r="CF34" s="17">
        <f t="shared" si="4"/>
        <v>0</v>
      </c>
      <c r="CG34" s="17">
        <f t="shared" si="5"/>
        <v>5</v>
      </c>
      <c r="CH34" s="17">
        <f t="shared" si="6"/>
        <v>10</v>
      </c>
      <c r="CI34" s="17">
        <f t="shared" si="7"/>
        <v>0</v>
      </c>
      <c r="CJ34" s="17">
        <f t="shared" si="8"/>
        <v>0</v>
      </c>
      <c r="CK34" s="17">
        <f t="shared" si="9"/>
        <v>0</v>
      </c>
      <c r="CL34" s="17">
        <f t="shared" si="10"/>
        <v>5</v>
      </c>
      <c r="CM34" s="17">
        <f t="shared" si="11"/>
        <v>0</v>
      </c>
      <c r="CN34" s="17">
        <f t="shared" si="12"/>
        <v>0</v>
      </c>
      <c r="CO34" s="17">
        <f t="shared" si="13"/>
        <v>0</v>
      </c>
      <c r="CP34" s="17">
        <f t="shared" si="14"/>
        <v>0</v>
      </c>
      <c r="CQ34" s="17">
        <f t="shared" si="15"/>
        <v>0</v>
      </c>
      <c r="CR34" s="17">
        <f t="shared" si="16"/>
        <v>0</v>
      </c>
      <c r="CS34" s="17">
        <f t="shared" si="17"/>
        <v>0</v>
      </c>
      <c r="CT34" s="17">
        <f t="shared" si="18"/>
        <v>5</v>
      </c>
      <c r="CU34" s="17">
        <f t="shared" si="19"/>
        <v>0</v>
      </c>
      <c r="CV34" s="17">
        <f t="shared" si="20"/>
        <v>5</v>
      </c>
      <c r="CW34" s="17">
        <f t="shared" si="21"/>
        <v>-15</v>
      </c>
      <c r="CX34" s="17">
        <f t="shared" si="24"/>
        <v>0</v>
      </c>
      <c r="CY34" s="17">
        <f t="shared" si="24"/>
        <v>-40</v>
      </c>
      <c r="CZ34" s="17">
        <f t="shared" si="24"/>
        <v>0</v>
      </c>
      <c r="DA34" s="17">
        <f t="shared" si="24"/>
        <v>0</v>
      </c>
      <c r="DB34" s="17">
        <f t="shared" si="24"/>
        <v>0</v>
      </c>
      <c r="DC34" s="17">
        <f t="shared" si="24"/>
        <v>0</v>
      </c>
      <c r="DD34" s="17">
        <f t="shared" si="24"/>
        <v>0</v>
      </c>
      <c r="DE34" s="17">
        <f t="shared" si="24"/>
        <v>0</v>
      </c>
      <c r="DF34" s="17">
        <f t="shared" si="24"/>
        <v>0</v>
      </c>
      <c r="DG34" s="17">
        <f t="shared" si="24"/>
        <v>0</v>
      </c>
      <c r="DH34" s="17">
        <f t="shared" si="24"/>
        <v>0</v>
      </c>
      <c r="DI34" s="17">
        <f t="shared" si="24"/>
        <v>0</v>
      </c>
    </row>
    <row r="35" spans="1:113" ht="15.75" x14ac:dyDescent="0.25">
      <c r="A35" s="4" t="s">
        <v>59</v>
      </c>
      <c r="B35" s="6" t="s">
        <v>60</v>
      </c>
      <c r="H35" s="90">
        <f>'Combined data'!H35</f>
        <v>599</v>
      </c>
      <c r="I35" s="90">
        <f>'Combined data'!I35-'Combined data'!H35</f>
        <v>46</v>
      </c>
      <c r="J35" s="90">
        <f>'Combined data'!J35-'Combined data'!I35</f>
        <v>43</v>
      </c>
      <c r="K35" s="90">
        <f>'Combined data'!K35-'Combined data'!J35</f>
        <v>47</v>
      </c>
      <c r="L35" s="90">
        <f>'Combined data'!L35-'Combined data'!K35</f>
        <v>26</v>
      </c>
      <c r="M35" s="90">
        <f>'Combined data'!M35-'Combined data'!L35</f>
        <v>11</v>
      </c>
      <c r="N35" s="90">
        <f>'Combined data'!N35-'Combined data'!M35</f>
        <v>35</v>
      </c>
      <c r="O35" s="90">
        <f>'Combined data'!O35-'Combined data'!N35</f>
        <v>9</v>
      </c>
      <c r="P35" s="90">
        <f>'Combined data'!P35-'Combined data'!O35</f>
        <v>26</v>
      </c>
      <c r="Q35" s="90">
        <f>'Combined data'!Q35-'Combined data'!P35</f>
        <v>27</v>
      </c>
      <c r="R35" s="90">
        <f>'Combined data'!R35-'Combined data'!Q35</f>
        <v>9</v>
      </c>
      <c r="S35" s="90">
        <f>'Combined data'!S35-'Combined data'!R35</f>
        <v>18</v>
      </c>
      <c r="T35" s="90">
        <f>'Combined data'!T35-'Combined data'!S35</f>
        <v>21</v>
      </c>
      <c r="U35" s="90">
        <f>'Combined data'!U35-'Combined data'!T35</f>
        <v>33</v>
      </c>
      <c r="V35" s="90">
        <f>'Combined data'!V35-'Combined data'!U35</f>
        <v>9</v>
      </c>
      <c r="W35" s="90">
        <f>'Combined data'!W35-'Combined data'!V35</f>
        <v>12</v>
      </c>
      <c r="X35" s="90">
        <f>'Combined data'!X35-'Combined data'!W35</f>
        <v>2</v>
      </c>
      <c r="Y35" s="90">
        <f>'Combined data'!Y35-'Combined data'!X35</f>
        <v>7</v>
      </c>
      <c r="Z35" s="90">
        <f>'Combined data'!Z35-'Combined data'!Y35</f>
        <v>12</v>
      </c>
      <c r="AA35" s="90">
        <f>'Combined data'!AA35-'Combined data'!Z35</f>
        <v>2</v>
      </c>
      <c r="AB35" s="90">
        <f>'Combined data'!AB35-'Combined data'!AA35</f>
        <v>10</v>
      </c>
      <c r="AC35" s="90">
        <f>'Combined data'!AC35-'Combined data'!AB35</f>
        <v>2</v>
      </c>
      <c r="AD35" s="90">
        <f>'Combined data'!AD35-'Combined data'!AC35</f>
        <v>19</v>
      </c>
      <c r="AE35" s="90">
        <f>'Combined data'!AE35-'Combined data'!AD35</f>
        <v>-1025</v>
      </c>
      <c r="AF35" s="90">
        <f>'Combined data'!AF35-'Combined data'!AE35</f>
        <v>0</v>
      </c>
      <c r="AG35" s="90">
        <f>'Combined data'!AG35-'Combined data'!AF35</f>
        <v>0</v>
      </c>
      <c r="AH35" s="90">
        <f>'Combined data'!AH35-'Combined data'!AG35</f>
        <v>0</v>
      </c>
      <c r="AI35" s="90">
        <f>'Combined data'!AI35-'Combined data'!AH35</f>
        <v>0</v>
      </c>
      <c r="AJ35" s="90">
        <f>'Combined data'!AJ35-'Combined data'!AI35</f>
        <v>0</v>
      </c>
      <c r="AK35" s="90">
        <f>'Combined data'!AK35-'Combined data'!AJ35</f>
        <v>0</v>
      </c>
      <c r="AL35" s="90">
        <f>'Combined data'!AL35-'Combined data'!AK35</f>
        <v>0</v>
      </c>
      <c r="AM35" s="90">
        <f>'Combined data'!AM35-'Combined data'!AL35</f>
        <v>0</v>
      </c>
      <c r="AN35" s="90">
        <f>'Combined data'!AN35-'Combined data'!AM35</f>
        <v>0</v>
      </c>
      <c r="AO35" s="90">
        <f>'Combined data'!AO35-'Combined data'!AN35</f>
        <v>0</v>
      </c>
      <c r="AP35" s="56">
        <f t="shared" si="23"/>
        <v>0</v>
      </c>
      <c r="AQ35" s="113"/>
      <c r="AR35" s="17">
        <f>'Combined data'!AR35</f>
        <v>274</v>
      </c>
      <c r="AS35" s="17">
        <f>'Combined data'!AS35-'Combined data'!AR35</f>
        <v>51</v>
      </c>
      <c r="AT35" s="17">
        <f>'Combined data'!AT35-'Combined data'!AS35</f>
        <v>71</v>
      </c>
      <c r="AU35" s="17">
        <f>'Combined data'!AU35-'Combined data'!AT35</f>
        <v>33</v>
      </c>
      <c r="AV35" s="17">
        <f>'Combined data'!AV35-'Combined data'!AU35</f>
        <v>66</v>
      </c>
      <c r="AW35" s="17">
        <f>'Combined data'!AW35-'Combined data'!AV35</f>
        <v>32</v>
      </c>
      <c r="AX35" s="17">
        <f>'Combined data'!AX35-'Combined data'!AW35</f>
        <v>49</v>
      </c>
      <c r="AY35" s="17">
        <f>'Combined data'!AY35-'Combined data'!AX35</f>
        <v>24</v>
      </c>
      <c r="AZ35" s="17">
        <f>'Combined data'!AZ35-'Combined data'!AY35</f>
        <v>21</v>
      </c>
      <c r="BA35" s="17">
        <f>'Combined data'!BA35-'Combined data'!AZ35</f>
        <v>20</v>
      </c>
      <c r="BB35" s="17">
        <f>'Combined data'!BB35-'Combined data'!BA35</f>
        <v>21</v>
      </c>
      <c r="BC35" s="17">
        <f>'Combined data'!BC35-'Combined data'!BB35</f>
        <v>15</v>
      </c>
      <c r="BD35" s="17">
        <f>'Combined data'!BD35-'Combined data'!BC35</f>
        <v>31</v>
      </c>
      <c r="BE35" s="17">
        <f>'Combined data'!BE35-'Combined data'!BD35</f>
        <v>17</v>
      </c>
      <c r="BF35" s="17">
        <f>'Combined data'!BF35-'Combined data'!BE35</f>
        <v>10</v>
      </c>
      <c r="BG35" s="17">
        <f>'Combined data'!BG35-'Combined data'!BF35</f>
        <v>6</v>
      </c>
      <c r="BH35" s="17">
        <f>'Combined data'!BH35-'Combined data'!BG35</f>
        <v>16</v>
      </c>
      <c r="BI35" s="17">
        <f>'Combined data'!BI35-'Combined data'!BH35</f>
        <v>1</v>
      </c>
      <c r="BJ35" s="17">
        <f>'Combined data'!BJ35-'Combined data'!BI35</f>
        <v>24</v>
      </c>
      <c r="BK35" s="17">
        <f>'Combined data'!BK35-'Combined data'!BJ35</f>
        <v>21</v>
      </c>
      <c r="BL35" s="17">
        <f>'Combined data'!BL35-'Combined data'!BK35</f>
        <v>23</v>
      </c>
      <c r="BM35" s="17">
        <f>'Combined data'!BM35-'Combined data'!BL35</f>
        <v>-3</v>
      </c>
      <c r="BN35" s="17">
        <f>'Combined data'!BN35-'Combined data'!BM35</f>
        <v>14</v>
      </c>
      <c r="BO35" s="17">
        <f>'Combined data'!BO35-'Combined data'!BN35</f>
        <v>-837</v>
      </c>
      <c r="BP35" s="17">
        <f>'Combined data'!BP35-'Combined data'!BO35</f>
        <v>0</v>
      </c>
      <c r="BQ35" s="17">
        <f>'Combined data'!BQ35-'Combined data'!BP35</f>
        <v>0</v>
      </c>
      <c r="BR35" s="17">
        <f>'Combined data'!BR35-'Combined data'!BQ35</f>
        <v>0</v>
      </c>
      <c r="BS35" s="17">
        <f>'Combined data'!BS35-'Combined data'!BR35</f>
        <v>0</v>
      </c>
      <c r="BT35" s="17">
        <f>'Combined data'!BT35-'Combined data'!BS35</f>
        <v>0</v>
      </c>
      <c r="BU35" s="17">
        <f>'Combined data'!BU35-'Combined data'!BT35</f>
        <v>0</v>
      </c>
      <c r="BV35" s="17">
        <f>'Combined data'!BV35-'Combined data'!BU35</f>
        <v>0</v>
      </c>
      <c r="BW35" s="17">
        <f>'Combined data'!BW35-'Combined data'!BV35</f>
        <v>0</v>
      </c>
      <c r="BX35" s="17">
        <f>'Combined data'!BX35-'Combined data'!BW35</f>
        <v>0</v>
      </c>
      <c r="BY35" s="17">
        <f>'Combined data'!BY35-'Combined data'!BX35</f>
        <v>0</v>
      </c>
      <c r="CB35" s="17">
        <f t="shared" si="0"/>
        <v>274</v>
      </c>
      <c r="CC35" s="17">
        <f t="shared" si="1"/>
        <v>51</v>
      </c>
      <c r="CD35" s="17">
        <f t="shared" si="2"/>
        <v>71</v>
      </c>
      <c r="CE35" s="17">
        <f t="shared" si="3"/>
        <v>33</v>
      </c>
      <c r="CF35" s="17">
        <f t="shared" si="4"/>
        <v>66</v>
      </c>
      <c r="CG35" s="17">
        <f t="shared" si="5"/>
        <v>32</v>
      </c>
      <c r="CH35" s="17">
        <f t="shared" si="6"/>
        <v>49</v>
      </c>
      <c r="CI35" s="17">
        <f t="shared" si="7"/>
        <v>24</v>
      </c>
      <c r="CJ35" s="17">
        <f t="shared" si="8"/>
        <v>21</v>
      </c>
      <c r="CK35" s="17">
        <f t="shared" si="9"/>
        <v>20</v>
      </c>
      <c r="CL35" s="17">
        <f t="shared" si="10"/>
        <v>21</v>
      </c>
      <c r="CM35" s="17">
        <f t="shared" si="11"/>
        <v>15</v>
      </c>
      <c r="CN35" s="17">
        <f t="shared" si="12"/>
        <v>31</v>
      </c>
      <c r="CO35" s="17">
        <f t="shared" si="13"/>
        <v>17</v>
      </c>
      <c r="CP35" s="17">
        <f t="shared" si="14"/>
        <v>10</v>
      </c>
      <c r="CQ35" s="17">
        <f t="shared" si="15"/>
        <v>6</v>
      </c>
      <c r="CR35" s="17">
        <f t="shared" si="16"/>
        <v>16</v>
      </c>
      <c r="CS35" s="17">
        <f t="shared" si="17"/>
        <v>1</v>
      </c>
      <c r="CT35" s="17">
        <f t="shared" si="18"/>
        <v>24</v>
      </c>
      <c r="CU35" s="17">
        <f t="shared" si="19"/>
        <v>21</v>
      </c>
      <c r="CV35" s="17">
        <f t="shared" si="20"/>
        <v>23</v>
      </c>
      <c r="CW35" s="17">
        <f t="shared" si="21"/>
        <v>-3</v>
      </c>
      <c r="CX35" s="17">
        <f t="shared" si="24"/>
        <v>14</v>
      </c>
      <c r="CY35" s="17">
        <f t="shared" si="24"/>
        <v>-837</v>
      </c>
      <c r="CZ35" s="17">
        <f t="shared" si="24"/>
        <v>0</v>
      </c>
      <c r="DA35" s="17">
        <f t="shared" si="24"/>
        <v>0</v>
      </c>
      <c r="DB35" s="17">
        <f t="shared" si="24"/>
        <v>0</v>
      </c>
      <c r="DC35" s="17">
        <f t="shared" si="24"/>
        <v>0</v>
      </c>
      <c r="DD35" s="17">
        <f t="shared" si="24"/>
        <v>0</v>
      </c>
      <c r="DE35" s="17">
        <f t="shared" si="24"/>
        <v>0</v>
      </c>
      <c r="DF35" s="17">
        <f t="shared" si="24"/>
        <v>0</v>
      </c>
      <c r="DG35" s="17">
        <f t="shared" si="24"/>
        <v>0</v>
      </c>
      <c r="DH35" s="17">
        <f t="shared" si="24"/>
        <v>0</v>
      </c>
      <c r="DI35" s="17">
        <f t="shared" si="24"/>
        <v>0</v>
      </c>
    </row>
    <row r="36" spans="1:113" ht="15.75" x14ac:dyDescent="0.25">
      <c r="A36" s="6" t="s">
        <v>61</v>
      </c>
      <c r="B36" s="6" t="s">
        <v>62</v>
      </c>
      <c r="H36" s="90">
        <f>'Combined data'!H36</f>
        <v>295</v>
      </c>
      <c r="I36" s="90">
        <f>'Combined data'!I36-'Combined data'!H36</f>
        <v>27</v>
      </c>
      <c r="J36" s="90">
        <f>'Combined data'!J36-'Combined data'!I36</f>
        <v>16</v>
      </c>
      <c r="K36" s="90">
        <f>'Combined data'!K36-'Combined data'!J36</f>
        <v>13</v>
      </c>
      <c r="L36" s="90">
        <f>'Combined data'!L36-'Combined data'!K36</f>
        <v>14</v>
      </c>
      <c r="M36" s="90">
        <f>'Combined data'!M36-'Combined data'!L36</f>
        <v>14</v>
      </c>
      <c r="N36" s="90">
        <f>'Combined data'!N36-'Combined data'!M36</f>
        <v>21</v>
      </c>
      <c r="O36" s="90">
        <f>'Combined data'!O36-'Combined data'!N36</f>
        <v>15</v>
      </c>
      <c r="P36" s="90">
        <f>'Combined data'!P36-'Combined data'!O36</f>
        <v>23</v>
      </c>
      <c r="Q36" s="90">
        <f>'Combined data'!Q36-'Combined data'!P36</f>
        <v>8</v>
      </c>
      <c r="R36" s="90">
        <f>'Combined data'!R36-'Combined data'!Q36</f>
        <v>7</v>
      </c>
      <c r="S36" s="90">
        <f>'Combined data'!S36-'Combined data'!R36</f>
        <v>14</v>
      </c>
      <c r="T36" s="90">
        <f>'Combined data'!T36-'Combined data'!S36</f>
        <v>11</v>
      </c>
      <c r="U36" s="90">
        <f>'Combined data'!U36-'Combined data'!T36</f>
        <v>9</v>
      </c>
      <c r="V36" s="90">
        <f>'Combined data'!V36-'Combined data'!U36</f>
        <v>8</v>
      </c>
      <c r="W36" s="90">
        <f>'Combined data'!W36-'Combined data'!V36</f>
        <v>8</v>
      </c>
      <c r="X36" s="90">
        <f>'Combined data'!X36-'Combined data'!W36</f>
        <v>3</v>
      </c>
      <c r="Y36" s="90">
        <f>'Combined data'!Y36-'Combined data'!X36</f>
        <v>8</v>
      </c>
      <c r="Z36" s="90">
        <f>'Combined data'!Z36-'Combined data'!Y36</f>
        <v>9</v>
      </c>
      <c r="AA36" s="90">
        <f>'Combined data'!AA36-'Combined data'!Z36</f>
        <v>3</v>
      </c>
      <c r="AB36" s="90">
        <f>'Combined data'!AB36-'Combined data'!AA36</f>
        <v>2</v>
      </c>
      <c r="AC36" s="90">
        <f>'Combined data'!AC36-'Combined data'!AB36</f>
        <v>5</v>
      </c>
      <c r="AD36" s="90">
        <f>'Combined data'!AD36-'Combined data'!AC36</f>
        <v>5</v>
      </c>
      <c r="AE36" s="90">
        <f>'Combined data'!AE36-'Combined data'!AD36</f>
        <v>-538</v>
      </c>
      <c r="AF36" s="90">
        <f>'Combined data'!AF36-'Combined data'!AE36</f>
        <v>0</v>
      </c>
      <c r="AG36" s="90">
        <f>'Combined data'!AG36-'Combined data'!AF36</f>
        <v>0</v>
      </c>
      <c r="AH36" s="90">
        <f>'Combined data'!AH36-'Combined data'!AG36</f>
        <v>0</v>
      </c>
      <c r="AI36" s="90">
        <f>'Combined data'!AI36-'Combined data'!AH36</f>
        <v>0</v>
      </c>
      <c r="AJ36" s="90">
        <f>'Combined data'!AJ36-'Combined data'!AI36</f>
        <v>0</v>
      </c>
      <c r="AK36" s="90">
        <f>'Combined data'!AK36-'Combined data'!AJ36</f>
        <v>0</v>
      </c>
      <c r="AL36" s="90">
        <f>'Combined data'!AL36-'Combined data'!AK36</f>
        <v>0</v>
      </c>
      <c r="AM36" s="90">
        <f>'Combined data'!AM36-'Combined data'!AL36</f>
        <v>0</v>
      </c>
      <c r="AN36" s="90">
        <f>'Combined data'!AN36-'Combined data'!AM36</f>
        <v>0</v>
      </c>
      <c r="AO36" s="90">
        <f>'Combined data'!AO36-'Combined data'!AN36</f>
        <v>0</v>
      </c>
      <c r="AP36" s="56">
        <f t="shared" si="23"/>
        <v>0</v>
      </c>
      <c r="AQ36" s="113"/>
      <c r="AR36" s="17">
        <f>'Combined data'!AR36</f>
        <v>130</v>
      </c>
      <c r="AS36" s="17">
        <f>'Combined data'!AS36-'Combined data'!AR36</f>
        <v>40</v>
      </c>
      <c r="AT36" s="17">
        <f>'Combined data'!AT36-'Combined data'!AS36</f>
        <v>32</v>
      </c>
      <c r="AU36" s="17">
        <f>'Combined data'!AU36-'Combined data'!AT36</f>
        <v>29</v>
      </c>
      <c r="AV36" s="17">
        <f>'Combined data'!AV36-'Combined data'!AU36</f>
        <v>23</v>
      </c>
      <c r="AW36" s="17">
        <f>'Combined data'!AW36-'Combined data'!AV36</f>
        <v>11</v>
      </c>
      <c r="AX36" s="17">
        <f>'Combined data'!AX36-'Combined data'!AW36</f>
        <v>34</v>
      </c>
      <c r="AY36" s="17">
        <f>'Combined data'!AY36-'Combined data'!AX36</f>
        <v>13</v>
      </c>
      <c r="AZ36" s="17">
        <f>'Combined data'!AZ36-'Combined data'!AY36</f>
        <v>18</v>
      </c>
      <c r="BA36" s="17">
        <f>'Combined data'!BA36-'Combined data'!AZ36</f>
        <v>12</v>
      </c>
      <c r="BB36" s="17">
        <f>'Combined data'!BB36-'Combined data'!BA36</f>
        <v>7</v>
      </c>
      <c r="BC36" s="17">
        <f>'Combined data'!BC36-'Combined data'!BB36</f>
        <v>14</v>
      </c>
      <c r="BD36" s="17">
        <f>'Combined data'!BD36-'Combined data'!BC36</f>
        <v>5</v>
      </c>
      <c r="BE36" s="17">
        <f>'Combined data'!BE36-'Combined data'!BD36</f>
        <v>17</v>
      </c>
      <c r="BF36" s="17">
        <f>'Combined data'!BF36-'Combined data'!BE36</f>
        <v>14</v>
      </c>
      <c r="BG36" s="17">
        <f>'Combined data'!BG36-'Combined data'!BF36</f>
        <v>4</v>
      </c>
      <c r="BH36" s="17">
        <f>'Combined data'!BH36-'Combined data'!BG36</f>
        <v>3</v>
      </c>
      <c r="BI36" s="17">
        <f>'Combined data'!BI36-'Combined data'!BH36</f>
        <v>6</v>
      </c>
      <c r="BJ36" s="17">
        <f>'Combined data'!BJ36-'Combined data'!BI36</f>
        <v>6</v>
      </c>
      <c r="BK36" s="17">
        <f>'Combined data'!BK36-'Combined data'!BJ36</f>
        <v>3</v>
      </c>
      <c r="BL36" s="17">
        <f>'Combined data'!BL36-'Combined data'!BK36</f>
        <v>14</v>
      </c>
      <c r="BM36" s="17">
        <f>'Combined data'!BM36-'Combined data'!BL36</f>
        <v>1</v>
      </c>
      <c r="BN36" s="17">
        <f>'Combined data'!BN36-'Combined data'!BM36</f>
        <v>6</v>
      </c>
      <c r="BO36" s="17">
        <f>'Combined data'!BO36-'Combined data'!BN36</f>
        <v>-442</v>
      </c>
      <c r="BP36" s="17">
        <f>'Combined data'!BP36-'Combined data'!BO36</f>
        <v>0</v>
      </c>
      <c r="BQ36" s="17">
        <f>'Combined data'!BQ36-'Combined data'!BP36</f>
        <v>0</v>
      </c>
      <c r="BR36" s="17">
        <f>'Combined data'!BR36-'Combined data'!BQ36</f>
        <v>0</v>
      </c>
      <c r="BS36" s="17">
        <f>'Combined data'!BS36-'Combined data'!BR36</f>
        <v>0</v>
      </c>
      <c r="BT36" s="17">
        <f>'Combined data'!BT36-'Combined data'!BS36</f>
        <v>0</v>
      </c>
      <c r="BU36" s="17">
        <f>'Combined data'!BU36-'Combined data'!BT36</f>
        <v>0</v>
      </c>
      <c r="BV36" s="17">
        <f>'Combined data'!BV36-'Combined data'!BU36</f>
        <v>0</v>
      </c>
      <c r="BW36" s="17">
        <f>'Combined data'!BW36-'Combined data'!BV36</f>
        <v>0</v>
      </c>
      <c r="BX36" s="17">
        <f>'Combined data'!BX36-'Combined data'!BW36</f>
        <v>0</v>
      </c>
      <c r="BY36" s="17">
        <f>'Combined data'!BY36-'Combined data'!BX36</f>
        <v>0</v>
      </c>
      <c r="CB36" s="17">
        <f t="shared" si="0"/>
        <v>130</v>
      </c>
      <c r="CC36" s="17">
        <f t="shared" si="1"/>
        <v>40</v>
      </c>
      <c r="CD36" s="17">
        <f t="shared" si="2"/>
        <v>32</v>
      </c>
      <c r="CE36" s="17">
        <f t="shared" si="3"/>
        <v>29</v>
      </c>
      <c r="CF36" s="17">
        <f t="shared" si="4"/>
        <v>23</v>
      </c>
      <c r="CG36" s="17">
        <f t="shared" si="5"/>
        <v>11</v>
      </c>
      <c r="CH36" s="17">
        <f t="shared" si="6"/>
        <v>34</v>
      </c>
      <c r="CI36" s="17">
        <f t="shared" si="7"/>
        <v>13</v>
      </c>
      <c r="CJ36" s="17">
        <f t="shared" si="8"/>
        <v>18</v>
      </c>
      <c r="CK36" s="17">
        <f t="shared" si="9"/>
        <v>12</v>
      </c>
      <c r="CL36" s="17">
        <f t="shared" si="10"/>
        <v>7</v>
      </c>
      <c r="CM36" s="17">
        <f t="shared" si="11"/>
        <v>14</v>
      </c>
      <c r="CN36" s="17">
        <f t="shared" si="12"/>
        <v>5</v>
      </c>
      <c r="CO36" s="17">
        <f t="shared" si="13"/>
        <v>17</v>
      </c>
      <c r="CP36" s="17">
        <f t="shared" si="14"/>
        <v>14</v>
      </c>
      <c r="CQ36" s="17">
        <f t="shared" si="15"/>
        <v>4</v>
      </c>
      <c r="CR36" s="17">
        <f t="shared" si="16"/>
        <v>3</v>
      </c>
      <c r="CS36" s="17">
        <f t="shared" si="17"/>
        <v>6</v>
      </c>
      <c r="CT36" s="17">
        <f t="shared" si="18"/>
        <v>6</v>
      </c>
      <c r="CU36" s="17">
        <f t="shared" si="19"/>
        <v>3</v>
      </c>
      <c r="CV36" s="17">
        <f t="shared" si="20"/>
        <v>14</v>
      </c>
      <c r="CW36" s="17">
        <f t="shared" si="21"/>
        <v>1</v>
      </c>
      <c r="CX36" s="17">
        <f t="shared" si="24"/>
        <v>6</v>
      </c>
      <c r="CY36" s="17">
        <f t="shared" si="24"/>
        <v>-442</v>
      </c>
      <c r="CZ36" s="17">
        <f t="shared" si="24"/>
        <v>0</v>
      </c>
      <c r="DA36" s="17">
        <f t="shared" si="24"/>
        <v>0</v>
      </c>
      <c r="DB36" s="17">
        <f t="shared" si="24"/>
        <v>0</v>
      </c>
      <c r="DC36" s="17">
        <f t="shared" si="24"/>
        <v>0</v>
      </c>
      <c r="DD36" s="17">
        <f t="shared" si="24"/>
        <v>0</v>
      </c>
      <c r="DE36" s="17">
        <f t="shared" si="24"/>
        <v>0</v>
      </c>
      <c r="DF36" s="17">
        <f t="shared" si="24"/>
        <v>0</v>
      </c>
      <c r="DG36" s="17">
        <f t="shared" si="24"/>
        <v>0</v>
      </c>
      <c r="DH36" s="17">
        <f t="shared" si="24"/>
        <v>0</v>
      </c>
      <c r="DI36" s="17">
        <f t="shared" si="24"/>
        <v>0</v>
      </c>
    </row>
    <row r="37" spans="1:113" ht="15.75" x14ac:dyDescent="0.25">
      <c r="A37" s="4" t="s">
        <v>63</v>
      </c>
      <c r="B37" s="6" t="s">
        <v>64</v>
      </c>
      <c r="H37" s="90">
        <f>'Combined data'!H37</f>
        <v>97</v>
      </c>
      <c r="I37" s="90">
        <f>'Combined data'!I37-'Combined data'!H37</f>
        <v>14</v>
      </c>
      <c r="J37" s="90">
        <f>'Combined data'!J37-'Combined data'!I37</f>
        <v>12</v>
      </c>
      <c r="K37" s="90">
        <f>'Combined data'!K37-'Combined data'!J37</f>
        <v>10</v>
      </c>
      <c r="L37" s="90">
        <f>'Combined data'!L37-'Combined data'!K37</f>
        <v>6</v>
      </c>
      <c r="M37" s="90">
        <f>'Combined data'!M37-'Combined data'!L37</f>
        <v>0</v>
      </c>
      <c r="N37" s="90">
        <f>'Combined data'!N37-'Combined data'!M37</f>
        <v>11</v>
      </c>
      <c r="O37" s="90">
        <f>'Combined data'!O37-'Combined data'!N37</f>
        <v>0</v>
      </c>
      <c r="P37" s="90">
        <f>'Combined data'!P37-'Combined data'!O37</f>
        <v>8</v>
      </c>
      <c r="Q37" s="90">
        <f>'Combined data'!Q37-'Combined data'!P37</f>
        <v>9</v>
      </c>
      <c r="R37" s="90">
        <f>'Combined data'!R37-'Combined data'!Q37</f>
        <v>5</v>
      </c>
      <c r="S37" s="90">
        <f>'Combined data'!S37-'Combined data'!R37</f>
        <v>15</v>
      </c>
      <c r="T37" s="90">
        <f>'Combined data'!T37-'Combined data'!S37</f>
        <v>9</v>
      </c>
      <c r="U37" s="90">
        <f>'Combined data'!U37-'Combined data'!T37</f>
        <v>9</v>
      </c>
      <c r="V37" s="90">
        <f>'Combined data'!V37-'Combined data'!U37</f>
        <v>8</v>
      </c>
      <c r="W37" s="90">
        <f>'Combined data'!W37-'Combined data'!V37</f>
        <v>18</v>
      </c>
      <c r="X37" s="90">
        <f>'Combined data'!X37-'Combined data'!W37</f>
        <v>6</v>
      </c>
      <c r="Y37" s="90">
        <f>'Combined data'!Y37-'Combined data'!X37</f>
        <v>4</v>
      </c>
      <c r="Z37" s="90">
        <f>'Combined data'!Z37-'Combined data'!Y37</f>
        <v>10</v>
      </c>
      <c r="AA37" s="90">
        <f>'Combined data'!AA37-'Combined data'!Z37</f>
        <v>4</v>
      </c>
      <c r="AB37" s="90">
        <f>'Combined data'!AB37-'Combined data'!AA37</f>
        <v>2</v>
      </c>
      <c r="AC37" s="90">
        <f>'Combined data'!AC37-'Combined data'!AB37</f>
        <v>1</v>
      </c>
      <c r="AD37" s="90">
        <f>'Combined data'!AD37-'Combined data'!AC37</f>
        <v>21</v>
      </c>
      <c r="AE37" s="90">
        <f>'Combined data'!AE37-'Combined data'!AD37</f>
        <v>-279</v>
      </c>
      <c r="AF37" s="90">
        <f>'Combined data'!AF37-'Combined data'!AE37</f>
        <v>0</v>
      </c>
      <c r="AG37" s="90">
        <f>'Combined data'!AG37-'Combined data'!AF37</f>
        <v>0</v>
      </c>
      <c r="AH37" s="90">
        <f>'Combined data'!AH37-'Combined data'!AG37</f>
        <v>0</v>
      </c>
      <c r="AI37" s="90">
        <f>'Combined data'!AI37-'Combined data'!AH37</f>
        <v>0</v>
      </c>
      <c r="AJ37" s="90">
        <f>'Combined data'!AJ37-'Combined data'!AI37</f>
        <v>0</v>
      </c>
      <c r="AK37" s="90">
        <f>'Combined data'!AK37-'Combined data'!AJ37</f>
        <v>0</v>
      </c>
      <c r="AL37" s="90">
        <f>'Combined data'!AL37-'Combined data'!AK37</f>
        <v>0</v>
      </c>
      <c r="AM37" s="90">
        <f>'Combined data'!AM37-'Combined data'!AL37</f>
        <v>0</v>
      </c>
      <c r="AN37" s="90">
        <f>'Combined data'!AN37-'Combined data'!AM37</f>
        <v>0</v>
      </c>
      <c r="AO37" s="90">
        <f>'Combined data'!AO37-'Combined data'!AN37</f>
        <v>0</v>
      </c>
      <c r="AP37" s="56">
        <f t="shared" si="23"/>
        <v>0</v>
      </c>
      <c r="AQ37" s="113"/>
      <c r="AR37" s="17">
        <f>'Combined data'!AR37</f>
        <v>45</v>
      </c>
      <c r="AS37" s="17">
        <f>'Combined data'!AS37-'Combined data'!AR37</f>
        <v>3</v>
      </c>
      <c r="AT37" s="17">
        <f>'Combined data'!AT37-'Combined data'!AS37</f>
        <v>14</v>
      </c>
      <c r="AU37" s="17">
        <f>'Combined data'!AU37-'Combined data'!AT37</f>
        <v>11</v>
      </c>
      <c r="AV37" s="17">
        <f>'Combined data'!AV37-'Combined data'!AU37</f>
        <v>15</v>
      </c>
      <c r="AW37" s="17">
        <f>'Combined data'!AW37-'Combined data'!AV37</f>
        <v>4</v>
      </c>
      <c r="AX37" s="17">
        <f>'Combined data'!AX37-'Combined data'!AW37</f>
        <v>13</v>
      </c>
      <c r="AY37" s="17">
        <f>'Combined data'!AY37-'Combined data'!AX37</f>
        <v>5</v>
      </c>
      <c r="AZ37" s="17">
        <f>'Combined data'!AZ37-'Combined data'!AY37</f>
        <v>11</v>
      </c>
      <c r="BA37" s="17">
        <f>'Combined data'!BA37-'Combined data'!AZ37</f>
        <v>1</v>
      </c>
      <c r="BB37" s="17">
        <f>'Combined data'!BB37-'Combined data'!BA37</f>
        <v>1</v>
      </c>
      <c r="BC37" s="17">
        <f>'Combined data'!BC37-'Combined data'!BB37</f>
        <v>5</v>
      </c>
      <c r="BD37" s="17">
        <f>'Combined data'!BD37-'Combined data'!BC37</f>
        <v>6</v>
      </c>
      <c r="BE37" s="17">
        <f>'Combined data'!BE37-'Combined data'!BD37</f>
        <v>12</v>
      </c>
      <c r="BF37" s="17">
        <f>'Combined data'!BF37-'Combined data'!BE37</f>
        <v>9</v>
      </c>
      <c r="BG37" s="17">
        <f>'Combined data'!BG37-'Combined data'!BF37</f>
        <v>0</v>
      </c>
      <c r="BH37" s="17">
        <f>'Combined data'!BH37-'Combined data'!BG37</f>
        <v>6</v>
      </c>
      <c r="BI37" s="17">
        <f>'Combined data'!BI37-'Combined data'!BH37</f>
        <v>7</v>
      </c>
      <c r="BJ37" s="17">
        <f>'Combined data'!BJ37-'Combined data'!BI37</f>
        <v>6</v>
      </c>
      <c r="BK37" s="17">
        <f>'Combined data'!BK37-'Combined data'!BJ37</f>
        <v>13</v>
      </c>
      <c r="BL37" s="17">
        <f>'Combined data'!BL37-'Combined data'!BK37</f>
        <v>10</v>
      </c>
      <c r="BM37" s="17">
        <f>'Combined data'!BM37-'Combined data'!BL37</f>
        <v>-1</v>
      </c>
      <c r="BN37" s="17">
        <f>'Combined data'!BN37-'Combined data'!BM37</f>
        <v>8</v>
      </c>
      <c r="BO37" s="17">
        <f>'Combined data'!BO37-'Combined data'!BN37</f>
        <v>-204</v>
      </c>
      <c r="BP37" s="17">
        <f>'Combined data'!BP37-'Combined data'!BO37</f>
        <v>0</v>
      </c>
      <c r="BQ37" s="17">
        <f>'Combined data'!BQ37-'Combined data'!BP37</f>
        <v>0</v>
      </c>
      <c r="BR37" s="17">
        <f>'Combined data'!BR37-'Combined data'!BQ37</f>
        <v>0</v>
      </c>
      <c r="BS37" s="17">
        <f>'Combined data'!BS37-'Combined data'!BR37</f>
        <v>0</v>
      </c>
      <c r="BT37" s="17">
        <f>'Combined data'!BT37-'Combined data'!BS37</f>
        <v>0</v>
      </c>
      <c r="BU37" s="17">
        <f>'Combined data'!BU37-'Combined data'!BT37</f>
        <v>0</v>
      </c>
      <c r="BV37" s="17">
        <f>'Combined data'!BV37-'Combined data'!BU37</f>
        <v>0</v>
      </c>
      <c r="BW37" s="17">
        <f>'Combined data'!BW37-'Combined data'!BV37</f>
        <v>0</v>
      </c>
      <c r="BX37" s="17">
        <f>'Combined data'!BX37-'Combined data'!BW37</f>
        <v>0</v>
      </c>
      <c r="BY37" s="17">
        <f>'Combined data'!BY37-'Combined data'!BX37</f>
        <v>0</v>
      </c>
      <c r="CB37" s="17">
        <f t="shared" si="0"/>
        <v>45</v>
      </c>
      <c r="CC37" s="17">
        <f t="shared" si="1"/>
        <v>3</v>
      </c>
      <c r="CD37" s="17">
        <f t="shared" si="2"/>
        <v>14</v>
      </c>
      <c r="CE37" s="17">
        <f t="shared" si="3"/>
        <v>11</v>
      </c>
      <c r="CF37" s="17">
        <f t="shared" si="4"/>
        <v>15</v>
      </c>
      <c r="CG37" s="17">
        <f t="shared" si="5"/>
        <v>4</v>
      </c>
      <c r="CH37" s="17">
        <f t="shared" si="6"/>
        <v>13</v>
      </c>
      <c r="CI37" s="17">
        <f t="shared" si="7"/>
        <v>5</v>
      </c>
      <c r="CJ37" s="17">
        <f t="shared" si="8"/>
        <v>11</v>
      </c>
      <c r="CK37" s="17">
        <f t="shared" si="9"/>
        <v>1</v>
      </c>
      <c r="CL37" s="17">
        <f t="shared" si="10"/>
        <v>1</v>
      </c>
      <c r="CM37" s="17">
        <f t="shared" si="11"/>
        <v>5</v>
      </c>
      <c r="CN37" s="17">
        <f t="shared" si="12"/>
        <v>6</v>
      </c>
      <c r="CO37" s="17">
        <f t="shared" si="13"/>
        <v>12</v>
      </c>
      <c r="CP37" s="17">
        <f t="shared" si="14"/>
        <v>9</v>
      </c>
      <c r="CQ37" s="17">
        <f t="shared" si="15"/>
        <v>0</v>
      </c>
      <c r="CR37" s="17">
        <f t="shared" si="16"/>
        <v>6</v>
      </c>
      <c r="CS37" s="17">
        <f t="shared" si="17"/>
        <v>7</v>
      </c>
      <c r="CT37" s="17">
        <f t="shared" si="18"/>
        <v>6</v>
      </c>
      <c r="CU37" s="17">
        <f t="shared" si="19"/>
        <v>13</v>
      </c>
      <c r="CV37" s="17">
        <f t="shared" si="20"/>
        <v>10</v>
      </c>
      <c r="CW37" s="17">
        <f t="shared" si="21"/>
        <v>-1</v>
      </c>
      <c r="CX37" s="17">
        <f t="shared" si="24"/>
        <v>8</v>
      </c>
      <c r="CY37" s="17">
        <f t="shared" si="24"/>
        <v>-204</v>
      </c>
      <c r="CZ37" s="17">
        <f t="shared" si="24"/>
        <v>0</v>
      </c>
      <c r="DA37" s="17">
        <f t="shared" si="24"/>
        <v>0</v>
      </c>
      <c r="DB37" s="17">
        <f t="shared" si="24"/>
        <v>0</v>
      </c>
      <c r="DC37" s="17">
        <f t="shared" si="24"/>
        <v>0</v>
      </c>
      <c r="DD37" s="17">
        <f t="shared" si="24"/>
        <v>0</v>
      </c>
      <c r="DE37" s="17">
        <f t="shared" si="24"/>
        <v>0</v>
      </c>
      <c r="DF37" s="17">
        <f t="shared" si="24"/>
        <v>0</v>
      </c>
      <c r="DG37" s="17">
        <f t="shared" si="24"/>
        <v>0</v>
      </c>
      <c r="DH37" s="17">
        <f t="shared" si="24"/>
        <v>0</v>
      </c>
      <c r="DI37" s="17">
        <f t="shared" si="24"/>
        <v>0</v>
      </c>
    </row>
    <row r="38" spans="1:113" ht="15.75" x14ac:dyDescent="0.25">
      <c r="A38" s="4" t="s">
        <v>65</v>
      </c>
      <c r="B38" s="6" t="s">
        <v>66</v>
      </c>
      <c r="H38" s="90">
        <f>'Combined data'!H38</f>
        <v>347</v>
      </c>
      <c r="I38" s="90">
        <f>'Combined data'!I38-'Combined data'!H38</f>
        <v>15</v>
      </c>
      <c r="J38" s="90">
        <f>'Combined data'!J38-'Combined data'!I38</f>
        <v>16</v>
      </c>
      <c r="K38" s="90">
        <f>'Combined data'!K38-'Combined data'!J38</f>
        <v>15</v>
      </c>
      <c r="L38" s="90">
        <f>'Combined data'!L38-'Combined data'!K38</f>
        <v>4</v>
      </c>
      <c r="M38" s="90">
        <f>'Combined data'!M38-'Combined data'!L38</f>
        <v>7</v>
      </c>
      <c r="N38" s="90">
        <f>'Combined data'!N38-'Combined data'!M38</f>
        <v>18</v>
      </c>
      <c r="O38" s="90">
        <f>'Combined data'!O38-'Combined data'!N38</f>
        <v>7</v>
      </c>
      <c r="P38" s="90">
        <f>'Combined data'!P38-'Combined data'!O38</f>
        <v>10</v>
      </c>
      <c r="Q38" s="90">
        <f>'Combined data'!Q38-'Combined data'!P38</f>
        <v>20</v>
      </c>
      <c r="R38" s="90">
        <f>'Combined data'!R38-'Combined data'!Q38</f>
        <v>8</v>
      </c>
      <c r="S38" s="90">
        <f>'Combined data'!S38-'Combined data'!R38</f>
        <v>7</v>
      </c>
      <c r="T38" s="90">
        <f>'Combined data'!T38-'Combined data'!S38</f>
        <v>10</v>
      </c>
      <c r="U38" s="90">
        <f>'Combined data'!U38-'Combined data'!T38</f>
        <v>12</v>
      </c>
      <c r="V38" s="90">
        <f>'Combined data'!V38-'Combined data'!U38</f>
        <v>13</v>
      </c>
      <c r="W38" s="90">
        <f>'Combined data'!W38-'Combined data'!V38</f>
        <v>9</v>
      </c>
      <c r="X38" s="90">
        <f>'Combined data'!X38-'Combined data'!W38</f>
        <v>5</v>
      </c>
      <c r="Y38" s="90">
        <f>'Combined data'!Y38-'Combined data'!X38</f>
        <v>7</v>
      </c>
      <c r="Z38" s="90">
        <f>'Combined data'!Z38-'Combined data'!Y38</f>
        <v>11</v>
      </c>
      <c r="AA38" s="90">
        <f>'Combined data'!AA38-'Combined data'!Z38</f>
        <v>8</v>
      </c>
      <c r="AB38" s="90">
        <f>'Combined data'!AB38-'Combined data'!AA38</f>
        <v>6</v>
      </c>
      <c r="AC38" s="90">
        <f>'Combined data'!AC38-'Combined data'!AB38</f>
        <v>2</v>
      </c>
      <c r="AD38" s="90">
        <f>'Combined data'!AD38-'Combined data'!AC38</f>
        <v>19</v>
      </c>
      <c r="AE38" s="90">
        <f>'Combined data'!AE38-'Combined data'!AD38</f>
        <v>-576</v>
      </c>
      <c r="AF38" s="90">
        <f>'Combined data'!AF38-'Combined data'!AE38</f>
        <v>0</v>
      </c>
      <c r="AG38" s="90">
        <f>'Combined data'!AG38-'Combined data'!AF38</f>
        <v>0</v>
      </c>
      <c r="AH38" s="90">
        <f>'Combined data'!AH38-'Combined data'!AG38</f>
        <v>0</v>
      </c>
      <c r="AI38" s="90">
        <f>'Combined data'!AI38-'Combined data'!AH38</f>
        <v>0</v>
      </c>
      <c r="AJ38" s="90">
        <f>'Combined data'!AJ38-'Combined data'!AI38</f>
        <v>0</v>
      </c>
      <c r="AK38" s="90">
        <f>'Combined data'!AK38-'Combined data'!AJ38</f>
        <v>0</v>
      </c>
      <c r="AL38" s="90">
        <f>'Combined data'!AL38-'Combined data'!AK38</f>
        <v>0</v>
      </c>
      <c r="AM38" s="90">
        <f>'Combined data'!AM38-'Combined data'!AL38</f>
        <v>0</v>
      </c>
      <c r="AN38" s="90">
        <f>'Combined data'!AN38-'Combined data'!AM38</f>
        <v>0</v>
      </c>
      <c r="AO38" s="90">
        <f>'Combined data'!AO38-'Combined data'!AN38</f>
        <v>0</v>
      </c>
      <c r="AP38" s="56">
        <f t="shared" si="23"/>
        <v>0</v>
      </c>
      <c r="AQ38" s="113"/>
      <c r="AR38" s="17">
        <f>'Combined data'!AR38</f>
        <v>176</v>
      </c>
      <c r="AS38" s="17">
        <f>'Combined data'!AS38-'Combined data'!AR38</f>
        <v>25</v>
      </c>
      <c r="AT38" s="17">
        <f>'Combined data'!AT38-'Combined data'!AS38</f>
        <v>26</v>
      </c>
      <c r="AU38" s="17">
        <f>'Combined data'!AU38-'Combined data'!AT38</f>
        <v>32</v>
      </c>
      <c r="AV38" s="17">
        <f>'Combined data'!AV38-'Combined data'!AU38</f>
        <v>22</v>
      </c>
      <c r="AW38" s="17">
        <f>'Combined data'!AW38-'Combined data'!AV38</f>
        <v>19</v>
      </c>
      <c r="AX38" s="17">
        <f>'Combined data'!AX38-'Combined data'!AW38</f>
        <v>16</v>
      </c>
      <c r="AY38" s="17">
        <f>'Combined data'!AY38-'Combined data'!AX38</f>
        <v>7</v>
      </c>
      <c r="AZ38" s="17">
        <f>'Combined data'!AZ38-'Combined data'!AY38</f>
        <v>19</v>
      </c>
      <c r="BA38" s="17">
        <f>'Combined data'!BA38-'Combined data'!AZ38</f>
        <v>10</v>
      </c>
      <c r="BB38" s="17">
        <f>'Combined data'!BB38-'Combined data'!BA38</f>
        <v>9</v>
      </c>
      <c r="BC38" s="17">
        <f>'Combined data'!BC38-'Combined data'!BB38</f>
        <v>21</v>
      </c>
      <c r="BD38" s="17">
        <f>'Combined data'!BD38-'Combined data'!BC38</f>
        <v>4</v>
      </c>
      <c r="BE38" s="17">
        <f>'Combined data'!BE38-'Combined data'!BD38</f>
        <v>7</v>
      </c>
      <c r="BF38" s="17">
        <f>'Combined data'!BF38-'Combined data'!BE38</f>
        <v>13</v>
      </c>
      <c r="BG38" s="17">
        <f>'Combined data'!BG38-'Combined data'!BF38</f>
        <v>10</v>
      </c>
      <c r="BH38" s="17">
        <f>'Combined data'!BH38-'Combined data'!BG38</f>
        <v>6</v>
      </c>
      <c r="BI38" s="17">
        <f>'Combined data'!BI38-'Combined data'!BH38</f>
        <v>8</v>
      </c>
      <c r="BJ38" s="17">
        <f>'Combined data'!BJ38-'Combined data'!BI38</f>
        <v>9</v>
      </c>
      <c r="BK38" s="17">
        <f>'Combined data'!BK38-'Combined data'!BJ38</f>
        <v>8</v>
      </c>
      <c r="BL38" s="17">
        <f>'Combined data'!BL38-'Combined data'!BK38</f>
        <v>17</v>
      </c>
      <c r="BM38" s="17">
        <f>'Combined data'!BM38-'Combined data'!BL38</f>
        <v>-6</v>
      </c>
      <c r="BN38" s="17">
        <f>'Combined data'!BN38-'Combined data'!BM38</f>
        <v>6</v>
      </c>
      <c r="BO38" s="17">
        <f>'Combined data'!BO38-'Combined data'!BN38</f>
        <v>-464</v>
      </c>
      <c r="BP38" s="17">
        <f>'Combined data'!BP38-'Combined data'!BO38</f>
        <v>0</v>
      </c>
      <c r="BQ38" s="17">
        <f>'Combined data'!BQ38-'Combined data'!BP38</f>
        <v>0</v>
      </c>
      <c r="BR38" s="17">
        <f>'Combined data'!BR38-'Combined data'!BQ38</f>
        <v>0</v>
      </c>
      <c r="BS38" s="17">
        <f>'Combined data'!BS38-'Combined data'!BR38</f>
        <v>0</v>
      </c>
      <c r="BT38" s="17">
        <f>'Combined data'!BT38-'Combined data'!BS38</f>
        <v>0</v>
      </c>
      <c r="BU38" s="17">
        <f>'Combined data'!BU38-'Combined data'!BT38</f>
        <v>0</v>
      </c>
      <c r="BV38" s="17">
        <f>'Combined data'!BV38-'Combined data'!BU38</f>
        <v>0</v>
      </c>
      <c r="BW38" s="17">
        <f>'Combined data'!BW38-'Combined data'!BV38</f>
        <v>0</v>
      </c>
      <c r="BX38" s="17">
        <f>'Combined data'!BX38-'Combined data'!BW38</f>
        <v>0</v>
      </c>
      <c r="BY38" s="17">
        <f>'Combined data'!BY38-'Combined data'!BX38</f>
        <v>0</v>
      </c>
      <c r="CB38" s="17">
        <f t="shared" si="0"/>
        <v>176</v>
      </c>
      <c r="CC38" s="17">
        <f t="shared" si="1"/>
        <v>25</v>
      </c>
      <c r="CD38" s="17">
        <f t="shared" si="2"/>
        <v>26</v>
      </c>
      <c r="CE38" s="17">
        <f t="shared" si="3"/>
        <v>32</v>
      </c>
      <c r="CF38" s="17">
        <f t="shared" si="4"/>
        <v>22</v>
      </c>
      <c r="CG38" s="17">
        <f t="shared" si="5"/>
        <v>19</v>
      </c>
      <c r="CH38" s="17">
        <f t="shared" si="6"/>
        <v>16</v>
      </c>
      <c r="CI38" s="17">
        <f t="shared" si="7"/>
        <v>7</v>
      </c>
      <c r="CJ38" s="17">
        <f t="shared" si="8"/>
        <v>19</v>
      </c>
      <c r="CK38" s="17">
        <f t="shared" si="9"/>
        <v>10</v>
      </c>
      <c r="CL38" s="17">
        <f t="shared" si="10"/>
        <v>9</v>
      </c>
      <c r="CM38" s="17">
        <f t="shared" si="11"/>
        <v>21</v>
      </c>
      <c r="CN38" s="17">
        <f t="shared" si="12"/>
        <v>4</v>
      </c>
      <c r="CO38" s="17">
        <f t="shared" si="13"/>
        <v>7</v>
      </c>
      <c r="CP38" s="17">
        <f t="shared" si="14"/>
        <v>13</v>
      </c>
      <c r="CQ38" s="17">
        <f t="shared" si="15"/>
        <v>10</v>
      </c>
      <c r="CR38" s="17">
        <f t="shared" si="16"/>
        <v>6</v>
      </c>
      <c r="CS38" s="17">
        <f t="shared" si="17"/>
        <v>8</v>
      </c>
      <c r="CT38" s="17">
        <f t="shared" si="18"/>
        <v>9</v>
      </c>
      <c r="CU38" s="17">
        <f t="shared" si="19"/>
        <v>8</v>
      </c>
      <c r="CV38" s="17">
        <f t="shared" si="20"/>
        <v>17</v>
      </c>
      <c r="CW38" s="17">
        <f t="shared" si="21"/>
        <v>-6</v>
      </c>
      <c r="CX38" s="17">
        <f t="shared" si="24"/>
        <v>6</v>
      </c>
      <c r="CY38" s="17">
        <f t="shared" si="24"/>
        <v>-464</v>
      </c>
      <c r="CZ38" s="17">
        <f t="shared" si="24"/>
        <v>0</v>
      </c>
      <c r="DA38" s="17">
        <f t="shared" si="24"/>
        <v>0</v>
      </c>
      <c r="DB38" s="17">
        <f t="shared" si="24"/>
        <v>0</v>
      </c>
      <c r="DC38" s="17">
        <f t="shared" si="24"/>
        <v>0</v>
      </c>
      <c r="DD38" s="17">
        <f t="shared" si="24"/>
        <v>0</v>
      </c>
      <c r="DE38" s="17">
        <f t="shared" si="24"/>
        <v>0</v>
      </c>
      <c r="DF38" s="17">
        <f t="shared" si="24"/>
        <v>0</v>
      </c>
      <c r="DG38" s="17">
        <f t="shared" si="24"/>
        <v>0</v>
      </c>
      <c r="DH38" s="17">
        <f t="shared" si="24"/>
        <v>0</v>
      </c>
      <c r="DI38" s="17">
        <f t="shared" si="24"/>
        <v>0</v>
      </c>
    </row>
    <row r="39" spans="1:113" ht="15.75" x14ac:dyDescent="0.25">
      <c r="A39" s="4" t="s">
        <v>67</v>
      </c>
      <c r="B39" s="6" t="s">
        <v>68</v>
      </c>
      <c r="H39" s="90">
        <f>'Combined data'!H39</f>
        <v>431</v>
      </c>
      <c r="I39" s="90">
        <f>'Combined data'!I39-'Combined data'!H39</f>
        <v>33</v>
      </c>
      <c r="J39" s="90">
        <f>'Combined data'!J39-'Combined data'!I39</f>
        <v>25</v>
      </c>
      <c r="K39" s="90">
        <f>'Combined data'!K39-'Combined data'!J39</f>
        <v>35</v>
      </c>
      <c r="L39" s="90">
        <f>'Combined data'!L39-'Combined data'!K39</f>
        <v>6</v>
      </c>
      <c r="M39" s="90">
        <f>'Combined data'!M39-'Combined data'!L39</f>
        <v>12</v>
      </c>
      <c r="N39" s="90">
        <f>'Combined data'!N39-'Combined data'!M39</f>
        <v>30</v>
      </c>
      <c r="O39" s="90">
        <f>'Combined data'!O39-'Combined data'!N39</f>
        <v>15</v>
      </c>
      <c r="P39" s="90">
        <f>'Combined data'!P39-'Combined data'!O39</f>
        <v>48</v>
      </c>
      <c r="Q39" s="90">
        <f>'Combined data'!Q39-'Combined data'!P39</f>
        <v>20</v>
      </c>
      <c r="R39" s="90">
        <f>'Combined data'!R39-'Combined data'!Q39</f>
        <v>7</v>
      </c>
      <c r="S39" s="90">
        <f>'Combined data'!S39-'Combined data'!R39</f>
        <v>13</v>
      </c>
      <c r="T39" s="90">
        <f>'Combined data'!T39-'Combined data'!S39</f>
        <v>25</v>
      </c>
      <c r="U39" s="90">
        <f>'Combined data'!U39-'Combined data'!T39</f>
        <v>20</v>
      </c>
      <c r="V39" s="90">
        <f>'Combined data'!V39-'Combined data'!U39</f>
        <v>14</v>
      </c>
      <c r="W39" s="90">
        <f>'Combined data'!W39-'Combined data'!V39</f>
        <v>21</v>
      </c>
      <c r="X39" s="90">
        <f>'Combined data'!X39-'Combined data'!W39</f>
        <v>5</v>
      </c>
      <c r="Y39" s="90">
        <f>'Combined data'!Y39-'Combined data'!X39</f>
        <v>14</v>
      </c>
      <c r="Z39" s="90">
        <f>'Combined data'!Z39-'Combined data'!Y39</f>
        <v>22</v>
      </c>
      <c r="AA39" s="90">
        <f>'Combined data'!AA39-'Combined data'!Z39</f>
        <v>12</v>
      </c>
      <c r="AB39" s="90">
        <f>'Combined data'!AB39-'Combined data'!AA39</f>
        <v>21</v>
      </c>
      <c r="AC39" s="90">
        <f>'Combined data'!AC39-'Combined data'!AB39</f>
        <v>-1</v>
      </c>
      <c r="AD39" s="90">
        <f>'Combined data'!AD39-'Combined data'!AC39</f>
        <v>18</v>
      </c>
      <c r="AE39" s="90">
        <f>'Combined data'!AE39-'Combined data'!AD39</f>
        <v>-846</v>
      </c>
      <c r="AF39" s="90">
        <f>'Combined data'!AF39-'Combined data'!AE39</f>
        <v>0</v>
      </c>
      <c r="AG39" s="90">
        <f>'Combined data'!AG39-'Combined data'!AF39</f>
        <v>0</v>
      </c>
      <c r="AH39" s="90">
        <f>'Combined data'!AH39-'Combined data'!AG39</f>
        <v>0</v>
      </c>
      <c r="AI39" s="90">
        <f>'Combined data'!AI39-'Combined data'!AH39</f>
        <v>0</v>
      </c>
      <c r="AJ39" s="90">
        <f>'Combined data'!AJ39-'Combined data'!AI39</f>
        <v>0</v>
      </c>
      <c r="AK39" s="90">
        <f>'Combined data'!AK39-'Combined data'!AJ39</f>
        <v>0</v>
      </c>
      <c r="AL39" s="90">
        <f>'Combined data'!AL39-'Combined data'!AK39</f>
        <v>0</v>
      </c>
      <c r="AM39" s="90">
        <f>'Combined data'!AM39-'Combined data'!AL39</f>
        <v>0</v>
      </c>
      <c r="AN39" s="90">
        <f>'Combined data'!AN39-'Combined data'!AM39</f>
        <v>0</v>
      </c>
      <c r="AO39" s="90">
        <f>'Combined data'!AO39-'Combined data'!AN39</f>
        <v>0</v>
      </c>
      <c r="AP39" s="56">
        <f t="shared" si="23"/>
        <v>0</v>
      </c>
      <c r="AQ39" s="113"/>
      <c r="AR39" s="17">
        <f>'Combined data'!AR39</f>
        <v>184</v>
      </c>
      <c r="AS39" s="17">
        <f>'Combined data'!AS39-'Combined data'!AR39</f>
        <v>53</v>
      </c>
      <c r="AT39" s="17">
        <f>'Combined data'!AT39-'Combined data'!AS39</f>
        <v>34</v>
      </c>
      <c r="AU39" s="17">
        <f>'Combined data'!AU39-'Combined data'!AT39</f>
        <v>38</v>
      </c>
      <c r="AV39" s="17">
        <f>'Combined data'!AV39-'Combined data'!AU39</f>
        <v>23</v>
      </c>
      <c r="AW39" s="17">
        <f>'Combined data'!AW39-'Combined data'!AV39</f>
        <v>19</v>
      </c>
      <c r="AX39" s="17">
        <f>'Combined data'!AX39-'Combined data'!AW39</f>
        <v>20</v>
      </c>
      <c r="AY39" s="17">
        <f>'Combined data'!AY39-'Combined data'!AX39</f>
        <v>17</v>
      </c>
      <c r="AZ39" s="17">
        <f>'Combined data'!AZ39-'Combined data'!AY39</f>
        <v>35</v>
      </c>
      <c r="BA39" s="17">
        <f>'Combined data'!BA39-'Combined data'!AZ39</f>
        <v>27</v>
      </c>
      <c r="BB39" s="17">
        <f>'Combined data'!BB39-'Combined data'!BA39</f>
        <v>13</v>
      </c>
      <c r="BC39" s="17">
        <f>'Combined data'!BC39-'Combined data'!BB39</f>
        <v>37</v>
      </c>
      <c r="BD39" s="17">
        <f>'Combined data'!BD39-'Combined data'!BC39</f>
        <v>18</v>
      </c>
      <c r="BE39" s="17">
        <f>'Combined data'!BE39-'Combined data'!BD39</f>
        <v>21</v>
      </c>
      <c r="BF39" s="17">
        <f>'Combined data'!BF39-'Combined data'!BE39</f>
        <v>17</v>
      </c>
      <c r="BG39" s="17">
        <f>'Combined data'!BG39-'Combined data'!BF39</f>
        <v>5</v>
      </c>
      <c r="BH39" s="17">
        <f>'Combined data'!BH39-'Combined data'!BG39</f>
        <v>14</v>
      </c>
      <c r="BI39" s="17">
        <f>'Combined data'!BI39-'Combined data'!BH39</f>
        <v>8</v>
      </c>
      <c r="BJ39" s="17">
        <f>'Combined data'!BJ39-'Combined data'!BI39</f>
        <v>16</v>
      </c>
      <c r="BK39" s="17">
        <f>'Combined data'!BK39-'Combined data'!BJ39</f>
        <v>5</v>
      </c>
      <c r="BL39" s="17">
        <f>'Combined data'!BL39-'Combined data'!BK39</f>
        <v>39</v>
      </c>
      <c r="BM39" s="17">
        <f>'Combined data'!BM39-'Combined data'!BL39</f>
        <v>2</v>
      </c>
      <c r="BN39" s="17">
        <f>'Combined data'!BN39-'Combined data'!BM39</f>
        <v>18</v>
      </c>
      <c r="BO39" s="17">
        <f>'Combined data'!BO39-'Combined data'!BN39</f>
        <v>-663</v>
      </c>
      <c r="BP39" s="17">
        <f>'Combined data'!BP39-'Combined data'!BO39</f>
        <v>0</v>
      </c>
      <c r="BQ39" s="17">
        <f>'Combined data'!BQ39-'Combined data'!BP39</f>
        <v>0</v>
      </c>
      <c r="BR39" s="17">
        <f>'Combined data'!BR39-'Combined data'!BQ39</f>
        <v>0</v>
      </c>
      <c r="BS39" s="17">
        <f>'Combined data'!BS39-'Combined data'!BR39</f>
        <v>0</v>
      </c>
      <c r="BT39" s="17">
        <f>'Combined data'!BT39-'Combined data'!BS39</f>
        <v>0</v>
      </c>
      <c r="BU39" s="17">
        <f>'Combined data'!BU39-'Combined data'!BT39</f>
        <v>0</v>
      </c>
      <c r="BV39" s="17">
        <f>'Combined data'!BV39-'Combined data'!BU39</f>
        <v>0</v>
      </c>
      <c r="BW39" s="17">
        <f>'Combined data'!BW39-'Combined data'!BV39</f>
        <v>0</v>
      </c>
      <c r="BX39" s="17">
        <f>'Combined data'!BX39-'Combined data'!BW39</f>
        <v>0</v>
      </c>
      <c r="BY39" s="17">
        <f>'Combined data'!BY39-'Combined data'!BX39</f>
        <v>0</v>
      </c>
      <c r="CB39" s="17">
        <f t="shared" si="0"/>
        <v>184</v>
      </c>
      <c r="CC39" s="17">
        <f t="shared" si="1"/>
        <v>53</v>
      </c>
      <c r="CD39" s="17">
        <f t="shared" si="2"/>
        <v>34</v>
      </c>
      <c r="CE39" s="17">
        <f t="shared" si="3"/>
        <v>38</v>
      </c>
      <c r="CF39" s="17">
        <f t="shared" si="4"/>
        <v>23</v>
      </c>
      <c r="CG39" s="17">
        <f t="shared" si="5"/>
        <v>19</v>
      </c>
      <c r="CH39" s="17">
        <f t="shared" si="6"/>
        <v>20</v>
      </c>
      <c r="CI39" s="17">
        <f t="shared" si="7"/>
        <v>17</v>
      </c>
      <c r="CJ39" s="17">
        <f t="shared" si="8"/>
        <v>35</v>
      </c>
      <c r="CK39" s="17">
        <f t="shared" si="9"/>
        <v>27</v>
      </c>
      <c r="CL39" s="17">
        <f t="shared" si="10"/>
        <v>13</v>
      </c>
      <c r="CM39" s="17">
        <f t="shared" si="11"/>
        <v>37</v>
      </c>
      <c r="CN39" s="17">
        <f t="shared" si="12"/>
        <v>18</v>
      </c>
      <c r="CO39" s="17">
        <f t="shared" si="13"/>
        <v>21</v>
      </c>
      <c r="CP39" s="17">
        <f t="shared" si="14"/>
        <v>17</v>
      </c>
      <c r="CQ39" s="17">
        <f t="shared" si="15"/>
        <v>5</v>
      </c>
      <c r="CR39" s="17">
        <f t="shared" si="16"/>
        <v>14</v>
      </c>
      <c r="CS39" s="17">
        <f t="shared" si="17"/>
        <v>8</v>
      </c>
      <c r="CT39" s="17">
        <f t="shared" si="18"/>
        <v>16</v>
      </c>
      <c r="CU39" s="17">
        <f t="shared" si="19"/>
        <v>5</v>
      </c>
      <c r="CV39" s="17">
        <f t="shared" si="20"/>
        <v>39</v>
      </c>
      <c r="CW39" s="17">
        <f t="shared" si="21"/>
        <v>2</v>
      </c>
      <c r="CX39" s="17">
        <f t="shared" si="24"/>
        <v>18</v>
      </c>
      <c r="CY39" s="17">
        <f t="shared" si="24"/>
        <v>-663</v>
      </c>
      <c r="CZ39" s="17">
        <f t="shared" si="24"/>
        <v>0</v>
      </c>
      <c r="DA39" s="17">
        <f t="shared" si="24"/>
        <v>0</v>
      </c>
      <c r="DB39" s="17">
        <f t="shared" si="24"/>
        <v>0</v>
      </c>
      <c r="DC39" s="17">
        <f t="shared" si="24"/>
        <v>0</v>
      </c>
      <c r="DD39" s="17">
        <f t="shared" si="24"/>
        <v>0</v>
      </c>
      <c r="DE39" s="17">
        <f t="shared" si="24"/>
        <v>0</v>
      </c>
      <c r="DF39" s="17">
        <f t="shared" si="24"/>
        <v>0</v>
      </c>
      <c r="DG39" s="17">
        <f t="shared" si="24"/>
        <v>0</v>
      </c>
      <c r="DH39" s="17">
        <f t="shared" si="24"/>
        <v>0</v>
      </c>
      <c r="DI39" s="17">
        <f t="shared" si="24"/>
        <v>0</v>
      </c>
    </row>
    <row r="40" spans="1:113" ht="15.75" x14ac:dyDescent="0.25">
      <c r="A40" s="4" t="s">
        <v>69</v>
      </c>
      <c r="B40" s="6" t="s">
        <v>70</v>
      </c>
      <c r="H40" s="90">
        <f>'Combined data'!H40</f>
        <v>63</v>
      </c>
      <c r="I40" s="90">
        <f>'Combined data'!I40-'Combined data'!H40</f>
        <v>7</v>
      </c>
      <c r="J40" s="90">
        <f>'Combined data'!J40-'Combined data'!I40</f>
        <v>6</v>
      </c>
      <c r="K40" s="90">
        <f>'Combined data'!K40-'Combined data'!J40</f>
        <v>8</v>
      </c>
      <c r="L40" s="90">
        <f>'Combined data'!L40-'Combined data'!K40</f>
        <v>0</v>
      </c>
      <c r="M40" s="90">
        <f>'Combined data'!M40-'Combined data'!L40</f>
        <v>0</v>
      </c>
      <c r="N40" s="90">
        <f>'Combined data'!N40-'Combined data'!M40</f>
        <v>8</v>
      </c>
      <c r="O40" s="90">
        <f>'Combined data'!O40-'Combined data'!N40</f>
        <v>0</v>
      </c>
      <c r="P40" s="90">
        <f>'Combined data'!P40-'Combined data'!O40</f>
        <v>7</v>
      </c>
      <c r="Q40" s="90">
        <f>'Combined data'!Q40-'Combined data'!P40</f>
        <v>2</v>
      </c>
      <c r="R40" s="90">
        <f>'Combined data'!R40-'Combined data'!Q40</f>
        <v>0</v>
      </c>
      <c r="S40" s="90">
        <f>'Combined data'!S40-'Combined data'!R40</f>
        <v>1</v>
      </c>
      <c r="T40" s="90">
        <f>'Combined data'!T40-'Combined data'!S40</f>
        <v>0</v>
      </c>
      <c r="U40" s="90">
        <f>'Combined data'!U40-'Combined data'!T40</f>
        <v>2</v>
      </c>
      <c r="V40" s="90">
        <f>'Combined data'!V40-'Combined data'!U40</f>
        <v>0</v>
      </c>
      <c r="W40" s="90">
        <f>'Combined data'!W40-'Combined data'!V40</f>
        <v>2</v>
      </c>
      <c r="X40" s="90">
        <f>'Combined data'!X40-'Combined data'!W40</f>
        <v>0</v>
      </c>
      <c r="Y40" s="90">
        <f>'Combined data'!Y40-'Combined data'!X40</f>
        <v>0</v>
      </c>
      <c r="Z40" s="90">
        <f>'Combined data'!Z40-'Combined data'!Y40</f>
        <v>4</v>
      </c>
      <c r="AA40" s="90">
        <f>'Combined data'!AA40-'Combined data'!Z40</f>
        <v>1</v>
      </c>
      <c r="AB40" s="90">
        <f>'Combined data'!AB40-'Combined data'!AA40</f>
        <v>0</v>
      </c>
      <c r="AC40" s="90">
        <f>'Combined data'!AC40-'Combined data'!AB40</f>
        <v>3</v>
      </c>
      <c r="AD40" s="90">
        <f>'Combined data'!AD40-'Combined data'!AC40</f>
        <v>5</v>
      </c>
      <c r="AE40" s="90">
        <f>'Combined data'!AE40-'Combined data'!AD40</f>
        <v>-119</v>
      </c>
      <c r="AF40" s="90">
        <f>'Combined data'!AF40-'Combined data'!AE40</f>
        <v>0</v>
      </c>
      <c r="AG40" s="90">
        <f>'Combined data'!AG40-'Combined data'!AF40</f>
        <v>0</v>
      </c>
      <c r="AH40" s="90">
        <f>'Combined data'!AH40-'Combined data'!AG40</f>
        <v>0</v>
      </c>
      <c r="AI40" s="90">
        <f>'Combined data'!AI40-'Combined data'!AH40</f>
        <v>0</v>
      </c>
      <c r="AJ40" s="90">
        <f>'Combined data'!AJ40-'Combined data'!AI40</f>
        <v>0</v>
      </c>
      <c r="AK40" s="90">
        <f>'Combined data'!AK40-'Combined data'!AJ40</f>
        <v>0</v>
      </c>
      <c r="AL40" s="90">
        <f>'Combined data'!AL40-'Combined data'!AK40</f>
        <v>0</v>
      </c>
      <c r="AM40" s="90">
        <f>'Combined data'!AM40-'Combined data'!AL40</f>
        <v>0</v>
      </c>
      <c r="AN40" s="90">
        <f>'Combined data'!AN40-'Combined data'!AM40</f>
        <v>0</v>
      </c>
      <c r="AO40" s="90">
        <f>'Combined data'!AO40-'Combined data'!AN40</f>
        <v>0</v>
      </c>
      <c r="AP40" s="56">
        <f t="shared" si="23"/>
        <v>0</v>
      </c>
      <c r="AQ40" s="113"/>
      <c r="AR40" s="17">
        <f>'Combined data'!AR40</f>
        <v>24</v>
      </c>
      <c r="AS40" s="17">
        <f>'Combined data'!AS40-'Combined data'!AR40</f>
        <v>13</v>
      </c>
      <c r="AT40" s="17">
        <f>'Combined data'!AT40-'Combined data'!AS40</f>
        <v>11</v>
      </c>
      <c r="AU40" s="17">
        <f>'Combined data'!AU40-'Combined data'!AT40</f>
        <v>4</v>
      </c>
      <c r="AV40" s="17">
        <f>'Combined data'!AV40-'Combined data'!AU40</f>
        <v>5</v>
      </c>
      <c r="AW40" s="17">
        <f>'Combined data'!AW40-'Combined data'!AV40</f>
        <v>7</v>
      </c>
      <c r="AX40" s="17">
        <f>'Combined data'!AX40-'Combined data'!AW40</f>
        <v>2</v>
      </c>
      <c r="AY40" s="17">
        <f>'Combined data'!AY40-'Combined data'!AX40</f>
        <v>1</v>
      </c>
      <c r="AZ40" s="17">
        <f>'Combined data'!AZ40-'Combined data'!AY40</f>
        <v>7</v>
      </c>
      <c r="BA40" s="17">
        <f>'Combined data'!BA40-'Combined data'!AZ40</f>
        <v>0</v>
      </c>
      <c r="BB40" s="17">
        <f>'Combined data'!BB40-'Combined data'!BA40</f>
        <v>0</v>
      </c>
      <c r="BC40" s="17">
        <f>'Combined data'!BC40-'Combined data'!BB40</f>
        <v>1</v>
      </c>
      <c r="BD40" s="17">
        <f>'Combined data'!BD40-'Combined data'!BC40</f>
        <v>6</v>
      </c>
      <c r="BE40" s="17">
        <f>'Combined data'!BE40-'Combined data'!BD40</f>
        <v>0</v>
      </c>
      <c r="BF40" s="17">
        <f>'Combined data'!BF40-'Combined data'!BE40</f>
        <v>1</v>
      </c>
      <c r="BG40" s="17">
        <f>'Combined data'!BG40-'Combined data'!BF40</f>
        <v>2</v>
      </c>
      <c r="BH40" s="17">
        <f>'Combined data'!BH40-'Combined data'!BG40</f>
        <v>0</v>
      </c>
      <c r="BI40" s="17">
        <f>'Combined data'!BI40-'Combined data'!BH40</f>
        <v>0</v>
      </c>
      <c r="BJ40" s="17">
        <f>'Combined data'!BJ40-'Combined data'!BI40</f>
        <v>8</v>
      </c>
      <c r="BK40" s="17">
        <f>'Combined data'!BK40-'Combined data'!BJ40</f>
        <v>0</v>
      </c>
      <c r="BL40" s="17">
        <f>'Combined data'!BL40-'Combined data'!BK40</f>
        <v>0</v>
      </c>
      <c r="BM40" s="17">
        <f>'Combined data'!BM40-'Combined data'!BL40</f>
        <v>0</v>
      </c>
      <c r="BN40" s="17">
        <f>'Combined data'!BN40-'Combined data'!BM40</f>
        <v>1</v>
      </c>
      <c r="BO40" s="17">
        <f>'Combined data'!BO40-'Combined data'!BN40</f>
        <v>-93</v>
      </c>
      <c r="BP40" s="17">
        <f>'Combined data'!BP40-'Combined data'!BO40</f>
        <v>0</v>
      </c>
      <c r="BQ40" s="17">
        <f>'Combined data'!BQ40-'Combined data'!BP40</f>
        <v>0</v>
      </c>
      <c r="BR40" s="17">
        <f>'Combined data'!BR40-'Combined data'!BQ40</f>
        <v>0</v>
      </c>
      <c r="BS40" s="17">
        <f>'Combined data'!BS40-'Combined data'!BR40</f>
        <v>0</v>
      </c>
      <c r="BT40" s="17">
        <f>'Combined data'!BT40-'Combined data'!BS40</f>
        <v>0</v>
      </c>
      <c r="BU40" s="17">
        <f>'Combined data'!BU40-'Combined data'!BT40</f>
        <v>0</v>
      </c>
      <c r="BV40" s="17">
        <f>'Combined data'!BV40-'Combined data'!BU40</f>
        <v>0</v>
      </c>
      <c r="BW40" s="17">
        <f>'Combined data'!BW40-'Combined data'!BV40</f>
        <v>0</v>
      </c>
      <c r="BX40" s="17">
        <f>'Combined data'!BX40-'Combined data'!BW40</f>
        <v>0</v>
      </c>
      <c r="BY40" s="17">
        <f>'Combined data'!BY40-'Combined data'!BX40</f>
        <v>0</v>
      </c>
      <c r="CB40" s="17">
        <f t="shared" si="0"/>
        <v>24</v>
      </c>
      <c r="CC40" s="17">
        <f t="shared" si="1"/>
        <v>13</v>
      </c>
      <c r="CD40" s="17">
        <f t="shared" si="2"/>
        <v>11</v>
      </c>
      <c r="CE40" s="17">
        <f t="shared" si="3"/>
        <v>4</v>
      </c>
      <c r="CF40" s="17">
        <f t="shared" si="4"/>
        <v>5</v>
      </c>
      <c r="CG40" s="17">
        <f t="shared" si="5"/>
        <v>7</v>
      </c>
      <c r="CH40" s="17">
        <f t="shared" si="6"/>
        <v>2</v>
      </c>
      <c r="CI40" s="17">
        <f t="shared" si="7"/>
        <v>1</v>
      </c>
      <c r="CJ40" s="17">
        <f t="shared" si="8"/>
        <v>7</v>
      </c>
      <c r="CK40" s="17">
        <f t="shared" si="9"/>
        <v>0</v>
      </c>
      <c r="CL40" s="17">
        <f t="shared" si="10"/>
        <v>0</v>
      </c>
      <c r="CM40" s="17">
        <f t="shared" si="11"/>
        <v>1</v>
      </c>
      <c r="CN40" s="17">
        <f t="shared" si="12"/>
        <v>6</v>
      </c>
      <c r="CO40" s="17">
        <f t="shared" si="13"/>
        <v>0</v>
      </c>
      <c r="CP40" s="17">
        <f t="shared" si="14"/>
        <v>1</v>
      </c>
      <c r="CQ40" s="17">
        <f t="shared" si="15"/>
        <v>2</v>
      </c>
      <c r="CR40" s="17">
        <f t="shared" si="16"/>
        <v>0</v>
      </c>
      <c r="CS40" s="17">
        <f t="shared" si="17"/>
        <v>0</v>
      </c>
      <c r="CT40" s="17">
        <f t="shared" si="18"/>
        <v>8</v>
      </c>
      <c r="CU40" s="17">
        <f t="shared" si="19"/>
        <v>0</v>
      </c>
      <c r="CV40" s="17">
        <f t="shared" si="20"/>
        <v>0</v>
      </c>
      <c r="CW40" s="17">
        <f t="shared" si="21"/>
        <v>0</v>
      </c>
      <c r="CX40" s="17">
        <f t="shared" si="24"/>
        <v>1</v>
      </c>
      <c r="CY40" s="17">
        <f t="shared" si="24"/>
        <v>-93</v>
      </c>
      <c r="CZ40" s="17">
        <f t="shared" si="24"/>
        <v>0</v>
      </c>
      <c r="DA40" s="17">
        <f t="shared" si="24"/>
        <v>0</v>
      </c>
      <c r="DB40" s="17">
        <f t="shared" si="24"/>
        <v>0</v>
      </c>
      <c r="DC40" s="17">
        <f t="shared" si="24"/>
        <v>0</v>
      </c>
      <c r="DD40" s="17">
        <f t="shared" si="24"/>
        <v>0</v>
      </c>
      <c r="DE40" s="17">
        <f t="shared" si="24"/>
        <v>0</v>
      </c>
      <c r="DF40" s="17">
        <f t="shared" si="24"/>
        <v>0</v>
      </c>
      <c r="DG40" s="17">
        <f t="shared" si="24"/>
        <v>0</v>
      </c>
      <c r="DH40" s="17">
        <f t="shared" si="24"/>
        <v>0</v>
      </c>
      <c r="DI40" s="17">
        <f t="shared" si="24"/>
        <v>0</v>
      </c>
    </row>
    <row r="41" spans="1:113" ht="15.75" x14ac:dyDescent="0.25">
      <c r="A41" s="4" t="s">
        <v>71</v>
      </c>
      <c r="B41" s="6" t="s">
        <v>72</v>
      </c>
      <c r="H41" s="90">
        <f>'Combined data'!H41</f>
        <v>88</v>
      </c>
      <c r="I41" s="90">
        <f>'Combined data'!I41-'Combined data'!H41</f>
        <v>6</v>
      </c>
      <c r="J41" s="90">
        <f>'Combined data'!J41-'Combined data'!I41</f>
        <v>8</v>
      </c>
      <c r="K41" s="90">
        <f>'Combined data'!K41-'Combined data'!J41</f>
        <v>4</v>
      </c>
      <c r="L41" s="90">
        <f>'Combined data'!L41-'Combined data'!K41</f>
        <v>2</v>
      </c>
      <c r="M41" s="90">
        <f>'Combined data'!M41-'Combined data'!L41</f>
        <v>1</v>
      </c>
      <c r="N41" s="90">
        <f>'Combined data'!N41-'Combined data'!M41</f>
        <v>6</v>
      </c>
      <c r="O41" s="90">
        <f>'Combined data'!O41-'Combined data'!N41</f>
        <v>4</v>
      </c>
      <c r="P41" s="90">
        <f>'Combined data'!P41-'Combined data'!O41</f>
        <v>12</v>
      </c>
      <c r="Q41" s="90">
        <f>'Combined data'!Q41-'Combined data'!P41</f>
        <v>7</v>
      </c>
      <c r="R41" s="90">
        <f>'Combined data'!R41-'Combined data'!Q41</f>
        <v>9</v>
      </c>
      <c r="S41" s="90">
        <f>'Combined data'!S41-'Combined data'!R41</f>
        <v>0</v>
      </c>
      <c r="T41" s="90">
        <f>'Combined data'!T41-'Combined data'!S41</f>
        <v>3</v>
      </c>
      <c r="U41" s="90">
        <f>'Combined data'!U41-'Combined data'!T41</f>
        <v>1</v>
      </c>
      <c r="V41" s="90">
        <f>'Combined data'!V41-'Combined data'!U41</f>
        <v>7</v>
      </c>
      <c r="W41" s="90">
        <f>'Combined data'!W41-'Combined data'!V41</f>
        <v>1</v>
      </c>
      <c r="X41" s="90">
        <f>'Combined data'!X41-'Combined data'!W41</f>
        <v>1</v>
      </c>
      <c r="Y41" s="90">
        <f>'Combined data'!Y41-'Combined data'!X41</f>
        <v>2</v>
      </c>
      <c r="Z41" s="90">
        <f>'Combined data'!Z41-'Combined data'!Y41</f>
        <v>1</v>
      </c>
      <c r="AA41" s="90">
        <f>'Combined data'!AA41-'Combined data'!Z41</f>
        <v>0</v>
      </c>
      <c r="AB41" s="90">
        <f>'Combined data'!AB41-'Combined data'!AA41</f>
        <v>6</v>
      </c>
      <c r="AC41" s="90">
        <f>'Combined data'!AC41-'Combined data'!AB41</f>
        <v>0</v>
      </c>
      <c r="AD41" s="90">
        <f>'Combined data'!AD41-'Combined data'!AC41</f>
        <v>3</v>
      </c>
      <c r="AE41" s="90">
        <f>'Combined data'!AE41-'Combined data'!AD41</f>
        <v>-172</v>
      </c>
      <c r="AF41" s="90">
        <f>'Combined data'!AF41-'Combined data'!AE41</f>
        <v>0</v>
      </c>
      <c r="AG41" s="90">
        <f>'Combined data'!AG41-'Combined data'!AF41</f>
        <v>0</v>
      </c>
      <c r="AH41" s="90">
        <f>'Combined data'!AH41-'Combined data'!AG41</f>
        <v>0</v>
      </c>
      <c r="AI41" s="90">
        <f>'Combined data'!AI41-'Combined data'!AH41</f>
        <v>0</v>
      </c>
      <c r="AJ41" s="90">
        <f>'Combined data'!AJ41-'Combined data'!AI41</f>
        <v>0</v>
      </c>
      <c r="AK41" s="90">
        <f>'Combined data'!AK41-'Combined data'!AJ41</f>
        <v>0</v>
      </c>
      <c r="AL41" s="90">
        <f>'Combined data'!AL41-'Combined data'!AK41</f>
        <v>0</v>
      </c>
      <c r="AM41" s="90">
        <f>'Combined data'!AM41-'Combined data'!AL41</f>
        <v>0</v>
      </c>
      <c r="AN41" s="90">
        <f>'Combined data'!AN41-'Combined data'!AM41</f>
        <v>0</v>
      </c>
      <c r="AO41" s="90">
        <f>'Combined data'!AO41-'Combined data'!AN41</f>
        <v>0</v>
      </c>
      <c r="AP41" s="56">
        <f t="shared" si="23"/>
        <v>0</v>
      </c>
      <c r="AQ41" s="113"/>
      <c r="AR41" s="17">
        <f>'Combined data'!AR41</f>
        <v>53</v>
      </c>
      <c r="AS41" s="17">
        <f>'Combined data'!AS41-'Combined data'!AR41</f>
        <v>13</v>
      </c>
      <c r="AT41" s="17">
        <f>'Combined data'!AT41-'Combined data'!AS41</f>
        <v>1</v>
      </c>
      <c r="AU41" s="17">
        <f>'Combined data'!AU41-'Combined data'!AT41</f>
        <v>7</v>
      </c>
      <c r="AV41" s="17">
        <f>'Combined data'!AV41-'Combined data'!AU41</f>
        <v>4</v>
      </c>
      <c r="AW41" s="17">
        <f>'Combined data'!AW41-'Combined data'!AV41</f>
        <v>0</v>
      </c>
      <c r="AX41" s="17">
        <f>'Combined data'!AX41-'Combined data'!AW41</f>
        <v>0</v>
      </c>
      <c r="AY41" s="17">
        <f>'Combined data'!AY41-'Combined data'!AX41</f>
        <v>3</v>
      </c>
      <c r="AZ41" s="17">
        <f>'Combined data'!AZ41-'Combined data'!AY41</f>
        <v>6</v>
      </c>
      <c r="BA41" s="17">
        <f>'Combined data'!BA41-'Combined data'!AZ41</f>
        <v>4</v>
      </c>
      <c r="BB41" s="17">
        <f>'Combined data'!BB41-'Combined data'!BA41</f>
        <v>0</v>
      </c>
      <c r="BC41" s="17">
        <f>'Combined data'!BC41-'Combined data'!BB41</f>
        <v>10</v>
      </c>
      <c r="BD41" s="17">
        <f>'Combined data'!BD41-'Combined data'!BC41</f>
        <v>12</v>
      </c>
      <c r="BE41" s="17">
        <f>'Combined data'!BE41-'Combined data'!BD41</f>
        <v>1</v>
      </c>
      <c r="BF41" s="17">
        <f>'Combined data'!BF41-'Combined data'!BE41</f>
        <v>12</v>
      </c>
      <c r="BG41" s="17">
        <f>'Combined data'!BG41-'Combined data'!BF41</f>
        <v>5</v>
      </c>
      <c r="BH41" s="17">
        <f>'Combined data'!BH41-'Combined data'!BG41</f>
        <v>2</v>
      </c>
      <c r="BI41" s="17">
        <f>'Combined data'!BI41-'Combined data'!BH41</f>
        <v>2</v>
      </c>
      <c r="BJ41" s="17">
        <f>'Combined data'!BJ41-'Combined data'!BI41</f>
        <v>0</v>
      </c>
      <c r="BK41" s="17">
        <f>'Combined data'!BK41-'Combined data'!BJ41</f>
        <v>2</v>
      </c>
      <c r="BL41" s="17">
        <f>'Combined data'!BL41-'Combined data'!BK41</f>
        <v>2</v>
      </c>
      <c r="BM41" s="17">
        <f>'Combined data'!BM41-'Combined data'!BL41</f>
        <v>1</v>
      </c>
      <c r="BN41" s="17">
        <f>'Combined data'!BN41-'Combined data'!BM41</f>
        <v>2</v>
      </c>
      <c r="BO41" s="17">
        <f>'Combined data'!BO41-'Combined data'!BN41</f>
        <v>-142</v>
      </c>
      <c r="BP41" s="17">
        <f>'Combined data'!BP41-'Combined data'!BO41</f>
        <v>0</v>
      </c>
      <c r="BQ41" s="17">
        <f>'Combined data'!BQ41-'Combined data'!BP41</f>
        <v>0</v>
      </c>
      <c r="BR41" s="17">
        <f>'Combined data'!BR41-'Combined data'!BQ41</f>
        <v>0</v>
      </c>
      <c r="BS41" s="17">
        <f>'Combined data'!BS41-'Combined data'!BR41</f>
        <v>0</v>
      </c>
      <c r="BT41" s="17">
        <f>'Combined data'!BT41-'Combined data'!BS41</f>
        <v>0</v>
      </c>
      <c r="BU41" s="17">
        <f>'Combined data'!BU41-'Combined data'!BT41</f>
        <v>0</v>
      </c>
      <c r="BV41" s="17">
        <f>'Combined data'!BV41-'Combined data'!BU41</f>
        <v>0</v>
      </c>
      <c r="BW41" s="17">
        <f>'Combined data'!BW41-'Combined data'!BV41</f>
        <v>0</v>
      </c>
      <c r="BX41" s="17">
        <f>'Combined data'!BX41-'Combined data'!BW41</f>
        <v>0</v>
      </c>
      <c r="BY41" s="17">
        <f>'Combined data'!BY41-'Combined data'!BX41</f>
        <v>0</v>
      </c>
      <c r="CB41" s="17">
        <f t="shared" ref="CB41:CB72" si="25">AR41</f>
        <v>53</v>
      </c>
      <c r="CC41" s="17">
        <f t="shared" ref="CC41:CC72" si="26">AS41</f>
        <v>13</v>
      </c>
      <c r="CD41" s="17">
        <f t="shared" ref="CD41:CD72" si="27">AT41</f>
        <v>1</v>
      </c>
      <c r="CE41" s="17">
        <f t="shared" ref="CE41:CE72" si="28">AU41</f>
        <v>7</v>
      </c>
      <c r="CF41" s="17">
        <f t="shared" ref="CF41:CF72" si="29">AV41</f>
        <v>4</v>
      </c>
      <c r="CG41" s="17">
        <f t="shared" ref="CG41:CG72" si="30">AW41</f>
        <v>0</v>
      </c>
      <c r="CH41" s="17">
        <f t="shared" ref="CH41:CH72" si="31">AX41</f>
        <v>0</v>
      </c>
      <c r="CI41" s="17">
        <f t="shared" ref="CI41:CI72" si="32">AY41</f>
        <v>3</v>
      </c>
      <c r="CJ41" s="17">
        <f t="shared" ref="CJ41:CJ72" si="33">AZ41</f>
        <v>6</v>
      </c>
      <c r="CK41" s="17">
        <f t="shared" ref="CK41:CK72" si="34">BA41</f>
        <v>4</v>
      </c>
      <c r="CL41" s="17">
        <f t="shared" ref="CL41:CL72" si="35">BB41</f>
        <v>0</v>
      </c>
      <c r="CM41" s="17">
        <f t="shared" ref="CM41:CM72" si="36">BC41</f>
        <v>10</v>
      </c>
      <c r="CN41" s="17">
        <f t="shared" ref="CN41:CN72" si="37">BD41</f>
        <v>12</v>
      </c>
      <c r="CO41" s="17">
        <f t="shared" ref="CO41:CO72" si="38">BE41</f>
        <v>1</v>
      </c>
      <c r="CP41" s="17">
        <f t="shared" ref="CP41:CP72" si="39">BF41</f>
        <v>12</v>
      </c>
      <c r="CQ41" s="17">
        <f t="shared" ref="CQ41:CQ72" si="40">BG41</f>
        <v>5</v>
      </c>
      <c r="CR41" s="17">
        <f t="shared" ref="CR41:CR72" si="41">BH41</f>
        <v>2</v>
      </c>
      <c r="CS41" s="17">
        <f t="shared" ref="CS41:CS72" si="42">BI41</f>
        <v>2</v>
      </c>
      <c r="CT41" s="17">
        <f t="shared" ref="CT41:CT72" si="43">BJ41</f>
        <v>0</v>
      </c>
      <c r="CU41" s="17">
        <f t="shared" ref="CU41:CU72" si="44">BK41</f>
        <v>2</v>
      </c>
      <c r="CV41" s="17">
        <f t="shared" ref="CV41:CV72" si="45">BL41</f>
        <v>2</v>
      </c>
      <c r="CW41" s="17">
        <f t="shared" ref="CW41:CW72" si="46">BM41</f>
        <v>1</v>
      </c>
      <c r="CX41" s="17">
        <f t="shared" ref="CX41:DI56" si="47">BN41</f>
        <v>2</v>
      </c>
      <c r="CY41" s="17">
        <f t="shared" si="47"/>
        <v>-142</v>
      </c>
      <c r="CZ41" s="17">
        <f t="shared" si="47"/>
        <v>0</v>
      </c>
      <c r="DA41" s="17">
        <f t="shared" si="47"/>
        <v>0</v>
      </c>
      <c r="DB41" s="17">
        <f t="shared" si="47"/>
        <v>0</v>
      </c>
      <c r="DC41" s="17">
        <f t="shared" si="47"/>
        <v>0</v>
      </c>
      <c r="DD41" s="17">
        <f t="shared" si="47"/>
        <v>0</v>
      </c>
      <c r="DE41" s="17">
        <f t="shared" si="47"/>
        <v>0</v>
      </c>
      <c r="DF41" s="17">
        <f t="shared" si="47"/>
        <v>0</v>
      </c>
      <c r="DG41" s="17">
        <f t="shared" si="47"/>
        <v>0</v>
      </c>
      <c r="DH41" s="17">
        <f t="shared" si="47"/>
        <v>0</v>
      </c>
      <c r="DI41" s="17">
        <f t="shared" si="47"/>
        <v>0</v>
      </c>
    </row>
    <row r="42" spans="1:113" ht="15.75" x14ac:dyDescent="0.25">
      <c r="A42" s="6" t="s">
        <v>73</v>
      </c>
      <c r="B42" s="6" t="s">
        <v>74</v>
      </c>
      <c r="H42" s="90">
        <f>'Combined data'!H42</f>
        <v>700</v>
      </c>
      <c r="I42" s="90">
        <f>'Combined data'!I42-'Combined data'!H42</f>
        <v>62</v>
      </c>
      <c r="J42" s="90">
        <f>'Combined data'!J42-'Combined data'!I42</f>
        <v>61</v>
      </c>
      <c r="K42" s="90">
        <f>'Combined data'!K42-'Combined data'!J42</f>
        <v>76</v>
      </c>
      <c r="L42" s="90">
        <f>'Combined data'!L42-'Combined data'!K42</f>
        <v>37</v>
      </c>
      <c r="M42" s="90">
        <f>'Combined data'!M42-'Combined data'!L42</f>
        <v>30</v>
      </c>
      <c r="N42" s="90">
        <f>'Combined data'!N42-'Combined data'!M42</f>
        <v>60</v>
      </c>
      <c r="O42" s="90">
        <f>'Combined data'!O42-'Combined data'!N42</f>
        <v>27</v>
      </c>
      <c r="P42" s="90">
        <f>'Combined data'!P42-'Combined data'!O42</f>
        <v>51</v>
      </c>
      <c r="Q42" s="90">
        <f>'Combined data'!Q42-'Combined data'!P42</f>
        <v>38</v>
      </c>
      <c r="R42" s="90">
        <f>'Combined data'!R42-'Combined data'!Q42</f>
        <v>32</v>
      </c>
      <c r="S42" s="90">
        <f>'Combined data'!S42-'Combined data'!R42</f>
        <v>17</v>
      </c>
      <c r="T42" s="90">
        <f>'Combined data'!T42-'Combined data'!S42</f>
        <v>22</v>
      </c>
      <c r="U42" s="90">
        <f>'Combined data'!U42-'Combined data'!T42</f>
        <v>28</v>
      </c>
      <c r="V42" s="90">
        <f>'Combined data'!V42-'Combined data'!U42</f>
        <v>32</v>
      </c>
      <c r="W42" s="90">
        <f>'Combined data'!W42-'Combined data'!V42</f>
        <v>19</v>
      </c>
      <c r="X42" s="90">
        <f>'Combined data'!X42-'Combined data'!W42</f>
        <v>9</v>
      </c>
      <c r="Y42" s="90">
        <f>'Combined data'!Y42-'Combined data'!X42</f>
        <v>26</v>
      </c>
      <c r="Z42" s="90">
        <f>'Combined data'!Z42-'Combined data'!Y42</f>
        <v>10</v>
      </c>
      <c r="AA42" s="90">
        <f>'Combined data'!AA42-'Combined data'!Z42</f>
        <v>4</v>
      </c>
      <c r="AB42" s="90">
        <f>'Combined data'!AB42-'Combined data'!AA42</f>
        <v>16</v>
      </c>
      <c r="AC42" s="90">
        <f>'Combined data'!AC42-'Combined data'!AB42</f>
        <v>5</v>
      </c>
      <c r="AD42" s="90">
        <f>'Combined data'!AD42-'Combined data'!AC42</f>
        <v>16</v>
      </c>
      <c r="AE42" s="90">
        <f>'Combined data'!AE42-'Combined data'!AD42</f>
        <v>-1378</v>
      </c>
      <c r="AF42" s="90">
        <f>'Combined data'!AF42-'Combined data'!AE42</f>
        <v>0</v>
      </c>
      <c r="AG42" s="90">
        <f>'Combined data'!AG42-'Combined data'!AF42</f>
        <v>0</v>
      </c>
      <c r="AH42" s="90">
        <f>'Combined data'!AH42-'Combined data'!AG42</f>
        <v>0</v>
      </c>
      <c r="AI42" s="90">
        <f>'Combined data'!AI42-'Combined data'!AH42</f>
        <v>0</v>
      </c>
      <c r="AJ42" s="90">
        <f>'Combined data'!AJ42-'Combined data'!AI42</f>
        <v>0</v>
      </c>
      <c r="AK42" s="90">
        <f>'Combined data'!AK42-'Combined data'!AJ42</f>
        <v>0</v>
      </c>
      <c r="AL42" s="90">
        <f>'Combined data'!AL42-'Combined data'!AK42</f>
        <v>0</v>
      </c>
      <c r="AM42" s="90">
        <f>'Combined data'!AM42-'Combined data'!AL42</f>
        <v>0</v>
      </c>
      <c r="AN42" s="90">
        <f>'Combined data'!AN42-'Combined data'!AM42</f>
        <v>0</v>
      </c>
      <c r="AO42" s="90">
        <f>'Combined data'!AO42-'Combined data'!AN42</f>
        <v>0</v>
      </c>
      <c r="AP42" s="56">
        <f t="shared" si="23"/>
        <v>0</v>
      </c>
      <c r="AQ42" s="113"/>
      <c r="AR42" s="17">
        <f>'Combined data'!AR42</f>
        <v>353</v>
      </c>
      <c r="AS42" s="17">
        <f>'Combined data'!AS42-'Combined data'!AR42</f>
        <v>48</v>
      </c>
      <c r="AT42" s="17">
        <f>'Combined data'!AT42-'Combined data'!AS42</f>
        <v>77</v>
      </c>
      <c r="AU42" s="17">
        <f>'Combined data'!AU42-'Combined data'!AT42</f>
        <v>83</v>
      </c>
      <c r="AV42" s="17">
        <f>'Combined data'!AV42-'Combined data'!AU42</f>
        <v>43</v>
      </c>
      <c r="AW42" s="17">
        <f>'Combined data'!AW42-'Combined data'!AV42</f>
        <v>38</v>
      </c>
      <c r="AX42" s="17">
        <f>'Combined data'!AX42-'Combined data'!AW42</f>
        <v>82</v>
      </c>
      <c r="AY42" s="17">
        <f>'Combined data'!AY42-'Combined data'!AX42</f>
        <v>44</v>
      </c>
      <c r="AZ42" s="17">
        <f>'Combined data'!AZ42-'Combined data'!AY42</f>
        <v>47</v>
      </c>
      <c r="BA42" s="17">
        <f>'Combined data'!BA42-'Combined data'!AZ42</f>
        <v>48</v>
      </c>
      <c r="BB42" s="17">
        <f>'Combined data'!BB42-'Combined data'!BA42</f>
        <v>26</v>
      </c>
      <c r="BC42" s="17">
        <f>'Combined data'!BC42-'Combined data'!BB42</f>
        <v>33</v>
      </c>
      <c r="BD42" s="17">
        <f>'Combined data'!BD42-'Combined data'!BC42</f>
        <v>31</v>
      </c>
      <c r="BE42" s="17">
        <f>'Combined data'!BE42-'Combined data'!BD42</f>
        <v>26</v>
      </c>
      <c r="BF42" s="17">
        <f>'Combined data'!BF42-'Combined data'!BE42</f>
        <v>20</v>
      </c>
      <c r="BG42" s="17">
        <f>'Combined data'!BG42-'Combined data'!BF42</f>
        <v>25</v>
      </c>
      <c r="BH42" s="17">
        <f>'Combined data'!BH42-'Combined data'!BG42</f>
        <v>29</v>
      </c>
      <c r="BI42" s="17">
        <f>'Combined data'!BI42-'Combined data'!BH42</f>
        <v>18</v>
      </c>
      <c r="BJ42" s="17">
        <f>'Combined data'!BJ42-'Combined data'!BI42</f>
        <v>20</v>
      </c>
      <c r="BK42" s="17">
        <f>'Combined data'!BK42-'Combined data'!BJ42</f>
        <v>13</v>
      </c>
      <c r="BL42" s="17">
        <f>'Combined data'!BL42-'Combined data'!BK42</f>
        <v>28</v>
      </c>
      <c r="BM42" s="17">
        <f>'Combined data'!BM42-'Combined data'!BL42</f>
        <v>1</v>
      </c>
      <c r="BN42" s="17">
        <f>'Combined data'!BN42-'Combined data'!BM42</f>
        <v>22</v>
      </c>
      <c r="BO42" s="17">
        <f>'Combined data'!BO42-'Combined data'!BN42</f>
        <v>-1155</v>
      </c>
      <c r="BP42" s="17">
        <f>'Combined data'!BP42-'Combined data'!BO42</f>
        <v>0</v>
      </c>
      <c r="BQ42" s="17">
        <f>'Combined data'!BQ42-'Combined data'!BP42</f>
        <v>0</v>
      </c>
      <c r="BR42" s="17">
        <f>'Combined data'!BR42-'Combined data'!BQ42</f>
        <v>0</v>
      </c>
      <c r="BS42" s="17">
        <f>'Combined data'!BS42-'Combined data'!BR42</f>
        <v>0</v>
      </c>
      <c r="BT42" s="17">
        <f>'Combined data'!BT42-'Combined data'!BS42</f>
        <v>0</v>
      </c>
      <c r="BU42" s="17">
        <f>'Combined data'!BU42-'Combined data'!BT42</f>
        <v>0</v>
      </c>
      <c r="BV42" s="17">
        <f>'Combined data'!BV42-'Combined data'!BU42</f>
        <v>0</v>
      </c>
      <c r="BW42" s="17">
        <f>'Combined data'!BW42-'Combined data'!BV42</f>
        <v>0</v>
      </c>
      <c r="BX42" s="17">
        <f>'Combined data'!BX42-'Combined data'!BW42</f>
        <v>0</v>
      </c>
      <c r="BY42" s="17">
        <f>'Combined data'!BY42-'Combined data'!BX42</f>
        <v>0</v>
      </c>
      <c r="CB42" s="17">
        <f t="shared" si="25"/>
        <v>353</v>
      </c>
      <c r="CC42" s="17">
        <f t="shared" si="26"/>
        <v>48</v>
      </c>
      <c r="CD42" s="17">
        <f t="shared" si="27"/>
        <v>77</v>
      </c>
      <c r="CE42" s="17">
        <f t="shared" si="28"/>
        <v>83</v>
      </c>
      <c r="CF42" s="17">
        <f t="shared" si="29"/>
        <v>43</v>
      </c>
      <c r="CG42" s="17">
        <f t="shared" si="30"/>
        <v>38</v>
      </c>
      <c r="CH42" s="17">
        <f t="shared" si="31"/>
        <v>82</v>
      </c>
      <c r="CI42" s="17">
        <f t="shared" si="32"/>
        <v>44</v>
      </c>
      <c r="CJ42" s="17">
        <f t="shared" si="33"/>
        <v>47</v>
      </c>
      <c r="CK42" s="17">
        <f t="shared" si="34"/>
        <v>48</v>
      </c>
      <c r="CL42" s="17">
        <f t="shared" si="35"/>
        <v>26</v>
      </c>
      <c r="CM42" s="17">
        <f t="shared" si="36"/>
        <v>33</v>
      </c>
      <c r="CN42" s="17">
        <f t="shared" si="37"/>
        <v>31</v>
      </c>
      <c r="CO42" s="17">
        <f t="shared" si="38"/>
        <v>26</v>
      </c>
      <c r="CP42" s="17">
        <f t="shared" si="39"/>
        <v>20</v>
      </c>
      <c r="CQ42" s="17">
        <f t="shared" si="40"/>
        <v>25</v>
      </c>
      <c r="CR42" s="17">
        <f t="shared" si="41"/>
        <v>29</v>
      </c>
      <c r="CS42" s="17">
        <f t="shared" si="42"/>
        <v>18</v>
      </c>
      <c r="CT42" s="17">
        <f t="shared" si="43"/>
        <v>20</v>
      </c>
      <c r="CU42" s="17">
        <f t="shared" si="44"/>
        <v>13</v>
      </c>
      <c r="CV42" s="17">
        <f t="shared" si="45"/>
        <v>28</v>
      </c>
      <c r="CW42" s="17">
        <f t="shared" si="46"/>
        <v>1</v>
      </c>
      <c r="CX42" s="17">
        <f t="shared" si="47"/>
        <v>22</v>
      </c>
      <c r="CY42" s="17">
        <f t="shared" si="47"/>
        <v>-1155</v>
      </c>
      <c r="CZ42" s="17">
        <f t="shared" si="47"/>
        <v>0</v>
      </c>
      <c r="DA42" s="17">
        <f t="shared" si="47"/>
        <v>0</v>
      </c>
      <c r="DB42" s="17">
        <f t="shared" si="47"/>
        <v>0</v>
      </c>
      <c r="DC42" s="17">
        <f t="shared" si="47"/>
        <v>0</v>
      </c>
      <c r="DD42" s="17">
        <f t="shared" si="47"/>
        <v>0</v>
      </c>
      <c r="DE42" s="17">
        <f t="shared" si="47"/>
        <v>0</v>
      </c>
      <c r="DF42" s="17">
        <f t="shared" si="47"/>
        <v>0</v>
      </c>
      <c r="DG42" s="17">
        <f t="shared" si="47"/>
        <v>0</v>
      </c>
      <c r="DH42" s="17">
        <f t="shared" si="47"/>
        <v>0</v>
      </c>
      <c r="DI42" s="17">
        <f t="shared" si="47"/>
        <v>0</v>
      </c>
    </row>
    <row r="43" spans="1:113" ht="15.75" x14ac:dyDescent="0.25">
      <c r="A43" s="6" t="s">
        <v>75</v>
      </c>
      <c r="B43" s="6" t="s">
        <v>76</v>
      </c>
      <c r="H43" s="90">
        <f>'Combined data'!H43</f>
        <v>1047</v>
      </c>
      <c r="I43" s="90">
        <f>'Combined data'!I43-'Combined data'!H43</f>
        <v>53</v>
      </c>
      <c r="J43" s="90">
        <f>'Combined data'!J43-'Combined data'!I43</f>
        <v>70</v>
      </c>
      <c r="K43" s="90">
        <f>'Combined data'!K43-'Combined data'!J43</f>
        <v>103</v>
      </c>
      <c r="L43" s="90">
        <f>'Combined data'!L43-'Combined data'!K43</f>
        <v>36</v>
      </c>
      <c r="M43" s="90">
        <f>'Combined data'!M43-'Combined data'!L43</f>
        <v>35</v>
      </c>
      <c r="N43" s="90">
        <f>'Combined data'!N43-'Combined data'!M43</f>
        <v>69</v>
      </c>
      <c r="O43" s="90">
        <f>'Combined data'!O43-'Combined data'!N43</f>
        <v>51</v>
      </c>
      <c r="P43" s="90">
        <f>'Combined data'!P43-'Combined data'!O43</f>
        <v>82</v>
      </c>
      <c r="Q43" s="90">
        <f>'Combined data'!Q43-'Combined data'!P43</f>
        <v>35</v>
      </c>
      <c r="R43" s="90">
        <f>'Combined data'!R43-'Combined data'!Q43</f>
        <v>23</v>
      </c>
      <c r="S43" s="90">
        <f>'Combined data'!S43-'Combined data'!R43</f>
        <v>40</v>
      </c>
      <c r="T43" s="90">
        <f>'Combined data'!T43-'Combined data'!S43</f>
        <v>35</v>
      </c>
      <c r="U43" s="90">
        <f>'Combined data'!U43-'Combined data'!T43</f>
        <v>31</v>
      </c>
      <c r="V43" s="90">
        <f>'Combined data'!V43-'Combined data'!U43</f>
        <v>32</v>
      </c>
      <c r="W43" s="90">
        <f>'Combined data'!W43-'Combined data'!V43</f>
        <v>17</v>
      </c>
      <c r="X43" s="90">
        <f>'Combined data'!X43-'Combined data'!W43</f>
        <v>16</v>
      </c>
      <c r="Y43" s="90">
        <f>'Combined data'!Y43-'Combined data'!X43</f>
        <v>25</v>
      </c>
      <c r="Z43" s="90">
        <f>'Combined data'!Z43-'Combined data'!Y43</f>
        <v>26</v>
      </c>
      <c r="AA43" s="90">
        <f>'Combined data'!AA43-'Combined data'!Z43</f>
        <v>7</v>
      </c>
      <c r="AB43" s="90">
        <f>'Combined data'!AB43-'Combined data'!AA43</f>
        <v>12</v>
      </c>
      <c r="AC43" s="90">
        <f>'Combined data'!AC43-'Combined data'!AB43</f>
        <v>1</v>
      </c>
      <c r="AD43" s="90">
        <f>'Combined data'!AD43-'Combined data'!AC43</f>
        <v>35</v>
      </c>
      <c r="AE43" s="90">
        <f>'Combined data'!AE43-'Combined data'!AD43</f>
        <v>-1881</v>
      </c>
      <c r="AF43" s="90">
        <f>'Combined data'!AF43-'Combined data'!AE43</f>
        <v>0</v>
      </c>
      <c r="AG43" s="90">
        <f>'Combined data'!AG43-'Combined data'!AF43</f>
        <v>0</v>
      </c>
      <c r="AH43" s="90">
        <f>'Combined data'!AH43-'Combined data'!AG43</f>
        <v>0</v>
      </c>
      <c r="AI43" s="90">
        <f>'Combined data'!AI43-'Combined data'!AH43</f>
        <v>0</v>
      </c>
      <c r="AJ43" s="90">
        <f>'Combined data'!AJ43-'Combined data'!AI43</f>
        <v>0</v>
      </c>
      <c r="AK43" s="90">
        <f>'Combined data'!AK43-'Combined data'!AJ43</f>
        <v>0</v>
      </c>
      <c r="AL43" s="90">
        <f>'Combined data'!AL43-'Combined data'!AK43</f>
        <v>0</v>
      </c>
      <c r="AM43" s="90">
        <f>'Combined data'!AM43-'Combined data'!AL43</f>
        <v>0</v>
      </c>
      <c r="AN43" s="90">
        <f>'Combined data'!AN43-'Combined data'!AM43</f>
        <v>0</v>
      </c>
      <c r="AO43" s="90">
        <f>'Combined data'!AO43-'Combined data'!AN43</f>
        <v>0</v>
      </c>
      <c r="AP43" s="56">
        <f t="shared" si="23"/>
        <v>0</v>
      </c>
      <c r="AQ43" s="113"/>
      <c r="AR43" s="17">
        <f>'Combined data'!AR43</f>
        <v>502</v>
      </c>
      <c r="AS43" s="17">
        <f>'Combined data'!AS43-'Combined data'!AR43</f>
        <v>89</v>
      </c>
      <c r="AT43" s="17">
        <f>'Combined data'!AT43-'Combined data'!AS43</f>
        <v>53</v>
      </c>
      <c r="AU43" s="17">
        <f>'Combined data'!AU43-'Combined data'!AT43</f>
        <v>83</v>
      </c>
      <c r="AV43" s="17">
        <f>'Combined data'!AV43-'Combined data'!AU43</f>
        <v>90</v>
      </c>
      <c r="AW43" s="17">
        <f>'Combined data'!AW43-'Combined data'!AV43</f>
        <v>97</v>
      </c>
      <c r="AX43" s="17">
        <f>'Combined data'!AX43-'Combined data'!AW43</f>
        <v>83</v>
      </c>
      <c r="AY43" s="17">
        <f>'Combined data'!AY43-'Combined data'!AX43</f>
        <v>42</v>
      </c>
      <c r="AZ43" s="17">
        <f>'Combined data'!AZ43-'Combined data'!AY43</f>
        <v>55</v>
      </c>
      <c r="BA43" s="17">
        <f>'Combined data'!BA43-'Combined data'!AZ43</f>
        <v>57</v>
      </c>
      <c r="BB43" s="17">
        <f>'Combined data'!BB43-'Combined data'!BA43</f>
        <v>33</v>
      </c>
      <c r="BC43" s="17">
        <f>'Combined data'!BC43-'Combined data'!BB43</f>
        <v>77</v>
      </c>
      <c r="BD43" s="17">
        <f>'Combined data'!BD43-'Combined data'!BC43</f>
        <v>42</v>
      </c>
      <c r="BE43" s="17">
        <f>'Combined data'!BE43-'Combined data'!BD43</f>
        <v>37</v>
      </c>
      <c r="BF43" s="17">
        <f>'Combined data'!BF43-'Combined data'!BE43</f>
        <v>30</v>
      </c>
      <c r="BG43" s="17">
        <f>'Combined data'!BG43-'Combined data'!BF43</f>
        <v>25</v>
      </c>
      <c r="BH43" s="17">
        <f>'Combined data'!BH43-'Combined data'!BG43</f>
        <v>20</v>
      </c>
      <c r="BI43" s="17">
        <f>'Combined data'!BI43-'Combined data'!BH43</f>
        <v>25</v>
      </c>
      <c r="BJ43" s="17">
        <f>'Combined data'!BJ43-'Combined data'!BI43</f>
        <v>20</v>
      </c>
      <c r="BK43" s="17">
        <f>'Combined data'!BK43-'Combined data'!BJ43</f>
        <v>21</v>
      </c>
      <c r="BL43" s="17">
        <f>'Combined data'!BL43-'Combined data'!BK43</f>
        <v>44</v>
      </c>
      <c r="BM43" s="17">
        <f>'Combined data'!BM43-'Combined data'!BL43</f>
        <v>5</v>
      </c>
      <c r="BN43" s="17">
        <f>'Combined data'!BN43-'Combined data'!BM43</f>
        <v>19</v>
      </c>
      <c r="BO43" s="17">
        <f>'Combined data'!BO43-'Combined data'!BN43</f>
        <v>-1549</v>
      </c>
      <c r="BP43" s="17">
        <f>'Combined data'!BP43-'Combined data'!BO43</f>
        <v>0</v>
      </c>
      <c r="BQ43" s="17">
        <f>'Combined data'!BQ43-'Combined data'!BP43</f>
        <v>0</v>
      </c>
      <c r="BR43" s="17">
        <f>'Combined data'!BR43-'Combined data'!BQ43</f>
        <v>0</v>
      </c>
      <c r="BS43" s="17">
        <f>'Combined data'!BS43-'Combined data'!BR43</f>
        <v>0</v>
      </c>
      <c r="BT43" s="17">
        <f>'Combined data'!BT43-'Combined data'!BS43</f>
        <v>0</v>
      </c>
      <c r="BU43" s="17">
        <f>'Combined data'!BU43-'Combined data'!BT43</f>
        <v>0</v>
      </c>
      <c r="BV43" s="17">
        <f>'Combined data'!BV43-'Combined data'!BU43</f>
        <v>0</v>
      </c>
      <c r="BW43" s="17">
        <f>'Combined data'!BW43-'Combined data'!BV43</f>
        <v>0</v>
      </c>
      <c r="BX43" s="17">
        <f>'Combined data'!BX43-'Combined data'!BW43</f>
        <v>0</v>
      </c>
      <c r="BY43" s="17">
        <f>'Combined data'!BY43-'Combined data'!BX43</f>
        <v>0</v>
      </c>
      <c r="CB43" s="17">
        <f t="shared" si="25"/>
        <v>502</v>
      </c>
      <c r="CC43" s="17">
        <f t="shared" si="26"/>
        <v>89</v>
      </c>
      <c r="CD43" s="17">
        <f t="shared" si="27"/>
        <v>53</v>
      </c>
      <c r="CE43" s="17">
        <f t="shared" si="28"/>
        <v>83</v>
      </c>
      <c r="CF43" s="17">
        <f t="shared" si="29"/>
        <v>90</v>
      </c>
      <c r="CG43" s="17">
        <f t="shared" si="30"/>
        <v>97</v>
      </c>
      <c r="CH43" s="17">
        <f t="shared" si="31"/>
        <v>83</v>
      </c>
      <c r="CI43" s="17">
        <f t="shared" si="32"/>
        <v>42</v>
      </c>
      <c r="CJ43" s="17">
        <f t="shared" si="33"/>
        <v>55</v>
      </c>
      <c r="CK43" s="17">
        <f t="shared" si="34"/>
        <v>57</v>
      </c>
      <c r="CL43" s="17">
        <f t="shared" si="35"/>
        <v>33</v>
      </c>
      <c r="CM43" s="17">
        <f t="shared" si="36"/>
        <v>77</v>
      </c>
      <c r="CN43" s="17">
        <f t="shared" si="37"/>
        <v>42</v>
      </c>
      <c r="CO43" s="17">
        <f t="shared" si="38"/>
        <v>37</v>
      </c>
      <c r="CP43" s="17">
        <f t="shared" si="39"/>
        <v>30</v>
      </c>
      <c r="CQ43" s="17">
        <f t="shared" si="40"/>
        <v>25</v>
      </c>
      <c r="CR43" s="17">
        <f t="shared" si="41"/>
        <v>20</v>
      </c>
      <c r="CS43" s="17">
        <f t="shared" si="42"/>
        <v>25</v>
      </c>
      <c r="CT43" s="17">
        <f t="shared" si="43"/>
        <v>20</v>
      </c>
      <c r="CU43" s="17">
        <f t="shared" si="44"/>
        <v>21</v>
      </c>
      <c r="CV43" s="17">
        <f t="shared" si="45"/>
        <v>44</v>
      </c>
      <c r="CW43" s="17">
        <f t="shared" si="46"/>
        <v>5</v>
      </c>
      <c r="CX43" s="17">
        <f t="shared" si="47"/>
        <v>19</v>
      </c>
      <c r="CY43" s="17">
        <f t="shared" si="47"/>
        <v>-1549</v>
      </c>
      <c r="CZ43" s="17">
        <f t="shared" si="47"/>
        <v>0</v>
      </c>
      <c r="DA43" s="17">
        <f t="shared" si="47"/>
        <v>0</v>
      </c>
      <c r="DB43" s="17">
        <f t="shared" si="47"/>
        <v>0</v>
      </c>
      <c r="DC43" s="17">
        <f t="shared" si="47"/>
        <v>0</v>
      </c>
      <c r="DD43" s="17">
        <f t="shared" si="47"/>
        <v>0</v>
      </c>
      <c r="DE43" s="17">
        <f t="shared" si="47"/>
        <v>0</v>
      </c>
      <c r="DF43" s="17">
        <f t="shared" si="47"/>
        <v>0</v>
      </c>
      <c r="DG43" s="17">
        <f t="shared" si="47"/>
        <v>0</v>
      </c>
      <c r="DH43" s="17">
        <f t="shared" si="47"/>
        <v>0</v>
      </c>
      <c r="DI43" s="17">
        <f t="shared" si="47"/>
        <v>0</v>
      </c>
    </row>
    <row r="44" spans="1:113" ht="15.75" x14ac:dyDescent="0.25">
      <c r="A44" s="6" t="s">
        <v>77</v>
      </c>
      <c r="B44" s="6" t="s">
        <v>78</v>
      </c>
      <c r="H44" s="90">
        <f>'Combined data'!H44</f>
        <v>135</v>
      </c>
      <c r="I44" s="90">
        <f>'Combined data'!I44-'Combined data'!H44</f>
        <v>12</v>
      </c>
      <c r="J44" s="90">
        <f>'Combined data'!J44-'Combined data'!I44</f>
        <v>-1</v>
      </c>
      <c r="K44" s="90">
        <f>'Combined data'!K44-'Combined data'!J44</f>
        <v>2</v>
      </c>
      <c r="L44" s="90">
        <f>'Combined data'!L44-'Combined data'!K44</f>
        <v>3</v>
      </c>
      <c r="M44" s="90">
        <f>'Combined data'!M44-'Combined data'!L44</f>
        <v>8</v>
      </c>
      <c r="N44" s="90">
        <f>'Combined data'!N44-'Combined data'!M44</f>
        <v>7</v>
      </c>
      <c r="O44" s="90">
        <f>'Combined data'!O44-'Combined data'!N44</f>
        <v>-1</v>
      </c>
      <c r="P44" s="90">
        <f>'Combined data'!P44-'Combined data'!O44</f>
        <v>3</v>
      </c>
      <c r="Q44" s="90">
        <f>'Combined data'!Q44-'Combined data'!P44</f>
        <v>11</v>
      </c>
      <c r="R44" s="90">
        <f>'Combined data'!R44-'Combined data'!Q44</f>
        <v>2</v>
      </c>
      <c r="S44" s="90">
        <f>'Combined data'!S44-'Combined data'!R44</f>
        <v>7</v>
      </c>
      <c r="T44" s="90">
        <f>'Combined data'!T44-'Combined data'!S44</f>
        <v>6</v>
      </c>
      <c r="U44" s="90">
        <f>'Combined data'!U44-'Combined data'!T44</f>
        <v>4</v>
      </c>
      <c r="V44" s="90">
        <f>'Combined data'!V44-'Combined data'!U44</f>
        <v>2</v>
      </c>
      <c r="W44" s="90">
        <f>'Combined data'!W44-'Combined data'!V44</f>
        <v>8</v>
      </c>
      <c r="X44" s="90">
        <f>'Combined data'!X44-'Combined data'!W44</f>
        <v>4</v>
      </c>
      <c r="Y44" s="90">
        <f>'Combined data'!Y44-'Combined data'!X44</f>
        <v>3</v>
      </c>
      <c r="Z44" s="90">
        <f>'Combined data'!Z44-'Combined data'!Y44</f>
        <v>8</v>
      </c>
      <c r="AA44" s="90">
        <f>'Combined data'!AA44-'Combined data'!Z44</f>
        <v>1</v>
      </c>
      <c r="AB44" s="90">
        <f>'Combined data'!AB44-'Combined data'!AA44</f>
        <v>2</v>
      </c>
      <c r="AC44" s="90">
        <f>'Combined data'!AC44-'Combined data'!AB44</f>
        <v>-1</v>
      </c>
      <c r="AD44" s="90">
        <f>'Combined data'!AD44-'Combined data'!AC44</f>
        <v>5</v>
      </c>
      <c r="AE44" s="90">
        <f>'Combined data'!AE44-'Combined data'!AD44</f>
        <v>-230</v>
      </c>
      <c r="AF44" s="90">
        <f>'Combined data'!AF44-'Combined data'!AE44</f>
        <v>0</v>
      </c>
      <c r="AG44" s="90">
        <f>'Combined data'!AG44-'Combined data'!AF44</f>
        <v>0</v>
      </c>
      <c r="AH44" s="90">
        <f>'Combined data'!AH44-'Combined data'!AG44</f>
        <v>0</v>
      </c>
      <c r="AI44" s="90">
        <f>'Combined data'!AI44-'Combined data'!AH44</f>
        <v>0</v>
      </c>
      <c r="AJ44" s="90">
        <f>'Combined data'!AJ44-'Combined data'!AI44</f>
        <v>0</v>
      </c>
      <c r="AK44" s="90">
        <f>'Combined data'!AK44-'Combined data'!AJ44</f>
        <v>0</v>
      </c>
      <c r="AL44" s="90">
        <f>'Combined data'!AL44-'Combined data'!AK44</f>
        <v>0</v>
      </c>
      <c r="AM44" s="90">
        <f>'Combined data'!AM44-'Combined data'!AL44</f>
        <v>0</v>
      </c>
      <c r="AN44" s="90">
        <f>'Combined data'!AN44-'Combined data'!AM44</f>
        <v>0</v>
      </c>
      <c r="AO44" s="90">
        <f>'Combined data'!AO44-'Combined data'!AN44</f>
        <v>0</v>
      </c>
      <c r="AP44" s="56">
        <f t="shared" si="23"/>
        <v>0</v>
      </c>
      <c r="AQ44" s="113"/>
      <c r="AR44" s="17">
        <f>'Combined data'!AR44</f>
        <v>50</v>
      </c>
      <c r="AS44" s="17">
        <f>'Combined data'!AS44-'Combined data'!AR44</f>
        <v>10</v>
      </c>
      <c r="AT44" s="17">
        <f>'Combined data'!AT44-'Combined data'!AS44</f>
        <v>26</v>
      </c>
      <c r="AU44" s="17">
        <f>'Combined data'!AU44-'Combined data'!AT44</f>
        <v>3</v>
      </c>
      <c r="AV44" s="17">
        <f>'Combined data'!AV44-'Combined data'!AU44</f>
        <v>7</v>
      </c>
      <c r="AW44" s="17">
        <f>'Combined data'!AW44-'Combined data'!AV44</f>
        <v>6</v>
      </c>
      <c r="AX44" s="17">
        <f>'Combined data'!AX44-'Combined data'!AW44</f>
        <v>10</v>
      </c>
      <c r="AY44" s="17">
        <f>'Combined data'!AY44-'Combined data'!AX44</f>
        <v>5</v>
      </c>
      <c r="AZ44" s="17">
        <f>'Combined data'!AZ44-'Combined data'!AY44</f>
        <v>4</v>
      </c>
      <c r="BA44" s="17">
        <f>'Combined data'!BA44-'Combined data'!AZ44</f>
        <v>4</v>
      </c>
      <c r="BB44" s="17">
        <f>'Combined data'!BB44-'Combined data'!BA44</f>
        <v>2</v>
      </c>
      <c r="BC44" s="17">
        <f>'Combined data'!BC44-'Combined data'!BB44</f>
        <v>1</v>
      </c>
      <c r="BD44" s="17">
        <f>'Combined data'!BD44-'Combined data'!BC44</f>
        <v>2</v>
      </c>
      <c r="BE44" s="17">
        <f>'Combined data'!BE44-'Combined data'!BD44</f>
        <v>8</v>
      </c>
      <c r="BF44" s="17">
        <f>'Combined data'!BF44-'Combined data'!BE44</f>
        <v>4</v>
      </c>
      <c r="BG44" s="17">
        <f>'Combined data'!BG44-'Combined data'!BF44</f>
        <v>2</v>
      </c>
      <c r="BH44" s="17">
        <f>'Combined data'!BH44-'Combined data'!BG44</f>
        <v>6</v>
      </c>
      <c r="BI44" s="17">
        <f>'Combined data'!BI44-'Combined data'!BH44</f>
        <v>2</v>
      </c>
      <c r="BJ44" s="17">
        <f>'Combined data'!BJ44-'Combined data'!BI44</f>
        <v>3</v>
      </c>
      <c r="BK44" s="17">
        <f>'Combined data'!BK44-'Combined data'!BJ44</f>
        <v>7</v>
      </c>
      <c r="BL44" s="17">
        <f>'Combined data'!BL44-'Combined data'!BK44</f>
        <v>5</v>
      </c>
      <c r="BM44" s="17">
        <f>'Combined data'!BM44-'Combined data'!BL44</f>
        <v>7</v>
      </c>
      <c r="BN44" s="17">
        <f>'Combined data'!BN44-'Combined data'!BM44</f>
        <v>9</v>
      </c>
      <c r="BO44" s="17">
        <f>'Combined data'!BO44-'Combined data'!BN44</f>
        <v>-183</v>
      </c>
      <c r="BP44" s="17">
        <f>'Combined data'!BP44-'Combined data'!BO44</f>
        <v>0</v>
      </c>
      <c r="BQ44" s="17">
        <f>'Combined data'!BQ44-'Combined data'!BP44</f>
        <v>0</v>
      </c>
      <c r="BR44" s="17">
        <f>'Combined data'!BR44-'Combined data'!BQ44</f>
        <v>0</v>
      </c>
      <c r="BS44" s="17">
        <f>'Combined data'!BS44-'Combined data'!BR44</f>
        <v>0</v>
      </c>
      <c r="BT44" s="17">
        <f>'Combined data'!BT44-'Combined data'!BS44</f>
        <v>0</v>
      </c>
      <c r="BU44" s="17">
        <f>'Combined data'!BU44-'Combined data'!BT44</f>
        <v>0</v>
      </c>
      <c r="BV44" s="17">
        <f>'Combined data'!BV44-'Combined data'!BU44</f>
        <v>0</v>
      </c>
      <c r="BW44" s="17">
        <f>'Combined data'!BW44-'Combined data'!BV44</f>
        <v>0</v>
      </c>
      <c r="BX44" s="17">
        <f>'Combined data'!BX44-'Combined data'!BW44</f>
        <v>0</v>
      </c>
      <c r="BY44" s="17">
        <f>'Combined data'!BY44-'Combined data'!BX44</f>
        <v>0</v>
      </c>
      <c r="CB44" s="17">
        <f t="shared" si="25"/>
        <v>50</v>
      </c>
      <c r="CC44" s="17">
        <f t="shared" si="26"/>
        <v>10</v>
      </c>
      <c r="CD44" s="17">
        <f t="shared" si="27"/>
        <v>26</v>
      </c>
      <c r="CE44" s="17">
        <f t="shared" si="28"/>
        <v>3</v>
      </c>
      <c r="CF44" s="17">
        <f t="shared" si="29"/>
        <v>7</v>
      </c>
      <c r="CG44" s="17">
        <f t="shared" si="30"/>
        <v>6</v>
      </c>
      <c r="CH44" s="17">
        <f t="shared" si="31"/>
        <v>10</v>
      </c>
      <c r="CI44" s="17">
        <f t="shared" si="32"/>
        <v>5</v>
      </c>
      <c r="CJ44" s="17">
        <f t="shared" si="33"/>
        <v>4</v>
      </c>
      <c r="CK44" s="17">
        <f t="shared" si="34"/>
        <v>4</v>
      </c>
      <c r="CL44" s="17">
        <f t="shared" si="35"/>
        <v>2</v>
      </c>
      <c r="CM44" s="17">
        <f t="shared" si="36"/>
        <v>1</v>
      </c>
      <c r="CN44" s="17">
        <f t="shared" si="37"/>
        <v>2</v>
      </c>
      <c r="CO44" s="17">
        <f t="shared" si="38"/>
        <v>8</v>
      </c>
      <c r="CP44" s="17">
        <f t="shared" si="39"/>
        <v>4</v>
      </c>
      <c r="CQ44" s="17">
        <f t="shared" si="40"/>
        <v>2</v>
      </c>
      <c r="CR44" s="17">
        <f t="shared" si="41"/>
        <v>6</v>
      </c>
      <c r="CS44" s="17">
        <f t="shared" si="42"/>
        <v>2</v>
      </c>
      <c r="CT44" s="17">
        <f t="shared" si="43"/>
        <v>3</v>
      </c>
      <c r="CU44" s="17">
        <f t="shared" si="44"/>
        <v>7</v>
      </c>
      <c r="CV44" s="17">
        <f t="shared" si="45"/>
        <v>5</v>
      </c>
      <c r="CW44" s="17">
        <f t="shared" si="46"/>
        <v>7</v>
      </c>
      <c r="CX44" s="17">
        <f t="shared" si="47"/>
        <v>9</v>
      </c>
      <c r="CY44" s="17">
        <f t="shared" si="47"/>
        <v>-183</v>
      </c>
      <c r="CZ44" s="17">
        <f t="shared" si="47"/>
        <v>0</v>
      </c>
      <c r="DA44" s="17">
        <f t="shared" si="47"/>
        <v>0</v>
      </c>
      <c r="DB44" s="17">
        <f t="shared" si="47"/>
        <v>0</v>
      </c>
      <c r="DC44" s="17">
        <f t="shared" si="47"/>
        <v>0</v>
      </c>
      <c r="DD44" s="17">
        <f t="shared" si="47"/>
        <v>0</v>
      </c>
      <c r="DE44" s="17">
        <f t="shared" si="47"/>
        <v>0</v>
      </c>
      <c r="DF44" s="17">
        <f t="shared" si="47"/>
        <v>0</v>
      </c>
      <c r="DG44" s="17">
        <f t="shared" si="47"/>
        <v>0</v>
      </c>
      <c r="DH44" s="17">
        <f t="shared" si="47"/>
        <v>0</v>
      </c>
      <c r="DI44" s="17">
        <f t="shared" si="47"/>
        <v>0</v>
      </c>
    </row>
    <row r="45" spans="1:113" ht="15.75" x14ac:dyDescent="0.25">
      <c r="A45" s="6" t="s">
        <v>79</v>
      </c>
      <c r="B45" s="6" t="s">
        <v>80</v>
      </c>
      <c r="H45" s="90">
        <f>'Combined data'!H45</f>
        <v>521</v>
      </c>
      <c r="I45" s="90">
        <f>'Combined data'!I45-'Combined data'!H45</f>
        <v>37</v>
      </c>
      <c r="J45" s="90">
        <f>'Combined data'!J45-'Combined data'!I45</f>
        <v>59</v>
      </c>
      <c r="K45" s="90">
        <f>'Combined data'!K45-'Combined data'!J45</f>
        <v>41</v>
      </c>
      <c r="L45" s="90">
        <f>'Combined data'!L45-'Combined data'!K45</f>
        <v>16</v>
      </c>
      <c r="M45" s="90">
        <f>'Combined data'!M45-'Combined data'!L45</f>
        <v>18</v>
      </c>
      <c r="N45" s="90">
        <f>'Combined data'!N45-'Combined data'!M45</f>
        <v>42</v>
      </c>
      <c r="O45" s="90">
        <f>'Combined data'!O45-'Combined data'!N45</f>
        <v>22</v>
      </c>
      <c r="P45" s="90">
        <f>'Combined data'!P45-'Combined data'!O45</f>
        <v>28</v>
      </c>
      <c r="Q45" s="90">
        <f>'Combined data'!Q45-'Combined data'!P45</f>
        <v>10</v>
      </c>
      <c r="R45" s="90">
        <f>'Combined data'!R45-'Combined data'!Q45</f>
        <v>8</v>
      </c>
      <c r="S45" s="90">
        <f>'Combined data'!S45-'Combined data'!R45</f>
        <v>17</v>
      </c>
      <c r="T45" s="90">
        <f>'Combined data'!T45-'Combined data'!S45</f>
        <v>12</v>
      </c>
      <c r="U45" s="90">
        <f>'Combined data'!U45-'Combined data'!T45</f>
        <v>12</v>
      </c>
      <c r="V45" s="90">
        <f>'Combined data'!V45-'Combined data'!U45</f>
        <v>25</v>
      </c>
      <c r="W45" s="90">
        <f>'Combined data'!W45-'Combined data'!V45</f>
        <v>12</v>
      </c>
      <c r="X45" s="90">
        <f>'Combined data'!X45-'Combined data'!W45</f>
        <v>7</v>
      </c>
      <c r="Y45" s="90">
        <f>'Combined data'!Y45-'Combined data'!X45</f>
        <v>7</v>
      </c>
      <c r="Z45" s="90">
        <f>'Combined data'!Z45-'Combined data'!Y45</f>
        <v>10</v>
      </c>
      <c r="AA45" s="90">
        <f>'Combined data'!AA45-'Combined data'!Z45</f>
        <v>5</v>
      </c>
      <c r="AB45" s="90">
        <f>'Combined data'!AB45-'Combined data'!AA45</f>
        <v>1</v>
      </c>
      <c r="AC45" s="90">
        <f>'Combined data'!AC45-'Combined data'!AB45</f>
        <v>0</v>
      </c>
      <c r="AD45" s="90">
        <f>'Combined data'!AD45-'Combined data'!AC45</f>
        <v>16</v>
      </c>
      <c r="AE45" s="90">
        <f>'Combined data'!AE45-'Combined data'!AD45</f>
        <v>-926</v>
      </c>
      <c r="AF45" s="90">
        <f>'Combined data'!AF45-'Combined data'!AE45</f>
        <v>0</v>
      </c>
      <c r="AG45" s="90">
        <f>'Combined data'!AG45-'Combined data'!AF45</f>
        <v>0</v>
      </c>
      <c r="AH45" s="90">
        <f>'Combined data'!AH45-'Combined data'!AG45</f>
        <v>0</v>
      </c>
      <c r="AI45" s="90">
        <f>'Combined data'!AI45-'Combined data'!AH45</f>
        <v>0</v>
      </c>
      <c r="AJ45" s="90">
        <f>'Combined data'!AJ45-'Combined data'!AI45</f>
        <v>0</v>
      </c>
      <c r="AK45" s="90">
        <f>'Combined data'!AK45-'Combined data'!AJ45</f>
        <v>0</v>
      </c>
      <c r="AL45" s="90">
        <f>'Combined data'!AL45-'Combined data'!AK45</f>
        <v>0</v>
      </c>
      <c r="AM45" s="90">
        <f>'Combined data'!AM45-'Combined data'!AL45</f>
        <v>0</v>
      </c>
      <c r="AN45" s="90">
        <f>'Combined data'!AN45-'Combined data'!AM45</f>
        <v>0</v>
      </c>
      <c r="AO45" s="90">
        <f>'Combined data'!AO45-'Combined data'!AN45</f>
        <v>0</v>
      </c>
      <c r="AP45" s="56">
        <f t="shared" si="23"/>
        <v>0</v>
      </c>
      <c r="AQ45" s="113"/>
      <c r="AR45" s="17">
        <f>'Combined data'!AR45</f>
        <v>235</v>
      </c>
      <c r="AS45" s="17">
        <f>'Combined data'!AS45-'Combined data'!AR45</f>
        <v>58</v>
      </c>
      <c r="AT45" s="17">
        <f>'Combined data'!AT45-'Combined data'!AS45</f>
        <v>39</v>
      </c>
      <c r="AU45" s="17">
        <f>'Combined data'!AU45-'Combined data'!AT45</f>
        <v>49</v>
      </c>
      <c r="AV45" s="17">
        <f>'Combined data'!AV45-'Combined data'!AU45</f>
        <v>36</v>
      </c>
      <c r="AW45" s="17">
        <f>'Combined data'!AW45-'Combined data'!AV45</f>
        <v>28</v>
      </c>
      <c r="AX45" s="17">
        <f>'Combined data'!AX45-'Combined data'!AW45</f>
        <v>58</v>
      </c>
      <c r="AY45" s="17">
        <f>'Combined data'!AY45-'Combined data'!AX45</f>
        <v>27</v>
      </c>
      <c r="AZ45" s="17">
        <f>'Combined data'!AZ45-'Combined data'!AY45</f>
        <v>45</v>
      </c>
      <c r="BA45" s="17">
        <f>'Combined data'!BA45-'Combined data'!AZ45</f>
        <v>29</v>
      </c>
      <c r="BB45" s="17">
        <f>'Combined data'!BB45-'Combined data'!BA45</f>
        <v>18</v>
      </c>
      <c r="BC45" s="17">
        <f>'Combined data'!BC45-'Combined data'!BB45</f>
        <v>20</v>
      </c>
      <c r="BD45" s="17">
        <f>'Combined data'!BD45-'Combined data'!BC45</f>
        <v>12</v>
      </c>
      <c r="BE45" s="17">
        <f>'Combined data'!BE45-'Combined data'!BD45</f>
        <v>18</v>
      </c>
      <c r="BF45" s="17">
        <f>'Combined data'!BF45-'Combined data'!BE45</f>
        <v>8</v>
      </c>
      <c r="BG45" s="17">
        <f>'Combined data'!BG45-'Combined data'!BF45</f>
        <v>14</v>
      </c>
      <c r="BH45" s="17">
        <f>'Combined data'!BH45-'Combined data'!BG45</f>
        <v>11</v>
      </c>
      <c r="BI45" s="17">
        <f>'Combined data'!BI45-'Combined data'!BH45</f>
        <v>10</v>
      </c>
      <c r="BJ45" s="17">
        <f>'Combined data'!BJ45-'Combined data'!BI45</f>
        <v>18</v>
      </c>
      <c r="BK45" s="17">
        <f>'Combined data'!BK45-'Combined data'!BJ45</f>
        <v>7</v>
      </c>
      <c r="BL45" s="17">
        <f>'Combined data'!BL45-'Combined data'!BK45</f>
        <v>20</v>
      </c>
      <c r="BM45" s="17">
        <f>'Combined data'!BM45-'Combined data'!BL45</f>
        <v>5</v>
      </c>
      <c r="BN45" s="17">
        <f>'Combined data'!BN45-'Combined data'!BM45</f>
        <v>4</v>
      </c>
      <c r="BO45" s="17">
        <f>'Combined data'!BO45-'Combined data'!BN45</f>
        <v>-769</v>
      </c>
      <c r="BP45" s="17">
        <f>'Combined data'!BP45-'Combined data'!BO45</f>
        <v>0</v>
      </c>
      <c r="BQ45" s="17">
        <f>'Combined data'!BQ45-'Combined data'!BP45</f>
        <v>0</v>
      </c>
      <c r="BR45" s="17">
        <f>'Combined data'!BR45-'Combined data'!BQ45</f>
        <v>0</v>
      </c>
      <c r="BS45" s="17">
        <f>'Combined data'!BS45-'Combined data'!BR45</f>
        <v>0</v>
      </c>
      <c r="BT45" s="17">
        <f>'Combined data'!BT45-'Combined data'!BS45</f>
        <v>0</v>
      </c>
      <c r="BU45" s="17">
        <f>'Combined data'!BU45-'Combined data'!BT45</f>
        <v>0</v>
      </c>
      <c r="BV45" s="17">
        <f>'Combined data'!BV45-'Combined data'!BU45</f>
        <v>0</v>
      </c>
      <c r="BW45" s="17">
        <f>'Combined data'!BW45-'Combined data'!BV45</f>
        <v>0</v>
      </c>
      <c r="BX45" s="17">
        <f>'Combined data'!BX45-'Combined data'!BW45</f>
        <v>0</v>
      </c>
      <c r="BY45" s="17">
        <f>'Combined data'!BY45-'Combined data'!BX45</f>
        <v>0</v>
      </c>
      <c r="CB45" s="17">
        <f t="shared" si="25"/>
        <v>235</v>
      </c>
      <c r="CC45" s="17">
        <f t="shared" si="26"/>
        <v>58</v>
      </c>
      <c r="CD45" s="17">
        <f t="shared" si="27"/>
        <v>39</v>
      </c>
      <c r="CE45" s="17">
        <f t="shared" si="28"/>
        <v>49</v>
      </c>
      <c r="CF45" s="17">
        <f t="shared" si="29"/>
        <v>36</v>
      </c>
      <c r="CG45" s="17">
        <f t="shared" si="30"/>
        <v>28</v>
      </c>
      <c r="CH45" s="17">
        <f t="shared" si="31"/>
        <v>58</v>
      </c>
      <c r="CI45" s="17">
        <f t="shared" si="32"/>
        <v>27</v>
      </c>
      <c r="CJ45" s="17">
        <f t="shared" si="33"/>
        <v>45</v>
      </c>
      <c r="CK45" s="17">
        <f t="shared" si="34"/>
        <v>29</v>
      </c>
      <c r="CL45" s="17">
        <f t="shared" si="35"/>
        <v>18</v>
      </c>
      <c r="CM45" s="17">
        <f t="shared" si="36"/>
        <v>20</v>
      </c>
      <c r="CN45" s="17">
        <f t="shared" si="37"/>
        <v>12</v>
      </c>
      <c r="CO45" s="17">
        <f t="shared" si="38"/>
        <v>18</v>
      </c>
      <c r="CP45" s="17">
        <f t="shared" si="39"/>
        <v>8</v>
      </c>
      <c r="CQ45" s="17">
        <f t="shared" si="40"/>
        <v>14</v>
      </c>
      <c r="CR45" s="17">
        <f t="shared" si="41"/>
        <v>11</v>
      </c>
      <c r="CS45" s="17">
        <f t="shared" si="42"/>
        <v>10</v>
      </c>
      <c r="CT45" s="17">
        <f t="shared" si="43"/>
        <v>18</v>
      </c>
      <c r="CU45" s="17">
        <f t="shared" si="44"/>
        <v>7</v>
      </c>
      <c r="CV45" s="17">
        <f t="shared" si="45"/>
        <v>20</v>
      </c>
      <c r="CW45" s="17">
        <f t="shared" si="46"/>
        <v>5</v>
      </c>
      <c r="CX45" s="17">
        <f t="shared" si="47"/>
        <v>4</v>
      </c>
      <c r="CY45" s="17">
        <f t="shared" si="47"/>
        <v>-769</v>
      </c>
      <c r="CZ45" s="17">
        <f t="shared" si="47"/>
        <v>0</v>
      </c>
      <c r="DA45" s="17">
        <f t="shared" si="47"/>
        <v>0</v>
      </c>
      <c r="DB45" s="17">
        <f t="shared" si="47"/>
        <v>0</v>
      </c>
      <c r="DC45" s="17">
        <f t="shared" si="47"/>
        <v>0</v>
      </c>
      <c r="DD45" s="17">
        <f t="shared" si="47"/>
        <v>0</v>
      </c>
      <c r="DE45" s="17">
        <f t="shared" si="47"/>
        <v>0</v>
      </c>
      <c r="DF45" s="17">
        <f t="shared" si="47"/>
        <v>0</v>
      </c>
      <c r="DG45" s="17">
        <f t="shared" si="47"/>
        <v>0</v>
      </c>
      <c r="DH45" s="17">
        <f t="shared" si="47"/>
        <v>0</v>
      </c>
      <c r="DI45" s="17">
        <f t="shared" si="47"/>
        <v>0</v>
      </c>
    </row>
    <row r="46" spans="1:113" ht="15.75" x14ac:dyDescent="0.25">
      <c r="A46" s="6" t="s">
        <v>81</v>
      </c>
      <c r="B46" s="6" t="s">
        <v>82</v>
      </c>
      <c r="H46" s="90">
        <f>'Combined data'!H46</f>
        <v>52</v>
      </c>
      <c r="I46" s="90">
        <f>'Combined data'!I46-'Combined data'!H46</f>
        <v>11</v>
      </c>
      <c r="J46" s="90">
        <f>'Combined data'!J46-'Combined data'!I46</f>
        <v>11</v>
      </c>
      <c r="K46" s="90">
        <f>'Combined data'!K46-'Combined data'!J46</f>
        <v>2</v>
      </c>
      <c r="L46" s="90">
        <f>'Combined data'!L46-'Combined data'!K46</f>
        <v>0</v>
      </c>
      <c r="M46" s="90">
        <f>'Combined data'!M46-'Combined data'!L46</f>
        <v>0</v>
      </c>
      <c r="N46" s="90">
        <f>'Combined data'!N46-'Combined data'!M46</f>
        <v>1</v>
      </c>
      <c r="O46" s="90">
        <f>'Combined data'!O46-'Combined data'!N46</f>
        <v>0</v>
      </c>
      <c r="P46" s="90">
        <f>'Combined data'!P46-'Combined data'!O46</f>
        <v>3</v>
      </c>
      <c r="Q46" s="90">
        <f>'Combined data'!Q46-'Combined data'!P46</f>
        <v>3</v>
      </c>
      <c r="R46" s="90">
        <f>'Combined data'!R46-'Combined data'!Q46</f>
        <v>0</v>
      </c>
      <c r="S46" s="90">
        <f>'Combined data'!S46-'Combined data'!R46</f>
        <v>2</v>
      </c>
      <c r="T46" s="90">
        <f>'Combined data'!T46-'Combined data'!S46</f>
        <v>-1</v>
      </c>
      <c r="U46" s="90">
        <f>'Combined data'!U46-'Combined data'!T46</f>
        <v>0</v>
      </c>
      <c r="V46" s="90">
        <f>'Combined data'!V46-'Combined data'!U46</f>
        <v>3</v>
      </c>
      <c r="W46" s="90">
        <f>'Combined data'!W46-'Combined data'!V46</f>
        <v>0</v>
      </c>
      <c r="X46" s="90">
        <f>'Combined data'!X46-'Combined data'!W46</f>
        <v>0</v>
      </c>
      <c r="Y46" s="90">
        <f>'Combined data'!Y46-'Combined data'!X46</f>
        <v>4</v>
      </c>
      <c r="Z46" s="90">
        <f>'Combined data'!Z46-'Combined data'!Y46</f>
        <v>2</v>
      </c>
      <c r="AA46" s="90">
        <f>'Combined data'!AA46-'Combined data'!Z46</f>
        <v>1</v>
      </c>
      <c r="AB46" s="90">
        <f>'Combined data'!AB46-'Combined data'!AA46</f>
        <v>0</v>
      </c>
      <c r="AC46" s="90">
        <f>'Combined data'!AC46-'Combined data'!AB46</f>
        <v>0</v>
      </c>
      <c r="AD46" s="90">
        <f>'Combined data'!AD46-'Combined data'!AC46</f>
        <v>-1</v>
      </c>
      <c r="AE46" s="90">
        <f>'Combined data'!AE46-'Combined data'!AD46</f>
        <v>-93</v>
      </c>
      <c r="AF46" s="90">
        <f>'Combined data'!AF46-'Combined data'!AE46</f>
        <v>0</v>
      </c>
      <c r="AG46" s="90">
        <f>'Combined data'!AG46-'Combined data'!AF46</f>
        <v>0</v>
      </c>
      <c r="AH46" s="90">
        <f>'Combined data'!AH46-'Combined data'!AG46</f>
        <v>0</v>
      </c>
      <c r="AI46" s="90">
        <f>'Combined data'!AI46-'Combined data'!AH46</f>
        <v>0</v>
      </c>
      <c r="AJ46" s="90">
        <f>'Combined data'!AJ46-'Combined data'!AI46</f>
        <v>0</v>
      </c>
      <c r="AK46" s="90">
        <f>'Combined data'!AK46-'Combined data'!AJ46</f>
        <v>0</v>
      </c>
      <c r="AL46" s="90">
        <f>'Combined data'!AL46-'Combined data'!AK46</f>
        <v>0</v>
      </c>
      <c r="AM46" s="90">
        <f>'Combined data'!AM46-'Combined data'!AL46</f>
        <v>0</v>
      </c>
      <c r="AN46" s="90">
        <f>'Combined data'!AN46-'Combined data'!AM46</f>
        <v>0</v>
      </c>
      <c r="AO46" s="90">
        <f>'Combined data'!AO46-'Combined data'!AN46</f>
        <v>0</v>
      </c>
      <c r="AP46" s="56">
        <f t="shared" si="23"/>
        <v>0</v>
      </c>
      <c r="AQ46" s="113"/>
      <c r="AR46" s="17">
        <f>'Combined data'!AR46</f>
        <v>20</v>
      </c>
      <c r="AS46" s="17">
        <f>'Combined data'!AS46-'Combined data'!AR46</f>
        <v>5</v>
      </c>
      <c r="AT46" s="17">
        <f>'Combined data'!AT46-'Combined data'!AS46</f>
        <v>0</v>
      </c>
      <c r="AU46" s="17">
        <f>'Combined data'!AU46-'Combined data'!AT46</f>
        <v>6</v>
      </c>
      <c r="AV46" s="17">
        <f>'Combined data'!AV46-'Combined data'!AU46</f>
        <v>10</v>
      </c>
      <c r="AW46" s="17">
        <f>'Combined data'!AW46-'Combined data'!AV46</f>
        <v>2</v>
      </c>
      <c r="AX46" s="17">
        <f>'Combined data'!AX46-'Combined data'!AW46</f>
        <v>3</v>
      </c>
      <c r="AY46" s="17">
        <f>'Combined data'!AY46-'Combined data'!AX46</f>
        <v>8</v>
      </c>
      <c r="AZ46" s="17">
        <f>'Combined data'!AZ46-'Combined data'!AY46</f>
        <v>3</v>
      </c>
      <c r="BA46" s="17">
        <f>'Combined data'!BA46-'Combined data'!AZ46</f>
        <v>2</v>
      </c>
      <c r="BB46" s="17">
        <f>'Combined data'!BB46-'Combined data'!BA46</f>
        <v>6</v>
      </c>
      <c r="BC46" s="17">
        <f>'Combined data'!BC46-'Combined data'!BB46</f>
        <v>1</v>
      </c>
      <c r="BD46" s="17">
        <f>'Combined data'!BD46-'Combined data'!BC46</f>
        <v>0</v>
      </c>
      <c r="BE46" s="17">
        <f>'Combined data'!BE46-'Combined data'!BD46</f>
        <v>1</v>
      </c>
      <c r="BF46" s="17">
        <f>'Combined data'!BF46-'Combined data'!BE46</f>
        <v>2</v>
      </c>
      <c r="BG46" s="17">
        <f>'Combined data'!BG46-'Combined data'!BF46</f>
        <v>1</v>
      </c>
      <c r="BH46" s="17">
        <f>'Combined data'!BH46-'Combined data'!BG46</f>
        <v>0</v>
      </c>
      <c r="BI46" s="17">
        <f>'Combined data'!BI46-'Combined data'!BH46</f>
        <v>1</v>
      </c>
      <c r="BJ46" s="17">
        <f>'Combined data'!BJ46-'Combined data'!BI46</f>
        <v>0</v>
      </c>
      <c r="BK46" s="17">
        <f>'Combined data'!BK46-'Combined data'!BJ46</f>
        <v>1</v>
      </c>
      <c r="BL46" s="17">
        <f>'Combined data'!BL46-'Combined data'!BK46</f>
        <v>2</v>
      </c>
      <c r="BM46" s="17">
        <f>'Combined data'!BM46-'Combined data'!BL46</f>
        <v>3</v>
      </c>
      <c r="BN46" s="17">
        <f>'Combined data'!BN46-'Combined data'!BM46</f>
        <v>-1</v>
      </c>
      <c r="BO46" s="17">
        <f>'Combined data'!BO46-'Combined data'!BN46</f>
        <v>-76</v>
      </c>
      <c r="BP46" s="17">
        <f>'Combined data'!BP46-'Combined data'!BO46</f>
        <v>0</v>
      </c>
      <c r="BQ46" s="17">
        <f>'Combined data'!BQ46-'Combined data'!BP46</f>
        <v>0</v>
      </c>
      <c r="BR46" s="17">
        <f>'Combined data'!BR46-'Combined data'!BQ46</f>
        <v>0</v>
      </c>
      <c r="BS46" s="17">
        <f>'Combined data'!BS46-'Combined data'!BR46</f>
        <v>0</v>
      </c>
      <c r="BT46" s="17">
        <f>'Combined data'!BT46-'Combined data'!BS46</f>
        <v>0</v>
      </c>
      <c r="BU46" s="17">
        <f>'Combined data'!BU46-'Combined data'!BT46</f>
        <v>0</v>
      </c>
      <c r="BV46" s="17">
        <f>'Combined data'!BV46-'Combined data'!BU46</f>
        <v>0</v>
      </c>
      <c r="BW46" s="17">
        <f>'Combined data'!BW46-'Combined data'!BV46</f>
        <v>0</v>
      </c>
      <c r="BX46" s="17">
        <f>'Combined data'!BX46-'Combined data'!BW46</f>
        <v>0</v>
      </c>
      <c r="BY46" s="17">
        <f>'Combined data'!BY46-'Combined data'!BX46</f>
        <v>0</v>
      </c>
      <c r="CB46" s="17">
        <f t="shared" si="25"/>
        <v>20</v>
      </c>
      <c r="CC46" s="17">
        <f t="shared" si="26"/>
        <v>5</v>
      </c>
      <c r="CD46" s="17">
        <f t="shared" si="27"/>
        <v>0</v>
      </c>
      <c r="CE46" s="17">
        <f t="shared" si="28"/>
        <v>6</v>
      </c>
      <c r="CF46" s="17">
        <f t="shared" si="29"/>
        <v>10</v>
      </c>
      <c r="CG46" s="17">
        <f t="shared" si="30"/>
        <v>2</v>
      </c>
      <c r="CH46" s="17">
        <f t="shared" si="31"/>
        <v>3</v>
      </c>
      <c r="CI46" s="17">
        <f t="shared" si="32"/>
        <v>8</v>
      </c>
      <c r="CJ46" s="17">
        <f t="shared" si="33"/>
        <v>3</v>
      </c>
      <c r="CK46" s="17">
        <f t="shared" si="34"/>
        <v>2</v>
      </c>
      <c r="CL46" s="17">
        <f t="shared" si="35"/>
        <v>6</v>
      </c>
      <c r="CM46" s="17">
        <f t="shared" si="36"/>
        <v>1</v>
      </c>
      <c r="CN46" s="17">
        <f t="shared" si="37"/>
        <v>0</v>
      </c>
      <c r="CO46" s="17">
        <f t="shared" si="38"/>
        <v>1</v>
      </c>
      <c r="CP46" s="17">
        <f t="shared" si="39"/>
        <v>2</v>
      </c>
      <c r="CQ46" s="17">
        <f t="shared" si="40"/>
        <v>1</v>
      </c>
      <c r="CR46" s="17">
        <f t="shared" si="41"/>
        <v>0</v>
      </c>
      <c r="CS46" s="17">
        <f t="shared" si="42"/>
        <v>1</v>
      </c>
      <c r="CT46" s="17">
        <f t="shared" si="43"/>
        <v>0</v>
      </c>
      <c r="CU46" s="17">
        <f t="shared" si="44"/>
        <v>1</v>
      </c>
      <c r="CV46" s="17">
        <f t="shared" si="45"/>
        <v>2</v>
      </c>
      <c r="CW46" s="17">
        <f t="shared" si="46"/>
        <v>3</v>
      </c>
      <c r="CX46" s="17">
        <f t="shared" si="47"/>
        <v>-1</v>
      </c>
      <c r="CY46" s="17">
        <f t="shared" si="47"/>
        <v>-76</v>
      </c>
      <c r="CZ46" s="17">
        <f t="shared" si="47"/>
        <v>0</v>
      </c>
      <c r="DA46" s="17">
        <f t="shared" si="47"/>
        <v>0</v>
      </c>
      <c r="DB46" s="17">
        <f t="shared" si="47"/>
        <v>0</v>
      </c>
      <c r="DC46" s="17">
        <f t="shared" si="47"/>
        <v>0</v>
      </c>
      <c r="DD46" s="17">
        <f t="shared" si="47"/>
        <v>0</v>
      </c>
      <c r="DE46" s="17">
        <f t="shared" si="47"/>
        <v>0</v>
      </c>
      <c r="DF46" s="17">
        <f t="shared" si="47"/>
        <v>0</v>
      </c>
      <c r="DG46" s="17">
        <f t="shared" si="47"/>
        <v>0</v>
      </c>
      <c r="DH46" s="17">
        <f t="shared" si="47"/>
        <v>0</v>
      </c>
      <c r="DI46" s="17">
        <f t="shared" si="47"/>
        <v>0</v>
      </c>
    </row>
    <row r="47" spans="1:113" ht="15.75" x14ac:dyDescent="0.25">
      <c r="A47" s="6" t="s">
        <v>83</v>
      </c>
      <c r="B47" s="6" t="s">
        <v>84</v>
      </c>
      <c r="H47" s="90">
        <f>'Combined data'!H47</f>
        <v>354</v>
      </c>
      <c r="I47" s="90">
        <f>'Combined data'!I47-'Combined data'!H47</f>
        <v>27</v>
      </c>
      <c r="J47" s="90">
        <f>'Combined data'!J47-'Combined data'!I47</f>
        <v>26</v>
      </c>
      <c r="K47" s="90">
        <f>'Combined data'!K47-'Combined data'!J47</f>
        <v>28</v>
      </c>
      <c r="L47" s="90">
        <f>'Combined data'!L47-'Combined data'!K47</f>
        <v>18</v>
      </c>
      <c r="M47" s="90">
        <f>'Combined data'!M47-'Combined data'!L47</f>
        <v>9</v>
      </c>
      <c r="N47" s="90">
        <f>'Combined data'!N47-'Combined data'!M47</f>
        <v>24</v>
      </c>
      <c r="O47" s="90">
        <f>'Combined data'!O47-'Combined data'!N47</f>
        <v>16</v>
      </c>
      <c r="P47" s="90">
        <f>'Combined data'!P47-'Combined data'!O47</f>
        <v>19</v>
      </c>
      <c r="Q47" s="90">
        <f>'Combined data'!Q47-'Combined data'!P47</f>
        <v>16</v>
      </c>
      <c r="R47" s="90">
        <f>'Combined data'!R47-'Combined data'!Q47</f>
        <v>11</v>
      </c>
      <c r="S47" s="90">
        <f>'Combined data'!S47-'Combined data'!R47</f>
        <v>10</v>
      </c>
      <c r="T47" s="90">
        <f>'Combined data'!T47-'Combined data'!S47</f>
        <v>15</v>
      </c>
      <c r="U47" s="90">
        <f>'Combined data'!U47-'Combined data'!T47</f>
        <v>17</v>
      </c>
      <c r="V47" s="90">
        <f>'Combined data'!V47-'Combined data'!U47</f>
        <v>14</v>
      </c>
      <c r="W47" s="90">
        <f>'Combined data'!W47-'Combined data'!V47</f>
        <v>11</v>
      </c>
      <c r="X47" s="90">
        <f>'Combined data'!X47-'Combined data'!W47</f>
        <v>9</v>
      </c>
      <c r="Y47" s="90">
        <f>'Combined data'!Y47-'Combined data'!X47</f>
        <v>15</v>
      </c>
      <c r="Z47" s="90">
        <f>'Combined data'!Z47-'Combined data'!Y47</f>
        <v>26</v>
      </c>
      <c r="AA47" s="90">
        <f>'Combined data'!AA47-'Combined data'!Z47</f>
        <v>14</v>
      </c>
      <c r="AB47" s="90">
        <f>'Combined data'!AB47-'Combined data'!AA47</f>
        <v>18</v>
      </c>
      <c r="AC47" s="90">
        <f>'Combined data'!AC47-'Combined data'!AB47</f>
        <v>11</v>
      </c>
      <c r="AD47" s="90">
        <f>'Combined data'!AD47-'Combined data'!AC47</f>
        <v>25</v>
      </c>
      <c r="AE47" s="90">
        <f>'Combined data'!AE47-'Combined data'!AD47</f>
        <v>-733</v>
      </c>
      <c r="AF47" s="90">
        <f>'Combined data'!AF47-'Combined data'!AE47</f>
        <v>0</v>
      </c>
      <c r="AG47" s="90">
        <f>'Combined data'!AG47-'Combined data'!AF47</f>
        <v>0</v>
      </c>
      <c r="AH47" s="90">
        <f>'Combined data'!AH47-'Combined data'!AG47</f>
        <v>0</v>
      </c>
      <c r="AI47" s="90">
        <f>'Combined data'!AI47-'Combined data'!AH47</f>
        <v>0</v>
      </c>
      <c r="AJ47" s="90">
        <f>'Combined data'!AJ47-'Combined data'!AI47</f>
        <v>0</v>
      </c>
      <c r="AK47" s="90">
        <f>'Combined data'!AK47-'Combined data'!AJ47</f>
        <v>0</v>
      </c>
      <c r="AL47" s="90">
        <f>'Combined data'!AL47-'Combined data'!AK47</f>
        <v>0</v>
      </c>
      <c r="AM47" s="90">
        <f>'Combined data'!AM47-'Combined data'!AL47</f>
        <v>0</v>
      </c>
      <c r="AN47" s="90">
        <f>'Combined data'!AN47-'Combined data'!AM47</f>
        <v>0</v>
      </c>
      <c r="AO47" s="90">
        <f>'Combined data'!AO47-'Combined data'!AN47</f>
        <v>0</v>
      </c>
      <c r="AP47" s="56">
        <f t="shared" si="23"/>
        <v>0</v>
      </c>
      <c r="AQ47" s="113"/>
      <c r="AR47" s="17">
        <f>'Combined data'!AR47</f>
        <v>159</v>
      </c>
      <c r="AS47" s="17">
        <f>'Combined data'!AS47-'Combined data'!AR47</f>
        <v>18</v>
      </c>
      <c r="AT47" s="17">
        <f>'Combined data'!AT47-'Combined data'!AS47</f>
        <v>35</v>
      </c>
      <c r="AU47" s="17">
        <f>'Combined data'!AU47-'Combined data'!AT47</f>
        <v>46</v>
      </c>
      <c r="AV47" s="17">
        <f>'Combined data'!AV47-'Combined data'!AU47</f>
        <v>17</v>
      </c>
      <c r="AW47" s="17">
        <f>'Combined data'!AW47-'Combined data'!AV47</f>
        <v>27</v>
      </c>
      <c r="AX47" s="17">
        <f>'Combined data'!AX47-'Combined data'!AW47</f>
        <v>18</v>
      </c>
      <c r="AY47" s="17">
        <f>'Combined data'!AY47-'Combined data'!AX47</f>
        <v>18</v>
      </c>
      <c r="AZ47" s="17">
        <f>'Combined data'!AZ47-'Combined data'!AY47</f>
        <v>13</v>
      </c>
      <c r="BA47" s="17">
        <f>'Combined data'!BA47-'Combined data'!AZ47</f>
        <v>19</v>
      </c>
      <c r="BB47" s="17">
        <f>'Combined data'!BB47-'Combined data'!BA47</f>
        <v>1</v>
      </c>
      <c r="BC47" s="17">
        <f>'Combined data'!BC47-'Combined data'!BB47</f>
        <v>14</v>
      </c>
      <c r="BD47" s="17">
        <f>'Combined data'!BD47-'Combined data'!BC47</f>
        <v>16</v>
      </c>
      <c r="BE47" s="17">
        <f>'Combined data'!BE47-'Combined data'!BD47</f>
        <v>21</v>
      </c>
      <c r="BF47" s="17">
        <f>'Combined data'!BF47-'Combined data'!BE47</f>
        <v>9</v>
      </c>
      <c r="BG47" s="17">
        <f>'Combined data'!BG47-'Combined data'!BF47</f>
        <v>4</v>
      </c>
      <c r="BH47" s="17">
        <f>'Combined data'!BH47-'Combined data'!BG47</f>
        <v>9</v>
      </c>
      <c r="BI47" s="17">
        <f>'Combined data'!BI47-'Combined data'!BH47</f>
        <v>11</v>
      </c>
      <c r="BJ47" s="17">
        <f>'Combined data'!BJ47-'Combined data'!BI47</f>
        <v>7</v>
      </c>
      <c r="BK47" s="17">
        <f>'Combined data'!BK47-'Combined data'!BJ47</f>
        <v>9</v>
      </c>
      <c r="BL47" s="17">
        <f>'Combined data'!BL47-'Combined data'!BK47</f>
        <v>20</v>
      </c>
      <c r="BM47" s="17">
        <f>'Combined data'!BM47-'Combined data'!BL47</f>
        <v>17</v>
      </c>
      <c r="BN47" s="17">
        <f>'Combined data'!BN47-'Combined data'!BM47</f>
        <v>8</v>
      </c>
      <c r="BO47" s="17">
        <f>'Combined data'!BO47-'Combined data'!BN47</f>
        <v>-516</v>
      </c>
      <c r="BP47" s="17">
        <f>'Combined data'!BP47-'Combined data'!BO47</f>
        <v>0</v>
      </c>
      <c r="BQ47" s="17">
        <f>'Combined data'!BQ47-'Combined data'!BP47</f>
        <v>0</v>
      </c>
      <c r="BR47" s="17">
        <f>'Combined data'!BR47-'Combined data'!BQ47</f>
        <v>0</v>
      </c>
      <c r="BS47" s="17">
        <f>'Combined data'!BS47-'Combined data'!BR47</f>
        <v>0</v>
      </c>
      <c r="BT47" s="17">
        <f>'Combined data'!BT47-'Combined data'!BS47</f>
        <v>0</v>
      </c>
      <c r="BU47" s="17">
        <f>'Combined data'!BU47-'Combined data'!BT47</f>
        <v>0</v>
      </c>
      <c r="BV47" s="17">
        <f>'Combined data'!BV47-'Combined data'!BU47</f>
        <v>0</v>
      </c>
      <c r="BW47" s="17">
        <f>'Combined data'!BW47-'Combined data'!BV47</f>
        <v>0</v>
      </c>
      <c r="BX47" s="17">
        <f>'Combined data'!BX47-'Combined data'!BW47</f>
        <v>0</v>
      </c>
      <c r="BY47" s="17">
        <f>'Combined data'!BY47-'Combined data'!BX47</f>
        <v>0</v>
      </c>
      <c r="CB47" s="17">
        <f t="shared" si="25"/>
        <v>159</v>
      </c>
      <c r="CC47" s="17">
        <f t="shared" si="26"/>
        <v>18</v>
      </c>
      <c r="CD47" s="17">
        <f t="shared" si="27"/>
        <v>35</v>
      </c>
      <c r="CE47" s="17">
        <f t="shared" si="28"/>
        <v>46</v>
      </c>
      <c r="CF47" s="17">
        <f t="shared" si="29"/>
        <v>17</v>
      </c>
      <c r="CG47" s="17">
        <f t="shared" si="30"/>
        <v>27</v>
      </c>
      <c r="CH47" s="17">
        <f t="shared" si="31"/>
        <v>18</v>
      </c>
      <c r="CI47" s="17">
        <f t="shared" si="32"/>
        <v>18</v>
      </c>
      <c r="CJ47" s="17">
        <f t="shared" si="33"/>
        <v>13</v>
      </c>
      <c r="CK47" s="17">
        <f t="shared" si="34"/>
        <v>19</v>
      </c>
      <c r="CL47" s="17">
        <f t="shared" si="35"/>
        <v>1</v>
      </c>
      <c r="CM47" s="17">
        <f t="shared" si="36"/>
        <v>14</v>
      </c>
      <c r="CN47" s="17">
        <f t="shared" si="37"/>
        <v>16</v>
      </c>
      <c r="CO47" s="17">
        <f t="shared" si="38"/>
        <v>21</v>
      </c>
      <c r="CP47" s="17">
        <f t="shared" si="39"/>
        <v>9</v>
      </c>
      <c r="CQ47" s="17">
        <f t="shared" si="40"/>
        <v>4</v>
      </c>
      <c r="CR47" s="17">
        <f t="shared" si="41"/>
        <v>9</v>
      </c>
      <c r="CS47" s="17">
        <f t="shared" si="42"/>
        <v>11</v>
      </c>
      <c r="CT47" s="17">
        <f t="shared" si="43"/>
        <v>7</v>
      </c>
      <c r="CU47" s="17">
        <f t="shared" si="44"/>
        <v>9</v>
      </c>
      <c r="CV47" s="17">
        <f t="shared" si="45"/>
        <v>20</v>
      </c>
      <c r="CW47" s="17">
        <f t="shared" si="46"/>
        <v>17</v>
      </c>
      <c r="CX47" s="17">
        <f t="shared" si="47"/>
        <v>8</v>
      </c>
      <c r="CY47" s="17">
        <f t="shared" si="47"/>
        <v>-516</v>
      </c>
      <c r="CZ47" s="17">
        <f t="shared" si="47"/>
        <v>0</v>
      </c>
      <c r="DA47" s="17">
        <f t="shared" si="47"/>
        <v>0</v>
      </c>
      <c r="DB47" s="17">
        <f t="shared" si="47"/>
        <v>0</v>
      </c>
      <c r="DC47" s="17">
        <f t="shared" si="47"/>
        <v>0</v>
      </c>
      <c r="DD47" s="17">
        <f t="shared" si="47"/>
        <v>0</v>
      </c>
      <c r="DE47" s="17">
        <f t="shared" si="47"/>
        <v>0</v>
      </c>
      <c r="DF47" s="17">
        <f t="shared" si="47"/>
        <v>0</v>
      </c>
      <c r="DG47" s="17">
        <f t="shared" si="47"/>
        <v>0</v>
      </c>
      <c r="DH47" s="17">
        <f t="shared" si="47"/>
        <v>0</v>
      </c>
      <c r="DI47" s="17">
        <f t="shared" si="47"/>
        <v>0</v>
      </c>
    </row>
    <row r="48" spans="1:113" ht="15.75" x14ac:dyDescent="0.25">
      <c r="A48" s="6" t="s">
        <v>85</v>
      </c>
      <c r="B48" s="6" t="s">
        <v>86</v>
      </c>
      <c r="H48" s="90">
        <f>'Combined data'!H48</f>
        <v>282</v>
      </c>
      <c r="I48" s="90">
        <f>'Combined data'!I48-'Combined data'!H48</f>
        <v>11</v>
      </c>
      <c r="J48" s="90">
        <f>'Combined data'!J48-'Combined data'!I48</f>
        <v>15</v>
      </c>
      <c r="K48" s="90">
        <f>'Combined data'!K48-'Combined data'!J48</f>
        <v>23</v>
      </c>
      <c r="L48" s="90">
        <f>'Combined data'!L48-'Combined data'!K48</f>
        <v>8</v>
      </c>
      <c r="M48" s="90">
        <f>'Combined data'!M48-'Combined data'!L48</f>
        <v>9</v>
      </c>
      <c r="N48" s="90">
        <f>'Combined data'!N48-'Combined data'!M48</f>
        <v>21</v>
      </c>
      <c r="O48" s="90">
        <f>'Combined data'!O48-'Combined data'!N48</f>
        <v>3</v>
      </c>
      <c r="P48" s="90">
        <f>'Combined data'!P48-'Combined data'!O48</f>
        <v>24</v>
      </c>
      <c r="Q48" s="90">
        <f>'Combined data'!Q48-'Combined data'!P48</f>
        <v>4</v>
      </c>
      <c r="R48" s="90">
        <f>'Combined data'!R48-'Combined data'!Q48</f>
        <v>3</v>
      </c>
      <c r="S48" s="90">
        <f>'Combined data'!S48-'Combined data'!R48</f>
        <v>14</v>
      </c>
      <c r="T48" s="90">
        <f>'Combined data'!T48-'Combined data'!S48</f>
        <v>-1</v>
      </c>
      <c r="U48" s="90">
        <f>'Combined data'!U48-'Combined data'!T48</f>
        <v>0</v>
      </c>
      <c r="V48" s="90">
        <f>'Combined data'!V48-'Combined data'!U48</f>
        <v>6</v>
      </c>
      <c r="W48" s="90">
        <f>'Combined data'!W48-'Combined data'!V48</f>
        <v>4</v>
      </c>
      <c r="X48" s="90">
        <f>'Combined data'!X48-'Combined data'!W48</f>
        <v>7</v>
      </c>
      <c r="Y48" s="90">
        <f>'Combined data'!Y48-'Combined data'!X48</f>
        <v>0</v>
      </c>
      <c r="Z48" s="90">
        <f>'Combined data'!Z48-'Combined data'!Y48</f>
        <v>6</v>
      </c>
      <c r="AA48" s="90">
        <f>'Combined data'!AA48-'Combined data'!Z48</f>
        <v>3</v>
      </c>
      <c r="AB48" s="90">
        <f>'Combined data'!AB48-'Combined data'!AA48</f>
        <v>7</v>
      </c>
      <c r="AC48" s="90">
        <f>'Combined data'!AC48-'Combined data'!AB48</f>
        <v>4</v>
      </c>
      <c r="AD48" s="90">
        <f>'Combined data'!AD48-'Combined data'!AC48</f>
        <v>13</v>
      </c>
      <c r="AE48" s="90">
        <f>'Combined data'!AE48-'Combined data'!AD48</f>
        <v>-466</v>
      </c>
      <c r="AF48" s="90">
        <f>'Combined data'!AF48-'Combined data'!AE48</f>
        <v>0</v>
      </c>
      <c r="AG48" s="90">
        <f>'Combined data'!AG48-'Combined data'!AF48</f>
        <v>0</v>
      </c>
      <c r="AH48" s="90">
        <f>'Combined data'!AH48-'Combined data'!AG48</f>
        <v>0</v>
      </c>
      <c r="AI48" s="90">
        <f>'Combined data'!AI48-'Combined data'!AH48</f>
        <v>0</v>
      </c>
      <c r="AJ48" s="90">
        <f>'Combined data'!AJ48-'Combined data'!AI48</f>
        <v>0</v>
      </c>
      <c r="AK48" s="90">
        <f>'Combined data'!AK48-'Combined data'!AJ48</f>
        <v>0</v>
      </c>
      <c r="AL48" s="90">
        <f>'Combined data'!AL48-'Combined data'!AK48</f>
        <v>0</v>
      </c>
      <c r="AM48" s="90">
        <f>'Combined data'!AM48-'Combined data'!AL48</f>
        <v>0</v>
      </c>
      <c r="AN48" s="90">
        <f>'Combined data'!AN48-'Combined data'!AM48</f>
        <v>0</v>
      </c>
      <c r="AO48" s="90">
        <f>'Combined data'!AO48-'Combined data'!AN48</f>
        <v>0</v>
      </c>
      <c r="AP48" s="56">
        <f t="shared" si="23"/>
        <v>0</v>
      </c>
      <c r="AQ48" s="113"/>
      <c r="AR48" s="17">
        <f>'Combined data'!AR48</f>
        <v>124</v>
      </c>
      <c r="AS48" s="17">
        <f>'Combined data'!AS48-'Combined data'!AR48</f>
        <v>23</v>
      </c>
      <c r="AT48" s="17">
        <f>'Combined data'!AT48-'Combined data'!AS48</f>
        <v>26</v>
      </c>
      <c r="AU48" s="17">
        <f>'Combined data'!AU48-'Combined data'!AT48</f>
        <v>33</v>
      </c>
      <c r="AV48" s="17">
        <f>'Combined data'!AV48-'Combined data'!AU48</f>
        <v>13</v>
      </c>
      <c r="AW48" s="17">
        <f>'Combined data'!AW48-'Combined data'!AV48</f>
        <v>12</v>
      </c>
      <c r="AX48" s="17">
        <f>'Combined data'!AX48-'Combined data'!AW48</f>
        <v>12</v>
      </c>
      <c r="AY48" s="17">
        <f>'Combined data'!AY48-'Combined data'!AX48</f>
        <v>10</v>
      </c>
      <c r="AZ48" s="17">
        <f>'Combined data'!AZ48-'Combined data'!AY48</f>
        <v>16</v>
      </c>
      <c r="BA48" s="17">
        <f>'Combined data'!BA48-'Combined data'!AZ48</f>
        <v>14</v>
      </c>
      <c r="BB48" s="17">
        <f>'Combined data'!BB48-'Combined data'!BA48</f>
        <v>6</v>
      </c>
      <c r="BC48" s="17">
        <f>'Combined data'!BC48-'Combined data'!BB48</f>
        <v>16</v>
      </c>
      <c r="BD48" s="17">
        <f>'Combined data'!BD48-'Combined data'!BC48</f>
        <v>10</v>
      </c>
      <c r="BE48" s="17">
        <f>'Combined data'!BE48-'Combined data'!BD48</f>
        <v>6</v>
      </c>
      <c r="BF48" s="17">
        <f>'Combined data'!BF48-'Combined data'!BE48</f>
        <v>7</v>
      </c>
      <c r="BG48" s="17">
        <f>'Combined data'!BG48-'Combined data'!BF48</f>
        <v>2</v>
      </c>
      <c r="BH48" s="17">
        <f>'Combined data'!BH48-'Combined data'!BG48</f>
        <v>3</v>
      </c>
      <c r="BI48" s="17">
        <f>'Combined data'!BI48-'Combined data'!BH48</f>
        <v>2</v>
      </c>
      <c r="BJ48" s="17">
        <f>'Combined data'!BJ48-'Combined data'!BI48</f>
        <v>2</v>
      </c>
      <c r="BK48" s="17">
        <f>'Combined data'!BK48-'Combined data'!BJ48</f>
        <v>10</v>
      </c>
      <c r="BL48" s="17">
        <f>'Combined data'!BL48-'Combined data'!BK48</f>
        <v>19</v>
      </c>
      <c r="BM48" s="17">
        <f>'Combined data'!BM48-'Combined data'!BL48</f>
        <v>-2</v>
      </c>
      <c r="BN48" s="17">
        <f>'Combined data'!BN48-'Combined data'!BM48</f>
        <v>6</v>
      </c>
      <c r="BO48" s="17">
        <f>'Combined data'!BO48-'Combined data'!BN48</f>
        <v>-370</v>
      </c>
      <c r="BP48" s="17">
        <f>'Combined data'!BP48-'Combined data'!BO48</f>
        <v>0</v>
      </c>
      <c r="BQ48" s="17">
        <f>'Combined data'!BQ48-'Combined data'!BP48</f>
        <v>0</v>
      </c>
      <c r="BR48" s="17">
        <f>'Combined data'!BR48-'Combined data'!BQ48</f>
        <v>0</v>
      </c>
      <c r="BS48" s="17">
        <f>'Combined data'!BS48-'Combined data'!BR48</f>
        <v>0</v>
      </c>
      <c r="BT48" s="17">
        <f>'Combined data'!BT48-'Combined data'!BS48</f>
        <v>0</v>
      </c>
      <c r="BU48" s="17">
        <f>'Combined data'!BU48-'Combined data'!BT48</f>
        <v>0</v>
      </c>
      <c r="BV48" s="17">
        <f>'Combined data'!BV48-'Combined data'!BU48</f>
        <v>0</v>
      </c>
      <c r="BW48" s="17">
        <f>'Combined data'!BW48-'Combined data'!BV48</f>
        <v>0</v>
      </c>
      <c r="BX48" s="17">
        <f>'Combined data'!BX48-'Combined data'!BW48</f>
        <v>0</v>
      </c>
      <c r="BY48" s="17">
        <f>'Combined data'!BY48-'Combined data'!BX48</f>
        <v>0</v>
      </c>
      <c r="CB48" s="17">
        <f t="shared" si="25"/>
        <v>124</v>
      </c>
      <c r="CC48" s="17">
        <f t="shared" si="26"/>
        <v>23</v>
      </c>
      <c r="CD48" s="17">
        <f t="shared" si="27"/>
        <v>26</v>
      </c>
      <c r="CE48" s="17">
        <f t="shared" si="28"/>
        <v>33</v>
      </c>
      <c r="CF48" s="17">
        <f t="shared" si="29"/>
        <v>13</v>
      </c>
      <c r="CG48" s="17">
        <f t="shared" si="30"/>
        <v>12</v>
      </c>
      <c r="CH48" s="17">
        <f t="shared" si="31"/>
        <v>12</v>
      </c>
      <c r="CI48" s="17">
        <f t="shared" si="32"/>
        <v>10</v>
      </c>
      <c r="CJ48" s="17">
        <f t="shared" si="33"/>
        <v>16</v>
      </c>
      <c r="CK48" s="17">
        <f t="shared" si="34"/>
        <v>14</v>
      </c>
      <c r="CL48" s="17">
        <f t="shared" si="35"/>
        <v>6</v>
      </c>
      <c r="CM48" s="17">
        <f t="shared" si="36"/>
        <v>16</v>
      </c>
      <c r="CN48" s="17">
        <f t="shared" si="37"/>
        <v>10</v>
      </c>
      <c r="CO48" s="17">
        <f t="shared" si="38"/>
        <v>6</v>
      </c>
      <c r="CP48" s="17">
        <f t="shared" si="39"/>
        <v>7</v>
      </c>
      <c r="CQ48" s="17">
        <f t="shared" si="40"/>
        <v>2</v>
      </c>
      <c r="CR48" s="17">
        <f t="shared" si="41"/>
        <v>3</v>
      </c>
      <c r="CS48" s="17">
        <f t="shared" si="42"/>
        <v>2</v>
      </c>
      <c r="CT48" s="17">
        <f t="shared" si="43"/>
        <v>2</v>
      </c>
      <c r="CU48" s="17">
        <f t="shared" si="44"/>
        <v>10</v>
      </c>
      <c r="CV48" s="17">
        <f t="shared" si="45"/>
        <v>19</v>
      </c>
      <c r="CW48" s="17">
        <f t="shared" si="46"/>
        <v>-2</v>
      </c>
      <c r="CX48" s="17">
        <f t="shared" si="47"/>
        <v>6</v>
      </c>
      <c r="CY48" s="17">
        <f t="shared" si="47"/>
        <v>-370</v>
      </c>
      <c r="CZ48" s="17">
        <f t="shared" si="47"/>
        <v>0</v>
      </c>
      <c r="DA48" s="17">
        <f t="shared" si="47"/>
        <v>0</v>
      </c>
      <c r="DB48" s="17">
        <f t="shared" si="47"/>
        <v>0</v>
      </c>
      <c r="DC48" s="17">
        <f t="shared" si="47"/>
        <v>0</v>
      </c>
      <c r="DD48" s="17">
        <f t="shared" si="47"/>
        <v>0</v>
      </c>
      <c r="DE48" s="17">
        <f t="shared" si="47"/>
        <v>0</v>
      </c>
      <c r="DF48" s="17">
        <f t="shared" si="47"/>
        <v>0</v>
      </c>
      <c r="DG48" s="17">
        <f t="shared" si="47"/>
        <v>0</v>
      </c>
      <c r="DH48" s="17">
        <f t="shared" si="47"/>
        <v>0</v>
      </c>
      <c r="DI48" s="17">
        <f t="shared" si="47"/>
        <v>0</v>
      </c>
    </row>
    <row r="49" spans="1:113" ht="15.75" x14ac:dyDescent="0.25">
      <c r="A49" s="6" t="s">
        <v>87</v>
      </c>
      <c r="B49" s="6" t="s">
        <v>88</v>
      </c>
      <c r="H49" s="90">
        <f>'Combined data'!H49</f>
        <v>1039</v>
      </c>
      <c r="I49" s="90">
        <f>'Combined data'!I49-'Combined data'!H49</f>
        <v>76</v>
      </c>
      <c r="J49" s="90">
        <f>'Combined data'!J49-'Combined data'!I49</f>
        <v>48</v>
      </c>
      <c r="K49" s="90">
        <f>'Combined data'!K49-'Combined data'!J49</f>
        <v>84</v>
      </c>
      <c r="L49" s="90">
        <f>'Combined data'!L49-'Combined data'!K49</f>
        <v>35</v>
      </c>
      <c r="M49" s="90">
        <f>'Combined data'!M49-'Combined data'!L49</f>
        <v>19</v>
      </c>
      <c r="N49" s="90">
        <f>'Combined data'!N49-'Combined data'!M49</f>
        <v>57</v>
      </c>
      <c r="O49" s="90">
        <f>'Combined data'!O49-'Combined data'!N49</f>
        <v>22</v>
      </c>
      <c r="P49" s="90">
        <f>'Combined data'!P49-'Combined data'!O49</f>
        <v>49</v>
      </c>
      <c r="Q49" s="90">
        <f>'Combined data'!Q49-'Combined data'!P49</f>
        <v>34</v>
      </c>
      <c r="R49" s="90">
        <f>'Combined data'!R49-'Combined data'!Q49</f>
        <v>18</v>
      </c>
      <c r="S49" s="90">
        <f>'Combined data'!S49-'Combined data'!R49</f>
        <v>13</v>
      </c>
      <c r="T49" s="90">
        <f>'Combined data'!T49-'Combined data'!S49</f>
        <v>19</v>
      </c>
      <c r="U49" s="90">
        <f>'Combined data'!U49-'Combined data'!T49</f>
        <v>39</v>
      </c>
      <c r="V49" s="90">
        <f>'Combined data'!V49-'Combined data'!U49</f>
        <v>30</v>
      </c>
      <c r="W49" s="90">
        <f>'Combined data'!W49-'Combined data'!V49</f>
        <v>25</v>
      </c>
      <c r="X49" s="90">
        <f>'Combined data'!X49-'Combined data'!W49</f>
        <v>13</v>
      </c>
      <c r="Y49" s="90">
        <f>'Combined data'!Y49-'Combined data'!X49</f>
        <v>23</v>
      </c>
      <c r="Z49" s="90">
        <f>'Combined data'!Z49-'Combined data'!Y49</f>
        <v>24</v>
      </c>
      <c r="AA49" s="90">
        <f>'Combined data'!AA49-'Combined data'!Z49</f>
        <v>10</v>
      </c>
      <c r="AB49" s="90">
        <f>'Combined data'!AB49-'Combined data'!AA49</f>
        <v>4</v>
      </c>
      <c r="AC49" s="90">
        <f>'Combined data'!AC49-'Combined data'!AB49</f>
        <v>4</v>
      </c>
      <c r="AD49" s="90">
        <f>'Combined data'!AD49-'Combined data'!AC49</f>
        <v>26</v>
      </c>
      <c r="AE49" s="90">
        <f>'Combined data'!AE49-'Combined data'!AD49</f>
        <v>-1711</v>
      </c>
      <c r="AF49" s="90">
        <f>'Combined data'!AF49-'Combined data'!AE49</f>
        <v>0</v>
      </c>
      <c r="AG49" s="90">
        <f>'Combined data'!AG49-'Combined data'!AF49</f>
        <v>0</v>
      </c>
      <c r="AH49" s="90">
        <f>'Combined data'!AH49-'Combined data'!AG49</f>
        <v>0</v>
      </c>
      <c r="AI49" s="90">
        <f>'Combined data'!AI49-'Combined data'!AH49</f>
        <v>0</v>
      </c>
      <c r="AJ49" s="90">
        <f>'Combined data'!AJ49-'Combined data'!AI49</f>
        <v>0</v>
      </c>
      <c r="AK49" s="90">
        <f>'Combined data'!AK49-'Combined data'!AJ49</f>
        <v>0</v>
      </c>
      <c r="AL49" s="90">
        <f>'Combined data'!AL49-'Combined data'!AK49</f>
        <v>0</v>
      </c>
      <c r="AM49" s="90">
        <f>'Combined data'!AM49-'Combined data'!AL49</f>
        <v>0</v>
      </c>
      <c r="AN49" s="90">
        <f>'Combined data'!AN49-'Combined data'!AM49</f>
        <v>0</v>
      </c>
      <c r="AO49" s="90">
        <f>'Combined data'!AO49-'Combined data'!AN49</f>
        <v>0</v>
      </c>
      <c r="AP49" s="56">
        <f t="shared" si="23"/>
        <v>0</v>
      </c>
      <c r="AQ49" s="113"/>
      <c r="AR49" s="17">
        <f>'Combined data'!AR49</f>
        <v>547</v>
      </c>
      <c r="AS49" s="17">
        <f>'Combined data'!AS49-'Combined data'!AR49</f>
        <v>69</v>
      </c>
      <c r="AT49" s="17">
        <f>'Combined data'!AT49-'Combined data'!AS49</f>
        <v>70</v>
      </c>
      <c r="AU49" s="17">
        <f>'Combined data'!AU49-'Combined data'!AT49</f>
        <v>112</v>
      </c>
      <c r="AV49" s="17">
        <f>'Combined data'!AV49-'Combined data'!AU49</f>
        <v>49</v>
      </c>
      <c r="AW49" s="17">
        <f>'Combined data'!AW49-'Combined data'!AV49</f>
        <v>53</v>
      </c>
      <c r="AX49" s="17">
        <f>'Combined data'!AX49-'Combined data'!AW49</f>
        <v>71</v>
      </c>
      <c r="AY49" s="17">
        <f>'Combined data'!AY49-'Combined data'!AX49</f>
        <v>35</v>
      </c>
      <c r="AZ49" s="17">
        <f>'Combined data'!AZ49-'Combined data'!AY49</f>
        <v>45</v>
      </c>
      <c r="BA49" s="17">
        <f>'Combined data'!BA49-'Combined data'!AZ49</f>
        <v>48</v>
      </c>
      <c r="BB49" s="17">
        <f>'Combined data'!BB49-'Combined data'!BA49</f>
        <v>29</v>
      </c>
      <c r="BC49" s="17">
        <f>'Combined data'!BC49-'Combined data'!BB49</f>
        <v>33</v>
      </c>
      <c r="BD49" s="17">
        <f>'Combined data'!BD49-'Combined data'!BC49</f>
        <v>39</v>
      </c>
      <c r="BE49" s="17">
        <f>'Combined data'!BE49-'Combined data'!BD49</f>
        <v>22</v>
      </c>
      <c r="BF49" s="17">
        <f>'Combined data'!BF49-'Combined data'!BE49</f>
        <v>19</v>
      </c>
      <c r="BG49" s="17">
        <f>'Combined data'!BG49-'Combined data'!BF49</f>
        <v>15</v>
      </c>
      <c r="BH49" s="17">
        <f>'Combined data'!BH49-'Combined data'!BG49</f>
        <v>25</v>
      </c>
      <c r="BI49" s="17">
        <f>'Combined data'!BI49-'Combined data'!BH49</f>
        <v>26</v>
      </c>
      <c r="BJ49" s="17">
        <f>'Combined data'!BJ49-'Combined data'!BI49</f>
        <v>32</v>
      </c>
      <c r="BK49" s="17">
        <f>'Combined data'!BK49-'Combined data'!BJ49</f>
        <v>36</v>
      </c>
      <c r="BL49" s="17">
        <f>'Combined data'!BL49-'Combined data'!BK49</f>
        <v>27</v>
      </c>
      <c r="BM49" s="17">
        <f>'Combined data'!BM49-'Combined data'!BL49</f>
        <v>3</v>
      </c>
      <c r="BN49" s="17">
        <f>'Combined data'!BN49-'Combined data'!BM49</f>
        <v>14</v>
      </c>
      <c r="BO49" s="17">
        <f>'Combined data'!BO49-'Combined data'!BN49</f>
        <v>-1419</v>
      </c>
      <c r="BP49" s="17">
        <f>'Combined data'!BP49-'Combined data'!BO49</f>
        <v>0</v>
      </c>
      <c r="BQ49" s="17">
        <f>'Combined data'!BQ49-'Combined data'!BP49</f>
        <v>0</v>
      </c>
      <c r="BR49" s="17">
        <f>'Combined data'!BR49-'Combined data'!BQ49</f>
        <v>0</v>
      </c>
      <c r="BS49" s="17">
        <f>'Combined data'!BS49-'Combined data'!BR49</f>
        <v>0</v>
      </c>
      <c r="BT49" s="17">
        <f>'Combined data'!BT49-'Combined data'!BS49</f>
        <v>0</v>
      </c>
      <c r="BU49" s="17">
        <f>'Combined data'!BU49-'Combined data'!BT49</f>
        <v>0</v>
      </c>
      <c r="BV49" s="17">
        <f>'Combined data'!BV49-'Combined data'!BU49</f>
        <v>0</v>
      </c>
      <c r="BW49" s="17">
        <f>'Combined data'!BW49-'Combined data'!BV49</f>
        <v>0</v>
      </c>
      <c r="BX49" s="17">
        <f>'Combined data'!BX49-'Combined data'!BW49</f>
        <v>0</v>
      </c>
      <c r="BY49" s="17">
        <f>'Combined data'!BY49-'Combined data'!BX49</f>
        <v>0</v>
      </c>
      <c r="CB49" s="17">
        <f t="shared" si="25"/>
        <v>547</v>
      </c>
      <c r="CC49" s="17">
        <f t="shared" si="26"/>
        <v>69</v>
      </c>
      <c r="CD49" s="17">
        <f t="shared" si="27"/>
        <v>70</v>
      </c>
      <c r="CE49" s="17">
        <f t="shared" si="28"/>
        <v>112</v>
      </c>
      <c r="CF49" s="17">
        <f t="shared" si="29"/>
        <v>49</v>
      </c>
      <c r="CG49" s="17">
        <f t="shared" si="30"/>
        <v>53</v>
      </c>
      <c r="CH49" s="17">
        <f t="shared" si="31"/>
        <v>71</v>
      </c>
      <c r="CI49" s="17">
        <f t="shared" si="32"/>
        <v>35</v>
      </c>
      <c r="CJ49" s="17">
        <f t="shared" si="33"/>
        <v>45</v>
      </c>
      <c r="CK49" s="17">
        <f t="shared" si="34"/>
        <v>48</v>
      </c>
      <c r="CL49" s="17">
        <f t="shared" si="35"/>
        <v>29</v>
      </c>
      <c r="CM49" s="17">
        <f t="shared" si="36"/>
        <v>33</v>
      </c>
      <c r="CN49" s="17">
        <f t="shared" si="37"/>
        <v>39</v>
      </c>
      <c r="CO49" s="17">
        <f t="shared" si="38"/>
        <v>22</v>
      </c>
      <c r="CP49" s="17">
        <f t="shared" si="39"/>
        <v>19</v>
      </c>
      <c r="CQ49" s="17">
        <f t="shared" si="40"/>
        <v>15</v>
      </c>
      <c r="CR49" s="17">
        <f t="shared" si="41"/>
        <v>25</v>
      </c>
      <c r="CS49" s="17">
        <f t="shared" si="42"/>
        <v>26</v>
      </c>
      <c r="CT49" s="17">
        <f t="shared" si="43"/>
        <v>32</v>
      </c>
      <c r="CU49" s="17">
        <f t="shared" si="44"/>
        <v>36</v>
      </c>
      <c r="CV49" s="17">
        <f t="shared" si="45"/>
        <v>27</v>
      </c>
      <c r="CW49" s="17">
        <f t="shared" si="46"/>
        <v>3</v>
      </c>
      <c r="CX49" s="17">
        <f t="shared" si="47"/>
        <v>14</v>
      </c>
      <c r="CY49" s="17">
        <f t="shared" si="47"/>
        <v>-1419</v>
      </c>
      <c r="CZ49" s="17">
        <f t="shared" si="47"/>
        <v>0</v>
      </c>
      <c r="DA49" s="17">
        <f t="shared" si="47"/>
        <v>0</v>
      </c>
      <c r="DB49" s="17">
        <f t="shared" si="47"/>
        <v>0</v>
      </c>
      <c r="DC49" s="17">
        <f t="shared" si="47"/>
        <v>0</v>
      </c>
      <c r="DD49" s="17">
        <f t="shared" si="47"/>
        <v>0</v>
      </c>
      <c r="DE49" s="17">
        <f t="shared" si="47"/>
        <v>0</v>
      </c>
      <c r="DF49" s="17">
        <f t="shared" si="47"/>
        <v>0</v>
      </c>
      <c r="DG49" s="17">
        <f t="shared" si="47"/>
        <v>0</v>
      </c>
      <c r="DH49" s="17">
        <f t="shared" si="47"/>
        <v>0</v>
      </c>
      <c r="DI49" s="17">
        <f t="shared" si="47"/>
        <v>0</v>
      </c>
    </row>
    <row r="50" spans="1:113" ht="15.75" x14ac:dyDescent="0.25">
      <c r="A50" s="6" t="s">
        <v>89</v>
      </c>
      <c r="B50" s="6" t="s">
        <v>90</v>
      </c>
      <c r="H50" s="90">
        <f>'Combined data'!H50</f>
        <v>153</v>
      </c>
      <c r="I50" s="90">
        <f>'Combined data'!I50-'Combined data'!H50</f>
        <v>8</v>
      </c>
      <c r="J50" s="90">
        <f>'Combined data'!J50-'Combined data'!I50</f>
        <v>16</v>
      </c>
      <c r="K50" s="90">
        <f>'Combined data'!K50-'Combined data'!J50</f>
        <v>8</v>
      </c>
      <c r="L50" s="90">
        <f>'Combined data'!L50-'Combined data'!K50</f>
        <v>5</v>
      </c>
      <c r="M50" s="90">
        <f>'Combined data'!M50-'Combined data'!L50</f>
        <v>3</v>
      </c>
      <c r="N50" s="90">
        <f>'Combined data'!N50-'Combined data'!M50</f>
        <v>17</v>
      </c>
      <c r="O50" s="90">
        <f>'Combined data'!O50-'Combined data'!N50</f>
        <v>5</v>
      </c>
      <c r="P50" s="90">
        <f>'Combined data'!P50-'Combined data'!O50</f>
        <v>7</v>
      </c>
      <c r="Q50" s="90">
        <f>'Combined data'!Q50-'Combined data'!P50</f>
        <v>1</v>
      </c>
      <c r="R50" s="90">
        <f>'Combined data'!R50-'Combined data'!Q50</f>
        <v>3</v>
      </c>
      <c r="S50" s="90">
        <f>'Combined data'!S50-'Combined data'!R50</f>
        <v>7</v>
      </c>
      <c r="T50" s="90">
        <f>'Combined data'!T50-'Combined data'!S50</f>
        <v>8</v>
      </c>
      <c r="U50" s="90">
        <f>'Combined data'!U50-'Combined data'!T50</f>
        <v>12</v>
      </c>
      <c r="V50" s="90">
        <f>'Combined data'!V50-'Combined data'!U50</f>
        <v>2</v>
      </c>
      <c r="W50" s="90">
        <f>'Combined data'!W50-'Combined data'!V50</f>
        <v>6</v>
      </c>
      <c r="X50" s="90">
        <f>'Combined data'!X50-'Combined data'!W50</f>
        <v>1</v>
      </c>
      <c r="Y50" s="90">
        <f>'Combined data'!Y50-'Combined data'!X50</f>
        <v>4</v>
      </c>
      <c r="Z50" s="90">
        <f>'Combined data'!Z50-'Combined data'!Y50</f>
        <v>6</v>
      </c>
      <c r="AA50" s="90">
        <f>'Combined data'!AA50-'Combined data'!Z50</f>
        <v>2</v>
      </c>
      <c r="AB50" s="90">
        <f>'Combined data'!AB50-'Combined data'!AA50</f>
        <v>7</v>
      </c>
      <c r="AC50" s="90">
        <f>'Combined data'!AC50-'Combined data'!AB50</f>
        <v>0</v>
      </c>
      <c r="AD50" s="90">
        <f>'Combined data'!AD50-'Combined data'!AC50</f>
        <v>10</v>
      </c>
      <c r="AE50" s="90">
        <f>'Combined data'!AE50-'Combined data'!AD50</f>
        <v>-291</v>
      </c>
      <c r="AF50" s="90">
        <f>'Combined data'!AF50-'Combined data'!AE50</f>
        <v>0</v>
      </c>
      <c r="AG50" s="90">
        <f>'Combined data'!AG50-'Combined data'!AF50</f>
        <v>0</v>
      </c>
      <c r="AH50" s="90">
        <f>'Combined data'!AH50-'Combined data'!AG50</f>
        <v>0</v>
      </c>
      <c r="AI50" s="90">
        <f>'Combined data'!AI50-'Combined data'!AH50</f>
        <v>0</v>
      </c>
      <c r="AJ50" s="90">
        <f>'Combined data'!AJ50-'Combined data'!AI50</f>
        <v>0</v>
      </c>
      <c r="AK50" s="90">
        <f>'Combined data'!AK50-'Combined data'!AJ50</f>
        <v>0</v>
      </c>
      <c r="AL50" s="90">
        <f>'Combined data'!AL50-'Combined data'!AK50</f>
        <v>0</v>
      </c>
      <c r="AM50" s="90">
        <f>'Combined data'!AM50-'Combined data'!AL50</f>
        <v>0</v>
      </c>
      <c r="AN50" s="90">
        <f>'Combined data'!AN50-'Combined data'!AM50</f>
        <v>0</v>
      </c>
      <c r="AO50" s="90">
        <f>'Combined data'!AO50-'Combined data'!AN50</f>
        <v>0</v>
      </c>
      <c r="AP50" s="56">
        <f t="shared" si="23"/>
        <v>0</v>
      </c>
      <c r="AQ50" s="113"/>
      <c r="AR50" s="17">
        <f>'Combined data'!AR50</f>
        <v>85</v>
      </c>
      <c r="AS50" s="17">
        <f>'Combined data'!AS50-'Combined data'!AR50</f>
        <v>10</v>
      </c>
      <c r="AT50" s="17">
        <f>'Combined data'!AT50-'Combined data'!AS50</f>
        <v>4</v>
      </c>
      <c r="AU50" s="17">
        <f>'Combined data'!AU50-'Combined data'!AT50</f>
        <v>20</v>
      </c>
      <c r="AV50" s="17">
        <f>'Combined data'!AV50-'Combined data'!AU50</f>
        <v>7</v>
      </c>
      <c r="AW50" s="17">
        <f>'Combined data'!AW50-'Combined data'!AV50</f>
        <v>2</v>
      </c>
      <c r="AX50" s="17">
        <f>'Combined data'!AX50-'Combined data'!AW50</f>
        <v>10</v>
      </c>
      <c r="AY50" s="17">
        <f>'Combined data'!AY50-'Combined data'!AX50</f>
        <v>13</v>
      </c>
      <c r="AZ50" s="17">
        <f>'Combined data'!AZ50-'Combined data'!AY50</f>
        <v>11</v>
      </c>
      <c r="BA50" s="17">
        <f>'Combined data'!BA50-'Combined data'!AZ50</f>
        <v>6</v>
      </c>
      <c r="BB50" s="17">
        <f>'Combined data'!BB50-'Combined data'!BA50</f>
        <v>4</v>
      </c>
      <c r="BC50" s="17">
        <f>'Combined data'!BC50-'Combined data'!BB50</f>
        <v>2</v>
      </c>
      <c r="BD50" s="17">
        <f>'Combined data'!BD50-'Combined data'!BC50</f>
        <v>9</v>
      </c>
      <c r="BE50" s="17">
        <f>'Combined data'!BE50-'Combined data'!BD50</f>
        <v>2</v>
      </c>
      <c r="BF50" s="17">
        <f>'Combined data'!BF50-'Combined data'!BE50</f>
        <v>10</v>
      </c>
      <c r="BG50" s="17">
        <f>'Combined data'!BG50-'Combined data'!BF50</f>
        <v>6</v>
      </c>
      <c r="BH50" s="17">
        <f>'Combined data'!BH50-'Combined data'!BG50</f>
        <v>8</v>
      </c>
      <c r="BI50" s="17">
        <f>'Combined data'!BI50-'Combined data'!BH50</f>
        <v>5</v>
      </c>
      <c r="BJ50" s="17">
        <f>'Combined data'!BJ50-'Combined data'!BI50</f>
        <v>1</v>
      </c>
      <c r="BK50" s="17">
        <f>'Combined data'!BK50-'Combined data'!BJ50</f>
        <v>12</v>
      </c>
      <c r="BL50" s="17">
        <f>'Combined data'!BL50-'Combined data'!BK50</f>
        <v>6</v>
      </c>
      <c r="BM50" s="17">
        <f>'Combined data'!BM50-'Combined data'!BL50</f>
        <v>1</v>
      </c>
      <c r="BN50" s="17">
        <f>'Combined data'!BN50-'Combined data'!BM50</f>
        <v>6</v>
      </c>
      <c r="BO50" s="17">
        <f>'Combined data'!BO50-'Combined data'!BN50</f>
        <v>-240</v>
      </c>
      <c r="BP50" s="17">
        <f>'Combined data'!BP50-'Combined data'!BO50</f>
        <v>0</v>
      </c>
      <c r="BQ50" s="17">
        <f>'Combined data'!BQ50-'Combined data'!BP50</f>
        <v>0</v>
      </c>
      <c r="BR50" s="17">
        <f>'Combined data'!BR50-'Combined data'!BQ50</f>
        <v>0</v>
      </c>
      <c r="BS50" s="17">
        <f>'Combined data'!BS50-'Combined data'!BR50</f>
        <v>0</v>
      </c>
      <c r="BT50" s="17">
        <f>'Combined data'!BT50-'Combined data'!BS50</f>
        <v>0</v>
      </c>
      <c r="BU50" s="17">
        <f>'Combined data'!BU50-'Combined data'!BT50</f>
        <v>0</v>
      </c>
      <c r="BV50" s="17">
        <f>'Combined data'!BV50-'Combined data'!BU50</f>
        <v>0</v>
      </c>
      <c r="BW50" s="17">
        <f>'Combined data'!BW50-'Combined data'!BV50</f>
        <v>0</v>
      </c>
      <c r="BX50" s="17">
        <f>'Combined data'!BX50-'Combined data'!BW50</f>
        <v>0</v>
      </c>
      <c r="BY50" s="17">
        <f>'Combined data'!BY50-'Combined data'!BX50</f>
        <v>0</v>
      </c>
      <c r="CB50" s="17">
        <f t="shared" si="25"/>
        <v>85</v>
      </c>
      <c r="CC50" s="17">
        <f t="shared" si="26"/>
        <v>10</v>
      </c>
      <c r="CD50" s="17">
        <f t="shared" si="27"/>
        <v>4</v>
      </c>
      <c r="CE50" s="17">
        <f t="shared" si="28"/>
        <v>20</v>
      </c>
      <c r="CF50" s="17">
        <f t="shared" si="29"/>
        <v>7</v>
      </c>
      <c r="CG50" s="17">
        <f t="shared" si="30"/>
        <v>2</v>
      </c>
      <c r="CH50" s="17">
        <f t="shared" si="31"/>
        <v>10</v>
      </c>
      <c r="CI50" s="17">
        <f t="shared" si="32"/>
        <v>13</v>
      </c>
      <c r="CJ50" s="17">
        <f t="shared" si="33"/>
        <v>11</v>
      </c>
      <c r="CK50" s="17">
        <f t="shared" si="34"/>
        <v>6</v>
      </c>
      <c r="CL50" s="17">
        <f t="shared" si="35"/>
        <v>4</v>
      </c>
      <c r="CM50" s="17">
        <f t="shared" si="36"/>
        <v>2</v>
      </c>
      <c r="CN50" s="17">
        <f t="shared" si="37"/>
        <v>9</v>
      </c>
      <c r="CO50" s="17">
        <f t="shared" si="38"/>
        <v>2</v>
      </c>
      <c r="CP50" s="17">
        <f t="shared" si="39"/>
        <v>10</v>
      </c>
      <c r="CQ50" s="17">
        <f t="shared" si="40"/>
        <v>6</v>
      </c>
      <c r="CR50" s="17">
        <f t="shared" si="41"/>
        <v>8</v>
      </c>
      <c r="CS50" s="17">
        <f t="shared" si="42"/>
        <v>5</v>
      </c>
      <c r="CT50" s="17">
        <f t="shared" si="43"/>
        <v>1</v>
      </c>
      <c r="CU50" s="17">
        <f t="shared" si="44"/>
        <v>12</v>
      </c>
      <c r="CV50" s="17">
        <f t="shared" si="45"/>
        <v>6</v>
      </c>
      <c r="CW50" s="17">
        <f t="shared" si="46"/>
        <v>1</v>
      </c>
      <c r="CX50" s="17">
        <f t="shared" si="47"/>
        <v>6</v>
      </c>
      <c r="CY50" s="17">
        <f t="shared" si="47"/>
        <v>-240</v>
      </c>
      <c r="CZ50" s="17">
        <f t="shared" si="47"/>
        <v>0</v>
      </c>
      <c r="DA50" s="17">
        <f t="shared" si="47"/>
        <v>0</v>
      </c>
      <c r="DB50" s="17">
        <f t="shared" si="47"/>
        <v>0</v>
      </c>
      <c r="DC50" s="17">
        <f t="shared" si="47"/>
        <v>0</v>
      </c>
      <c r="DD50" s="17">
        <f t="shared" si="47"/>
        <v>0</v>
      </c>
      <c r="DE50" s="17">
        <f t="shared" si="47"/>
        <v>0</v>
      </c>
      <c r="DF50" s="17">
        <f t="shared" si="47"/>
        <v>0</v>
      </c>
      <c r="DG50" s="17">
        <f t="shared" si="47"/>
        <v>0</v>
      </c>
      <c r="DH50" s="17">
        <f t="shared" si="47"/>
        <v>0</v>
      </c>
      <c r="DI50" s="17">
        <f t="shared" si="47"/>
        <v>0</v>
      </c>
    </row>
    <row r="51" spans="1:113" ht="15.75" x14ac:dyDescent="0.25">
      <c r="A51" s="6" t="s">
        <v>91</v>
      </c>
      <c r="B51" s="6" t="s">
        <v>92</v>
      </c>
      <c r="H51" s="90">
        <f>'Combined data'!H51</f>
        <v>1235</v>
      </c>
      <c r="I51" s="90">
        <f>'Combined data'!I51-'Combined data'!H51</f>
        <v>82</v>
      </c>
      <c r="J51" s="90">
        <f>'Combined data'!J51-'Combined data'!I51</f>
        <v>55</v>
      </c>
      <c r="K51" s="90">
        <f>'Combined data'!K51-'Combined data'!J51</f>
        <v>120</v>
      </c>
      <c r="L51" s="90">
        <f>'Combined data'!L51-'Combined data'!K51</f>
        <v>37</v>
      </c>
      <c r="M51" s="90">
        <f>'Combined data'!M51-'Combined data'!L51</f>
        <v>24</v>
      </c>
      <c r="N51" s="90">
        <f>'Combined data'!N51-'Combined data'!M51</f>
        <v>96</v>
      </c>
      <c r="O51" s="90">
        <f>'Combined data'!O51-'Combined data'!N51</f>
        <v>43</v>
      </c>
      <c r="P51" s="90">
        <f>'Combined data'!P51-'Combined data'!O51</f>
        <v>61</v>
      </c>
      <c r="Q51" s="90">
        <f>'Combined data'!Q51-'Combined data'!P51</f>
        <v>46</v>
      </c>
      <c r="R51" s="90">
        <f>'Combined data'!R51-'Combined data'!Q51</f>
        <v>28</v>
      </c>
      <c r="S51" s="90">
        <f>'Combined data'!S51-'Combined data'!R51</f>
        <v>44</v>
      </c>
      <c r="T51" s="90">
        <f>'Combined data'!T51-'Combined data'!S51</f>
        <v>33</v>
      </c>
      <c r="U51" s="90">
        <f>'Combined data'!U51-'Combined data'!T51</f>
        <v>39</v>
      </c>
      <c r="V51" s="90">
        <f>'Combined data'!V51-'Combined data'!U51</f>
        <v>32</v>
      </c>
      <c r="W51" s="90">
        <f>'Combined data'!W51-'Combined data'!V51</f>
        <v>25</v>
      </c>
      <c r="X51" s="90">
        <f>'Combined data'!X51-'Combined data'!W51</f>
        <v>12</v>
      </c>
      <c r="Y51" s="90">
        <f>'Combined data'!Y51-'Combined data'!X51</f>
        <v>22</v>
      </c>
      <c r="Z51" s="90">
        <f>'Combined data'!Z51-'Combined data'!Y51</f>
        <v>34</v>
      </c>
      <c r="AA51" s="90">
        <f>'Combined data'!AA51-'Combined data'!Z51</f>
        <v>12</v>
      </c>
      <c r="AB51" s="90">
        <f>'Combined data'!AB51-'Combined data'!AA51</f>
        <v>19</v>
      </c>
      <c r="AC51" s="90">
        <f>'Combined data'!AC51-'Combined data'!AB51</f>
        <v>9</v>
      </c>
      <c r="AD51" s="90">
        <f>'Combined data'!AD51-'Combined data'!AC51</f>
        <v>30</v>
      </c>
      <c r="AE51" s="90">
        <f>'Combined data'!AE51-'Combined data'!AD51</f>
        <v>-2138</v>
      </c>
      <c r="AF51" s="90">
        <f>'Combined data'!AF51-'Combined data'!AE51</f>
        <v>0</v>
      </c>
      <c r="AG51" s="90">
        <f>'Combined data'!AG51-'Combined data'!AF51</f>
        <v>0</v>
      </c>
      <c r="AH51" s="90">
        <f>'Combined data'!AH51-'Combined data'!AG51</f>
        <v>0</v>
      </c>
      <c r="AI51" s="90">
        <f>'Combined data'!AI51-'Combined data'!AH51</f>
        <v>0</v>
      </c>
      <c r="AJ51" s="90">
        <f>'Combined data'!AJ51-'Combined data'!AI51</f>
        <v>0</v>
      </c>
      <c r="AK51" s="90">
        <f>'Combined data'!AK51-'Combined data'!AJ51</f>
        <v>0</v>
      </c>
      <c r="AL51" s="90">
        <f>'Combined data'!AL51-'Combined data'!AK51</f>
        <v>0</v>
      </c>
      <c r="AM51" s="90">
        <f>'Combined data'!AM51-'Combined data'!AL51</f>
        <v>0</v>
      </c>
      <c r="AN51" s="90">
        <f>'Combined data'!AN51-'Combined data'!AM51</f>
        <v>0</v>
      </c>
      <c r="AO51" s="90">
        <f>'Combined data'!AO51-'Combined data'!AN51</f>
        <v>0</v>
      </c>
      <c r="AP51" s="56">
        <f t="shared" si="23"/>
        <v>0</v>
      </c>
      <c r="AQ51" s="113"/>
      <c r="AR51" s="17">
        <f>'Combined data'!AR51</f>
        <v>645</v>
      </c>
      <c r="AS51" s="17">
        <f>'Combined data'!AS51-'Combined data'!AR51</f>
        <v>108</v>
      </c>
      <c r="AT51" s="17">
        <f>'Combined data'!AT51-'Combined data'!AS51</f>
        <v>79</v>
      </c>
      <c r="AU51" s="17">
        <f>'Combined data'!AU51-'Combined data'!AT51</f>
        <v>114</v>
      </c>
      <c r="AV51" s="17">
        <f>'Combined data'!AV51-'Combined data'!AU51</f>
        <v>57</v>
      </c>
      <c r="AW51" s="17">
        <f>'Combined data'!AW51-'Combined data'!AV51</f>
        <v>76</v>
      </c>
      <c r="AX51" s="17">
        <f>'Combined data'!AX51-'Combined data'!AW51</f>
        <v>88</v>
      </c>
      <c r="AY51" s="17">
        <f>'Combined data'!AY51-'Combined data'!AX51</f>
        <v>46</v>
      </c>
      <c r="AZ51" s="17">
        <f>'Combined data'!AZ51-'Combined data'!AY51</f>
        <v>38</v>
      </c>
      <c r="BA51" s="17">
        <f>'Combined data'!BA51-'Combined data'!AZ51</f>
        <v>50</v>
      </c>
      <c r="BB51" s="17">
        <f>'Combined data'!BB51-'Combined data'!BA51</f>
        <v>52</v>
      </c>
      <c r="BC51" s="17">
        <f>'Combined data'!BC51-'Combined data'!BB51</f>
        <v>44</v>
      </c>
      <c r="BD51" s="17">
        <f>'Combined data'!BD51-'Combined data'!BC51</f>
        <v>63</v>
      </c>
      <c r="BE51" s="17">
        <f>'Combined data'!BE51-'Combined data'!BD51</f>
        <v>48</v>
      </c>
      <c r="BF51" s="17">
        <f>'Combined data'!BF51-'Combined data'!BE51</f>
        <v>30</v>
      </c>
      <c r="BG51" s="17">
        <f>'Combined data'!BG51-'Combined data'!BF51</f>
        <v>29</v>
      </c>
      <c r="BH51" s="17">
        <f>'Combined data'!BH51-'Combined data'!BG51</f>
        <v>37</v>
      </c>
      <c r="BI51" s="17">
        <f>'Combined data'!BI51-'Combined data'!BH51</f>
        <v>28</v>
      </c>
      <c r="BJ51" s="17">
        <f>'Combined data'!BJ51-'Combined data'!BI51</f>
        <v>29</v>
      </c>
      <c r="BK51" s="17">
        <f>'Combined data'!BK51-'Combined data'!BJ51</f>
        <v>28</v>
      </c>
      <c r="BL51" s="17">
        <f>'Combined data'!BL51-'Combined data'!BK51</f>
        <v>35</v>
      </c>
      <c r="BM51" s="17">
        <f>'Combined data'!BM51-'Combined data'!BL51</f>
        <v>19</v>
      </c>
      <c r="BN51" s="17">
        <f>'Combined data'!BN51-'Combined data'!BM51</f>
        <v>18</v>
      </c>
      <c r="BO51" s="17">
        <f>'Combined data'!BO51-'Combined data'!BN51</f>
        <v>-1761</v>
      </c>
      <c r="BP51" s="17">
        <f>'Combined data'!BP51-'Combined data'!BO51</f>
        <v>0</v>
      </c>
      <c r="BQ51" s="17">
        <f>'Combined data'!BQ51-'Combined data'!BP51</f>
        <v>0</v>
      </c>
      <c r="BR51" s="17">
        <f>'Combined data'!BR51-'Combined data'!BQ51</f>
        <v>0</v>
      </c>
      <c r="BS51" s="17">
        <f>'Combined data'!BS51-'Combined data'!BR51</f>
        <v>0</v>
      </c>
      <c r="BT51" s="17">
        <f>'Combined data'!BT51-'Combined data'!BS51</f>
        <v>0</v>
      </c>
      <c r="BU51" s="17">
        <f>'Combined data'!BU51-'Combined data'!BT51</f>
        <v>0</v>
      </c>
      <c r="BV51" s="17">
        <f>'Combined data'!BV51-'Combined data'!BU51</f>
        <v>0</v>
      </c>
      <c r="BW51" s="17">
        <f>'Combined data'!BW51-'Combined data'!BV51</f>
        <v>0</v>
      </c>
      <c r="BX51" s="17">
        <f>'Combined data'!BX51-'Combined data'!BW51</f>
        <v>0</v>
      </c>
      <c r="BY51" s="17">
        <f>'Combined data'!BY51-'Combined data'!BX51</f>
        <v>0</v>
      </c>
      <c r="CB51" s="17">
        <f t="shared" si="25"/>
        <v>645</v>
      </c>
      <c r="CC51" s="17">
        <f t="shared" si="26"/>
        <v>108</v>
      </c>
      <c r="CD51" s="17">
        <f t="shared" si="27"/>
        <v>79</v>
      </c>
      <c r="CE51" s="17">
        <f t="shared" si="28"/>
        <v>114</v>
      </c>
      <c r="CF51" s="17">
        <f t="shared" si="29"/>
        <v>57</v>
      </c>
      <c r="CG51" s="17">
        <f t="shared" si="30"/>
        <v>76</v>
      </c>
      <c r="CH51" s="17">
        <f t="shared" si="31"/>
        <v>88</v>
      </c>
      <c r="CI51" s="17">
        <f t="shared" si="32"/>
        <v>46</v>
      </c>
      <c r="CJ51" s="17">
        <f t="shared" si="33"/>
        <v>38</v>
      </c>
      <c r="CK51" s="17">
        <f t="shared" si="34"/>
        <v>50</v>
      </c>
      <c r="CL51" s="17">
        <f t="shared" si="35"/>
        <v>52</v>
      </c>
      <c r="CM51" s="17">
        <f t="shared" si="36"/>
        <v>44</v>
      </c>
      <c r="CN51" s="17">
        <f t="shared" si="37"/>
        <v>63</v>
      </c>
      <c r="CO51" s="17">
        <f t="shared" si="38"/>
        <v>48</v>
      </c>
      <c r="CP51" s="17">
        <f t="shared" si="39"/>
        <v>30</v>
      </c>
      <c r="CQ51" s="17">
        <f t="shared" si="40"/>
        <v>29</v>
      </c>
      <c r="CR51" s="17">
        <f t="shared" si="41"/>
        <v>37</v>
      </c>
      <c r="CS51" s="17">
        <f t="shared" si="42"/>
        <v>28</v>
      </c>
      <c r="CT51" s="17">
        <f t="shared" si="43"/>
        <v>29</v>
      </c>
      <c r="CU51" s="17">
        <f t="shared" si="44"/>
        <v>28</v>
      </c>
      <c r="CV51" s="17">
        <f t="shared" si="45"/>
        <v>35</v>
      </c>
      <c r="CW51" s="17">
        <f t="shared" si="46"/>
        <v>19</v>
      </c>
      <c r="CX51" s="17">
        <f t="shared" si="47"/>
        <v>18</v>
      </c>
      <c r="CY51" s="17">
        <f t="shared" si="47"/>
        <v>-1761</v>
      </c>
      <c r="CZ51" s="17">
        <f t="shared" si="47"/>
        <v>0</v>
      </c>
      <c r="DA51" s="17">
        <f t="shared" si="47"/>
        <v>0</v>
      </c>
      <c r="DB51" s="17">
        <f t="shared" si="47"/>
        <v>0</v>
      </c>
      <c r="DC51" s="17">
        <f t="shared" si="47"/>
        <v>0</v>
      </c>
      <c r="DD51" s="17">
        <f t="shared" si="47"/>
        <v>0</v>
      </c>
      <c r="DE51" s="17">
        <f t="shared" si="47"/>
        <v>0</v>
      </c>
      <c r="DF51" s="17">
        <f t="shared" si="47"/>
        <v>0</v>
      </c>
      <c r="DG51" s="17">
        <f t="shared" si="47"/>
        <v>0</v>
      </c>
      <c r="DH51" s="17">
        <f t="shared" si="47"/>
        <v>0</v>
      </c>
      <c r="DI51" s="17">
        <f t="shared" si="47"/>
        <v>0</v>
      </c>
    </row>
    <row r="52" spans="1:113" ht="15.75" x14ac:dyDescent="0.25">
      <c r="A52" s="6" t="s">
        <v>93</v>
      </c>
      <c r="B52" s="6" t="s">
        <v>94</v>
      </c>
      <c r="H52" s="90">
        <f>'Combined data'!H52</f>
        <v>56</v>
      </c>
      <c r="I52" s="90">
        <f>'Combined data'!I52-'Combined data'!H52</f>
        <v>13</v>
      </c>
      <c r="J52" s="90">
        <f>'Combined data'!J52-'Combined data'!I52</f>
        <v>7</v>
      </c>
      <c r="K52" s="90">
        <f>'Combined data'!K52-'Combined data'!J52</f>
        <v>2</v>
      </c>
      <c r="L52" s="90">
        <f>'Combined data'!L52-'Combined data'!K52</f>
        <v>6</v>
      </c>
      <c r="M52" s="90">
        <f>'Combined data'!M52-'Combined data'!L52</f>
        <v>2</v>
      </c>
      <c r="N52" s="90">
        <f>'Combined data'!N52-'Combined data'!M52</f>
        <v>13</v>
      </c>
      <c r="O52" s="90">
        <f>'Combined data'!O52-'Combined data'!N52</f>
        <v>4</v>
      </c>
      <c r="P52" s="90">
        <f>'Combined data'!P52-'Combined data'!O52</f>
        <v>11</v>
      </c>
      <c r="Q52" s="90">
        <f>'Combined data'!Q52-'Combined data'!P52</f>
        <v>4</v>
      </c>
      <c r="R52" s="90">
        <f>'Combined data'!R52-'Combined data'!Q52</f>
        <v>0</v>
      </c>
      <c r="S52" s="90">
        <f>'Combined data'!S52-'Combined data'!R52</f>
        <v>2</v>
      </c>
      <c r="T52" s="90">
        <f>'Combined data'!T52-'Combined data'!S52</f>
        <v>6</v>
      </c>
      <c r="U52" s="90">
        <f>'Combined data'!U52-'Combined data'!T52</f>
        <v>4</v>
      </c>
      <c r="V52" s="90">
        <f>'Combined data'!V52-'Combined data'!U52</f>
        <v>1</v>
      </c>
      <c r="W52" s="90">
        <f>'Combined data'!W52-'Combined data'!V52</f>
        <v>0</v>
      </c>
      <c r="X52" s="90">
        <f>'Combined data'!X52-'Combined data'!W52</f>
        <v>0</v>
      </c>
      <c r="Y52" s="90">
        <f>'Combined data'!Y52-'Combined data'!X52</f>
        <v>4</v>
      </c>
      <c r="Z52" s="90">
        <f>'Combined data'!Z52-'Combined data'!Y52</f>
        <v>5</v>
      </c>
      <c r="AA52" s="90">
        <f>'Combined data'!AA52-'Combined data'!Z52</f>
        <v>0</v>
      </c>
      <c r="AB52" s="90">
        <f>'Combined data'!AB52-'Combined data'!AA52</f>
        <v>1</v>
      </c>
      <c r="AC52" s="90">
        <f>'Combined data'!AC52-'Combined data'!AB52</f>
        <v>0</v>
      </c>
      <c r="AD52" s="90">
        <f>'Combined data'!AD52-'Combined data'!AC52</f>
        <v>2</v>
      </c>
      <c r="AE52" s="90">
        <f>'Combined data'!AE52-'Combined data'!AD52</f>
        <v>-143</v>
      </c>
      <c r="AF52" s="90">
        <f>'Combined data'!AF52-'Combined data'!AE52</f>
        <v>0</v>
      </c>
      <c r="AG52" s="90">
        <f>'Combined data'!AG52-'Combined data'!AF52</f>
        <v>0</v>
      </c>
      <c r="AH52" s="90">
        <f>'Combined data'!AH52-'Combined data'!AG52</f>
        <v>0</v>
      </c>
      <c r="AI52" s="90">
        <f>'Combined data'!AI52-'Combined data'!AH52</f>
        <v>0</v>
      </c>
      <c r="AJ52" s="90">
        <f>'Combined data'!AJ52-'Combined data'!AI52</f>
        <v>0</v>
      </c>
      <c r="AK52" s="90">
        <f>'Combined data'!AK52-'Combined data'!AJ52</f>
        <v>0</v>
      </c>
      <c r="AL52" s="90">
        <f>'Combined data'!AL52-'Combined data'!AK52</f>
        <v>0</v>
      </c>
      <c r="AM52" s="90">
        <f>'Combined data'!AM52-'Combined data'!AL52</f>
        <v>0</v>
      </c>
      <c r="AN52" s="90">
        <f>'Combined data'!AN52-'Combined data'!AM52</f>
        <v>0</v>
      </c>
      <c r="AO52" s="90">
        <f>'Combined data'!AO52-'Combined data'!AN52</f>
        <v>0</v>
      </c>
      <c r="AP52" s="56">
        <f t="shared" si="23"/>
        <v>0</v>
      </c>
      <c r="AQ52" s="113"/>
      <c r="AR52" s="17">
        <f>'Combined data'!AR52</f>
        <v>26</v>
      </c>
      <c r="AS52" s="17">
        <f>'Combined data'!AS52-'Combined data'!AR52</f>
        <v>3</v>
      </c>
      <c r="AT52" s="17">
        <f>'Combined data'!AT52-'Combined data'!AS52</f>
        <v>3</v>
      </c>
      <c r="AU52" s="17">
        <f>'Combined data'!AU52-'Combined data'!AT52</f>
        <v>2</v>
      </c>
      <c r="AV52" s="17">
        <f>'Combined data'!AV52-'Combined data'!AU52</f>
        <v>5</v>
      </c>
      <c r="AW52" s="17">
        <f>'Combined data'!AW52-'Combined data'!AV52</f>
        <v>5</v>
      </c>
      <c r="AX52" s="17">
        <f>'Combined data'!AX52-'Combined data'!AW52</f>
        <v>17</v>
      </c>
      <c r="AY52" s="17">
        <f>'Combined data'!AY52-'Combined data'!AX52</f>
        <v>7</v>
      </c>
      <c r="AZ52" s="17">
        <f>'Combined data'!AZ52-'Combined data'!AY52</f>
        <v>11</v>
      </c>
      <c r="BA52" s="17">
        <f>'Combined data'!BA52-'Combined data'!AZ52</f>
        <v>1</v>
      </c>
      <c r="BB52" s="17">
        <f>'Combined data'!BB52-'Combined data'!BA52</f>
        <v>3</v>
      </c>
      <c r="BC52" s="17">
        <f>'Combined data'!BC52-'Combined data'!BB52</f>
        <v>7</v>
      </c>
      <c r="BD52" s="17">
        <f>'Combined data'!BD52-'Combined data'!BC52</f>
        <v>7</v>
      </c>
      <c r="BE52" s="17">
        <f>'Combined data'!BE52-'Combined data'!BD52</f>
        <v>0</v>
      </c>
      <c r="BF52" s="17">
        <f>'Combined data'!BF52-'Combined data'!BE52</f>
        <v>5</v>
      </c>
      <c r="BG52" s="17">
        <f>'Combined data'!BG52-'Combined data'!BF52</f>
        <v>0</v>
      </c>
      <c r="BH52" s="17">
        <f>'Combined data'!BH52-'Combined data'!BG52</f>
        <v>4</v>
      </c>
      <c r="BI52" s="17">
        <f>'Combined data'!BI52-'Combined data'!BH52</f>
        <v>5</v>
      </c>
      <c r="BJ52" s="17">
        <f>'Combined data'!BJ52-'Combined data'!BI52</f>
        <v>6</v>
      </c>
      <c r="BK52" s="17">
        <f>'Combined data'!BK52-'Combined data'!BJ52</f>
        <v>0</v>
      </c>
      <c r="BL52" s="17">
        <f>'Combined data'!BL52-'Combined data'!BK52</f>
        <v>0</v>
      </c>
      <c r="BM52" s="17">
        <f>'Combined data'!BM52-'Combined data'!BL52</f>
        <v>2</v>
      </c>
      <c r="BN52" s="17">
        <f>'Combined data'!BN52-'Combined data'!BM52</f>
        <v>1</v>
      </c>
      <c r="BO52" s="17">
        <f>'Combined data'!BO52-'Combined data'!BN52</f>
        <v>-120</v>
      </c>
      <c r="BP52" s="17">
        <f>'Combined data'!BP52-'Combined data'!BO52</f>
        <v>0</v>
      </c>
      <c r="BQ52" s="17">
        <f>'Combined data'!BQ52-'Combined data'!BP52</f>
        <v>0</v>
      </c>
      <c r="BR52" s="17">
        <f>'Combined data'!BR52-'Combined data'!BQ52</f>
        <v>0</v>
      </c>
      <c r="BS52" s="17">
        <f>'Combined data'!BS52-'Combined data'!BR52</f>
        <v>0</v>
      </c>
      <c r="BT52" s="17">
        <f>'Combined data'!BT52-'Combined data'!BS52</f>
        <v>0</v>
      </c>
      <c r="BU52" s="17">
        <f>'Combined data'!BU52-'Combined data'!BT52</f>
        <v>0</v>
      </c>
      <c r="BV52" s="17">
        <f>'Combined data'!BV52-'Combined data'!BU52</f>
        <v>0</v>
      </c>
      <c r="BW52" s="17">
        <f>'Combined data'!BW52-'Combined data'!BV52</f>
        <v>0</v>
      </c>
      <c r="BX52" s="17">
        <f>'Combined data'!BX52-'Combined data'!BW52</f>
        <v>0</v>
      </c>
      <c r="BY52" s="17">
        <f>'Combined data'!BY52-'Combined data'!BX52</f>
        <v>0</v>
      </c>
      <c r="CB52" s="17">
        <f t="shared" si="25"/>
        <v>26</v>
      </c>
      <c r="CC52" s="17">
        <f t="shared" si="26"/>
        <v>3</v>
      </c>
      <c r="CD52" s="17">
        <f t="shared" si="27"/>
        <v>3</v>
      </c>
      <c r="CE52" s="17">
        <f t="shared" si="28"/>
        <v>2</v>
      </c>
      <c r="CF52" s="17">
        <f t="shared" si="29"/>
        <v>5</v>
      </c>
      <c r="CG52" s="17">
        <f t="shared" si="30"/>
        <v>5</v>
      </c>
      <c r="CH52" s="17">
        <f t="shared" si="31"/>
        <v>17</v>
      </c>
      <c r="CI52" s="17">
        <f t="shared" si="32"/>
        <v>7</v>
      </c>
      <c r="CJ52" s="17">
        <f t="shared" si="33"/>
        <v>11</v>
      </c>
      <c r="CK52" s="17">
        <f t="shared" si="34"/>
        <v>1</v>
      </c>
      <c r="CL52" s="17">
        <f t="shared" si="35"/>
        <v>3</v>
      </c>
      <c r="CM52" s="17">
        <f t="shared" si="36"/>
        <v>7</v>
      </c>
      <c r="CN52" s="17">
        <f t="shared" si="37"/>
        <v>7</v>
      </c>
      <c r="CO52" s="17">
        <f t="shared" si="38"/>
        <v>0</v>
      </c>
      <c r="CP52" s="17">
        <f t="shared" si="39"/>
        <v>5</v>
      </c>
      <c r="CQ52" s="17">
        <f t="shared" si="40"/>
        <v>0</v>
      </c>
      <c r="CR52" s="17">
        <f t="shared" si="41"/>
        <v>4</v>
      </c>
      <c r="CS52" s="17">
        <f t="shared" si="42"/>
        <v>5</v>
      </c>
      <c r="CT52" s="17">
        <f t="shared" si="43"/>
        <v>6</v>
      </c>
      <c r="CU52" s="17">
        <f t="shared" si="44"/>
        <v>0</v>
      </c>
      <c r="CV52" s="17">
        <f t="shared" si="45"/>
        <v>0</v>
      </c>
      <c r="CW52" s="17">
        <f t="shared" si="46"/>
        <v>2</v>
      </c>
      <c r="CX52" s="17">
        <f t="shared" si="47"/>
        <v>1</v>
      </c>
      <c r="CY52" s="17">
        <f t="shared" si="47"/>
        <v>-120</v>
      </c>
      <c r="CZ52" s="17">
        <f t="shared" si="47"/>
        <v>0</v>
      </c>
      <c r="DA52" s="17">
        <f t="shared" si="47"/>
        <v>0</v>
      </c>
      <c r="DB52" s="17">
        <f t="shared" si="47"/>
        <v>0</v>
      </c>
      <c r="DC52" s="17">
        <f t="shared" si="47"/>
        <v>0</v>
      </c>
      <c r="DD52" s="17">
        <f t="shared" si="47"/>
        <v>0</v>
      </c>
      <c r="DE52" s="17">
        <f t="shared" si="47"/>
        <v>0</v>
      </c>
      <c r="DF52" s="17">
        <f t="shared" si="47"/>
        <v>0</v>
      </c>
      <c r="DG52" s="17">
        <f t="shared" si="47"/>
        <v>0</v>
      </c>
      <c r="DH52" s="17">
        <f t="shared" si="47"/>
        <v>0</v>
      </c>
      <c r="DI52" s="17">
        <f t="shared" si="47"/>
        <v>0</v>
      </c>
    </row>
    <row r="53" spans="1:113" ht="15.75" x14ac:dyDescent="0.25">
      <c r="A53" s="4" t="s">
        <v>95</v>
      </c>
      <c r="B53" s="6" t="s">
        <v>96</v>
      </c>
      <c r="H53" s="90">
        <f>'Combined data'!H53</f>
        <v>773</v>
      </c>
      <c r="I53" s="90">
        <f>'Combined data'!I53-'Combined data'!H53</f>
        <v>53</v>
      </c>
      <c r="J53" s="90">
        <f>'Combined data'!J53-'Combined data'!I53</f>
        <v>44</v>
      </c>
      <c r="K53" s="90">
        <f>'Combined data'!K53-'Combined data'!J53</f>
        <v>78</v>
      </c>
      <c r="L53" s="90">
        <f>'Combined data'!L53-'Combined data'!K53</f>
        <v>29</v>
      </c>
      <c r="M53" s="90">
        <f>'Combined data'!M53-'Combined data'!L53</f>
        <v>16</v>
      </c>
      <c r="N53" s="90">
        <f>'Combined data'!N53-'Combined data'!M53</f>
        <v>57</v>
      </c>
      <c r="O53" s="90">
        <f>'Combined data'!O53-'Combined data'!N53</f>
        <v>45</v>
      </c>
      <c r="P53" s="90">
        <f>'Combined data'!P53-'Combined data'!O53</f>
        <v>34</v>
      </c>
      <c r="Q53" s="90">
        <f>'Combined data'!Q53-'Combined data'!P53</f>
        <v>32</v>
      </c>
      <c r="R53" s="90">
        <f>'Combined data'!R53-'Combined data'!Q53</f>
        <v>22</v>
      </c>
      <c r="S53" s="90">
        <f>'Combined data'!S53-'Combined data'!R53</f>
        <v>35</v>
      </c>
      <c r="T53" s="90">
        <f>'Combined data'!T53-'Combined data'!S53</f>
        <v>51</v>
      </c>
      <c r="U53" s="90">
        <f>'Combined data'!U53-'Combined data'!T53</f>
        <v>39</v>
      </c>
      <c r="V53" s="90">
        <f>'Combined data'!V53-'Combined data'!U53</f>
        <v>46</v>
      </c>
      <c r="W53" s="90">
        <f>'Combined data'!W53-'Combined data'!V53</f>
        <v>27</v>
      </c>
      <c r="X53" s="90">
        <f>'Combined data'!X53-'Combined data'!W53</f>
        <v>11</v>
      </c>
      <c r="Y53" s="90">
        <f>'Combined data'!Y53-'Combined data'!X53</f>
        <v>20</v>
      </c>
      <c r="Z53" s="90">
        <f>'Combined data'!Z53-'Combined data'!Y53</f>
        <v>28</v>
      </c>
      <c r="AA53" s="90">
        <f>'Combined data'!AA53-'Combined data'!Z53</f>
        <v>7</v>
      </c>
      <c r="AB53" s="90">
        <f>'Combined data'!AB53-'Combined data'!AA53</f>
        <v>7</v>
      </c>
      <c r="AC53" s="90">
        <f>'Combined data'!AC53-'Combined data'!AB53</f>
        <v>4</v>
      </c>
      <c r="AD53" s="90">
        <f>'Combined data'!AD53-'Combined data'!AC53</f>
        <v>27</v>
      </c>
      <c r="AE53" s="90">
        <f>'Combined data'!AE53-'Combined data'!AD53</f>
        <v>-1485</v>
      </c>
      <c r="AF53" s="90">
        <f>'Combined data'!AF53-'Combined data'!AE53</f>
        <v>0</v>
      </c>
      <c r="AG53" s="90">
        <f>'Combined data'!AG53-'Combined data'!AF53</f>
        <v>0</v>
      </c>
      <c r="AH53" s="90">
        <f>'Combined data'!AH53-'Combined data'!AG53</f>
        <v>0</v>
      </c>
      <c r="AI53" s="90">
        <f>'Combined data'!AI53-'Combined data'!AH53</f>
        <v>0</v>
      </c>
      <c r="AJ53" s="90">
        <f>'Combined data'!AJ53-'Combined data'!AI53</f>
        <v>0</v>
      </c>
      <c r="AK53" s="90">
        <f>'Combined data'!AK53-'Combined data'!AJ53</f>
        <v>0</v>
      </c>
      <c r="AL53" s="90">
        <f>'Combined data'!AL53-'Combined data'!AK53</f>
        <v>0</v>
      </c>
      <c r="AM53" s="90">
        <f>'Combined data'!AM53-'Combined data'!AL53</f>
        <v>0</v>
      </c>
      <c r="AN53" s="90">
        <f>'Combined data'!AN53-'Combined data'!AM53</f>
        <v>0</v>
      </c>
      <c r="AO53" s="90">
        <f>'Combined data'!AO53-'Combined data'!AN53</f>
        <v>0</v>
      </c>
      <c r="AP53" s="56">
        <f t="shared" si="23"/>
        <v>0</v>
      </c>
      <c r="AQ53" s="113"/>
      <c r="AR53" s="17">
        <f>'Combined data'!AR53</f>
        <v>366</v>
      </c>
      <c r="AS53" s="17">
        <f>'Combined data'!AS53-'Combined data'!AR53</f>
        <v>85</v>
      </c>
      <c r="AT53" s="17">
        <f>'Combined data'!AT53-'Combined data'!AS53</f>
        <v>63</v>
      </c>
      <c r="AU53" s="17">
        <f>'Combined data'!AU53-'Combined data'!AT53</f>
        <v>81</v>
      </c>
      <c r="AV53" s="17">
        <f>'Combined data'!AV53-'Combined data'!AU53</f>
        <v>50</v>
      </c>
      <c r="AW53" s="17">
        <f>'Combined data'!AW53-'Combined data'!AV53</f>
        <v>64</v>
      </c>
      <c r="AX53" s="17">
        <f>'Combined data'!AX53-'Combined data'!AW53</f>
        <v>55</v>
      </c>
      <c r="AY53" s="17">
        <f>'Combined data'!AY53-'Combined data'!AX53</f>
        <v>43</v>
      </c>
      <c r="AZ53" s="17">
        <f>'Combined data'!AZ53-'Combined data'!AY53</f>
        <v>36</v>
      </c>
      <c r="BA53" s="17">
        <f>'Combined data'!BA53-'Combined data'!AZ53</f>
        <v>30</v>
      </c>
      <c r="BB53" s="17">
        <f>'Combined data'!BB53-'Combined data'!BA53</f>
        <v>22</v>
      </c>
      <c r="BC53" s="17">
        <f>'Combined data'!BC53-'Combined data'!BB53</f>
        <v>53</v>
      </c>
      <c r="BD53" s="17">
        <f>'Combined data'!BD53-'Combined data'!BC53</f>
        <v>26</v>
      </c>
      <c r="BE53" s="17">
        <f>'Combined data'!BE53-'Combined data'!BD53</f>
        <v>24</v>
      </c>
      <c r="BF53" s="17">
        <f>'Combined data'!BF53-'Combined data'!BE53</f>
        <v>18</v>
      </c>
      <c r="BG53" s="17">
        <f>'Combined data'!BG53-'Combined data'!BF53</f>
        <v>23</v>
      </c>
      <c r="BH53" s="17">
        <f>'Combined data'!BH53-'Combined data'!BG53</f>
        <v>39</v>
      </c>
      <c r="BI53" s="17">
        <f>'Combined data'!BI53-'Combined data'!BH53</f>
        <v>22</v>
      </c>
      <c r="BJ53" s="17">
        <f>'Combined data'!BJ53-'Combined data'!BI53</f>
        <v>24</v>
      </c>
      <c r="BK53" s="17">
        <f>'Combined data'!BK53-'Combined data'!BJ53</f>
        <v>20</v>
      </c>
      <c r="BL53" s="17">
        <f>'Combined data'!BL53-'Combined data'!BK53</f>
        <v>35</v>
      </c>
      <c r="BM53" s="17">
        <f>'Combined data'!BM53-'Combined data'!BL53</f>
        <v>20</v>
      </c>
      <c r="BN53" s="17">
        <f>'Combined data'!BN53-'Combined data'!BM53</f>
        <v>16</v>
      </c>
      <c r="BO53" s="17">
        <f>'Combined data'!BO53-'Combined data'!BN53</f>
        <v>-1215</v>
      </c>
      <c r="BP53" s="17">
        <f>'Combined data'!BP53-'Combined data'!BO53</f>
        <v>0</v>
      </c>
      <c r="BQ53" s="17">
        <f>'Combined data'!BQ53-'Combined data'!BP53</f>
        <v>0</v>
      </c>
      <c r="BR53" s="17">
        <f>'Combined data'!BR53-'Combined data'!BQ53</f>
        <v>0</v>
      </c>
      <c r="BS53" s="17">
        <f>'Combined data'!BS53-'Combined data'!BR53</f>
        <v>0</v>
      </c>
      <c r="BT53" s="17">
        <f>'Combined data'!BT53-'Combined data'!BS53</f>
        <v>0</v>
      </c>
      <c r="BU53" s="17">
        <f>'Combined data'!BU53-'Combined data'!BT53</f>
        <v>0</v>
      </c>
      <c r="BV53" s="17">
        <f>'Combined data'!BV53-'Combined data'!BU53</f>
        <v>0</v>
      </c>
      <c r="BW53" s="17">
        <f>'Combined data'!BW53-'Combined data'!BV53</f>
        <v>0</v>
      </c>
      <c r="BX53" s="17">
        <f>'Combined data'!BX53-'Combined data'!BW53</f>
        <v>0</v>
      </c>
      <c r="BY53" s="17">
        <f>'Combined data'!BY53-'Combined data'!BX53</f>
        <v>0</v>
      </c>
      <c r="CB53" s="17">
        <f t="shared" si="25"/>
        <v>366</v>
      </c>
      <c r="CC53" s="17">
        <f t="shared" si="26"/>
        <v>85</v>
      </c>
      <c r="CD53" s="17">
        <f t="shared" si="27"/>
        <v>63</v>
      </c>
      <c r="CE53" s="17">
        <f t="shared" si="28"/>
        <v>81</v>
      </c>
      <c r="CF53" s="17">
        <f t="shared" si="29"/>
        <v>50</v>
      </c>
      <c r="CG53" s="17">
        <f t="shared" si="30"/>
        <v>64</v>
      </c>
      <c r="CH53" s="17">
        <f t="shared" si="31"/>
        <v>55</v>
      </c>
      <c r="CI53" s="17">
        <f t="shared" si="32"/>
        <v>43</v>
      </c>
      <c r="CJ53" s="17">
        <f t="shared" si="33"/>
        <v>36</v>
      </c>
      <c r="CK53" s="17">
        <f t="shared" si="34"/>
        <v>30</v>
      </c>
      <c r="CL53" s="17">
        <f t="shared" si="35"/>
        <v>22</v>
      </c>
      <c r="CM53" s="17">
        <f t="shared" si="36"/>
        <v>53</v>
      </c>
      <c r="CN53" s="17">
        <f t="shared" si="37"/>
        <v>26</v>
      </c>
      <c r="CO53" s="17">
        <f t="shared" si="38"/>
        <v>24</v>
      </c>
      <c r="CP53" s="17">
        <f t="shared" si="39"/>
        <v>18</v>
      </c>
      <c r="CQ53" s="17">
        <f t="shared" si="40"/>
        <v>23</v>
      </c>
      <c r="CR53" s="17">
        <f t="shared" si="41"/>
        <v>39</v>
      </c>
      <c r="CS53" s="17">
        <f t="shared" si="42"/>
        <v>22</v>
      </c>
      <c r="CT53" s="17">
        <f t="shared" si="43"/>
        <v>24</v>
      </c>
      <c r="CU53" s="17">
        <f t="shared" si="44"/>
        <v>20</v>
      </c>
      <c r="CV53" s="17">
        <f t="shared" si="45"/>
        <v>35</v>
      </c>
      <c r="CW53" s="17">
        <f t="shared" si="46"/>
        <v>20</v>
      </c>
      <c r="CX53" s="17">
        <f t="shared" si="47"/>
        <v>16</v>
      </c>
      <c r="CY53" s="17">
        <f t="shared" si="47"/>
        <v>-1215</v>
      </c>
      <c r="CZ53" s="17">
        <f t="shared" si="47"/>
        <v>0</v>
      </c>
      <c r="DA53" s="17">
        <f t="shared" si="47"/>
        <v>0</v>
      </c>
      <c r="DB53" s="17">
        <f t="shared" si="47"/>
        <v>0</v>
      </c>
      <c r="DC53" s="17">
        <f t="shared" si="47"/>
        <v>0</v>
      </c>
      <c r="DD53" s="17">
        <f t="shared" si="47"/>
        <v>0</v>
      </c>
      <c r="DE53" s="17">
        <f t="shared" si="47"/>
        <v>0</v>
      </c>
      <c r="DF53" s="17">
        <f t="shared" si="47"/>
        <v>0</v>
      </c>
      <c r="DG53" s="17">
        <f t="shared" si="47"/>
        <v>0</v>
      </c>
      <c r="DH53" s="17">
        <f t="shared" si="47"/>
        <v>0</v>
      </c>
      <c r="DI53" s="17">
        <f t="shared" si="47"/>
        <v>0</v>
      </c>
    </row>
    <row r="54" spans="1:113" ht="15.75" x14ac:dyDescent="0.25">
      <c r="A54" s="4" t="s">
        <v>97</v>
      </c>
      <c r="B54" s="6" t="s">
        <v>98</v>
      </c>
      <c r="H54" s="90">
        <f>'Combined data'!H54</f>
        <v>388</v>
      </c>
      <c r="I54" s="90">
        <f>'Combined data'!I54-'Combined data'!H54</f>
        <v>20</v>
      </c>
      <c r="J54" s="90">
        <f>'Combined data'!J54-'Combined data'!I54</f>
        <v>24</v>
      </c>
      <c r="K54" s="90">
        <f>'Combined data'!K54-'Combined data'!J54</f>
        <v>42</v>
      </c>
      <c r="L54" s="90">
        <f>'Combined data'!L54-'Combined data'!K54</f>
        <v>21</v>
      </c>
      <c r="M54" s="90">
        <f>'Combined data'!M54-'Combined data'!L54</f>
        <v>4</v>
      </c>
      <c r="N54" s="90">
        <f>'Combined data'!N54-'Combined data'!M54</f>
        <v>20</v>
      </c>
      <c r="O54" s="90">
        <f>'Combined data'!O54-'Combined data'!N54</f>
        <v>12</v>
      </c>
      <c r="P54" s="90">
        <f>'Combined data'!P54-'Combined data'!O54</f>
        <v>11</v>
      </c>
      <c r="Q54" s="90">
        <f>'Combined data'!Q54-'Combined data'!P54</f>
        <v>15</v>
      </c>
      <c r="R54" s="90">
        <f>'Combined data'!R54-'Combined data'!Q54</f>
        <v>2</v>
      </c>
      <c r="S54" s="90">
        <f>'Combined data'!S54-'Combined data'!R54</f>
        <v>9</v>
      </c>
      <c r="T54" s="90">
        <f>'Combined data'!T54-'Combined data'!S54</f>
        <v>17</v>
      </c>
      <c r="U54" s="90">
        <f>'Combined data'!U54-'Combined data'!T54</f>
        <v>12</v>
      </c>
      <c r="V54" s="90">
        <f>'Combined data'!V54-'Combined data'!U54</f>
        <v>22</v>
      </c>
      <c r="W54" s="90">
        <f>'Combined data'!W54-'Combined data'!V54</f>
        <v>13</v>
      </c>
      <c r="X54" s="90">
        <f>'Combined data'!X54-'Combined data'!W54</f>
        <v>4</v>
      </c>
      <c r="Y54" s="90">
        <f>'Combined data'!Y54-'Combined data'!X54</f>
        <v>6</v>
      </c>
      <c r="Z54" s="90">
        <f>'Combined data'!Z54-'Combined data'!Y54</f>
        <v>10</v>
      </c>
      <c r="AA54" s="90">
        <f>'Combined data'!AA54-'Combined data'!Z54</f>
        <v>14</v>
      </c>
      <c r="AB54" s="90">
        <f>'Combined data'!AB54-'Combined data'!AA54</f>
        <v>6</v>
      </c>
      <c r="AC54" s="90">
        <f>'Combined data'!AC54-'Combined data'!AB54</f>
        <v>4</v>
      </c>
      <c r="AD54" s="90">
        <f>'Combined data'!AD54-'Combined data'!AC54</f>
        <v>21</v>
      </c>
      <c r="AE54" s="90">
        <f>'Combined data'!AE54-'Combined data'!AD54</f>
        <v>-697</v>
      </c>
      <c r="AF54" s="90">
        <f>'Combined data'!AF54-'Combined data'!AE54</f>
        <v>0</v>
      </c>
      <c r="AG54" s="90">
        <f>'Combined data'!AG54-'Combined data'!AF54</f>
        <v>0</v>
      </c>
      <c r="AH54" s="90">
        <f>'Combined data'!AH54-'Combined data'!AG54</f>
        <v>0</v>
      </c>
      <c r="AI54" s="90">
        <f>'Combined data'!AI54-'Combined data'!AH54</f>
        <v>0</v>
      </c>
      <c r="AJ54" s="90">
        <f>'Combined data'!AJ54-'Combined data'!AI54</f>
        <v>0</v>
      </c>
      <c r="AK54" s="90">
        <f>'Combined data'!AK54-'Combined data'!AJ54</f>
        <v>0</v>
      </c>
      <c r="AL54" s="90">
        <f>'Combined data'!AL54-'Combined data'!AK54</f>
        <v>0</v>
      </c>
      <c r="AM54" s="90">
        <f>'Combined data'!AM54-'Combined data'!AL54</f>
        <v>0</v>
      </c>
      <c r="AN54" s="90">
        <f>'Combined data'!AN54-'Combined data'!AM54</f>
        <v>0</v>
      </c>
      <c r="AO54" s="90">
        <f>'Combined data'!AO54-'Combined data'!AN54</f>
        <v>0</v>
      </c>
      <c r="AP54" s="56">
        <f t="shared" si="23"/>
        <v>0</v>
      </c>
      <c r="AQ54" s="113"/>
      <c r="AR54" s="17">
        <f>'Combined data'!AR54</f>
        <v>167</v>
      </c>
      <c r="AS54" s="17">
        <f>'Combined data'!AS54-'Combined data'!AR54</f>
        <v>38</v>
      </c>
      <c r="AT54" s="17">
        <f>'Combined data'!AT54-'Combined data'!AS54</f>
        <v>21</v>
      </c>
      <c r="AU54" s="17">
        <f>'Combined data'!AU54-'Combined data'!AT54</f>
        <v>26</v>
      </c>
      <c r="AV54" s="17">
        <f>'Combined data'!AV54-'Combined data'!AU54</f>
        <v>18</v>
      </c>
      <c r="AW54" s="17">
        <f>'Combined data'!AW54-'Combined data'!AV54</f>
        <v>33</v>
      </c>
      <c r="AX54" s="17">
        <f>'Combined data'!AX54-'Combined data'!AW54</f>
        <v>38</v>
      </c>
      <c r="AY54" s="17">
        <f>'Combined data'!AY54-'Combined data'!AX54</f>
        <v>23</v>
      </c>
      <c r="AZ54" s="17">
        <f>'Combined data'!AZ54-'Combined data'!AY54</f>
        <v>8</v>
      </c>
      <c r="BA54" s="17">
        <f>'Combined data'!BA54-'Combined data'!AZ54</f>
        <v>11</v>
      </c>
      <c r="BB54" s="17">
        <f>'Combined data'!BB54-'Combined data'!BA54</f>
        <v>9</v>
      </c>
      <c r="BC54" s="17">
        <f>'Combined data'!BC54-'Combined data'!BB54</f>
        <v>16</v>
      </c>
      <c r="BD54" s="17">
        <f>'Combined data'!BD54-'Combined data'!BC54</f>
        <v>13</v>
      </c>
      <c r="BE54" s="17">
        <f>'Combined data'!BE54-'Combined data'!BD54</f>
        <v>8</v>
      </c>
      <c r="BF54" s="17">
        <f>'Combined data'!BF54-'Combined data'!BE54</f>
        <v>20</v>
      </c>
      <c r="BG54" s="17">
        <f>'Combined data'!BG54-'Combined data'!BF54</f>
        <v>4</v>
      </c>
      <c r="BH54" s="17">
        <f>'Combined data'!BH54-'Combined data'!BG54</f>
        <v>8</v>
      </c>
      <c r="BI54" s="17">
        <f>'Combined data'!BI54-'Combined data'!BH54</f>
        <v>5</v>
      </c>
      <c r="BJ54" s="17">
        <f>'Combined data'!BJ54-'Combined data'!BI54</f>
        <v>13</v>
      </c>
      <c r="BK54" s="17">
        <f>'Combined data'!BK54-'Combined data'!BJ54</f>
        <v>5</v>
      </c>
      <c r="BL54" s="17">
        <f>'Combined data'!BL54-'Combined data'!BK54</f>
        <v>13</v>
      </c>
      <c r="BM54" s="17">
        <f>'Combined data'!BM54-'Combined data'!BL54</f>
        <v>0</v>
      </c>
      <c r="BN54" s="17">
        <f>'Combined data'!BN54-'Combined data'!BM54</f>
        <v>17</v>
      </c>
      <c r="BO54" s="17">
        <f>'Combined data'!BO54-'Combined data'!BN54</f>
        <v>-514</v>
      </c>
      <c r="BP54" s="17">
        <f>'Combined data'!BP54-'Combined data'!BO54</f>
        <v>0</v>
      </c>
      <c r="BQ54" s="17">
        <f>'Combined data'!BQ54-'Combined data'!BP54</f>
        <v>0</v>
      </c>
      <c r="BR54" s="17">
        <f>'Combined data'!BR54-'Combined data'!BQ54</f>
        <v>0</v>
      </c>
      <c r="BS54" s="17">
        <f>'Combined data'!BS54-'Combined data'!BR54</f>
        <v>0</v>
      </c>
      <c r="BT54" s="17">
        <f>'Combined data'!BT54-'Combined data'!BS54</f>
        <v>0</v>
      </c>
      <c r="BU54" s="17">
        <f>'Combined data'!BU54-'Combined data'!BT54</f>
        <v>0</v>
      </c>
      <c r="BV54" s="17">
        <f>'Combined data'!BV54-'Combined data'!BU54</f>
        <v>0</v>
      </c>
      <c r="BW54" s="17">
        <f>'Combined data'!BW54-'Combined data'!BV54</f>
        <v>0</v>
      </c>
      <c r="BX54" s="17">
        <f>'Combined data'!BX54-'Combined data'!BW54</f>
        <v>0</v>
      </c>
      <c r="BY54" s="17">
        <f>'Combined data'!BY54-'Combined data'!BX54</f>
        <v>0</v>
      </c>
      <c r="CB54" s="17">
        <f t="shared" si="25"/>
        <v>167</v>
      </c>
      <c r="CC54" s="17">
        <f t="shared" si="26"/>
        <v>38</v>
      </c>
      <c r="CD54" s="17">
        <f t="shared" si="27"/>
        <v>21</v>
      </c>
      <c r="CE54" s="17">
        <f t="shared" si="28"/>
        <v>26</v>
      </c>
      <c r="CF54" s="17">
        <f t="shared" si="29"/>
        <v>18</v>
      </c>
      <c r="CG54" s="17">
        <f t="shared" si="30"/>
        <v>33</v>
      </c>
      <c r="CH54" s="17">
        <f t="shared" si="31"/>
        <v>38</v>
      </c>
      <c r="CI54" s="17">
        <f t="shared" si="32"/>
        <v>23</v>
      </c>
      <c r="CJ54" s="17">
        <f t="shared" si="33"/>
        <v>8</v>
      </c>
      <c r="CK54" s="17">
        <f t="shared" si="34"/>
        <v>11</v>
      </c>
      <c r="CL54" s="17">
        <f t="shared" si="35"/>
        <v>9</v>
      </c>
      <c r="CM54" s="17">
        <f t="shared" si="36"/>
        <v>16</v>
      </c>
      <c r="CN54" s="17">
        <f t="shared" si="37"/>
        <v>13</v>
      </c>
      <c r="CO54" s="17">
        <f t="shared" si="38"/>
        <v>8</v>
      </c>
      <c r="CP54" s="17">
        <f t="shared" si="39"/>
        <v>20</v>
      </c>
      <c r="CQ54" s="17">
        <f t="shared" si="40"/>
        <v>4</v>
      </c>
      <c r="CR54" s="17">
        <f t="shared" si="41"/>
        <v>8</v>
      </c>
      <c r="CS54" s="17">
        <f t="shared" si="42"/>
        <v>5</v>
      </c>
      <c r="CT54" s="17">
        <f t="shared" si="43"/>
        <v>13</v>
      </c>
      <c r="CU54" s="17">
        <f t="shared" si="44"/>
        <v>5</v>
      </c>
      <c r="CV54" s="17">
        <f t="shared" si="45"/>
        <v>13</v>
      </c>
      <c r="CW54" s="17">
        <f t="shared" si="46"/>
        <v>0</v>
      </c>
      <c r="CX54" s="17">
        <f t="shared" si="47"/>
        <v>17</v>
      </c>
      <c r="CY54" s="17">
        <f t="shared" si="47"/>
        <v>-514</v>
      </c>
      <c r="CZ54" s="17">
        <f t="shared" si="47"/>
        <v>0</v>
      </c>
      <c r="DA54" s="17">
        <f t="shared" si="47"/>
        <v>0</v>
      </c>
      <c r="DB54" s="17">
        <f t="shared" si="47"/>
        <v>0</v>
      </c>
      <c r="DC54" s="17">
        <f t="shared" si="47"/>
        <v>0</v>
      </c>
      <c r="DD54" s="17">
        <f t="shared" si="47"/>
        <v>0</v>
      </c>
      <c r="DE54" s="17">
        <f t="shared" si="47"/>
        <v>0</v>
      </c>
      <c r="DF54" s="17">
        <f t="shared" si="47"/>
        <v>0</v>
      </c>
      <c r="DG54" s="17">
        <f t="shared" si="47"/>
        <v>0</v>
      </c>
      <c r="DH54" s="17">
        <f t="shared" si="47"/>
        <v>0</v>
      </c>
      <c r="DI54" s="17">
        <f t="shared" si="47"/>
        <v>0</v>
      </c>
    </row>
    <row r="55" spans="1:113" ht="15.75" x14ac:dyDescent="0.25">
      <c r="A55" s="4" t="s">
        <v>99</v>
      </c>
      <c r="B55" s="6" t="s">
        <v>100</v>
      </c>
      <c r="H55" s="90">
        <f>'Combined data'!H55</f>
        <v>198</v>
      </c>
      <c r="I55" s="90">
        <f>'Combined data'!I55-'Combined data'!H55</f>
        <v>14</v>
      </c>
      <c r="J55" s="90">
        <f>'Combined data'!J55-'Combined data'!I55</f>
        <v>15</v>
      </c>
      <c r="K55" s="90">
        <f>'Combined data'!K55-'Combined data'!J55</f>
        <v>14</v>
      </c>
      <c r="L55" s="90">
        <f>'Combined data'!L55-'Combined data'!K55</f>
        <v>9</v>
      </c>
      <c r="M55" s="90">
        <f>'Combined data'!M55-'Combined data'!L55</f>
        <v>9</v>
      </c>
      <c r="N55" s="90">
        <f>'Combined data'!N55-'Combined data'!M55</f>
        <v>15</v>
      </c>
      <c r="O55" s="90">
        <f>'Combined data'!O55-'Combined data'!N55</f>
        <v>3</v>
      </c>
      <c r="P55" s="90">
        <f>'Combined data'!P55-'Combined data'!O55</f>
        <v>11</v>
      </c>
      <c r="Q55" s="90">
        <f>'Combined data'!Q55-'Combined data'!P55</f>
        <v>4</v>
      </c>
      <c r="R55" s="90">
        <f>'Combined data'!R55-'Combined data'!Q55</f>
        <v>1</v>
      </c>
      <c r="S55" s="90">
        <f>'Combined data'!S55-'Combined data'!R55</f>
        <v>9</v>
      </c>
      <c r="T55" s="90">
        <f>'Combined data'!T55-'Combined data'!S55</f>
        <v>11</v>
      </c>
      <c r="U55" s="90">
        <f>'Combined data'!U55-'Combined data'!T55</f>
        <v>4</v>
      </c>
      <c r="V55" s="90">
        <f>'Combined data'!V55-'Combined data'!U55</f>
        <v>8</v>
      </c>
      <c r="W55" s="90">
        <f>'Combined data'!W55-'Combined data'!V55</f>
        <v>3</v>
      </c>
      <c r="X55" s="90">
        <f>'Combined data'!X55-'Combined data'!W55</f>
        <v>4</v>
      </c>
      <c r="Y55" s="90">
        <f>'Combined data'!Y55-'Combined data'!X55</f>
        <v>4</v>
      </c>
      <c r="Z55" s="90">
        <f>'Combined data'!Z55-'Combined data'!Y55</f>
        <v>9</v>
      </c>
      <c r="AA55" s="90">
        <f>'Combined data'!AA55-'Combined data'!Z55</f>
        <v>5</v>
      </c>
      <c r="AB55" s="90">
        <f>'Combined data'!AB55-'Combined data'!AA55</f>
        <v>4</v>
      </c>
      <c r="AC55" s="90">
        <f>'Combined data'!AC55-'Combined data'!AB55</f>
        <v>0</v>
      </c>
      <c r="AD55" s="90">
        <f>'Combined data'!AD55-'Combined data'!AC55</f>
        <v>5</v>
      </c>
      <c r="AE55" s="90">
        <f>'Combined data'!AE55-'Combined data'!AD55</f>
        <v>-359</v>
      </c>
      <c r="AF55" s="90">
        <f>'Combined data'!AF55-'Combined data'!AE55</f>
        <v>0</v>
      </c>
      <c r="AG55" s="90">
        <f>'Combined data'!AG55-'Combined data'!AF55</f>
        <v>0</v>
      </c>
      <c r="AH55" s="90">
        <f>'Combined data'!AH55-'Combined data'!AG55</f>
        <v>0</v>
      </c>
      <c r="AI55" s="90">
        <f>'Combined data'!AI55-'Combined data'!AH55</f>
        <v>0</v>
      </c>
      <c r="AJ55" s="90">
        <f>'Combined data'!AJ55-'Combined data'!AI55</f>
        <v>0</v>
      </c>
      <c r="AK55" s="90">
        <f>'Combined data'!AK55-'Combined data'!AJ55</f>
        <v>0</v>
      </c>
      <c r="AL55" s="90">
        <f>'Combined data'!AL55-'Combined data'!AK55</f>
        <v>0</v>
      </c>
      <c r="AM55" s="90">
        <f>'Combined data'!AM55-'Combined data'!AL55</f>
        <v>0</v>
      </c>
      <c r="AN55" s="90">
        <f>'Combined data'!AN55-'Combined data'!AM55</f>
        <v>0</v>
      </c>
      <c r="AO55" s="90">
        <f>'Combined data'!AO55-'Combined data'!AN55</f>
        <v>0</v>
      </c>
      <c r="AP55" s="56">
        <f t="shared" si="23"/>
        <v>0</v>
      </c>
      <c r="AQ55" s="113"/>
      <c r="AR55" s="17">
        <f>'Combined data'!AR55</f>
        <v>109</v>
      </c>
      <c r="AS55" s="17">
        <f>'Combined data'!AS55-'Combined data'!AR55</f>
        <v>6</v>
      </c>
      <c r="AT55" s="17">
        <f>'Combined data'!AT55-'Combined data'!AS55</f>
        <v>14</v>
      </c>
      <c r="AU55" s="17">
        <f>'Combined data'!AU55-'Combined data'!AT55</f>
        <v>10</v>
      </c>
      <c r="AV55" s="17">
        <f>'Combined data'!AV55-'Combined data'!AU55</f>
        <v>7</v>
      </c>
      <c r="AW55" s="17">
        <f>'Combined data'!AW55-'Combined data'!AV55</f>
        <v>19</v>
      </c>
      <c r="AX55" s="17">
        <f>'Combined data'!AX55-'Combined data'!AW55</f>
        <v>11</v>
      </c>
      <c r="AY55" s="17">
        <f>'Combined data'!AY55-'Combined data'!AX55</f>
        <v>10</v>
      </c>
      <c r="AZ55" s="17">
        <f>'Combined data'!AZ55-'Combined data'!AY55</f>
        <v>15</v>
      </c>
      <c r="BA55" s="17">
        <f>'Combined data'!BA55-'Combined data'!AZ55</f>
        <v>5</v>
      </c>
      <c r="BB55" s="17">
        <f>'Combined data'!BB55-'Combined data'!BA55</f>
        <v>8</v>
      </c>
      <c r="BC55" s="17">
        <f>'Combined data'!BC55-'Combined data'!BB55</f>
        <v>5</v>
      </c>
      <c r="BD55" s="17">
        <f>'Combined data'!BD55-'Combined data'!BC55</f>
        <v>10</v>
      </c>
      <c r="BE55" s="17">
        <f>'Combined data'!BE55-'Combined data'!BD55</f>
        <v>5</v>
      </c>
      <c r="BF55" s="17">
        <f>'Combined data'!BF55-'Combined data'!BE55</f>
        <v>1</v>
      </c>
      <c r="BG55" s="17">
        <f>'Combined data'!BG55-'Combined data'!BF55</f>
        <v>3</v>
      </c>
      <c r="BH55" s="17">
        <f>'Combined data'!BH55-'Combined data'!BG55</f>
        <v>6</v>
      </c>
      <c r="BI55" s="17">
        <f>'Combined data'!BI55-'Combined data'!BH55</f>
        <v>5</v>
      </c>
      <c r="BJ55" s="17">
        <f>'Combined data'!BJ55-'Combined data'!BI55</f>
        <v>6</v>
      </c>
      <c r="BK55" s="17">
        <f>'Combined data'!BK55-'Combined data'!BJ55</f>
        <v>5</v>
      </c>
      <c r="BL55" s="17">
        <f>'Combined data'!BL55-'Combined data'!BK55</f>
        <v>13</v>
      </c>
      <c r="BM55" s="17">
        <f>'Combined data'!BM55-'Combined data'!BL55</f>
        <v>2</v>
      </c>
      <c r="BN55" s="17">
        <f>'Combined data'!BN55-'Combined data'!BM55</f>
        <v>5</v>
      </c>
      <c r="BO55" s="17">
        <f>'Combined data'!BO55-'Combined data'!BN55</f>
        <v>-280</v>
      </c>
      <c r="BP55" s="17">
        <f>'Combined data'!BP55-'Combined data'!BO55</f>
        <v>0</v>
      </c>
      <c r="BQ55" s="17">
        <f>'Combined data'!BQ55-'Combined data'!BP55</f>
        <v>0</v>
      </c>
      <c r="BR55" s="17">
        <f>'Combined data'!BR55-'Combined data'!BQ55</f>
        <v>0</v>
      </c>
      <c r="BS55" s="17">
        <f>'Combined data'!BS55-'Combined data'!BR55</f>
        <v>0</v>
      </c>
      <c r="BT55" s="17">
        <f>'Combined data'!BT55-'Combined data'!BS55</f>
        <v>0</v>
      </c>
      <c r="BU55" s="17">
        <f>'Combined data'!BU55-'Combined data'!BT55</f>
        <v>0</v>
      </c>
      <c r="BV55" s="17">
        <f>'Combined data'!BV55-'Combined data'!BU55</f>
        <v>0</v>
      </c>
      <c r="BW55" s="17">
        <f>'Combined data'!BW55-'Combined data'!BV55</f>
        <v>0</v>
      </c>
      <c r="BX55" s="17">
        <f>'Combined data'!BX55-'Combined data'!BW55</f>
        <v>0</v>
      </c>
      <c r="BY55" s="17">
        <f>'Combined data'!BY55-'Combined data'!BX55</f>
        <v>0</v>
      </c>
      <c r="CB55" s="17">
        <f t="shared" si="25"/>
        <v>109</v>
      </c>
      <c r="CC55" s="17">
        <f t="shared" si="26"/>
        <v>6</v>
      </c>
      <c r="CD55" s="17">
        <f t="shared" si="27"/>
        <v>14</v>
      </c>
      <c r="CE55" s="17">
        <f t="shared" si="28"/>
        <v>10</v>
      </c>
      <c r="CF55" s="17">
        <f t="shared" si="29"/>
        <v>7</v>
      </c>
      <c r="CG55" s="17">
        <f t="shared" si="30"/>
        <v>19</v>
      </c>
      <c r="CH55" s="17">
        <f t="shared" si="31"/>
        <v>11</v>
      </c>
      <c r="CI55" s="17">
        <f t="shared" si="32"/>
        <v>10</v>
      </c>
      <c r="CJ55" s="17">
        <f t="shared" si="33"/>
        <v>15</v>
      </c>
      <c r="CK55" s="17">
        <f t="shared" si="34"/>
        <v>5</v>
      </c>
      <c r="CL55" s="17">
        <f t="shared" si="35"/>
        <v>8</v>
      </c>
      <c r="CM55" s="17">
        <f t="shared" si="36"/>
        <v>5</v>
      </c>
      <c r="CN55" s="17">
        <f t="shared" si="37"/>
        <v>10</v>
      </c>
      <c r="CO55" s="17">
        <f t="shared" si="38"/>
        <v>5</v>
      </c>
      <c r="CP55" s="17">
        <f t="shared" si="39"/>
        <v>1</v>
      </c>
      <c r="CQ55" s="17">
        <f t="shared" si="40"/>
        <v>3</v>
      </c>
      <c r="CR55" s="17">
        <f t="shared" si="41"/>
        <v>6</v>
      </c>
      <c r="CS55" s="17">
        <f t="shared" si="42"/>
        <v>5</v>
      </c>
      <c r="CT55" s="17">
        <f t="shared" si="43"/>
        <v>6</v>
      </c>
      <c r="CU55" s="17">
        <f t="shared" si="44"/>
        <v>5</v>
      </c>
      <c r="CV55" s="17">
        <f t="shared" si="45"/>
        <v>13</v>
      </c>
      <c r="CW55" s="17">
        <f t="shared" si="46"/>
        <v>2</v>
      </c>
      <c r="CX55" s="17">
        <f t="shared" si="47"/>
        <v>5</v>
      </c>
      <c r="CY55" s="17">
        <f t="shared" si="47"/>
        <v>-280</v>
      </c>
      <c r="CZ55" s="17">
        <f t="shared" si="47"/>
        <v>0</v>
      </c>
      <c r="DA55" s="17">
        <f t="shared" si="47"/>
        <v>0</v>
      </c>
      <c r="DB55" s="17">
        <f t="shared" si="47"/>
        <v>0</v>
      </c>
      <c r="DC55" s="17">
        <f t="shared" si="47"/>
        <v>0</v>
      </c>
      <c r="DD55" s="17">
        <f t="shared" si="47"/>
        <v>0</v>
      </c>
      <c r="DE55" s="17">
        <f t="shared" si="47"/>
        <v>0</v>
      </c>
      <c r="DF55" s="17">
        <f t="shared" si="47"/>
        <v>0</v>
      </c>
      <c r="DG55" s="17">
        <f t="shared" si="47"/>
        <v>0</v>
      </c>
      <c r="DH55" s="17">
        <f t="shared" si="47"/>
        <v>0</v>
      </c>
      <c r="DI55" s="17">
        <f t="shared" si="47"/>
        <v>0</v>
      </c>
    </row>
    <row r="56" spans="1:113" ht="15.75" x14ac:dyDescent="0.25">
      <c r="A56" s="4" t="s">
        <v>101</v>
      </c>
      <c r="B56" s="6" t="s">
        <v>102</v>
      </c>
      <c r="H56" s="90">
        <f>'Combined data'!H56</f>
        <v>33</v>
      </c>
      <c r="I56" s="90">
        <f>'Combined data'!I56-'Combined data'!H56</f>
        <v>0</v>
      </c>
      <c r="J56" s="90">
        <f>'Combined data'!J56-'Combined data'!I56</f>
        <v>5</v>
      </c>
      <c r="K56" s="90">
        <f>'Combined data'!K56-'Combined data'!J56</f>
        <v>1</v>
      </c>
      <c r="L56" s="90">
        <f>'Combined data'!L56-'Combined data'!K56</f>
        <v>0</v>
      </c>
      <c r="M56" s="90">
        <f>'Combined data'!M56-'Combined data'!L56</f>
        <v>0</v>
      </c>
      <c r="N56" s="90">
        <f>'Combined data'!N56-'Combined data'!M56</f>
        <v>2</v>
      </c>
      <c r="O56" s="90">
        <f>'Combined data'!O56-'Combined data'!N56</f>
        <v>0</v>
      </c>
      <c r="P56" s="90">
        <f>'Combined data'!P56-'Combined data'!O56</f>
        <v>2</v>
      </c>
      <c r="Q56" s="90">
        <f>'Combined data'!Q56-'Combined data'!P56</f>
        <v>0</v>
      </c>
      <c r="R56" s="90">
        <f>'Combined data'!R56-'Combined data'!Q56</f>
        <v>2</v>
      </c>
      <c r="S56" s="90">
        <f>'Combined data'!S56-'Combined data'!R56</f>
        <v>0</v>
      </c>
      <c r="T56" s="90">
        <f>'Combined data'!T56-'Combined data'!S56</f>
        <v>0</v>
      </c>
      <c r="U56" s="90">
        <f>'Combined data'!U56-'Combined data'!T56</f>
        <v>0</v>
      </c>
      <c r="V56" s="90">
        <f>'Combined data'!V56-'Combined data'!U56</f>
        <v>2</v>
      </c>
      <c r="W56" s="90">
        <f>'Combined data'!W56-'Combined data'!V56</f>
        <v>0</v>
      </c>
      <c r="X56" s="90">
        <f>'Combined data'!X56-'Combined data'!W56</f>
        <v>0</v>
      </c>
      <c r="Y56" s="90">
        <f>'Combined data'!Y56-'Combined data'!X56</f>
        <v>0</v>
      </c>
      <c r="Z56" s="90">
        <f>'Combined data'!Z56-'Combined data'!Y56</f>
        <v>3</v>
      </c>
      <c r="AA56" s="90">
        <f>'Combined data'!AA56-'Combined data'!Z56</f>
        <v>0</v>
      </c>
      <c r="AB56" s="90">
        <f>'Combined data'!AB56-'Combined data'!AA56</f>
        <v>5</v>
      </c>
      <c r="AC56" s="90">
        <f>'Combined data'!AC56-'Combined data'!AB56</f>
        <v>-6</v>
      </c>
      <c r="AD56" s="90">
        <f>'Combined data'!AD56-'Combined data'!AC56</f>
        <v>2</v>
      </c>
      <c r="AE56" s="90">
        <f>'Combined data'!AE56-'Combined data'!AD56</f>
        <v>-51</v>
      </c>
      <c r="AF56" s="90">
        <f>'Combined data'!AF56-'Combined data'!AE56</f>
        <v>0</v>
      </c>
      <c r="AG56" s="90">
        <f>'Combined data'!AG56-'Combined data'!AF56</f>
        <v>0</v>
      </c>
      <c r="AH56" s="90">
        <f>'Combined data'!AH56-'Combined data'!AG56</f>
        <v>0</v>
      </c>
      <c r="AI56" s="90">
        <f>'Combined data'!AI56-'Combined data'!AH56</f>
        <v>0</v>
      </c>
      <c r="AJ56" s="90">
        <f>'Combined data'!AJ56-'Combined data'!AI56</f>
        <v>0</v>
      </c>
      <c r="AK56" s="90">
        <f>'Combined data'!AK56-'Combined data'!AJ56</f>
        <v>0</v>
      </c>
      <c r="AL56" s="90">
        <f>'Combined data'!AL56-'Combined data'!AK56</f>
        <v>0</v>
      </c>
      <c r="AM56" s="90">
        <f>'Combined data'!AM56-'Combined data'!AL56</f>
        <v>0</v>
      </c>
      <c r="AN56" s="90">
        <f>'Combined data'!AN56-'Combined data'!AM56</f>
        <v>0</v>
      </c>
      <c r="AO56" s="90">
        <f>'Combined data'!AO56-'Combined data'!AN56</f>
        <v>0</v>
      </c>
      <c r="AP56" s="56">
        <f t="shared" si="23"/>
        <v>0</v>
      </c>
      <c r="AQ56" s="113"/>
      <c r="AR56" s="17">
        <f>'Combined data'!AR56</f>
        <v>17</v>
      </c>
      <c r="AS56" s="17">
        <f>'Combined data'!AS56-'Combined data'!AR56</f>
        <v>8</v>
      </c>
      <c r="AT56" s="17">
        <f>'Combined data'!AT56-'Combined data'!AS56</f>
        <v>0</v>
      </c>
      <c r="AU56" s="17">
        <f>'Combined data'!AU56-'Combined data'!AT56</f>
        <v>4</v>
      </c>
      <c r="AV56" s="17">
        <f>'Combined data'!AV56-'Combined data'!AU56</f>
        <v>1</v>
      </c>
      <c r="AW56" s="17">
        <f>'Combined data'!AW56-'Combined data'!AV56</f>
        <v>2</v>
      </c>
      <c r="AX56" s="17">
        <f>'Combined data'!AX56-'Combined data'!AW56</f>
        <v>8</v>
      </c>
      <c r="AY56" s="17">
        <f>'Combined data'!AY56-'Combined data'!AX56</f>
        <v>0</v>
      </c>
      <c r="AZ56" s="17">
        <f>'Combined data'!AZ56-'Combined data'!AY56</f>
        <v>0</v>
      </c>
      <c r="BA56" s="17">
        <f>'Combined data'!BA56-'Combined data'!AZ56</f>
        <v>0</v>
      </c>
      <c r="BB56" s="17">
        <f>'Combined data'!BB56-'Combined data'!BA56</f>
        <v>5</v>
      </c>
      <c r="BC56" s="17">
        <f>'Combined data'!BC56-'Combined data'!BB56</f>
        <v>-8</v>
      </c>
      <c r="BD56" s="17">
        <f>'Combined data'!BD56-'Combined data'!BC56</f>
        <v>8</v>
      </c>
      <c r="BE56" s="17">
        <f>'Combined data'!BE56-'Combined data'!BD56</f>
        <v>0</v>
      </c>
      <c r="BF56" s="17">
        <f>'Combined data'!BF56-'Combined data'!BE56</f>
        <v>0</v>
      </c>
      <c r="BG56" s="17">
        <f>'Combined data'!BG56-'Combined data'!BF56</f>
        <v>0</v>
      </c>
      <c r="BH56" s="17">
        <f>'Combined data'!BH56-'Combined data'!BG56</f>
        <v>0</v>
      </c>
      <c r="BI56" s="17">
        <f>'Combined data'!BI56-'Combined data'!BH56</f>
        <v>0</v>
      </c>
      <c r="BJ56" s="17">
        <f>'Combined data'!BJ56-'Combined data'!BI56</f>
        <v>5</v>
      </c>
      <c r="BK56" s="17">
        <f>'Combined data'!BK56-'Combined data'!BJ56</f>
        <v>0</v>
      </c>
      <c r="BL56" s="17">
        <f>'Combined data'!BL56-'Combined data'!BK56</f>
        <v>5</v>
      </c>
      <c r="BM56" s="17">
        <f>'Combined data'!BM56-'Combined data'!BL56</f>
        <v>-12</v>
      </c>
      <c r="BN56" s="17">
        <f>'Combined data'!BN56-'Combined data'!BM56</f>
        <v>0</v>
      </c>
      <c r="BO56" s="17">
        <f>'Combined data'!BO56-'Combined data'!BN56</f>
        <v>-43</v>
      </c>
      <c r="BP56" s="17">
        <f>'Combined data'!BP56-'Combined data'!BO56</f>
        <v>0</v>
      </c>
      <c r="BQ56" s="17">
        <f>'Combined data'!BQ56-'Combined data'!BP56</f>
        <v>0</v>
      </c>
      <c r="BR56" s="17">
        <f>'Combined data'!BR56-'Combined data'!BQ56</f>
        <v>0</v>
      </c>
      <c r="BS56" s="17">
        <f>'Combined data'!BS56-'Combined data'!BR56</f>
        <v>0</v>
      </c>
      <c r="BT56" s="17">
        <f>'Combined data'!BT56-'Combined data'!BS56</f>
        <v>0</v>
      </c>
      <c r="BU56" s="17">
        <f>'Combined data'!BU56-'Combined data'!BT56</f>
        <v>0</v>
      </c>
      <c r="BV56" s="17">
        <f>'Combined data'!BV56-'Combined data'!BU56</f>
        <v>0</v>
      </c>
      <c r="BW56" s="17">
        <f>'Combined data'!BW56-'Combined data'!BV56</f>
        <v>0</v>
      </c>
      <c r="BX56" s="17">
        <f>'Combined data'!BX56-'Combined data'!BW56</f>
        <v>0</v>
      </c>
      <c r="BY56" s="17">
        <f>'Combined data'!BY56-'Combined data'!BX56</f>
        <v>0</v>
      </c>
      <c r="CB56" s="17">
        <f t="shared" si="25"/>
        <v>17</v>
      </c>
      <c r="CC56" s="17">
        <f t="shared" si="26"/>
        <v>8</v>
      </c>
      <c r="CD56" s="17">
        <f t="shared" si="27"/>
        <v>0</v>
      </c>
      <c r="CE56" s="17">
        <f t="shared" si="28"/>
        <v>4</v>
      </c>
      <c r="CF56" s="17">
        <f t="shared" si="29"/>
        <v>1</v>
      </c>
      <c r="CG56" s="17">
        <f t="shared" si="30"/>
        <v>2</v>
      </c>
      <c r="CH56" s="17">
        <f t="shared" si="31"/>
        <v>8</v>
      </c>
      <c r="CI56" s="17">
        <f t="shared" si="32"/>
        <v>0</v>
      </c>
      <c r="CJ56" s="17">
        <f t="shared" si="33"/>
        <v>0</v>
      </c>
      <c r="CK56" s="17">
        <f t="shared" si="34"/>
        <v>0</v>
      </c>
      <c r="CL56" s="17">
        <f t="shared" si="35"/>
        <v>5</v>
      </c>
      <c r="CM56" s="17">
        <f t="shared" si="36"/>
        <v>-8</v>
      </c>
      <c r="CN56" s="17">
        <f t="shared" si="37"/>
        <v>8</v>
      </c>
      <c r="CO56" s="17">
        <f t="shared" si="38"/>
        <v>0</v>
      </c>
      <c r="CP56" s="17">
        <f t="shared" si="39"/>
        <v>0</v>
      </c>
      <c r="CQ56" s="17">
        <f t="shared" si="40"/>
        <v>0</v>
      </c>
      <c r="CR56" s="17">
        <f t="shared" si="41"/>
        <v>0</v>
      </c>
      <c r="CS56" s="17">
        <f t="shared" si="42"/>
        <v>0</v>
      </c>
      <c r="CT56" s="17">
        <f t="shared" si="43"/>
        <v>5</v>
      </c>
      <c r="CU56" s="17">
        <f t="shared" si="44"/>
        <v>0</v>
      </c>
      <c r="CV56" s="17">
        <f t="shared" si="45"/>
        <v>5</v>
      </c>
      <c r="CW56" s="17">
        <f t="shared" si="46"/>
        <v>-12</v>
      </c>
      <c r="CX56" s="17">
        <f t="shared" si="47"/>
        <v>0</v>
      </c>
      <c r="CY56" s="17">
        <f t="shared" si="47"/>
        <v>-43</v>
      </c>
      <c r="CZ56" s="17">
        <f t="shared" si="47"/>
        <v>0</v>
      </c>
      <c r="DA56" s="17">
        <f t="shared" si="47"/>
        <v>0</v>
      </c>
      <c r="DB56" s="17">
        <f t="shared" si="47"/>
        <v>0</v>
      </c>
      <c r="DC56" s="17">
        <f t="shared" si="47"/>
        <v>0</v>
      </c>
      <c r="DD56" s="17">
        <f t="shared" si="47"/>
        <v>0</v>
      </c>
      <c r="DE56" s="17">
        <f t="shared" si="47"/>
        <v>0</v>
      </c>
      <c r="DF56" s="17">
        <f t="shared" si="47"/>
        <v>0</v>
      </c>
      <c r="DG56" s="17">
        <f t="shared" si="47"/>
        <v>0</v>
      </c>
      <c r="DH56" s="17">
        <f t="shared" si="47"/>
        <v>0</v>
      </c>
      <c r="DI56" s="17">
        <f t="shared" si="47"/>
        <v>0</v>
      </c>
    </row>
    <row r="57" spans="1:113" ht="15.75" x14ac:dyDescent="0.25">
      <c r="A57" s="4" t="s">
        <v>103</v>
      </c>
      <c r="B57" s="6" t="s">
        <v>104</v>
      </c>
      <c r="H57" s="90">
        <f>'Combined data'!H57</f>
        <v>305</v>
      </c>
      <c r="I57" s="90">
        <f>'Combined data'!I57-'Combined data'!H57</f>
        <v>9</v>
      </c>
      <c r="J57" s="90">
        <f>'Combined data'!J57-'Combined data'!I57</f>
        <v>15</v>
      </c>
      <c r="K57" s="90">
        <f>'Combined data'!K57-'Combined data'!J57</f>
        <v>15</v>
      </c>
      <c r="L57" s="90">
        <f>'Combined data'!L57-'Combined data'!K57</f>
        <v>7</v>
      </c>
      <c r="M57" s="90">
        <f>'Combined data'!M57-'Combined data'!L57</f>
        <v>12</v>
      </c>
      <c r="N57" s="90">
        <f>'Combined data'!N57-'Combined data'!M57</f>
        <v>10</v>
      </c>
      <c r="O57" s="90">
        <f>'Combined data'!O57-'Combined data'!N57</f>
        <v>8</v>
      </c>
      <c r="P57" s="90">
        <f>'Combined data'!P57-'Combined data'!O57</f>
        <v>20</v>
      </c>
      <c r="Q57" s="90">
        <f>'Combined data'!Q57-'Combined data'!P57</f>
        <v>21</v>
      </c>
      <c r="R57" s="90">
        <f>'Combined data'!R57-'Combined data'!Q57</f>
        <v>6</v>
      </c>
      <c r="S57" s="90">
        <f>'Combined data'!S57-'Combined data'!R57</f>
        <v>7</v>
      </c>
      <c r="T57" s="90">
        <f>'Combined data'!T57-'Combined data'!S57</f>
        <v>7</v>
      </c>
      <c r="U57" s="90">
        <f>'Combined data'!U57-'Combined data'!T57</f>
        <v>15</v>
      </c>
      <c r="V57" s="90">
        <f>'Combined data'!V57-'Combined data'!U57</f>
        <v>7</v>
      </c>
      <c r="W57" s="90">
        <f>'Combined data'!W57-'Combined data'!V57</f>
        <v>5</v>
      </c>
      <c r="X57" s="90">
        <f>'Combined data'!X57-'Combined data'!W57</f>
        <v>5</v>
      </c>
      <c r="Y57" s="90">
        <f>'Combined data'!Y57-'Combined data'!X57</f>
        <v>13</v>
      </c>
      <c r="Z57" s="90">
        <f>'Combined data'!Z57-'Combined data'!Y57</f>
        <v>5</v>
      </c>
      <c r="AA57" s="90">
        <f>'Combined data'!AA57-'Combined data'!Z57</f>
        <v>5</v>
      </c>
      <c r="AB57" s="90">
        <f>'Combined data'!AB57-'Combined data'!AA57</f>
        <v>1</v>
      </c>
      <c r="AC57" s="90">
        <f>'Combined data'!AC57-'Combined data'!AB57</f>
        <v>1</v>
      </c>
      <c r="AD57" s="90">
        <f>'Combined data'!AD57-'Combined data'!AC57</f>
        <v>21</v>
      </c>
      <c r="AE57" s="90">
        <f>'Combined data'!AE57-'Combined data'!AD57</f>
        <v>-520</v>
      </c>
      <c r="AF57" s="90">
        <f>'Combined data'!AF57-'Combined data'!AE57</f>
        <v>0</v>
      </c>
      <c r="AG57" s="90">
        <f>'Combined data'!AG57-'Combined data'!AF57</f>
        <v>0</v>
      </c>
      <c r="AH57" s="90">
        <f>'Combined data'!AH57-'Combined data'!AG57</f>
        <v>0</v>
      </c>
      <c r="AI57" s="90">
        <f>'Combined data'!AI57-'Combined data'!AH57</f>
        <v>0</v>
      </c>
      <c r="AJ57" s="90">
        <f>'Combined data'!AJ57-'Combined data'!AI57</f>
        <v>0</v>
      </c>
      <c r="AK57" s="90">
        <f>'Combined data'!AK57-'Combined data'!AJ57</f>
        <v>0</v>
      </c>
      <c r="AL57" s="90">
        <f>'Combined data'!AL57-'Combined data'!AK57</f>
        <v>0</v>
      </c>
      <c r="AM57" s="90">
        <f>'Combined data'!AM57-'Combined data'!AL57</f>
        <v>0</v>
      </c>
      <c r="AN57" s="90">
        <f>'Combined data'!AN57-'Combined data'!AM57</f>
        <v>0</v>
      </c>
      <c r="AO57" s="90">
        <f>'Combined data'!AO57-'Combined data'!AN57</f>
        <v>0</v>
      </c>
      <c r="AP57" s="56">
        <f t="shared" si="23"/>
        <v>0</v>
      </c>
      <c r="AQ57" s="113"/>
      <c r="AR57" s="17">
        <f>'Combined data'!AR57</f>
        <v>162</v>
      </c>
      <c r="AS57" s="17">
        <f>'Combined data'!AS57-'Combined data'!AR57</f>
        <v>11</v>
      </c>
      <c r="AT57" s="17">
        <f>'Combined data'!AT57-'Combined data'!AS57</f>
        <v>12</v>
      </c>
      <c r="AU57" s="17">
        <f>'Combined data'!AU57-'Combined data'!AT57</f>
        <v>23</v>
      </c>
      <c r="AV57" s="17">
        <f>'Combined data'!AV57-'Combined data'!AU57</f>
        <v>9</v>
      </c>
      <c r="AW57" s="17">
        <f>'Combined data'!AW57-'Combined data'!AV57</f>
        <v>23</v>
      </c>
      <c r="AX57" s="17">
        <f>'Combined data'!AX57-'Combined data'!AW57</f>
        <v>14</v>
      </c>
      <c r="AY57" s="17">
        <f>'Combined data'!AY57-'Combined data'!AX57</f>
        <v>5</v>
      </c>
      <c r="AZ57" s="17">
        <f>'Combined data'!AZ57-'Combined data'!AY57</f>
        <v>18</v>
      </c>
      <c r="BA57" s="17">
        <f>'Combined data'!BA57-'Combined data'!AZ57</f>
        <v>15</v>
      </c>
      <c r="BB57" s="17">
        <f>'Combined data'!BB57-'Combined data'!BA57</f>
        <v>8</v>
      </c>
      <c r="BC57" s="17">
        <f>'Combined data'!BC57-'Combined data'!BB57</f>
        <v>11</v>
      </c>
      <c r="BD57" s="17">
        <f>'Combined data'!BD57-'Combined data'!BC57</f>
        <v>10</v>
      </c>
      <c r="BE57" s="17">
        <f>'Combined data'!BE57-'Combined data'!BD57</f>
        <v>9</v>
      </c>
      <c r="BF57" s="17">
        <f>'Combined data'!BF57-'Combined data'!BE57</f>
        <v>1</v>
      </c>
      <c r="BG57" s="17">
        <f>'Combined data'!BG57-'Combined data'!BF57</f>
        <v>4</v>
      </c>
      <c r="BH57" s="17">
        <f>'Combined data'!BH57-'Combined data'!BG57</f>
        <v>5</v>
      </c>
      <c r="BI57" s="17">
        <f>'Combined data'!BI57-'Combined data'!BH57</f>
        <v>5</v>
      </c>
      <c r="BJ57" s="17">
        <f>'Combined data'!BJ57-'Combined data'!BI57</f>
        <v>11</v>
      </c>
      <c r="BK57" s="17">
        <f>'Combined data'!BK57-'Combined data'!BJ57</f>
        <v>17</v>
      </c>
      <c r="BL57" s="17">
        <f>'Combined data'!BL57-'Combined data'!BK57</f>
        <v>14</v>
      </c>
      <c r="BM57" s="17">
        <f>'Combined data'!BM57-'Combined data'!BL57</f>
        <v>-1</v>
      </c>
      <c r="BN57" s="17">
        <f>'Combined data'!BN57-'Combined data'!BM57</f>
        <v>8</v>
      </c>
      <c r="BO57" s="17">
        <f>'Combined data'!BO57-'Combined data'!BN57</f>
        <v>-394</v>
      </c>
      <c r="BP57" s="17">
        <f>'Combined data'!BP57-'Combined data'!BO57</f>
        <v>0</v>
      </c>
      <c r="BQ57" s="17">
        <f>'Combined data'!BQ57-'Combined data'!BP57</f>
        <v>0</v>
      </c>
      <c r="BR57" s="17">
        <f>'Combined data'!BR57-'Combined data'!BQ57</f>
        <v>0</v>
      </c>
      <c r="BS57" s="17">
        <f>'Combined data'!BS57-'Combined data'!BR57</f>
        <v>0</v>
      </c>
      <c r="BT57" s="17">
        <f>'Combined data'!BT57-'Combined data'!BS57</f>
        <v>0</v>
      </c>
      <c r="BU57" s="17">
        <f>'Combined data'!BU57-'Combined data'!BT57</f>
        <v>0</v>
      </c>
      <c r="BV57" s="17">
        <f>'Combined data'!BV57-'Combined data'!BU57</f>
        <v>0</v>
      </c>
      <c r="BW57" s="17">
        <f>'Combined data'!BW57-'Combined data'!BV57</f>
        <v>0</v>
      </c>
      <c r="BX57" s="17">
        <f>'Combined data'!BX57-'Combined data'!BW57</f>
        <v>0</v>
      </c>
      <c r="BY57" s="17">
        <f>'Combined data'!BY57-'Combined data'!BX57</f>
        <v>0</v>
      </c>
      <c r="CB57" s="17">
        <f t="shared" si="25"/>
        <v>162</v>
      </c>
      <c r="CC57" s="17">
        <f t="shared" si="26"/>
        <v>11</v>
      </c>
      <c r="CD57" s="17">
        <f t="shared" si="27"/>
        <v>12</v>
      </c>
      <c r="CE57" s="17">
        <f t="shared" si="28"/>
        <v>23</v>
      </c>
      <c r="CF57" s="17">
        <f t="shared" si="29"/>
        <v>9</v>
      </c>
      <c r="CG57" s="17">
        <f t="shared" si="30"/>
        <v>23</v>
      </c>
      <c r="CH57" s="17">
        <f t="shared" si="31"/>
        <v>14</v>
      </c>
      <c r="CI57" s="17">
        <f t="shared" si="32"/>
        <v>5</v>
      </c>
      <c r="CJ57" s="17">
        <f t="shared" si="33"/>
        <v>18</v>
      </c>
      <c r="CK57" s="17">
        <f t="shared" si="34"/>
        <v>15</v>
      </c>
      <c r="CL57" s="17">
        <f t="shared" si="35"/>
        <v>8</v>
      </c>
      <c r="CM57" s="17">
        <f t="shared" si="36"/>
        <v>11</v>
      </c>
      <c r="CN57" s="17">
        <f t="shared" si="37"/>
        <v>10</v>
      </c>
      <c r="CO57" s="17">
        <f t="shared" si="38"/>
        <v>9</v>
      </c>
      <c r="CP57" s="17">
        <f t="shared" si="39"/>
        <v>1</v>
      </c>
      <c r="CQ57" s="17">
        <f t="shared" si="40"/>
        <v>4</v>
      </c>
      <c r="CR57" s="17">
        <f t="shared" si="41"/>
        <v>5</v>
      </c>
      <c r="CS57" s="17">
        <f t="shared" si="42"/>
        <v>5</v>
      </c>
      <c r="CT57" s="17">
        <f t="shared" si="43"/>
        <v>11</v>
      </c>
      <c r="CU57" s="17">
        <f t="shared" si="44"/>
        <v>17</v>
      </c>
      <c r="CV57" s="17">
        <f t="shared" si="45"/>
        <v>14</v>
      </c>
      <c r="CW57" s="17">
        <f t="shared" si="46"/>
        <v>-1</v>
      </c>
      <c r="CX57" s="17">
        <f t="shared" ref="CX57:DI72" si="48">BN57</f>
        <v>8</v>
      </c>
      <c r="CY57" s="17">
        <f t="shared" si="48"/>
        <v>-394</v>
      </c>
      <c r="CZ57" s="17">
        <f t="shared" si="48"/>
        <v>0</v>
      </c>
      <c r="DA57" s="17">
        <f t="shared" si="48"/>
        <v>0</v>
      </c>
      <c r="DB57" s="17">
        <f t="shared" si="48"/>
        <v>0</v>
      </c>
      <c r="DC57" s="17">
        <f t="shared" si="48"/>
        <v>0</v>
      </c>
      <c r="DD57" s="17">
        <f t="shared" si="48"/>
        <v>0</v>
      </c>
      <c r="DE57" s="17">
        <f t="shared" si="48"/>
        <v>0</v>
      </c>
      <c r="DF57" s="17">
        <f t="shared" si="48"/>
        <v>0</v>
      </c>
      <c r="DG57" s="17">
        <f t="shared" si="48"/>
        <v>0</v>
      </c>
      <c r="DH57" s="17">
        <f t="shared" si="48"/>
        <v>0</v>
      </c>
      <c r="DI57" s="17">
        <f t="shared" si="48"/>
        <v>0</v>
      </c>
    </row>
    <row r="58" spans="1:113" ht="15.75" x14ac:dyDescent="0.25">
      <c r="A58" s="4" t="s">
        <v>105</v>
      </c>
      <c r="B58" s="6" t="s">
        <v>106</v>
      </c>
      <c r="H58" s="90">
        <f>'Combined data'!H58</f>
        <v>1868</v>
      </c>
      <c r="I58" s="90">
        <f>'Combined data'!I58-'Combined data'!H58</f>
        <v>128</v>
      </c>
      <c r="J58" s="90">
        <f>'Combined data'!J58-'Combined data'!I58</f>
        <v>147</v>
      </c>
      <c r="K58" s="90">
        <f>'Combined data'!K58-'Combined data'!J58</f>
        <v>171</v>
      </c>
      <c r="L58" s="90">
        <f>'Combined data'!L58-'Combined data'!K58</f>
        <v>44</v>
      </c>
      <c r="M58" s="90">
        <f>'Combined data'!M58-'Combined data'!L58</f>
        <v>43</v>
      </c>
      <c r="N58" s="90">
        <f>'Combined data'!N58-'Combined data'!M58</f>
        <v>114</v>
      </c>
      <c r="O58" s="90">
        <f>'Combined data'!O58-'Combined data'!N58</f>
        <v>53</v>
      </c>
      <c r="P58" s="90">
        <f>'Combined data'!P58-'Combined data'!O58</f>
        <v>95</v>
      </c>
      <c r="Q58" s="90">
        <f>'Combined data'!Q58-'Combined data'!P58</f>
        <v>81</v>
      </c>
      <c r="R58" s="90">
        <f>'Combined data'!R58-'Combined data'!Q58</f>
        <v>26</v>
      </c>
      <c r="S58" s="90">
        <f>'Combined data'!S58-'Combined data'!R58</f>
        <v>65</v>
      </c>
      <c r="T58" s="90">
        <f>'Combined data'!T58-'Combined data'!S58</f>
        <v>50</v>
      </c>
      <c r="U58" s="90">
        <f>'Combined data'!U58-'Combined data'!T58</f>
        <v>44</v>
      </c>
      <c r="V58" s="90">
        <f>'Combined data'!V58-'Combined data'!U58</f>
        <v>34</v>
      </c>
      <c r="W58" s="90">
        <f>'Combined data'!W58-'Combined data'!V58</f>
        <v>32</v>
      </c>
      <c r="X58" s="90">
        <f>'Combined data'!X58-'Combined data'!W58</f>
        <v>38</v>
      </c>
      <c r="Y58" s="90">
        <f>'Combined data'!Y58-'Combined data'!X58</f>
        <v>42</v>
      </c>
      <c r="Z58" s="90">
        <f>'Combined data'!Z58-'Combined data'!Y58</f>
        <v>48</v>
      </c>
      <c r="AA58" s="90">
        <f>'Combined data'!AA58-'Combined data'!Z58</f>
        <v>22</v>
      </c>
      <c r="AB58" s="90">
        <f>'Combined data'!AB58-'Combined data'!AA58</f>
        <v>10</v>
      </c>
      <c r="AC58" s="90">
        <f>'Combined data'!AC58-'Combined data'!AB58</f>
        <v>7</v>
      </c>
      <c r="AD58" s="90">
        <f>'Combined data'!AD58-'Combined data'!AC58</f>
        <v>46</v>
      </c>
      <c r="AE58" s="90">
        <f>'Combined data'!AE58-'Combined data'!AD58</f>
        <v>-3208</v>
      </c>
      <c r="AF58" s="90">
        <f>'Combined data'!AF58-'Combined data'!AE58</f>
        <v>0</v>
      </c>
      <c r="AG58" s="90">
        <f>'Combined data'!AG58-'Combined data'!AF58</f>
        <v>0</v>
      </c>
      <c r="AH58" s="90">
        <f>'Combined data'!AH58-'Combined data'!AG58</f>
        <v>0</v>
      </c>
      <c r="AI58" s="90">
        <f>'Combined data'!AI58-'Combined data'!AH58</f>
        <v>0</v>
      </c>
      <c r="AJ58" s="90">
        <f>'Combined data'!AJ58-'Combined data'!AI58</f>
        <v>0</v>
      </c>
      <c r="AK58" s="90">
        <f>'Combined data'!AK58-'Combined data'!AJ58</f>
        <v>0</v>
      </c>
      <c r="AL58" s="90">
        <f>'Combined data'!AL58-'Combined data'!AK58</f>
        <v>0</v>
      </c>
      <c r="AM58" s="90">
        <f>'Combined data'!AM58-'Combined data'!AL58</f>
        <v>0</v>
      </c>
      <c r="AN58" s="90">
        <f>'Combined data'!AN58-'Combined data'!AM58</f>
        <v>0</v>
      </c>
      <c r="AO58" s="90">
        <f>'Combined data'!AO58-'Combined data'!AN58</f>
        <v>0</v>
      </c>
      <c r="AP58" s="56">
        <f t="shared" si="23"/>
        <v>0</v>
      </c>
      <c r="AQ58" s="113"/>
      <c r="AR58" s="17">
        <f>'Combined data'!AR58</f>
        <v>973</v>
      </c>
      <c r="AS58" s="17">
        <f>'Combined data'!AS58-'Combined data'!AR58</f>
        <v>175</v>
      </c>
      <c r="AT58" s="17">
        <f>'Combined data'!AT58-'Combined data'!AS58</f>
        <v>124</v>
      </c>
      <c r="AU58" s="17">
        <f>'Combined data'!AU58-'Combined data'!AT58</f>
        <v>159</v>
      </c>
      <c r="AV58" s="17">
        <f>'Combined data'!AV58-'Combined data'!AU58</f>
        <v>145</v>
      </c>
      <c r="AW58" s="17">
        <f>'Combined data'!AW58-'Combined data'!AV58</f>
        <v>109</v>
      </c>
      <c r="AX58" s="17">
        <f>'Combined data'!AX58-'Combined data'!AW58</f>
        <v>131</v>
      </c>
      <c r="AY58" s="17">
        <f>'Combined data'!AY58-'Combined data'!AX58</f>
        <v>44</v>
      </c>
      <c r="AZ58" s="17">
        <f>'Combined data'!AZ58-'Combined data'!AY58</f>
        <v>108</v>
      </c>
      <c r="BA58" s="17">
        <f>'Combined data'!BA58-'Combined data'!AZ58</f>
        <v>64</v>
      </c>
      <c r="BB58" s="17">
        <f>'Combined data'!BB58-'Combined data'!BA58</f>
        <v>51</v>
      </c>
      <c r="BC58" s="17">
        <f>'Combined data'!BC58-'Combined data'!BB58</f>
        <v>87</v>
      </c>
      <c r="BD58" s="17">
        <f>'Combined data'!BD58-'Combined data'!BC58</f>
        <v>74</v>
      </c>
      <c r="BE58" s="17">
        <f>'Combined data'!BE58-'Combined data'!BD58</f>
        <v>52</v>
      </c>
      <c r="BF58" s="17">
        <f>'Combined data'!BF58-'Combined data'!BE58</f>
        <v>56</v>
      </c>
      <c r="BG58" s="17">
        <f>'Combined data'!BG58-'Combined data'!BF58</f>
        <v>27</v>
      </c>
      <c r="BH58" s="17">
        <f>'Combined data'!BH58-'Combined data'!BG58</f>
        <v>36</v>
      </c>
      <c r="BI58" s="17">
        <f>'Combined data'!BI58-'Combined data'!BH58</f>
        <v>42</v>
      </c>
      <c r="BJ58" s="17">
        <f>'Combined data'!BJ58-'Combined data'!BI58</f>
        <v>34</v>
      </c>
      <c r="BK58" s="17">
        <f>'Combined data'!BK58-'Combined data'!BJ58</f>
        <v>34</v>
      </c>
      <c r="BL58" s="17">
        <f>'Combined data'!BL58-'Combined data'!BK58</f>
        <v>64</v>
      </c>
      <c r="BM58" s="17">
        <f>'Combined data'!BM58-'Combined data'!BL58</f>
        <v>9</v>
      </c>
      <c r="BN58" s="17">
        <f>'Combined data'!BN58-'Combined data'!BM58</f>
        <v>33</v>
      </c>
      <c r="BO58" s="17">
        <f>'Combined data'!BO58-'Combined data'!BN58</f>
        <v>-2631</v>
      </c>
      <c r="BP58" s="17">
        <f>'Combined data'!BP58-'Combined data'!BO58</f>
        <v>0</v>
      </c>
      <c r="BQ58" s="17">
        <f>'Combined data'!BQ58-'Combined data'!BP58</f>
        <v>0</v>
      </c>
      <c r="BR58" s="17">
        <f>'Combined data'!BR58-'Combined data'!BQ58</f>
        <v>0</v>
      </c>
      <c r="BS58" s="17">
        <f>'Combined data'!BS58-'Combined data'!BR58</f>
        <v>0</v>
      </c>
      <c r="BT58" s="17">
        <f>'Combined data'!BT58-'Combined data'!BS58</f>
        <v>0</v>
      </c>
      <c r="BU58" s="17">
        <f>'Combined data'!BU58-'Combined data'!BT58</f>
        <v>0</v>
      </c>
      <c r="BV58" s="17">
        <f>'Combined data'!BV58-'Combined data'!BU58</f>
        <v>0</v>
      </c>
      <c r="BW58" s="17">
        <f>'Combined data'!BW58-'Combined data'!BV58</f>
        <v>0</v>
      </c>
      <c r="BX58" s="17">
        <f>'Combined data'!BX58-'Combined data'!BW58</f>
        <v>0</v>
      </c>
      <c r="BY58" s="17">
        <f>'Combined data'!BY58-'Combined data'!BX58</f>
        <v>0</v>
      </c>
      <c r="CB58" s="17">
        <f t="shared" si="25"/>
        <v>973</v>
      </c>
      <c r="CC58" s="17">
        <f t="shared" si="26"/>
        <v>175</v>
      </c>
      <c r="CD58" s="17">
        <f t="shared" si="27"/>
        <v>124</v>
      </c>
      <c r="CE58" s="17">
        <f t="shared" si="28"/>
        <v>159</v>
      </c>
      <c r="CF58" s="17">
        <f t="shared" si="29"/>
        <v>145</v>
      </c>
      <c r="CG58" s="17">
        <f t="shared" si="30"/>
        <v>109</v>
      </c>
      <c r="CH58" s="17">
        <f t="shared" si="31"/>
        <v>131</v>
      </c>
      <c r="CI58" s="17">
        <f t="shared" si="32"/>
        <v>44</v>
      </c>
      <c r="CJ58" s="17">
        <f t="shared" si="33"/>
        <v>108</v>
      </c>
      <c r="CK58" s="17">
        <f t="shared" si="34"/>
        <v>64</v>
      </c>
      <c r="CL58" s="17">
        <f t="shared" si="35"/>
        <v>51</v>
      </c>
      <c r="CM58" s="17">
        <f t="shared" si="36"/>
        <v>87</v>
      </c>
      <c r="CN58" s="17">
        <f t="shared" si="37"/>
        <v>74</v>
      </c>
      <c r="CO58" s="17">
        <f t="shared" si="38"/>
        <v>52</v>
      </c>
      <c r="CP58" s="17">
        <f t="shared" si="39"/>
        <v>56</v>
      </c>
      <c r="CQ58" s="17">
        <f t="shared" si="40"/>
        <v>27</v>
      </c>
      <c r="CR58" s="17">
        <f t="shared" si="41"/>
        <v>36</v>
      </c>
      <c r="CS58" s="17">
        <f t="shared" si="42"/>
        <v>42</v>
      </c>
      <c r="CT58" s="17">
        <f t="shared" si="43"/>
        <v>34</v>
      </c>
      <c r="CU58" s="17">
        <f t="shared" si="44"/>
        <v>34</v>
      </c>
      <c r="CV58" s="17">
        <f t="shared" si="45"/>
        <v>64</v>
      </c>
      <c r="CW58" s="17">
        <f t="shared" si="46"/>
        <v>9</v>
      </c>
      <c r="CX58" s="17">
        <f t="shared" si="48"/>
        <v>33</v>
      </c>
      <c r="CY58" s="17">
        <f t="shared" si="48"/>
        <v>-2631</v>
      </c>
      <c r="CZ58" s="17">
        <f t="shared" si="48"/>
        <v>0</v>
      </c>
      <c r="DA58" s="17">
        <f t="shared" si="48"/>
        <v>0</v>
      </c>
      <c r="DB58" s="17">
        <f t="shared" si="48"/>
        <v>0</v>
      </c>
      <c r="DC58" s="17">
        <f t="shared" si="48"/>
        <v>0</v>
      </c>
      <c r="DD58" s="17">
        <f t="shared" si="48"/>
        <v>0</v>
      </c>
      <c r="DE58" s="17">
        <f t="shared" si="48"/>
        <v>0</v>
      </c>
      <c r="DF58" s="17">
        <f t="shared" si="48"/>
        <v>0</v>
      </c>
      <c r="DG58" s="17">
        <f t="shared" si="48"/>
        <v>0</v>
      </c>
      <c r="DH58" s="17">
        <f t="shared" si="48"/>
        <v>0</v>
      </c>
      <c r="DI58" s="17">
        <f t="shared" si="48"/>
        <v>0</v>
      </c>
    </row>
    <row r="59" spans="1:113" ht="15.75" x14ac:dyDescent="0.25">
      <c r="A59" s="4" t="s">
        <v>107</v>
      </c>
      <c r="B59" s="6" t="s">
        <v>108</v>
      </c>
      <c r="H59" s="90">
        <f>'Combined data'!H59</f>
        <v>353</v>
      </c>
      <c r="I59" s="90">
        <f>'Combined data'!I59-'Combined data'!H59</f>
        <v>17</v>
      </c>
      <c r="J59" s="90">
        <f>'Combined data'!J59-'Combined data'!I59</f>
        <v>16</v>
      </c>
      <c r="K59" s="90">
        <f>'Combined data'!K59-'Combined data'!J59</f>
        <v>19</v>
      </c>
      <c r="L59" s="90">
        <f>'Combined data'!L59-'Combined data'!K59</f>
        <v>11</v>
      </c>
      <c r="M59" s="90">
        <f>'Combined data'!M59-'Combined data'!L59</f>
        <v>7</v>
      </c>
      <c r="N59" s="90">
        <f>'Combined data'!N59-'Combined data'!M59</f>
        <v>23</v>
      </c>
      <c r="O59" s="90">
        <f>'Combined data'!O59-'Combined data'!N59</f>
        <v>7</v>
      </c>
      <c r="P59" s="90">
        <f>'Combined data'!P59-'Combined data'!O59</f>
        <v>15</v>
      </c>
      <c r="Q59" s="90">
        <f>'Combined data'!Q59-'Combined data'!P59</f>
        <v>10</v>
      </c>
      <c r="R59" s="90">
        <f>'Combined data'!R59-'Combined data'!Q59</f>
        <v>8</v>
      </c>
      <c r="S59" s="90">
        <f>'Combined data'!S59-'Combined data'!R59</f>
        <v>16</v>
      </c>
      <c r="T59" s="90">
        <f>'Combined data'!T59-'Combined data'!S59</f>
        <v>25</v>
      </c>
      <c r="U59" s="90">
        <f>'Combined data'!U59-'Combined data'!T59</f>
        <v>13</v>
      </c>
      <c r="V59" s="90">
        <f>'Combined data'!V59-'Combined data'!U59</f>
        <v>12</v>
      </c>
      <c r="W59" s="90">
        <f>'Combined data'!W59-'Combined data'!V59</f>
        <v>16</v>
      </c>
      <c r="X59" s="90">
        <f>'Combined data'!X59-'Combined data'!W59</f>
        <v>3</v>
      </c>
      <c r="Y59" s="90">
        <f>'Combined data'!Y59-'Combined data'!X59</f>
        <v>8</v>
      </c>
      <c r="Z59" s="90">
        <f>'Combined data'!Z59-'Combined data'!Y59</f>
        <v>9</v>
      </c>
      <c r="AA59" s="90">
        <f>'Combined data'!AA59-'Combined data'!Z59</f>
        <v>12</v>
      </c>
      <c r="AB59" s="90">
        <f>'Combined data'!AB59-'Combined data'!AA59</f>
        <v>6</v>
      </c>
      <c r="AC59" s="90">
        <f>'Combined data'!AC59-'Combined data'!AB59</f>
        <v>6</v>
      </c>
      <c r="AD59" s="90">
        <f>'Combined data'!AD59-'Combined data'!AC59</f>
        <v>16</v>
      </c>
      <c r="AE59" s="90">
        <f>'Combined data'!AE59-'Combined data'!AD59</f>
        <v>-628</v>
      </c>
      <c r="AF59" s="90">
        <f>'Combined data'!AF59-'Combined data'!AE59</f>
        <v>0</v>
      </c>
      <c r="AG59" s="90">
        <f>'Combined data'!AG59-'Combined data'!AF59</f>
        <v>0</v>
      </c>
      <c r="AH59" s="90">
        <f>'Combined data'!AH59-'Combined data'!AG59</f>
        <v>0</v>
      </c>
      <c r="AI59" s="90">
        <f>'Combined data'!AI59-'Combined data'!AH59</f>
        <v>0</v>
      </c>
      <c r="AJ59" s="90">
        <f>'Combined data'!AJ59-'Combined data'!AI59</f>
        <v>0</v>
      </c>
      <c r="AK59" s="90">
        <f>'Combined data'!AK59-'Combined data'!AJ59</f>
        <v>0</v>
      </c>
      <c r="AL59" s="90">
        <f>'Combined data'!AL59-'Combined data'!AK59</f>
        <v>0</v>
      </c>
      <c r="AM59" s="90">
        <f>'Combined data'!AM59-'Combined data'!AL59</f>
        <v>0</v>
      </c>
      <c r="AN59" s="90">
        <f>'Combined data'!AN59-'Combined data'!AM59</f>
        <v>0</v>
      </c>
      <c r="AO59" s="90">
        <f>'Combined data'!AO59-'Combined data'!AN59</f>
        <v>0</v>
      </c>
      <c r="AP59" s="56">
        <f t="shared" si="23"/>
        <v>0</v>
      </c>
      <c r="AQ59" s="113"/>
      <c r="AR59" s="17">
        <f>'Combined data'!AR59</f>
        <v>180</v>
      </c>
      <c r="AS59" s="17">
        <f>'Combined data'!AS59-'Combined data'!AR59</f>
        <v>21</v>
      </c>
      <c r="AT59" s="17">
        <f>'Combined data'!AT59-'Combined data'!AS59</f>
        <v>18</v>
      </c>
      <c r="AU59" s="17">
        <f>'Combined data'!AU59-'Combined data'!AT59</f>
        <v>17</v>
      </c>
      <c r="AV59" s="17">
        <f>'Combined data'!AV59-'Combined data'!AU59</f>
        <v>25</v>
      </c>
      <c r="AW59" s="17">
        <f>'Combined data'!AW59-'Combined data'!AV59</f>
        <v>9</v>
      </c>
      <c r="AX59" s="17">
        <f>'Combined data'!AX59-'Combined data'!AW59</f>
        <v>30</v>
      </c>
      <c r="AY59" s="17">
        <f>'Combined data'!AY59-'Combined data'!AX59</f>
        <v>13</v>
      </c>
      <c r="AZ59" s="17">
        <f>'Combined data'!AZ59-'Combined data'!AY59</f>
        <v>10</v>
      </c>
      <c r="BA59" s="17">
        <f>'Combined data'!BA59-'Combined data'!AZ59</f>
        <v>12</v>
      </c>
      <c r="BB59" s="17">
        <f>'Combined data'!BB59-'Combined data'!BA59</f>
        <v>7</v>
      </c>
      <c r="BC59" s="17">
        <f>'Combined data'!BC59-'Combined data'!BB59</f>
        <v>19</v>
      </c>
      <c r="BD59" s="17">
        <f>'Combined data'!BD59-'Combined data'!BC59</f>
        <v>14</v>
      </c>
      <c r="BE59" s="17">
        <f>'Combined data'!BE59-'Combined data'!BD59</f>
        <v>13</v>
      </c>
      <c r="BF59" s="17">
        <f>'Combined data'!BF59-'Combined data'!BE59</f>
        <v>14</v>
      </c>
      <c r="BG59" s="17">
        <f>'Combined data'!BG59-'Combined data'!BF59</f>
        <v>14</v>
      </c>
      <c r="BH59" s="17">
        <f>'Combined data'!BH59-'Combined data'!BG59</f>
        <v>6</v>
      </c>
      <c r="BI59" s="17">
        <f>'Combined data'!BI59-'Combined data'!BH59</f>
        <v>19</v>
      </c>
      <c r="BJ59" s="17">
        <f>'Combined data'!BJ59-'Combined data'!BI59</f>
        <v>16</v>
      </c>
      <c r="BK59" s="17">
        <f>'Combined data'!BK59-'Combined data'!BJ59</f>
        <v>10</v>
      </c>
      <c r="BL59" s="17">
        <f>'Combined data'!BL59-'Combined data'!BK59</f>
        <v>11</v>
      </c>
      <c r="BM59" s="17">
        <f>'Combined data'!BM59-'Combined data'!BL59</f>
        <v>8</v>
      </c>
      <c r="BN59" s="17">
        <f>'Combined data'!BN59-'Combined data'!BM59</f>
        <v>7</v>
      </c>
      <c r="BO59" s="17">
        <f>'Combined data'!BO59-'Combined data'!BN59</f>
        <v>-493</v>
      </c>
      <c r="BP59" s="17">
        <f>'Combined data'!BP59-'Combined data'!BO59</f>
        <v>0</v>
      </c>
      <c r="BQ59" s="17">
        <f>'Combined data'!BQ59-'Combined data'!BP59</f>
        <v>0</v>
      </c>
      <c r="BR59" s="17">
        <f>'Combined data'!BR59-'Combined data'!BQ59</f>
        <v>0</v>
      </c>
      <c r="BS59" s="17">
        <f>'Combined data'!BS59-'Combined data'!BR59</f>
        <v>0</v>
      </c>
      <c r="BT59" s="17">
        <f>'Combined data'!BT59-'Combined data'!BS59</f>
        <v>0</v>
      </c>
      <c r="BU59" s="17">
        <f>'Combined data'!BU59-'Combined data'!BT59</f>
        <v>0</v>
      </c>
      <c r="BV59" s="17">
        <f>'Combined data'!BV59-'Combined data'!BU59</f>
        <v>0</v>
      </c>
      <c r="BW59" s="17">
        <f>'Combined data'!BW59-'Combined data'!BV59</f>
        <v>0</v>
      </c>
      <c r="BX59" s="17">
        <f>'Combined data'!BX59-'Combined data'!BW59</f>
        <v>0</v>
      </c>
      <c r="BY59" s="17">
        <f>'Combined data'!BY59-'Combined data'!BX59</f>
        <v>0</v>
      </c>
      <c r="CB59" s="17">
        <f t="shared" si="25"/>
        <v>180</v>
      </c>
      <c r="CC59" s="17">
        <f t="shared" si="26"/>
        <v>21</v>
      </c>
      <c r="CD59" s="17">
        <f t="shared" si="27"/>
        <v>18</v>
      </c>
      <c r="CE59" s="17">
        <f t="shared" si="28"/>
        <v>17</v>
      </c>
      <c r="CF59" s="17">
        <f t="shared" si="29"/>
        <v>25</v>
      </c>
      <c r="CG59" s="17">
        <f t="shared" si="30"/>
        <v>9</v>
      </c>
      <c r="CH59" s="17">
        <f t="shared" si="31"/>
        <v>30</v>
      </c>
      <c r="CI59" s="17">
        <f t="shared" si="32"/>
        <v>13</v>
      </c>
      <c r="CJ59" s="17">
        <f t="shared" si="33"/>
        <v>10</v>
      </c>
      <c r="CK59" s="17">
        <f t="shared" si="34"/>
        <v>12</v>
      </c>
      <c r="CL59" s="17">
        <f t="shared" si="35"/>
        <v>7</v>
      </c>
      <c r="CM59" s="17">
        <f t="shared" si="36"/>
        <v>19</v>
      </c>
      <c r="CN59" s="17">
        <f t="shared" si="37"/>
        <v>14</v>
      </c>
      <c r="CO59" s="17">
        <f t="shared" si="38"/>
        <v>13</v>
      </c>
      <c r="CP59" s="17">
        <f t="shared" si="39"/>
        <v>14</v>
      </c>
      <c r="CQ59" s="17">
        <f t="shared" si="40"/>
        <v>14</v>
      </c>
      <c r="CR59" s="17">
        <f t="shared" si="41"/>
        <v>6</v>
      </c>
      <c r="CS59" s="17">
        <f t="shared" si="42"/>
        <v>19</v>
      </c>
      <c r="CT59" s="17">
        <f t="shared" si="43"/>
        <v>16</v>
      </c>
      <c r="CU59" s="17">
        <f t="shared" si="44"/>
        <v>10</v>
      </c>
      <c r="CV59" s="17">
        <f t="shared" si="45"/>
        <v>11</v>
      </c>
      <c r="CW59" s="17">
        <f t="shared" si="46"/>
        <v>8</v>
      </c>
      <c r="CX59" s="17">
        <f t="shared" si="48"/>
        <v>7</v>
      </c>
      <c r="CY59" s="17">
        <f t="shared" si="48"/>
        <v>-493</v>
      </c>
      <c r="CZ59" s="17">
        <f t="shared" si="48"/>
        <v>0</v>
      </c>
      <c r="DA59" s="17">
        <f t="shared" si="48"/>
        <v>0</v>
      </c>
      <c r="DB59" s="17">
        <f t="shared" si="48"/>
        <v>0</v>
      </c>
      <c r="DC59" s="17">
        <f t="shared" si="48"/>
        <v>0</v>
      </c>
      <c r="DD59" s="17">
        <f t="shared" si="48"/>
        <v>0</v>
      </c>
      <c r="DE59" s="17">
        <f t="shared" si="48"/>
        <v>0</v>
      </c>
      <c r="DF59" s="17">
        <f t="shared" si="48"/>
        <v>0</v>
      </c>
      <c r="DG59" s="17">
        <f t="shared" si="48"/>
        <v>0</v>
      </c>
      <c r="DH59" s="17">
        <f t="shared" si="48"/>
        <v>0</v>
      </c>
      <c r="DI59" s="17">
        <f t="shared" si="48"/>
        <v>0</v>
      </c>
    </row>
    <row r="60" spans="1:113" ht="15.75" x14ac:dyDescent="0.25">
      <c r="A60" s="4" t="s">
        <v>109</v>
      </c>
      <c r="B60" s="6" t="s">
        <v>110</v>
      </c>
      <c r="H60" s="90">
        <f>'Combined data'!H60</f>
        <v>135</v>
      </c>
      <c r="I60" s="90">
        <f>'Combined data'!I60-'Combined data'!H60</f>
        <v>5</v>
      </c>
      <c r="J60" s="90">
        <f>'Combined data'!J60-'Combined data'!I60</f>
        <v>7</v>
      </c>
      <c r="K60" s="90">
        <f>'Combined data'!K60-'Combined data'!J60</f>
        <v>13</v>
      </c>
      <c r="L60" s="90">
        <f>'Combined data'!L60-'Combined data'!K60</f>
        <v>9</v>
      </c>
      <c r="M60" s="90">
        <f>'Combined data'!M60-'Combined data'!L60</f>
        <v>7</v>
      </c>
      <c r="N60" s="90">
        <f>'Combined data'!N60-'Combined data'!M60</f>
        <v>4</v>
      </c>
      <c r="O60" s="90">
        <f>'Combined data'!O60-'Combined data'!N60</f>
        <v>6</v>
      </c>
      <c r="P60" s="90">
        <f>'Combined data'!P60-'Combined data'!O60</f>
        <v>5</v>
      </c>
      <c r="Q60" s="90">
        <f>'Combined data'!Q60-'Combined data'!P60</f>
        <v>0</v>
      </c>
      <c r="R60" s="90">
        <f>'Combined data'!R60-'Combined data'!Q60</f>
        <v>3</v>
      </c>
      <c r="S60" s="90">
        <f>'Combined data'!S60-'Combined data'!R60</f>
        <v>3</v>
      </c>
      <c r="T60" s="90">
        <f>'Combined data'!T60-'Combined data'!S60</f>
        <v>3</v>
      </c>
      <c r="U60" s="90">
        <f>'Combined data'!U60-'Combined data'!T60</f>
        <v>7</v>
      </c>
      <c r="V60" s="90">
        <f>'Combined data'!V60-'Combined data'!U60</f>
        <v>6</v>
      </c>
      <c r="W60" s="90">
        <f>'Combined data'!W60-'Combined data'!V60</f>
        <v>0</v>
      </c>
      <c r="X60" s="90">
        <f>'Combined data'!X60-'Combined data'!W60</f>
        <v>6</v>
      </c>
      <c r="Y60" s="90">
        <f>'Combined data'!Y60-'Combined data'!X60</f>
        <v>5</v>
      </c>
      <c r="Z60" s="90">
        <f>'Combined data'!Z60-'Combined data'!Y60</f>
        <v>4</v>
      </c>
      <c r="AA60" s="90">
        <f>'Combined data'!AA60-'Combined data'!Z60</f>
        <v>2</v>
      </c>
      <c r="AB60" s="90">
        <f>'Combined data'!AB60-'Combined data'!AA60</f>
        <v>0</v>
      </c>
      <c r="AC60" s="90">
        <f>'Combined data'!AC60-'Combined data'!AB60</f>
        <v>2</v>
      </c>
      <c r="AD60" s="90">
        <f>'Combined data'!AD60-'Combined data'!AC60</f>
        <v>9</v>
      </c>
      <c r="AE60" s="90">
        <f>'Combined data'!AE60-'Combined data'!AD60</f>
        <v>-241</v>
      </c>
      <c r="AF60" s="90">
        <f>'Combined data'!AF60-'Combined data'!AE60</f>
        <v>0</v>
      </c>
      <c r="AG60" s="90">
        <f>'Combined data'!AG60-'Combined data'!AF60</f>
        <v>0</v>
      </c>
      <c r="AH60" s="90">
        <f>'Combined data'!AH60-'Combined data'!AG60</f>
        <v>0</v>
      </c>
      <c r="AI60" s="90">
        <f>'Combined data'!AI60-'Combined data'!AH60</f>
        <v>0</v>
      </c>
      <c r="AJ60" s="90">
        <f>'Combined data'!AJ60-'Combined data'!AI60</f>
        <v>0</v>
      </c>
      <c r="AK60" s="90">
        <f>'Combined data'!AK60-'Combined data'!AJ60</f>
        <v>0</v>
      </c>
      <c r="AL60" s="90">
        <f>'Combined data'!AL60-'Combined data'!AK60</f>
        <v>0</v>
      </c>
      <c r="AM60" s="90">
        <f>'Combined data'!AM60-'Combined data'!AL60</f>
        <v>0</v>
      </c>
      <c r="AN60" s="90">
        <f>'Combined data'!AN60-'Combined data'!AM60</f>
        <v>0</v>
      </c>
      <c r="AO60" s="90">
        <f>'Combined data'!AO60-'Combined data'!AN60</f>
        <v>0</v>
      </c>
      <c r="AP60" s="56">
        <f t="shared" si="23"/>
        <v>0</v>
      </c>
      <c r="AQ60" s="113"/>
      <c r="AR60" s="17">
        <f>'Combined data'!AR60</f>
        <v>65</v>
      </c>
      <c r="AS60" s="17">
        <f>'Combined data'!AS60-'Combined data'!AR60</f>
        <v>7</v>
      </c>
      <c r="AT60" s="17">
        <f>'Combined data'!AT60-'Combined data'!AS60</f>
        <v>12</v>
      </c>
      <c r="AU60" s="17">
        <f>'Combined data'!AU60-'Combined data'!AT60</f>
        <v>20</v>
      </c>
      <c r="AV60" s="17">
        <f>'Combined data'!AV60-'Combined data'!AU60</f>
        <v>3</v>
      </c>
      <c r="AW60" s="17">
        <f>'Combined data'!AW60-'Combined data'!AV60</f>
        <v>8</v>
      </c>
      <c r="AX60" s="17">
        <f>'Combined data'!AX60-'Combined data'!AW60</f>
        <v>11</v>
      </c>
      <c r="AY60" s="17">
        <f>'Combined data'!AY60-'Combined data'!AX60</f>
        <v>3</v>
      </c>
      <c r="AZ60" s="17">
        <f>'Combined data'!AZ60-'Combined data'!AY60</f>
        <v>7</v>
      </c>
      <c r="BA60" s="17">
        <f>'Combined data'!BA60-'Combined data'!AZ60</f>
        <v>6</v>
      </c>
      <c r="BB60" s="17">
        <f>'Combined data'!BB60-'Combined data'!BA60</f>
        <v>5</v>
      </c>
      <c r="BC60" s="17">
        <f>'Combined data'!BC60-'Combined data'!BB60</f>
        <v>5</v>
      </c>
      <c r="BD60" s="17">
        <f>'Combined data'!BD60-'Combined data'!BC60</f>
        <v>9</v>
      </c>
      <c r="BE60" s="17">
        <f>'Combined data'!BE60-'Combined data'!BD60</f>
        <v>3</v>
      </c>
      <c r="BF60" s="17">
        <f>'Combined data'!BF60-'Combined data'!BE60</f>
        <v>4</v>
      </c>
      <c r="BG60" s="17">
        <f>'Combined data'!BG60-'Combined data'!BF60</f>
        <v>2</v>
      </c>
      <c r="BH60" s="17">
        <f>'Combined data'!BH60-'Combined data'!BG60</f>
        <v>3</v>
      </c>
      <c r="BI60" s="17">
        <f>'Combined data'!BI60-'Combined data'!BH60</f>
        <v>3</v>
      </c>
      <c r="BJ60" s="17">
        <f>'Combined data'!BJ60-'Combined data'!BI60</f>
        <v>8</v>
      </c>
      <c r="BK60" s="17">
        <f>'Combined data'!BK60-'Combined data'!BJ60</f>
        <v>3</v>
      </c>
      <c r="BL60" s="17">
        <f>'Combined data'!BL60-'Combined data'!BK60</f>
        <v>2</v>
      </c>
      <c r="BM60" s="17">
        <f>'Combined data'!BM60-'Combined data'!BL60</f>
        <v>1</v>
      </c>
      <c r="BN60" s="17">
        <f>'Combined data'!BN60-'Combined data'!BM60</f>
        <v>2</v>
      </c>
      <c r="BO60" s="17">
        <f>'Combined data'!BO60-'Combined data'!BN60</f>
        <v>-192</v>
      </c>
      <c r="BP60" s="17">
        <f>'Combined data'!BP60-'Combined data'!BO60</f>
        <v>0</v>
      </c>
      <c r="BQ60" s="17">
        <f>'Combined data'!BQ60-'Combined data'!BP60</f>
        <v>0</v>
      </c>
      <c r="BR60" s="17">
        <f>'Combined data'!BR60-'Combined data'!BQ60</f>
        <v>0</v>
      </c>
      <c r="BS60" s="17">
        <f>'Combined data'!BS60-'Combined data'!BR60</f>
        <v>0</v>
      </c>
      <c r="BT60" s="17">
        <f>'Combined data'!BT60-'Combined data'!BS60</f>
        <v>0</v>
      </c>
      <c r="BU60" s="17">
        <f>'Combined data'!BU60-'Combined data'!BT60</f>
        <v>0</v>
      </c>
      <c r="BV60" s="17">
        <f>'Combined data'!BV60-'Combined data'!BU60</f>
        <v>0</v>
      </c>
      <c r="BW60" s="17">
        <f>'Combined data'!BW60-'Combined data'!BV60</f>
        <v>0</v>
      </c>
      <c r="BX60" s="17">
        <f>'Combined data'!BX60-'Combined data'!BW60</f>
        <v>0</v>
      </c>
      <c r="BY60" s="17">
        <f>'Combined data'!BY60-'Combined data'!BX60</f>
        <v>0</v>
      </c>
      <c r="CB60" s="17">
        <f t="shared" si="25"/>
        <v>65</v>
      </c>
      <c r="CC60" s="17">
        <f t="shared" si="26"/>
        <v>7</v>
      </c>
      <c r="CD60" s="17">
        <f t="shared" si="27"/>
        <v>12</v>
      </c>
      <c r="CE60" s="17">
        <f t="shared" si="28"/>
        <v>20</v>
      </c>
      <c r="CF60" s="17">
        <f t="shared" si="29"/>
        <v>3</v>
      </c>
      <c r="CG60" s="17">
        <f t="shared" si="30"/>
        <v>8</v>
      </c>
      <c r="CH60" s="17">
        <f t="shared" si="31"/>
        <v>11</v>
      </c>
      <c r="CI60" s="17">
        <f t="shared" si="32"/>
        <v>3</v>
      </c>
      <c r="CJ60" s="17">
        <f t="shared" si="33"/>
        <v>7</v>
      </c>
      <c r="CK60" s="17">
        <f t="shared" si="34"/>
        <v>6</v>
      </c>
      <c r="CL60" s="17">
        <f t="shared" si="35"/>
        <v>5</v>
      </c>
      <c r="CM60" s="17">
        <f t="shared" si="36"/>
        <v>5</v>
      </c>
      <c r="CN60" s="17">
        <f t="shared" si="37"/>
        <v>9</v>
      </c>
      <c r="CO60" s="17">
        <f t="shared" si="38"/>
        <v>3</v>
      </c>
      <c r="CP60" s="17">
        <f t="shared" si="39"/>
        <v>4</v>
      </c>
      <c r="CQ60" s="17">
        <f t="shared" si="40"/>
        <v>2</v>
      </c>
      <c r="CR60" s="17">
        <f t="shared" si="41"/>
        <v>3</v>
      </c>
      <c r="CS60" s="17">
        <f t="shared" si="42"/>
        <v>3</v>
      </c>
      <c r="CT60" s="17">
        <f t="shared" si="43"/>
        <v>8</v>
      </c>
      <c r="CU60" s="17">
        <f t="shared" si="44"/>
        <v>3</v>
      </c>
      <c r="CV60" s="17">
        <f t="shared" si="45"/>
        <v>2</v>
      </c>
      <c r="CW60" s="17">
        <f t="shared" si="46"/>
        <v>1</v>
      </c>
      <c r="CX60" s="17">
        <f t="shared" si="48"/>
        <v>2</v>
      </c>
      <c r="CY60" s="17">
        <f t="shared" si="48"/>
        <v>-192</v>
      </c>
      <c r="CZ60" s="17">
        <f t="shared" si="48"/>
        <v>0</v>
      </c>
      <c r="DA60" s="17">
        <f t="shared" si="48"/>
        <v>0</v>
      </c>
      <c r="DB60" s="17">
        <f t="shared" si="48"/>
        <v>0</v>
      </c>
      <c r="DC60" s="17">
        <f t="shared" si="48"/>
        <v>0</v>
      </c>
      <c r="DD60" s="17">
        <f t="shared" si="48"/>
        <v>0</v>
      </c>
      <c r="DE60" s="17">
        <f t="shared" si="48"/>
        <v>0</v>
      </c>
      <c r="DF60" s="17">
        <f t="shared" si="48"/>
        <v>0</v>
      </c>
      <c r="DG60" s="17">
        <f t="shared" si="48"/>
        <v>0</v>
      </c>
      <c r="DH60" s="17">
        <f t="shared" si="48"/>
        <v>0</v>
      </c>
      <c r="DI60" s="17">
        <f t="shared" si="48"/>
        <v>0</v>
      </c>
    </row>
    <row r="61" spans="1:113" ht="15.75" x14ac:dyDescent="0.25">
      <c r="A61" s="4" t="s">
        <v>111</v>
      </c>
      <c r="B61" s="6" t="s">
        <v>112</v>
      </c>
      <c r="H61" s="90">
        <f>'Combined data'!H61</f>
        <v>32</v>
      </c>
      <c r="I61" s="90">
        <f>'Combined data'!I61-'Combined data'!H61</f>
        <v>0</v>
      </c>
      <c r="J61" s="90">
        <f>'Combined data'!J61-'Combined data'!I61</f>
        <v>1</v>
      </c>
      <c r="K61" s="90">
        <f>'Combined data'!K61-'Combined data'!J61</f>
        <v>4</v>
      </c>
      <c r="L61" s="90">
        <f>'Combined data'!L61-'Combined data'!K61</f>
        <v>0</v>
      </c>
      <c r="M61" s="90">
        <f>'Combined data'!M61-'Combined data'!L61</f>
        <v>0</v>
      </c>
      <c r="N61" s="90">
        <f>'Combined data'!N61-'Combined data'!M61</f>
        <v>3</v>
      </c>
      <c r="O61" s="90">
        <f>'Combined data'!O61-'Combined data'!N61</f>
        <v>1</v>
      </c>
      <c r="P61" s="90">
        <f>'Combined data'!P61-'Combined data'!O61</f>
        <v>1</v>
      </c>
      <c r="Q61" s="90">
        <f>'Combined data'!Q61-'Combined data'!P61</f>
        <v>2</v>
      </c>
      <c r="R61" s="90">
        <f>'Combined data'!R61-'Combined data'!Q61</f>
        <v>1</v>
      </c>
      <c r="S61" s="90">
        <f>'Combined data'!S61-'Combined data'!R61</f>
        <v>1</v>
      </c>
      <c r="T61" s="90">
        <f>'Combined data'!T61-'Combined data'!S61</f>
        <v>0</v>
      </c>
      <c r="U61" s="90">
        <f>'Combined data'!U61-'Combined data'!T61</f>
        <v>1</v>
      </c>
      <c r="V61" s="90">
        <f>'Combined data'!V61-'Combined data'!U61</f>
        <v>1</v>
      </c>
      <c r="W61" s="90">
        <f>'Combined data'!W61-'Combined data'!V61</f>
        <v>0</v>
      </c>
      <c r="X61" s="90">
        <f>'Combined data'!X61-'Combined data'!W61</f>
        <v>1</v>
      </c>
      <c r="Y61" s="90">
        <f>'Combined data'!Y61-'Combined data'!X61</f>
        <v>0</v>
      </c>
      <c r="Z61" s="90">
        <f>'Combined data'!Z61-'Combined data'!Y61</f>
        <v>1</v>
      </c>
      <c r="AA61" s="90">
        <f>'Combined data'!AA61-'Combined data'!Z61</f>
        <v>0</v>
      </c>
      <c r="AB61" s="90">
        <f>'Combined data'!AB61-'Combined data'!AA61</f>
        <v>5</v>
      </c>
      <c r="AC61" s="90">
        <f>'Combined data'!AC61-'Combined data'!AB61</f>
        <v>-5</v>
      </c>
      <c r="AD61" s="90">
        <f>'Combined data'!AD61-'Combined data'!AC61</f>
        <v>6</v>
      </c>
      <c r="AE61" s="90">
        <f>'Combined data'!AE61-'Combined data'!AD61</f>
        <v>-56</v>
      </c>
      <c r="AF61" s="90">
        <f>'Combined data'!AF61-'Combined data'!AE61</f>
        <v>0</v>
      </c>
      <c r="AG61" s="90">
        <f>'Combined data'!AG61-'Combined data'!AF61</f>
        <v>0</v>
      </c>
      <c r="AH61" s="90">
        <f>'Combined data'!AH61-'Combined data'!AG61</f>
        <v>0</v>
      </c>
      <c r="AI61" s="90">
        <f>'Combined data'!AI61-'Combined data'!AH61</f>
        <v>0</v>
      </c>
      <c r="AJ61" s="90">
        <f>'Combined data'!AJ61-'Combined data'!AI61</f>
        <v>0</v>
      </c>
      <c r="AK61" s="90">
        <f>'Combined data'!AK61-'Combined data'!AJ61</f>
        <v>0</v>
      </c>
      <c r="AL61" s="90">
        <f>'Combined data'!AL61-'Combined data'!AK61</f>
        <v>0</v>
      </c>
      <c r="AM61" s="90">
        <f>'Combined data'!AM61-'Combined data'!AL61</f>
        <v>0</v>
      </c>
      <c r="AN61" s="90">
        <f>'Combined data'!AN61-'Combined data'!AM61</f>
        <v>0</v>
      </c>
      <c r="AO61" s="90">
        <f>'Combined data'!AO61-'Combined data'!AN61</f>
        <v>0</v>
      </c>
      <c r="AP61" s="56">
        <f t="shared" si="23"/>
        <v>0</v>
      </c>
      <c r="AQ61" s="113"/>
      <c r="AR61" s="17">
        <f>'Combined data'!AR61</f>
        <v>15</v>
      </c>
      <c r="AS61" s="17">
        <f>'Combined data'!AS61-'Combined data'!AR61</f>
        <v>10</v>
      </c>
      <c r="AT61" s="17">
        <f>'Combined data'!AT61-'Combined data'!AS61</f>
        <v>1</v>
      </c>
      <c r="AU61" s="17">
        <f>'Combined data'!AU61-'Combined data'!AT61</f>
        <v>1</v>
      </c>
      <c r="AV61" s="17">
        <f>'Combined data'!AV61-'Combined data'!AU61</f>
        <v>0</v>
      </c>
      <c r="AW61" s="17">
        <f>'Combined data'!AW61-'Combined data'!AV61</f>
        <v>3</v>
      </c>
      <c r="AX61" s="17">
        <f>'Combined data'!AX61-'Combined data'!AW61</f>
        <v>10</v>
      </c>
      <c r="AY61" s="17">
        <f>'Combined data'!AY61-'Combined data'!AX61</f>
        <v>0</v>
      </c>
      <c r="AZ61" s="17">
        <f>'Combined data'!AZ61-'Combined data'!AY61</f>
        <v>0</v>
      </c>
      <c r="BA61" s="17">
        <f>'Combined data'!BA61-'Combined data'!AZ61</f>
        <v>0</v>
      </c>
      <c r="BB61" s="17">
        <f>'Combined data'!BB61-'Combined data'!BA61</f>
        <v>5</v>
      </c>
      <c r="BC61" s="17">
        <f>'Combined data'!BC61-'Combined data'!BB61</f>
        <v>-9</v>
      </c>
      <c r="BD61" s="17">
        <f>'Combined data'!BD61-'Combined data'!BC61</f>
        <v>9</v>
      </c>
      <c r="BE61" s="17">
        <f>'Combined data'!BE61-'Combined data'!BD61</f>
        <v>0</v>
      </c>
      <c r="BF61" s="17">
        <f>'Combined data'!BF61-'Combined data'!BE61</f>
        <v>0</v>
      </c>
      <c r="BG61" s="17">
        <f>'Combined data'!BG61-'Combined data'!BF61</f>
        <v>0</v>
      </c>
      <c r="BH61" s="17">
        <f>'Combined data'!BH61-'Combined data'!BG61</f>
        <v>0</v>
      </c>
      <c r="BI61" s="17">
        <f>'Combined data'!BI61-'Combined data'!BH61</f>
        <v>0</v>
      </c>
      <c r="BJ61" s="17">
        <f>'Combined data'!BJ61-'Combined data'!BI61</f>
        <v>5</v>
      </c>
      <c r="BK61" s="17">
        <f>'Combined data'!BK61-'Combined data'!BJ61</f>
        <v>0</v>
      </c>
      <c r="BL61" s="17">
        <f>'Combined data'!BL61-'Combined data'!BK61</f>
        <v>5</v>
      </c>
      <c r="BM61" s="17">
        <f>'Combined data'!BM61-'Combined data'!BL61</f>
        <v>-15</v>
      </c>
      <c r="BN61" s="17">
        <f>'Combined data'!BN61-'Combined data'!BM61</f>
        <v>2</v>
      </c>
      <c r="BO61" s="17">
        <f>'Combined data'!BO61-'Combined data'!BN61</f>
        <v>-42</v>
      </c>
      <c r="BP61" s="17">
        <f>'Combined data'!BP61-'Combined data'!BO61</f>
        <v>0</v>
      </c>
      <c r="BQ61" s="17">
        <f>'Combined data'!BQ61-'Combined data'!BP61</f>
        <v>0</v>
      </c>
      <c r="BR61" s="17">
        <f>'Combined data'!BR61-'Combined data'!BQ61</f>
        <v>0</v>
      </c>
      <c r="BS61" s="17">
        <f>'Combined data'!BS61-'Combined data'!BR61</f>
        <v>0</v>
      </c>
      <c r="BT61" s="17">
        <f>'Combined data'!BT61-'Combined data'!BS61</f>
        <v>0</v>
      </c>
      <c r="BU61" s="17">
        <f>'Combined data'!BU61-'Combined data'!BT61</f>
        <v>0</v>
      </c>
      <c r="BV61" s="17">
        <f>'Combined data'!BV61-'Combined data'!BU61</f>
        <v>0</v>
      </c>
      <c r="BW61" s="17">
        <f>'Combined data'!BW61-'Combined data'!BV61</f>
        <v>0</v>
      </c>
      <c r="BX61" s="17">
        <f>'Combined data'!BX61-'Combined data'!BW61</f>
        <v>0</v>
      </c>
      <c r="BY61" s="17">
        <f>'Combined data'!BY61-'Combined data'!BX61</f>
        <v>0</v>
      </c>
      <c r="CB61" s="17">
        <f t="shared" si="25"/>
        <v>15</v>
      </c>
      <c r="CC61" s="17">
        <f t="shared" si="26"/>
        <v>10</v>
      </c>
      <c r="CD61" s="17">
        <f t="shared" si="27"/>
        <v>1</v>
      </c>
      <c r="CE61" s="17">
        <f t="shared" si="28"/>
        <v>1</v>
      </c>
      <c r="CF61" s="17">
        <f t="shared" si="29"/>
        <v>0</v>
      </c>
      <c r="CG61" s="17">
        <f t="shared" si="30"/>
        <v>3</v>
      </c>
      <c r="CH61" s="17">
        <f t="shared" si="31"/>
        <v>10</v>
      </c>
      <c r="CI61" s="17">
        <f t="shared" si="32"/>
        <v>0</v>
      </c>
      <c r="CJ61" s="17">
        <f t="shared" si="33"/>
        <v>0</v>
      </c>
      <c r="CK61" s="17">
        <f t="shared" si="34"/>
        <v>0</v>
      </c>
      <c r="CL61" s="17">
        <f t="shared" si="35"/>
        <v>5</v>
      </c>
      <c r="CM61" s="17">
        <f t="shared" si="36"/>
        <v>-9</v>
      </c>
      <c r="CN61" s="17">
        <f t="shared" si="37"/>
        <v>9</v>
      </c>
      <c r="CO61" s="17">
        <f t="shared" si="38"/>
        <v>0</v>
      </c>
      <c r="CP61" s="17">
        <f t="shared" si="39"/>
        <v>0</v>
      </c>
      <c r="CQ61" s="17">
        <f t="shared" si="40"/>
        <v>0</v>
      </c>
      <c r="CR61" s="17">
        <f t="shared" si="41"/>
        <v>0</v>
      </c>
      <c r="CS61" s="17">
        <f t="shared" si="42"/>
        <v>0</v>
      </c>
      <c r="CT61" s="17">
        <f t="shared" si="43"/>
        <v>5</v>
      </c>
      <c r="CU61" s="17">
        <f t="shared" si="44"/>
        <v>0</v>
      </c>
      <c r="CV61" s="17">
        <f t="shared" si="45"/>
        <v>5</v>
      </c>
      <c r="CW61" s="17">
        <f t="shared" si="46"/>
        <v>-15</v>
      </c>
      <c r="CX61" s="17">
        <f t="shared" si="48"/>
        <v>2</v>
      </c>
      <c r="CY61" s="17">
        <f t="shared" si="48"/>
        <v>-42</v>
      </c>
      <c r="CZ61" s="17">
        <f t="shared" si="48"/>
        <v>0</v>
      </c>
      <c r="DA61" s="17">
        <f t="shared" si="48"/>
        <v>0</v>
      </c>
      <c r="DB61" s="17">
        <f t="shared" si="48"/>
        <v>0</v>
      </c>
      <c r="DC61" s="17">
        <f t="shared" si="48"/>
        <v>0</v>
      </c>
      <c r="DD61" s="17">
        <f t="shared" si="48"/>
        <v>0</v>
      </c>
      <c r="DE61" s="17">
        <f t="shared" si="48"/>
        <v>0</v>
      </c>
      <c r="DF61" s="17">
        <f t="shared" si="48"/>
        <v>0</v>
      </c>
      <c r="DG61" s="17">
        <f t="shared" si="48"/>
        <v>0</v>
      </c>
      <c r="DH61" s="17">
        <f t="shared" si="48"/>
        <v>0</v>
      </c>
      <c r="DI61" s="17">
        <f t="shared" si="48"/>
        <v>0</v>
      </c>
    </row>
    <row r="62" spans="1:113" ht="15.75" x14ac:dyDescent="0.25">
      <c r="A62" s="4" t="s">
        <v>113</v>
      </c>
      <c r="B62" s="6" t="s">
        <v>114</v>
      </c>
      <c r="H62" s="90">
        <f>'Combined data'!H62</f>
        <v>144</v>
      </c>
      <c r="I62" s="90">
        <f>'Combined data'!I62-'Combined data'!H62</f>
        <v>19</v>
      </c>
      <c r="J62" s="90">
        <f>'Combined data'!J62-'Combined data'!I62</f>
        <v>15</v>
      </c>
      <c r="K62" s="90">
        <f>'Combined data'!K62-'Combined data'!J62</f>
        <v>15</v>
      </c>
      <c r="L62" s="90">
        <f>'Combined data'!L62-'Combined data'!K62</f>
        <v>8</v>
      </c>
      <c r="M62" s="90">
        <f>'Combined data'!M62-'Combined data'!L62</f>
        <v>2</v>
      </c>
      <c r="N62" s="90">
        <f>'Combined data'!N62-'Combined data'!M62</f>
        <v>10</v>
      </c>
      <c r="O62" s="90">
        <f>'Combined data'!O62-'Combined data'!N62</f>
        <v>3</v>
      </c>
      <c r="P62" s="90">
        <f>'Combined data'!P62-'Combined data'!O62</f>
        <v>12</v>
      </c>
      <c r="Q62" s="90">
        <f>'Combined data'!Q62-'Combined data'!P62</f>
        <v>7</v>
      </c>
      <c r="R62" s="90">
        <f>'Combined data'!R62-'Combined data'!Q62</f>
        <v>8</v>
      </c>
      <c r="S62" s="90">
        <f>'Combined data'!S62-'Combined data'!R62</f>
        <v>3</v>
      </c>
      <c r="T62" s="90">
        <f>'Combined data'!T62-'Combined data'!S62</f>
        <v>18</v>
      </c>
      <c r="U62" s="90">
        <f>'Combined data'!U62-'Combined data'!T62</f>
        <v>7</v>
      </c>
      <c r="V62" s="90">
        <f>'Combined data'!V62-'Combined data'!U62</f>
        <v>13</v>
      </c>
      <c r="W62" s="90">
        <f>'Combined data'!W62-'Combined data'!V62</f>
        <v>8</v>
      </c>
      <c r="X62" s="90">
        <f>'Combined data'!X62-'Combined data'!W62</f>
        <v>5</v>
      </c>
      <c r="Y62" s="90">
        <f>'Combined data'!Y62-'Combined data'!X62</f>
        <v>5</v>
      </c>
      <c r="Z62" s="90">
        <f>'Combined data'!Z62-'Combined data'!Y62</f>
        <v>12</v>
      </c>
      <c r="AA62" s="90">
        <f>'Combined data'!AA62-'Combined data'!Z62</f>
        <v>5</v>
      </c>
      <c r="AB62" s="90">
        <f>'Combined data'!AB62-'Combined data'!AA62</f>
        <v>1</v>
      </c>
      <c r="AC62" s="90">
        <f>'Combined data'!AC62-'Combined data'!AB62</f>
        <v>2</v>
      </c>
      <c r="AD62" s="90">
        <f>'Combined data'!AD62-'Combined data'!AC62</f>
        <v>7</v>
      </c>
      <c r="AE62" s="90">
        <f>'Combined data'!AE62-'Combined data'!AD62</f>
        <v>-329</v>
      </c>
      <c r="AF62" s="90">
        <f>'Combined data'!AF62-'Combined data'!AE62</f>
        <v>0</v>
      </c>
      <c r="AG62" s="90">
        <f>'Combined data'!AG62-'Combined data'!AF62</f>
        <v>0</v>
      </c>
      <c r="AH62" s="90">
        <f>'Combined data'!AH62-'Combined data'!AG62</f>
        <v>0</v>
      </c>
      <c r="AI62" s="90">
        <f>'Combined data'!AI62-'Combined data'!AH62</f>
        <v>0</v>
      </c>
      <c r="AJ62" s="90">
        <f>'Combined data'!AJ62-'Combined data'!AI62</f>
        <v>0</v>
      </c>
      <c r="AK62" s="90">
        <f>'Combined data'!AK62-'Combined data'!AJ62</f>
        <v>0</v>
      </c>
      <c r="AL62" s="90">
        <f>'Combined data'!AL62-'Combined data'!AK62</f>
        <v>0</v>
      </c>
      <c r="AM62" s="90">
        <f>'Combined data'!AM62-'Combined data'!AL62</f>
        <v>0</v>
      </c>
      <c r="AN62" s="90">
        <f>'Combined data'!AN62-'Combined data'!AM62</f>
        <v>0</v>
      </c>
      <c r="AO62" s="90">
        <f>'Combined data'!AO62-'Combined data'!AN62</f>
        <v>0</v>
      </c>
      <c r="AP62" s="56">
        <f t="shared" si="23"/>
        <v>0</v>
      </c>
      <c r="AQ62" s="113"/>
      <c r="AR62" s="17">
        <f>'Combined data'!AR62</f>
        <v>70</v>
      </c>
      <c r="AS62" s="17">
        <f>'Combined data'!AS62-'Combined data'!AR62</f>
        <v>3</v>
      </c>
      <c r="AT62" s="17">
        <f>'Combined data'!AT62-'Combined data'!AS62</f>
        <v>7</v>
      </c>
      <c r="AU62" s="17">
        <f>'Combined data'!AU62-'Combined data'!AT62</f>
        <v>17</v>
      </c>
      <c r="AV62" s="17">
        <f>'Combined data'!AV62-'Combined data'!AU62</f>
        <v>8</v>
      </c>
      <c r="AW62" s="17">
        <f>'Combined data'!AW62-'Combined data'!AV62</f>
        <v>13</v>
      </c>
      <c r="AX62" s="17">
        <f>'Combined data'!AX62-'Combined data'!AW62</f>
        <v>13</v>
      </c>
      <c r="AY62" s="17">
        <f>'Combined data'!AY62-'Combined data'!AX62</f>
        <v>14</v>
      </c>
      <c r="AZ62" s="17">
        <f>'Combined data'!AZ62-'Combined data'!AY62</f>
        <v>18</v>
      </c>
      <c r="BA62" s="17">
        <f>'Combined data'!BA62-'Combined data'!AZ62</f>
        <v>8</v>
      </c>
      <c r="BB62" s="17">
        <f>'Combined data'!BB62-'Combined data'!BA62</f>
        <v>3</v>
      </c>
      <c r="BC62" s="17">
        <f>'Combined data'!BC62-'Combined data'!BB62</f>
        <v>14</v>
      </c>
      <c r="BD62" s="17">
        <f>'Combined data'!BD62-'Combined data'!BC62</f>
        <v>6</v>
      </c>
      <c r="BE62" s="17">
        <f>'Combined data'!BE62-'Combined data'!BD62</f>
        <v>6</v>
      </c>
      <c r="BF62" s="17">
        <f>'Combined data'!BF62-'Combined data'!BE62</f>
        <v>12</v>
      </c>
      <c r="BG62" s="17">
        <f>'Combined data'!BG62-'Combined data'!BF62</f>
        <v>5</v>
      </c>
      <c r="BH62" s="17">
        <f>'Combined data'!BH62-'Combined data'!BG62</f>
        <v>6</v>
      </c>
      <c r="BI62" s="17">
        <f>'Combined data'!BI62-'Combined data'!BH62</f>
        <v>4</v>
      </c>
      <c r="BJ62" s="17">
        <f>'Combined data'!BJ62-'Combined data'!BI62</f>
        <v>7</v>
      </c>
      <c r="BK62" s="17">
        <f>'Combined data'!BK62-'Combined data'!BJ62</f>
        <v>8</v>
      </c>
      <c r="BL62" s="17">
        <f>'Combined data'!BL62-'Combined data'!BK62</f>
        <v>14</v>
      </c>
      <c r="BM62" s="17">
        <f>'Combined data'!BM62-'Combined data'!BL62</f>
        <v>7</v>
      </c>
      <c r="BN62" s="17">
        <f>'Combined data'!BN62-'Combined data'!BM62</f>
        <v>3</v>
      </c>
      <c r="BO62" s="17">
        <f>'Combined data'!BO62-'Combined data'!BN62</f>
        <v>-266</v>
      </c>
      <c r="BP62" s="17">
        <f>'Combined data'!BP62-'Combined data'!BO62</f>
        <v>0</v>
      </c>
      <c r="BQ62" s="17">
        <f>'Combined data'!BQ62-'Combined data'!BP62</f>
        <v>0</v>
      </c>
      <c r="BR62" s="17">
        <f>'Combined data'!BR62-'Combined data'!BQ62</f>
        <v>0</v>
      </c>
      <c r="BS62" s="17">
        <f>'Combined data'!BS62-'Combined data'!BR62</f>
        <v>0</v>
      </c>
      <c r="BT62" s="17">
        <f>'Combined data'!BT62-'Combined data'!BS62</f>
        <v>0</v>
      </c>
      <c r="BU62" s="17">
        <f>'Combined data'!BU62-'Combined data'!BT62</f>
        <v>0</v>
      </c>
      <c r="BV62" s="17">
        <f>'Combined data'!BV62-'Combined data'!BU62</f>
        <v>0</v>
      </c>
      <c r="BW62" s="17">
        <f>'Combined data'!BW62-'Combined data'!BV62</f>
        <v>0</v>
      </c>
      <c r="BX62" s="17">
        <f>'Combined data'!BX62-'Combined data'!BW62</f>
        <v>0</v>
      </c>
      <c r="BY62" s="17">
        <f>'Combined data'!BY62-'Combined data'!BX62</f>
        <v>0</v>
      </c>
      <c r="CB62" s="17">
        <f t="shared" si="25"/>
        <v>70</v>
      </c>
      <c r="CC62" s="17">
        <f t="shared" si="26"/>
        <v>3</v>
      </c>
      <c r="CD62" s="17">
        <f t="shared" si="27"/>
        <v>7</v>
      </c>
      <c r="CE62" s="17">
        <f t="shared" si="28"/>
        <v>17</v>
      </c>
      <c r="CF62" s="17">
        <f t="shared" si="29"/>
        <v>8</v>
      </c>
      <c r="CG62" s="17">
        <f t="shared" si="30"/>
        <v>13</v>
      </c>
      <c r="CH62" s="17">
        <f t="shared" si="31"/>
        <v>13</v>
      </c>
      <c r="CI62" s="17">
        <f t="shared" si="32"/>
        <v>14</v>
      </c>
      <c r="CJ62" s="17">
        <f t="shared" si="33"/>
        <v>18</v>
      </c>
      <c r="CK62" s="17">
        <f t="shared" si="34"/>
        <v>8</v>
      </c>
      <c r="CL62" s="17">
        <f t="shared" si="35"/>
        <v>3</v>
      </c>
      <c r="CM62" s="17">
        <f t="shared" si="36"/>
        <v>14</v>
      </c>
      <c r="CN62" s="17">
        <f t="shared" si="37"/>
        <v>6</v>
      </c>
      <c r="CO62" s="17">
        <f t="shared" si="38"/>
        <v>6</v>
      </c>
      <c r="CP62" s="17">
        <f t="shared" si="39"/>
        <v>12</v>
      </c>
      <c r="CQ62" s="17">
        <f t="shared" si="40"/>
        <v>5</v>
      </c>
      <c r="CR62" s="17">
        <f t="shared" si="41"/>
        <v>6</v>
      </c>
      <c r="CS62" s="17">
        <f t="shared" si="42"/>
        <v>4</v>
      </c>
      <c r="CT62" s="17">
        <f t="shared" si="43"/>
        <v>7</v>
      </c>
      <c r="CU62" s="17">
        <f t="shared" si="44"/>
        <v>8</v>
      </c>
      <c r="CV62" s="17">
        <f t="shared" si="45"/>
        <v>14</v>
      </c>
      <c r="CW62" s="17">
        <f t="shared" si="46"/>
        <v>7</v>
      </c>
      <c r="CX62" s="17">
        <f t="shared" si="48"/>
        <v>3</v>
      </c>
      <c r="CY62" s="17">
        <f t="shared" si="48"/>
        <v>-266</v>
      </c>
      <c r="CZ62" s="17">
        <f t="shared" si="48"/>
        <v>0</v>
      </c>
      <c r="DA62" s="17">
        <f t="shared" si="48"/>
        <v>0</v>
      </c>
      <c r="DB62" s="17">
        <f t="shared" si="48"/>
        <v>0</v>
      </c>
      <c r="DC62" s="17">
        <f t="shared" si="48"/>
        <v>0</v>
      </c>
      <c r="DD62" s="17">
        <f t="shared" si="48"/>
        <v>0</v>
      </c>
      <c r="DE62" s="17">
        <f t="shared" si="48"/>
        <v>0</v>
      </c>
      <c r="DF62" s="17">
        <f t="shared" si="48"/>
        <v>0</v>
      </c>
      <c r="DG62" s="17">
        <f t="shared" si="48"/>
        <v>0</v>
      </c>
      <c r="DH62" s="17">
        <f t="shared" si="48"/>
        <v>0</v>
      </c>
      <c r="DI62" s="17">
        <f t="shared" si="48"/>
        <v>0</v>
      </c>
    </row>
    <row r="63" spans="1:113" ht="15.75" x14ac:dyDescent="0.25">
      <c r="A63" s="4" t="s">
        <v>115</v>
      </c>
      <c r="B63" s="6" t="s">
        <v>116</v>
      </c>
      <c r="H63" s="90">
        <f>'Combined data'!H63</f>
        <v>282</v>
      </c>
      <c r="I63" s="90">
        <f>'Combined data'!I63-'Combined data'!H63</f>
        <v>18</v>
      </c>
      <c r="J63" s="90">
        <f>'Combined data'!J63-'Combined data'!I63</f>
        <v>20</v>
      </c>
      <c r="K63" s="90">
        <f>'Combined data'!K63-'Combined data'!J63</f>
        <v>47</v>
      </c>
      <c r="L63" s="90">
        <f>'Combined data'!L63-'Combined data'!K63</f>
        <v>27</v>
      </c>
      <c r="M63" s="90">
        <f>'Combined data'!M63-'Combined data'!L63</f>
        <v>46</v>
      </c>
      <c r="N63" s="90">
        <f>'Combined data'!N63-'Combined data'!M63</f>
        <v>45</v>
      </c>
      <c r="O63" s="90">
        <f>'Combined data'!O63-'Combined data'!N63</f>
        <v>19</v>
      </c>
      <c r="P63" s="90">
        <f>'Combined data'!P63-'Combined data'!O63</f>
        <v>22</v>
      </c>
      <c r="Q63" s="90">
        <f>'Combined data'!Q63-'Combined data'!P63</f>
        <v>18</v>
      </c>
      <c r="R63" s="90">
        <f>'Combined data'!R63-'Combined data'!Q63</f>
        <v>9</v>
      </c>
      <c r="S63" s="90">
        <f>'Combined data'!S63-'Combined data'!R63</f>
        <v>7</v>
      </c>
      <c r="T63" s="90">
        <f>'Combined data'!T63-'Combined data'!S63</f>
        <v>12</v>
      </c>
      <c r="U63" s="90">
        <f>'Combined data'!U63-'Combined data'!T63</f>
        <v>9</v>
      </c>
      <c r="V63" s="90">
        <f>'Combined data'!V63-'Combined data'!U63</f>
        <v>11</v>
      </c>
      <c r="W63" s="90">
        <f>'Combined data'!W63-'Combined data'!V63</f>
        <v>13</v>
      </c>
      <c r="X63" s="90">
        <f>'Combined data'!X63-'Combined data'!W63</f>
        <v>3</v>
      </c>
      <c r="Y63" s="90">
        <f>'Combined data'!Y63-'Combined data'!X63</f>
        <v>7</v>
      </c>
      <c r="Z63" s="90">
        <f>'Combined data'!Z63-'Combined data'!Y63</f>
        <v>9</v>
      </c>
      <c r="AA63" s="90">
        <f>'Combined data'!AA63-'Combined data'!Z63</f>
        <v>8</v>
      </c>
      <c r="AB63" s="90">
        <f>'Combined data'!AB63-'Combined data'!AA63</f>
        <v>9</v>
      </c>
      <c r="AC63" s="90">
        <f>'Combined data'!AC63-'Combined data'!AB63</f>
        <v>3</v>
      </c>
      <c r="AD63" s="90">
        <f>'Combined data'!AD63-'Combined data'!AC63</f>
        <v>12</v>
      </c>
      <c r="AE63" s="90">
        <f>'Combined data'!AE63-'Combined data'!AD63</f>
        <v>-656</v>
      </c>
      <c r="AF63" s="90">
        <f>'Combined data'!AF63-'Combined data'!AE63</f>
        <v>0</v>
      </c>
      <c r="AG63" s="90">
        <f>'Combined data'!AG63-'Combined data'!AF63</f>
        <v>0</v>
      </c>
      <c r="AH63" s="90">
        <f>'Combined data'!AH63-'Combined data'!AG63</f>
        <v>0</v>
      </c>
      <c r="AI63" s="90">
        <f>'Combined data'!AI63-'Combined data'!AH63</f>
        <v>0</v>
      </c>
      <c r="AJ63" s="90">
        <f>'Combined data'!AJ63-'Combined data'!AI63</f>
        <v>0</v>
      </c>
      <c r="AK63" s="90">
        <f>'Combined data'!AK63-'Combined data'!AJ63</f>
        <v>0</v>
      </c>
      <c r="AL63" s="90">
        <f>'Combined data'!AL63-'Combined data'!AK63</f>
        <v>0</v>
      </c>
      <c r="AM63" s="90">
        <f>'Combined data'!AM63-'Combined data'!AL63</f>
        <v>0</v>
      </c>
      <c r="AN63" s="90">
        <f>'Combined data'!AN63-'Combined data'!AM63</f>
        <v>0</v>
      </c>
      <c r="AO63" s="90">
        <f>'Combined data'!AO63-'Combined data'!AN63</f>
        <v>0</v>
      </c>
      <c r="AP63" s="56">
        <f t="shared" si="23"/>
        <v>0</v>
      </c>
      <c r="AQ63" s="113"/>
      <c r="AR63" s="17">
        <f>'Combined data'!AR63</f>
        <v>149</v>
      </c>
      <c r="AS63" s="17">
        <f>'Combined data'!AS63-'Combined data'!AR63</f>
        <v>16</v>
      </c>
      <c r="AT63" s="17">
        <f>'Combined data'!AT63-'Combined data'!AS63</f>
        <v>26</v>
      </c>
      <c r="AU63" s="17">
        <f>'Combined data'!AU63-'Combined data'!AT63</f>
        <v>25</v>
      </c>
      <c r="AV63" s="17">
        <f>'Combined data'!AV63-'Combined data'!AU63</f>
        <v>26</v>
      </c>
      <c r="AW63" s="17">
        <f>'Combined data'!AW63-'Combined data'!AV63</f>
        <v>15</v>
      </c>
      <c r="AX63" s="17">
        <f>'Combined data'!AX63-'Combined data'!AW63</f>
        <v>47</v>
      </c>
      <c r="AY63" s="17">
        <f>'Combined data'!AY63-'Combined data'!AX63</f>
        <v>29</v>
      </c>
      <c r="AZ63" s="17">
        <f>'Combined data'!AZ63-'Combined data'!AY63</f>
        <v>16</v>
      </c>
      <c r="BA63" s="17">
        <f>'Combined data'!BA63-'Combined data'!AZ63</f>
        <v>11</v>
      </c>
      <c r="BB63" s="17">
        <f>'Combined data'!BB63-'Combined data'!BA63</f>
        <v>15</v>
      </c>
      <c r="BC63" s="17">
        <f>'Combined data'!BC63-'Combined data'!BB63</f>
        <v>20</v>
      </c>
      <c r="BD63" s="17">
        <f>'Combined data'!BD63-'Combined data'!BC63</f>
        <v>21</v>
      </c>
      <c r="BE63" s="17">
        <f>'Combined data'!BE63-'Combined data'!BD63</f>
        <v>27</v>
      </c>
      <c r="BF63" s="17">
        <f>'Combined data'!BF63-'Combined data'!BE63</f>
        <v>17</v>
      </c>
      <c r="BG63" s="17">
        <f>'Combined data'!BG63-'Combined data'!BF63</f>
        <v>8</v>
      </c>
      <c r="BH63" s="17">
        <f>'Combined data'!BH63-'Combined data'!BG63</f>
        <v>9</v>
      </c>
      <c r="BI63" s="17">
        <f>'Combined data'!BI63-'Combined data'!BH63</f>
        <v>12</v>
      </c>
      <c r="BJ63" s="17">
        <f>'Combined data'!BJ63-'Combined data'!BI63</f>
        <v>12</v>
      </c>
      <c r="BK63" s="17">
        <f>'Combined data'!BK63-'Combined data'!BJ63</f>
        <v>13</v>
      </c>
      <c r="BL63" s="17">
        <f>'Combined data'!BL63-'Combined data'!BK63</f>
        <v>11</v>
      </c>
      <c r="BM63" s="17">
        <f>'Combined data'!BM63-'Combined data'!BL63</f>
        <v>1</v>
      </c>
      <c r="BN63" s="17">
        <f>'Combined data'!BN63-'Combined data'!BM63</f>
        <v>9</v>
      </c>
      <c r="BO63" s="17">
        <f>'Combined data'!BO63-'Combined data'!BN63</f>
        <v>-535</v>
      </c>
      <c r="BP63" s="17">
        <f>'Combined data'!BP63-'Combined data'!BO63</f>
        <v>0</v>
      </c>
      <c r="BQ63" s="17">
        <f>'Combined data'!BQ63-'Combined data'!BP63</f>
        <v>0</v>
      </c>
      <c r="BR63" s="17">
        <f>'Combined data'!BR63-'Combined data'!BQ63</f>
        <v>0</v>
      </c>
      <c r="BS63" s="17">
        <f>'Combined data'!BS63-'Combined data'!BR63</f>
        <v>0</v>
      </c>
      <c r="BT63" s="17">
        <f>'Combined data'!BT63-'Combined data'!BS63</f>
        <v>0</v>
      </c>
      <c r="BU63" s="17">
        <f>'Combined data'!BU63-'Combined data'!BT63</f>
        <v>0</v>
      </c>
      <c r="BV63" s="17">
        <f>'Combined data'!BV63-'Combined data'!BU63</f>
        <v>0</v>
      </c>
      <c r="BW63" s="17">
        <f>'Combined data'!BW63-'Combined data'!BV63</f>
        <v>0</v>
      </c>
      <c r="BX63" s="17">
        <f>'Combined data'!BX63-'Combined data'!BW63</f>
        <v>0</v>
      </c>
      <c r="BY63" s="17">
        <f>'Combined data'!BY63-'Combined data'!BX63</f>
        <v>0</v>
      </c>
      <c r="CB63" s="17">
        <f t="shared" si="25"/>
        <v>149</v>
      </c>
      <c r="CC63" s="17">
        <f t="shared" si="26"/>
        <v>16</v>
      </c>
      <c r="CD63" s="17">
        <f t="shared" si="27"/>
        <v>26</v>
      </c>
      <c r="CE63" s="17">
        <f t="shared" si="28"/>
        <v>25</v>
      </c>
      <c r="CF63" s="17">
        <f t="shared" si="29"/>
        <v>26</v>
      </c>
      <c r="CG63" s="17">
        <f t="shared" si="30"/>
        <v>15</v>
      </c>
      <c r="CH63" s="17">
        <f t="shared" si="31"/>
        <v>47</v>
      </c>
      <c r="CI63" s="17">
        <f t="shared" si="32"/>
        <v>29</v>
      </c>
      <c r="CJ63" s="17">
        <f t="shared" si="33"/>
        <v>16</v>
      </c>
      <c r="CK63" s="17">
        <f t="shared" si="34"/>
        <v>11</v>
      </c>
      <c r="CL63" s="17">
        <f t="shared" si="35"/>
        <v>15</v>
      </c>
      <c r="CM63" s="17">
        <f t="shared" si="36"/>
        <v>20</v>
      </c>
      <c r="CN63" s="17">
        <f t="shared" si="37"/>
        <v>21</v>
      </c>
      <c r="CO63" s="17">
        <f t="shared" si="38"/>
        <v>27</v>
      </c>
      <c r="CP63" s="17">
        <f t="shared" si="39"/>
        <v>17</v>
      </c>
      <c r="CQ63" s="17">
        <f t="shared" si="40"/>
        <v>8</v>
      </c>
      <c r="CR63" s="17">
        <f t="shared" si="41"/>
        <v>9</v>
      </c>
      <c r="CS63" s="17">
        <f t="shared" si="42"/>
        <v>12</v>
      </c>
      <c r="CT63" s="17">
        <f t="shared" si="43"/>
        <v>12</v>
      </c>
      <c r="CU63" s="17">
        <f t="shared" si="44"/>
        <v>13</v>
      </c>
      <c r="CV63" s="17">
        <f t="shared" si="45"/>
        <v>11</v>
      </c>
      <c r="CW63" s="17">
        <f t="shared" si="46"/>
        <v>1</v>
      </c>
      <c r="CX63" s="17">
        <f t="shared" si="48"/>
        <v>9</v>
      </c>
      <c r="CY63" s="17">
        <f t="shared" si="48"/>
        <v>-535</v>
      </c>
      <c r="CZ63" s="17">
        <f t="shared" si="48"/>
        <v>0</v>
      </c>
      <c r="DA63" s="17">
        <f t="shared" si="48"/>
        <v>0</v>
      </c>
      <c r="DB63" s="17">
        <f t="shared" si="48"/>
        <v>0</v>
      </c>
      <c r="DC63" s="17">
        <f t="shared" si="48"/>
        <v>0</v>
      </c>
      <c r="DD63" s="17">
        <f t="shared" si="48"/>
        <v>0</v>
      </c>
      <c r="DE63" s="17">
        <f t="shared" si="48"/>
        <v>0</v>
      </c>
      <c r="DF63" s="17">
        <f t="shared" si="48"/>
        <v>0</v>
      </c>
      <c r="DG63" s="17">
        <f t="shared" si="48"/>
        <v>0</v>
      </c>
      <c r="DH63" s="17">
        <f t="shared" si="48"/>
        <v>0</v>
      </c>
      <c r="DI63" s="17">
        <f t="shared" si="48"/>
        <v>0</v>
      </c>
    </row>
    <row r="64" spans="1:113" ht="15.75" x14ac:dyDescent="0.25">
      <c r="A64" s="4" t="s">
        <v>117</v>
      </c>
      <c r="B64" s="6" t="s">
        <v>118</v>
      </c>
      <c r="H64" s="90">
        <f>'Combined data'!H64</f>
        <v>1236</v>
      </c>
      <c r="I64" s="90">
        <f>'Combined data'!I64-'Combined data'!H64</f>
        <v>70</v>
      </c>
      <c r="J64" s="90">
        <f>'Combined data'!J64-'Combined data'!I64</f>
        <v>73</v>
      </c>
      <c r="K64" s="90">
        <f>'Combined data'!K64-'Combined data'!J64</f>
        <v>87</v>
      </c>
      <c r="L64" s="90">
        <f>'Combined data'!L64-'Combined data'!K64</f>
        <v>29</v>
      </c>
      <c r="M64" s="90">
        <f>'Combined data'!M64-'Combined data'!L64</f>
        <v>31</v>
      </c>
      <c r="N64" s="90">
        <f>'Combined data'!N64-'Combined data'!M64</f>
        <v>127</v>
      </c>
      <c r="O64" s="90">
        <f>'Combined data'!O64-'Combined data'!N64</f>
        <v>37</v>
      </c>
      <c r="P64" s="90">
        <f>'Combined data'!P64-'Combined data'!O64</f>
        <v>71</v>
      </c>
      <c r="Q64" s="90">
        <f>'Combined data'!Q64-'Combined data'!P64</f>
        <v>46</v>
      </c>
      <c r="R64" s="90">
        <f>'Combined data'!R64-'Combined data'!Q64</f>
        <v>16</v>
      </c>
      <c r="S64" s="90">
        <f>'Combined data'!S64-'Combined data'!R64</f>
        <v>57</v>
      </c>
      <c r="T64" s="90">
        <f>'Combined data'!T64-'Combined data'!S64</f>
        <v>21</v>
      </c>
      <c r="U64" s="90">
        <f>'Combined data'!U64-'Combined data'!T64</f>
        <v>19</v>
      </c>
      <c r="V64" s="90">
        <f>'Combined data'!V64-'Combined data'!U64</f>
        <v>25</v>
      </c>
      <c r="W64" s="90">
        <f>'Combined data'!W64-'Combined data'!V64</f>
        <v>27</v>
      </c>
      <c r="X64" s="90">
        <f>'Combined data'!X64-'Combined data'!W64</f>
        <v>24</v>
      </c>
      <c r="Y64" s="90">
        <f>'Combined data'!Y64-'Combined data'!X64</f>
        <v>32</v>
      </c>
      <c r="Z64" s="90">
        <f>'Combined data'!Z64-'Combined data'!Y64</f>
        <v>35</v>
      </c>
      <c r="AA64" s="90">
        <f>'Combined data'!AA64-'Combined data'!Z64</f>
        <v>19</v>
      </c>
      <c r="AB64" s="90">
        <f>'Combined data'!AB64-'Combined data'!AA64</f>
        <v>8</v>
      </c>
      <c r="AC64" s="90">
        <f>'Combined data'!AC64-'Combined data'!AB64</f>
        <v>7</v>
      </c>
      <c r="AD64" s="90">
        <f>'Combined data'!AD64-'Combined data'!AC64</f>
        <v>61</v>
      </c>
      <c r="AE64" s="90">
        <f>'Combined data'!AE64-'Combined data'!AD64</f>
        <v>-2158</v>
      </c>
      <c r="AF64" s="90">
        <f>'Combined data'!AF64-'Combined data'!AE64</f>
        <v>0</v>
      </c>
      <c r="AG64" s="90">
        <f>'Combined data'!AG64-'Combined data'!AF64</f>
        <v>0</v>
      </c>
      <c r="AH64" s="90">
        <f>'Combined data'!AH64-'Combined data'!AG64</f>
        <v>0</v>
      </c>
      <c r="AI64" s="90">
        <f>'Combined data'!AI64-'Combined data'!AH64</f>
        <v>0</v>
      </c>
      <c r="AJ64" s="90">
        <f>'Combined data'!AJ64-'Combined data'!AI64</f>
        <v>0</v>
      </c>
      <c r="AK64" s="90">
        <f>'Combined data'!AK64-'Combined data'!AJ64</f>
        <v>0</v>
      </c>
      <c r="AL64" s="90">
        <f>'Combined data'!AL64-'Combined data'!AK64</f>
        <v>0</v>
      </c>
      <c r="AM64" s="90">
        <f>'Combined data'!AM64-'Combined data'!AL64</f>
        <v>0</v>
      </c>
      <c r="AN64" s="90">
        <f>'Combined data'!AN64-'Combined data'!AM64</f>
        <v>0</v>
      </c>
      <c r="AO64" s="90">
        <f>'Combined data'!AO64-'Combined data'!AN64</f>
        <v>0</v>
      </c>
      <c r="AP64" s="56">
        <f t="shared" si="23"/>
        <v>0</v>
      </c>
      <c r="AQ64" s="113"/>
      <c r="AR64" s="17">
        <f>'Combined data'!AR64</f>
        <v>622</v>
      </c>
      <c r="AS64" s="17">
        <f>'Combined data'!AS64-'Combined data'!AR64</f>
        <v>105</v>
      </c>
      <c r="AT64" s="17">
        <f>'Combined data'!AT64-'Combined data'!AS64</f>
        <v>74</v>
      </c>
      <c r="AU64" s="17">
        <f>'Combined data'!AU64-'Combined data'!AT64</f>
        <v>102</v>
      </c>
      <c r="AV64" s="17">
        <f>'Combined data'!AV64-'Combined data'!AU64</f>
        <v>78</v>
      </c>
      <c r="AW64" s="17">
        <f>'Combined data'!AW64-'Combined data'!AV64</f>
        <v>68</v>
      </c>
      <c r="AX64" s="17">
        <f>'Combined data'!AX64-'Combined data'!AW64</f>
        <v>101</v>
      </c>
      <c r="AY64" s="17">
        <f>'Combined data'!AY64-'Combined data'!AX64</f>
        <v>53</v>
      </c>
      <c r="AZ64" s="17">
        <f>'Combined data'!AZ64-'Combined data'!AY64</f>
        <v>75</v>
      </c>
      <c r="BA64" s="17">
        <f>'Combined data'!BA64-'Combined data'!AZ64</f>
        <v>61</v>
      </c>
      <c r="BB64" s="17">
        <f>'Combined data'!BB64-'Combined data'!BA64</f>
        <v>50</v>
      </c>
      <c r="BC64" s="17">
        <f>'Combined data'!BC64-'Combined data'!BB64</f>
        <v>54</v>
      </c>
      <c r="BD64" s="17">
        <f>'Combined data'!BD64-'Combined data'!BC64</f>
        <v>40</v>
      </c>
      <c r="BE64" s="17">
        <f>'Combined data'!BE64-'Combined data'!BD64</f>
        <v>26</v>
      </c>
      <c r="BF64" s="17">
        <f>'Combined data'!BF64-'Combined data'!BE64</f>
        <v>27</v>
      </c>
      <c r="BG64" s="17">
        <f>'Combined data'!BG64-'Combined data'!BF64</f>
        <v>28</v>
      </c>
      <c r="BH64" s="17">
        <f>'Combined data'!BH64-'Combined data'!BG64</f>
        <v>28</v>
      </c>
      <c r="BI64" s="17">
        <f>'Combined data'!BI64-'Combined data'!BH64</f>
        <v>22</v>
      </c>
      <c r="BJ64" s="17">
        <f>'Combined data'!BJ64-'Combined data'!BI64</f>
        <v>22</v>
      </c>
      <c r="BK64" s="17">
        <f>'Combined data'!BK64-'Combined data'!BJ64</f>
        <v>14</v>
      </c>
      <c r="BL64" s="17">
        <f>'Combined data'!BL64-'Combined data'!BK64</f>
        <v>56</v>
      </c>
      <c r="BM64" s="17">
        <f>'Combined data'!BM64-'Combined data'!BL64</f>
        <v>10</v>
      </c>
      <c r="BN64" s="17">
        <f>'Combined data'!BN64-'Combined data'!BM64</f>
        <v>16</v>
      </c>
      <c r="BO64" s="17">
        <f>'Combined data'!BO64-'Combined data'!BN64</f>
        <v>-1732</v>
      </c>
      <c r="BP64" s="17">
        <f>'Combined data'!BP64-'Combined data'!BO64</f>
        <v>0</v>
      </c>
      <c r="BQ64" s="17">
        <f>'Combined data'!BQ64-'Combined data'!BP64</f>
        <v>0</v>
      </c>
      <c r="BR64" s="17">
        <f>'Combined data'!BR64-'Combined data'!BQ64</f>
        <v>0</v>
      </c>
      <c r="BS64" s="17">
        <f>'Combined data'!BS64-'Combined data'!BR64</f>
        <v>0</v>
      </c>
      <c r="BT64" s="17">
        <f>'Combined data'!BT64-'Combined data'!BS64</f>
        <v>0</v>
      </c>
      <c r="BU64" s="17">
        <f>'Combined data'!BU64-'Combined data'!BT64</f>
        <v>0</v>
      </c>
      <c r="BV64" s="17">
        <f>'Combined data'!BV64-'Combined data'!BU64</f>
        <v>0</v>
      </c>
      <c r="BW64" s="17">
        <f>'Combined data'!BW64-'Combined data'!BV64</f>
        <v>0</v>
      </c>
      <c r="BX64" s="17">
        <f>'Combined data'!BX64-'Combined data'!BW64</f>
        <v>0</v>
      </c>
      <c r="BY64" s="17">
        <f>'Combined data'!BY64-'Combined data'!BX64</f>
        <v>0</v>
      </c>
      <c r="CB64" s="17">
        <f t="shared" si="25"/>
        <v>622</v>
      </c>
      <c r="CC64" s="17">
        <f t="shared" si="26"/>
        <v>105</v>
      </c>
      <c r="CD64" s="17">
        <f t="shared" si="27"/>
        <v>74</v>
      </c>
      <c r="CE64" s="17">
        <f t="shared" si="28"/>
        <v>102</v>
      </c>
      <c r="CF64" s="17">
        <f t="shared" si="29"/>
        <v>78</v>
      </c>
      <c r="CG64" s="17">
        <f t="shared" si="30"/>
        <v>68</v>
      </c>
      <c r="CH64" s="17">
        <f t="shared" si="31"/>
        <v>101</v>
      </c>
      <c r="CI64" s="17">
        <f t="shared" si="32"/>
        <v>53</v>
      </c>
      <c r="CJ64" s="17">
        <f t="shared" si="33"/>
        <v>75</v>
      </c>
      <c r="CK64" s="17">
        <f t="shared" si="34"/>
        <v>61</v>
      </c>
      <c r="CL64" s="17">
        <f t="shared" si="35"/>
        <v>50</v>
      </c>
      <c r="CM64" s="17">
        <f t="shared" si="36"/>
        <v>54</v>
      </c>
      <c r="CN64" s="17">
        <f t="shared" si="37"/>
        <v>40</v>
      </c>
      <c r="CO64" s="17">
        <f t="shared" si="38"/>
        <v>26</v>
      </c>
      <c r="CP64" s="17">
        <f t="shared" si="39"/>
        <v>27</v>
      </c>
      <c r="CQ64" s="17">
        <f t="shared" si="40"/>
        <v>28</v>
      </c>
      <c r="CR64" s="17">
        <f t="shared" si="41"/>
        <v>28</v>
      </c>
      <c r="CS64" s="17">
        <f t="shared" si="42"/>
        <v>22</v>
      </c>
      <c r="CT64" s="17">
        <f t="shared" si="43"/>
        <v>22</v>
      </c>
      <c r="CU64" s="17">
        <f t="shared" si="44"/>
        <v>14</v>
      </c>
      <c r="CV64" s="17">
        <f t="shared" si="45"/>
        <v>56</v>
      </c>
      <c r="CW64" s="17">
        <f t="shared" si="46"/>
        <v>10</v>
      </c>
      <c r="CX64" s="17">
        <f t="shared" si="48"/>
        <v>16</v>
      </c>
      <c r="CY64" s="17">
        <f t="shared" si="48"/>
        <v>-1732</v>
      </c>
      <c r="CZ64" s="17">
        <f t="shared" si="48"/>
        <v>0</v>
      </c>
      <c r="DA64" s="17">
        <f t="shared" si="48"/>
        <v>0</v>
      </c>
      <c r="DB64" s="17">
        <f t="shared" si="48"/>
        <v>0</v>
      </c>
      <c r="DC64" s="17">
        <f t="shared" si="48"/>
        <v>0</v>
      </c>
      <c r="DD64" s="17">
        <f t="shared" si="48"/>
        <v>0</v>
      </c>
      <c r="DE64" s="17">
        <f t="shared" si="48"/>
        <v>0</v>
      </c>
      <c r="DF64" s="17">
        <f t="shared" si="48"/>
        <v>0</v>
      </c>
      <c r="DG64" s="17">
        <f t="shared" si="48"/>
        <v>0</v>
      </c>
      <c r="DH64" s="17">
        <f t="shared" si="48"/>
        <v>0</v>
      </c>
      <c r="DI64" s="17">
        <f t="shared" si="48"/>
        <v>0</v>
      </c>
    </row>
    <row r="65" spans="1:113" ht="15.75" x14ac:dyDescent="0.25">
      <c r="A65" s="4" t="s">
        <v>119</v>
      </c>
      <c r="B65" s="6" t="s">
        <v>120</v>
      </c>
      <c r="H65" s="90">
        <f>'Combined data'!H65</f>
        <v>230</v>
      </c>
      <c r="I65" s="90">
        <f>'Combined data'!I65-'Combined data'!H65</f>
        <v>25</v>
      </c>
      <c r="J65" s="90">
        <f>'Combined data'!J65-'Combined data'!I65</f>
        <v>17</v>
      </c>
      <c r="K65" s="90">
        <f>'Combined data'!K65-'Combined data'!J65</f>
        <v>23</v>
      </c>
      <c r="L65" s="90">
        <f>'Combined data'!L65-'Combined data'!K65</f>
        <v>4</v>
      </c>
      <c r="M65" s="90">
        <f>'Combined data'!M65-'Combined data'!L65</f>
        <v>8</v>
      </c>
      <c r="N65" s="90">
        <f>'Combined data'!N65-'Combined data'!M65</f>
        <v>18</v>
      </c>
      <c r="O65" s="90">
        <f>'Combined data'!O65-'Combined data'!N65</f>
        <v>7</v>
      </c>
      <c r="P65" s="90">
        <f>'Combined data'!P65-'Combined data'!O65</f>
        <v>18</v>
      </c>
      <c r="Q65" s="90">
        <f>'Combined data'!Q65-'Combined data'!P65</f>
        <v>9</v>
      </c>
      <c r="R65" s="90">
        <f>'Combined data'!R65-'Combined data'!Q65</f>
        <v>8</v>
      </c>
      <c r="S65" s="90">
        <f>'Combined data'!S65-'Combined data'!R65</f>
        <v>8</v>
      </c>
      <c r="T65" s="90">
        <f>'Combined data'!T65-'Combined data'!S65</f>
        <v>13</v>
      </c>
      <c r="U65" s="90">
        <f>'Combined data'!U65-'Combined data'!T65</f>
        <v>12</v>
      </c>
      <c r="V65" s="90">
        <f>'Combined data'!V65-'Combined data'!U65</f>
        <v>3</v>
      </c>
      <c r="W65" s="90">
        <f>'Combined data'!W65-'Combined data'!V65</f>
        <v>4</v>
      </c>
      <c r="X65" s="90">
        <f>'Combined data'!X65-'Combined data'!W65</f>
        <v>3</v>
      </c>
      <c r="Y65" s="90">
        <f>'Combined data'!Y65-'Combined data'!X65</f>
        <v>13</v>
      </c>
      <c r="Z65" s="90">
        <f>'Combined data'!Z65-'Combined data'!Y65</f>
        <v>7</v>
      </c>
      <c r="AA65" s="90">
        <f>'Combined data'!AA65-'Combined data'!Z65</f>
        <v>4</v>
      </c>
      <c r="AB65" s="90">
        <f>'Combined data'!AB65-'Combined data'!AA65</f>
        <v>0</v>
      </c>
      <c r="AC65" s="90">
        <f>'Combined data'!AC65-'Combined data'!AB65</f>
        <v>1</v>
      </c>
      <c r="AD65" s="90">
        <f>'Combined data'!AD65-'Combined data'!AC65</f>
        <v>11</v>
      </c>
      <c r="AE65" s="90">
        <f>'Combined data'!AE65-'Combined data'!AD65</f>
        <v>-446</v>
      </c>
      <c r="AF65" s="90">
        <f>'Combined data'!AF65-'Combined data'!AE65</f>
        <v>0</v>
      </c>
      <c r="AG65" s="90">
        <f>'Combined data'!AG65-'Combined data'!AF65</f>
        <v>0</v>
      </c>
      <c r="AH65" s="90">
        <f>'Combined data'!AH65-'Combined data'!AG65</f>
        <v>0</v>
      </c>
      <c r="AI65" s="90">
        <f>'Combined data'!AI65-'Combined data'!AH65</f>
        <v>0</v>
      </c>
      <c r="AJ65" s="90">
        <f>'Combined data'!AJ65-'Combined data'!AI65</f>
        <v>0</v>
      </c>
      <c r="AK65" s="90">
        <f>'Combined data'!AK65-'Combined data'!AJ65</f>
        <v>0</v>
      </c>
      <c r="AL65" s="90">
        <f>'Combined data'!AL65-'Combined data'!AK65</f>
        <v>0</v>
      </c>
      <c r="AM65" s="90">
        <f>'Combined data'!AM65-'Combined data'!AL65</f>
        <v>0</v>
      </c>
      <c r="AN65" s="90">
        <f>'Combined data'!AN65-'Combined data'!AM65</f>
        <v>0</v>
      </c>
      <c r="AO65" s="90">
        <f>'Combined data'!AO65-'Combined data'!AN65</f>
        <v>0</v>
      </c>
      <c r="AP65" s="56">
        <f t="shared" si="23"/>
        <v>0</v>
      </c>
      <c r="AQ65" s="113"/>
      <c r="AR65" s="17">
        <f>'Combined data'!AR65</f>
        <v>95</v>
      </c>
      <c r="AS65" s="17">
        <f>'Combined data'!AS65-'Combined data'!AR65</f>
        <v>20</v>
      </c>
      <c r="AT65" s="17">
        <f>'Combined data'!AT65-'Combined data'!AS65</f>
        <v>10</v>
      </c>
      <c r="AU65" s="17">
        <f>'Combined data'!AU65-'Combined data'!AT65</f>
        <v>12</v>
      </c>
      <c r="AV65" s="17">
        <f>'Combined data'!AV65-'Combined data'!AU65</f>
        <v>11</v>
      </c>
      <c r="AW65" s="17">
        <f>'Combined data'!AW65-'Combined data'!AV65</f>
        <v>21</v>
      </c>
      <c r="AX65" s="17">
        <f>'Combined data'!AX65-'Combined data'!AW65</f>
        <v>26</v>
      </c>
      <c r="AY65" s="17">
        <f>'Combined data'!AY65-'Combined data'!AX65</f>
        <v>18</v>
      </c>
      <c r="AZ65" s="17">
        <f>'Combined data'!AZ65-'Combined data'!AY65</f>
        <v>14</v>
      </c>
      <c r="BA65" s="17">
        <f>'Combined data'!BA65-'Combined data'!AZ65</f>
        <v>16</v>
      </c>
      <c r="BB65" s="17">
        <f>'Combined data'!BB65-'Combined data'!BA65</f>
        <v>4</v>
      </c>
      <c r="BC65" s="17">
        <f>'Combined data'!BC65-'Combined data'!BB65</f>
        <v>22</v>
      </c>
      <c r="BD65" s="17">
        <f>'Combined data'!BD65-'Combined data'!BC65</f>
        <v>12</v>
      </c>
      <c r="BE65" s="17">
        <f>'Combined data'!BE65-'Combined data'!BD65</f>
        <v>6</v>
      </c>
      <c r="BF65" s="17">
        <f>'Combined data'!BF65-'Combined data'!BE65</f>
        <v>4</v>
      </c>
      <c r="BG65" s="17">
        <f>'Combined data'!BG65-'Combined data'!BF65</f>
        <v>7</v>
      </c>
      <c r="BH65" s="17">
        <f>'Combined data'!BH65-'Combined data'!BG65</f>
        <v>7</v>
      </c>
      <c r="BI65" s="17">
        <f>'Combined data'!BI65-'Combined data'!BH65</f>
        <v>7</v>
      </c>
      <c r="BJ65" s="17">
        <f>'Combined data'!BJ65-'Combined data'!BI65</f>
        <v>5</v>
      </c>
      <c r="BK65" s="17">
        <f>'Combined data'!BK65-'Combined data'!BJ65</f>
        <v>10</v>
      </c>
      <c r="BL65" s="17">
        <f>'Combined data'!BL65-'Combined data'!BK65</f>
        <v>4</v>
      </c>
      <c r="BM65" s="17">
        <f>'Combined data'!BM65-'Combined data'!BL65</f>
        <v>0</v>
      </c>
      <c r="BN65" s="17">
        <f>'Combined data'!BN65-'Combined data'!BM65</f>
        <v>7</v>
      </c>
      <c r="BO65" s="17">
        <f>'Combined data'!BO65-'Combined data'!BN65</f>
        <v>-338</v>
      </c>
      <c r="BP65" s="17">
        <f>'Combined data'!BP65-'Combined data'!BO65</f>
        <v>0</v>
      </c>
      <c r="BQ65" s="17">
        <f>'Combined data'!BQ65-'Combined data'!BP65</f>
        <v>0</v>
      </c>
      <c r="BR65" s="17">
        <f>'Combined data'!BR65-'Combined data'!BQ65</f>
        <v>0</v>
      </c>
      <c r="BS65" s="17">
        <f>'Combined data'!BS65-'Combined data'!BR65</f>
        <v>0</v>
      </c>
      <c r="BT65" s="17">
        <f>'Combined data'!BT65-'Combined data'!BS65</f>
        <v>0</v>
      </c>
      <c r="BU65" s="17">
        <f>'Combined data'!BU65-'Combined data'!BT65</f>
        <v>0</v>
      </c>
      <c r="BV65" s="17">
        <f>'Combined data'!BV65-'Combined data'!BU65</f>
        <v>0</v>
      </c>
      <c r="BW65" s="17">
        <f>'Combined data'!BW65-'Combined data'!BV65</f>
        <v>0</v>
      </c>
      <c r="BX65" s="17">
        <f>'Combined data'!BX65-'Combined data'!BW65</f>
        <v>0</v>
      </c>
      <c r="BY65" s="17">
        <f>'Combined data'!BY65-'Combined data'!BX65</f>
        <v>0</v>
      </c>
      <c r="CB65" s="17">
        <f t="shared" si="25"/>
        <v>95</v>
      </c>
      <c r="CC65" s="17">
        <f t="shared" si="26"/>
        <v>20</v>
      </c>
      <c r="CD65" s="17">
        <f t="shared" si="27"/>
        <v>10</v>
      </c>
      <c r="CE65" s="17">
        <f t="shared" si="28"/>
        <v>12</v>
      </c>
      <c r="CF65" s="17">
        <f t="shared" si="29"/>
        <v>11</v>
      </c>
      <c r="CG65" s="17">
        <f t="shared" si="30"/>
        <v>21</v>
      </c>
      <c r="CH65" s="17">
        <f t="shared" si="31"/>
        <v>26</v>
      </c>
      <c r="CI65" s="17">
        <f t="shared" si="32"/>
        <v>18</v>
      </c>
      <c r="CJ65" s="17">
        <f t="shared" si="33"/>
        <v>14</v>
      </c>
      <c r="CK65" s="17">
        <f t="shared" si="34"/>
        <v>16</v>
      </c>
      <c r="CL65" s="17">
        <f t="shared" si="35"/>
        <v>4</v>
      </c>
      <c r="CM65" s="17">
        <f t="shared" si="36"/>
        <v>22</v>
      </c>
      <c r="CN65" s="17">
        <f t="shared" si="37"/>
        <v>12</v>
      </c>
      <c r="CO65" s="17">
        <f t="shared" si="38"/>
        <v>6</v>
      </c>
      <c r="CP65" s="17">
        <f t="shared" si="39"/>
        <v>4</v>
      </c>
      <c r="CQ65" s="17">
        <f t="shared" si="40"/>
        <v>7</v>
      </c>
      <c r="CR65" s="17">
        <f t="shared" si="41"/>
        <v>7</v>
      </c>
      <c r="CS65" s="17">
        <f t="shared" si="42"/>
        <v>7</v>
      </c>
      <c r="CT65" s="17">
        <f t="shared" si="43"/>
        <v>5</v>
      </c>
      <c r="CU65" s="17">
        <f t="shared" si="44"/>
        <v>10</v>
      </c>
      <c r="CV65" s="17">
        <f t="shared" si="45"/>
        <v>4</v>
      </c>
      <c r="CW65" s="17">
        <f t="shared" si="46"/>
        <v>0</v>
      </c>
      <c r="CX65" s="17">
        <f t="shared" si="48"/>
        <v>7</v>
      </c>
      <c r="CY65" s="17">
        <f t="shared" si="48"/>
        <v>-338</v>
      </c>
      <c r="CZ65" s="17">
        <f t="shared" si="48"/>
        <v>0</v>
      </c>
      <c r="DA65" s="17">
        <f t="shared" si="48"/>
        <v>0</v>
      </c>
      <c r="DB65" s="17">
        <f t="shared" si="48"/>
        <v>0</v>
      </c>
      <c r="DC65" s="17">
        <f t="shared" si="48"/>
        <v>0</v>
      </c>
      <c r="DD65" s="17">
        <f t="shared" si="48"/>
        <v>0</v>
      </c>
      <c r="DE65" s="17">
        <f t="shared" si="48"/>
        <v>0</v>
      </c>
      <c r="DF65" s="17">
        <f t="shared" si="48"/>
        <v>0</v>
      </c>
      <c r="DG65" s="17">
        <f t="shared" si="48"/>
        <v>0</v>
      </c>
      <c r="DH65" s="17">
        <f t="shared" si="48"/>
        <v>0</v>
      </c>
      <c r="DI65" s="17">
        <f t="shared" si="48"/>
        <v>0</v>
      </c>
    </row>
    <row r="66" spans="1:113" ht="15.75" x14ac:dyDescent="0.25">
      <c r="A66" s="4" t="s">
        <v>121</v>
      </c>
      <c r="B66" s="6" t="s">
        <v>122</v>
      </c>
      <c r="H66" s="90">
        <f>'Combined data'!H66</f>
        <v>252</v>
      </c>
      <c r="I66" s="90">
        <f>'Combined data'!I66-'Combined data'!H66</f>
        <v>19</v>
      </c>
      <c r="J66" s="90">
        <f>'Combined data'!J66-'Combined data'!I66</f>
        <v>9</v>
      </c>
      <c r="K66" s="90">
        <f>'Combined data'!K66-'Combined data'!J66</f>
        <v>30</v>
      </c>
      <c r="L66" s="90">
        <f>'Combined data'!L66-'Combined data'!K66</f>
        <v>6</v>
      </c>
      <c r="M66" s="90">
        <f>'Combined data'!M66-'Combined data'!L66</f>
        <v>5</v>
      </c>
      <c r="N66" s="90">
        <f>'Combined data'!N66-'Combined data'!M66</f>
        <v>20</v>
      </c>
      <c r="O66" s="90">
        <f>'Combined data'!O66-'Combined data'!N66</f>
        <v>11</v>
      </c>
      <c r="P66" s="90">
        <f>'Combined data'!P66-'Combined data'!O66</f>
        <v>10</v>
      </c>
      <c r="Q66" s="90">
        <f>'Combined data'!Q66-'Combined data'!P66</f>
        <v>17</v>
      </c>
      <c r="R66" s="90">
        <f>'Combined data'!R66-'Combined data'!Q66</f>
        <v>9</v>
      </c>
      <c r="S66" s="90">
        <f>'Combined data'!S66-'Combined data'!R66</f>
        <v>9</v>
      </c>
      <c r="T66" s="90">
        <f>'Combined data'!T66-'Combined data'!S66</f>
        <v>12</v>
      </c>
      <c r="U66" s="90">
        <f>'Combined data'!U66-'Combined data'!T66</f>
        <v>26</v>
      </c>
      <c r="V66" s="90">
        <f>'Combined data'!V66-'Combined data'!U66</f>
        <v>12</v>
      </c>
      <c r="W66" s="90">
        <f>'Combined data'!W66-'Combined data'!V66</f>
        <v>17</v>
      </c>
      <c r="X66" s="90">
        <f>'Combined data'!X66-'Combined data'!W66</f>
        <v>6</v>
      </c>
      <c r="Y66" s="90">
        <f>'Combined data'!Y66-'Combined data'!X66</f>
        <v>13</v>
      </c>
      <c r="Z66" s="90">
        <f>'Combined data'!Z66-'Combined data'!Y66</f>
        <v>16</v>
      </c>
      <c r="AA66" s="90">
        <f>'Combined data'!AA66-'Combined data'!Z66</f>
        <v>6</v>
      </c>
      <c r="AB66" s="90">
        <f>'Combined data'!AB66-'Combined data'!AA66</f>
        <v>16</v>
      </c>
      <c r="AC66" s="90">
        <f>'Combined data'!AC66-'Combined data'!AB66</f>
        <v>9</v>
      </c>
      <c r="AD66" s="90">
        <f>'Combined data'!AD66-'Combined data'!AC66</f>
        <v>30</v>
      </c>
      <c r="AE66" s="90">
        <f>'Combined data'!AE66-'Combined data'!AD66</f>
        <v>-560</v>
      </c>
      <c r="AF66" s="90">
        <f>'Combined data'!AF66-'Combined data'!AE66</f>
        <v>0</v>
      </c>
      <c r="AG66" s="90">
        <f>'Combined data'!AG66-'Combined data'!AF66</f>
        <v>0</v>
      </c>
      <c r="AH66" s="90">
        <f>'Combined data'!AH66-'Combined data'!AG66</f>
        <v>0</v>
      </c>
      <c r="AI66" s="90">
        <f>'Combined data'!AI66-'Combined data'!AH66</f>
        <v>0</v>
      </c>
      <c r="AJ66" s="90">
        <f>'Combined data'!AJ66-'Combined data'!AI66</f>
        <v>0</v>
      </c>
      <c r="AK66" s="90">
        <f>'Combined data'!AK66-'Combined data'!AJ66</f>
        <v>0</v>
      </c>
      <c r="AL66" s="90">
        <f>'Combined data'!AL66-'Combined data'!AK66</f>
        <v>0</v>
      </c>
      <c r="AM66" s="90">
        <f>'Combined data'!AM66-'Combined data'!AL66</f>
        <v>0</v>
      </c>
      <c r="AN66" s="90">
        <f>'Combined data'!AN66-'Combined data'!AM66</f>
        <v>0</v>
      </c>
      <c r="AO66" s="90">
        <f>'Combined data'!AO66-'Combined data'!AN66</f>
        <v>0</v>
      </c>
      <c r="AP66" s="56">
        <f t="shared" si="23"/>
        <v>0</v>
      </c>
      <c r="AQ66" s="113"/>
      <c r="AR66" s="17">
        <f>'Combined data'!AR66</f>
        <v>116</v>
      </c>
      <c r="AS66" s="17">
        <f>'Combined data'!AS66-'Combined data'!AR66</f>
        <v>12</v>
      </c>
      <c r="AT66" s="17">
        <f>'Combined data'!AT66-'Combined data'!AS66</f>
        <v>12</v>
      </c>
      <c r="AU66" s="17">
        <f>'Combined data'!AU66-'Combined data'!AT66</f>
        <v>29</v>
      </c>
      <c r="AV66" s="17">
        <f>'Combined data'!AV66-'Combined data'!AU66</f>
        <v>10</v>
      </c>
      <c r="AW66" s="17">
        <f>'Combined data'!AW66-'Combined data'!AV66</f>
        <v>15</v>
      </c>
      <c r="AX66" s="17">
        <f>'Combined data'!AX66-'Combined data'!AW66</f>
        <v>20</v>
      </c>
      <c r="AY66" s="17">
        <f>'Combined data'!AY66-'Combined data'!AX66</f>
        <v>10</v>
      </c>
      <c r="AZ66" s="17">
        <f>'Combined data'!AZ66-'Combined data'!AY66</f>
        <v>18</v>
      </c>
      <c r="BA66" s="17">
        <f>'Combined data'!BA66-'Combined data'!AZ66</f>
        <v>11</v>
      </c>
      <c r="BB66" s="17">
        <f>'Combined data'!BB66-'Combined data'!BA66</f>
        <v>12</v>
      </c>
      <c r="BC66" s="17">
        <f>'Combined data'!BC66-'Combined data'!BB66</f>
        <v>6</v>
      </c>
      <c r="BD66" s="17">
        <f>'Combined data'!BD66-'Combined data'!BC66</f>
        <v>10</v>
      </c>
      <c r="BE66" s="17">
        <f>'Combined data'!BE66-'Combined data'!BD66</f>
        <v>14</v>
      </c>
      <c r="BF66" s="17">
        <f>'Combined data'!BF66-'Combined data'!BE66</f>
        <v>9</v>
      </c>
      <c r="BG66" s="17">
        <f>'Combined data'!BG66-'Combined data'!BF66</f>
        <v>8</v>
      </c>
      <c r="BH66" s="17">
        <f>'Combined data'!BH66-'Combined data'!BG66</f>
        <v>14</v>
      </c>
      <c r="BI66" s="17">
        <f>'Combined data'!BI66-'Combined data'!BH66</f>
        <v>11</v>
      </c>
      <c r="BJ66" s="17">
        <f>'Combined data'!BJ66-'Combined data'!BI66</f>
        <v>13</v>
      </c>
      <c r="BK66" s="17">
        <f>'Combined data'!BK66-'Combined data'!BJ66</f>
        <v>8</v>
      </c>
      <c r="BL66" s="17">
        <f>'Combined data'!BL66-'Combined data'!BK66</f>
        <v>16</v>
      </c>
      <c r="BM66" s="17">
        <f>'Combined data'!BM66-'Combined data'!BL66</f>
        <v>6</v>
      </c>
      <c r="BN66" s="17">
        <f>'Combined data'!BN66-'Combined data'!BM66</f>
        <v>11</v>
      </c>
      <c r="BO66" s="17">
        <f>'Combined data'!BO66-'Combined data'!BN66</f>
        <v>-391</v>
      </c>
      <c r="BP66" s="17">
        <f>'Combined data'!BP66-'Combined data'!BO66</f>
        <v>0</v>
      </c>
      <c r="BQ66" s="17">
        <f>'Combined data'!BQ66-'Combined data'!BP66</f>
        <v>0</v>
      </c>
      <c r="BR66" s="17">
        <f>'Combined data'!BR66-'Combined data'!BQ66</f>
        <v>0</v>
      </c>
      <c r="BS66" s="17">
        <f>'Combined data'!BS66-'Combined data'!BR66</f>
        <v>0</v>
      </c>
      <c r="BT66" s="17">
        <f>'Combined data'!BT66-'Combined data'!BS66</f>
        <v>0</v>
      </c>
      <c r="BU66" s="17">
        <f>'Combined data'!BU66-'Combined data'!BT66</f>
        <v>0</v>
      </c>
      <c r="BV66" s="17">
        <f>'Combined data'!BV66-'Combined data'!BU66</f>
        <v>0</v>
      </c>
      <c r="BW66" s="17">
        <f>'Combined data'!BW66-'Combined data'!BV66</f>
        <v>0</v>
      </c>
      <c r="BX66" s="17">
        <f>'Combined data'!BX66-'Combined data'!BW66</f>
        <v>0</v>
      </c>
      <c r="BY66" s="17">
        <f>'Combined data'!BY66-'Combined data'!BX66</f>
        <v>0</v>
      </c>
      <c r="CB66" s="17">
        <f t="shared" si="25"/>
        <v>116</v>
      </c>
      <c r="CC66" s="17">
        <f t="shared" si="26"/>
        <v>12</v>
      </c>
      <c r="CD66" s="17">
        <f t="shared" si="27"/>
        <v>12</v>
      </c>
      <c r="CE66" s="17">
        <f t="shared" si="28"/>
        <v>29</v>
      </c>
      <c r="CF66" s="17">
        <f t="shared" si="29"/>
        <v>10</v>
      </c>
      <c r="CG66" s="17">
        <f t="shared" si="30"/>
        <v>15</v>
      </c>
      <c r="CH66" s="17">
        <f t="shared" si="31"/>
        <v>20</v>
      </c>
      <c r="CI66" s="17">
        <f t="shared" si="32"/>
        <v>10</v>
      </c>
      <c r="CJ66" s="17">
        <f t="shared" si="33"/>
        <v>18</v>
      </c>
      <c r="CK66" s="17">
        <f t="shared" si="34"/>
        <v>11</v>
      </c>
      <c r="CL66" s="17">
        <f t="shared" si="35"/>
        <v>12</v>
      </c>
      <c r="CM66" s="17">
        <f t="shared" si="36"/>
        <v>6</v>
      </c>
      <c r="CN66" s="17">
        <f t="shared" si="37"/>
        <v>10</v>
      </c>
      <c r="CO66" s="17">
        <f t="shared" si="38"/>
        <v>14</v>
      </c>
      <c r="CP66" s="17">
        <f t="shared" si="39"/>
        <v>9</v>
      </c>
      <c r="CQ66" s="17">
        <f t="shared" si="40"/>
        <v>8</v>
      </c>
      <c r="CR66" s="17">
        <f t="shared" si="41"/>
        <v>14</v>
      </c>
      <c r="CS66" s="17">
        <f t="shared" si="42"/>
        <v>11</v>
      </c>
      <c r="CT66" s="17">
        <f t="shared" si="43"/>
        <v>13</v>
      </c>
      <c r="CU66" s="17">
        <f t="shared" si="44"/>
        <v>8</v>
      </c>
      <c r="CV66" s="17">
        <f t="shared" si="45"/>
        <v>16</v>
      </c>
      <c r="CW66" s="17">
        <f t="shared" si="46"/>
        <v>6</v>
      </c>
      <c r="CX66" s="17">
        <f t="shared" si="48"/>
        <v>11</v>
      </c>
      <c r="CY66" s="17">
        <f t="shared" si="48"/>
        <v>-391</v>
      </c>
      <c r="CZ66" s="17">
        <f t="shared" si="48"/>
        <v>0</v>
      </c>
      <c r="DA66" s="17">
        <f t="shared" si="48"/>
        <v>0</v>
      </c>
      <c r="DB66" s="17">
        <f t="shared" si="48"/>
        <v>0</v>
      </c>
      <c r="DC66" s="17">
        <f t="shared" si="48"/>
        <v>0</v>
      </c>
      <c r="DD66" s="17">
        <f t="shared" si="48"/>
        <v>0</v>
      </c>
      <c r="DE66" s="17">
        <f t="shared" si="48"/>
        <v>0</v>
      </c>
      <c r="DF66" s="17">
        <f t="shared" si="48"/>
        <v>0</v>
      </c>
      <c r="DG66" s="17">
        <f t="shared" si="48"/>
        <v>0</v>
      </c>
      <c r="DH66" s="17">
        <f t="shared" si="48"/>
        <v>0</v>
      </c>
      <c r="DI66" s="17">
        <f t="shared" si="48"/>
        <v>0</v>
      </c>
    </row>
    <row r="67" spans="1:113" ht="15.75" x14ac:dyDescent="0.25">
      <c r="A67" s="4" t="s">
        <v>123</v>
      </c>
      <c r="B67" s="6" t="s">
        <v>124</v>
      </c>
      <c r="H67" s="90">
        <f>'Combined data'!H67</f>
        <v>155</v>
      </c>
      <c r="I67" s="90">
        <f>'Combined data'!I67-'Combined data'!H67</f>
        <v>17</v>
      </c>
      <c r="J67" s="90">
        <f>'Combined data'!J67-'Combined data'!I67</f>
        <v>14</v>
      </c>
      <c r="K67" s="90">
        <f>'Combined data'!K67-'Combined data'!J67</f>
        <v>11</v>
      </c>
      <c r="L67" s="90">
        <f>'Combined data'!L67-'Combined data'!K67</f>
        <v>3</v>
      </c>
      <c r="M67" s="90">
        <f>'Combined data'!M67-'Combined data'!L67</f>
        <v>3</v>
      </c>
      <c r="N67" s="90">
        <f>'Combined data'!N67-'Combined data'!M67</f>
        <v>3</v>
      </c>
      <c r="O67" s="90">
        <f>'Combined data'!O67-'Combined data'!N67</f>
        <v>2</v>
      </c>
      <c r="P67" s="90">
        <f>'Combined data'!P67-'Combined data'!O67</f>
        <v>8</v>
      </c>
      <c r="Q67" s="90">
        <f>'Combined data'!Q67-'Combined data'!P67</f>
        <v>6</v>
      </c>
      <c r="R67" s="90">
        <f>'Combined data'!R67-'Combined data'!Q67</f>
        <v>0</v>
      </c>
      <c r="S67" s="90">
        <f>'Combined data'!S67-'Combined data'!R67</f>
        <v>10</v>
      </c>
      <c r="T67" s="90">
        <f>'Combined data'!T67-'Combined data'!S67</f>
        <v>4</v>
      </c>
      <c r="U67" s="90">
        <f>'Combined data'!U67-'Combined data'!T67</f>
        <v>7</v>
      </c>
      <c r="V67" s="90">
        <f>'Combined data'!V67-'Combined data'!U67</f>
        <v>7</v>
      </c>
      <c r="W67" s="90">
        <f>'Combined data'!W67-'Combined data'!V67</f>
        <v>3</v>
      </c>
      <c r="X67" s="90">
        <f>'Combined data'!X67-'Combined data'!W67</f>
        <v>1</v>
      </c>
      <c r="Y67" s="90">
        <f>'Combined data'!Y67-'Combined data'!X67</f>
        <v>1</v>
      </c>
      <c r="Z67" s="90">
        <f>'Combined data'!Z67-'Combined data'!Y67</f>
        <v>0</v>
      </c>
      <c r="AA67" s="90">
        <f>'Combined data'!AA67-'Combined data'!Z67</f>
        <v>2</v>
      </c>
      <c r="AB67" s="90">
        <f>'Combined data'!AB67-'Combined data'!AA67</f>
        <v>0</v>
      </c>
      <c r="AC67" s="90">
        <f>'Combined data'!AC67-'Combined data'!AB67</f>
        <v>0</v>
      </c>
      <c r="AD67" s="90">
        <f>'Combined data'!AD67-'Combined data'!AC67</f>
        <v>0</v>
      </c>
      <c r="AE67" s="90">
        <f>'Combined data'!AE67-'Combined data'!AD67</f>
        <v>-257</v>
      </c>
      <c r="AF67" s="90">
        <f>'Combined data'!AF67-'Combined data'!AE67</f>
        <v>0</v>
      </c>
      <c r="AG67" s="90">
        <f>'Combined data'!AG67-'Combined data'!AF67</f>
        <v>0</v>
      </c>
      <c r="AH67" s="90">
        <f>'Combined data'!AH67-'Combined data'!AG67</f>
        <v>0</v>
      </c>
      <c r="AI67" s="90">
        <f>'Combined data'!AI67-'Combined data'!AH67</f>
        <v>0</v>
      </c>
      <c r="AJ67" s="90">
        <f>'Combined data'!AJ67-'Combined data'!AI67</f>
        <v>0</v>
      </c>
      <c r="AK67" s="90">
        <f>'Combined data'!AK67-'Combined data'!AJ67</f>
        <v>0</v>
      </c>
      <c r="AL67" s="90">
        <f>'Combined data'!AL67-'Combined data'!AK67</f>
        <v>0</v>
      </c>
      <c r="AM67" s="90">
        <f>'Combined data'!AM67-'Combined data'!AL67</f>
        <v>0</v>
      </c>
      <c r="AN67" s="90">
        <f>'Combined data'!AN67-'Combined data'!AM67</f>
        <v>0</v>
      </c>
      <c r="AO67" s="90">
        <f>'Combined data'!AO67-'Combined data'!AN67</f>
        <v>0</v>
      </c>
      <c r="AP67" s="56">
        <f t="shared" si="23"/>
        <v>0</v>
      </c>
      <c r="AQ67" s="113"/>
      <c r="AR67" s="17">
        <f>'Combined data'!AR67</f>
        <v>84</v>
      </c>
      <c r="AS67" s="17">
        <f>'Combined data'!AS67-'Combined data'!AR67</f>
        <v>12</v>
      </c>
      <c r="AT67" s="17">
        <f>'Combined data'!AT67-'Combined data'!AS67</f>
        <v>19</v>
      </c>
      <c r="AU67" s="17">
        <f>'Combined data'!AU67-'Combined data'!AT67</f>
        <v>14</v>
      </c>
      <c r="AV67" s="17">
        <f>'Combined data'!AV67-'Combined data'!AU67</f>
        <v>10</v>
      </c>
      <c r="AW67" s="17">
        <f>'Combined data'!AW67-'Combined data'!AV67</f>
        <v>10</v>
      </c>
      <c r="AX67" s="17">
        <f>'Combined data'!AX67-'Combined data'!AW67</f>
        <v>9</v>
      </c>
      <c r="AY67" s="17">
        <f>'Combined data'!AY67-'Combined data'!AX67</f>
        <v>5</v>
      </c>
      <c r="AZ67" s="17">
        <f>'Combined data'!AZ67-'Combined data'!AY67</f>
        <v>1</v>
      </c>
      <c r="BA67" s="17">
        <f>'Combined data'!BA67-'Combined data'!AZ67</f>
        <v>4</v>
      </c>
      <c r="BB67" s="17">
        <f>'Combined data'!BB67-'Combined data'!BA67</f>
        <v>4</v>
      </c>
      <c r="BC67" s="17">
        <f>'Combined data'!BC67-'Combined data'!BB67</f>
        <v>8</v>
      </c>
      <c r="BD67" s="17">
        <f>'Combined data'!BD67-'Combined data'!BC67</f>
        <v>4</v>
      </c>
      <c r="BE67" s="17">
        <f>'Combined data'!BE67-'Combined data'!BD67</f>
        <v>2</v>
      </c>
      <c r="BF67" s="17">
        <f>'Combined data'!BF67-'Combined data'!BE67</f>
        <v>4</v>
      </c>
      <c r="BG67" s="17">
        <f>'Combined data'!BG67-'Combined data'!BF67</f>
        <v>2</v>
      </c>
      <c r="BH67" s="17">
        <f>'Combined data'!BH67-'Combined data'!BG67</f>
        <v>2</v>
      </c>
      <c r="BI67" s="17">
        <f>'Combined data'!BI67-'Combined data'!BH67</f>
        <v>9</v>
      </c>
      <c r="BJ67" s="17">
        <f>'Combined data'!BJ67-'Combined data'!BI67</f>
        <v>5</v>
      </c>
      <c r="BK67" s="17">
        <f>'Combined data'!BK67-'Combined data'!BJ67</f>
        <v>2</v>
      </c>
      <c r="BL67" s="17">
        <f>'Combined data'!BL67-'Combined data'!BK67</f>
        <v>6</v>
      </c>
      <c r="BM67" s="17">
        <f>'Combined data'!BM67-'Combined data'!BL67</f>
        <v>-2</v>
      </c>
      <c r="BN67" s="17">
        <f>'Combined data'!BN67-'Combined data'!BM67</f>
        <v>1</v>
      </c>
      <c r="BO67" s="17">
        <f>'Combined data'!BO67-'Combined data'!BN67</f>
        <v>-215</v>
      </c>
      <c r="BP67" s="17">
        <f>'Combined data'!BP67-'Combined data'!BO67</f>
        <v>0</v>
      </c>
      <c r="BQ67" s="17">
        <f>'Combined data'!BQ67-'Combined data'!BP67</f>
        <v>0</v>
      </c>
      <c r="BR67" s="17">
        <f>'Combined data'!BR67-'Combined data'!BQ67</f>
        <v>0</v>
      </c>
      <c r="BS67" s="17">
        <f>'Combined data'!BS67-'Combined data'!BR67</f>
        <v>0</v>
      </c>
      <c r="BT67" s="17">
        <f>'Combined data'!BT67-'Combined data'!BS67</f>
        <v>0</v>
      </c>
      <c r="BU67" s="17">
        <f>'Combined data'!BU67-'Combined data'!BT67</f>
        <v>0</v>
      </c>
      <c r="BV67" s="17">
        <f>'Combined data'!BV67-'Combined data'!BU67</f>
        <v>0</v>
      </c>
      <c r="BW67" s="17">
        <f>'Combined data'!BW67-'Combined data'!BV67</f>
        <v>0</v>
      </c>
      <c r="BX67" s="17">
        <f>'Combined data'!BX67-'Combined data'!BW67</f>
        <v>0</v>
      </c>
      <c r="BY67" s="17">
        <f>'Combined data'!BY67-'Combined data'!BX67</f>
        <v>0</v>
      </c>
      <c r="CB67" s="17">
        <f t="shared" si="25"/>
        <v>84</v>
      </c>
      <c r="CC67" s="17">
        <f t="shared" si="26"/>
        <v>12</v>
      </c>
      <c r="CD67" s="17">
        <f t="shared" si="27"/>
        <v>19</v>
      </c>
      <c r="CE67" s="17">
        <f t="shared" si="28"/>
        <v>14</v>
      </c>
      <c r="CF67" s="17">
        <f t="shared" si="29"/>
        <v>10</v>
      </c>
      <c r="CG67" s="17">
        <f t="shared" si="30"/>
        <v>10</v>
      </c>
      <c r="CH67" s="17">
        <f t="shared" si="31"/>
        <v>9</v>
      </c>
      <c r="CI67" s="17">
        <f t="shared" si="32"/>
        <v>5</v>
      </c>
      <c r="CJ67" s="17">
        <f t="shared" si="33"/>
        <v>1</v>
      </c>
      <c r="CK67" s="17">
        <f t="shared" si="34"/>
        <v>4</v>
      </c>
      <c r="CL67" s="17">
        <f t="shared" si="35"/>
        <v>4</v>
      </c>
      <c r="CM67" s="17">
        <f t="shared" si="36"/>
        <v>8</v>
      </c>
      <c r="CN67" s="17">
        <f t="shared" si="37"/>
        <v>4</v>
      </c>
      <c r="CO67" s="17">
        <f t="shared" si="38"/>
        <v>2</v>
      </c>
      <c r="CP67" s="17">
        <f t="shared" si="39"/>
        <v>4</v>
      </c>
      <c r="CQ67" s="17">
        <f t="shared" si="40"/>
        <v>2</v>
      </c>
      <c r="CR67" s="17">
        <f t="shared" si="41"/>
        <v>2</v>
      </c>
      <c r="CS67" s="17">
        <f t="shared" si="42"/>
        <v>9</v>
      </c>
      <c r="CT67" s="17">
        <f t="shared" si="43"/>
        <v>5</v>
      </c>
      <c r="CU67" s="17">
        <f t="shared" si="44"/>
        <v>2</v>
      </c>
      <c r="CV67" s="17">
        <f t="shared" si="45"/>
        <v>6</v>
      </c>
      <c r="CW67" s="17">
        <f t="shared" si="46"/>
        <v>-2</v>
      </c>
      <c r="CX67" s="17">
        <f t="shared" si="48"/>
        <v>1</v>
      </c>
      <c r="CY67" s="17">
        <f t="shared" si="48"/>
        <v>-215</v>
      </c>
      <c r="CZ67" s="17">
        <f t="shared" si="48"/>
        <v>0</v>
      </c>
      <c r="DA67" s="17">
        <f t="shared" si="48"/>
        <v>0</v>
      </c>
      <c r="DB67" s="17">
        <f t="shared" si="48"/>
        <v>0</v>
      </c>
      <c r="DC67" s="17">
        <f t="shared" si="48"/>
        <v>0</v>
      </c>
      <c r="DD67" s="17">
        <f t="shared" si="48"/>
        <v>0</v>
      </c>
      <c r="DE67" s="17">
        <f t="shared" si="48"/>
        <v>0</v>
      </c>
      <c r="DF67" s="17">
        <f t="shared" si="48"/>
        <v>0</v>
      </c>
      <c r="DG67" s="17">
        <f t="shared" si="48"/>
        <v>0</v>
      </c>
      <c r="DH67" s="17">
        <f t="shared" si="48"/>
        <v>0</v>
      </c>
      <c r="DI67" s="17">
        <f t="shared" si="48"/>
        <v>0</v>
      </c>
    </row>
    <row r="68" spans="1:113" ht="15.75" x14ac:dyDescent="0.25">
      <c r="A68" s="4" t="s">
        <v>125</v>
      </c>
      <c r="B68" s="6" t="s">
        <v>126</v>
      </c>
      <c r="H68" s="90">
        <f>'Combined data'!H68</f>
        <v>10</v>
      </c>
      <c r="I68" s="90">
        <f>'Combined data'!I68-'Combined data'!H68</f>
        <v>15</v>
      </c>
      <c r="J68" s="90">
        <f>'Combined data'!J68-'Combined data'!I68</f>
        <v>0</v>
      </c>
      <c r="K68" s="90">
        <f>'Combined data'!K68-'Combined data'!J68</f>
        <v>0</v>
      </c>
      <c r="L68" s="90">
        <f>'Combined data'!L68-'Combined data'!K68</f>
        <v>0</v>
      </c>
      <c r="M68" s="90">
        <f>'Combined data'!M68-'Combined data'!L68</f>
        <v>5</v>
      </c>
      <c r="N68" s="90">
        <f>'Combined data'!N68-'Combined data'!M68</f>
        <v>10</v>
      </c>
      <c r="O68" s="90">
        <f>'Combined data'!O68-'Combined data'!N68</f>
        <v>0</v>
      </c>
      <c r="P68" s="90">
        <f>'Combined data'!P68-'Combined data'!O68</f>
        <v>0</v>
      </c>
      <c r="Q68" s="90">
        <f>'Combined data'!Q68-'Combined data'!P68</f>
        <v>0</v>
      </c>
      <c r="R68" s="90">
        <f>'Combined data'!R68-'Combined data'!Q68</f>
        <v>5</v>
      </c>
      <c r="S68" s="90">
        <f>'Combined data'!S68-'Combined data'!R68</f>
        <v>0</v>
      </c>
      <c r="T68" s="90">
        <f>'Combined data'!T68-'Combined data'!S68</f>
        <v>0</v>
      </c>
      <c r="U68" s="90">
        <f>'Combined data'!U68-'Combined data'!T68</f>
        <v>0</v>
      </c>
      <c r="V68" s="90">
        <f>'Combined data'!V68-'Combined data'!U68</f>
        <v>0</v>
      </c>
      <c r="W68" s="90">
        <f>'Combined data'!W68-'Combined data'!V68</f>
        <v>0</v>
      </c>
      <c r="X68" s="90">
        <f>'Combined data'!X68-'Combined data'!W68</f>
        <v>0</v>
      </c>
      <c r="Y68" s="90">
        <f>'Combined data'!Y68-'Combined data'!X68</f>
        <v>0</v>
      </c>
      <c r="Z68" s="90">
        <f>'Combined data'!Z68-'Combined data'!Y68</f>
        <v>5</v>
      </c>
      <c r="AA68" s="90">
        <f>'Combined data'!AA68-'Combined data'!Z68</f>
        <v>0</v>
      </c>
      <c r="AB68" s="90">
        <f>'Combined data'!AB68-'Combined data'!AA68</f>
        <v>5</v>
      </c>
      <c r="AC68" s="90">
        <f>'Combined data'!AC68-'Combined data'!AB68</f>
        <v>-15</v>
      </c>
      <c r="AD68" s="90">
        <f>'Combined data'!AD68-'Combined data'!AC68</f>
        <v>0</v>
      </c>
      <c r="AE68" s="90">
        <f>'Combined data'!AE68-'Combined data'!AD68</f>
        <v>-40</v>
      </c>
      <c r="AF68" s="90">
        <f>'Combined data'!AF68-'Combined data'!AE68</f>
        <v>0</v>
      </c>
      <c r="AG68" s="90">
        <f>'Combined data'!AG68-'Combined data'!AF68</f>
        <v>0</v>
      </c>
      <c r="AH68" s="90">
        <f>'Combined data'!AH68-'Combined data'!AG68</f>
        <v>0</v>
      </c>
      <c r="AI68" s="90">
        <f>'Combined data'!AI68-'Combined data'!AH68</f>
        <v>0</v>
      </c>
      <c r="AJ68" s="90">
        <f>'Combined data'!AJ68-'Combined data'!AI68</f>
        <v>0</v>
      </c>
      <c r="AK68" s="90">
        <f>'Combined data'!AK68-'Combined data'!AJ68</f>
        <v>0</v>
      </c>
      <c r="AL68" s="90">
        <f>'Combined data'!AL68-'Combined data'!AK68</f>
        <v>0</v>
      </c>
      <c r="AM68" s="90">
        <f>'Combined data'!AM68-'Combined data'!AL68</f>
        <v>0</v>
      </c>
      <c r="AN68" s="90">
        <f>'Combined data'!AN68-'Combined data'!AM68</f>
        <v>0</v>
      </c>
      <c r="AO68" s="90">
        <f>'Combined data'!AO68-'Combined data'!AN68</f>
        <v>0</v>
      </c>
      <c r="AP68" s="56">
        <f t="shared" si="23"/>
        <v>0</v>
      </c>
      <c r="AQ68" s="113"/>
      <c r="AR68" s="17">
        <f>'Combined data'!AR68</f>
        <v>10</v>
      </c>
      <c r="AS68" s="17">
        <f>'Combined data'!AS68-'Combined data'!AR68</f>
        <v>15</v>
      </c>
      <c r="AT68" s="17">
        <f>'Combined data'!AT68-'Combined data'!AS68</f>
        <v>0</v>
      </c>
      <c r="AU68" s="17">
        <f>'Combined data'!AU68-'Combined data'!AT68</f>
        <v>0</v>
      </c>
      <c r="AV68" s="17">
        <f>'Combined data'!AV68-'Combined data'!AU68</f>
        <v>0</v>
      </c>
      <c r="AW68" s="17">
        <f>'Combined data'!AW68-'Combined data'!AV68</f>
        <v>5</v>
      </c>
      <c r="AX68" s="17">
        <f>'Combined data'!AX68-'Combined data'!AW68</f>
        <v>10</v>
      </c>
      <c r="AY68" s="17">
        <f>'Combined data'!AY68-'Combined data'!AX68</f>
        <v>0</v>
      </c>
      <c r="AZ68" s="17">
        <f>'Combined data'!AZ68-'Combined data'!AY68</f>
        <v>0</v>
      </c>
      <c r="BA68" s="17">
        <f>'Combined data'!BA68-'Combined data'!AZ68</f>
        <v>0</v>
      </c>
      <c r="BB68" s="17">
        <f>'Combined data'!BB68-'Combined data'!BA68</f>
        <v>5</v>
      </c>
      <c r="BC68" s="17">
        <f>'Combined data'!BC68-'Combined data'!BB68</f>
        <v>0</v>
      </c>
      <c r="BD68" s="17">
        <f>'Combined data'!BD68-'Combined data'!BC68</f>
        <v>0</v>
      </c>
      <c r="BE68" s="17">
        <f>'Combined data'!BE68-'Combined data'!BD68</f>
        <v>0</v>
      </c>
      <c r="BF68" s="17">
        <f>'Combined data'!BF68-'Combined data'!BE68</f>
        <v>0</v>
      </c>
      <c r="BG68" s="17">
        <f>'Combined data'!BG68-'Combined data'!BF68</f>
        <v>0</v>
      </c>
      <c r="BH68" s="17">
        <f>'Combined data'!BH68-'Combined data'!BG68</f>
        <v>0</v>
      </c>
      <c r="BI68" s="17">
        <f>'Combined data'!BI68-'Combined data'!BH68</f>
        <v>0</v>
      </c>
      <c r="BJ68" s="17">
        <f>'Combined data'!BJ68-'Combined data'!BI68</f>
        <v>5</v>
      </c>
      <c r="BK68" s="17">
        <f>'Combined data'!BK68-'Combined data'!BJ68</f>
        <v>0</v>
      </c>
      <c r="BL68" s="17">
        <f>'Combined data'!BL68-'Combined data'!BK68</f>
        <v>5</v>
      </c>
      <c r="BM68" s="17">
        <f>'Combined data'!BM68-'Combined data'!BL68</f>
        <v>-15</v>
      </c>
      <c r="BN68" s="17">
        <f>'Combined data'!BN68-'Combined data'!BM68</f>
        <v>0</v>
      </c>
      <c r="BO68" s="17">
        <f>'Combined data'!BO68-'Combined data'!BN68</f>
        <v>-40</v>
      </c>
      <c r="BP68" s="17">
        <f>'Combined data'!BP68-'Combined data'!BO68</f>
        <v>0</v>
      </c>
      <c r="BQ68" s="17">
        <f>'Combined data'!BQ68-'Combined data'!BP68</f>
        <v>0</v>
      </c>
      <c r="BR68" s="17">
        <f>'Combined data'!BR68-'Combined data'!BQ68</f>
        <v>0</v>
      </c>
      <c r="BS68" s="17">
        <f>'Combined data'!BS68-'Combined data'!BR68</f>
        <v>0</v>
      </c>
      <c r="BT68" s="17">
        <f>'Combined data'!BT68-'Combined data'!BS68</f>
        <v>0</v>
      </c>
      <c r="BU68" s="17">
        <f>'Combined data'!BU68-'Combined data'!BT68</f>
        <v>0</v>
      </c>
      <c r="BV68" s="17">
        <f>'Combined data'!BV68-'Combined data'!BU68</f>
        <v>0</v>
      </c>
      <c r="BW68" s="17">
        <f>'Combined data'!BW68-'Combined data'!BV68</f>
        <v>0</v>
      </c>
      <c r="BX68" s="17">
        <f>'Combined data'!BX68-'Combined data'!BW68</f>
        <v>0</v>
      </c>
      <c r="BY68" s="17">
        <f>'Combined data'!BY68-'Combined data'!BX68</f>
        <v>0</v>
      </c>
      <c r="CB68" s="17">
        <f t="shared" si="25"/>
        <v>10</v>
      </c>
      <c r="CC68" s="17">
        <f t="shared" si="26"/>
        <v>15</v>
      </c>
      <c r="CD68" s="17">
        <f t="shared" si="27"/>
        <v>0</v>
      </c>
      <c r="CE68" s="17">
        <f t="shared" si="28"/>
        <v>0</v>
      </c>
      <c r="CF68" s="17">
        <f t="shared" si="29"/>
        <v>0</v>
      </c>
      <c r="CG68" s="17">
        <f t="shared" si="30"/>
        <v>5</v>
      </c>
      <c r="CH68" s="17">
        <f t="shared" si="31"/>
        <v>10</v>
      </c>
      <c r="CI68" s="17">
        <f t="shared" si="32"/>
        <v>0</v>
      </c>
      <c r="CJ68" s="17">
        <f t="shared" si="33"/>
        <v>0</v>
      </c>
      <c r="CK68" s="17">
        <f t="shared" si="34"/>
        <v>0</v>
      </c>
      <c r="CL68" s="17">
        <f t="shared" si="35"/>
        <v>5</v>
      </c>
      <c r="CM68" s="17">
        <f t="shared" si="36"/>
        <v>0</v>
      </c>
      <c r="CN68" s="17">
        <f t="shared" si="37"/>
        <v>0</v>
      </c>
      <c r="CO68" s="17">
        <f t="shared" si="38"/>
        <v>0</v>
      </c>
      <c r="CP68" s="17">
        <f t="shared" si="39"/>
        <v>0</v>
      </c>
      <c r="CQ68" s="17">
        <f t="shared" si="40"/>
        <v>0</v>
      </c>
      <c r="CR68" s="17">
        <f t="shared" si="41"/>
        <v>0</v>
      </c>
      <c r="CS68" s="17">
        <f t="shared" si="42"/>
        <v>0</v>
      </c>
      <c r="CT68" s="17">
        <f t="shared" si="43"/>
        <v>5</v>
      </c>
      <c r="CU68" s="17">
        <f t="shared" si="44"/>
        <v>0</v>
      </c>
      <c r="CV68" s="17">
        <f t="shared" si="45"/>
        <v>5</v>
      </c>
      <c r="CW68" s="17">
        <f t="shared" si="46"/>
        <v>-15</v>
      </c>
      <c r="CX68" s="17">
        <f t="shared" si="48"/>
        <v>0</v>
      </c>
      <c r="CY68" s="17">
        <f t="shared" si="48"/>
        <v>-40</v>
      </c>
      <c r="CZ68" s="17">
        <f t="shared" si="48"/>
        <v>0</v>
      </c>
      <c r="DA68" s="17">
        <f t="shared" si="48"/>
        <v>0</v>
      </c>
      <c r="DB68" s="17">
        <f t="shared" si="48"/>
        <v>0</v>
      </c>
      <c r="DC68" s="17">
        <f t="shared" si="48"/>
        <v>0</v>
      </c>
      <c r="DD68" s="17">
        <f t="shared" si="48"/>
        <v>0</v>
      </c>
      <c r="DE68" s="17">
        <f t="shared" si="48"/>
        <v>0</v>
      </c>
      <c r="DF68" s="17">
        <f t="shared" si="48"/>
        <v>0</v>
      </c>
      <c r="DG68" s="17">
        <f t="shared" si="48"/>
        <v>0</v>
      </c>
      <c r="DH68" s="17">
        <f t="shared" si="48"/>
        <v>0</v>
      </c>
      <c r="DI68" s="17">
        <f t="shared" si="48"/>
        <v>0</v>
      </c>
    </row>
    <row r="69" spans="1:113" ht="15.75" x14ac:dyDescent="0.25">
      <c r="A69" s="4" t="s">
        <v>127</v>
      </c>
      <c r="B69" s="6" t="s">
        <v>128</v>
      </c>
      <c r="H69" s="90">
        <f>'Combined data'!H69</f>
        <v>262</v>
      </c>
      <c r="I69" s="90">
        <f>'Combined data'!I69-'Combined data'!H69</f>
        <v>10</v>
      </c>
      <c r="J69" s="90">
        <f>'Combined data'!J69-'Combined data'!I69</f>
        <v>6</v>
      </c>
      <c r="K69" s="90">
        <f>'Combined data'!K69-'Combined data'!J69</f>
        <v>17</v>
      </c>
      <c r="L69" s="90">
        <f>'Combined data'!L69-'Combined data'!K69</f>
        <v>9</v>
      </c>
      <c r="M69" s="90">
        <f>'Combined data'!M69-'Combined data'!L69</f>
        <v>2</v>
      </c>
      <c r="N69" s="90">
        <f>'Combined data'!N69-'Combined data'!M69</f>
        <v>24</v>
      </c>
      <c r="O69" s="90">
        <f>'Combined data'!O69-'Combined data'!N69</f>
        <v>8</v>
      </c>
      <c r="P69" s="90">
        <f>'Combined data'!P69-'Combined data'!O69</f>
        <v>8</v>
      </c>
      <c r="Q69" s="90">
        <f>'Combined data'!Q69-'Combined data'!P69</f>
        <v>10</v>
      </c>
      <c r="R69" s="90">
        <f>'Combined data'!R69-'Combined data'!Q69</f>
        <v>4</v>
      </c>
      <c r="S69" s="90">
        <f>'Combined data'!S69-'Combined data'!R69</f>
        <v>10</v>
      </c>
      <c r="T69" s="90">
        <f>'Combined data'!T69-'Combined data'!S69</f>
        <v>5</v>
      </c>
      <c r="U69" s="90">
        <f>'Combined data'!U69-'Combined data'!T69</f>
        <v>8</v>
      </c>
      <c r="V69" s="90">
        <f>'Combined data'!V69-'Combined data'!U69</f>
        <v>4</v>
      </c>
      <c r="W69" s="90">
        <f>'Combined data'!W69-'Combined data'!V69</f>
        <v>2</v>
      </c>
      <c r="X69" s="90">
        <f>'Combined data'!X69-'Combined data'!W69</f>
        <v>4</v>
      </c>
      <c r="Y69" s="90">
        <f>'Combined data'!Y69-'Combined data'!X69</f>
        <v>3</v>
      </c>
      <c r="Z69" s="90">
        <f>'Combined data'!Z69-'Combined data'!Y69</f>
        <v>3</v>
      </c>
      <c r="AA69" s="90">
        <f>'Combined data'!AA69-'Combined data'!Z69</f>
        <v>1</v>
      </c>
      <c r="AB69" s="90">
        <f>'Combined data'!AB69-'Combined data'!AA69</f>
        <v>1</v>
      </c>
      <c r="AC69" s="90">
        <f>'Combined data'!AC69-'Combined data'!AB69</f>
        <v>2</v>
      </c>
      <c r="AD69" s="90">
        <f>'Combined data'!AD69-'Combined data'!AC69</f>
        <v>4</v>
      </c>
      <c r="AE69" s="90">
        <f>'Combined data'!AE69-'Combined data'!AD69</f>
        <v>-407</v>
      </c>
      <c r="AF69" s="90">
        <f>'Combined data'!AF69-'Combined data'!AE69</f>
        <v>0</v>
      </c>
      <c r="AG69" s="90">
        <f>'Combined data'!AG69-'Combined data'!AF69</f>
        <v>0</v>
      </c>
      <c r="AH69" s="90">
        <f>'Combined data'!AH69-'Combined data'!AG69</f>
        <v>0</v>
      </c>
      <c r="AI69" s="90">
        <f>'Combined data'!AI69-'Combined data'!AH69</f>
        <v>0</v>
      </c>
      <c r="AJ69" s="90">
        <f>'Combined data'!AJ69-'Combined data'!AI69</f>
        <v>0</v>
      </c>
      <c r="AK69" s="90">
        <f>'Combined data'!AK69-'Combined data'!AJ69</f>
        <v>0</v>
      </c>
      <c r="AL69" s="90">
        <f>'Combined data'!AL69-'Combined data'!AK69</f>
        <v>0</v>
      </c>
      <c r="AM69" s="90">
        <f>'Combined data'!AM69-'Combined data'!AL69</f>
        <v>0</v>
      </c>
      <c r="AN69" s="90">
        <f>'Combined data'!AN69-'Combined data'!AM69</f>
        <v>0</v>
      </c>
      <c r="AO69" s="90">
        <f>'Combined data'!AO69-'Combined data'!AN69</f>
        <v>0</v>
      </c>
      <c r="AP69" s="56">
        <f t="shared" si="23"/>
        <v>0</v>
      </c>
      <c r="AQ69" s="113"/>
      <c r="AR69" s="17">
        <f>'Combined data'!AR69</f>
        <v>140</v>
      </c>
      <c r="AS69" s="17">
        <f>'Combined data'!AS69-'Combined data'!AR69</f>
        <v>16</v>
      </c>
      <c r="AT69" s="17">
        <f>'Combined data'!AT69-'Combined data'!AS69</f>
        <v>29</v>
      </c>
      <c r="AU69" s="17">
        <f>'Combined data'!AU69-'Combined data'!AT69</f>
        <v>15</v>
      </c>
      <c r="AV69" s="17">
        <f>'Combined data'!AV69-'Combined data'!AU69</f>
        <v>6</v>
      </c>
      <c r="AW69" s="17">
        <f>'Combined data'!AW69-'Combined data'!AV69</f>
        <v>13</v>
      </c>
      <c r="AX69" s="17">
        <f>'Combined data'!AX69-'Combined data'!AW69</f>
        <v>6</v>
      </c>
      <c r="AY69" s="17">
        <f>'Combined data'!AY69-'Combined data'!AX69</f>
        <v>3</v>
      </c>
      <c r="AZ69" s="17">
        <f>'Combined data'!AZ69-'Combined data'!AY69</f>
        <v>14</v>
      </c>
      <c r="BA69" s="17">
        <f>'Combined data'!BA69-'Combined data'!AZ69</f>
        <v>11</v>
      </c>
      <c r="BB69" s="17">
        <f>'Combined data'!BB69-'Combined data'!BA69</f>
        <v>15</v>
      </c>
      <c r="BC69" s="17">
        <f>'Combined data'!BC69-'Combined data'!BB69</f>
        <v>9</v>
      </c>
      <c r="BD69" s="17">
        <f>'Combined data'!BD69-'Combined data'!BC69</f>
        <v>9</v>
      </c>
      <c r="BE69" s="17">
        <f>'Combined data'!BE69-'Combined data'!BD69</f>
        <v>6</v>
      </c>
      <c r="BF69" s="17">
        <f>'Combined data'!BF69-'Combined data'!BE69</f>
        <v>3</v>
      </c>
      <c r="BG69" s="17">
        <f>'Combined data'!BG69-'Combined data'!BF69</f>
        <v>6</v>
      </c>
      <c r="BH69" s="17">
        <f>'Combined data'!BH69-'Combined data'!BG69</f>
        <v>9</v>
      </c>
      <c r="BI69" s="17">
        <f>'Combined data'!BI69-'Combined data'!BH69</f>
        <v>4</v>
      </c>
      <c r="BJ69" s="17">
        <f>'Combined data'!BJ69-'Combined data'!BI69</f>
        <v>7</v>
      </c>
      <c r="BK69" s="17">
        <f>'Combined data'!BK69-'Combined data'!BJ69</f>
        <v>2</v>
      </c>
      <c r="BL69" s="17">
        <f>'Combined data'!BL69-'Combined data'!BK69</f>
        <v>8</v>
      </c>
      <c r="BM69" s="17">
        <f>'Combined data'!BM69-'Combined data'!BL69</f>
        <v>2</v>
      </c>
      <c r="BN69" s="17">
        <f>'Combined data'!BN69-'Combined data'!BM69</f>
        <v>0</v>
      </c>
      <c r="BO69" s="17">
        <f>'Combined data'!BO69-'Combined data'!BN69</f>
        <v>-333</v>
      </c>
      <c r="BP69" s="17">
        <f>'Combined data'!BP69-'Combined data'!BO69</f>
        <v>0</v>
      </c>
      <c r="BQ69" s="17">
        <f>'Combined data'!BQ69-'Combined data'!BP69</f>
        <v>0</v>
      </c>
      <c r="BR69" s="17">
        <f>'Combined data'!BR69-'Combined data'!BQ69</f>
        <v>0</v>
      </c>
      <c r="BS69" s="17">
        <f>'Combined data'!BS69-'Combined data'!BR69</f>
        <v>0</v>
      </c>
      <c r="BT69" s="17">
        <f>'Combined data'!BT69-'Combined data'!BS69</f>
        <v>0</v>
      </c>
      <c r="BU69" s="17">
        <f>'Combined data'!BU69-'Combined data'!BT69</f>
        <v>0</v>
      </c>
      <c r="BV69" s="17">
        <f>'Combined data'!BV69-'Combined data'!BU69</f>
        <v>0</v>
      </c>
      <c r="BW69" s="17">
        <f>'Combined data'!BW69-'Combined data'!BV69</f>
        <v>0</v>
      </c>
      <c r="BX69" s="17">
        <f>'Combined data'!BX69-'Combined data'!BW69</f>
        <v>0</v>
      </c>
      <c r="BY69" s="17">
        <f>'Combined data'!BY69-'Combined data'!BX69</f>
        <v>0</v>
      </c>
      <c r="CB69" s="17">
        <f t="shared" si="25"/>
        <v>140</v>
      </c>
      <c r="CC69" s="17">
        <f t="shared" si="26"/>
        <v>16</v>
      </c>
      <c r="CD69" s="17">
        <f t="shared" si="27"/>
        <v>29</v>
      </c>
      <c r="CE69" s="17">
        <f t="shared" si="28"/>
        <v>15</v>
      </c>
      <c r="CF69" s="17">
        <f t="shared" si="29"/>
        <v>6</v>
      </c>
      <c r="CG69" s="17">
        <f t="shared" si="30"/>
        <v>13</v>
      </c>
      <c r="CH69" s="17">
        <f t="shared" si="31"/>
        <v>6</v>
      </c>
      <c r="CI69" s="17">
        <f t="shared" si="32"/>
        <v>3</v>
      </c>
      <c r="CJ69" s="17">
        <f t="shared" si="33"/>
        <v>14</v>
      </c>
      <c r="CK69" s="17">
        <f t="shared" si="34"/>
        <v>11</v>
      </c>
      <c r="CL69" s="17">
        <f t="shared" si="35"/>
        <v>15</v>
      </c>
      <c r="CM69" s="17">
        <f t="shared" si="36"/>
        <v>9</v>
      </c>
      <c r="CN69" s="17">
        <f t="shared" si="37"/>
        <v>9</v>
      </c>
      <c r="CO69" s="17">
        <f t="shared" si="38"/>
        <v>6</v>
      </c>
      <c r="CP69" s="17">
        <f t="shared" si="39"/>
        <v>3</v>
      </c>
      <c r="CQ69" s="17">
        <f t="shared" si="40"/>
        <v>6</v>
      </c>
      <c r="CR69" s="17">
        <f t="shared" si="41"/>
        <v>9</v>
      </c>
      <c r="CS69" s="17">
        <f t="shared" si="42"/>
        <v>4</v>
      </c>
      <c r="CT69" s="17">
        <f t="shared" si="43"/>
        <v>7</v>
      </c>
      <c r="CU69" s="17">
        <f t="shared" si="44"/>
        <v>2</v>
      </c>
      <c r="CV69" s="17">
        <f t="shared" si="45"/>
        <v>8</v>
      </c>
      <c r="CW69" s="17">
        <f t="shared" si="46"/>
        <v>2</v>
      </c>
      <c r="CX69" s="17">
        <f t="shared" si="48"/>
        <v>0</v>
      </c>
      <c r="CY69" s="17">
        <f t="shared" si="48"/>
        <v>-333</v>
      </c>
      <c r="CZ69" s="17">
        <f t="shared" si="48"/>
        <v>0</v>
      </c>
      <c r="DA69" s="17">
        <f t="shared" si="48"/>
        <v>0</v>
      </c>
      <c r="DB69" s="17">
        <f t="shared" si="48"/>
        <v>0</v>
      </c>
      <c r="DC69" s="17">
        <f t="shared" si="48"/>
        <v>0</v>
      </c>
      <c r="DD69" s="17">
        <f t="shared" si="48"/>
        <v>0</v>
      </c>
      <c r="DE69" s="17">
        <f t="shared" si="48"/>
        <v>0</v>
      </c>
      <c r="DF69" s="17">
        <f t="shared" si="48"/>
        <v>0</v>
      </c>
      <c r="DG69" s="17">
        <f t="shared" si="48"/>
        <v>0</v>
      </c>
      <c r="DH69" s="17">
        <f t="shared" si="48"/>
        <v>0</v>
      </c>
      <c r="DI69" s="17">
        <f t="shared" si="48"/>
        <v>0</v>
      </c>
    </row>
    <row r="70" spans="1:113" ht="15.75" x14ac:dyDescent="0.25">
      <c r="A70" s="4" t="s">
        <v>129</v>
      </c>
      <c r="B70" s="6" t="s">
        <v>130</v>
      </c>
      <c r="H70" s="90">
        <f>'Combined data'!H70</f>
        <v>372</v>
      </c>
      <c r="I70" s="90">
        <f>'Combined data'!I70-'Combined data'!H70</f>
        <v>42</v>
      </c>
      <c r="J70" s="90">
        <f>'Combined data'!J70-'Combined data'!I70</f>
        <v>39</v>
      </c>
      <c r="K70" s="90">
        <f>'Combined data'!K70-'Combined data'!J70</f>
        <v>39</v>
      </c>
      <c r="L70" s="90">
        <f>'Combined data'!L70-'Combined data'!K70</f>
        <v>5</v>
      </c>
      <c r="M70" s="90">
        <f>'Combined data'!M70-'Combined data'!L70</f>
        <v>10</v>
      </c>
      <c r="N70" s="90">
        <f>'Combined data'!N70-'Combined data'!M70</f>
        <v>22</v>
      </c>
      <c r="O70" s="90">
        <f>'Combined data'!O70-'Combined data'!N70</f>
        <v>14</v>
      </c>
      <c r="P70" s="90">
        <f>'Combined data'!P70-'Combined data'!O70</f>
        <v>22</v>
      </c>
      <c r="Q70" s="90">
        <f>'Combined data'!Q70-'Combined data'!P70</f>
        <v>6</v>
      </c>
      <c r="R70" s="90">
        <f>'Combined data'!R70-'Combined data'!Q70</f>
        <v>5</v>
      </c>
      <c r="S70" s="90">
        <f>'Combined data'!S70-'Combined data'!R70</f>
        <v>5</v>
      </c>
      <c r="T70" s="90">
        <f>'Combined data'!T70-'Combined data'!S70</f>
        <v>15</v>
      </c>
      <c r="U70" s="90">
        <f>'Combined data'!U70-'Combined data'!T70</f>
        <v>8</v>
      </c>
      <c r="V70" s="90">
        <f>'Combined data'!V70-'Combined data'!U70</f>
        <v>10</v>
      </c>
      <c r="W70" s="90">
        <f>'Combined data'!W70-'Combined data'!V70</f>
        <v>18</v>
      </c>
      <c r="X70" s="90">
        <f>'Combined data'!X70-'Combined data'!W70</f>
        <v>14</v>
      </c>
      <c r="Y70" s="90">
        <f>'Combined data'!Y70-'Combined data'!X70</f>
        <v>8</v>
      </c>
      <c r="Z70" s="90">
        <f>'Combined data'!Z70-'Combined data'!Y70</f>
        <v>11</v>
      </c>
      <c r="AA70" s="90">
        <f>'Combined data'!AA70-'Combined data'!Z70</f>
        <v>7</v>
      </c>
      <c r="AB70" s="90">
        <f>'Combined data'!AB70-'Combined data'!AA70</f>
        <v>7</v>
      </c>
      <c r="AC70" s="90">
        <f>'Combined data'!AC70-'Combined data'!AB70</f>
        <v>2</v>
      </c>
      <c r="AD70" s="90">
        <f>'Combined data'!AD70-'Combined data'!AC70</f>
        <v>19</v>
      </c>
      <c r="AE70" s="90">
        <f>'Combined data'!AE70-'Combined data'!AD70</f>
        <v>-700</v>
      </c>
      <c r="AF70" s="90">
        <f>'Combined data'!AF70-'Combined data'!AE70</f>
        <v>0</v>
      </c>
      <c r="AG70" s="90">
        <f>'Combined data'!AG70-'Combined data'!AF70</f>
        <v>0</v>
      </c>
      <c r="AH70" s="90">
        <f>'Combined data'!AH70-'Combined data'!AG70</f>
        <v>0</v>
      </c>
      <c r="AI70" s="90">
        <f>'Combined data'!AI70-'Combined data'!AH70</f>
        <v>0</v>
      </c>
      <c r="AJ70" s="90">
        <f>'Combined data'!AJ70-'Combined data'!AI70</f>
        <v>0</v>
      </c>
      <c r="AK70" s="90">
        <f>'Combined data'!AK70-'Combined data'!AJ70</f>
        <v>0</v>
      </c>
      <c r="AL70" s="90">
        <f>'Combined data'!AL70-'Combined data'!AK70</f>
        <v>0</v>
      </c>
      <c r="AM70" s="90">
        <f>'Combined data'!AM70-'Combined data'!AL70</f>
        <v>0</v>
      </c>
      <c r="AN70" s="90">
        <f>'Combined data'!AN70-'Combined data'!AM70</f>
        <v>0</v>
      </c>
      <c r="AO70" s="90">
        <f>'Combined data'!AO70-'Combined data'!AN70</f>
        <v>0</v>
      </c>
      <c r="AP70" s="56">
        <f t="shared" si="23"/>
        <v>0</v>
      </c>
      <c r="AQ70" s="113"/>
      <c r="AR70" s="17">
        <f>'Combined data'!AR70</f>
        <v>155</v>
      </c>
      <c r="AS70" s="17">
        <f>'Combined data'!AS70-'Combined data'!AR70</f>
        <v>32</v>
      </c>
      <c r="AT70" s="17">
        <f>'Combined data'!AT70-'Combined data'!AS70</f>
        <v>35</v>
      </c>
      <c r="AU70" s="17">
        <f>'Combined data'!AU70-'Combined data'!AT70</f>
        <v>31</v>
      </c>
      <c r="AV70" s="17">
        <f>'Combined data'!AV70-'Combined data'!AU70</f>
        <v>16</v>
      </c>
      <c r="AW70" s="17">
        <f>'Combined data'!AW70-'Combined data'!AV70</f>
        <v>12</v>
      </c>
      <c r="AX70" s="17">
        <f>'Combined data'!AX70-'Combined data'!AW70</f>
        <v>23</v>
      </c>
      <c r="AY70" s="17">
        <f>'Combined data'!AY70-'Combined data'!AX70</f>
        <v>16</v>
      </c>
      <c r="AZ70" s="17">
        <f>'Combined data'!AZ70-'Combined data'!AY70</f>
        <v>21</v>
      </c>
      <c r="BA70" s="17">
        <f>'Combined data'!BA70-'Combined data'!AZ70</f>
        <v>12</v>
      </c>
      <c r="BB70" s="17">
        <f>'Combined data'!BB70-'Combined data'!BA70</f>
        <v>3</v>
      </c>
      <c r="BC70" s="17">
        <f>'Combined data'!BC70-'Combined data'!BB70</f>
        <v>9</v>
      </c>
      <c r="BD70" s="17">
        <f>'Combined data'!BD70-'Combined data'!BC70</f>
        <v>15</v>
      </c>
      <c r="BE70" s="17">
        <f>'Combined data'!BE70-'Combined data'!BD70</f>
        <v>26</v>
      </c>
      <c r="BF70" s="17">
        <f>'Combined data'!BF70-'Combined data'!BE70</f>
        <v>12</v>
      </c>
      <c r="BG70" s="17">
        <f>'Combined data'!BG70-'Combined data'!BF70</f>
        <v>8</v>
      </c>
      <c r="BH70" s="17">
        <f>'Combined data'!BH70-'Combined data'!BG70</f>
        <v>16</v>
      </c>
      <c r="BI70" s="17">
        <f>'Combined data'!BI70-'Combined data'!BH70</f>
        <v>9</v>
      </c>
      <c r="BJ70" s="17">
        <f>'Combined data'!BJ70-'Combined data'!BI70</f>
        <v>12</v>
      </c>
      <c r="BK70" s="17">
        <f>'Combined data'!BK70-'Combined data'!BJ70</f>
        <v>11</v>
      </c>
      <c r="BL70" s="17">
        <f>'Combined data'!BL70-'Combined data'!BK70</f>
        <v>9</v>
      </c>
      <c r="BM70" s="17">
        <f>'Combined data'!BM70-'Combined data'!BL70</f>
        <v>6</v>
      </c>
      <c r="BN70" s="17">
        <f>'Combined data'!BN70-'Combined data'!BM70</f>
        <v>13</v>
      </c>
      <c r="BO70" s="17">
        <f>'Combined data'!BO70-'Combined data'!BN70</f>
        <v>-502</v>
      </c>
      <c r="BP70" s="17">
        <f>'Combined data'!BP70-'Combined data'!BO70</f>
        <v>0</v>
      </c>
      <c r="BQ70" s="17">
        <f>'Combined data'!BQ70-'Combined data'!BP70</f>
        <v>0</v>
      </c>
      <c r="BR70" s="17">
        <f>'Combined data'!BR70-'Combined data'!BQ70</f>
        <v>0</v>
      </c>
      <c r="BS70" s="17">
        <f>'Combined data'!BS70-'Combined data'!BR70</f>
        <v>0</v>
      </c>
      <c r="BT70" s="17">
        <f>'Combined data'!BT70-'Combined data'!BS70</f>
        <v>0</v>
      </c>
      <c r="BU70" s="17">
        <f>'Combined data'!BU70-'Combined data'!BT70</f>
        <v>0</v>
      </c>
      <c r="BV70" s="17">
        <f>'Combined data'!BV70-'Combined data'!BU70</f>
        <v>0</v>
      </c>
      <c r="BW70" s="17">
        <f>'Combined data'!BW70-'Combined data'!BV70</f>
        <v>0</v>
      </c>
      <c r="BX70" s="17">
        <f>'Combined data'!BX70-'Combined data'!BW70</f>
        <v>0</v>
      </c>
      <c r="BY70" s="17">
        <f>'Combined data'!BY70-'Combined data'!BX70</f>
        <v>0</v>
      </c>
      <c r="CB70" s="17">
        <f t="shared" si="25"/>
        <v>155</v>
      </c>
      <c r="CC70" s="17">
        <f t="shared" si="26"/>
        <v>32</v>
      </c>
      <c r="CD70" s="17">
        <f t="shared" si="27"/>
        <v>35</v>
      </c>
      <c r="CE70" s="17">
        <f t="shared" si="28"/>
        <v>31</v>
      </c>
      <c r="CF70" s="17">
        <f t="shared" si="29"/>
        <v>16</v>
      </c>
      <c r="CG70" s="17">
        <f t="shared" si="30"/>
        <v>12</v>
      </c>
      <c r="CH70" s="17">
        <f t="shared" si="31"/>
        <v>23</v>
      </c>
      <c r="CI70" s="17">
        <f t="shared" si="32"/>
        <v>16</v>
      </c>
      <c r="CJ70" s="17">
        <f t="shared" si="33"/>
        <v>21</v>
      </c>
      <c r="CK70" s="17">
        <f t="shared" si="34"/>
        <v>12</v>
      </c>
      <c r="CL70" s="17">
        <f t="shared" si="35"/>
        <v>3</v>
      </c>
      <c r="CM70" s="17">
        <f t="shared" si="36"/>
        <v>9</v>
      </c>
      <c r="CN70" s="17">
        <f t="shared" si="37"/>
        <v>15</v>
      </c>
      <c r="CO70" s="17">
        <f t="shared" si="38"/>
        <v>26</v>
      </c>
      <c r="CP70" s="17">
        <f t="shared" si="39"/>
        <v>12</v>
      </c>
      <c r="CQ70" s="17">
        <f t="shared" si="40"/>
        <v>8</v>
      </c>
      <c r="CR70" s="17">
        <f t="shared" si="41"/>
        <v>16</v>
      </c>
      <c r="CS70" s="17">
        <f t="shared" si="42"/>
        <v>9</v>
      </c>
      <c r="CT70" s="17">
        <f t="shared" si="43"/>
        <v>12</v>
      </c>
      <c r="CU70" s="17">
        <f t="shared" si="44"/>
        <v>11</v>
      </c>
      <c r="CV70" s="17">
        <f t="shared" si="45"/>
        <v>9</v>
      </c>
      <c r="CW70" s="17">
        <f t="shared" si="46"/>
        <v>6</v>
      </c>
      <c r="CX70" s="17">
        <f t="shared" si="48"/>
        <v>13</v>
      </c>
      <c r="CY70" s="17">
        <f t="shared" si="48"/>
        <v>-502</v>
      </c>
      <c r="CZ70" s="17">
        <f t="shared" si="48"/>
        <v>0</v>
      </c>
      <c r="DA70" s="17">
        <f t="shared" si="48"/>
        <v>0</v>
      </c>
      <c r="DB70" s="17">
        <f t="shared" si="48"/>
        <v>0</v>
      </c>
      <c r="DC70" s="17">
        <f t="shared" si="48"/>
        <v>0</v>
      </c>
      <c r="DD70" s="17">
        <f t="shared" si="48"/>
        <v>0</v>
      </c>
      <c r="DE70" s="17">
        <f t="shared" si="48"/>
        <v>0</v>
      </c>
      <c r="DF70" s="17">
        <f t="shared" si="48"/>
        <v>0</v>
      </c>
      <c r="DG70" s="17">
        <f t="shared" si="48"/>
        <v>0</v>
      </c>
      <c r="DH70" s="17">
        <f t="shared" si="48"/>
        <v>0</v>
      </c>
      <c r="DI70" s="17">
        <f t="shared" si="48"/>
        <v>0</v>
      </c>
    </row>
    <row r="71" spans="1:113" ht="15.75" x14ac:dyDescent="0.25">
      <c r="A71" s="4" t="s">
        <v>131</v>
      </c>
      <c r="B71" s="6" t="s">
        <v>132</v>
      </c>
      <c r="H71" s="90">
        <f>'Combined data'!H71</f>
        <v>2017</v>
      </c>
      <c r="I71" s="90">
        <f>'Combined data'!I71-'Combined data'!H71</f>
        <v>143</v>
      </c>
      <c r="J71" s="90">
        <f>'Combined data'!J71-'Combined data'!I71</f>
        <v>138</v>
      </c>
      <c r="K71" s="90">
        <f>'Combined data'!K71-'Combined data'!J71</f>
        <v>152</v>
      </c>
      <c r="L71" s="90">
        <f>'Combined data'!L71-'Combined data'!K71</f>
        <v>85</v>
      </c>
      <c r="M71" s="90">
        <f>'Combined data'!M71-'Combined data'!L71</f>
        <v>48</v>
      </c>
      <c r="N71" s="90">
        <f>'Combined data'!N71-'Combined data'!M71</f>
        <v>179</v>
      </c>
      <c r="O71" s="90">
        <f>'Combined data'!O71-'Combined data'!N71</f>
        <v>73</v>
      </c>
      <c r="P71" s="90">
        <f>'Combined data'!P71-'Combined data'!O71</f>
        <v>99</v>
      </c>
      <c r="Q71" s="90">
        <f>'Combined data'!Q71-'Combined data'!P71</f>
        <v>70</v>
      </c>
      <c r="R71" s="90">
        <f>'Combined data'!R71-'Combined data'!Q71</f>
        <v>37</v>
      </c>
      <c r="S71" s="90">
        <f>'Combined data'!S71-'Combined data'!R71</f>
        <v>70</v>
      </c>
      <c r="T71" s="90">
        <f>'Combined data'!T71-'Combined data'!S71</f>
        <v>38</v>
      </c>
      <c r="U71" s="90">
        <f>'Combined data'!U71-'Combined data'!T71</f>
        <v>54</v>
      </c>
      <c r="V71" s="90">
        <f>'Combined data'!V71-'Combined data'!U71</f>
        <v>58</v>
      </c>
      <c r="W71" s="90">
        <f>'Combined data'!W71-'Combined data'!V71</f>
        <v>37</v>
      </c>
      <c r="X71" s="90">
        <f>'Combined data'!X71-'Combined data'!W71</f>
        <v>33</v>
      </c>
      <c r="Y71" s="90">
        <f>'Combined data'!Y71-'Combined data'!X71</f>
        <v>32</v>
      </c>
      <c r="Z71" s="90">
        <f>'Combined data'!Z71-'Combined data'!Y71</f>
        <v>48</v>
      </c>
      <c r="AA71" s="90">
        <f>'Combined data'!AA71-'Combined data'!Z71</f>
        <v>15</v>
      </c>
      <c r="AB71" s="90">
        <f>'Combined data'!AB71-'Combined data'!AA71</f>
        <v>12</v>
      </c>
      <c r="AC71" s="90">
        <f>'Combined data'!AC71-'Combined data'!AB71</f>
        <v>3</v>
      </c>
      <c r="AD71" s="90">
        <f>'Combined data'!AD71-'Combined data'!AC71</f>
        <v>47</v>
      </c>
      <c r="AE71" s="90">
        <f>'Combined data'!AE71-'Combined data'!AD71</f>
        <v>-3488</v>
      </c>
      <c r="AF71" s="90">
        <f>'Combined data'!AF71-'Combined data'!AE71</f>
        <v>0</v>
      </c>
      <c r="AG71" s="90">
        <f>'Combined data'!AG71-'Combined data'!AF71</f>
        <v>0</v>
      </c>
      <c r="AH71" s="90">
        <f>'Combined data'!AH71-'Combined data'!AG71</f>
        <v>0</v>
      </c>
      <c r="AI71" s="90">
        <f>'Combined data'!AI71-'Combined data'!AH71</f>
        <v>0</v>
      </c>
      <c r="AJ71" s="90">
        <f>'Combined data'!AJ71-'Combined data'!AI71</f>
        <v>0</v>
      </c>
      <c r="AK71" s="90">
        <f>'Combined data'!AK71-'Combined data'!AJ71</f>
        <v>0</v>
      </c>
      <c r="AL71" s="90">
        <f>'Combined data'!AL71-'Combined data'!AK71</f>
        <v>0</v>
      </c>
      <c r="AM71" s="90">
        <f>'Combined data'!AM71-'Combined data'!AL71</f>
        <v>0</v>
      </c>
      <c r="AN71" s="90">
        <f>'Combined data'!AN71-'Combined data'!AM71</f>
        <v>0</v>
      </c>
      <c r="AO71" s="90">
        <f>'Combined data'!AO71-'Combined data'!AN71</f>
        <v>0</v>
      </c>
      <c r="AP71" s="56">
        <f t="shared" si="23"/>
        <v>0</v>
      </c>
      <c r="AQ71" s="113"/>
      <c r="AR71" s="17">
        <f>'Combined data'!AR71</f>
        <v>1096</v>
      </c>
      <c r="AS71" s="17">
        <f>'Combined data'!AS71-'Combined data'!AR71</f>
        <v>152</v>
      </c>
      <c r="AT71" s="17">
        <f>'Combined data'!AT71-'Combined data'!AS71</f>
        <v>140</v>
      </c>
      <c r="AU71" s="17">
        <f>'Combined data'!AU71-'Combined data'!AT71</f>
        <v>168</v>
      </c>
      <c r="AV71" s="17">
        <f>'Combined data'!AV71-'Combined data'!AU71</f>
        <v>95</v>
      </c>
      <c r="AW71" s="17">
        <f>'Combined data'!AW71-'Combined data'!AV71</f>
        <v>100</v>
      </c>
      <c r="AX71" s="17">
        <f>'Combined data'!AX71-'Combined data'!AW71</f>
        <v>173</v>
      </c>
      <c r="AY71" s="17">
        <f>'Combined data'!AY71-'Combined data'!AX71</f>
        <v>92</v>
      </c>
      <c r="AZ71" s="17">
        <f>'Combined data'!AZ71-'Combined data'!AY71</f>
        <v>97</v>
      </c>
      <c r="BA71" s="17">
        <f>'Combined data'!BA71-'Combined data'!AZ71</f>
        <v>78</v>
      </c>
      <c r="BB71" s="17">
        <f>'Combined data'!BB71-'Combined data'!BA71</f>
        <v>61</v>
      </c>
      <c r="BC71" s="17">
        <f>'Combined data'!BC71-'Combined data'!BB71</f>
        <v>90</v>
      </c>
      <c r="BD71" s="17">
        <f>'Combined data'!BD71-'Combined data'!BC71</f>
        <v>90</v>
      </c>
      <c r="BE71" s="17">
        <f>'Combined data'!BE71-'Combined data'!BD71</f>
        <v>76</v>
      </c>
      <c r="BF71" s="17">
        <f>'Combined data'!BF71-'Combined data'!BE71</f>
        <v>49</v>
      </c>
      <c r="BG71" s="17">
        <f>'Combined data'!BG71-'Combined data'!BF71</f>
        <v>43</v>
      </c>
      <c r="BH71" s="17">
        <f>'Combined data'!BH71-'Combined data'!BG71</f>
        <v>52</v>
      </c>
      <c r="BI71" s="17">
        <f>'Combined data'!BI71-'Combined data'!BH71</f>
        <v>40</v>
      </c>
      <c r="BJ71" s="17">
        <f>'Combined data'!BJ71-'Combined data'!BI71</f>
        <v>35</v>
      </c>
      <c r="BK71" s="17">
        <f>'Combined data'!BK71-'Combined data'!BJ71</f>
        <v>34</v>
      </c>
      <c r="BL71" s="17">
        <f>'Combined data'!BL71-'Combined data'!BK71</f>
        <v>80</v>
      </c>
      <c r="BM71" s="17">
        <f>'Combined data'!BM71-'Combined data'!BL71</f>
        <v>8</v>
      </c>
      <c r="BN71" s="17">
        <f>'Combined data'!BN71-'Combined data'!BM71</f>
        <v>25</v>
      </c>
      <c r="BO71" s="17">
        <f>'Combined data'!BO71-'Combined data'!BN71</f>
        <v>-2874</v>
      </c>
      <c r="BP71" s="17">
        <f>'Combined data'!BP71-'Combined data'!BO71</f>
        <v>0</v>
      </c>
      <c r="BQ71" s="17">
        <f>'Combined data'!BQ71-'Combined data'!BP71</f>
        <v>0</v>
      </c>
      <c r="BR71" s="17">
        <f>'Combined data'!BR71-'Combined data'!BQ71</f>
        <v>0</v>
      </c>
      <c r="BS71" s="17">
        <f>'Combined data'!BS71-'Combined data'!BR71</f>
        <v>0</v>
      </c>
      <c r="BT71" s="17">
        <f>'Combined data'!BT71-'Combined data'!BS71</f>
        <v>0</v>
      </c>
      <c r="BU71" s="17">
        <f>'Combined data'!BU71-'Combined data'!BT71</f>
        <v>0</v>
      </c>
      <c r="BV71" s="17">
        <f>'Combined data'!BV71-'Combined data'!BU71</f>
        <v>0</v>
      </c>
      <c r="BW71" s="17">
        <f>'Combined data'!BW71-'Combined data'!BV71</f>
        <v>0</v>
      </c>
      <c r="BX71" s="17">
        <f>'Combined data'!BX71-'Combined data'!BW71</f>
        <v>0</v>
      </c>
      <c r="BY71" s="17">
        <f>'Combined data'!BY71-'Combined data'!BX71</f>
        <v>0</v>
      </c>
      <c r="CB71" s="17">
        <f t="shared" si="25"/>
        <v>1096</v>
      </c>
      <c r="CC71" s="17">
        <f t="shared" si="26"/>
        <v>152</v>
      </c>
      <c r="CD71" s="17">
        <f t="shared" si="27"/>
        <v>140</v>
      </c>
      <c r="CE71" s="17">
        <f t="shared" si="28"/>
        <v>168</v>
      </c>
      <c r="CF71" s="17">
        <f t="shared" si="29"/>
        <v>95</v>
      </c>
      <c r="CG71" s="17">
        <f t="shared" si="30"/>
        <v>100</v>
      </c>
      <c r="CH71" s="17">
        <f t="shared" si="31"/>
        <v>173</v>
      </c>
      <c r="CI71" s="17">
        <f t="shared" si="32"/>
        <v>92</v>
      </c>
      <c r="CJ71" s="17">
        <f t="shared" si="33"/>
        <v>97</v>
      </c>
      <c r="CK71" s="17">
        <f t="shared" si="34"/>
        <v>78</v>
      </c>
      <c r="CL71" s="17">
        <f t="shared" si="35"/>
        <v>61</v>
      </c>
      <c r="CM71" s="17">
        <f t="shared" si="36"/>
        <v>90</v>
      </c>
      <c r="CN71" s="17">
        <f t="shared" si="37"/>
        <v>90</v>
      </c>
      <c r="CO71" s="17">
        <f t="shared" si="38"/>
        <v>76</v>
      </c>
      <c r="CP71" s="17">
        <f t="shared" si="39"/>
        <v>49</v>
      </c>
      <c r="CQ71" s="17">
        <f t="shared" si="40"/>
        <v>43</v>
      </c>
      <c r="CR71" s="17">
        <f t="shared" si="41"/>
        <v>52</v>
      </c>
      <c r="CS71" s="17">
        <f t="shared" si="42"/>
        <v>40</v>
      </c>
      <c r="CT71" s="17">
        <f t="shared" si="43"/>
        <v>35</v>
      </c>
      <c r="CU71" s="17">
        <f t="shared" si="44"/>
        <v>34</v>
      </c>
      <c r="CV71" s="17">
        <f t="shared" si="45"/>
        <v>80</v>
      </c>
      <c r="CW71" s="17">
        <f t="shared" si="46"/>
        <v>8</v>
      </c>
      <c r="CX71" s="17">
        <f t="shared" si="48"/>
        <v>25</v>
      </c>
      <c r="CY71" s="17">
        <f t="shared" si="48"/>
        <v>-2874</v>
      </c>
      <c r="CZ71" s="17">
        <f t="shared" si="48"/>
        <v>0</v>
      </c>
      <c r="DA71" s="17">
        <f t="shared" si="48"/>
        <v>0</v>
      </c>
      <c r="DB71" s="17">
        <f t="shared" si="48"/>
        <v>0</v>
      </c>
      <c r="DC71" s="17">
        <f t="shared" si="48"/>
        <v>0</v>
      </c>
      <c r="DD71" s="17">
        <f t="shared" si="48"/>
        <v>0</v>
      </c>
      <c r="DE71" s="17">
        <f t="shared" si="48"/>
        <v>0</v>
      </c>
      <c r="DF71" s="17">
        <f t="shared" si="48"/>
        <v>0</v>
      </c>
      <c r="DG71" s="17">
        <f t="shared" si="48"/>
        <v>0</v>
      </c>
      <c r="DH71" s="17">
        <f t="shared" si="48"/>
        <v>0</v>
      </c>
      <c r="DI71" s="17">
        <f t="shared" si="48"/>
        <v>0</v>
      </c>
    </row>
    <row r="72" spans="1:113" ht="15.75" x14ac:dyDescent="0.25">
      <c r="A72" s="4" t="s">
        <v>133</v>
      </c>
      <c r="B72" s="6" t="s">
        <v>134</v>
      </c>
      <c r="H72" s="90">
        <f>'Combined data'!H72</f>
        <v>141</v>
      </c>
      <c r="I72" s="90">
        <f>'Combined data'!I72-'Combined data'!H72</f>
        <v>8</v>
      </c>
      <c r="J72" s="90">
        <f>'Combined data'!J72-'Combined data'!I72</f>
        <v>1</v>
      </c>
      <c r="K72" s="90">
        <f>'Combined data'!K72-'Combined data'!J72</f>
        <v>1</v>
      </c>
      <c r="L72" s="90">
        <f>'Combined data'!L72-'Combined data'!K72</f>
        <v>0</v>
      </c>
      <c r="M72" s="90">
        <f>'Combined data'!M72-'Combined data'!L72</f>
        <v>3</v>
      </c>
      <c r="N72" s="90">
        <f>'Combined data'!N72-'Combined data'!M72</f>
        <v>11</v>
      </c>
      <c r="O72" s="90">
        <f>'Combined data'!O72-'Combined data'!N72</f>
        <v>2</v>
      </c>
      <c r="P72" s="90">
        <f>'Combined data'!P72-'Combined data'!O72</f>
        <v>6</v>
      </c>
      <c r="Q72" s="90">
        <f>'Combined data'!Q72-'Combined data'!P72</f>
        <v>3</v>
      </c>
      <c r="R72" s="90">
        <f>'Combined data'!R72-'Combined data'!Q72</f>
        <v>5</v>
      </c>
      <c r="S72" s="90">
        <f>'Combined data'!S72-'Combined data'!R72</f>
        <v>5</v>
      </c>
      <c r="T72" s="90">
        <f>'Combined data'!T72-'Combined data'!S72</f>
        <v>5</v>
      </c>
      <c r="U72" s="90">
        <f>'Combined data'!U72-'Combined data'!T72</f>
        <v>5</v>
      </c>
      <c r="V72" s="90">
        <f>'Combined data'!V72-'Combined data'!U72</f>
        <v>9</v>
      </c>
      <c r="W72" s="90">
        <f>'Combined data'!W72-'Combined data'!V72</f>
        <v>0</v>
      </c>
      <c r="X72" s="90">
        <f>'Combined data'!X72-'Combined data'!W72</f>
        <v>0</v>
      </c>
      <c r="Y72" s="90">
        <f>'Combined data'!Y72-'Combined data'!X72</f>
        <v>0</v>
      </c>
      <c r="Z72" s="90">
        <f>'Combined data'!Z72-'Combined data'!Y72</f>
        <v>3</v>
      </c>
      <c r="AA72" s="90">
        <f>'Combined data'!AA72-'Combined data'!Z72</f>
        <v>4</v>
      </c>
      <c r="AB72" s="90">
        <f>'Combined data'!AB72-'Combined data'!AA72</f>
        <v>0</v>
      </c>
      <c r="AC72" s="90">
        <f>'Combined data'!AC72-'Combined data'!AB72</f>
        <v>0</v>
      </c>
      <c r="AD72" s="90">
        <f>'Combined data'!AD72-'Combined data'!AC72</f>
        <v>3</v>
      </c>
      <c r="AE72" s="90">
        <f>'Combined data'!AE72-'Combined data'!AD72</f>
        <v>-215</v>
      </c>
      <c r="AF72" s="90">
        <f>'Combined data'!AF72-'Combined data'!AE72</f>
        <v>0</v>
      </c>
      <c r="AG72" s="90">
        <f>'Combined data'!AG72-'Combined data'!AF72</f>
        <v>0</v>
      </c>
      <c r="AH72" s="90">
        <f>'Combined data'!AH72-'Combined data'!AG72</f>
        <v>0</v>
      </c>
      <c r="AI72" s="90">
        <f>'Combined data'!AI72-'Combined data'!AH72</f>
        <v>0</v>
      </c>
      <c r="AJ72" s="90">
        <f>'Combined data'!AJ72-'Combined data'!AI72</f>
        <v>0</v>
      </c>
      <c r="AK72" s="90">
        <f>'Combined data'!AK72-'Combined data'!AJ72</f>
        <v>0</v>
      </c>
      <c r="AL72" s="90">
        <f>'Combined data'!AL72-'Combined data'!AK72</f>
        <v>0</v>
      </c>
      <c r="AM72" s="90">
        <f>'Combined data'!AM72-'Combined data'!AL72</f>
        <v>0</v>
      </c>
      <c r="AN72" s="90">
        <f>'Combined data'!AN72-'Combined data'!AM72</f>
        <v>0</v>
      </c>
      <c r="AO72" s="90">
        <f>'Combined data'!AO72-'Combined data'!AN72</f>
        <v>0</v>
      </c>
      <c r="AP72" s="56">
        <f t="shared" si="23"/>
        <v>0</v>
      </c>
      <c r="AQ72" s="113"/>
      <c r="AR72" s="17">
        <f>'Combined data'!AR72</f>
        <v>60</v>
      </c>
      <c r="AS72" s="17">
        <f>'Combined data'!AS72-'Combined data'!AR72</f>
        <v>17</v>
      </c>
      <c r="AT72" s="17">
        <f>'Combined data'!AT72-'Combined data'!AS72</f>
        <v>4</v>
      </c>
      <c r="AU72" s="17">
        <f>'Combined data'!AU72-'Combined data'!AT72</f>
        <v>11</v>
      </c>
      <c r="AV72" s="17">
        <f>'Combined data'!AV72-'Combined data'!AU72</f>
        <v>10</v>
      </c>
      <c r="AW72" s="17">
        <f>'Combined data'!AW72-'Combined data'!AV72</f>
        <v>5</v>
      </c>
      <c r="AX72" s="17">
        <f>'Combined data'!AX72-'Combined data'!AW72</f>
        <v>6</v>
      </c>
      <c r="AY72" s="17">
        <f>'Combined data'!AY72-'Combined data'!AX72</f>
        <v>4</v>
      </c>
      <c r="AZ72" s="17">
        <f>'Combined data'!AZ72-'Combined data'!AY72</f>
        <v>3</v>
      </c>
      <c r="BA72" s="17">
        <f>'Combined data'!BA72-'Combined data'!AZ72</f>
        <v>4</v>
      </c>
      <c r="BB72" s="17">
        <f>'Combined data'!BB72-'Combined data'!BA72</f>
        <v>3</v>
      </c>
      <c r="BC72" s="17">
        <f>'Combined data'!BC72-'Combined data'!BB72</f>
        <v>5</v>
      </c>
      <c r="BD72" s="17">
        <f>'Combined data'!BD72-'Combined data'!BC72</f>
        <v>3</v>
      </c>
      <c r="BE72" s="17">
        <f>'Combined data'!BE72-'Combined data'!BD72</f>
        <v>5</v>
      </c>
      <c r="BF72" s="17">
        <f>'Combined data'!BF72-'Combined data'!BE72</f>
        <v>8</v>
      </c>
      <c r="BG72" s="17">
        <f>'Combined data'!BG72-'Combined data'!BF72</f>
        <v>1</v>
      </c>
      <c r="BH72" s="17">
        <f>'Combined data'!BH72-'Combined data'!BG72</f>
        <v>7</v>
      </c>
      <c r="BI72" s="17">
        <f>'Combined data'!BI72-'Combined data'!BH72</f>
        <v>4</v>
      </c>
      <c r="BJ72" s="17">
        <f>'Combined data'!BJ72-'Combined data'!BI72</f>
        <v>4</v>
      </c>
      <c r="BK72" s="17">
        <f>'Combined data'!BK72-'Combined data'!BJ72</f>
        <v>0</v>
      </c>
      <c r="BL72" s="17">
        <f>'Combined data'!BL72-'Combined data'!BK72</f>
        <v>4</v>
      </c>
      <c r="BM72" s="17">
        <f>'Combined data'!BM72-'Combined data'!BL72</f>
        <v>1</v>
      </c>
      <c r="BN72" s="17">
        <f>'Combined data'!BN72-'Combined data'!BM72</f>
        <v>2</v>
      </c>
      <c r="BO72" s="17">
        <f>'Combined data'!BO72-'Combined data'!BN72</f>
        <v>-171</v>
      </c>
      <c r="BP72" s="17">
        <f>'Combined data'!BP72-'Combined data'!BO72</f>
        <v>0</v>
      </c>
      <c r="BQ72" s="17">
        <f>'Combined data'!BQ72-'Combined data'!BP72</f>
        <v>0</v>
      </c>
      <c r="BR72" s="17">
        <f>'Combined data'!BR72-'Combined data'!BQ72</f>
        <v>0</v>
      </c>
      <c r="BS72" s="17">
        <f>'Combined data'!BS72-'Combined data'!BR72</f>
        <v>0</v>
      </c>
      <c r="BT72" s="17">
        <f>'Combined data'!BT72-'Combined data'!BS72</f>
        <v>0</v>
      </c>
      <c r="BU72" s="17">
        <f>'Combined data'!BU72-'Combined data'!BT72</f>
        <v>0</v>
      </c>
      <c r="BV72" s="17">
        <f>'Combined data'!BV72-'Combined data'!BU72</f>
        <v>0</v>
      </c>
      <c r="BW72" s="17">
        <f>'Combined data'!BW72-'Combined data'!BV72</f>
        <v>0</v>
      </c>
      <c r="BX72" s="17">
        <f>'Combined data'!BX72-'Combined data'!BW72</f>
        <v>0</v>
      </c>
      <c r="BY72" s="17">
        <f>'Combined data'!BY72-'Combined data'!BX72</f>
        <v>0</v>
      </c>
      <c r="CB72" s="17">
        <f t="shared" si="25"/>
        <v>60</v>
      </c>
      <c r="CC72" s="17">
        <f t="shared" si="26"/>
        <v>17</v>
      </c>
      <c r="CD72" s="17">
        <f t="shared" si="27"/>
        <v>4</v>
      </c>
      <c r="CE72" s="17">
        <f t="shared" si="28"/>
        <v>11</v>
      </c>
      <c r="CF72" s="17">
        <f t="shared" si="29"/>
        <v>10</v>
      </c>
      <c r="CG72" s="17">
        <f t="shared" si="30"/>
        <v>5</v>
      </c>
      <c r="CH72" s="17">
        <f t="shared" si="31"/>
        <v>6</v>
      </c>
      <c r="CI72" s="17">
        <f t="shared" si="32"/>
        <v>4</v>
      </c>
      <c r="CJ72" s="17">
        <f t="shared" si="33"/>
        <v>3</v>
      </c>
      <c r="CK72" s="17">
        <f t="shared" si="34"/>
        <v>4</v>
      </c>
      <c r="CL72" s="17">
        <f t="shared" si="35"/>
        <v>3</v>
      </c>
      <c r="CM72" s="17">
        <f t="shared" si="36"/>
        <v>5</v>
      </c>
      <c r="CN72" s="17">
        <f t="shared" si="37"/>
        <v>3</v>
      </c>
      <c r="CO72" s="17">
        <f t="shared" si="38"/>
        <v>5</v>
      </c>
      <c r="CP72" s="17">
        <f t="shared" si="39"/>
        <v>8</v>
      </c>
      <c r="CQ72" s="17">
        <f t="shared" si="40"/>
        <v>1</v>
      </c>
      <c r="CR72" s="17">
        <f t="shared" si="41"/>
        <v>7</v>
      </c>
      <c r="CS72" s="17">
        <f t="shared" si="42"/>
        <v>4</v>
      </c>
      <c r="CT72" s="17">
        <f t="shared" si="43"/>
        <v>4</v>
      </c>
      <c r="CU72" s="17">
        <f t="shared" si="44"/>
        <v>0</v>
      </c>
      <c r="CV72" s="17">
        <f t="shared" si="45"/>
        <v>4</v>
      </c>
      <c r="CW72" s="17">
        <f t="shared" si="46"/>
        <v>1</v>
      </c>
      <c r="CX72" s="17">
        <f t="shared" si="48"/>
        <v>2</v>
      </c>
      <c r="CY72" s="17">
        <f t="shared" si="48"/>
        <v>-171</v>
      </c>
      <c r="CZ72" s="17">
        <f t="shared" si="48"/>
        <v>0</v>
      </c>
      <c r="DA72" s="17">
        <f t="shared" si="48"/>
        <v>0</v>
      </c>
      <c r="DB72" s="17">
        <f t="shared" si="48"/>
        <v>0</v>
      </c>
      <c r="DC72" s="17">
        <f t="shared" si="48"/>
        <v>0</v>
      </c>
      <c r="DD72" s="17">
        <f t="shared" si="48"/>
        <v>0</v>
      </c>
      <c r="DE72" s="17">
        <f t="shared" si="48"/>
        <v>0</v>
      </c>
      <c r="DF72" s="17">
        <f t="shared" si="48"/>
        <v>0</v>
      </c>
      <c r="DG72" s="17">
        <f t="shared" si="48"/>
        <v>0</v>
      </c>
      <c r="DH72" s="17">
        <f t="shared" si="48"/>
        <v>0</v>
      </c>
      <c r="DI72" s="17">
        <f t="shared" si="48"/>
        <v>0</v>
      </c>
    </row>
    <row r="73" spans="1:113" ht="15.75" x14ac:dyDescent="0.25">
      <c r="A73" s="4" t="s">
        <v>135</v>
      </c>
      <c r="B73" s="6" t="s">
        <v>136</v>
      </c>
      <c r="H73" s="90">
        <f>'Combined data'!H73</f>
        <v>244</v>
      </c>
      <c r="I73" s="90">
        <f>'Combined data'!I73-'Combined data'!H73</f>
        <v>11</v>
      </c>
      <c r="J73" s="90">
        <f>'Combined data'!J73-'Combined data'!I73</f>
        <v>18</v>
      </c>
      <c r="K73" s="90">
        <f>'Combined data'!K73-'Combined data'!J73</f>
        <v>11</v>
      </c>
      <c r="L73" s="90">
        <f>'Combined data'!L73-'Combined data'!K73</f>
        <v>12</v>
      </c>
      <c r="M73" s="90">
        <f>'Combined data'!M73-'Combined data'!L73</f>
        <v>0</v>
      </c>
      <c r="N73" s="90">
        <f>'Combined data'!N73-'Combined data'!M73</f>
        <v>14</v>
      </c>
      <c r="O73" s="90">
        <f>'Combined data'!O73-'Combined data'!N73</f>
        <v>6</v>
      </c>
      <c r="P73" s="90">
        <f>'Combined data'!P73-'Combined data'!O73</f>
        <v>7</v>
      </c>
      <c r="Q73" s="90">
        <f>'Combined data'!Q73-'Combined data'!P73</f>
        <v>7</v>
      </c>
      <c r="R73" s="90">
        <f>'Combined data'!R73-'Combined data'!Q73</f>
        <v>5</v>
      </c>
      <c r="S73" s="90">
        <f>'Combined data'!S73-'Combined data'!R73</f>
        <v>12</v>
      </c>
      <c r="T73" s="90">
        <f>'Combined data'!T73-'Combined data'!S73</f>
        <v>13</v>
      </c>
      <c r="U73" s="90">
        <f>'Combined data'!U73-'Combined data'!T73</f>
        <v>12</v>
      </c>
      <c r="V73" s="90">
        <f>'Combined data'!V73-'Combined data'!U73</f>
        <v>15</v>
      </c>
      <c r="W73" s="90">
        <f>'Combined data'!W73-'Combined data'!V73</f>
        <v>7</v>
      </c>
      <c r="X73" s="90">
        <f>'Combined data'!X73-'Combined data'!W73</f>
        <v>5</v>
      </c>
      <c r="Y73" s="90">
        <f>'Combined data'!Y73-'Combined data'!X73</f>
        <v>4</v>
      </c>
      <c r="Z73" s="90">
        <f>'Combined data'!Z73-'Combined data'!Y73</f>
        <v>5</v>
      </c>
      <c r="AA73" s="90">
        <f>'Combined data'!AA73-'Combined data'!Z73</f>
        <v>3</v>
      </c>
      <c r="AB73" s="90">
        <f>'Combined data'!AB73-'Combined data'!AA73</f>
        <v>0</v>
      </c>
      <c r="AC73" s="90">
        <f>'Combined data'!AC73-'Combined data'!AB73</f>
        <v>-3</v>
      </c>
      <c r="AD73" s="90">
        <f>'Combined data'!AD73-'Combined data'!AC73</f>
        <v>7</v>
      </c>
      <c r="AE73" s="90">
        <f>'Combined data'!AE73-'Combined data'!AD73</f>
        <v>-415</v>
      </c>
      <c r="AF73" s="90">
        <f>'Combined data'!AF73-'Combined data'!AE73</f>
        <v>0</v>
      </c>
      <c r="AG73" s="90">
        <f>'Combined data'!AG73-'Combined data'!AF73</f>
        <v>0</v>
      </c>
      <c r="AH73" s="90">
        <f>'Combined data'!AH73-'Combined data'!AG73</f>
        <v>0</v>
      </c>
      <c r="AI73" s="90">
        <f>'Combined data'!AI73-'Combined data'!AH73</f>
        <v>0</v>
      </c>
      <c r="AJ73" s="90">
        <f>'Combined data'!AJ73-'Combined data'!AI73</f>
        <v>0</v>
      </c>
      <c r="AK73" s="90">
        <f>'Combined data'!AK73-'Combined data'!AJ73</f>
        <v>0</v>
      </c>
      <c r="AL73" s="90">
        <f>'Combined data'!AL73-'Combined data'!AK73</f>
        <v>0</v>
      </c>
      <c r="AM73" s="90">
        <f>'Combined data'!AM73-'Combined data'!AL73</f>
        <v>0</v>
      </c>
      <c r="AN73" s="90">
        <f>'Combined data'!AN73-'Combined data'!AM73</f>
        <v>0</v>
      </c>
      <c r="AO73" s="90">
        <f>'Combined data'!AO73-'Combined data'!AN73</f>
        <v>0</v>
      </c>
      <c r="AP73" s="56">
        <f t="shared" si="23"/>
        <v>0</v>
      </c>
      <c r="AQ73" s="113"/>
      <c r="AR73" s="17">
        <f>'Combined data'!AR73</f>
        <v>107</v>
      </c>
      <c r="AS73" s="17">
        <f>'Combined data'!AS73-'Combined data'!AR73</f>
        <v>21</v>
      </c>
      <c r="AT73" s="17">
        <f>'Combined data'!AT73-'Combined data'!AS73</f>
        <v>8</v>
      </c>
      <c r="AU73" s="17">
        <f>'Combined data'!AU73-'Combined data'!AT73</f>
        <v>24</v>
      </c>
      <c r="AV73" s="17">
        <f>'Combined data'!AV73-'Combined data'!AU73</f>
        <v>14</v>
      </c>
      <c r="AW73" s="17">
        <f>'Combined data'!AW73-'Combined data'!AV73</f>
        <v>10</v>
      </c>
      <c r="AX73" s="17">
        <f>'Combined data'!AX73-'Combined data'!AW73</f>
        <v>31</v>
      </c>
      <c r="AY73" s="17">
        <f>'Combined data'!AY73-'Combined data'!AX73</f>
        <v>14</v>
      </c>
      <c r="AZ73" s="17">
        <f>'Combined data'!AZ73-'Combined data'!AY73</f>
        <v>3</v>
      </c>
      <c r="BA73" s="17">
        <f>'Combined data'!BA73-'Combined data'!AZ73</f>
        <v>7</v>
      </c>
      <c r="BB73" s="17">
        <f>'Combined data'!BB73-'Combined data'!BA73</f>
        <v>5</v>
      </c>
      <c r="BC73" s="17">
        <f>'Combined data'!BC73-'Combined data'!BB73</f>
        <v>10</v>
      </c>
      <c r="BD73" s="17">
        <f>'Combined data'!BD73-'Combined data'!BC73</f>
        <v>5</v>
      </c>
      <c r="BE73" s="17">
        <f>'Combined data'!BE73-'Combined data'!BD73</f>
        <v>12</v>
      </c>
      <c r="BF73" s="17">
        <f>'Combined data'!BF73-'Combined data'!BE73</f>
        <v>4</v>
      </c>
      <c r="BG73" s="17">
        <f>'Combined data'!BG73-'Combined data'!BF73</f>
        <v>6</v>
      </c>
      <c r="BH73" s="17">
        <f>'Combined data'!BH73-'Combined data'!BG73</f>
        <v>7</v>
      </c>
      <c r="BI73" s="17">
        <f>'Combined data'!BI73-'Combined data'!BH73</f>
        <v>3</v>
      </c>
      <c r="BJ73" s="17">
        <f>'Combined data'!BJ73-'Combined data'!BI73</f>
        <v>6</v>
      </c>
      <c r="BK73" s="17">
        <f>'Combined data'!BK73-'Combined data'!BJ73</f>
        <v>13</v>
      </c>
      <c r="BL73" s="17">
        <f>'Combined data'!BL73-'Combined data'!BK73</f>
        <v>10</v>
      </c>
      <c r="BM73" s="17">
        <f>'Combined data'!BM73-'Combined data'!BL73</f>
        <v>6</v>
      </c>
      <c r="BN73" s="17">
        <f>'Combined data'!BN73-'Combined data'!BM73</f>
        <v>7</v>
      </c>
      <c r="BO73" s="17">
        <f>'Combined data'!BO73-'Combined data'!BN73</f>
        <v>-333</v>
      </c>
      <c r="BP73" s="17">
        <f>'Combined data'!BP73-'Combined data'!BO73</f>
        <v>0</v>
      </c>
      <c r="BQ73" s="17">
        <f>'Combined data'!BQ73-'Combined data'!BP73</f>
        <v>0</v>
      </c>
      <c r="BR73" s="17">
        <f>'Combined data'!BR73-'Combined data'!BQ73</f>
        <v>0</v>
      </c>
      <c r="BS73" s="17">
        <f>'Combined data'!BS73-'Combined data'!BR73</f>
        <v>0</v>
      </c>
      <c r="BT73" s="17">
        <f>'Combined data'!BT73-'Combined data'!BS73</f>
        <v>0</v>
      </c>
      <c r="BU73" s="17">
        <f>'Combined data'!BU73-'Combined data'!BT73</f>
        <v>0</v>
      </c>
      <c r="BV73" s="17">
        <f>'Combined data'!BV73-'Combined data'!BU73</f>
        <v>0</v>
      </c>
      <c r="BW73" s="17">
        <f>'Combined data'!BW73-'Combined data'!BV73</f>
        <v>0</v>
      </c>
      <c r="BX73" s="17">
        <f>'Combined data'!BX73-'Combined data'!BW73</f>
        <v>0</v>
      </c>
      <c r="BY73" s="17">
        <f>'Combined data'!BY73-'Combined data'!BX73</f>
        <v>0</v>
      </c>
      <c r="CB73" s="17">
        <f t="shared" ref="CB73:CB104" si="49">AR73</f>
        <v>107</v>
      </c>
      <c r="CC73" s="17">
        <f t="shared" ref="CC73:CC104" si="50">AS73</f>
        <v>21</v>
      </c>
      <c r="CD73" s="17">
        <f t="shared" ref="CD73:CD104" si="51">AT73</f>
        <v>8</v>
      </c>
      <c r="CE73" s="17">
        <f t="shared" ref="CE73:CE104" si="52">AU73</f>
        <v>24</v>
      </c>
      <c r="CF73" s="17">
        <f t="shared" ref="CF73:CF104" si="53">AV73</f>
        <v>14</v>
      </c>
      <c r="CG73" s="17">
        <f t="shared" ref="CG73:CG104" si="54">AW73</f>
        <v>10</v>
      </c>
      <c r="CH73" s="17">
        <f t="shared" ref="CH73:CH104" si="55">AX73</f>
        <v>31</v>
      </c>
      <c r="CI73" s="17">
        <f t="shared" ref="CI73:CI104" si="56">AY73</f>
        <v>14</v>
      </c>
      <c r="CJ73" s="17">
        <f t="shared" ref="CJ73:CJ104" si="57">AZ73</f>
        <v>3</v>
      </c>
      <c r="CK73" s="17">
        <f t="shared" ref="CK73:CK104" si="58">BA73</f>
        <v>7</v>
      </c>
      <c r="CL73" s="17">
        <f t="shared" ref="CL73:CL104" si="59">BB73</f>
        <v>5</v>
      </c>
      <c r="CM73" s="17">
        <f t="shared" ref="CM73:CM104" si="60">BC73</f>
        <v>10</v>
      </c>
      <c r="CN73" s="17">
        <f t="shared" ref="CN73:CN104" si="61">BD73</f>
        <v>5</v>
      </c>
      <c r="CO73" s="17">
        <f t="shared" ref="CO73:CO104" si="62">BE73</f>
        <v>12</v>
      </c>
      <c r="CP73" s="17">
        <f t="shared" ref="CP73:CP104" si="63">BF73</f>
        <v>4</v>
      </c>
      <c r="CQ73" s="17">
        <f t="shared" ref="CQ73:CQ104" si="64">BG73</f>
        <v>6</v>
      </c>
      <c r="CR73" s="17">
        <f t="shared" ref="CR73:CR104" si="65">BH73</f>
        <v>7</v>
      </c>
      <c r="CS73" s="17">
        <f t="shared" ref="CS73:CS104" si="66">BI73</f>
        <v>3</v>
      </c>
      <c r="CT73" s="17">
        <f t="shared" ref="CT73:CT104" si="67">BJ73</f>
        <v>6</v>
      </c>
      <c r="CU73" s="17">
        <f t="shared" ref="CU73:CU104" si="68">BK73</f>
        <v>13</v>
      </c>
      <c r="CV73" s="17">
        <f t="shared" ref="CV73:CV104" si="69">BL73</f>
        <v>10</v>
      </c>
      <c r="CW73" s="17">
        <f t="shared" ref="CW73:CW104" si="70">BM73</f>
        <v>6</v>
      </c>
      <c r="CX73" s="17">
        <f t="shared" ref="CX73:DI88" si="71">BN73</f>
        <v>7</v>
      </c>
      <c r="CY73" s="17">
        <f t="shared" si="71"/>
        <v>-333</v>
      </c>
      <c r="CZ73" s="17">
        <f t="shared" si="71"/>
        <v>0</v>
      </c>
      <c r="DA73" s="17">
        <f t="shared" si="71"/>
        <v>0</v>
      </c>
      <c r="DB73" s="17">
        <f t="shared" si="71"/>
        <v>0</v>
      </c>
      <c r="DC73" s="17">
        <f t="shared" si="71"/>
        <v>0</v>
      </c>
      <c r="DD73" s="17">
        <f t="shared" si="71"/>
        <v>0</v>
      </c>
      <c r="DE73" s="17">
        <f t="shared" si="71"/>
        <v>0</v>
      </c>
      <c r="DF73" s="17">
        <f t="shared" si="71"/>
        <v>0</v>
      </c>
      <c r="DG73" s="17">
        <f t="shared" si="71"/>
        <v>0</v>
      </c>
      <c r="DH73" s="17">
        <f t="shared" si="71"/>
        <v>0</v>
      </c>
      <c r="DI73" s="17">
        <f t="shared" si="71"/>
        <v>0</v>
      </c>
    </row>
    <row r="74" spans="1:113" ht="15.75" x14ac:dyDescent="0.25">
      <c r="A74" s="4" t="s">
        <v>137</v>
      </c>
      <c r="B74" s="6" t="s">
        <v>138</v>
      </c>
      <c r="H74" s="90">
        <f>'Combined data'!H74</f>
        <v>236</v>
      </c>
      <c r="I74" s="90">
        <f>'Combined data'!I74-'Combined data'!H74</f>
        <v>2</v>
      </c>
      <c r="J74" s="90">
        <f>'Combined data'!J74-'Combined data'!I74</f>
        <v>10</v>
      </c>
      <c r="K74" s="90">
        <f>'Combined data'!K74-'Combined data'!J74</f>
        <v>15</v>
      </c>
      <c r="L74" s="90">
        <f>'Combined data'!L74-'Combined data'!K74</f>
        <v>14</v>
      </c>
      <c r="M74" s="90">
        <f>'Combined data'!M74-'Combined data'!L74</f>
        <v>13</v>
      </c>
      <c r="N74" s="90">
        <f>'Combined data'!N74-'Combined data'!M74</f>
        <v>21</v>
      </c>
      <c r="O74" s="90">
        <f>'Combined data'!O74-'Combined data'!N74</f>
        <v>17</v>
      </c>
      <c r="P74" s="90">
        <f>'Combined data'!P74-'Combined data'!O74</f>
        <v>11</v>
      </c>
      <c r="Q74" s="90">
        <f>'Combined data'!Q74-'Combined data'!P74</f>
        <v>7</v>
      </c>
      <c r="R74" s="90">
        <f>'Combined data'!R74-'Combined data'!Q74</f>
        <v>2</v>
      </c>
      <c r="S74" s="90">
        <f>'Combined data'!S74-'Combined data'!R74</f>
        <v>11</v>
      </c>
      <c r="T74" s="90">
        <f>'Combined data'!T74-'Combined data'!S74</f>
        <v>12</v>
      </c>
      <c r="U74" s="90">
        <f>'Combined data'!U74-'Combined data'!T74</f>
        <v>12</v>
      </c>
      <c r="V74" s="90">
        <f>'Combined data'!V74-'Combined data'!U74</f>
        <v>13</v>
      </c>
      <c r="W74" s="90">
        <f>'Combined data'!W74-'Combined data'!V74</f>
        <v>4</v>
      </c>
      <c r="X74" s="90">
        <f>'Combined data'!X74-'Combined data'!W74</f>
        <v>6</v>
      </c>
      <c r="Y74" s="90">
        <f>'Combined data'!Y74-'Combined data'!X74</f>
        <v>8</v>
      </c>
      <c r="Z74" s="90">
        <f>'Combined data'!Z74-'Combined data'!Y74</f>
        <v>5</v>
      </c>
      <c r="AA74" s="90">
        <f>'Combined data'!AA74-'Combined data'!Z74</f>
        <v>0</v>
      </c>
      <c r="AB74" s="90">
        <f>'Combined data'!AB74-'Combined data'!AA74</f>
        <v>1</v>
      </c>
      <c r="AC74" s="90">
        <f>'Combined data'!AC74-'Combined data'!AB74</f>
        <v>0</v>
      </c>
      <c r="AD74" s="90">
        <f>'Combined data'!AD74-'Combined data'!AC74</f>
        <v>9</v>
      </c>
      <c r="AE74" s="90">
        <f>'Combined data'!AE74-'Combined data'!AD74</f>
        <v>-429</v>
      </c>
      <c r="AF74" s="90">
        <f>'Combined data'!AF74-'Combined data'!AE74</f>
        <v>0</v>
      </c>
      <c r="AG74" s="90">
        <f>'Combined data'!AG74-'Combined data'!AF74</f>
        <v>0</v>
      </c>
      <c r="AH74" s="90">
        <f>'Combined data'!AH74-'Combined data'!AG74</f>
        <v>0</v>
      </c>
      <c r="AI74" s="90">
        <f>'Combined data'!AI74-'Combined data'!AH74</f>
        <v>0</v>
      </c>
      <c r="AJ74" s="90">
        <f>'Combined data'!AJ74-'Combined data'!AI74</f>
        <v>0</v>
      </c>
      <c r="AK74" s="90">
        <f>'Combined data'!AK74-'Combined data'!AJ74</f>
        <v>0</v>
      </c>
      <c r="AL74" s="90">
        <f>'Combined data'!AL74-'Combined data'!AK74</f>
        <v>0</v>
      </c>
      <c r="AM74" s="90">
        <f>'Combined data'!AM74-'Combined data'!AL74</f>
        <v>0</v>
      </c>
      <c r="AN74" s="90">
        <f>'Combined data'!AN74-'Combined data'!AM74</f>
        <v>0</v>
      </c>
      <c r="AO74" s="90">
        <f>'Combined data'!AO74-'Combined data'!AN74</f>
        <v>0</v>
      </c>
      <c r="AP74" s="56">
        <f t="shared" ref="AP74:AP137" si="72">SUM(H74:AO74)</f>
        <v>0</v>
      </c>
      <c r="AQ74" s="113"/>
      <c r="AR74" s="17">
        <f>'Combined data'!AR74</f>
        <v>114</v>
      </c>
      <c r="AS74" s="17">
        <f>'Combined data'!AS74-'Combined data'!AR74</f>
        <v>17</v>
      </c>
      <c r="AT74" s="17">
        <f>'Combined data'!AT74-'Combined data'!AS74</f>
        <v>13</v>
      </c>
      <c r="AU74" s="17">
        <f>'Combined data'!AU74-'Combined data'!AT74</f>
        <v>18</v>
      </c>
      <c r="AV74" s="17">
        <f>'Combined data'!AV74-'Combined data'!AU74</f>
        <v>13</v>
      </c>
      <c r="AW74" s="17">
        <f>'Combined data'!AW74-'Combined data'!AV74</f>
        <v>4</v>
      </c>
      <c r="AX74" s="17">
        <f>'Combined data'!AX74-'Combined data'!AW74</f>
        <v>24</v>
      </c>
      <c r="AY74" s="17">
        <f>'Combined data'!AY74-'Combined data'!AX74</f>
        <v>21</v>
      </c>
      <c r="AZ74" s="17">
        <f>'Combined data'!AZ74-'Combined data'!AY74</f>
        <v>12</v>
      </c>
      <c r="BA74" s="17">
        <f>'Combined data'!BA74-'Combined data'!AZ74</f>
        <v>14</v>
      </c>
      <c r="BB74" s="17">
        <f>'Combined data'!BB74-'Combined data'!BA74</f>
        <v>11</v>
      </c>
      <c r="BC74" s="17">
        <f>'Combined data'!BC74-'Combined data'!BB74</f>
        <v>12</v>
      </c>
      <c r="BD74" s="17">
        <f>'Combined data'!BD74-'Combined data'!BC74</f>
        <v>18</v>
      </c>
      <c r="BE74" s="17">
        <f>'Combined data'!BE74-'Combined data'!BD74</f>
        <v>5</v>
      </c>
      <c r="BF74" s="17">
        <f>'Combined data'!BF74-'Combined data'!BE74</f>
        <v>5</v>
      </c>
      <c r="BG74" s="17">
        <f>'Combined data'!BG74-'Combined data'!BF74</f>
        <v>11</v>
      </c>
      <c r="BH74" s="17">
        <f>'Combined data'!BH74-'Combined data'!BG74</f>
        <v>11</v>
      </c>
      <c r="BI74" s="17">
        <f>'Combined data'!BI74-'Combined data'!BH74</f>
        <v>7</v>
      </c>
      <c r="BJ74" s="17">
        <f>'Combined data'!BJ74-'Combined data'!BI74</f>
        <v>12</v>
      </c>
      <c r="BK74" s="17">
        <f>'Combined data'!BK74-'Combined data'!BJ74</f>
        <v>10</v>
      </c>
      <c r="BL74" s="17">
        <f>'Combined data'!BL74-'Combined data'!BK74</f>
        <v>6</v>
      </c>
      <c r="BM74" s="17">
        <f>'Combined data'!BM74-'Combined data'!BL74</f>
        <v>3</v>
      </c>
      <c r="BN74" s="17">
        <f>'Combined data'!BN74-'Combined data'!BM74</f>
        <v>2</v>
      </c>
      <c r="BO74" s="17">
        <f>'Combined data'!BO74-'Combined data'!BN74</f>
        <v>-363</v>
      </c>
      <c r="BP74" s="17">
        <f>'Combined data'!BP74-'Combined data'!BO74</f>
        <v>0</v>
      </c>
      <c r="BQ74" s="17">
        <f>'Combined data'!BQ74-'Combined data'!BP74</f>
        <v>0</v>
      </c>
      <c r="BR74" s="17">
        <f>'Combined data'!BR74-'Combined data'!BQ74</f>
        <v>0</v>
      </c>
      <c r="BS74" s="17">
        <f>'Combined data'!BS74-'Combined data'!BR74</f>
        <v>0</v>
      </c>
      <c r="BT74" s="17">
        <f>'Combined data'!BT74-'Combined data'!BS74</f>
        <v>0</v>
      </c>
      <c r="BU74" s="17">
        <f>'Combined data'!BU74-'Combined data'!BT74</f>
        <v>0</v>
      </c>
      <c r="BV74" s="17">
        <f>'Combined data'!BV74-'Combined data'!BU74</f>
        <v>0</v>
      </c>
      <c r="BW74" s="17">
        <f>'Combined data'!BW74-'Combined data'!BV74</f>
        <v>0</v>
      </c>
      <c r="BX74" s="17">
        <f>'Combined data'!BX74-'Combined data'!BW74</f>
        <v>0</v>
      </c>
      <c r="BY74" s="17">
        <f>'Combined data'!BY74-'Combined data'!BX74</f>
        <v>0</v>
      </c>
      <c r="CB74" s="17">
        <f t="shared" si="49"/>
        <v>114</v>
      </c>
      <c r="CC74" s="17">
        <f t="shared" si="50"/>
        <v>17</v>
      </c>
      <c r="CD74" s="17">
        <f t="shared" si="51"/>
        <v>13</v>
      </c>
      <c r="CE74" s="17">
        <f t="shared" si="52"/>
        <v>18</v>
      </c>
      <c r="CF74" s="17">
        <f t="shared" si="53"/>
        <v>13</v>
      </c>
      <c r="CG74" s="17">
        <f t="shared" si="54"/>
        <v>4</v>
      </c>
      <c r="CH74" s="17">
        <f t="shared" si="55"/>
        <v>24</v>
      </c>
      <c r="CI74" s="17">
        <f t="shared" si="56"/>
        <v>21</v>
      </c>
      <c r="CJ74" s="17">
        <f t="shared" si="57"/>
        <v>12</v>
      </c>
      <c r="CK74" s="17">
        <f t="shared" si="58"/>
        <v>14</v>
      </c>
      <c r="CL74" s="17">
        <f t="shared" si="59"/>
        <v>11</v>
      </c>
      <c r="CM74" s="17">
        <f t="shared" si="60"/>
        <v>12</v>
      </c>
      <c r="CN74" s="17">
        <f t="shared" si="61"/>
        <v>18</v>
      </c>
      <c r="CO74" s="17">
        <f t="shared" si="62"/>
        <v>5</v>
      </c>
      <c r="CP74" s="17">
        <f t="shared" si="63"/>
        <v>5</v>
      </c>
      <c r="CQ74" s="17">
        <f t="shared" si="64"/>
        <v>11</v>
      </c>
      <c r="CR74" s="17">
        <f t="shared" si="65"/>
        <v>11</v>
      </c>
      <c r="CS74" s="17">
        <f t="shared" si="66"/>
        <v>7</v>
      </c>
      <c r="CT74" s="17">
        <f t="shared" si="67"/>
        <v>12</v>
      </c>
      <c r="CU74" s="17">
        <f t="shared" si="68"/>
        <v>10</v>
      </c>
      <c r="CV74" s="17">
        <f t="shared" si="69"/>
        <v>6</v>
      </c>
      <c r="CW74" s="17">
        <f t="shared" si="70"/>
        <v>3</v>
      </c>
      <c r="CX74" s="17">
        <f t="shared" si="71"/>
        <v>2</v>
      </c>
      <c r="CY74" s="17">
        <f t="shared" si="71"/>
        <v>-363</v>
      </c>
      <c r="CZ74" s="17">
        <f t="shared" si="71"/>
        <v>0</v>
      </c>
      <c r="DA74" s="17">
        <f t="shared" si="71"/>
        <v>0</v>
      </c>
      <c r="DB74" s="17">
        <f t="shared" si="71"/>
        <v>0</v>
      </c>
      <c r="DC74" s="17">
        <f t="shared" si="71"/>
        <v>0</v>
      </c>
      <c r="DD74" s="17">
        <f t="shared" si="71"/>
        <v>0</v>
      </c>
      <c r="DE74" s="17">
        <f t="shared" si="71"/>
        <v>0</v>
      </c>
      <c r="DF74" s="17">
        <f t="shared" si="71"/>
        <v>0</v>
      </c>
      <c r="DG74" s="17">
        <f t="shared" si="71"/>
        <v>0</v>
      </c>
      <c r="DH74" s="17">
        <f t="shared" si="71"/>
        <v>0</v>
      </c>
      <c r="DI74" s="17">
        <f t="shared" si="71"/>
        <v>0</v>
      </c>
    </row>
    <row r="75" spans="1:113" ht="15.75" x14ac:dyDescent="0.25">
      <c r="A75" s="4" t="s">
        <v>139</v>
      </c>
      <c r="B75" s="6" t="s">
        <v>140</v>
      </c>
      <c r="H75" s="90">
        <f>'Combined data'!H75</f>
        <v>44</v>
      </c>
      <c r="I75" s="90">
        <f>'Combined data'!I75-'Combined data'!H75</f>
        <v>1</v>
      </c>
      <c r="J75" s="90">
        <f>'Combined data'!J75-'Combined data'!I75</f>
        <v>5</v>
      </c>
      <c r="K75" s="90">
        <f>'Combined data'!K75-'Combined data'!J75</f>
        <v>4</v>
      </c>
      <c r="L75" s="90">
        <f>'Combined data'!L75-'Combined data'!K75</f>
        <v>0</v>
      </c>
      <c r="M75" s="90">
        <f>'Combined data'!M75-'Combined data'!L75</f>
        <v>0</v>
      </c>
      <c r="N75" s="90">
        <f>'Combined data'!N75-'Combined data'!M75</f>
        <v>4</v>
      </c>
      <c r="O75" s="90">
        <f>'Combined data'!O75-'Combined data'!N75</f>
        <v>0</v>
      </c>
      <c r="P75" s="90">
        <f>'Combined data'!P75-'Combined data'!O75</f>
        <v>2</v>
      </c>
      <c r="Q75" s="90">
        <f>'Combined data'!Q75-'Combined data'!P75</f>
        <v>2</v>
      </c>
      <c r="R75" s="90">
        <f>'Combined data'!R75-'Combined data'!Q75</f>
        <v>0</v>
      </c>
      <c r="S75" s="90">
        <f>'Combined data'!S75-'Combined data'!R75</f>
        <v>2</v>
      </c>
      <c r="T75" s="90">
        <f>'Combined data'!T75-'Combined data'!S75</f>
        <v>1</v>
      </c>
      <c r="U75" s="90">
        <f>'Combined data'!U75-'Combined data'!T75</f>
        <v>1</v>
      </c>
      <c r="V75" s="90">
        <f>'Combined data'!V75-'Combined data'!U75</f>
        <v>2</v>
      </c>
      <c r="W75" s="90">
        <f>'Combined data'!W75-'Combined data'!V75</f>
        <v>0</v>
      </c>
      <c r="X75" s="90">
        <f>'Combined data'!X75-'Combined data'!W75</f>
        <v>5</v>
      </c>
      <c r="Y75" s="90">
        <f>'Combined data'!Y75-'Combined data'!X75</f>
        <v>1</v>
      </c>
      <c r="Z75" s="90">
        <f>'Combined data'!Z75-'Combined data'!Y75</f>
        <v>1</v>
      </c>
      <c r="AA75" s="90">
        <f>'Combined data'!AA75-'Combined data'!Z75</f>
        <v>4</v>
      </c>
      <c r="AB75" s="90">
        <f>'Combined data'!AB75-'Combined data'!AA75</f>
        <v>3</v>
      </c>
      <c r="AC75" s="90">
        <f>'Combined data'!AC75-'Combined data'!AB75</f>
        <v>0</v>
      </c>
      <c r="AD75" s="90">
        <f>'Combined data'!AD75-'Combined data'!AC75</f>
        <v>1</v>
      </c>
      <c r="AE75" s="90">
        <f>'Combined data'!AE75-'Combined data'!AD75</f>
        <v>-83</v>
      </c>
      <c r="AF75" s="90">
        <f>'Combined data'!AF75-'Combined data'!AE75</f>
        <v>0</v>
      </c>
      <c r="AG75" s="90">
        <f>'Combined data'!AG75-'Combined data'!AF75</f>
        <v>0</v>
      </c>
      <c r="AH75" s="90">
        <f>'Combined data'!AH75-'Combined data'!AG75</f>
        <v>0</v>
      </c>
      <c r="AI75" s="90">
        <f>'Combined data'!AI75-'Combined data'!AH75</f>
        <v>0</v>
      </c>
      <c r="AJ75" s="90">
        <f>'Combined data'!AJ75-'Combined data'!AI75</f>
        <v>0</v>
      </c>
      <c r="AK75" s="90">
        <f>'Combined data'!AK75-'Combined data'!AJ75</f>
        <v>0</v>
      </c>
      <c r="AL75" s="90">
        <f>'Combined data'!AL75-'Combined data'!AK75</f>
        <v>0</v>
      </c>
      <c r="AM75" s="90">
        <f>'Combined data'!AM75-'Combined data'!AL75</f>
        <v>0</v>
      </c>
      <c r="AN75" s="90">
        <f>'Combined data'!AN75-'Combined data'!AM75</f>
        <v>0</v>
      </c>
      <c r="AO75" s="90">
        <f>'Combined data'!AO75-'Combined data'!AN75</f>
        <v>0</v>
      </c>
      <c r="AP75" s="56">
        <f t="shared" si="72"/>
        <v>0</v>
      </c>
      <c r="AQ75" s="113"/>
      <c r="AR75" s="17">
        <f>'Combined data'!AR75</f>
        <v>22</v>
      </c>
      <c r="AS75" s="17">
        <f>'Combined data'!AS75-'Combined data'!AR75</f>
        <v>3</v>
      </c>
      <c r="AT75" s="17">
        <f>'Combined data'!AT75-'Combined data'!AS75</f>
        <v>1</v>
      </c>
      <c r="AU75" s="17">
        <f>'Combined data'!AU75-'Combined data'!AT75</f>
        <v>1</v>
      </c>
      <c r="AV75" s="17">
        <f>'Combined data'!AV75-'Combined data'!AU75</f>
        <v>3</v>
      </c>
      <c r="AW75" s="17">
        <f>'Combined data'!AW75-'Combined data'!AV75</f>
        <v>9</v>
      </c>
      <c r="AX75" s="17">
        <f>'Combined data'!AX75-'Combined data'!AW75</f>
        <v>7</v>
      </c>
      <c r="AY75" s="17">
        <f>'Combined data'!AY75-'Combined data'!AX75</f>
        <v>0</v>
      </c>
      <c r="AZ75" s="17">
        <f>'Combined data'!AZ75-'Combined data'!AY75</f>
        <v>4</v>
      </c>
      <c r="BA75" s="17">
        <f>'Combined data'!BA75-'Combined data'!AZ75</f>
        <v>3</v>
      </c>
      <c r="BB75" s="17">
        <f>'Combined data'!BB75-'Combined data'!BA75</f>
        <v>0</v>
      </c>
      <c r="BC75" s="17">
        <f>'Combined data'!BC75-'Combined data'!BB75</f>
        <v>4</v>
      </c>
      <c r="BD75" s="17">
        <f>'Combined data'!BD75-'Combined data'!BC75</f>
        <v>2</v>
      </c>
      <c r="BE75" s="17">
        <f>'Combined data'!BE75-'Combined data'!BD75</f>
        <v>1</v>
      </c>
      <c r="BF75" s="17">
        <f>'Combined data'!BF75-'Combined data'!BE75</f>
        <v>0</v>
      </c>
      <c r="BG75" s="17">
        <f>'Combined data'!BG75-'Combined data'!BF75</f>
        <v>0</v>
      </c>
      <c r="BH75" s="17">
        <f>'Combined data'!BH75-'Combined data'!BG75</f>
        <v>0</v>
      </c>
      <c r="BI75" s="17">
        <f>'Combined data'!BI75-'Combined data'!BH75</f>
        <v>0</v>
      </c>
      <c r="BJ75" s="17">
        <f>'Combined data'!BJ75-'Combined data'!BI75</f>
        <v>2</v>
      </c>
      <c r="BK75" s="17">
        <f>'Combined data'!BK75-'Combined data'!BJ75</f>
        <v>1</v>
      </c>
      <c r="BL75" s="17">
        <f>'Combined data'!BL75-'Combined data'!BK75</f>
        <v>0</v>
      </c>
      <c r="BM75" s="17">
        <f>'Combined data'!BM75-'Combined data'!BL75</f>
        <v>2</v>
      </c>
      <c r="BN75" s="17">
        <f>'Combined data'!BN75-'Combined data'!BM75</f>
        <v>1</v>
      </c>
      <c r="BO75" s="17">
        <f>'Combined data'!BO75-'Combined data'!BN75</f>
        <v>-66</v>
      </c>
      <c r="BP75" s="17">
        <f>'Combined data'!BP75-'Combined data'!BO75</f>
        <v>0</v>
      </c>
      <c r="BQ75" s="17">
        <f>'Combined data'!BQ75-'Combined data'!BP75</f>
        <v>0</v>
      </c>
      <c r="BR75" s="17">
        <f>'Combined data'!BR75-'Combined data'!BQ75</f>
        <v>0</v>
      </c>
      <c r="BS75" s="17">
        <f>'Combined data'!BS75-'Combined data'!BR75</f>
        <v>0</v>
      </c>
      <c r="BT75" s="17">
        <f>'Combined data'!BT75-'Combined data'!BS75</f>
        <v>0</v>
      </c>
      <c r="BU75" s="17">
        <f>'Combined data'!BU75-'Combined data'!BT75</f>
        <v>0</v>
      </c>
      <c r="BV75" s="17">
        <f>'Combined data'!BV75-'Combined data'!BU75</f>
        <v>0</v>
      </c>
      <c r="BW75" s="17">
        <f>'Combined data'!BW75-'Combined data'!BV75</f>
        <v>0</v>
      </c>
      <c r="BX75" s="17">
        <f>'Combined data'!BX75-'Combined data'!BW75</f>
        <v>0</v>
      </c>
      <c r="BY75" s="17">
        <f>'Combined data'!BY75-'Combined data'!BX75</f>
        <v>0</v>
      </c>
      <c r="CB75" s="17">
        <f t="shared" si="49"/>
        <v>22</v>
      </c>
      <c r="CC75" s="17">
        <f t="shared" si="50"/>
        <v>3</v>
      </c>
      <c r="CD75" s="17">
        <f t="shared" si="51"/>
        <v>1</v>
      </c>
      <c r="CE75" s="17">
        <f t="shared" si="52"/>
        <v>1</v>
      </c>
      <c r="CF75" s="17">
        <f t="shared" si="53"/>
        <v>3</v>
      </c>
      <c r="CG75" s="17">
        <f t="shared" si="54"/>
        <v>9</v>
      </c>
      <c r="CH75" s="17">
        <f t="shared" si="55"/>
        <v>7</v>
      </c>
      <c r="CI75" s="17">
        <f t="shared" si="56"/>
        <v>0</v>
      </c>
      <c r="CJ75" s="17">
        <f t="shared" si="57"/>
        <v>4</v>
      </c>
      <c r="CK75" s="17">
        <f t="shared" si="58"/>
        <v>3</v>
      </c>
      <c r="CL75" s="17">
        <f t="shared" si="59"/>
        <v>0</v>
      </c>
      <c r="CM75" s="17">
        <f t="shared" si="60"/>
        <v>4</v>
      </c>
      <c r="CN75" s="17">
        <f t="shared" si="61"/>
        <v>2</v>
      </c>
      <c r="CO75" s="17">
        <f t="shared" si="62"/>
        <v>1</v>
      </c>
      <c r="CP75" s="17">
        <f t="shared" si="63"/>
        <v>0</v>
      </c>
      <c r="CQ75" s="17">
        <f t="shared" si="64"/>
        <v>0</v>
      </c>
      <c r="CR75" s="17">
        <f t="shared" si="65"/>
        <v>0</v>
      </c>
      <c r="CS75" s="17">
        <f t="shared" si="66"/>
        <v>0</v>
      </c>
      <c r="CT75" s="17">
        <f t="shared" si="67"/>
        <v>2</v>
      </c>
      <c r="CU75" s="17">
        <f t="shared" si="68"/>
        <v>1</v>
      </c>
      <c r="CV75" s="17">
        <f t="shared" si="69"/>
        <v>0</v>
      </c>
      <c r="CW75" s="17">
        <f t="shared" si="70"/>
        <v>2</v>
      </c>
      <c r="CX75" s="17">
        <f t="shared" si="71"/>
        <v>1</v>
      </c>
      <c r="CY75" s="17">
        <f t="shared" si="71"/>
        <v>-66</v>
      </c>
      <c r="CZ75" s="17">
        <f t="shared" si="71"/>
        <v>0</v>
      </c>
      <c r="DA75" s="17">
        <f t="shared" si="71"/>
        <v>0</v>
      </c>
      <c r="DB75" s="17">
        <f t="shared" si="71"/>
        <v>0</v>
      </c>
      <c r="DC75" s="17">
        <f t="shared" si="71"/>
        <v>0</v>
      </c>
      <c r="DD75" s="17">
        <f t="shared" si="71"/>
        <v>0</v>
      </c>
      <c r="DE75" s="17">
        <f t="shared" si="71"/>
        <v>0</v>
      </c>
      <c r="DF75" s="17">
        <f t="shared" si="71"/>
        <v>0</v>
      </c>
      <c r="DG75" s="17">
        <f t="shared" si="71"/>
        <v>0</v>
      </c>
      <c r="DH75" s="17">
        <f t="shared" si="71"/>
        <v>0</v>
      </c>
      <c r="DI75" s="17">
        <f t="shared" si="71"/>
        <v>0</v>
      </c>
    </row>
    <row r="76" spans="1:113" ht="15.75" x14ac:dyDescent="0.25">
      <c r="A76" s="4" t="s">
        <v>141</v>
      </c>
      <c r="B76" s="6" t="s">
        <v>142</v>
      </c>
      <c r="H76" s="90">
        <f>'Combined data'!H76</f>
        <v>316</v>
      </c>
      <c r="I76" s="90">
        <f>'Combined data'!I76-'Combined data'!H76</f>
        <v>29</v>
      </c>
      <c r="J76" s="90">
        <f>'Combined data'!J76-'Combined data'!I76</f>
        <v>18</v>
      </c>
      <c r="K76" s="90">
        <f>'Combined data'!K76-'Combined data'!J76</f>
        <v>22</v>
      </c>
      <c r="L76" s="90">
        <f>'Combined data'!L76-'Combined data'!K76</f>
        <v>8</v>
      </c>
      <c r="M76" s="90">
        <f>'Combined data'!M76-'Combined data'!L76</f>
        <v>9</v>
      </c>
      <c r="N76" s="90">
        <f>'Combined data'!N76-'Combined data'!M76</f>
        <v>15</v>
      </c>
      <c r="O76" s="90">
        <f>'Combined data'!O76-'Combined data'!N76</f>
        <v>14</v>
      </c>
      <c r="P76" s="90">
        <f>'Combined data'!P76-'Combined data'!O76</f>
        <v>14</v>
      </c>
      <c r="Q76" s="90">
        <f>'Combined data'!Q76-'Combined data'!P76</f>
        <v>28</v>
      </c>
      <c r="R76" s="90">
        <f>'Combined data'!R76-'Combined data'!Q76</f>
        <v>7</v>
      </c>
      <c r="S76" s="90">
        <f>'Combined data'!S76-'Combined data'!R76</f>
        <v>11</v>
      </c>
      <c r="T76" s="90">
        <f>'Combined data'!T76-'Combined data'!S76</f>
        <v>13</v>
      </c>
      <c r="U76" s="90">
        <f>'Combined data'!U76-'Combined data'!T76</f>
        <v>6</v>
      </c>
      <c r="V76" s="90">
        <f>'Combined data'!V76-'Combined data'!U76</f>
        <v>8</v>
      </c>
      <c r="W76" s="90">
        <f>'Combined data'!W76-'Combined data'!V76</f>
        <v>11</v>
      </c>
      <c r="X76" s="90">
        <f>'Combined data'!X76-'Combined data'!W76</f>
        <v>7</v>
      </c>
      <c r="Y76" s="90">
        <f>'Combined data'!Y76-'Combined data'!X76</f>
        <v>7</v>
      </c>
      <c r="Z76" s="90">
        <f>'Combined data'!Z76-'Combined data'!Y76</f>
        <v>12</v>
      </c>
      <c r="AA76" s="90">
        <f>'Combined data'!AA76-'Combined data'!Z76</f>
        <v>8</v>
      </c>
      <c r="AB76" s="90">
        <f>'Combined data'!AB76-'Combined data'!AA76</f>
        <v>2</v>
      </c>
      <c r="AC76" s="90">
        <f>'Combined data'!AC76-'Combined data'!AB76</f>
        <v>2</v>
      </c>
      <c r="AD76" s="90">
        <f>'Combined data'!AD76-'Combined data'!AC76</f>
        <v>8</v>
      </c>
      <c r="AE76" s="90">
        <f>'Combined data'!AE76-'Combined data'!AD76</f>
        <v>-575</v>
      </c>
      <c r="AF76" s="90">
        <f>'Combined data'!AF76-'Combined data'!AE76</f>
        <v>0</v>
      </c>
      <c r="AG76" s="90">
        <f>'Combined data'!AG76-'Combined data'!AF76</f>
        <v>0</v>
      </c>
      <c r="AH76" s="90">
        <f>'Combined data'!AH76-'Combined data'!AG76</f>
        <v>0</v>
      </c>
      <c r="AI76" s="90">
        <f>'Combined data'!AI76-'Combined data'!AH76</f>
        <v>0</v>
      </c>
      <c r="AJ76" s="90">
        <f>'Combined data'!AJ76-'Combined data'!AI76</f>
        <v>0</v>
      </c>
      <c r="AK76" s="90">
        <f>'Combined data'!AK76-'Combined data'!AJ76</f>
        <v>0</v>
      </c>
      <c r="AL76" s="90">
        <f>'Combined data'!AL76-'Combined data'!AK76</f>
        <v>0</v>
      </c>
      <c r="AM76" s="90">
        <f>'Combined data'!AM76-'Combined data'!AL76</f>
        <v>0</v>
      </c>
      <c r="AN76" s="90">
        <f>'Combined data'!AN76-'Combined data'!AM76</f>
        <v>0</v>
      </c>
      <c r="AO76" s="90">
        <f>'Combined data'!AO76-'Combined data'!AN76</f>
        <v>0</v>
      </c>
      <c r="AP76" s="56">
        <f t="shared" si="72"/>
        <v>0</v>
      </c>
      <c r="AQ76" s="113"/>
      <c r="AR76" s="17">
        <f>'Combined data'!AR76</f>
        <v>150</v>
      </c>
      <c r="AS76" s="17">
        <f>'Combined data'!AS76-'Combined data'!AR76</f>
        <v>33</v>
      </c>
      <c r="AT76" s="17">
        <f>'Combined data'!AT76-'Combined data'!AS76</f>
        <v>34</v>
      </c>
      <c r="AU76" s="17">
        <f>'Combined data'!AU76-'Combined data'!AT76</f>
        <v>30</v>
      </c>
      <c r="AV76" s="17">
        <f>'Combined data'!AV76-'Combined data'!AU76</f>
        <v>22</v>
      </c>
      <c r="AW76" s="17">
        <f>'Combined data'!AW76-'Combined data'!AV76</f>
        <v>13</v>
      </c>
      <c r="AX76" s="17">
        <f>'Combined data'!AX76-'Combined data'!AW76</f>
        <v>9</v>
      </c>
      <c r="AY76" s="17">
        <f>'Combined data'!AY76-'Combined data'!AX76</f>
        <v>13</v>
      </c>
      <c r="AZ76" s="17">
        <f>'Combined data'!AZ76-'Combined data'!AY76</f>
        <v>16</v>
      </c>
      <c r="BA76" s="17">
        <f>'Combined data'!BA76-'Combined data'!AZ76</f>
        <v>20</v>
      </c>
      <c r="BB76" s="17">
        <f>'Combined data'!BB76-'Combined data'!BA76</f>
        <v>10</v>
      </c>
      <c r="BC76" s="17">
        <f>'Combined data'!BC76-'Combined data'!BB76</f>
        <v>21</v>
      </c>
      <c r="BD76" s="17">
        <f>'Combined data'!BD76-'Combined data'!BC76</f>
        <v>13</v>
      </c>
      <c r="BE76" s="17">
        <f>'Combined data'!BE76-'Combined data'!BD76</f>
        <v>7</v>
      </c>
      <c r="BF76" s="17">
        <f>'Combined data'!BF76-'Combined data'!BE76</f>
        <v>11</v>
      </c>
      <c r="BG76" s="17">
        <f>'Combined data'!BG76-'Combined data'!BF76</f>
        <v>5</v>
      </c>
      <c r="BH76" s="17">
        <f>'Combined data'!BH76-'Combined data'!BG76</f>
        <v>6</v>
      </c>
      <c r="BI76" s="17">
        <f>'Combined data'!BI76-'Combined data'!BH76</f>
        <v>9</v>
      </c>
      <c r="BJ76" s="17">
        <f>'Combined data'!BJ76-'Combined data'!BI76</f>
        <v>15</v>
      </c>
      <c r="BK76" s="17">
        <f>'Combined data'!BK76-'Combined data'!BJ76</f>
        <v>8</v>
      </c>
      <c r="BL76" s="17">
        <f>'Combined data'!BL76-'Combined data'!BK76</f>
        <v>14</v>
      </c>
      <c r="BM76" s="17">
        <f>'Combined data'!BM76-'Combined data'!BL76</f>
        <v>0</v>
      </c>
      <c r="BN76" s="17">
        <f>'Combined data'!BN76-'Combined data'!BM76</f>
        <v>6</v>
      </c>
      <c r="BO76" s="17">
        <f>'Combined data'!BO76-'Combined data'!BN76</f>
        <v>-465</v>
      </c>
      <c r="BP76" s="17">
        <f>'Combined data'!BP76-'Combined data'!BO76</f>
        <v>0</v>
      </c>
      <c r="BQ76" s="17">
        <f>'Combined data'!BQ76-'Combined data'!BP76</f>
        <v>0</v>
      </c>
      <c r="BR76" s="17">
        <f>'Combined data'!BR76-'Combined data'!BQ76</f>
        <v>0</v>
      </c>
      <c r="BS76" s="17">
        <f>'Combined data'!BS76-'Combined data'!BR76</f>
        <v>0</v>
      </c>
      <c r="BT76" s="17">
        <f>'Combined data'!BT76-'Combined data'!BS76</f>
        <v>0</v>
      </c>
      <c r="BU76" s="17">
        <f>'Combined data'!BU76-'Combined data'!BT76</f>
        <v>0</v>
      </c>
      <c r="BV76" s="17">
        <f>'Combined data'!BV76-'Combined data'!BU76</f>
        <v>0</v>
      </c>
      <c r="BW76" s="17">
        <f>'Combined data'!BW76-'Combined data'!BV76</f>
        <v>0</v>
      </c>
      <c r="BX76" s="17">
        <f>'Combined data'!BX76-'Combined data'!BW76</f>
        <v>0</v>
      </c>
      <c r="BY76" s="17">
        <f>'Combined data'!BY76-'Combined data'!BX76</f>
        <v>0</v>
      </c>
      <c r="CB76" s="17">
        <f t="shared" si="49"/>
        <v>150</v>
      </c>
      <c r="CC76" s="17">
        <f t="shared" si="50"/>
        <v>33</v>
      </c>
      <c r="CD76" s="17">
        <f t="shared" si="51"/>
        <v>34</v>
      </c>
      <c r="CE76" s="17">
        <f t="shared" si="52"/>
        <v>30</v>
      </c>
      <c r="CF76" s="17">
        <f t="shared" si="53"/>
        <v>22</v>
      </c>
      <c r="CG76" s="17">
        <f t="shared" si="54"/>
        <v>13</v>
      </c>
      <c r="CH76" s="17">
        <f t="shared" si="55"/>
        <v>9</v>
      </c>
      <c r="CI76" s="17">
        <f t="shared" si="56"/>
        <v>13</v>
      </c>
      <c r="CJ76" s="17">
        <f t="shared" si="57"/>
        <v>16</v>
      </c>
      <c r="CK76" s="17">
        <f t="shared" si="58"/>
        <v>20</v>
      </c>
      <c r="CL76" s="17">
        <f t="shared" si="59"/>
        <v>10</v>
      </c>
      <c r="CM76" s="17">
        <f t="shared" si="60"/>
        <v>21</v>
      </c>
      <c r="CN76" s="17">
        <f t="shared" si="61"/>
        <v>13</v>
      </c>
      <c r="CO76" s="17">
        <f t="shared" si="62"/>
        <v>7</v>
      </c>
      <c r="CP76" s="17">
        <f t="shared" si="63"/>
        <v>11</v>
      </c>
      <c r="CQ76" s="17">
        <f t="shared" si="64"/>
        <v>5</v>
      </c>
      <c r="CR76" s="17">
        <f t="shared" si="65"/>
        <v>6</v>
      </c>
      <c r="CS76" s="17">
        <f t="shared" si="66"/>
        <v>9</v>
      </c>
      <c r="CT76" s="17">
        <f t="shared" si="67"/>
        <v>15</v>
      </c>
      <c r="CU76" s="17">
        <f t="shared" si="68"/>
        <v>8</v>
      </c>
      <c r="CV76" s="17">
        <f t="shared" si="69"/>
        <v>14</v>
      </c>
      <c r="CW76" s="17">
        <f t="shared" si="70"/>
        <v>0</v>
      </c>
      <c r="CX76" s="17">
        <f t="shared" si="71"/>
        <v>6</v>
      </c>
      <c r="CY76" s="17">
        <f t="shared" si="71"/>
        <v>-465</v>
      </c>
      <c r="CZ76" s="17">
        <f t="shared" si="71"/>
        <v>0</v>
      </c>
      <c r="DA76" s="17">
        <f t="shared" si="71"/>
        <v>0</v>
      </c>
      <c r="DB76" s="17">
        <f t="shared" si="71"/>
        <v>0</v>
      </c>
      <c r="DC76" s="17">
        <f t="shared" si="71"/>
        <v>0</v>
      </c>
      <c r="DD76" s="17">
        <f t="shared" si="71"/>
        <v>0</v>
      </c>
      <c r="DE76" s="17">
        <f t="shared" si="71"/>
        <v>0</v>
      </c>
      <c r="DF76" s="17">
        <f t="shared" si="71"/>
        <v>0</v>
      </c>
      <c r="DG76" s="17">
        <f t="shared" si="71"/>
        <v>0</v>
      </c>
      <c r="DH76" s="17">
        <f t="shared" si="71"/>
        <v>0</v>
      </c>
      <c r="DI76" s="17">
        <f t="shared" si="71"/>
        <v>0</v>
      </c>
    </row>
    <row r="77" spans="1:113" ht="15.75" x14ac:dyDescent="0.25">
      <c r="A77" s="4" t="s">
        <v>143</v>
      </c>
      <c r="B77" s="6" t="s">
        <v>144</v>
      </c>
      <c r="H77" s="90">
        <f>'Combined data'!H77</f>
        <v>761</v>
      </c>
      <c r="I77" s="90">
        <f>'Combined data'!I77-'Combined data'!H77</f>
        <v>69</v>
      </c>
      <c r="J77" s="90">
        <f>'Combined data'!J77-'Combined data'!I77</f>
        <v>47</v>
      </c>
      <c r="K77" s="90">
        <f>'Combined data'!K77-'Combined data'!J77</f>
        <v>59</v>
      </c>
      <c r="L77" s="90">
        <f>'Combined data'!L77-'Combined data'!K77</f>
        <v>34</v>
      </c>
      <c r="M77" s="90">
        <f>'Combined data'!M77-'Combined data'!L77</f>
        <v>5</v>
      </c>
      <c r="N77" s="90">
        <f>'Combined data'!N77-'Combined data'!M77</f>
        <v>62</v>
      </c>
      <c r="O77" s="90">
        <f>'Combined data'!O77-'Combined data'!N77</f>
        <v>33</v>
      </c>
      <c r="P77" s="90">
        <f>'Combined data'!P77-'Combined data'!O77</f>
        <v>31</v>
      </c>
      <c r="Q77" s="90">
        <f>'Combined data'!Q77-'Combined data'!P77</f>
        <v>25</v>
      </c>
      <c r="R77" s="90">
        <f>'Combined data'!R77-'Combined data'!Q77</f>
        <v>31</v>
      </c>
      <c r="S77" s="90">
        <f>'Combined data'!S77-'Combined data'!R77</f>
        <v>23</v>
      </c>
      <c r="T77" s="90">
        <f>'Combined data'!T77-'Combined data'!S77</f>
        <v>31</v>
      </c>
      <c r="U77" s="90">
        <f>'Combined data'!U77-'Combined data'!T77</f>
        <v>28</v>
      </c>
      <c r="V77" s="90">
        <f>'Combined data'!V77-'Combined data'!U77</f>
        <v>16</v>
      </c>
      <c r="W77" s="90">
        <f>'Combined data'!W77-'Combined data'!V77</f>
        <v>14</v>
      </c>
      <c r="X77" s="90">
        <f>'Combined data'!X77-'Combined data'!W77</f>
        <v>6</v>
      </c>
      <c r="Y77" s="90">
        <f>'Combined data'!Y77-'Combined data'!X77</f>
        <v>16</v>
      </c>
      <c r="Z77" s="90">
        <f>'Combined data'!Z77-'Combined data'!Y77</f>
        <v>25</v>
      </c>
      <c r="AA77" s="90">
        <f>'Combined data'!AA77-'Combined data'!Z77</f>
        <v>4</v>
      </c>
      <c r="AB77" s="90">
        <f>'Combined data'!AB77-'Combined data'!AA77</f>
        <v>14</v>
      </c>
      <c r="AC77" s="90">
        <f>'Combined data'!AC77-'Combined data'!AB77</f>
        <v>2</v>
      </c>
      <c r="AD77" s="90">
        <f>'Combined data'!AD77-'Combined data'!AC77</f>
        <v>28</v>
      </c>
      <c r="AE77" s="90">
        <f>'Combined data'!AE77-'Combined data'!AD77</f>
        <v>-1364</v>
      </c>
      <c r="AF77" s="90">
        <f>'Combined data'!AF77-'Combined data'!AE77</f>
        <v>0</v>
      </c>
      <c r="AG77" s="90">
        <f>'Combined data'!AG77-'Combined data'!AF77</f>
        <v>0</v>
      </c>
      <c r="AH77" s="90">
        <f>'Combined data'!AH77-'Combined data'!AG77</f>
        <v>0</v>
      </c>
      <c r="AI77" s="90">
        <f>'Combined data'!AI77-'Combined data'!AH77</f>
        <v>0</v>
      </c>
      <c r="AJ77" s="90">
        <f>'Combined data'!AJ77-'Combined data'!AI77</f>
        <v>0</v>
      </c>
      <c r="AK77" s="90">
        <f>'Combined data'!AK77-'Combined data'!AJ77</f>
        <v>0</v>
      </c>
      <c r="AL77" s="90">
        <f>'Combined data'!AL77-'Combined data'!AK77</f>
        <v>0</v>
      </c>
      <c r="AM77" s="90">
        <f>'Combined data'!AM77-'Combined data'!AL77</f>
        <v>0</v>
      </c>
      <c r="AN77" s="90">
        <f>'Combined data'!AN77-'Combined data'!AM77</f>
        <v>0</v>
      </c>
      <c r="AO77" s="90">
        <f>'Combined data'!AO77-'Combined data'!AN77</f>
        <v>0</v>
      </c>
      <c r="AP77" s="56">
        <f t="shared" si="72"/>
        <v>0</v>
      </c>
      <c r="AQ77" s="113"/>
      <c r="AR77" s="17">
        <f>'Combined data'!AR77</f>
        <v>332</v>
      </c>
      <c r="AS77" s="17">
        <f>'Combined data'!AS77-'Combined data'!AR77</f>
        <v>86</v>
      </c>
      <c r="AT77" s="17">
        <f>'Combined data'!AT77-'Combined data'!AS77</f>
        <v>81</v>
      </c>
      <c r="AU77" s="17">
        <f>'Combined data'!AU77-'Combined data'!AT77</f>
        <v>82</v>
      </c>
      <c r="AV77" s="17">
        <f>'Combined data'!AV77-'Combined data'!AU77</f>
        <v>53</v>
      </c>
      <c r="AW77" s="17">
        <f>'Combined data'!AW77-'Combined data'!AV77</f>
        <v>32</v>
      </c>
      <c r="AX77" s="17">
        <f>'Combined data'!AX77-'Combined data'!AW77</f>
        <v>74</v>
      </c>
      <c r="AY77" s="17">
        <f>'Combined data'!AY77-'Combined data'!AX77</f>
        <v>40</v>
      </c>
      <c r="AZ77" s="17">
        <f>'Combined data'!AZ77-'Combined data'!AY77</f>
        <v>45</v>
      </c>
      <c r="BA77" s="17">
        <f>'Combined data'!BA77-'Combined data'!AZ77</f>
        <v>25</v>
      </c>
      <c r="BB77" s="17">
        <f>'Combined data'!BB77-'Combined data'!BA77</f>
        <v>18</v>
      </c>
      <c r="BC77" s="17">
        <f>'Combined data'!BC77-'Combined data'!BB77</f>
        <v>31</v>
      </c>
      <c r="BD77" s="17">
        <f>'Combined data'!BD77-'Combined data'!BC77</f>
        <v>23</v>
      </c>
      <c r="BE77" s="17">
        <f>'Combined data'!BE77-'Combined data'!BD77</f>
        <v>14</v>
      </c>
      <c r="BF77" s="17">
        <f>'Combined data'!BF77-'Combined data'!BE77</f>
        <v>37</v>
      </c>
      <c r="BG77" s="17">
        <f>'Combined data'!BG77-'Combined data'!BF77</f>
        <v>14</v>
      </c>
      <c r="BH77" s="17">
        <f>'Combined data'!BH77-'Combined data'!BG77</f>
        <v>21</v>
      </c>
      <c r="BI77" s="17">
        <f>'Combined data'!BI77-'Combined data'!BH77</f>
        <v>23</v>
      </c>
      <c r="BJ77" s="17">
        <f>'Combined data'!BJ77-'Combined data'!BI77</f>
        <v>24</v>
      </c>
      <c r="BK77" s="17">
        <f>'Combined data'!BK77-'Combined data'!BJ77</f>
        <v>17</v>
      </c>
      <c r="BL77" s="17">
        <f>'Combined data'!BL77-'Combined data'!BK77</f>
        <v>24</v>
      </c>
      <c r="BM77" s="17">
        <f>'Combined data'!BM77-'Combined data'!BL77</f>
        <v>16</v>
      </c>
      <c r="BN77" s="17">
        <f>'Combined data'!BN77-'Combined data'!BM77</f>
        <v>11</v>
      </c>
      <c r="BO77" s="17">
        <f>'Combined data'!BO77-'Combined data'!BN77</f>
        <v>-1123</v>
      </c>
      <c r="BP77" s="17">
        <f>'Combined data'!BP77-'Combined data'!BO77</f>
        <v>0</v>
      </c>
      <c r="BQ77" s="17">
        <f>'Combined data'!BQ77-'Combined data'!BP77</f>
        <v>0</v>
      </c>
      <c r="BR77" s="17">
        <f>'Combined data'!BR77-'Combined data'!BQ77</f>
        <v>0</v>
      </c>
      <c r="BS77" s="17">
        <f>'Combined data'!BS77-'Combined data'!BR77</f>
        <v>0</v>
      </c>
      <c r="BT77" s="17">
        <f>'Combined data'!BT77-'Combined data'!BS77</f>
        <v>0</v>
      </c>
      <c r="BU77" s="17">
        <f>'Combined data'!BU77-'Combined data'!BT77</f>
        <v>0</v>
      </c>
      <c r="BV77" s="17">
        <f>'Combined data'!BV77-'Combined data'!BU77</f>
        <v>0</v>
      </c>
      <c r="BW77" s="17">
        <f>'Combined data'!BW77-'Combined data'!BV77</f>
        <v>0</v>
      </c>
      <c r="BX77" s="17">
        <f>'Combined data'!BX77-'Combined data'!BW77</f>
        <v>0</v>
      </c>
      <c r="BY77" s="17">
        <f>'Combined data'!BY77-'Combined data'!BX77</f>
        <v>0</v>
      </c>
      <c r="CB77" s="17">
        <f t="shared" si="49"/>
        <v>332</v>
      </c>
      <c r="CC77" s="17">
        <f t="shared" si="50"/>
        <v>86</v>
      </c>
      <c r="CD77" s="17">
        <f t="shared" si="51"/>
        <v>81</v>
      </c>
      <c r="CE77" s="17">
        <f t="shared" si="52"/>
        <v>82</v>
      </c>
      <c r="CF77" s="17">
        <f t="shared" si="53"/>
        <v>53</v>
      </c>
      <c r="CG77" s="17">
        <f t="shared" si="54"/>
        <v>32</v>
      </c>
      <c r="CH77" s="17">
        <f t="shared" si="55"/>
        <v>74</v>
      </c>
      <c r="CI77" s="17">
        <f t="shared" si="56"/>
        <v>40</v>
      </c>
      <c r="CJ77" s="17">
        <f t="shared" si="57"/>
        <v>45</v>
      </c>
      <c r="CK77" s="17">
        <f t="shared" si="58"/>
        <v>25</v>
      </c>
      <c r="CL77" s="17">
        <f t="shared" si="59"/>
        <v>18</v>
      </c>
      <c r="CM77" s="17">
        <f t="shared" si="60"/>
        <v>31</v>
      </c>
      <c r="CN77" s="17">
        <f t="shared" si="61"/>
        <v>23</v>
      </c>
      <c r="CO77" s="17">
        <f t="shared" si="62"/>
        <v>14</v>
      </c>
      <c r="CP77" s="17">
        <f t="shared" si="63"/>
        <v>37</v>
      </c>
      <c r="CQ77" s="17">
        <f t="shared" si="64"/>
        <v>14</v>
      </c>
      <c r="CR77" s="17">
        <f t="shared" si="65"/>
        <v>21</v>
      </c>
      <c r="CS77" s="17">
        <f t="shared" si="66"/>
        <v>23</v>
      </c>
      <c r="CT77" s="17">
        <f t="shared" si="67"/>
        <v>24</v>
      </c>
      <c r="CU77" s="17">
        <f t="shared" si="68"/>
        <v>17</v>
      </c>
      <c r="CV77" s="17">
        <f t="shared" si="69"/>
        <v>24</v>
      </c>
      <c r="CW77" s="17">
        <f t="shared" si="70"/>
        <v>16</v>
      </c>
      <c r="CX77" s="17">
        <f t="shared" si="71"/>
        <v>11</v>
      </c>
      <c r="CY77" s="17">
        <f t="shared" si="71"/>
        <v>-1123</v>
      </c>
      <c r="CZ77" s="17">
        <f t="shared" si="71"/>
        <v>0</v>
      </c>
      <c r="DA77" s="17">
        <f t="shared" si="71"/>
        <v>0</v>
      </c>
      <c r="DB77" s="17">
        <f t="shared" si="71"/>
        <v>0</v>
      </c>
      <c r="DC77" s="17">
        <f t="shared" si="71"/>
        <v>0</v>
      </c>
      <c r="DD77" s="17">
        <f t="shared" si="71"/>
        <v>0</v>
      </c>
      <c r="DE77" s="17">
        <f t="shared" si="71"/>
        <v>0</v>
      </c>
      <c r="DF77" s="17">
        <f t="shared" si="71"/>
        <v>0</v>
      </c>
      <c r="DG77" s="17">
        <f t="shared" si="71"/>
        <v>0</v>
      </c>
      <c r="DH77" s="17">
        <f t="shared" si="71"/>
        <v>0</v>
      </c>
      <c r="DI77" s="17">
        <f t="shared" si="71"/>
        <v>0</v>
      </c>
    </row>
    <row r="78" spans="1:113" ht="15.75" x14ac:dyDescent="0.25">
      <c r="A78" s="4" t="s">
        <v>145</v>
      </c>
      <c r="B78" s="6" t="s">
        <v>146</v>
      </c>
      <c r="H78" s="90">
        <f>'Combined data'!H78</f>
        <v>422</v>
      </c>
      <c r="I78" s="90">
        <f>'Combined data'!I78-'Combined data'!H78</f>
        <v>27</v>
      </c>
      <c r="J78" s="90">
        <f>'Combined data'!J78-'Combined data'!I78</f>
        <v>25</v>
      </c>
      <c r="K78" s="90">
        <f>'Combined data'!K78-'Combined data'!J78</f>
        <v>44</v>
      </c>
      <c r="L78" s="90">
        <f>'Combined data'!L78-'Combined data'!K78</f>
        <v>12</v>
      </c>
      <c r="M78" s="90">
        <f>'Combined data'!M78-'Combined data'!L78</f>
        <v>14</v>
      </c>
      <c r="N78" s="90">
        <f>'Combined data'!N78-'Combined data'!M78</f>
        <v>35</v>
      </c>
      <c r="O78" s="90">
        <f>'Combined data'!O78-'Combined data'!N78</f>
        <v>13</v>
      </c>
      <c r="P78" s="90">
        <f>'Combined data'!P78-'Combined data'!O78</f>
        <v>31</v>
      </c>
      <c r="Q78" s="90">
        <f>'Combined data'!Q78-'Combined data'!P78</f>
        <v>19</v>
      </c>
      <c r="R78" s="90">
        <f>'Combined data'!R78-'Combined data'!Q78</f>
        <v>4</v>
      </c>
      <c r="S78" s="90">
        <f>'Combined data'!S78-'Combined data'!R78</f>
        <v>15</v>
      </c>
      <c r="T78" s="90">
        <f>'Combined data'!T78-'Combined data'!S78</f>
        <v>11</v>
      </c>
      <c r="U78" s="90">
        <f>'Combined data'!U78-'Combined data'!T78</f>
        <v>6</v>
      </c>
      <c r="V78" s="90">
        <f>'Combined data'!V78-'Combined data'!U78</f>
        <v>22</v>
      </c>
      <c r="W78" s="90">
        <f>'Combined data'!W78-'Combined data'!V78</f>
        <v>11</v>
      </c>
      <c r="X78" s="90">
        <f>'Combined data'!X78-'Combined data'!W78</f>
        <v>5</v>
      </c>
      <c r="Y78" s="90">
        <f>'Combined data'!Y78-'Combined data'!X78</f>
        <v>15</v>
      </c>
      <c r="Z78" s="90">
        <f>'Combined data'!Z78-'Combined data'!Y78</f>
        <v>16</v>
      </c>
      <c r="AA78" s="90">
        <f>'Combined data'!AA78-'Combined data'!Z78</f>
        <v>5</v>
      </c>
      <c r="AB78" s="90">
        <f>'Combined data'!AB78-'Combined data'!AA78</f>
        <v>8</v>
      </c>
      <c r="AC78" s="90">
        <f>'Combined data'!AC78-'Combined data'!AB78</f>
        <v>1</v>
      </c>
      <c r="AD78" s="90">
        <f>'Combined data'!AD78-'Combined data'!AC78</f>
        <v>27</v>
      </c>
      <c r="AE78" s="90">
        <f>'Combined data'!AE78-'Combined data'!AD78</f>
        <v>-788</v>
      </c>
      <c r="AF78" s="90">
        <f>'Combined data'!AF78-'Combined data'!AE78</f>
        <v>0</v>
      </c>
      <c r="AG78" s="90">
        <f>'Combined data'!AG78-'Combined data'!AF78</f>
        <v>0</v>
      </c>
      <c r="AH78" s="90">
        <f>'Combined data'!AH78-'Combined data'!AG78</f>
        <v>0</v>
      </c>
      <c r="AI78" s="90">
        <f>'Combined data'!AI78-'Combined data'!AH78</f>
        <v>0</v>
      </c>
      <c r="AJ78" s="90">
        <f>'Combined data'!AJ78-'Combined data'!AI78</f>
        <v>0</v>
      </c>
      <c r="AK78" s="90">
        <f>'Combined data'!AK78-'Combined data'!AJ78</f>
        <v>0</v>
      </c>
      <c r="AL78" s="90">
        <f>'Combined data'!AL78-'Combined data'!AK78</f>
        <v>0</v>
      </c>
      <c r="AM78" s="90">
        <f>'Combined data'!AM78-'Combined data'!AL78</f>
        <v>0</v>
      </c>
      <c r="AN78" s="90">
        <f>'Combined data'!AN78-'Combined data'!AM78</f>
        <v>0</v>
      </c>
      <c r="AO78" s="90">
        <f>'Combined data'!AO78-'Combined data'!AN78</f>
        <v>0</v>
      </c>
      <c r="AP78" s="56">
        <f t="shared" si="72"/>
        <v>0</v>
      </c>
      <c r="AQ78" s="113"/>
      <c r="AR78" s="17">
        <f>'Combined data'!AR78</f>
        <v>244</v>
      </c>
      <c r="AS78" s="17">
        <f>'Combined data'!AS78-'Combined data'!AR78</f>
        <v>31</v>
      </c>
      <c r="AT78" s="17">
        <f>'Combined data'!AT78-'Combined data'!AS78</f>
        <v>25</v>
      </c>
      <c r="AU78" s="17">
        <f>'Combined data'!AU78-'Combined data'!AT78</f>
        <v>25</v>
      </c>
      <c r="AV78" s="17">
        <f>'Combined data'!AV78-'Combined data'!AU78</f>
        <v>20</v>
      </c>
      <c r="AW78" s="17">
        <f>'Combined data'!AW78-'Combined data'!AV78</f>
        <v>13</v>
      </c>
      <c r="AX78" s="17">
        <f>'Combined data'!AX78-'Combined data'!AW78</f>
        <v>57</v>
      </c>
      <c r="AY78" s="17">
        <f>'Combined data'!AY78-'Combined data'!AX78</f>
        <v>13</v>
      </c>
      <c r="AZ78" s="17">
        <f>'Combined data'!AZ78-'Combined data'!AY78</f>
        <v>31</v>
      </c>
      <c r="BA78" s="17">
        <f>'Combined data'!BA78-'Combined data'!AZ78</f>
        <v>22</v>
      </c>
      <c r="BB78" s="17">
        <f>'Combined data'!BB78-'Combined data'!BA78</f>
        <v>6</v>
      </c>
      <c r="BC78" s="17">
        <f>'Combined data'!BC78-'Combined data'!BB78</f>
        <v>28</v>
      </c>
      <c r="BD78" s="17">
        <f>'Combined data'!BD78-'Combined data'!BC78</f>
        <v>12</v>
      </c>
      <c r="BE78" s="17">
        <f>'Combined data'!BE78-'Combined data'!BD78</f>
        <v>13</v>
      </c>
      <c r="BF78" s="17">
        <f>'Combined data'!BF78-'Combined data'!BE78</f>
        <v>6</v>
      </c>
      <c r="BG78" s="17">
        <f>'Combined data'!BG78-'Combined data'!BF78</f>
        <v>3</v>
      </c>
      <c r="BH78" s="17">
        <f>'Combined data'!BH78-'Combined data'!BG78</f>
        <v>11</v>
      </c>
      <c r="BI78" s="17">
        <f>'Combined data'!BI78-'Combined data'!BH78</f>
        <v>10</v>
      </c>
      <c r="BJ78" s="17">
        <f>'Combined data'!BJ78-'Combined data'!BI78</f>
        <v>14</v>
      </c>
      <c r="BK78" s="17">
        <f>'Combined data'!BK78-'Combined data'!BJ78</f>
        <v>18</v>
      </c>
      <c r="BL78" s="17">
        <f>'Combined data'!BL78-'Combined data'!BK78</f>
        <v>15</v>
      </c>
      <c r="BM78" s="17">
        <f>'Combined data'!BM78-'Combined data'!BL78</f>
        <v>5</v>
      </c>
      <c r="BN78" s="17">
        <f>'Combined data'!BN78-'Combined data'!BM78</f>
        <v>13</v>
      </c>
      <c r="BO78" s="17">
        <f>'Combined data'!BO78-'Combined data'!BN78</f>
        <v>-635</v>
      </c>
      <c r="BP78" s="17">
        <f>'Combined data'!BP78-'Combined data'!BO78</f>
        <v>0</v>
      </c>
      <c r="BQ78" s="17">
        <f>'Combined data'!BQ78-'Combined data'!BP78</f>
        <v>0</v>
      </c>
      <c r="BR78" s="17">
        <f>'Combined data'!BR78-'Combined data'!BQ78</f>
        <v>0</v>
      </c>
      <c r="BS78" s="17">
        <f>'Combined data'!BS78-'Combined data'!BR78</f>
        <v>0</v>
      </c>
      <c r="BT78" s="17">
        <f>'Combined data'!BT78-'Combined data'!BS78</f>
        <v>0</v>
      </c>
      <c r="BU78" s="17">
        <f>'Combined data'!BU78-'Combined data'!BT78</f>
        <v>0</v>
      </c>
      <c r="BV78" s="17">
        <f>'Combined data'!BV78-'Combined data'!BU78</f>
        <v>0</v>
      </c>
      <c r="BW78" s="17">
        <f>'Combined data'!BW78-'Combined data'!BV78</f>
        <v>0</v>
      </c>
      <c r="BX78" s="17">
        <f>'Combined data'!BX78-'Combined data'!BW78</f>
        <v>0</v>
      </c>
      <c r="BY78" s="17">
        <f>'Combined data'!BY78-'Combined data'!BX78</f>
        <v>0</v>
      </c>
      <c r="CB78" s="17">
        <f t="shared" si="49"/>
        <v>244</v>
      </c>
      <c r="CC78" s="17">
        <f t="shared" si="50"/>
        <v>31</v>
      </c>
      <c r="CD78" s="17">
        <f t="shared" si="51"/>
        <v>25</v>
      </c>
      <c r="CE78" s="17">
        <f t="shared" si="52"/>
        <v>25</v>
      </c>
      <c r="CF78" s="17">
        <f t="shared" si="53"/>
        <v>20</v>
      </c>
      <c r="CG78" s="17">
        <f t="shared" si="54"/>
        <v>13</v>
      </c>
      <c r="CH78" s="17">
        <f t="shared" si="55"/>
        <v>57</v>
      </c>
      <c r="CI78" s="17">
        <f t="shared" si="56"/>
        <v>13</v>
      </c>
      <c r="CJ78" s="17">
        <f t="shared" si="57"/>
        <v>31</v>
      </c>
      <c r="CK78" s="17">
        <f t="shared" si="58"/>
        <v>22</v>
      </c>
      <c r="CL78" s="17">
        <f t="shared" si="59"/>
        <v>6</v>
      </c>
      <c r="CM78" s="17">
        <f t="shared" si="60"/>
        <v>28</v>
      </c>
      <c r="CN78" s="17">
        <f t="shared" si="61"/>
        <v>12</v>
      </c>
      <c r="CO78" s="17">
        <f t="shared" si="62"/>
        <v>13</v>
      </c>
      <c r="CP78" s="17">
        <f t="shared" si="63"/>
        <v>6</v>
      </c>
      <c r="CQ78" s="17">
        <f t="shared" si="64"/>
        <v>3</v>
      </c>
      <c r="CR78" s="17">
        <f t="shared" si="65"/>
        <v>11</v>
      </c>
      <c r="CS78" s="17">
        <f t="shared" si="66"/>
        <v>10</v>
      </c>
      <c r="CT78" s="17">
        <f t="shared" si="67"/>
        <v>14</v>
      </c>
      <c r="CU78" s="17">
        <f t="shared" si="68"/>
        <v>18</v>
      </c>
      <c r="CV78" s="17">
        <f t="shared" si="69"/>
        <v>15</v>
      </c>
      <c r="CW78" s="17">
        <f t="shared" si="70"/>
        <v>5</v>
      </c>
      <c r="CX78" s="17">
        <f t="shared" si="71"/>
        <v>13</v>
      </c>
      <c r="CY78" s="17">
        <f t="shared" si="71"/>
        <v>-635</v>
      </c>
      <c r="CZ78" s="17">
        <f t="shared" si="71"/>
        <v>0</v>
      </c>
      <c r="DA78" s="17">
        <f t="shared" si="71"/>
        <v>0</v>
      </c>
      <c r="DB78" s="17">
        <f t="shared" si="71"/>
        <v>0</v>
      </c>
      <c r="DC78" s="17">
        <f t="shared" si="71"/>
        <v>0</v>
      </c>
      <c r="DD78" s="17">
        <f t="shared" si="71"/>
        <v>0</v>
      </c>
      <c r="DE78" s="17">
        <f t="shared" si="71"/>
        <v>0</v>
      </c>
      <c r="DF78" s="17">
        <f t="shared" si="71"/>
        <v>0</v>
      </c>
      <c r="DG78" s="17">
        <f t="shared" si="71"/>
        <v>0</v>
      </c>
      <c r="DH78" s="17">
        <f t="shared" si="71"/>
        <v>0</v>
      </c>
      <c r="DI78" s="17">
        <f t="shared" si="71"/>
        <v>0</v>
      </c>
    </row>
    <row r="79" spans="1:113" ht="15.75" x14ac:dyDescent="0.25">
      <c r="A79" s="4" t="s">
        <v>147</v>
      </c>
      <c r="B79" s="6" t="s">
        <v>148</v>
      </c>
      <c r="H79" s="90">
        <f>'Combined data'!H79</f>
        <v>76</v>
      </c>
      <c r="I79" s="90">
        <f>'Combined data'!I79-'Combined data'!H79</f>
        <v>1</v>
      </c>
      <c r="J79" s="90">
        <f>'Combined data'!J79-'Combined data'!I79</f>
        <v>1</v>
      </c>
      <c r="K79" s="90">
        <f>'Combined data'!K79-'Combined data'!J79</f>
        <v>11</v>
      </c>
      <c r="L79" s="90">
        <f>'Combined data'!L79-'Combined data'!K79</f>
        <v>3</v>
      </c>
      <c r="M79" s="90">
        <f>'Combined data'!M79-'Combined data'!L79</f>
        <v>2</v>
      </c>
      <c r="N79" s="90">
        <f>'Combined data'!N79-'Combined data'!M79</f>
        <v>5</v>
      </c>
      <c r="O79" s="90">
        <f>'Combined data'!O79-'Combined data'!N79</f>
        <v>5</v>
      </c>
      <c r="P79" s="90">
        <f>'Combined data'!P79-'Combined data'!O79</f>
        <v>1</v>
      </c>
      <c r="Q79" s="90">
        <f>'Combined data'!Q79-'Combined data'!P79</f>
        <v>5</v>
      </c>
      <c r="R79" s="90">
        <f>'Combined data'!R79-'Combined data'!Q79</f>
        <v>0</v>
      </c>
      <c r="S79" s="90">
        <f>'Combined data'!S79-'Combined data'!R79</f>
        <v>7</v>
      </c>
      <c r="T79" s="90">
        <f>'Combined data'!T79-'Combined data'!S79</f>
        <v>3</v>
      </c>
      <c r="U79" s="90">
        <f>'Combined data'!U79-'Combined data'!T79</f>
        <v>1</v>
      </c>
      <c r="V79" s="90">
        <f>'Combined data'!V79-'Combined data'!U79</f>
        <v>8</v>
      </c>
      <c r="W79" s="90">
        <f>'Combined data'!W79-'Combined data'!V79</f>
        <v>-2</v>
      </c>
      <c r="X79" s="90">
        <f>'Combined data'!X79-'Combined data'!W79</f>
        <v>2</v>
      </c>
      <c r="Y79" s="90">
        <f>'Combined data'!Y79-'Combined data'!X79</f>
        <v>1</v>
      </c>
      <c r="Z79" s="90">
        <f>'Combined data'!Z79-'Combined data'!Y79</f>
        <v>4</v>
      </c>
      <c r="AA79" s="90">
        <f>'Combined data'!AA79-'Combined data'!Z79</f>
        <v>0</v>
      </c>
      <c r="AB79" s="90">
        <f>'Combined data'!AB79-'Combined data'!AA79</f>
        <v>2</v>
      </c>
      <c r="AC79" s="90">
        <f>'Combined data'!AC79-'Combined data'!AB79</f>
        <v>1</v>
      </c>
      <c r="AD79" s="90">
        <f>'Combined data'!AD79-'Combined data'!AC79</f>
        <v>5</v>
      </c>
      <c r="AE79" s="90">
        <f>'Combined data'!AE79-'Combined data'!AD79</f>
        <v>-142</v>
      </c>
      <c r="AF79" s="90">
        <f>'Combined data'!AF79-'Combined data'!AE79</f>
        <v>0</v>
      </c>
      <c r="AG79" s="90">
        <f>'Combined data'!AG79-'Combined data'!AF79</f>
        <v>0</v>
      </c>
      <c r="AH79" s="90">
        <f>'Combined data'!AH79-'Combined data'!AG79</f>
        <v>0</v>
      </c>
      <c r="AI79" s="90">
        <f>'Combined data'!AI79-'Combined data'!AH79</f>
        <v>0</v>
      </c>
      <c r="AJ79" s="90">
        <f>'Combined data'!AJ79-'Combined data'!AI79</f>
        <v>0</v>
      </c>
      <c r="AK79" s="90">
        <f>'Combined data'!AK79-'Combined data'!AJ79</f>
        <v>0</v>
      </c>
      <c r="AL79" s="90">
        <f>'Combined data'!AL79-'Combined data'!AK79</f>
        <v>0</v>
      </c>
      <c r="AM79" s="90">
        <f>'Combined data'!AM79-'Combined data'!AL79</f>
        <v>0</v>
      </c>
      <c r="AN79" s="90">
        <f>'Combined data'!AN79-'Combined data'!AM79</f>
        <v>0</v>
      </c>
      <c r="AO79" s="90">
        <f>'Combined data'!AO79-'Combined data'!AN79</f>
        <v>0</v>
      </c>
      <c r="AP79" s="56">
        <f t="shared" si="72"/>
        <v>0</v>
      </c>
      <c r="AQ79" s="113"/>
      <c r="AR79" s="17">
        <f>'Combined data'!AR79</f>
        <v>37</v>
      </c>
      <c r="AS79" s="17">
        <f>'Combined data'!AS79-'Combined data'!AR79</f>
        <v>11</v>
      </c>
      <c r="AT79" s="17">
        <f>'Combined data'!AT79-'Combined data'!AS79</f>
        <v>2</v>
      </c>
      <c r="AU79" s="17">
        <f>'Combined data'!AU79-'Combined data'!AT79</f>
        <v>1</v>
      </c>
      <c r="AV79" s="17">
        <f>'Combined data'!AV79-'Combined data'!AU79</f>
        <v>1</v>
      </c>
      <c r="AW79" s="17">
        <f>'Combined data'!AW79-'Combined data'!AV79</f>
        <v>3</v>
      </c>
      <c r="AX79" s="17">
        <f>'Combined data'!AX79-'Combined data'!AW79</f>
        <v>11</v>
      </c>
      <c r="AY79" s="17">
        <f>'Combined data'!AY79-'Combined data'!AX79</f>
        <v>1</v>
      </c>
      <c r="AZ79" s="17">
        <f>'Combined data'!AZ79-'Combined data'!AY79</f>
        <v>5</v>
      </c>
      <c r="BA79" s="17">
        <f>'Combined data'!BA79-'Combined data'!AZ79</f>
        <v>0</v>
      </c>
      <c r="BB79" s="17">
        <f>'Combined data'!BB79-'Combined data'!BA79</f>
        <v>0</v>
      </c>
      <c r="BC79" s="17">
        <f>'Combined data'!BC79-'Combined data'!BB79</f>
        <v>4</v>
      </c>
      <c r="BD79" s="17">
        <f>'Combined data'!BD79-'Combined data'!BC79</f>
        <v>14</v>
      </c>
      <c r="BE79" s="17">
        <f>'Combined data'!BE79-'Combined data'!BD79</f>
        <v>4</v>
      </c>
      <c r="BF79" s="17">
        <f>'Combined data'!BF79-'Combined data'!BE79</f>
        <v>4</v>
      </c>
      <c r="BG79" s="17">
        <f>'Combined data'!BG79-'Combined data'!BF79</f>
        <v>0</v>
      </c>
      <c r="BH79" s="17">
        <f>'Combined data'!BH79-'Combined data'!BG79</f>
        <v>3</v>
      </c>
      <c r="BI79" s="17">
        <f>'Combined data'!BI79-'Combined data'!BH79</f>
        <v>3</v>
      </c>
      <c r="BJ79" s="17">
        <f>'Combined data'!BJ79-'Combined data'!BI79</f>
        <v>3</v>
      </c>
      <c r="BK79" s="17">
        <f>'Combined data'!BK79-'Combined data'!BJ79</f>
        <v>4</v>
      </c>
      <c r="BL79" s="17">
        <f>'Combined data'!BL79-'Combined data'!BK79</f>
        <v>2</v>
      </c>
      <c r="BM79" s="17">
        <f>'Combined data'!BM79-'Combined data'!BL79</f>
        <v>0</v>
      </c>
      <c r="BN79" s="17">
        <f>'Combined data'!BN79-'Combined data'!BM79</f>
        <v>4</v>
      </c>
      <c r="BO79" s="17">
        <f>'Combined data'!BO79-'Combined data'!BN79</f>
        <v>-117</v>
      </c>
      <c r="BP79" s="17">
        <f>'Combined data'!BP79-'Combined data'!BO79</f>
        <v>0</v>
      </c>
      <c r="BQ79" s="17">
        <f>'Combined data'!BQ79-'Combined data'!BP79</f>
        <v>0</v>
      </c>
      <c r="BR79" s="17">
        <f>'Combined data'!BR79-'Combined data'!BQ79</f>
        <v>0</v>
      </c>
      <c r="BS79" s="17">
        <f>'Combined data'!BS79-'Combined data'!BR79</f>
        <v>0</v>
      </c>
      <c r="BT79" s="17">
        <f>'Combined data'!BT79-'Combined data'!BS79</f>
        <v>0</v>
      </c>
      <c r="BU79" s="17">
        <f>'Combined data'!BU79-'Combined data'!BT79</f>
        <v>0</v>
      </c>
      <c r="BV79" s="17">
        <f>'Combined data'!BV79-'Combined data'!BU79</f>
        <v>0</v>
      </c>
      <c r="BW79" s="17">
        <f>'Combined data'!BW79-'Combined data'!BV79</f>
        <v>0</v>
      </c>
      <c r="BX79" s="17">
        <f>'Combined data'!BX79-'Combined data'!BW79</f>
        <v>0</v>
      </c>
      <c r="BY79" s="17">
        <f>'Combined data'!BY79-'Combined data'!BX79</f>
        <v>0</v>
      </c>
      <c r="CB79" s="17">
        <f t="shared" si="49"/>
        <v>37</v>
      </c>
      <c r="CC79" s="17">
        <f t="shared" si="50"/>
        <v>11</v>
      </c>
      <c r="CD79" s="17">
        <f t="shared" si="51"/>
        <v>2</v>
      </c>
      <c r="CE79" s="17">
        <f t="shared" si="52"/>
        <v>1</v>
      </c>
      <c r="CF79" s="17">
        <f t="shared" si="53"/>
        <v>1</v>
      </c>
      <c r="CG79" s="17">
        <f t="shared" si="54"/>
        <v>3</v>
      </c>
      <c r="CH79" s="17">
        <f t="shared" si="55"/>
        <v>11</v>
      </c>
      <c r="CI79" s="17">
        <f t="shared" si="56"/>
        <v>1</v>
      </c>
      <c r="CJ79" s="17">
        <f t="shared" si="57"/>
        <v>5</v>
      </c>
      <c r="CK79" s="17">
        <f t="shared" si="58"/>
        <v>0</v>
      </c>
      <c r="CL79" s="17">
        <f t="shared" si="59"/>
        <v>0</v>
      </c>
      <c r="CM79" s="17">
        <f t="shared" si="60"/>
        <v>4</v>
      </c>
      <c r="CN79" s="17">
        <f t="shared" si="61"/>
        <v>14</v>
      </c>
      <c r="CO79" s="17">
        <f t="shared" si="62"/>
        <v>4</v>
      </c>
      <c r="CP79" s="17">
        <f t="shared" si="63"/>
        <v>4</v>
      </c>
      <c r="CQ79" s="17">
        <f t="shared" si="64"/>
        <v>0</v>
      </c>
      <c r="CR79" s="17">
        <f t="shared" si="65"/>
        <v>3</v>
      </c>
      <c r="CS79" s="17">
        <f t="shared" si="66"/>
        <v>3</v>
      </c>
      <c r="CT79" s="17">
        <f t="shared" si="67"/>
        <v>3</v>
      </c>
      <c r="CU79" s="17">
        <f t="shared" si="68"/>
        <v>4</v>
      </c>
      <c r="CV79" s="17">
        <f t="shared" si="69"/>
        <v>2</v>
      </c>
      <c r="CW79" s="17">
        <f t="shared" si="70"/>
        <v>0</v>
      </c>
      <c r="CX79" s="17">
        <f t="shared" si="71"/>
        <v>4</v>
      </c>
      <c r="CY79" s="17">
        <f t="shared" si="71"/>
        <v>-117</v>
      </c>
      <c r="CZ79" s="17">
        <f t="shared" si="71"/>
        <v>0</v>
      </c>
      <c r="DA79" s="17">
        <f t="shared" si="71"/>
        <v>0</v>
      </c>
      <c r="DB79" s="17">
        <f t="shared" si="71"/>
        <v>0</v>
      </c>
      <c r="DC79" s="17">
        <f t="shared" si="71"/>
        <v>0</v>
      </c>
      <c r="DD79" s="17">
        <f t="shared" si="71"/>
        <v>0</v>
      </c>
      <c r="DE79" s="17">
        <f t="shared" si="71"/>
        <v>0</v>
      </c>
      <c r="DF79" s="17">
        <f t="shared" si="71"/>
        <v>0</v>
      </c>
      <c r="DG79" s="17">
        <f t="shared" si="71"/>
        <v>0</v>
      </c>
      <c r="DH79" s="17">
        <f t="shared" si="71"/>
        <v>0</v>
      </c>
      <c r="DI79" s="17">
        <f t="shared" si="71"/>
        <v>0</v>
      </c>
    </row>
    <row r="80" spans="1:113" ht="15.75" x14ac:dyDescent="0.25">
      <c r="A80" s="4" t="s">
        <v>149</v>
      </c>
      <c r="B80" s="6" t="s">
        <v>150</v>
      </c>
      <c r="H80" s="90">
        <f>'Combined data'!H80</f>
        <v>522</v>
      </c>
      <c r="I80" s="90">
        <f>'Combined data'!I80-'Combined data'!H80</f>
        <v>46</v>
      </c>
      <c r="J80" s="90">
        <f>'Combined data'!J80-'Combined data'!I80</f>
        <v>26</v>
      </c>
      <c r="K80" s="90">
        <f>'Combined data'!K80-'Combined data'!J80</f>
        <v>48</v>
      </c>
      <c r="L80" s="90">
        <f>'Combined data'!L80-'Combined data'!K80</f>
        <v>26</v>
      </c>
      <c r="M80" s="90">
        <f>'Combined data'!M80-'Combined data'!L80</f>
        <v>11</v>
      </c>
      <c r="N80" s="90">
        <f>'Combined data'!N80-'Combined data'!M80</f>
        <v>50</v>
      </c>
      <c r="O80" s="90">
        <f>'Combined data'!O80-'Combined data'!N80</f>
        <v>24</v>
      </c>
      <c r="P80" s="90">
        <f>'Combined data'!P80-'Combined data'!O80</f>
        <v>32</v>
      </c>
      <c r="Q80" s="90">
        <f>'Combined data'!Q80-'Combined data'!P80</f>
        <v>26</v>
      </c>
      <c r="R80" s="90">
        <f>'Combined data'!R80-'Combined data'!Q80</f>
        <v>16</v>
      </c>
      <c r="S80" s="90">
        <f>'Combined data'!S80-'Combined data'!R80</f>
        <v>27</v>
      </c>
      <c r="T80" s="90">
        <f>'Combined data'!T80-'Combined data'!S80</f>
        <v>17</v>
      </c>
      <c r="U80" s="90">
        <f>'Combined data'!U80-'Combined data'!T80</f>
        <v>19</v>
      </c>
      <c r="V80" s="90">
        <f>'Combined data'!V80-'Combined data'!U80</f>
        <v>11</v>
      </c>
      <c r="W80" s="90">
        <f>'Combined data'!W80-'Combined data'!V80</f>
        <v>14</v>
      </c>
      <c r="X80" s="90">
        <f>'Combined data'!X80-'Combined data'!W80</f>
        <v>13</v>
      </c>
      <c r="Y80" s="90">
        <f>'Combined data'!Y80-'Combined data'!X80</f>
        <v>26</v>
      </c>
      <c r="Z80" s="90">
        <f>'Combined data'!Z80-'Combined data'!Y80</f>
        <v>18</v>
      </c>
      <c r="AA80" s="90">
        <f>'Combined data'!AA80-'Combined data'!Z80</f>
        <v>12</v>
      </c>
      <c r="AB80" s="90">
        <f>'Combined data'!AB80-'Combined data'!AA80</f>
        <v>5</v>
      </c>
      <c r="AC80" s="90">
        <f>'Combined data'!AC80-'Combined data'!AB80</f>
        <v>3</v>
      </c>
      <c r="AD80" s="90">
        <f>'Combined data'!AD80-'Combined data'!AC80</f>
        <v>15</v>
      </c>
      <c r="AE80" s="90">
        <f>'Combined data'!AE80-'Combined data'!AD80</f>
        <v>-1007</v>
      </c>
      <c r="AF80" s="90">
        <f>'Combined data'!AF80-'Combined data'!AE80</f>
        <v>0</v>
      </c>
      <c r="AG80" s="90">
        <f>'Combined data'!AG80-'Combined data'!AF80</f>
        <v>0</v>
      </c>
      <c r="AH80" s="90">
        <f>'Combined data'!AH80-'Combined data'!AG80</f>
        <v>0</v>
      </c>
      <c r="AI80" s="90">
        <f>'Combined data'!AI80-'Combined data'!AH80</f>
        <v>0</v>
      </c>
      <c r="AJ80" s="90">
        <f>'Combined data'!AJ80-'Combined data'!AI80</f>
        <v>0</v>
      </c>
      <c r="AK80" s="90">
        <f>'Combined data'!AK80-'Combined data'!AJ80</f>
        <v>0</v>
      </c>
      <c r="AL80" s="90">
        <f>'Combined data'!AL80-'Combined data'!AK80</f>
        <v>0</v>
      </c>
      <c r="AM80" s="90">
        <f>'Combined data'!AM80-'Combined data'!AL80</f>
        <v>0</v>
      </c>
      <c r="AN80" s="90">
        <f>'Combined data'!AN80-'Combined data'!AM80</f>
        <v>0</v>
      </c>
      <c r="AO80" s="90">
        <f>'Combined data'!AO80-'Combined data'!AN80</f>
        <v>0</v>
      </c>
      <c r="AP80" s="56">
        <f t="shared" si="72"/>
        <v>0</v>
      </c>
      <c r="AQ80" s="113"/>
      <c r="AR80" s="17">
        <f>'Combined data'!AR80</f>
        <v>258</v>
      </c>
      <c r="AS80" s="17">
        <f>'Combined data'!AS80-'Combined data'!AR80</f>
        <v>45</v>
      </c>
      <c r="AT80" s="17">
        <f>'Combined data'!AT80-'Combined data'!AS80</f>
        <v>40</v>
      </c>
      <c r="AU80" s="17">
        <f>'Combined data'!AU80-'Combined data'!AT80</f>
        <v>53</v>
      </c>
      <c r="AV80" s="17">
        <f>'Combined data'!AV80-'Combined data'!AU80</f>
        <v>42</v>
      </c>
      <c r="AW80" s="17">
        <f>'Combined data'!AW80-'Combined data'!AV80</f>
        <v>37</v>
      </c>
      <c r="AX80" s="17">
        <f>'Combined data'!AX80-'Combined data'!AW80</f>
        <v>40</v>
      </c>
      <c r="AY80" s="17">
        <f>'Combined data'!AY80-'Combined data'!AX80</f>
        <v>21</v>
      </c>
      <c r="AZ80" s="17">
        <f>'Combined data'!AZ80-'Combined data'!AY80</f>
        <v>31</v>
      </c>
      <c r="BA80" s="17">
        <f>'Combined data'!BA80-'Combined data'!AZ80</f>
        <v>26</v>
      </c>
      <c r="BB80" s="17">
        <f>'Combined data'!BB80-'Combined data'!BA80</f>
        <v>13</v>
      </c>
      <c r="BC80" s="17">
        <f>'Combined data'!BC80-'Combined data'!BB80</f>
        <v>20</v>
      </c>
      <c r="BD80" s="17">
        <f>'Combined data'!BD80-'Combined data'!BC80</f>
        <v>21</v>
      </c>
      <c r="BE80" s="17">
        <f>'Combined data'!BE80-'Combined data'!BD80</f>
        <v>12</v>
      </c>
      <c r="BF80" s="17">
        <f>'Combined data'!BF80-'Combined data'!BE80</f>
        <v>25</v>
      </c>
      <c r="BG80" s="17">
        <f>'Combined data'!BG80-'Combined data'!BF80</f>
        <v>14</v>
      </c>
      <c r="BH80" s="17">
        <f>'Combined data'!BH80-'Combined data'!BG80</f>
        <v>13</v>
      </c>
      <c r="BI80" s="17">
        <f>'Combined data'!BI80-'Combined data'!BH80</f>
        <v>4</v>
      </c>
      <c r="BJ80" s="17">
        <f>'Combined data'!BJ80-'Combined data'!BI80</f>
        <v>19</v>
      </c>
      <c r="BK80" s="17">
        <f>'Combined data'!BK80-'Combined data'!BJ80</f>
        <v>23</v>
      </c>
      <c r="BL80" s="17">
        <f>'Combined data'!BL80-'Combined data'!BK80</f>
        <v>17</v>
      </c>
      <c r="BM80" s="17">
        <f>'Combined data'!BM80-'Combined data'!BL80</f>
        <v>12</v>
      </c>
      <c r="BN80" s="17">
        <f>'Combined data'!BN80-'Combined data'!BM80</f>
        <v>8</v>
      </c>
      <c r="BO80" s="17">
        <f>'Combined data'!BO80-'Combined data'!BN80</f>
        <v>-794</v>
      </c>
      <c r="BP80" s="17">
        <f>'Combined data'!BP80-'Combined data'!BO80</f>
        <v>0</v>
      </c>
      <c r="BQ80" s="17">
        <f>'Combined data'!BQ80-'Combined data'!BP80</f>
        <v>0</v>
      </c>
      <c r="BR80" s="17">
        <f>'Combined data'!BR80-'Combined data'!BQ80</f>
        <v>0</v>
      </c>
      <c r="BS80" s="17">
        <f>'Combined data'!BS80-'Combined data'!BR80</f>
        <v>0</v>
      </c>
      <c r="BT80" s="17">
        <f>'Combined data'!BT80-'Combined data'!BS80</f>
        <v>0</v>
      </c>
      <c r="BU80" s="17">
        <f>'Combined data'!BU80-'Combined data'!BT80</f>
        <v>0</v>
      </c>
      <c r="BV80" s="17">
        <f>'Combined data'!BV80-'Combined data'!BU80</f>
        <v>0</v>
      </c>
      <c r="BW80" s="17">
        <f>'Combined data'!BW80-'Combined data'!BV80</f>
        <v>0</v>
      </c>
      <c r="BX80" s="17">
        <f>'Combined data'!BX80-'Combined data'!BW80</f>
        <v>0</v>
      </c>
      <c r="BY80" s="17">
        <f>'Combined data'!BY80-'Combined data'!BX80</f>
        <v>0</v>
      </c>
      <c r="CB80" s="17">
        <f t="shared" si="49"/>
        <v>258</v>
      </c>
      <c r="CC80" s="17">
        <f t="shared" si="50"/>
        <v>45</v>
      </c>
      <c r="CD80" s="17">
        <f t="shared" si="51"/>
        <v>40</v>
      </c>
      <c r="CE80" s="17">
        <f t="shared" si="52"/>
        <v>53</v>
      </c>
      <c r="CF80" s="17">
        <f t="shared" si="53"/>
        <v>42</v>
      </c>
      <c r="CG80" s="17">
        <f t="shared" si="54"/>
        <v>37</v>
      </c>
      <c r="CH80" s="17">
        <f t="shared" si="55"/>
        <v>40</v>
      </c>
      <c r="CI80" s="17">
        <f t="shared" si="56"/>
        <v>21</v>
      </c>
      <c r="CJ80" s="17">
        <f t="shared" si="57"/>
        <v>31</v>
      </c>
      <c r="CK80" s="17">
        <f t="shared" si="58"/>
        <v>26</v>
      </c>
      <c r="CL80" s="17">
        <f t="shared" si="59"/>
        <v>13</v>
      </c>
      <c r="CM80" s="17">
        <f t="shared" si="60"/>
        <v>20</v>
      </c>
      <c r="CN80" s="17">
        <f t="shared" si="61"/>
        <v>21</v>
      </c>
      <c r="CO80" s="17">
        <f t="shared" si="62"/>
        <v>12</v>
      </c>
      <c r="CP80" s="17">
        <f t="shared" si="63"/>
        <v>25</v>
      </c>
      <c r="CQ80" s="17">
        <f t="shared" si="64"/>
        <v>14</v>
      </c>
      <c r="CR80" s="17">
        <f t="shared" si="65"/>
        <v>13</v>
      </c>
      <c r="CS80" s="17">
        <f t="shared" si="66"/>
        <v>4</v>
      </c>
      <c r="CT80" s="17">
        <f t="shared" si="67"/>
        <v>19</v>
      </c>
      <c r="CU80" s="17">
        <f t="shared" si="68"/>
        <v>23</v>
      </c>
      <c r="CV80" s="17">
        <f t="shared" si="69"/>
        <v>17</v>
      </c>
      <c r="CW80" s="17">
        <f t="shared" si="70"/>
        <v>12</v>
      </c>
      <c r="CX80" s="17">
        <f t="shared" si="71"/>
        <v>8</v>
      </c>
      <c r="CY80" s="17">
        <f t="shared" si="71"/>
        <v>-794</v>
      </c>
      <c r="CZ80" s="17">
        <f t="shared" si="71"/>
        <v>0</v>
      </c>
      <c r="DA80" s="17">
        <f t="shared" si="71"/>
        <v>0</v>
      </c>
      <c r="DB80" s="17">
        <f t="shared" si="71"/>
        <v>0</v>
      </c>
      <c r="DC80" s="17">
        <f t="shared" si="71"/>
        <v>0</v>
      </c>
      <c r="DD80" s="17">
        <f t="shared" si="71"/>
        <v>0</v>
      </c>
      <c r="DE80" s="17">
        <f t="shared" si="71"/>
        <v>0</v>
      </c>
      <c r="DF80" s="17">
        <f t="shared" si="71"/>
        <v>0</v>
      </c>
      <c r="DG80" s="17">
        <f t="shared" si="71"/>
        <v>0</v>
      </c>
      <c r="DH80" s="17">
        <f t="shared" si="71"/>
        <v>0</v>
      </c>
      <c r="DI80" s="17">
        <f t="shared" si="71"/>
        <v>0</v>
      </c>
    </row>
    <row r="81" spans="1:113" ht="15.75" x14ac:dyDescent="0.25">
      <c r="A81" s="4" t="s">
        <v>151</v>
      </c>
      <c r="B81" s="6" t="s">
        <v>152</v>
      </c>
      <c r="H81" s="90">
        <f>'Combined data'!H81</f>
        <v>267</v>
      </c>
      <c r="I81" s="90">
        <f>'Combined data'!I81-'Combined data'!H81</f>
        <v>14</v>
      </c>
      <c r="J81" s="90">
        <f>'Combined data'!J81-'Combined data'!I81</f>
        <v>24</v>
      </c>
      <c r="K81" s="90">
        <f>'Combined data'!K81-'Combined data'!J81</f>
        <v>39</v>
      </c>
      <c r="L81" s="90">
        <f>'Combined data'!L81-'Combined data'!K81</f>
        <v>7</v>
      </c>
      <c r="M81" s="90">
        <f>'Combined data'!M81-'Combined data'!L81</f>
        <v>1</v>
      </c>
      <c r="N81" s="90">
        <f>'Combined data'!N81-'Combined data'!M81</f>
        <v>14</v>
      </c>
      <c r="O81" s="90">
        <f>'Combined data'!O81-'Combined data'!N81</f>
        <v>15</v>
      </c>
      <c r="P81" s="90">
        <f>'Combined data'!P81-'Combined data'!O81</f>
        <v>23</v>
      </c>
      <c r="Q81" s="90">
        <f>'Combined data'!Q81-'Combined data'!P81</f>
        <v>9</v>
      </c>
      <c r="R81" s="90">
        <f>'Combined data'!R81-'Combined data'!Q81</f>
        <v>8</v>
      </c>
      <c r="S81" s="90">
        <f>'Combined data'!S81-'Combined data'!R81</f>
        <v>12</v>
      </c>
      <c r="T81" s="90">
        <f>'Combined data'!T81-'Combined data'!S81</f>
        <v>15</v>
      </c>
      <c r="U81" s="90">
        <f>'Combined data'!U81-'Combined data'!T81</f>
        <v>16</v>
      </c>
      <c r="V81" s="90">
        <f>'Combined data'!V81-'Combined data'!U81</f>
        <v>4</v>
      </c>
      <c r="W81" s="90">
        <f>'Combined data'!W81-'Combined data'!V81</f>
        <v>15</v>
      </c>
      <c r="X81" s="90">
        <f>'Combined data'!X81-'Combined data'!W81</f>
        <v>5</v>
      </c>
      <c r="Y81" s="90">
        <f>'Combined data'!Y81-'Combined data'!X81</f>
        <v>4</v>
      </c>
      <c r="Z81" s="90">
        <f>'Combined data'!Z81-'Combined data'!Y81</f>
        <v>9</v>
      </c>
      <c r="AA81" s="90">
        <f>'Combined data'!AA81-'Combined data'!Z81</f>
        <v>3</v>
      </c>
      <c r="AB81" s="90">
        <f>'Combined data'!AB81-'Combined data'!AA81</f>
        <v>3</v>
      </c>
      <c r="AC81" s="90">
        <f>'Combined data'!AC81-'Combined data'!AB81</f>
        <v>1</v>
      </c>
      <c r="AD81" s="90">
        <f>'Combined data'!AD81-'Combined data'!AC81</f>
        <v>15</v>
      </c>
      <c r="AE81" s="90">
        <f>'Combined data'!AE81-'Combined data'!AD81</f>
        <v>-523</v>
      </c>
      <c r="AF81" s="90">
        <f>'Combined data'!AF81-'Combined data'!AE81</f>
        <v>0</v>
      </c>
      <c r="AG81" s="90">
        <f>'Combined data'!AG81-'Combined data'!AF81</f>
        <v>0</v>
      </c>
      <c r="AH81" s="90">
        <f>'Combined data'!AH81-'Combined data'!AG81</f>
        <v>0</v>
      </c>
      <c r="AI81" s="90">
        <f>'Combined data'!AI81-'Combined data'!AH81</f>
        <v>0</v>
      </c>
      <c r="AJ81" s="90">
        <f>'Combined data'!AJ81-'Combined data'!AI81</f>
        <v>0</v>
      </c>
      <c r="AK81" s="90">
        <f>'Combined data'!AK81-'Combined data'!AJ81</f>
        <v>0</v>
      </c>
      <c r="AL81" s="90">
        <f>'Combined data'!AL81-'Combined data'!AK81</f>
        <v>0</v>
      </c>
      <c r="AM81" s="90">
        <f>'Combined data'!AM81-'Combined data'!AL81</f>
        <v>0</v>
      </c>
      <c r="AN81" s="90">
        <f>'Combined data'!AN81-'Combined data'!AM81</f>
        <v>0</v>
      </c>
      <c r="AO81" s="90">
        <f>'Combined data'!AO81-'Combined data'!AN81</f>
        <v>0</v>
      </c>
      <c r="AP81" s="56">
        <f t="shared" si="72"/>
        <v>0</v>
      </c>
      <c r="AQ81" s="113"/>
      <c r="AR81" s="17">
        <f>'Combined data'!AR81</f>
        <v>155</v>
      </c>
      <c r="AS81" s="17">
        <f>'Combined data'!AS81-'Combined data'!AR81</f>
        <v>20</v>
      </c>
      <c r="AT81" s="17">
        <f>'Combined data'!AT81-'Combined data'!AS81</f>
        <v>11</v>
      </c>
      <c r="AU81" s="17">
        <f>'Combined data'!AU81-'Combined data'!AT81</f>
        <v>25</v>
      </c>
      <c r="AV81" s="17">
        <f>'Combined data'!AV81-'Combined data'!AU81</f>
        <v>8</v>
      </c>
      <c r="AW81" s="17">
        <f>'Combined data'!AW81-'Combined data'!AV81</f>
        <v>14</v>
      </c>
      <c r="AX81" s="17">
        <f>'Combined data'!AX81-'Combined data'!AW81</f>
        <v>21</v>
      </c>
      <c r="AY81" s="17">
        <f>'Combined data'!AY81-'Combined data'!AX81</f>
        <v>11</v>
      </c>
      <c r="AZ81" s="17">
        <f>'Combined data'!AZ81-'Combined data'!AY81</f>
        <v>16</v>
      </c>
      <c r="BA81" s="17">
        <f>'Combined data'!BA81-'Combined data'!AZ81</f>
        <v>26</v>
      </c>
      <c r="BB81" s="17">
        <f>'Combined data'!BB81-'Combined data'!BA81</f>
        <v>9</v>
      </c>
      <c r="BC81" s="17">
        <f>'Combined data'!BC81-'Combined data'!BB81</f>
        <v>5</v>
      </c>
      <c r="BD81" s="17">
        <f>'Combined data'!BD81-'Combined data'!BC81</f>
        <v>14</v>
      </c>
      <c r="BE81" s="17">
        <f>'Combined data'!BE81-'Combined data'!BD81</f>
        <v>10</v>
      </c>
      <c r="BF81" s="17">
        <f>'Combined data'!BF81-'Combined data'!BE81</f>
        <v>7</v>
      </c>
      <c r="BG81" s="17">
        <f>'Combined data'!BG81-'Combined data'!BF81</f>
        <v>7</v>
      </c>
      <c r="BH81" s="17">
        <f>'Combined data'!BH81-'Combined data'!BG81</f>
        <v>8</v>
      </c>
      <c r="BI81" s="17">
        <f>'Combined data'!BI81-'Combined data'!BH81</f>
        <v>5</v>
      </c>
      <c r="BJ81" s="17">
        <f>'Combined data'!BJ81-'Combined data'!BI81</f>
        <v>12</v>
      </c>
      <c r="BK81" s="17">
        <f>'Combined data'!BK81-'Combined data'!BJ81</f>
        <v>9</v>
      </c>
      <c r="BL81" s="17">
        <f>'Combined data'!BL81-'Combined data'!BK81</f>
        <v>12</v>
      </c>
      <c r="BM81" s="17">
        <f>'Combined data'!BM81-'Combined data'!BL81</f>
        <v>1</v>
      </c>
      <c r="BN81" s="17">
        <f>'Combined data'!BN81-'Combined data'!BM81</f>
        <v>4</v>
      </c>
      <c r="BO81" s="17">
        <f>'Combined data'!BO81-'Combined data'!BN81</f>
        <v>-410</v>
      </c>
      <c r="BP81" s="17">
        <f>'Combined data'!BP81-'Combined data'!BO81</f>
        <v>0</v>
      </c>
      <c r="BQ81" s="17">
        <f>'Combined data'!BQ81-'Combined data'!BP81</f>
        <v>0</v>
      </c>
      <c r="BR81" s="17">
        <f>'Combined data'!BR81-'Combined data'!BQ81</f>
        <v>0</v>
      </c>
      <c r="BS81" s="17">
        <f>'Combined data'!BS81-'Combined data'!BR81</f>
        <v>0</v>
      </c>
      <c r="BT81" s="17">
        <f>'Combined data'!BT81-'Combined data'!BS81</f>
        <v>0</v>
      </c>
      <c r="BU81" s="17">
        <f>'Combined data'!BU81-'Combined data'!BT81</f>
        <v>0</v>
      </c>
      <c r="BV81" s="17">
        <f>'Combined data'!BV81-'Combined data'!BU81</f>
        <v>0</v>
      </c>
      <c r="BW81" s="17">
        <f>'Combined data'!BW81-'Combined data'!BV81</f>
        <v>0</v>
      </c>
      <c r="BX81" s="17">
        <f>'Combined data'!BX81-'Combined data'!BW81</f>
        <v>0</v>
      </c>
      <c r="BY81" s="17">
        <f>'Combined data'!BY81-'Combined data'!BX81</f>
        <v>0</v>
      </c>
      <c r="CB81" s="17">
        <f t="shared" si="49"/>
        <v>155</v>
      </c>
      <c r="CC81" s="17">
        <f t="shared" si="50"/>
        <v>20</v>
      </c>
      <c r="CD81" s="17">
        <f t="shared" si="51"/>
        <v>11</v>
      </c>
      <c r="CE81" s="17">
        <f t="shared" si="52"/>
        <v>25</v>
      </c>
      <c r="CF81" s="17">
        <f t="shared" si="53"/>
        <v>8</v>
      </c>
      <c r="CG81" s="17">
        <f t="shared" si="54"/>
        <v>14</v>
      </c>
      <c r="CH81" s="17">
        <f t="shared" si="55"/>
        <v>21</v>
      </c>
      <c r="CI81" s="17">
        <f t="shared" si="56"/>
        <v>11</v>
      </c>
      <c r="CJ81" s="17">
        <f t="shared" si="57"/>
        <v>16</v>
      </c>
      <c r="CK81" s="17">
        <f t="shared" si="58"/>
        <v>26</v>
      </c>
      <c r="CL81" s="17">
        <f t="shared" si="59"/>
        <v>9</v>
      </c>
      <c r="CM81" s="17">
        <f t="shared" si="60"/>
        <v>5</v>
      </c>
      <c r="CN81" s="17">
        <f t="shared" si="61"/>
        <v>14</v>
      </c>
      <c r="CO81" s="17">
        <f t="shared" si="62"/>
        <v>10</v>
      </c>
      <c r="CP81" s="17">
        <f t="shared" si="63"/>
        <v>7</v>
      </c>
      <c r="CQ81" s="17">
        <f t="shared" si="64"/>
        <v>7</v>
      </c>
      <c r="CR81" s="17">
        <f t="shared" si="65"/>
        <v>8</v>
      </c>
      <c r="CS81" s="17">
        <f t="shared" si="66"/>
        <v>5</v>
      </c>
      <c r="CT81" s="17">
        <f t="shared" si="67"/>
        <v>12</v>
      </c>
      <c r="CU81" s="17">
        <f t="shared" si="68"/>
        <v>9</v>
      </c>
      <c r="CV81" s="17">
        <f t="shared" si="69"/>
        <v>12</v>
      </c>
      <c r="CW81" s="17">
        <f t="shared" si="70"/>
        <v>1</v>
      </c>
      <c r="CX81" s="17">
        <f t="shared" si="71"/>
        <v>4</v>
      </c>
      <c r="CY81" s="17">
        <f t="shared" si="71"/>
        <v>-410</v>
      </c>
      <c r="CZ81" s="17">
        <f t="shared" si="71"/>
        <v>0</v>
      </c>
      <c r="DA81" s="17">
        <f t="shared" si="71"/>
        <v>0</v>
      </c>
      <c r="DB81" s="17">
        <f t="shared" si="71"/>
        <v>0</v>
      </c>
      <c r="DC81" s="17">
        <f t="shared" si="71"/>
        <v>0</v>
      </c>
      <c r="DD81" s="17">
        <f t="shared" si="71"/>
        <v>0</v>
      </c>
      <c r="DE81" s="17">
        <f t="shared" si="71"/>
        <v>0</v>
      </c>
      <c r="DF81" s="17">
        <f t="shared" si="71"/>
        <v>0</v>
      </c>
      <c r="DG81" s="17">
        <f t="shared" si="71"/>
        <v>0</v>
      </c>
      <c r="DH81" s="17">
        <f t="shared" si="71"/>
        <v>0</v>
      </c>
      <c r="DI81" s="17">
        <f t="shared" si="71"/>
        <v>0</v>
      </c>
    </row>
    <row r="82" spans="1:113" ht="15.75" x14ac:dyDescent="0.25">
      <c r="A82" s="4" t="s">
        <v>153</v>
      </c>
      <c r="B82" s="6" t="s">
        <v>154</v>
      </c>
      <c r="H82" s="90">
        <f>'Combined data'!H82</f>
        <v>744</v>
      </c>
      <c r="I82" s="90">
        <f>'Combined data'!I82-'Combined data'!H82</f>
        <v>63</v>
      </c>
      <c r="J82" s="90">
        <f>'Combined data'!J82-'Combined data'!I82</f>
        <v>43</v>
      </c>
      <c r="K82" s="90">
        <f>'Combined data'!K82-'Combined data'!J82</f>
        <v>72</v>
      </c>
      <c r="L82" s="90">
        <f>'Combined data'!L82-'Combined data'!K82</f>
        <v>32</v>
      </c>
      <c r="M82" s="90">
        <f>'Combined data'!M82-'Combined data'!L82</f>
        <v>19</v>
      </c>
      <c r="N82" s="90">
        <f>'Combined data'!N82-'Combined data'!M82</f>
        <v>71</v>
      </c>
      <c r="O82" s="90">
        <f>'Combined data'!O82-'Combined data'!N82</f>
        <v>27</v>
      </c>
      <c r="P82" s="90">
        <f>'Combined data'!P82-'Combined data'!O82</f>
        <v>33</v>
      </c>
      <c r="Q82" s="90">
        <f>'Combined data'!Q82-'Combined data'!P82</f>
        <v>39</v>
      </c>
      <c r="R82" s="90">
        <f>'Combined data'!R82-'Combined data'!Q82</f>
        <v>20</v>
      </c>
      <c r="S82" s="90">
        <f>'Combined data'!S82-'Combined data'!R82</f>
        <v>14</v>
      </c>
      <c r="T82" s="90">
        <f>'Combined data'!T82-'Combined data'!S82</f>
        <v>11</v>
      </c>
      <c r="U82" s="90">
        <f>'Combined data'!U82-'Combined data'!T82</f>
        <v>21</v>
      </c>
      <c r="V82" s="90">
        <f>'Combined data'!V82-'Combined data'!U82</f>
        <v>16</v>
      </c>
      <c r="W82" s="90">
        <f>'Combined data'!W82-'Combined data'!V82</f>
        <v>8</v>
      </c>
      <c r="X82" s="90">
        <f>'Combined data'!X82-'Combined data'!W82</f>
        <v>13</v>
      </c>
      <c r="Y82" s="90">
        <f>'Combined data'!Y82-'Combined data'!X82</f>
        <v>16</v>
      </c>
      <c r="Z82" s="90">
        <f>'Combined data'!Z82-'Combined data'!Y82</f>
        <v>29</v>
      </c>
      <c r="AA82" s="90">
        <f>'Combined data'!AA82-'Combined data'!Z82</f>
        <v>13</v>
      </c>
      <c r="AB82" s="90">
        <f>'Combined data'!AB82-'Combined data'!AA82</f>
        <v>9</v>
      </c>
      <c r="AC82" s="90">
        <f>'Combined data'!AC82-'Combined data'!AB82</f>
        <v>0</v>
      </c>
      <c r="AD82" s="90">
        <f>'Combined data'!AD82-'Combined data'!AC82</f>
        <v>27</v>
      </c>
      <c r="AE82" s="90">
        <f>'Combined data'!AE82-'Combined data'!AD82</f>
        <v>-1340</v>
      </c>
      <c r="AF82" s="90">
        <f>'Combined data'!AF82-'Combined data'!AE82</f>
        <v>0</v>
      </c>
      <c r="AG82" s="90">
        <f>'Combined data'!AG82-'Combined data'!AF82</f>
        <v>0</v>
      </c>
      <c r="AH82" s="90">
        <f>'Combined data'!AH82-'Combined data'!AG82</f>
        <v>0</v>
      </c>
      <c r="AI82" s="90">
        <f>'Combined data'!AI82-'Combined data'!AH82</f>
        <v>0</v>
      </c>
      <c r="AJ82" s="90">
        <f>'Combined data'!AJ82-'Combined data'!AI82</f>
        <v>0</v>
      </c>
      <c r="AK82" s="90">
        <f>'Combined data'!AK82-'Combined data'!AJ82</f>
        <v>0</v>
      </c>
      <c r="AL82" s="90">
        <f>'Combined data'!AL82-'Combined data'!AK82</f>
        <v>0</v>
      </c>
      <c r="AM82" s="90">
        <f>'Combined data'!AM82-'Combined data'!AL82</f>
        <v>0</v>
      </c>
      <c r="AN82" s="90">
        <f>'Combined data'!AN82-'Combined data'!AM82</f>
        <v>0</v>
      </c>
      <c r="AO82" s="90">
        <f>'Combined data'!AO82-'Combined data'!AN82</f>
        <v>0</v>
      </c>
      <c r="AP82" s="56">
        <f t="shared" si="72"/>
        <v>0</v>
      </c>
      <c r="AQ82" s="113"/>
      <c r="AR82" s="17">
        <f>'Combined data'!AR82</f>
        <v>363</v>
      </c>
      <c r="AS82" s="17">
        <f>'Combined data'!AS82-'Combined data'!AR82</f>
        <v>45</v>
      </c>
      <c r="AT82" s="17">
        <f>'Combined data'!AT82-'Combined data'!AS82</f>
        <v>69</v>
      </c>
      <c r="AU82" s="17">
        <f>'Combined data'!AU82-'Combined data'!AT82</f>
        <v>83</v>
      </c>
      <c r="AV82" s="17">
        <f>'Combined data'!AV82-'Combined data'!AU82</f>
        <v>38</v>
      </c>
      <c r="AW82" s="17">
        <f>'Combined data'!AW82-'Combined data'!AV82</f>
        <v>40</v>
      </c>
      <c r="AX82" s="17">
        <f>'Combined data'!AX82-'Combined data'!AW82</f>
        <v>64</v>
      </c>
      <c r="AY82" s="17">
        <f>'Combined data'!AY82-'Combined data'!AX82</f>
        <v>19</v>
      </c>
      <c r="AZ82" s="17">
        <f>'Combined data'!AZ82-'Combined data'!AY82</f>
        <v>60</v>
      </c>
      <c r="BA82" s="17">
        <f>'Combined data'!BA82-'Combined data'!AZ82</f>
        <v>31</v>
      </c>
      <c r="BB82" s="17">
        <f>'Combined data'!BB82-'Combined data'!BA82</f>
        <v>13</v>
      </c>
      <c r="BC82" s="17">
        <f>'Combined data'!BC82-'Combined data'!BB82</f>
        <v>23</v>
      </c>
      <c r="BD82" s="17">
        <f>'Combined data'!BD82-'Combined data'!BC82</f>
        <v>42</v>
      </c>
      <c r="BE82" s="17">
        <f>'Combined data'!BE82-'Combined data'!BD82</f>
        <v>20</v>
      </c>
      <c r="BF82" s="17">
        <f>'Combined data'!BF82-'Combined data'!BE82</f>
        <v>14</v>
      </c>
      <c r="BG82" s="17">
        <f>'Combined data'!BG82-'Combined data'!BF82</f>
        <v>14</v>
      </c>
      <c r="BH82" s="17">
        <f>'Combined data'!BH82-'Combined data'!BG82</f>
        <v>29</v>
      </c>
      <c r="BI82" s="17">
        <f>'Combined data'!BI82-'Combined data'!BH82</f>
        <v>11</v>
      </c>
      <c r="BJ82" s="17">
        <f>'Combined data'!BJ82-'Combined data'!BI82</f>
        <v>11</v>
      </c>
      <c r="BK82" s="17">
        <f>'Combined data'!BK82-'Combined data'!BJ82</f>
        <v>20</v>
      </c>
      <c r="BL82" s="17">
        <f>'Combined data'!BL82-'Combined data'!BK82</f>
        <v>40</v>
      </c>
      <c r="BM82" s="17">
        <f>'Combined data'!BM82-'Combined data'!BL82</f>
        <v>6</v>
      </c>
      <c r="BN82" s="17">
        <f>'Combined data'!BN82-'Combined data'!BM82</f>
        <v>11</v>
      </c>
      <c r="BO82" s="17">
        <f>'Combined data'!BO82-'Combined data'!BN82</f>
        <v>-1066</v>
      </c>
      <c r="BP82" s="17">
        <f>'Combined data'!BP82-'Combined data'!BO82</f>
        <v>0</v>
      </c>
      <c r="BQ82" s="17">
        <f>'Combined data'!BQ82-'Combined data'!BP82</f>
        <v>0</v>
      </c>
      <c r="BR82" s="17">
        <f>'Combined data'!BR82-'Combined data'!BQ82</f>
        <v>0</v>
      </c>
      <c r="BS82" s="17">
        <f>'Combined data'!BS82-'Combined data'!BR82</f>
        <v>0</v>
      </c>
      <c r="BT82" s="17">
        <f>'Combined data'!BT82-'Combined data'!BS82</f>
        <v>0</v>
      </c>
      <c r="BU82" s="17">
        <f>'Combined data'!BU82-'Combined data'!BT82</f>
        <v>0</v>
      </c>
      <c r="BV82" s="17">
        <f>'Combined data'!BV82-'Combined data'!BU82</f>
        <v>0</v>
      </c>
      <c r="BW82" s="17">
        <f>'Combined data'!BW82-'Combined data'!BV82</f>
        <v>0</v>
      </c>
      <c r="BX82" s="17">
        <f>'Combined data'!BX82-'Combined data'!BW82</f>
        <v>0</v>
      </c>
      <c r="BY82" s="17">
        <f>'Combined data'!BY82-'Combined data'!BX82</f>
        <v>0</v>
      </c>
      <c r="CB82" s="17">
        <f t="shared" si="49"/>
        <v>363</v>
      </c>
      <c r="CC82" s="17">
        <f t="shared" si="50"/>
        <v>45</v>
      </c>
      <c r="CD82" s="17">
        <f t="shared" si="51"/>
        <v>69</v>
      </c>
      <c r="CE82" s="17">
        <f t="shared" si="52"/>
        <v>83</v>
      </c>
      <c r="CF82" s="17">
        <f t="shared" si="53"/>
        <v>38</v>
      </c>
      <c r="CG82" s="17">
        <f t="shared" si="54"/>
        <v>40</v>
      </c>
      <c r="CH82" s="17">
        <f t="shared" si="55"/>
        <v>64</v>
      </c>
      <c r="CI82" s="17">
        <f t="shared" si="56"/>
        <v>19</v>
      </c>
      <c r="CJ82" s="17">
        <f t="shared" si="57"/>
        <v>60</v>
      </c>
      <c r="CK82" s="17">
        <f t="shared" si="58"/>
        <v>31</v>
      </c>
      <c r="CL82" s="17">
        <f t="shared" si="59"/>
        <v>13</v>
      </c>
      <c r="CM82" s="17">
        <f t="shared" si="60"/>
        <v>23</v>
      </c>
      <c r="CN82" s="17">
        <f t="shared" si="61"/>
        <v>42</v>
      </c>
      <c r="CO82" s="17">
        <f t="shared" si="62"/>
        <v>20</v>
      </c>
      <c r="CP82" s="17">
        <f t="shared" si="63"/>
        <v>14</v>
      </c>
      <c r="CQ82" s="17">
        <f t="shared" si="64"/>
        <v>14</v>
      </c>
      <c r="CR82" s="17">
        <f t="shared" si="65"/>
        <v>29</v>
      </c>
      <c r="CS82" s="17">
        <f t="shared" si="66"/>
        <v>11</v>
      </c>
      <c r="CT82" s="17">
        <f t="shared" si="67"/>
        <v>11</v>
      </c>
      <c r="CU82" s="17">
        <f t="shared" si="68"/>
        <v>20</v>
      </c>
      <c r="CV82" s="17">
        <f t="shared" si="69"/>
        <v>40</v>
      </c>
      <c r="CW82" s="17">
        <f t="shared" si="70"/>
        <v>6</v>
      </c>
      <c r="CX82" s="17">
        <f t="shared" si="71"/>
        <v>11</v>
      </c>
      <c r="CY82" s="17">
        <f t="shared" si="71"/>
        <v>-1066</v>
      </c>
      <c r="CZ82" s="17">
        <f t="shared" si="71"/>
        <v>0</v>
      </c>
      <c r="DA82" s="17">
        <f t="shared" si="71"/>
        <v>0</v>
      </c>
      <c r="DB82" s="17">
        <f t="shared" si="71"/>
        <v>0</v>
      </c>
      <c r="DC82" s="17">
        <f t="shared" si="71"/>
        <v>0</v>
      </c>
      <c r="DD82" s="17">
        <f t="shared" si="71"/>
        <v>0</v>
      </c>
      <c r="DE82" s="17">
        <f t="shared" si="71"/>
        <v>0</v>
      </c>
      <c r="DF82" s="17">
        <f t="shared" si="71"/>
        <v>0</v>
      </c>
      <c r="DG82" s="17">
        <f t="shared" si="71"/>
        <v>0</v>
      </c>
      <c r="DH82" s="17">
        <f t="shared" si="71"/>
        <v>0</v>
      </c>
      <c r="DI82" s="17">
        <f t="shared" si="71"/>
        <v>0</v>
      </c>
    </row>
    <row r="83" spans="1:113" ht="15.75" x14ac:dyDescent="0.25">
      <c r="A83" s="4" t="s">
        <v>155</v>
      </c>
      <c r="B83" s="6" t="s">
        <v>156</v>
      </c>
      <c r="H83" s="90">
        <f>'Combined data'!H83</f>
        <v>158</v>
      </c>
      <c r="I83" s="90">
        <f>'Combined data'!I83-'Combined data'!H83</f>
        <v>12</v>
      </c>
      <c r="J83" s="90">
        <f>'Combined data'!J83-'Combined data'!I83</f>
        <v>0</v>
      </c>
      <c r="K83" s="90">
        <f>'Combined data'!K83-'Combined data'!J83</f>
        <v>17</v>
      </c>
      <c r="L83" s="90">
        <f>'Combined data'!L83-'Combined data'!K83</f>
        <v>10</v>
      </c>
      <c r="M83" s="90">
        <f>'Combined data'!M83-'Combined data'!L83</f>
        <v>5</v>
      </c>
      <c r="N83" s="90">
        <f>'Combined data'!N83-'Combined data'!M83</f>
        <v>10</v>
      </c>
      <c r="O83" s="90">
        <f>'Combined data'!O83-'Combined data'!N83</f>
        <v>11</v>
      </c>
      <c r="P83" s="90">
        <f>'Combined data'!P83-'Combined data'!O83</f>
        <v>4</v>
      </c>
      <c r="Q83" s="90">
        <f>'Combined data'!Q83-'Combined data'!P83</f>
        <v>9</v>
      </c>
      <c r="R83" s="90">
        <f>'Combined data'!R83-'Combined data'!Q83</f>
        <v>1</v>
      </c>
      <c r="S83" s="90">
        <f>'Combined data'!S83-'Combined data'!R83</f>
        <v>3</v>
      </c>
      <c r="T83" s="90">
        <f>'Combined data'!T83-'Combined data'!S83</f>
        <v>14</v>
      </c>
      <c r="U83" s="90">
        <f>'Combined data'!U83-'Combined data'!T83</f>
        <v>7</v>
      </c>
      <c r="V83" s="90">
        <f>'Combined data'!V83-'Combined data'!U83</f>
        <v>0</v>
      </c>
      <c r="W83" s="90">
        <f>'Combined data'!W83-'Combined data'!V83</f>
        <v>5</v>
      </c>
      <c r="X83" s="90">
        <f>'Combined data'!X83-'Combined data'!W83</f>
        <v>5</v>
      </c>
      <c r="Y83" s="90">
        <f>'Combined data'!Y83-'Combined data'!X83</f>
        <v>3</v>
      </c>
      <c r="Z83" s="90">
        <f>'Combined data'!Z83-'Combined data'!Y83</f>
        <v>12</v>
      </c>
      <c r="AA83" s="90">
        <f>'Combined data'!AA83-'Combined data'!Z83</f>
        <v>4</v>
      </c>
      <c r="AB83" s="90">
        <f>'Combined data'!AB83-'Combined data'!AA83</f>
        <v>4</v>
      </c>
      <c r="AC83" s="90">
        <f>'Combined data'!AC83-'Combined data'!AB83</f>
        <v>6</v>
      </c>
      <c r="AD83" s="90">
        <f>'Combined data'!AD83-'Combined data'!AC83</f>
        <v>2</v>
      </c>
      <c r="AE83" s="90">
        <f>'Combined data'!AE83-'Combined data'!AD83</f>
        <v>-302</v>
      </c>
      <c r="AF83" s="90">
        <f>'Combined data'!AF83-'Combined data'!AE83</f>
        <v>0</v>
      </c>
      <c r="AG83" s="90">
        <f>'Combined data'!AG83-'Combined data'!AF83</f>
        <v>0</v>
      </c>
      <c r="AH83" s="90">
        <f>'Combined data'!AH83-'Combined data'!AG83</f>
        <v>0</v>
      </c>
      <c r="AI83" s="90">
        <f>'Combined data'!AI83-'Combined data'!AH83</f>
        <v>0</v>
      </c>
      <c r="AJ83" s="90">
        <f>'Combined data'!AJ83-'Combined data'!AI83</f>
        <v>0</v>
      </c>
      <c r="AK83" s="90">
        <f>'Combined data'!AK83-'Combined data'!AJ83</f>
        <v>0</v>
      </c>
      <c r="AL83" s="90">
        <f>'Combined data'!AL83-'Combined data'!AK83</f>
        <v>0</v>
      </c>
      <c r="AM83" s="90">
        <f>'Combined data'!AM83-'Combined data'!AL83</f>
        <v>0</v>
      </c>
      <c r="AN83" s="90">
        <f>'Combined data'!AN83-'Combined data'!AM83</f>
        <v>0</v>
      </c>
      <c r="AO83" s="90">
        <f>'Combined data'!AO83-'Combined data'!AN83</f>
        <v>0</v>
      </c>
      <c r="AP83" s="56">
        <f t="shared" si="72"/>
        <v>0</v>
      </c>
      <c r="AQ83" s="113"/>
      <c r="AR83" s="17">
        <f>'Combined data'!AR83</f>
        <v>65</v>
      </c>
      <c r="AS83" s="17">
        <f>'Combined data'!AS83-'Combined data'!AR83</f>
        <v>11</v>
      </c>
      <c r="AT83" s="17">
        <f>'Combined data'!AT83-'Combined data'!AS83</f>
        <v>15</v>
      </c>
      <c r="AU83" s="17">
        <f>'Combined data'!AU83-'Combined data'!AT83</f>
        <v>17</v>
      </c>
      <c r="AV83" s="17">
        <f>'Combined data'!AV83-'Combined data'!AU83</f>
        <v>5</v>
      </c>
      <c r="AW83" s="17">
        <f>'Combined data'!AW83-'Combined data'!AV83</f>
        <v>7</v>
      </c>
      <c r="AX83" s="17">
        <f>'Combined data'!AX83-'Combined data'!AW83</f>
        <v>12</v>
      </c>
      <c r="AY83" s="17">
        <f>'Combined data'!AY83-'Combined data'!AX83</f>
        <v>3</v>
      </c>
      <c r="AZ83" s="17">
        <f>'Combined data'!AZ83-'Combined data'!AY83</f>
        <v>2</v>
      </c>
      <c r="BA83" s="17">
        <f>'Combined data'!BA83-'Combined data'!AZ83</f>
        <v>6</v>
      </c>
      <c r="BB83" s="17">
        <f>'Combined data'!BB83-'Combined data'!BA83</f>
        <v>8</v>
      </c>
      <c r="BC83" s="17">
        <f>'Combined data'!BC83-'Combined data'!BB83</f>
        <v>15</v>
      </c>
      <c r="BD83" s="17">
        <f>'Combined data'!BD83-'Combined data'!BC83</f>
        <v>7</v>
      </c>
      <c r="BE83" s="17">
        <f>'Combined data'!BE83-'Combined data'!BD83</f>
        <v>6</v>
      </c>
      <c r="BF83" s="17">
        <f>'Combined data'!BF83-'Combined data'!BE83</f>
        <v>8</v>
      </c>
      <c r="BG83" s="17">
        <f>'Combined data'!BG83-'Combined data'!BF83</f>
        <v>3</v>
      </c>
      <c r="BH83" s="17">
        <f>'Combined data'!BH83-'Combined data'!BG83</f>
        <v>2</v>
      </c>
      <c r="BI83" s="17">
        <f>'Combined data'!BI83-'Combined data'!BH83</f>
        <v>2</v>
      </c>
      <c r="BJ83" s="17">
        <f>'Combined data'!BJ83-'Combined data'!BI83</f>
        <v>6</v>
      </c>
      <c r="BK83" s="17">
        <f>'Combined data'!BK83-'Combined data'!BJ83</f>
        <v>8</v>
      </c>
      <c r="BL83" s="17">
        <f>'Combined data'!BL83-'Combined data'!BK83</f>
        <v>16</v>
      </c>
      <c r="BM83" s="17">
        <f>'Combined data'!BM83-'Combined data'!BL83</f>
        <v>-1</v>
      </c>
      <c r="BN83" s="17">
        <f>'Combined data'!BN83-'Combined data'!BM83</f>
        <v>6</v>
      </c>
      <c r="BO83" s="17">
        <f>'Combined data'!BO83-'Combined data'!BN83</f>
        <v>-229</v>
      </c>
      <c r="BP83" s="17">
        <f>'Combined data'!BP83-'Combined data'!BO83</f>
        <v>0</v>
      </c>
      <c r="BQ83" s="17">
        <f>'Combined data'!BQ83-'Combined data'!BP83</f>
        <v>0</v>
      </c>
      <c r="BR83" s="17">
        <f>'Combined data'!BR83-'Combined data'!BQ83</f>
        <v>0</v>
      </c>
      <c r="BS83" s="17">
        <f>'Combined data'!BS83-'Combined data'!BR83</f>
        <v>0</v>
      </c>
      <c r="BT83" s="17">
        <f>'Combined data'!BT83-'Combined data'!BS83</f>
        <v>0</v>
      </c>
      <c r="BU83" s="17">
        <f>'Combined data'!BU83-'Combined data'!BT83</f>
        <v>0</v>
      </c>
      <c r="BV83" s="17">
        <f>'Combined data'!BV83-'Combined data'!BU83</f>
        <v>0</v>
      </c>
      <c r="BW83" s="17">
        <f>'Combined data'!BW83-'Combined data'!BV83</f>
        <v>0</v>
      </c>
      <c r="BX83" s="17">
        <f>'Combined data'!BX83-'Combined data'!BW83</f>
        <v>0</v>
      </c>
      <c r="BY83" s="17">
        <f>'Combined data'!BY83-'Combined data'!BX83</f>
        <v>0</v>
      </c>
      <c r="CB83" s="17">
        <f t="shared" si="49"/>
        <v>65</v>
      </c>
      <c r="CC83" s="17">
        <f t="shared" si="50"/>
        <v>11</v>
      </c>
      <c r="CD83" s="17">
        <f t="shared" si="51"/>
        <v>15</v>
      </c>
      <c r="CE83" s="17">
        <f t="shared" si="52"/>
        <v>17</v>
      </c>
      <c r="CF83" s="17">
        <f t="shared" si="53"/>
        <v>5</v>
      </c>
      <c r="CG83" s="17">
        <f t="shared" si="54"/>
        <v>7</v>
      </c>
      <c r="CH83" s="17">
        <f t="shared" si="55"/>
        <v>12</v>
      </c>
      <c r="CI83" s="17">
        <f t="shared" si="56"/>
        <v>3</v>
      </c>
      <c r="CJ83" s="17">
        <f t="shared" si="57"/>
        <v>2</v>
      </c>
      <c r="CK83" s="17">
        <f t="shared" si="58"/>
        <v>6</v>
      </c>
      <c r="CL83" s="17">
        <f t="shared" si="59"/>
        <v>8</v>
      </c>
      <c r="CM83" s="17">
        <f t="shared" si="60"/>
        <v>15</v>
      </c>
      <c r="CN83" s="17">
        <f t="shared" si="61"/>
        <v>7</v>
      </c>
      <c r="CO83" s="17">
        <f t="shared" si="62"/>
        <v>6</v>
      </c>
      <c r="CP83" s="17">
        <f t="shared" si="63"/>
        <v>8</v>
      </c>
      <c r="CQ83" s="17">
        <f t="shared" si="64"/>
        <v>3</v>
      </c>
      <c r="CR83" s="17">
        <f t="shared" si="65"/>
        <v>2</v>
      </c>
      <c r="CS83" s="17">
        <f t="shared" si="66"/>
        <v>2</v>
      </c>
      <c r="CT83" s="17">
        <f t="shared" si="67"/>
        <v>6</v>
      </c>
      <c r="CU83" s="17">
        <f t="shared" si="68"/>
        <v>8</v>
      </c>
      <c r="CV83" s="17">
        <f t="shared" si="69"/>
        <v>16</v>
      </c>
      <c r="CW83" s="17">
        <f t="shared" si="70"/>
        <v>-1</v>
      </c>
      <c r="CX83" s="17">
        <f t="shared" si="71"/>
        <v>6</v>
      </c>
      <c r="CY83" s="17">
        <f t="shared" si="71"/>
        <v>-229</v>
      </c>
      <c r="CZ83" s="17">
        <f t="shared" si="71"/>
        <v>0</v>
      </c>
      <c r="DA83" s="17">
        <f t="shared" si="71"/>
        <v>0</v>
      </c>
      <c r="DB83" s="17">
        <f t="shared" si="71"/>
        <v>0</v>
      </c>
      <c r="DC83" s="17">
        <f t="shared" si="71"/>
        <v>0</v>
      </c>
      <c r="DD83" s="17">
        <f t="shared" si="71"/>
        <v>0</v>
      </c>
      <c r="DE83" s="17">
        <f t="shared" si="71"/>
        <v>0</v>
      </c>
      <c r="DF83" s="17">
        <f t="shared" si="71"/>
        <v>0</v>
      </c>
      <c r="DG83" s="17">
        <f t="shared" si="71"/>
        <v>0</v>
      </c>
      <c r="DH83" s="17">
        <f t="shared" si="71"/>
        <v>0</v>
      </c>
      <c r="DI83" s="17">
        <f t="shared" si="71"/>
        <v>0</v>
      </c>
    </row>
    <row r="84" spans="1:113" ht="15.75" x14ac:dyDescent="0.25">
      <c r="A84" s="4" t="s">
        <v>157</v>
      </c>
      <c r="B84" s="6" t="s">
        <v>158</v>
      </c>
      <c r="H84" s="90">
        <f>'Combined data'!H84</f>
        <v>44</v>
      </c>
      <c r="I84" s="90">
        <f>'Combined data'!I84-'Combined data'!H84</f>
        <v>1</v>
      </c>
      <c r="J84" s="90">
        <f>'Combined data'!J84-'Combined data'!I84</f>
        <v>3</v>
      </c>
      <c r="K84" s="90">
        <f>'Combined data'!K84-'Combined data'!J84</f>
        <v>9</v>
      </c>
      <c r="L84" s="90">
        <f>'Combined data'!L84-'Combined data'!K84</f>
        <v>0</v>
      </c>
      <c r="M84" s="90">
        <f>'Combined data'!M84-'Combined data'!L84</f>
        <v>2</v>
      </c>
      <c r="N84" s="90">
        <f>'Combined data'!N84-'Combined data'!M84</f>
        <v>2</v>
      </c>
      <c r="O84" s="90">
        <f>'Combined data'!O84-'Combined data'!N84</f>
        <v>9</v>
      </c>
      <c r="P84" s="90">
        <f>'Combined data'!P84-'Combined data'!O84</f>
        <v>0</v>
      </c>
      <c r="Q84" s="90">
        <f>'Combined data'!Q84-'Combined data'!P84</f>
        <v>3</v>
      </c>
      <c r="R84" s="90">
        <f>'Combined data'!R84-'Combined data'!Q84</f>
        <v>3</v>
      </c>
      <c r="S84" s="90">
        <f>'Combined data'!S84-'Combined data'!R84</f>
        <v>3</v>
      </c>
      <c r="T84" s="90">
        <f>'Combined data'!T84-'Combined data'!S84</f>
        <v>1</v>
      </c>
      <c r="U84" s="90">
        <f>'Combined data'!U84-'Combined data'!T84</f>
        <v>1</v>
      </c>
      <c r="V84" s="90">
        <f>'Combined data'!V84-'Combined data'!U84</f>
        <v>0</v>
      </c>
      <c r="W84" s="90">
        <f>'Combined data'!W84-'Combined data'!V84</f>
        <v>1</v>
      </c>
      <c r="X84" s="90">
        <f>'Combined data'!X84-'Combined data'!W84</f>
        <v>-1</v>
      </c>
      <c r="Y84" s="90">
        <f>'Combined data'!Y84-'Combined data'!X84</f>
        <v>0</v>
      </c>
      <c r="Z84" s="90">
        <f>'Combined data'!Z84-'Combined data'!Y84</f>
        <v>3</v>
      </c>
      <c r="AA84" s="90">
        <f>'Combined data'!AA84-'Combined data'!Z84</f>
        <v>4</v>
      </c>
      <c r="AB84" s="90">
        <f>'Combined data'!AB84-'Combined data'!AA84</f>
        <v>0</v>
      </c>
      <c r="AC84" s="90">
        <f>'Combined data'!AC84-'Combined data'!AB84</f>
        <v>0</v>
      </c>
      <c r="AD84" s="90">
        <f>'Combined data'!AD84-'Combined data'!AC84</f>
        <v>3</v>
      </c>
      <c r="AE84" s="90">
        <f>'Combined data'!AE84-'Combined data'!AD84</f>
        <v>-91</v>
      </c>
      <c r="AF84" s="90">
        <f>'Combined data'!AF84-'Combined data'!AE84</f>
        <v>0</v>
      </c>
      <c r="AG84" s="90">
        <f>'Combined data'!AG84-'Combined data'!AF84</f>
        <v>0</v>
      </c>
      <c r="AH84" s="90">
        <f>'Combined data'!AH84-'Combined data'!AG84</f>
        <v>0</v>
      </c>
      <c r="AI84" s="90">
        <f>'Combined data'!AI84-'Combined data'!AH84</f>
        <v>0</v>
      </c>
      <c r="AJ84" s="90">
        <f>'Combined data'!AJ84-'Combined data'!AI84</f>
        <v>0</v>
      </c>
      <c r="AK84" s="90">
        <f>'Combined data'!AK84-'Combined data'!AJ84</f>
        <v>0</v>
      </c>
      <c r="AL84" s="90">
        <f>'Combined data'!AL84-'Combined data'!AK84</f>
        <v>0</v>
      </c>
      <c r="AM84" s="90">
        <f>'Combined data'!AM84-'Combined data'!AL84</f>
        <v>0</v>
      </c>
      <c r="AN84" s="90">
        <f>'Combined data'!AN84-'Combined data'!AM84</f>
        <v>0</v>
      </c>
      <c r="AO84" s="90">
        <f>'Combined data'!AO84-'Combined data'!AN84</f>
        <v>0</v>
      </c>
      <c r="AP84" s="56">
        <f t="shared" si="72"/>
        <v>0</v>
      </c>
      <c r="AQ84" s="113"/>
      <c r="AR84" s="17">
        <f>'Combined data'!AR84</f>
        <v>18</v>
      </c>
      <c r="AS84" s="17">
        <f>'Combined data'!AS84-'Combined data'!AR84</f>
        <v>7</v>
      </c>
      <c r="AT84" s="17">
        <f>'Combined data'!AT84-'Combined data'!AS84</f>
        <v>3</v>
      </c>
      <c r="AU84" s="17">
        <f>'Combined data'!AU84-'Combined data'!AT84</f>
        <v>0</v>
      </c>
      <c r="AV84" s="17">
        <f>'Combined data'!AV84-'Combined data'!AU84</f>
        <v>1</v>
      </c>
      <c r="AW84" s="17">
        <f>'Combined data'!AW84-'Combined data'!AV84</f>
        <v>3</v>
      </c>
      <c r="AX84" s="17">
        <f>'Combined data'!AX84-'Combined data'!AW84</f>
        <v>8</v>
      </c>
      <c r="AY84" s="17">
        <f>'Combined data'!AY84-'Combined data'!AX84</f>
        <v>0</v>
      </c>
      <c r="AZ84" s="17">
        <f>'Combined data'!AZ84-'Combined data'!AY84</f>
        <v>0</v>
      </c>
      <c r="BA84" s="17">
        <f>'Combined data'!BA84-'Combined data'!AZ84</f>
        <v>3</v>
      </c>
      <c r="BB84" s="17">
        <f>'Combined data'!BB84-'Combined data'!BA84</f>
        <v>2</v>
      </c>
      <c r="BC84" s="17">
        <f>'Combined data'!BC84-'Combined data'!BB84</f>
        <v>8</v>
      </c>
      <c r="BD84" s="17">
        <f>'Combined data'!BD84-'Combined data'!BC84</f>
        <v>1</v>
      </c>
      <c r="BE84" s="17">
        <f>'Combined data'!BE84-'Combined data'!BD84</f>
        <v>1</v>
      </c>
      <c r="BF84" s="17">
        <f>'Combined data'!BF84-'Combined data'!BE84</f>
        <v>3</v>
      </c>
      <c r="BG84" s="17">
        <f>'Combined data'!BG84-'Combined data'!BF84</f>
        <v>0</v>
      </c>
      <c r="BH84" s="17">
        <f>'Combined data'!BH84-'Combined data'!BG84</f>
        <v>0</v>
      </c>
      <c r="BI84" s="17">
        <f>'Combined data'!BI84-'Combined data'!BH84</f>
        <v>1</v>
      </c>
      <c r="BJ84" s="17">
        <f>'Combined data'!BJ84-'Combined data'!BI84</f>
        <v>2</v>
      </c>
      <c r="BK84" s="17">
        <f>'Combined data'!BK84-'Combined data'!BJ84</f>
        <v>7</v>
      </c>
      <c r="BL84" s="17">
        <f>'Combined data'!BL84-'Combined data'!BK84</f>
        <v>3</v>
      </c>
      <c r="BM84" s="17">
        <f>'Combined data'!BM84-'Combined data'!BL84</f>
        <v>-2</v>
      </c>
      <c r="BN84" s="17">
        <f>'Combined data'!BN84-'Combined data'!BM84</f>
        <v>2</v>
      </c>
      <c r="BO84" s="17">
        <f>'Combined data'!BO84-'Combined data'!BN84</f>
        <v>-71</v>
      </c>
      <c r="BP84" s="17">
        <f>'Combined data'!BP84-'Combined data'!BO84</f>
        <v>0</v>
      </c>
      <c r="BQ84" s="17">
        <f>'Combined data'!BQ84-'Combined data'!BP84</f>
        <v>0</v>
      </c>
      <c r="BR84" s="17">
        <f>'Combined data'!BR84-'Combined data'!BQ84</f>
        <v>0</v>
      </c>
      <c r="BS84" s="17">
        <f>'Combined data'!BS84-'Combined data'!BR84</f>
        <v>0</v>
      </c>
      <c r="BT84" s="17">
        <f>'Combined data'!BT84-'Combined data'!BS84</f>
        <v>0</v>
      </c>
      <c r="BU84" s="17">
        <f>'Combined data'!BU84-'Combined data'!BT84</f>
        <v>0</v>
      </c>
      <c r="BV84" s="17">
        <f>'Combined data'!BV84-'Combined data'!BU84</f>
        <v>0</v>
      </c>
      <c r="BW84" s="17">
        <f>'Combined data'!BW84-'Combined data'!BV84</f>
        <v>0</v>
      </c>
      <c r="BX84" s="17">
        <f>'Combined data'!BX84-'Combined data'!BW84</f>
        <v>0</v>
      </c>
      <c r="BY84" s="17">
        <f>'Combined data'!BY84-'Combined data'!BX84</f>
        <v>0</v>
      </c>
      <c r="CB84" s="17">
        <f t="shared" si="49"/>
        <v>18</v>
      </c>
      <c r="CC84" s="17">
        <f t="shared" si="50"/>
        <v>7</v>
      </c>
      <c r="CD84" s="17">
        <f t="shared" si="51"/>
        <v>3</v>
      </c>
      <c r="CE84" s="17">
        <f t="shared" si="52"/>
        <v>0</v>
      </c>
      <c r="CF84" s="17">
        <f t="shared" si="53"/>
        <v>1</v>
      </c>
      <c r="CG84" s="17">
        <f t="shared" si="54"/>
        <v>3</v>
      </c>
      <c r="CH84" s="17">
        <f t="shared" si="55"/>
        <v>8</v>
      </c>
      <c r="CI84" s="17">
        <f t="shared" si="56"/>
        <v>0</v>
      </c>
      <c r="CJ84" s="17">
        <f t="shared" si="57"/>
        <v>0</v>
      </c>
      <c r="CK84" s="17">
        <f t="shared" si="58"/>
        <v>3</v>
      </c>
      <c r="CL84" s="17">
        <f t="shared" si="59"/>
        <v>2</v>
      </c>
      <c r="CM84" s="17">
        <f t="shared" si="60"/>
        <v>8</v>
      </c>
      <c r="CN84" s="17">
        <f t="shared" si="61"/>
        <v>1</v>
      </c>
      <c r="CO84" s="17">
        <f t="shared" si="62"/>
        <v>1</v>
      </c>
      <c r="CP84" s="17">
        <f t="shared" si="63"/>
        <v>3</v>
      </c>
      <c r="CQ84" s="17">
        <f t="shared" si="64"/>
        <v>0</v>
      </c>
      <c r="CR84" s="17">
        <f t="shared" si="65"/>
        <v>0</v>
      </c>
      <c r="CS84" s="17">
        <f t="shared" si="66"/>
        <v>1</v>
      </c>
      <c r="CT84" s="17">
        <f t="shared" si="67"/>
        <v>2</v>
      </c>
      <c r="CU84" s="17">
        <f t="shared" si="68"/>
        <v>7</v>
      </c>
      <c r="CV84" s="17">
        <f t="shared" si="69"/>
        <v>3</v>
      </c>
      <c r="CW84" s="17">
        <f t="shared" si="70"/>
        <v>-2</v>
      </c>
      <c r="CX84" s="17">
        <f t="shared" si="71"/>
        <v>2</v>
      </c>
      <c r="CY84" s="17">
        <f t="shared" si="71"/>
        <v>-71</v>
      </c>
      <c r="CZ84" s="17">
        <f t="shared" si="71"/>
        <v>0</v>
      </c>
      <c r="DA84" s="17">
        <f t="shared" si="71"/>
        <v>0</v>
      </c>
      <c r="DB84" s="17">
        <f t="shared" si="71"/>
        <v>0</v>
      </c>
      <c r="DC84" s="17">
        <f t="shared" si="71"/>
        <v>0</v>
      </c>
      <c r="DD84" s="17">
        <f t="shared" si="71"/>
        <v>0</v>
      </c>
      <c r="DE84" s="17">
        <f t="shared" si="71"/>
        <v>0</v>
      </c>
      <c r="DF84" s="17">
        <f t="shared" si="71"/>
        <v>0</v>
      </c>
      <c r="DG84" s="17">
        <f t="shared" si="71"/>
        <v>0</v>
      </c>
      <c r="DH84" s="17">
        <f t="shared" si="71"/>
        <v>0</v>
      </c>
      <c r="DI84" s="17">
        <f t="shared" si="71"/>
        <v>0</v>
      </c>
    </row>
    <row r="85" spans="1:113" ht="15.75" x14ac:dyDescent="0.25">
      <c r="A85" s="4" t="s">
        <v>159</v>
      </c>
      <c r="B85" s="6" t="s">
        <v>160</v>
      </c>
      <c r="H85" s="90">
        <f>'Combined data'!H85</f>
        <v>236</v>
      </c>
      <c r="I85" s="90">
        <f>'Combined data'!I85-'Combined data'!H85</f>
        <v>14</v>
      </c>
      <c r="J85" s="90">
        <f>'Combined data'!J85-'Combined data'!I85</f>
        <v>12</v>
      </c>
      <c r="K85" s="90">
        <f>'Combined data'!K85-'Combined data'!J85</f>
        <v>29</v>
      </c>
      <c r="L85" s="90">
        <f>'Combined data'!L85-'Combined data'!K85</f>
        <v>6</v>
      </c>
      <c r="M85" s="90">
        <f>'Combined data'!M85-'Combined data'!L85</f>
        <v>8</v>
      </c>
      <c r="N85" s="90">
        <f>'Combined data'!N85-'Combined data'!M85</f>
        <v>29</v>
      </c>
      <c r="O85" s="90">
        <f>'Combined data'!O85-'Combined data'!N85</f>
        <v>10</v>
      </c>
      <c r="P85" s="90">
        <f>'Combined data'!P85-'Combined data'!O85</f>
        <v>23</v>
      </c>
      <c r="Q85" s="90">
        <f>'Combined data'!Q85-'Combined data'!P85</f>
        <v>7</v>
      </c>
      <c r="R85" s="90">
        <f>'Combined data'!R85-'Combined data'!Q85</f>
        <v>14</v>
      </c>
      <c r="S85" s="90">
        <f>'Combined data'!S85-'Combined data'!R85</f>
        <v>14</v>
      </c>
      <c r="T85" s="90">
        <f>'Combined data'!T85-'Combined data'!S85</f>
        <v>9</v>
      </c>
      <c r="U85" s="90">
        <f>'Combined data'!U85-'Combined data'!T85</f>
        <v>7</v>
      </c>
      <c r="V85" s="90">
        <f>'Combined data'!V85-'Combined data'!U85</f>
        <v>9</v>
      </c>
      <c r="W85" s="90">
        <f>'Combined data'!W85-'Combined data'!V85</f>
        <v>18</v>
      </c>
      <c r="X85" s="90">
        <f>'Combined data'!X85-'Combined data'!W85</f>
        <v>7</v>
      </c>
      <c r="Y85" s="90">
        <f>'Combined data'!Y85-'Combined data'!X85</f>
        <v>9</v>
      </c>
      <c r="Z85" s="90">
        <f>'Combined data'!Z85-'Combined data'!Y85</f>
        <v>15</v>
      </c>
      <c r="AA85" s="90">
        <f>'Combined data'!AA85-'Combined data'!Z85</f>
        <v>5</v>
      </c>
      <c r="AB85" s="90">
        <f>'Combined data'!AB85-'Combined data'!AA85</f>
        <v>7</v>
      </c>
      <c r="AC85" s="90">
        <f>'Combined data'!AC85-'Combined data'!AB85</f>
        <v>3</v>
      </c>
      <c r="AD85" s="90">
        <f>'Combined data'!AD85-'Combined data'!AC85</f>
        <v>12</v>
      </c>
      <c r="AE85" s="90">
        <f>'Combined data'!AE85-'Combined data'!AD85</f>
        <v>-503</v>
      </c>
      <c r="AF85" s="90">
        <f>'Combined data'!AF85-'Combined data'!AE85</f>
        <v>0</v>
      </c>
      <c r="AG85" s="90">
        <f>'Combined data'!AG85-'Combined data'!AF85</f>
        <v>0</v>
      </c>
      <c r="AH85" s="90">
        <f>'Combined data'!AH85-'Combined data'!AG85</f>
        <v>0</v>
      </c>
      <c r="AI85" s="90">
        <f>'Combined data'!AI85-'Combined data'!AH85</f>
        <v>0</v>
      </c>
      <c r="AJ85" s="90">
        <f>'Combined data'!AJ85-'Combined data'!AI85</f>
        <v>0</v>
      </c>
      <c r="AK85" s="90">
        <f>'Combined data'!AK85-'Combined data'!AJ85</f>
        <v>0</v>
      </c>
      <c r="AL85" s="90">
        <f>'Combined data'!AL85-'Combined data'!AK85</f>
        <v>0</v>
      </c>
      <c r="AM85" s="90">
        <f>'Combined data'!AM85-'Combined data'!AL85</f>
        <v>0</v>
      </c>
      <c r="AN85" s="90">
        <f>'Combined data'!AN85-'Combined data'!AM85</f>
        <v>0</v>
      </c>
      <c r="AO85" s="90">
        <f>'Combined data'!AO85-'Combined data'!AN85</f>
        <v>0</v>
      </c>
      <c r="AP85" s="56">
        <f t="shared" si="72"/>
        <v>0</v>
      </c>
      <c r="AQ85" s="113"/>
      <c r="AR85" s="17">
        <f>'Combined data'!AR85</f>
        <v>131</v>
      </c>
      <c r="AS85" s="17">
        <f>'Combined data'!AS85-'Combined data'!AR85</f>
        <v>16</v>
      </c>
      <c r="AT85" s="17">
        <f>'Combined data'!AT85-'Combined data'!AS85</f>
        <v>3</v>
      </c>
      <c r="AU85" s="17">
        <f>'Combined data'!AU85-'Combined data'!AT85</f>
        <v>11</v>
      </c>
      <c r="AV85" s="17">
        <f>'Combined data'!AV85-'Combined data'!AU85</f>
        <v>14</v>
      </c>
      <c r="AW85" s="17">
        <f>'Combined data'!AW85-'Combined data'!AV85</f>
        <v>11</v>
      </c>
      <c r="AX85" s="17">
        <f>'Combined data'!AX85-'Combined data'!AW85</f>
        <v>25</v>
      </c>
      <c r="AY85" s="17">
        <f>'Combined data'!AY85-'Combined data'!AX85</f>
        <v>17</v>
      </c>
      <c r="AZ85" s="17">
        <f>'Combined data'!AZ85-'Combined data'!AY85</f>
        <v>8</v>
      </c>
      <c r="BA85" s="17">
        <f>'Combined data'!BA85-'Combined data'!AZ85</f>
        <v>15</v>
      </c>
      <c r="BB85" s="17">
        <f>'Combined data'!BB85-'Combined data'!BA85</f>
        <v>13</v>
      </c>
      <c r="BC85" s="17">
        <f>'Combined data'!BC85-'Combined data'!BB85</f>
        <v>10</v>
      </c>
      <c r="BD85" s="17">
        <f>'Combined data'!BD85-'Combined data'!BC85</f>
        <v>18</v>
      </c>
      <c r="BE85" s="17">
        <f>'Combined data'!BE85-'Combined data'!BD85</f>
        <v>15</v>
      </c>
      <c r="BF85" s="17">
        <f>'Combined data'!BF85-'Combined data'!BE85</f>
        <v>3</v>
      </c>
      <c r="BG85" s="17">
        <f>'Combined data'!BG85-'Combined data'!BF85</f>
        <v>8</v>
      </c>
      <c r="BH85" s="17">
        <f>'Combined data'!BH85-'Combined data'!BG85</f>
        <v>12</v>
      </c>
      <c r="BI85" s="17">
        <f>'Combined data'!BI85-'Combined data'!BH85</f>
        <v>1</v>
      </c>
      <c r="BJ85" s="17">
        <f>'Combined data'!BJ85-'Combined data'!BI85</f>
        <v>14</v>
      </c>
      <c r="BK85" s="17">
        <f>'Combined data'!BK85-'Combined data'!BJ85</f>
        <v>9</v>
      </c>
      <c r="BL85" s="17">
        <f>'Combined data'!BL85-'Combined data'!BK85</f>
        <v>11</v>
      </c>
      <c r="BM85" s="17">
        <f>'Combined data'!BM85-'Combined data'!BL85</f>
        <v>3</v>
      </c>
      <c r="BN85" s="17">
        <f>'Combined data'!BN85-'Combined data'!BM85</f>
        <v>7</v>
      </c>
      <c r="BO85" s="17">
        <f>'Combined data'!BO85-'Combined data'!BN85</f>
        <v>-375</v>
      </c>
      <c r="BP85" s="17">
        <f>'Combined data'!BP85-'Combined data'!BO85</f>
        <v>0</v>
      </c>
      <c r="BQ85" s="17">
        <f>'Combined data'!BQ85-'Combined data'!BP85</f>
        <v>0</v>
      </c>
      <c r="BR85" s="17">
        <f>'Combined data'!BR85-'Combined data'!BQ85</f>
        <v>0</v>
      </c>
      <c r="BS85" s="17">
        <f>'Combined data'!BS85-'Combined data'!BR85</f>
        <v>0</v>
      </c>
      <c r="BT85" s="17">
        <f>'Combined data'!BT85-'Combined data'!BS85</f>
        <v>0</v>
      </c>
      <c r="BU85" s="17">
        <f>'Combined data'!BU85-'Combined data'!BT85</f>
        <v>0</v>
      </c>
      <c r="BV85" s="17">
        <f>'Combined data'!BV85-'Combined data'!BU85</f>
        <v>0</v>
      </c>
      <c r="BW85" s="17">
        <f>'Combined data'!BW85-'Combined data'!BV85</f>
        <v>0</v>
      </c>
      <c r="BX85" s="17">
        <f>'Combined data'!BX85-'Combined data'!BW85</f>
        <v>0</v>
      </c>
      <c r="BY85" s="17">
        <f>'Combined data'!BY85-'Combined data'!BX85</f>
        <v>0</v>
      </c>
      <c r="CB85" s="17">
        <f t="shared" si="49"/>
        <v>131</v>
      </c>
      <c r="CC85" s="17">
        <f t="shared" si="50"/>
        <v>16</v>
      </c>
      <c r="CD85" s="17">
        <f t="shared" si="51"/>
        <v>3</v>
      </c>
      <c r="CE85" s="17">
        <f t="shared" si="52"/>
        <v>11</v>
      </c>
      <c r="CF85" s="17">
        <f t="shared" si="53"/>
        <v>14</v>
      </c>
      <c r="CG85" s="17">
        <f t="shared" si="54"/>
        <v>11</v>
      </c>
      <c r="CH85" s="17">
        <f t="shared" si="55"/>
        <v>25</v>
      </c>
      <c r="CI85" s="17">
        <f t="shared" si="56"/>
        <v>17</v>
      </c>
      <c r="CJ85" s="17">
        <f t="shared" si="57"/>
        <v>8</v>
      </c>
      <c r="CK85" s="17">
        <f t="shared" si="58"/>
        <v>15</v>
      </c>
      <c r="CL85" s="17">
        <f t="shared" si="59"/>
        <v>13</v>
      </c>
      <c r="CM85" s="17">
        <f t="shared" si="60"/>
        <v>10</v>
      </c>
      <c r="CN85" s="17">
        <f t="shared" si="61"/>
        <v>18</v>
      </c>
      <c r="CO85" s="17">
        <f t="shared" si="62"/>
        <v>15</v>
      </c>
      <c r="CP85" s="17">
        <f t="shared" si="63"/>
        <v>3</v>
      </c>
      <c r="CQ85" s="17">
        <f t="shared" si="64"/>
        <v>8</v>
      </c>
      <c r="CR85" s="17">
        <f t="shared" si="65"/>
        <v>12</v>
      </c>
      <c r="CS85" s="17">
        <f t="shared" si="66"/>
        <v>1</v>
      </c>
      <c r="CT85" s="17">
        <f t="shared" si="67"/>
        <v>14</v>
      </c>
      <c r="CU85" s="17">
        <f t="shared" si="68"/>
        <v>9</v>
      </c>
      <c r="CV85" s="17">
        <f t="shared" si="69"/>
        <v>11</v>
      </c>
      <c r="CW85" s="17">
        <f t="shared" si="70"/>
        <v>3</v>
      </c>
      <c r="CX85" s="17">
        <f t="shared" si="71"/>
        <v>7</v>
      </c>
      <c r="CY85" s="17">
        <f t="shared" si="71"/>
        <v>-375</v>
      </c>
      <c r="CZ85" s="17">
        <f t="shared" si="71"/>
        <v>0</v>
      </c>
      <c r="DA85" s="17">
        <f t="shared" si="71"/>
        <v>0</v>
      </c>
      <c r="DB85" s="17">
        <f t="shared" si="71"/>
        <v>0</v>
      </c>
      <c r="DC85" s="17">
        <f t="shared" si="71"/>
        <v>0</v>
      </c>
      <c r="DD85" s="17">
        <f t="shared" si="71"/>
        <v>0</v>
      </c>
      <c r="DE85" s="17">
        <f t="shared" si="71"/>
        <v>0</v>
      </c>
      <c r="DF85" s="17">
        <f t="shared" si="71"/>
        <v>0</v>
      </c>
      <c r="DG85" s="17">
        <f t="shared" si="71"/>
        <v>0</v>
      </c>
      <c r="DH85" s="17">
        <f t="shared" si="71"/>
        <v>0</v>
      </c>
      <c r="DI85" s="17">
        <f t="shared" si="71"/>
        <v>0</v>
      </c>
    </row>
    <row r="86" spans="1:113" ht="15.75" x14ac:dyDescent="0.25">
      <c r="A86" s="4" t="s">
        <v>161</v>
      </c>
      <c r="B86" s="6" t="s">
        <v>162</v>
      </c>
      <c r="H86" s="90">
        <f>'Combined data'!H86</f>
        <v>114</v>
      </c>
      <c r="I86" s="90">
        <f>'Combined data'!I86-'Combined data'!H86</f>
        <v>10</v>
      </c>
      <c r="J86" s="90">
        <f>'Combined data'!J86-'Combined data'!I86</f>
        <v>11</v>
      </c>
      <c r="K86" s="90">
        <f>'Combined data'!K86-'Combined data'!J86</f>
        <v>7</v>
      </c>
      <c r="L86" s="90">
        <f>'Combined data'!L86-'Combined data'!K86</f>
        <v>7</v>
      </c>
      <c r="M86" s="90">
        <f>'Combined data'!M86-'Combined data'!L86</f>
        <v>8</v>
      </c>
      <c r="N86" s="90">
        <f>'Combined data'!N86-'Combined data'!M86</f>
        <v>15</v>
      </c>
      <c r="O86" s="90">
        <f>'Combined data'!O86-'Combined data'!N86</f>
        <v>10</v>
      </c>
      <c r="P86" s="90">
        <f>'Combined data'!P86-'Combined data'!O86</f>
        <v>9</v>
      </c>
      <c r="Q86" s="90">
        <f>'Combined data'!Q86-'Combined data'!P86</f>
        <v>7</v>
      </c>
      <c r="R86" s="90">
        <f>'Combined data'!R86-'Combined data'!Q86</f>
        <v>0</v>
      </c>
      <c r="S86" s="90">
        <f>'Combined data'!S86-'Combined data'!R86</f>
        <v>5</v>
      </c>
      <c r="T86" s="90">
        <f>'Combined data'!T86-'Combined data'!S86</f>
        <v>9</v>
      </c>
      <c r="U86" s="90">
        <f>'Combined data'!U86-'Combined data'!T86</f>
        <v>8</v>
      </c>
      <c r="V86" s="90">
        <f>'Combined data'!V86-'Combined data'!U86</f>
        <v>7</v>
      </c>
      <c r="W86" s="90">
        <f>'Combined data'!W86-'Combined data'!V86</f>
        <v>6</v>
      </c>
      <c r="X86" s="90">
        <f>'Combined data'!X86-'Combined data'!W86</f>
        <v>1</v>
      </c>
      <c r="Y86" s="90">
        <f>'Combined data'!Y86-'Combined data'!X86</f>
        <v>5</v>
      </c>
      <c r="Z86" s="90">
        <f>'Combined data'!Z86-'Combined data'!Y86</f>
        <v>4</v>
      </c>
      <c r="AA86" s="90">
        <f>'Combined data'!AA86-'Combined data'!Z86</f>
        <v>3</v>
      </c>
      <c r="AB86" s="90">
        <f>'Combined data'!AB86-'Combined data'!AA86</f>
        <v>0</v>
      </c>
      <c r="AC86" s="90">
        <f>'Combined data'!AC86-'Combined data'!AB86</f>
        <v>1</v>
      </c>
      <c r="AD86" s="90">
        <f>'Combined data'!AD86-'Combined data'!AC86</f>
        <v>7</v>
      </c>
      <c r="AE86" s="90">
        <f>'Combined data'!AE86-'Combined data'!AD86</f>
        <v>-254</v>
      </c>
      <c r="AF86" s="90">
        <f>'Combined data'!AF86-'Combined data'!AE86</f>
        <v>0</v>
      </c>
      <c r="AG86" s="90">
        <f>'Combined data'!AG86-'Combined data'!AF86</f>
        <v>0</v>
      </c>
      <c r="AH86" s="90">
        <f>'Combined data'!AH86-'Combined data'!AG86</f>
        <v>0</v>
      </c>
      <c r="AI86" s="90">
        <f>'Combined data'!AI86-'Combined data'!AH86</f>
        <v>0</v>
      </c>
      <c r="AJ86" s="90">
        <f>'Combined data'!AJ86-'Combined data'!AI86</f>
        <v>0</v>
      </c>
      <c r="AK86" s="90">
        <f>'Combined data'!AK86-'Combined data'!AJ86</f>
        <v>0</v>
      </c>
      <c r="AL86" s="90">
        <f>'Combined data'!AL86-'Combined data'!AK86</f>
        <v>0</v>
      </c>
      <c r="AM86" s="90">
        <f>'Combined data'!AM86-'Combined data'!AL86</f>
        <v>0</v>
      </c>
      <c r="AN86" s="90">
        <f>'Combined data'!AN86-'Combined data'!AM86</f>
        <v>0</v>
      </c>
      <c r="AO86" s="90">
        <f>'Combined data'!AO86-'Combined data'!AN86</f>
        <v>0</v>
      </c>
      <c r="AP86" s="56">
        <f t="shared" si="72"/>
        <v>0</v>
      </c>
      <c r="AQ86" s="113"/>
      <c r="AR86" s="17">
        <f>'Combined data'!AR86</f>
        <v>52</v>
      </c>
      <c r="AS86" s="17">
        <f>'Combined data'!AS86-'Combined data'!AR86</f>
        <v>21</v>
      </c>
      <c r="AT86" s="17">
        <f>'Combined data'!AT86-'Combined data'!AS86</f>
        <v>3</v>
      </c>
      <c r="AU86" s="17">
        <f>'Combined data'!AU86-'Combined data'!AT86</f>
        <v>10</v>
      </c>
      <c r="AV86" s="17">
        <f>'Combined data'!AV86-'Combined data'!AU86</f>
        <v>5</v>
      </c>
      <c r="AW86" s="17">
        <f>'Combined data'!AW86-'Combined data'!AV86</f>
        <v>6</v>
      </c>
      <c r="AX86" s="17">
        <f>'Combined data'!AX86-'Combined data'!AW86</f>
        <v>7</v>
      </c>
      <c r="AY86" s="17">
        <f>'Combined data'!AY86-'Combined data'!AX86</f>
        <v>7</v>
      </c>
      <c r="AZ86" s="17">
        <f>'Combined data'!AZ86-'Combined data'!AY86</f>
        <v>4</v>
      </c>
      <c r="BA86" s="17">
        <f>'Combined data'!BA86-'Combined data'!AZ86</f>
        <v>5</v>
      </c>
      <c r="BB86" s="17">
        <f>'Combined data'!BB86-'Combined data'!BA86</f>
        <v>7</v>
      </c>
      <c r="BC86" s="17">
        <f>'Combined data'!BC86-'Combined data'!BB86</f>
        <v>7</v>
      </c>
      <c r="BD86" s="17">
        <f>'Combined data'!BD86-'Combined data'!BC86</f>
        <v>5</v>
      </c>
      <c r="BE86" s="17">
        <f>'Combined data'!BE86-'Combined data'!BD86</f>
        <v>6</v>
      </c>
      <c r="BF86" s="17">
        <f>'Combined data'!BF86-'Combined data'!BE86</f>
        <v>9</v>
      </c>
      <c r="BG86" s="17">
        <f>'Combined data'!BG86-'Combined data'!BF86</f>
        <v>-1</v>
      </c>
      <c r="BH86" s="17">
        <f>'Combined data'!BH86-'Combined data'!BG86</f>
        <v>5</v>
      </c>
      <c r="BI86" s="17">
        <f>'Combined data'!BI86-'Combined data'!BH86</f>
        <v>3</v>
      </c>
      <c r="BJ86" s="17">
        <f>'Combined data'!BJ86-'Combined data'!BI86</f>
        <v>3</v>
      </c>
      <c r="BK86" s="17">
        <f>'Combined data'!BK86-'Combined data'!BJ86</f>
        <v>5</v>
      </c>
      <c r="BL86" s="17">
        <f>'Combined data'!BL86-'Combined data'!BK86</f>
        <v>11</v>
      </c>
      <c r="BM86" s="17">
        <f>'Combined data'!BM86-'Combined data'!BL86</f>
        <v>2</v>
      </c>
      <c r="BN86" s="17">
        <f>'Combined data'!BN86-'Combined data'!BM86</f>
        <v>3</v>
      </c>
      <c r="BO86" s="17">
        <f>'Combined data'!BO86-'Combined data'!BN86</f>
        <v>-185</v>
      </c>
      <c r="BP86" s="17">
        <f>'Combined data'!BP86-'Combined data'!BO86</f>
        <v>0</v>
      </c>
      <c r="BQ86" s="17">
        <f>'Combined data'!BQ86-'Combined data'!BP86</f>
        <v>0</v>
      </c>
      <c r="BR86" s="17">
        <f>'Combined data'!BR86-'Combined data'!BQ86</f>
        <v>0</v>
      </c>
      <c r="BS86" s="17">
        <f>'Combined data'!BS86-'Combined data'!BR86</f>
        <v>0</v>
      </c>
      <c r="BT86" s="17">
        <f>'Combined data'!BT86-'Combined data'!BS86</f>
        <v>0</v>
      </c>
      <c r="BU86" s="17">
        <f>'Combined data'!BU86-'Combined data'!BT86</f>
        <v>0</v>
      </c>
      <c r="BV86" s="17">
        <f>'Combined data'!BV86-'Combined data'!BU86</f>
        <v>0</v>
      </c>
      <c r="BW86" s="17">
        <f>'Combined data'!BW86-'Combined data'!BV86</f>
        <v>0</v>
      </c>
      <c r="BX86" s="17">
        <f>'Combined data'!BX86-'Combined data'!BW86</f>
        <v>0</v>
      </c>
      <c r="BY86" s="17">
        <f>'Combined data'!BY86-'Combined data'!BX86</f>
        <v>0</v>
      </c>
      <c r="CB86" s="17">
        <f t="shared" si="49"/>
        <v>52</v>
      </c>
      <c r="CC86" s="17">
        <f t="shared" si="50"/>
        <v>21</v>
      </c>
      <c r="CD86" s="17">
        <f t="shared" si="51"/>
        <v>3</v>
      </c>
      <c r="CE86" s="17">
        <f t="shared" si="52"/>
        <v>10</v>
      </c>
      <c r="CF86" s="17">
        <f t="shared" si="53"/>
        <v>5</v>
      </c>
      <c r="CG86" s="17">
        <f t="shared" si="54"/>
        <v>6</v>
      </c>
      <c r="CH86" s="17">
        <f t="shared" si="55"/>
        <v>7</v>
      </c>
      <c r="CI86" s="17">
        <f t="shared" si="56"/>
        <v>7</v>
      </c>
      <c r="CJ86" s="17">
        <f t="shared" si="57"/>
        <v>4</v>
      </c>
      <c r="CK86" s="17">
        <f t="shared" si="58"/>
        <v>5</v>
      </c>
      <c r="CL86" s="17">
        <f t="shared" si="59"/>
        <v>7</v>
      </c>
      <c r="CM86" s="17">
        <f t="shared" si="60"/>
        <v>7</v>
      </c>
      <c r="CN86" s="17">
        <f t="shared" si="61"/>
        <v>5</v>
      </c>
      <c r="CO86" s="17">
        <f t="shared" si="62"/>
        <v>6</v>
      </c>
      <c r="CP86" s="17">
        <f t="shared" si="63"/>
        <v>9</v>
      </c>
      <c r="CQ86" s="17">
        <f t="shared" si="64"/>
        <v>-1</v>
      </c>
      <c r="CR86" s="17">
        <f t="shared" si="65"/>
        <v>5</v>
      </c>
      <c r="CS86" s="17">
        <f t="shared" si="66"/>
        <v>3</v>
      </c>
      <c r="CT86" s="17">
        <f t="shared" si="67"/>
        <v>3</v>
      </c>
      <c r="CU86" s="17">
        <f t="shared" si="68"/>
        <v>5</v>
      </c>
      <c r="CV86" s="17">
        <f t="shared" si="69"/>
        <v>11</v>
      </c>
      <c r="CW86" s="17">
        <f t="shared" si="70"/>
        <v>2</v>
      </c>
      <c r="CX86" s="17">
        <f t="shared" si="71"/>
        <v>3</v>
      </c>
      <c r="CY86" s="17">
        <f t="shared" si="71"/>
        <v>-185</v>
      </c>
      <c r="CZ86" s="17">
        <f t="shared" si="71"/>
        <v>0</v>
      </c>
      <c r="DA86" s="17">
        <f t="shared" si="71"/>
        <v>0</v>
      </c>
      <c r="DB86" s="17">
        <f t="shared" si="71"/>
        <v>0</v>
      </c>
      <c r="DC86" s="17">
        <f t="shared" si="71"/>
        <v>0</v>
      </c>
      <c r="DD86" s="17">
        <f t="shared" si="71"/>
        <v>0</v>
      </c>
      <c r="DE86" s="17">
        <f t="shared" si="71"/>
        <v>0</v>
      </c>
      <c r="DF86" s="17">
        <f t="shared" si="71"/>
        <v>0</v>
      </c>
      <c r="DG86" s="17">
        <f t="shared" si="71"/>
        <v>0</v>
      </c>
      <c r="DH86" s="17">
        <f t="shared" si="71"/>
        <v>0</v>
      </c>
      <c r="DI86" s="17">
        <f t="shared" si="71"/>
        <v>0</v>
      </c>
    </row>
    <row r="87" spans="1:113" ht="15.75" x14ac:dyDescent="0.25">
      <c r="A87" s="4" t="s">
        <v>163</v>
      </c>
      <c r="B87" s="6" t="s">
        <v>164</v>
      </c>
      <c r="H87" s="90">
        <f>'Combined data'!H87</f>
        <v>280</v>
      </c>
      <c r="I87" s="90">
        <f>'Combined data'!I87-'Combined data'!H87</f>
        <v>22</v>
      </c>
      <c r="J87" s="90">
        <f>'Combined data'!J87-'Combined data'!I87</f>
        <v>9</v>
      </c>
      <c r="K87" s="90">
        <f>'Combined data'!K87-'Combined data'!J87</f>
        <v>29</v>
      </c>
      <c r="L87" s="90">
        <f>'Combined data'!L87-'Combined data'!K87</f>
        <v>7</v>
      </c>
      <c r="M87" s="90">
        <f>'Combined data'!M87-'Combined data'!L87</f>
        <v>12</v>
      </c>
      <c r="N87" s="90">
        <f>'Combined data'!N87-'Combined data'!M87</f>
        <v>28</v>
      </c>
      <c r="O87" s="90">
        <f>'Combined data'!O87-'Combined data'!N87</f>
        <v>22</v>
      </c>
      <c r="P87" s="90">
        <f>'Combined data'!P87-'Combined data'!O87</f>
        <v>16</v>
      </c>
      <c r="Q87" s="90">
        <f>'Combined data'!Q87-'Combined data'!P87</f>
        <v>8</v>
      </c>
      <c r="R87" s="90">
        <f>'Combined data'!R87-'Combined data'!Q87</f>
        <v>5</v>
      </c>
      <c r="S87" s="90">
        <f>'Combined data'!S87-'Combined data'!R87</f>
        <v>20</v>
      </c>
      <c r="T87" s="90">
        <f>'Combined data'!T87-'Combined data'!S87</f>
        <v>14</v>
      </c>
      <c r="U87" s="90">
        <f>'Combined data'!U87-'Combined data'!T87</f>
        <v>15</v>
      </c>
      <c r="V87" s="90">
        <f>'Combined data'!V87-'Combined data'!U87</f>
        <v>25</v>
      </c>
      <c r="W87" s="90">
        <f>'Combined data'!W87-'Combined data'!V87</f>
        <v>10</v>
      </c>
      <c r="X87" s="90">
        <f>'Combined data'!X87-'Combined data'!W87</f>
        <v>12</v>
      </c>
      <c r="Y87" s="90">
        <f>'Combined data'!Y87-'Combined data'!X87</f>
        <v>16</v>
      </c>
      <c r="Z87" s="90">
        <f>'Combined data'!Z87-'Combined data'!Y87</f>
        <v>18</v>
      </c>
      <c r="AA87" s="90">
        <f>'Combined data'!AA87-'Combined data'!Z87</f>
        <v>16</v>
      </c>
      <c r="AB87" s="90">
        <f>'Combined data'!AB87-'Combined data'!AA87</f>
        <v>10</v>
      </c>
      <c r="AC87" s="90">
        <f>'Combined data'!AC87-'Combined data'!AB87</f>
        <v>3</v>
      </c>
      <c r="AD87" s="90">
        <f>'Combined data'!AD87-'Combined data'!AC87</f>
        <v>45</v>
      </c>
      <c r="AE87" s="90">
        <f>'Combined data'!AE87-'Combined data'!AD87</f>
        <v>-642</v>
      </c>
      <c r="AF87" s="90">
        <f>'Combined data'!AF87-'Combined data'!AE87</f>
        <v>0</v>
      </c>
      <c r="AG87" s="90">
        <f>'Combined data'!AG87-'Combined data'!AF87</f>
        <v>0</v>
      </c>
      <c r="AH87" s="90">
        <f>'Combined data'!AH87-'Combined data'!AG87</f>
        <v>0</v>
      </c>
      <c r="AI87" s="90">
        <f>'Combined data'!AI87-'Combined data'!AH87</f>
        <v>0</v>
      </c>
      <c r="AJ87" s="90">
        <f>'Combined data'!AJ87-'Combined data'!AI87</f>
        <v>0</v>
      </c>
      <c r="AK87" s="90">
        <f>'Combined data'!AK87-'Combined data'!AJ87</f>
        <v>0</v>
      </c>
      <c r="AL87" s="90">
        <f>'Combined data'!AL87-'Combined data'!AK87</f>
        <v>0</v>
      </c>
      <c r="AM87" s="90">
        <f>'Combined data'!AM87-'Combined data'!AL87</f>
        <v>0</v>
      </c>
      <c r="AN87" s="90">
        <f>'Combined data'!AN87-'Combined data'!AM87</f>
        <v>0</v>
      </c>
      <c r="AO87" s="90">
        <f>'Combined data'!AO87-'Combined data'!AN87</f>
        <v>0</v>
      </c>
      <c r="AP87" s="56">
        <f t="shared" si="72"/>
        <v>0</v>
      </c>
      <c r="AQ87" s="113"/>
      <c r="AR87" s="17">
        <f>'Combined data'!AR87</f>
        <v>116</v>
      </c>
      <c r="AS87" s="17">
        <f>'Combined data'!AS87-'Combined data'!AR87</f>
        <v>23</v>
      </c>
      <c r="AT87" s="17">
        <f>'Combined data'!AT87-'Combined data'!AS87</f>
        <v>23</v>
      </c>
      <c r="AU87" s="17">
        <f>'Combined data'!AU87-'Combined data'!AT87</f>
        <v>38</v>
      </c>
      <c r="AV87" s="17">
        <f>'Combined data'!AV87-'Combined data'!AU87</f>
        <v>23</v>
      </c>
      <c r="AW87" s="17">
        <f>'Combined data'!AW87-'Combined data'!AV87</f>
        <v>19</v>
      </c>
      <c r="AX87" s="17">
        <f>'Combined data'!AX87-'Combined data'!AW87</f>
        <v>31</v>
      </c>
      <c r="AY87" s="17">
        <f>'Combined data'!AY87-'Combined data'!AX87</f>
        <v>7</v>
      </c>
      <c r="AZ87" s="17">
        <f>'Combined data'!AZ87-'Combined data'!AY87</f>
        <v>15</v>
      </c>
      <c r="BA87" s="17">
        <f>'Combined data'!BA87-'Combined data'!AZ87</f>
        <v>13</v>
      </c>
      <c r="BB87" s="17">
        <f>'Combined data'!BB87-'Combined data'!BA87</f>
        <v>3</v>
      </c>
      <c r="BC87" s="17">
        <f>'Combined data'!BC87-'Combined data'!BB87</f>
        <v>15</v>
      </c>
      <c r="BD87" s="17">
        <f>'Combined data'!BD87-'Combined data'!BC87</f>
        <v>8</v>
      </c>
      <c r="BE87" s="17">
        <f>'Combined data'!BE87-'Combined data'!BD87</f>
        <v>12</v>
      </c>
      <c r="BF87" s="17">
        <f>'Combined data'!BF87-'Combined data'!BE87</f>
        <v>12</v>
      </c>
      <c r="BG87" s="17">
        <f>'Combined data'!BG87-'Combined data'!BF87</f>
        <v>13</v>
      </c>
      <c r="BH87" s="17">
        <f>'Combined data'!BH87-'Combined data'!BG87</f>
        <v>5</v>
      </c>
      <c r="BI87" s="17">
        <f>'Combined data'!BI87-'Combined data'!BH87</f>
        <v>9</v>
      </c>
      <c r="BJ87" s="17">
        <f>'Combined data'!BJ87-'Combined data'!BI87</f>
        <v>15</v>
      </c>
      <c r="BK87" s="17">
        <f>'Combined data'!BK87-'Combined data'!BJ87</f>
        <v>8</v>
      </c>
      <c r="BL87" s="17">
        <f>'Combined data'!BL87-'Combined data'!BK87</f>
        <v>25</v>
      </c>
      <c r="BM87" s="17">
        <f>'Combined data'!BM87-'Combined data'!BL87</f>
        <v>3</v>
      </c>
      <c r="BN87" s="17">
        <f>'Combined data'!BN87-'Combined data'!BM87</f>
        <v>15</v>
      </c>
      <c r="BO87" s="17">
        <f>'Combined data'!BO87-'Combined data'!BN87</f>
        <v>-451</v>
      </c>
      <c r="BP87" s="17">
        <f>'Combined data'!BP87-'Combined data'!BO87</f>
        <v>0</v>
      </c>
      <c r="BQ87" s="17">
        <f>'Combined data'!BQ87-'Combined data'!BP87</f>
        <v>0</v>
      </c>
      <c r="BR87" s="17">
        <f>'Combined data'!BR87-'Combined data'!BQ87</f>
        <v>0</v>
      </c>
      <c r="BS87" s="17">
        <f>'Combined data'!BS87-'Combined data'!BR87</f>
        <v>0</v>
      </c>
      <c r="BT87" s="17">
        <f>'Combined data'!BT87-'Combined data'!BS87</f>
        <v>0</v>
      </c>
      <c r="BU87" s="17">
        <f>'Combined data'!BU87-'Combined data'!BT87</f>
        <v>0</v>
      </c>
      <c r="BV87" s="17">
        <f>'Combined data'!BV87-'Combined data'!BU87</f>
        <v>0</v>
      </c>
      <c r="BW87" s="17">
        <f>'Combined data'!BW87-'Combined data'!BV87</f>
        <v>0</v>
      </c>
      <c r="BX87" s="17">
        <f>'Combined data'!BX87-'Combined data'!BW87</f>
        <v>0</v>
      </c>
      <c r="BY87" s="17">
        <f>'Combined data'!BY87-'Combined data'!BX87</f>
        <v>0</v>
      </c>
      <c r="CB87" s="17">
        <f t="shared" si="49"/>
        <v>116</v>
      </c>
      <c r="CC87" s="17">
        <f t="shared" si="50"/>
        <v>23</v>
      </c>
      <c r="CD87" s="17">
        <f t="shared" si="51"/>
        <v>23</v>
      </c>
      <c r="CE87" s="17">
        <f t="shared" si="52"/>
        <v>38</v>
      </c>
      <c r="CF87" s="17">
        <f t="shared" si="53"/>
        <v>23</v>
      </c>
      <c r="CG87" s="17">
        <f t="shared" si="54"/>
        <v>19</v>
      </c>
      <c r="CH87" s="17">
        <f t="shared" si="55"/>
        <v>31</v>
      </c>
      <c r="CI87" s="17">
        <f t="shared" si="56"/>
        <v>7</v>
      </c>
      <c r="CJ87" s="17">
        <f t="shared" si="57"/>
        <v>15</v>
      </c>
      <c r="CK87" s="17">
        <f t="shared" si="58"/>
        <v>13</v>
      </c>
      <c r="CL87" s="17">
        <f t="shared" si="59"/>
        <v>3</v>
      </c>
      <c r="CM87" s="17">
        <f t="shared" si="60"/>
        <v>15</v>
      </c>
      <c r="CN87" s="17">
        <f t="shared" si="61"/>
        <v>8</v>
      </c>
      <c r="CO87" s="17">
        <f t="shared" si="62"/>
        <v>12</v>
      </c>
      <c r="CP87" s="17">
        <f t="shared" si="63"/>
        <v>12</v>
      </c>
      <c r="CQ87" s="17">
        <f t="shared" si="64"/>
        <v>13</v>
      </c>
      <c r="CR87" s="17">
        <f t="shared" si="65"/>
        <v>5</v>
      </c>
      <c r="CS87" s="17">
        <f t="shared" si="66"/>
        <v>9</v>
      </c>
      <c r="CT87" s="17">
        <f t="shared" si="67"/>
        <v>15</v>
      </c>
      <c r="CU87" s="17">
        <f t="shared" si="68"/>
        <v>8</v>
      </c>
      <c r="CV87" s="17">
        <f t="shared" si="69"/>
        <v>25</v>
      </c>
      <c r="CW87" s="17">
        <f t="shared" si="70"/>
        <v>3</v>
      </c>
      <c r="CX87" s="17">
        <f t="shared" si="71"/>
        <v>15</v>
      </c>
      <c r="CY87" s="17">
        <f t="shared" si="71"/>
        <v>-451</v>
      </c>
      <c r="CZ87" s="17">
        <f t="shared" si="71"/>
        <v>0</v>
      </c>
      <c r="DA87" s="17">
        <f t="shared" si="71"/>
        <v>0</v>
      </c>
      <c r="DB87" s="17">
        <f t="shared" si="71"/>
        <v>0</v>
      </c>
      <c r="DC87" s="17">
        <f t="shared" si="71"/>
        <v>0</v>
      </c>
      <c r="DD87" s="17">
        <f t="shared" si="71"/>
        <v>0</v>
      </c>
      <c r="DE87" s="17">
        <f t="shared" si="71"/>
        <v>0</v>
      </c>
      <c r="DF87" s="17">
        <f t="shared" si="71"/>
        <v>0</v>
      </c>
      <c r="DG87" s="17">
        <f t="shared" si="71"/>
        <v>0</v>
      </c>
      <c r="DH87" s="17">
        <f t="shared" si="71"/>
        <v>0</v>
      </c>
      <c r="DI87" s="17">
        <f t="shared" si="71"/>
        <v>0</v>
      </c>
    </row>
    <row r="88" spans="1:113" ht="15.75" x14ac:dyDescent="0.25">
      <c r="A88" s="4" t="s">
        <v>165</v>
      </c>
      <c r="B88" s="6" t="s">
        <v>166</v>
      </c>
      <c r="H88" s="90">
        <f>'Combined data'!H88</f>
        <v>27</v>
      </c>
      <c r="I88" s="90">
        <f>'Combined data'!I88-'Combined data'!H88</f>
        <v>2</v>
      </c>
      <c r="J88" s="90">
        <f>'Combined data'!J88-'Combined data'!I88</f>
        <v>3</v>
      </c>
      <c r="K88" s="90">
        <f>'Combined data'!K88-'Combined data'!J88</f>
        <v>0</v>
      </c>
      <c r="L88" s="90">
        <f>'Combined data'!L88-'Combined data'!K88</f>
        <v>1</v>
      </c>
      <c r="M88" s="90">
        <f>'Combined data'!M88-'Combined data'!L88</f>
        <v>0</v>
      </c>
      <c r="N88" s="90">
        <f>'Combined data'!N88-'Combined data'!M88</f>
        <v>7</v>
      </c>
      <c r="O88" s="90">
        <f>'Combined data'!O88-'Combined data'!N88</f>
        <v>0</v>
      </c>
      <c r="P88" s="90">
        <f>'Combined data'!P88-'Combined data'!O88</f>
        <v>1</v>
      </c>
      <c r="Q88" s="90">
        <f>'Combined data'!Q88-'Combined data'!P88</f>
        <v>1</v>
      </c>
      <c r="R88" s="90">
        <f>'Combined data'!R88-'Combined data'!Q88</f>
        <v>3</v>
      </c>
      <c r="S88" s="90">
        <f>'Combined data'!S88-'Combined data'!R88</f>
        <v>-1</v>
      </c>
      <c r="T88" s="90">
        <f>'Combined data'!T88-'Combined data'!S88</f>
        <v>1</v>
      </c>
      <c r="U88" s="90">
        <f>'Combined data'!U88-'Combined data'!T88</f>
        <v>0</v>
      </c>
      <c r="V88" s="90">
        <f>'Combined data'!V88-'Combined data'!U88</f>
        <v>0</v>
      </c>
      <c r="W88" s="90">
        <f>'Combined data'!W88-'Combined data'!V88</f>
        <v>2</v>
      </c>
      <c r="X88" s="90">
        <f>'Combined data'!X88-'Combined data'!W88</f>
        <v>2</v>
      </c>
      <c r="Y88" s="90">
        <f>'Combined data'!Y88-'Combined data'!X88</f>
        <v>0</v>
      </c>
      <c r="Z88" s="90">
        <f>'Combined data'!Z88-'Combined data'!Y88</f>
        <v>5</v>
      </c>
      <c r="AA88" s="90">
        <f>'Combined data'!AA88-'Combined data'!Z88</f>
        <v>0</v>
      </c>
      <c r="AB88" s="90">
        <f>'Combined data'!AB88-'Combined data'!AA88</f>
        <v>1</v>
      </c>
      <c r="AC88" s="90">
        <f>'Combined data'!AC88-'Combined data'!AB88</f>
        <v>-1</v>
      </c>
      <c r="AD88" s="90">
        <f>'Combined data'!AD88-'Combined data'!AC88</f>
        <v>0</v>
      </c>
      <c r="AE88" s="90">
        <f>'Combined data'!AE88-'Combined data'!AD88</f>
        <v>-54</v>
      </c>
      <c r="AF88" s="90">
        <f>'Combined data'!AF88-'Combined data'!AE88</f>
        <v>0</v>
      </c>
      <c r="AG88" s="90">
        <f>'Combined data'!AG88-'Combined data'!AF88</f>
        <v>0</v>
      </c>
      <c r="AH88" s="90">
        <f>'Combined data'!AH88-'Combined data'!AG88</f>
        <v>0</v>
      </c>
      <c r="AI88" s="90">
        <f>'Combined data'!AI88-'Combined data'!AH88</f>
        <v>0</v>
      </c>
      <c r="AJ88" s="90">
        <f>'Combined data'!AJ88-'Combined data'!AI88</f>
        <v>0</v>
      </c>
      <c r="AK88" s="90">
        <f>'Combined data'!AK88-'Combined data'!AJ88</f>
        <v>0</v>
      </c>
      <c r="AL88" s="90">
        <f>'Combined data'!AL88-'Combined data'!AK88</f>
        <v>0</v>
      </c>
      <c r="AM88" s="90">
        <f>'Combined data'!AM88-'Combined data'!AL88</f>
        <v>0</v>
      </c>
      <c r="AN88" s="90">
        <f>'Combined data'!AN88-'Combined data'!AM88</f>
        <v>0</v>
      </c>
      <c r="AO88" s="90">
        <f>'Combined data'!AO88-'Combined data'!AN88</f>
        <v>0</v>
      </c>
      <c r="AP88" s="56">
        <f t="shared" si="72"/>
        <v>0</v>
      </c>
      <c r="AQ88" s="113"/>
      <c r="AR88" s="17">
        <f>'Combined data'!AR88</f>
        <v>21</v>
      </c>
      <c r="AS88" s="17">
        <f>'Combined data'!AS88-'Combined data'!AR88</f>
        <v>4</v>
      </c>
      <c r="AT88" s="17">
        <f>'Combined data'!AT88-'Combined data'!AS88</f>
        <v>0</v>
      </c>
      <c r="AU88" s="17">
        <f>'Combined data'!AU88-'Combined data'!AT88</f>
        <v>0</v>
      </c>
      <c r="AV88" s="17">
        <f>'Combined data'!AV88-'Combined data'!AU88</f>
        <v>0</v>
      </c>
      <c r="AW88" s="17">
        <f>'Combined data'!AW88-'Combined data'!AV88</f>
        <v>5</v>
      </c>
      <c r="AX88" s="17">
        <f>'Combined data'!AX88-'Combined data'!AW88</f>
        <v>10</v>
      </c>
      <c r="AY88" s="17">
        <f>'Combined data'!AY88-'Combined data'!AX88</f>
        <v>0</v>
      </c>
      <c r="AZ88" s="17">
        <f>'Combined data'!AZ88-'Combined data'!AY88</f>
        <v>0</v>
      </c>
      <c r="BA88" s="17">
        <f>'Combined data'!BA88-'Combined data'!AZ88</f>
        <v>0</v>
      </c>
      <c r="BB88" s="17">
        <f>'Combined data'!BB88-'Combined data'!BA88</f>
        <v>5</v>
      </c>
      <c r="BC88" s="17">
        <f>'Combined data'!BC88-'Combined data'!BB88</f>
        <v>-11</v>
      </c>
      <c r="BD88" s="17">
        <f>'Combined data'!BD88-'Combined data'!BC88</f>
        <v>11</v>
      </c>
      <c r="BE88" s="17">
        <f>'Combined data'!BE88-'Combined data'!BD88</f>
        <v>0</v>
      </c>
      <c r="BF88" s="17">
        <f>'Combined data'!BF88-'Combined data'!BE88</f>
        <v>0</v>
      </c>
      <c r="BG88" s="17">
        <f>'Combined data'!BG88-'Combined data'!BF88</f>
        <v>0</v>
      </c>
      <c r="BH88" s="17">
        <f>'Combined data'!BH88-'Combined data'!BG88</f>
        <v>0</v>
      </c>
      <c r="BI88" s="17">
        <f>'Combined data'!BI88-'Combined data'!BH88</f>
        <v>0</v>
      </c>
      <c r="BJ88" s="17">
        <f>'Combined data'!BJ88-'Combined data'!BI88</f>
        <v>5</v>
      </c>
      <c r="BK88" s="17">
        <f>'Combined data'!BK88-'Combined data'!BJ88</f>
        <v>0</v>
      </c>
      <c r="BL88" s="17">
        <f>'Combined data'!BL88-'Combined data'!BK88</f>
        <v>5</v>
      </c>
      <c r="BM88" s="17">
        <f>'Combined data'!BM88-'Combined data'!BL88</f>
        <v>-12</v>
      </c>
      <c r="BN88" s="17">
        <f>'Combined data'!BN88-'Combined data'!BM88</f>
        <v>0</v>
      </c>
      <c r="BO88" s="17">
        <f>'Combined data'!BO88-'Combined data'!BN88</f>
        <v>-43</v>
      </c>
      <c r="BP88" s="17">
        <f>'Combined data'!BP88-'Combined data'!BO88</f>
        <v>0</v>
      </c>
      <c r="BQ88" s="17">
        <f>'Combined data'!BQ88-'Combined data'!BP88</f>
        <v>0</v>
      </c>
      <c r="BR88" s="17">
        <f>'Combined data'!BR88-'Combined data'!BQ88</f>
        <v>0</v>
      </c>
      <c r="BS88" s="17">
        <f>'Combined data'!BS88-'Combined data'!BR88</f>
        <v>0</v>
      </c>
      <c r="BT88" s="17">
        <f>'Combined data'!BT88-'Combined data'!BS88</f>
        <v>0</v>
      </c>
      <c r="BU88" s="17">
        <f>'Combined data'!BU88-'Combined data'!BT88</f>
        <v>0</v>
      </c>
      <c r="BV88" s="17">
        <f>'Combined data'!BV88-'Combined data'!BU88</f>
        <v>0</v>
      </c>
      <c r="BW88" s="17">
        <f>'Combined data'!BW88-'Combined data'!BV88</f>
        <v>0</v>
      </c>
      <c r="BX88" s="17">
        <f>'Combined data'!BX88-'Combined data'!BW88</f>
        <v>0</v>
      </c>
      <c r="BY88" s="17">
        <f>'Combined data'!BY88-'Combined data'!BX88</f>
        <v>0</v>
      </c>
      <c r="CB88" s="17">
        <f t="shared" si="49"/>
        <v>21</v>
      </c>
      <c r="CC88" s="17">
        <f t="shared" si="50"/>
        <v>4</v>
      </c>
      <c r="CD88" s="17">
        <f t="shared" si="51"/>
        <v>0</v>
      </c>
      <c r="CE88" s="17">
        <f t="shared" si="52"/>
        <v>0</v>
      </c>
      <c r="CF88" s="17">
        <f t="shared" si="53"/>
        <v>0</v>
      </c>
      <c r="CG88" s="17">
        <f t="shared" si="54"/>
        <v>5</v>
      </c>
      <c r="CH88" s="17">
        <f t="shared" si="55"/>
        <v>10</v>
      </c>
      <c r="CI88" s="17">
        <f t="shared" si="56"/>
        <v>0</v>
      </c>
      <c r="CJ88" s="17">
        <f t="shared" si="57"/>
        <v>0</v>
      </c>
      <c r="CK88" s="17">
        <f t="shared" si="58"/>
        <v>0</v>
      </c>
      <c r="CL88" s="17">
        <f t="shared" si="59"/>
        <v>5</v>
      </c>
      <c r="CM88" s="17">
        <f t="shared" si="60"/>
        <v>-11</v>
      </c>
      <c r="CN88" s="17">
        <f t="shared" si="61"/>
        <v>11</v>
      </c>
      <c r="CO88" s="17">
        <f t="shared" si="62"/>
        <v>0</v>
      </c>
      <c r="CP88" s="17">
        <f t="shared" si="63"/>
        <v>0</v>
      </c>
      <c r="CQ88" s="17">
        <f t="shared" si="64"/>
        <v>0</v>
      </c>
      <c r="CR88" s="17">
        <f t="shared" si="65"/>
        <v>0</v>
      </c>
      <c r="CS88" s="17">
        <f t="shared" si="66"/>
        <v>0</v>
      </c>
      <c r="CT88" s="17">
        <f t="shared" si="67"/>
        <v>5</v>
      </c>
      <c r="CU88" s="17">
        <f t="shared" si="68"/>
        <v>0</v>
      </c>
      <c r="CV88" s="17">
        <f t="shared" si="69"/>
        <v>5</v>
      </c>
      <c r="CW88" s="17">
        <f t="shared" si="70"/>
        <v>-12</v>
      </c>
      <c r="CX88" s="17">
        <f t="shared" si="71"/>
        <v>0</v>
      </c>
      <c r="CY88" s="17">
        <f t="shared" si="71"/>
        <v>-43</v>
      </c>
      <c r="CZ88" s="17">
        <f t="shared" si="71"/>
        <v>0</v>
      </c>
      <c r="DA88" s="17">
        <f t="shared" si="71"/>
        <v>0</v>
      </c>
      <c r="DB88" s="17">
        <f t="shared" si="71"/>
        <v>0</v>
      </c>
      <c r="DC88" s="17">
        <f t="shared" si="71"/>
        <v>0</v>
      </c>
      <c r="DD88" s="17">
        <f t="shared" si="71"/>
        <v>0</v>
      </c>
      <c r="DE88" s="17">
        <f t="shared" si="71"/>
        <v>0</v>
      </c>
      <c r="DF88" s="17">
        <f t="shared" si="71"/>
        <v>0</v>
      </c>
      <c r="DG88" s="17">
        <f t="shared" si="71"/>
        <v>0</v>
      </c>
      <c r="DH88" s="17">
        <f t="shared" si="71"/>
        <v>0</v>
      </c>
      <c r="DI88" s="17">
        <f t="shared" si="71"/>
        <v>0</v>
      </c>
    </row>
    <row r="89" spans="1:113" ht="15.75" x14ac:dyDescent="0.25">
      <c r="A89" s="4" t="s">
        <v>167</v>
      </c>
      <c r="B89" s="6" t="s">
        <v>168</v>
      </c>
      <c r="H89" s="90">
        <f>'Combined data'!H89</f>
        <v>272</v>
      </c>
      <c r="I89" s="90">
        <f>'Combined data'!I89-'Combined data'!H89</f>
        <v>10</v>
      </c>
      <c r="J89" s="90">
        <f>'Combined data'!J89-'Combined data'!I89</f>
        <v>8</v>
      </c>
      <c r="K89" s="90">
        <f>'Combined data'!K89-'Combined data'!J89</f>
        <v>10</v>
      </c>
      <c r="L89" s="90">
        <f>'Combined data'!L89-'Combined data'!K89</f>
        <v>6</v>
      </c>
      <c r="M89" s="90">
        <f>'Combined data'!M89-'Combined data'!L89</f>
        <v>2</v>
      </c>
      <c r="N89" s="90">
        <f>'Combined data'!N89-'Combined data'!M89</f>
        <v>18</v>
      </c>
      <c r="O89" s="90">
        <f>'Combined data'!O89-'Combined data'!N89</f>
        <v>12</v>
      </c>
      <c r="P89" s="90">
        <f>'Combined data'!P89-'Combined data'!O89</f>
        <v>13</v>
      </c>
      <c r="Q89" s="90">
        <f>'Combined data'!Q89-'Combined data'!P89</f>
        <v>6</v>
      </c>
      <c r="R89" s="90">
        <f>'Combined data'!R89-'Combined data'!Q89</f>
        <v>6</v>
      </c>
      <c r="S89" s="90">
        <f>'Combined data'!S89-'Combined data'!R89</f>
        <v>7</v>
      </c>
      <c r="T89" s="90">
        <f>'Combined data'!T89-'Combined data'!S89</f>
        <v>9</v>
      </c>
      <c r="U89" s="90">
        <f>'Combined data'!U89-'Combined data'!T89</f>
        <v>8</v>
      </c>
      <c r="V89" s="90">
        <f>'Combined data'!V89-'Combined data'!U89</f>
        <v>9</v>
      </c>
      <c r="W89" s="90">
        <f>'Combined data'!W89-'Combined data'!V89</f>
        <v>7</v>
      </c>
      <c r="X89" s="90">
        <f>'Combined data'!X89-'Combined data'!W89</f>
        <v>1</v>
      </c>
      <c r="Y89" s="90">
        <f>'Combined data'!Y89-'Combined data'!X89</f>
        <v>5</v>
      </c>
      <c r="Z89" s="90">
        <f>'Combined data'!Z89-'Combined data'!Y89</f>
        <v>7</v>
      </c>
      <c r="AA89" s="90">
        <f>'Combined data'!AA89-'Combined data'!Z89</f>
        <v>6</v>
      </c>
      <c r="AB89" s="90">
        <f>'Combined data'!AB89-'Combined data'!AA89</f>
        <v>2</v>
      </c>
      <c r="AC89" s="90">
        <f>'Combined data'!AC89-'Combined data'!AB89</f>
        <v>1</v>
      </c>
      <c r="AD89" s="90">
        <f>'Combined data'!AD89-'Combined data'!AC89</f>
        <v>16</v>
      </c>
      <c r="AE89" s="90">
        <f>'Combined data'!AE89-'Combined data'!AD89</f>
        <v>-441</v>
      </c>
      <c r="AF89" s="90">
        <f>'Combined data'!AF89-'Combined data'!AE89</f>
        <v>0</v>
      </c>
      <c r="AG89" s="90">
        <f>'Combined data'!AG89-'Combined data'!AF89</f>
        <v>0</v>
      </c>
      <c r="AH89" s="90">
        <f>'Combined data'!AH89-'Combined data'!AG89</f>
        <v>0</v>
      </c>
      <c r="AI89" s="90">
        <f>'Combined data'!AI89-'Combined data'!AH89</f>
        <v>0</v>
      </c>
      <c r="AJ89" s="90">
        <f>'Combined data'!AJ89-'Combined data'!AI89</f>
        <v>0</v>
      </c>
      <c r="AK89" s="90">
        <f>'Combined data'!AK89-'Combined data'!AJ89</f>
        <v>0</v>
      </c>
      <c r="AL89" s="90">
        <f>'Combined data'!AL89-'Combined data'!AK89</f>
        <v>0</v>
      </c>
      <c r="AM89" s="90">
        <f>'Combined data'!AM89-'Combined data'!AL89</f>
        <v>0</v>
      </c>
      <c r="AN89" s="90">
        <f>'Combined data'!AN89-'Combined data'!AM89</f>
        <v>0</v>
      </c>
      <c r="AO89" s="90">
        <f>'Combined data'!AO89-'Combined data'!AN89</f>
        <v>0</v>
      </c>
      <c r="AP89" s="56">
        <f t="shared" si="72"/>
        <v>0</v>
      </c>
      <c r="AQ89" s="113"/>
      <c r="AR89" s="17">
        <f>'Combined data'!AR89</f>
        <v>142</v>
      </c>
      <c r="AS89" s="17">
        <f>'Combined data'!AS89-'Combined data'!AR89</f>
        <v>17</v>
      </c>
      <c r="AT89" s="17">
        <f>'Combined data'!AT89-'Combined data'!AS89</f>
        <v>9</v>
      </c>
      <c r="AU89" s="17">
        <f>'Combined data'!AU89-'Combined data'!AT89</f>
        <v>24</v>
      </c>
      <c r="AV89" s="17">
        <f>'Combined data'!AV89-'Combined data'!AU89</f>
        <v>11</v>
      </c>
      <c r="AW89" s="17">
        <f>'Combined data'!AW89-'Combined data'!AV89</f>
        <v>6</v>
      </c>
      <c r="AX89" s="17">
        <f>'Combined data'!AX89-'Combined data'!AW89</f>
        <v>13</v>
      </c>
      <c r="AY89" s="17">
        <f>'Combined data'!AY89-'Combined data'!AX89</f>
        <v>10</v>
      </c>
      <c r="AZ89" s="17">
        <f>'Combined data'!AZ89-'Combined data'!AY89</f>
        <v>11</v>
      </c>
      <c r="BA89" s="17">
        <f>'Combined data'!BA89-'Combined data'!AZ89</f>
        <v>1</v>
      </c>
      <c r="BB89" s="17">
        <f>'Combined data'!BB89-'Combined data'!BA89</f>
        <v>4</v>
      </c>
      <c r="BC89" s="17">
        <f>'Combined data'!BC89-'Combined data'!BB89</f>
        <v>8</v>
      </c>
      <c r="BD89" s="17">
        <f>'Combined data'!BD89-'Combined data'!BC89</f>
        <v>15</v>
      </c>
      <c r="BE89" s="17">
        <f>'Combined data'!BE89-'Combined data'!BD89</f>
        <v>5</v>
      </c>
      <c r="BF89" s="17">
        <f>'Combined data'!BF89-'Combined data'!BE89</f>
        <v>10</v>
      </c>
      <c r="BG89" s="17">
        <f>'Combined data'!BG89-'Combined data'!BF89</f>
        <v>10</v>
      </c>
      <c r="BH89" s="17">
        <f>'Combined data'!BH89-'Combined data'!BG89</f>
        <v>1</v>
      </c>
      <c r="BI89" s="17">
        <f>'Combined data'!BI89-'Combined data'!BH89</f>
        <v>4</v>
      </c>
      <c r="BJ89" s="17">
        <f>'Combined data'!BJ89-'Combined data'!BI89</f>
        <v>14</v>
      </c>
      <c r="BK89" s="17">
        <f>'Combined data'!BK89-'Combined data'!BJ89</f>
        <v>1</v>
      </c>
      <c r="BL89" s="17">
        <f>'Combined data'!BL89-'Combined data'!BK89</f>
        <v>6</v>
      </c>
      <c r="BM89" s="17">
        <f>'Combined data'!BM89-'Combined data'!BL89</f>
        <v>-1</v>
      </c>
      <c r="BN89" s="17">
        <f>'Combined data'!BN89-'Combined data'!BM89</f>
        <v>1</v>
      </c>
      <c r="BO89" s="17">
        <f>'Combined data'!BO89-'Combined data'!BN89</f>
        <v>-322</v>
      </c>
      <c r="BP89" s="17">
        <f>'Combined data'!BP89-'Combined data'!BO89</f>
        <v>0</v>
      </c>
      <c r="BQ89" s="17">
        <f>'Combined data'!BQ89-'Combined data'!BP89</f>
        <v>0</v>
      </c>
      <c r="BR89" s="17">
        <f>'Combined data'!BR89-'Combined data'!BQ89</f>
        <v>0</v>
      </c>
      <c r="BS89" s="17">
        <f>'Combined data'!BS89-'Combined data'!BR89</f>
        <v>0</v>
      </c>
      <c r="BT89" s="17">
        <f>'Combined data'!BT89-'Combined data'!BS89</f>
        <v>0</v>
      </c>
      <c r="BU89" s="17">
        <f>'Combined data'!BU89-'Combined data'!BT89</f>
        <v>0</v>
      </c>
      <c r="BV89" s="17">
        <f>'Combined data'!BV89-'Combined data'!BU89</f>
        <v>0</v>
      </c>
      <c r="BW89" s="17">
        <f>'Combined data'!BW89-'Combined data'!BV89</f>
        <v>0</v>
      </c>
      <c r="BX89" s="17">
        <f>'Combined data'!BX89-'Combined data'!BW89</f>
        <v>0</v>
      </c>
      <c r="BY89" s="17">
        <f>'Combined data'!BY89-'Combined data'!BX89</f>
        <v>0</v>
      </c>
      <c r="CB89" s="17">
        <f t="shared" si="49"/>
        <v>142</v>
      </c>
      <c r="CC89" s="17">
        <f t="shared" si="50"/>
        <v>17</v>
      </c>
      <c r="CD89" s="17">
        <f t="shared" si="51"/>
        <v>9</v>
      </c>
      <c r="CE89" s="17">
        <f t="shared" si="52"/>
        <v>24</v>
      </c>
      <c r="CF89" s="17">
        <f t="shared" si="53"/>
        <v>11</v>
      </c>
      <c r="CG89" s="17">
        <f t="shared" si="54"/>
        <v>6</v>
      </c>
      <c r="CH89" s="17">
        <f t="shared" si="55"/>
        <v>13</v>
      </c>
      <c r="CI89" s="17">
        <f t="shared" si="56"/>
        <v>10</v>
      </c>
      <c r="CJ89" s="17">
        <f t="shared" si="57"/>
        <v>11</v>
      </c>
      <c r="CK89" s="17">
        <f t="shared" si="58"/>
        <v>1</v>
      </c>
      <c r="CL89" s="17">
        <f t="shared" si="59"/>
        <v>4</v>
      </c>
      <c r="CM89" s="17">
        <f t="shared" si="60"/>
        <v>8</v>
      </c>
      <c r="CN89" s="17">
        <f t="shared" si="61"/>
        <v>15</v>
      </c>
      <c r="CO89" s="17">
        <f t="shared" si="62"/>
        <v>5</v>
      </c>
      <c r="CP89" s="17">
        <f t="shared" si="63"/>
        <v>10</v>
      </c>
      <c r="CQ89" s="17">
        <f t="shared" si="64"/>
        <v>10</v>
      </c>
      <c r="CR89" s="17">
        <f t="shared" si="65"/>
        <v>1</v>
      </c>
      <c r="CS89" s="17">
        <f t="shared" si="66"/>
        <v>4</v>
      </c>
      <c r="CT89" s="17">
        <f t="shared" si="67"/>
        <v>14</v>
      </c>
      <c r="CU89" s="17">
        <f t="shared" si="68"/>
        <v>1</v>
      </c>
      <c r="CV89" s="17">
        <f t="shared" si="69"/>
        <v>6</v>
      </c>
      <c r="CW89" s="17">
        <f t="shared" si="70"/>
        <v>-1</v>
      </c>
      <c r="CX89" s="17">
        <f t="shared" ref="CX89:DI104" si="73">BN89</f>
        <v>1</v>
      </c>
      <c r="CY89" s="17">
        <f t="shared" si="73"/>
        <v>-322</v>
      </c>
      <c r="CZ89" s="17">
        <f t="shared" si="73"/>
        <v>0</v>
      </c>
      <c r="DA89" s="17">
        <f t="shared" si="73"/>
        <v>0</v>
      </c>
      <c r="DB89" s="17">
        <f t="shared" si="73"/>
        <v>0</v>
      </c>
      <c r="DC89" s="17">
        <f t="shared" si="73"/>
        <v>0</v>
      </c>
      <c r="DD89" s="17">
        <f t="shared" si="73"/>
        <v>0</v>
      </c>
      <c r="DE89" s="17">
        <f t="shared" si="73"/>
        <v>0</v>
      </c>
      <c r="DF89" s="17">
        <f t="shared" si="73"/>
        <v>0</v>
      </c>
      <c r="DG89" s="17">
        <f t="shared" si="73"/>
        <v>0</v>
      </c>
      <c r="DH89" s="17">
        <f t="shared" si="73"/>
        <v>0</v>
      </c>
      <c r="DI89" s="17">
        <f t="shared" si="73"/>
        <v>0</v>
      </c>
    </row>
    <row r="90" spans="1:113" ht="15.75" x14ac:dyDescent="0.25">
      <c r="A90" s="4" t="s">
        <v>169</v>
      </c>
      <c r="B90" s="6" t="s">
        <v>170</v>
      </c>
      <c r="H90" s="90">
        <f>'Combined data'!H90</f>
        <v>156</v>
      </c>
      <c r="I90" s="90">
        <f>'Combined data'!I90-'Combined data'!H90</f>
        <v>9</v>
      </c>
      <c r="J90" s="90">
        <f>'Combined data'!J90-'Combined data'!I90</f>
        <v>13</v>
      </c>
      <c r="K90" s="90">
        <f>'Combined data'!K90-'Combined data'!J90</f>
        <v>8</v>
      </c>
      <c r="L90" s="90">
        <f>'Combined data'!L90-'Combined data'!K90</f>
        <v>5</v>
      </c>
      <c r="M90" s="90">
        <f>'Combined data'!M90-'Combined data'!L90</f>
        <v>1</v>
      </c>
      <c r="N90" s="90">
        <f>'Combined data'!N90-'Combined data'!M90</f>
        <v>10</v>
      </c>
      <c r="O90" s="90">
        <f>'Combined data'!O90-'Combined data'!N90</f>
        <v>12</v>
      </c>
      <c r="P90" s="90">
        <f>'Combined data'!P90-'Combined data'!O90</f>
        <v>8</v>
      </c>
      <c r="Q90" s="90">
        <f>'Combined data'!Q90-'Combined data'!P90</f>
        <v>2</v>
      </c>
      <c r="R90" s="90">
        <f>'Combined data'!R90-'Combined data'!Q90</f>
        <v>9</v>
      </c>
      <c r="S90" s="90">
        <f>'Combined data'!S90-'Combined data'!R90</f>
        <v>8</v>
      </c>
      <c r="T90" s="90">
        <f>'Combined data'!T90-'Combined data'!S90</f>
        <v>5</v>
      </c>
      <c r="U90" s="90">
        <f>'Combined data'!U90-'Combined data'!T90</f>
        <v>9</v>
      </c>
      <c r="V90" s="90">
        <f>'Combined data'!V90-'Combined data'!U90</f>
        <v>2</v>
      </c>
      <c r="W90" s="90">
        <f>'Combined data'!W90-'Combined data'!V90</f>
        <v>2</v>
      </c>
      <c r="X90" s="90">
        <f>'Combined data'!X90-'Combined data'!W90</f>
        <v>2</v>
      </c>
      <c r="Y90" s="90">
        <f>'Combined data'!Y90-'Combined data'!X90</f>
        <v>0</v>
      </c>
      <c r="Z90" s="90">
        <f>'Combined data'!Z90-'Combined data'!Y90</f>
        <v>7</v>
      </c>
      <c r="AA90" s="90">
        <f>'Combined data'!AA90-'Combined data'!Z90</f>
        <v>0</v>
      </c>
      <c r="AB90" s="90">
        <f>'Combined data'!AB90-'Combined data'!AA90</f>
        <v>7</v>
      </c>
      <c r="AC90" s="90">
        <f>'Combined data'!AC90-'Combined data'!AB90</f>
        <v>3</v>
      </c>
      <c r="AD90" s="90">
        <f>'Combined data'!AD90-'Combined data'!AC90</f>
        <v>5</v>
      </c>
      <c r="AE90" s="90">
        <f>'Combined data'!AE90-'Combined data'!AD90</f>
        <v>-283</v>
      </c>
      <c r="AF90" s="90">
        <f>'Combined data'!AF90-'Combined data'!AE90</f>
        <v>0</v>
      </c>
      <c r="AG90" s="90">
        <f>'Combined data'!AG90-'Combined data'!AF90</f>
        <v>0</v>
      </c>
      <c r="AH90" s="90">
        <f>'Combined data'!AH90-'Combined data'!AG90</f>
        <v>0</v>
      </c>
      <c r="AI90" s="90">
        <f>'Combined data'!AI90-'Combined data'!AH90</f>
        <v>0</v>
      </c>
      <c r="AJ90" s="90">
        <f>'Combined data'!AJ90-'Combined data'!AI90</f>
        <v>0</v>
      </c>
      <c r="AK90" s="90">
        <f>'Combined data'!AK90-'Combined data'!AJ90</f>
        <v>0</v>
      </c>
      <c r="AL90" s="90">
        <f>'Combined data'!AL90-'Combined data'!AK90</f>
        <v>0</v>
      </c>
      <c r="AM90" s="90">
        <f>'Combined data'!AM90-'Combined data'!AL90</f>
        <v>0</v>
      </c>
      <c r="AN90" s="90">
        <f>'Combined data'!AN90-'Combined data'!AM90</f>
        <v>0</v>
      </c>
      <c r="AO90" s="90">
        <f>'Combined data'!AO90-'Combined data'!AN90</f>
        <v>0</v>
      </c>
      <c r="AP90" s="56">
        <f t="shared" si="72"/>
        <v>0</v>
      </c>
      <c r="AQ90" s="113"/>
      <c r="AR90" s="17">
        <f>'Combined data'!AR90</f>
        <v>69</v>
      </c>
      <c r="AS90" s="17">
        <f>'Combined data'!AS90-'Combined data'!AR90</f>
        <v>11</v>
      </c>
      <c r="AT90" s="17">
        <f>'Combined data'!AT90-'Combined data'!AS90</f>
        <v>6</v>
      </c>
      <c r="AU90" s="17">
        <f>'Combined data'!AU90-'Combined data'!AT90</f>
        <v>12</v>
      </c>
      <c r="AV90" s="17">
        <f>'Combined data'!AV90-'Combined data'!AU90</f>
        <v>6</v>
      </c>
      <c r="AW90" s="17">
        <f>'Combined data'!AW90-'Combined data'!AV90</f>
        <v>31</v>
      </c>
      <c r="AX90" s="17">
        <f>'Combined data'!AX90-'Combined data'!AW90</f>
        <v>13</v>
      </c>
      <c r="AY90" s="17">
        <f>'Combined data'!AY90-'Combined data'!AX90</f>
        <v>1</v>
      </c>
      <c r="AZ90" s="17">
        <f>'Combined data'!AZ90-'Combined data'!AY90</f>
        <v>9</v>
      </c>
      <c r="BA90" s="17">
        <f>'Combined data'!BA90-'Combined data'!AZ90</f>
        <v>8</v>
      </c>
      <c r="BB90" s="17">
        <f>'Combined data'!BB90-'Combined data'!BA90</f>
        <v>6</v>
      </c>
      <c r="BC90" s="17">
        <f>'Combined data'!BC90-'Combined data'!BB90</f>
        <v>8</v>
      </c>
      <c r="BD90" s="17">
        <f>'Combined data'!BD90-'Combined data'!BC90</f>
        <v>3</v>
      </c>
      <c r="BE90" s="17">
        <f>'Combined data'!BE90-'Combined data'!BD90</f>
        <v>3</v>
      </c>
      <c r="BF90" s="17">
        <f>'Combined data'!BF90-'Combined data'!BE90</f>
        <v>6</v>
      </c>
      <c r="BG90" s="17">
        <f>'Combined data'!BG90-'Combined data'!BF90</f>
        <v>3</v>
      </c>
      <c r="BH90" s="17">
        <f>'Combined data'!BH90-'Combined data'!BG90</f>
        <v>2</v>
      </c>
      <c r="BI90" s="17">
        <f>'Combined data'!BI90-'Combined data'!BH90</f>
        <v>7</v>
      </c>
      <c r="BJ90" s="17">
        <f>'Combined data'!BJ90-'Combined data'!BI90</f>
        <v>7</v>
      </c>
      <c r="BK90" s="17">
        <f>'Combined data'!BK90-'Combined data'!BJ90</f>
        <v>7</v>
      </c>
      <c r="BL90" s="17">
        <f>'Combined data'!BL90-'Combined data'!BK90</f>
        <v>-3</v>
      </c>
      <c r="BM90" s="17">
        <f>'Combined data'!BM90-'Combined data'!BL90</f>
        <v>10</v>
      </c>
      <c r="BN90" s="17">
        <f>'Combined data'!BN90-'Combined data'!BM90</f>
        <v>3</v>
      </c>
      <c r="BO90" s="17">
        <f>'Combined data'!BO90-'Combined data'!BN90</f>
        <v>-228</v>
      </c>
      <c r="BP90" s="17">
        <f>'Combined data'!BP90-'Combined data'!BO90</f>
        <v>0</v>
      </c>
      <c r="BQ90" s="17">
        <f>'Combined data'!BQ90-'Combined data'!BP90</f>
        <v>0</v>
      </c>
      <c r="BR90" s="17">
        <f>'Combined data'!BR90-'Combined data'!BQ90</f>
        <v>0</v>
      </c>
      <c r="BS90" s="17">
        <f>'Combined data'!BS90-'Combined data'!BR90</f>
        <v>0</v>
      </c>
      <c r="BT90" s="17">
        <f>'Combined data'!BT90-'Combined data'!BS90</f>
        <v>0</v>
      </c>
      <c r="BU90" s="17">
        <f>'Combined data'!BU90-'Combined data'!BT90</f>
        <v>0</v>
      </c>
      <c r="BV90" s="17">
        <f>'Combined data'!BV90-'Combined data'!BU90</f>
        <v>0</v>
      </c>
      <c r="BW90" s="17">
        <f>'Combined data'!BW90-'Combined data'!BV90</f>
        <v>0</v>
      </c>
      <c r="BX90" s="17">
        <f>'Combined data'!BX90-'Combined data'!BW90</f>
        <v>0</v>
      </c>
      <c r="BY90" s="17">
        <f>'Combined data'!BY90-'Combined data'!BX90</f>
        <v>0</v>
      </c>
      <c r="CB90" s="17">
        <f t="shared" si="49"/>
        <v>69</v>
      </c>
      <c r="CC90" s="17">
        <f t="shared" si="50"/>
        <v>11</v>
      </c>
      <c r="CD90" s="17">
        <f t="shared" si="51"/>
        <v>6</v>
      </c>
      <c r="CE90" s="17">
        <f t="shared" si="52"/>
        <v>12</v>
      </c>
      <c r="CF90" s="17">
        <f t="shared" si="53"/>
        <v>6</v>
      </c>
      <c r="CG90" s="17">
        <f t="shared" si="54"/>
        <v>31</v>
      </c>
      <c r="CH90" s="17">
        <f t="shared" si="55"/>
        <v>13</v>
      </c>
      <c r="CI90" s="17">
        <f t="shared" si="56"/>
        <v>1</v>
      </c>
      <c r="CJ90" s="17">
        <f t="shared" si="57"/>
        <v>9</v>
      </c>
      <c r="CK90" s="17">
        <f t="shared" si="58"/>
        <v>8</v>
      </c>
      <c r="CL90" s="17">
        <f t="shared" si="59"/>
        <v>6</v>
      </c>
      <c r="CM90" s="17">
        <f t="shared" si="60"/>
        <v>8</v>
      </c>
      <c r="CN90" s="17">
        <f t="shared" si="61"/>
        <v>3</v>
      </c>
      <c r="CO90" s="17">
        <f t="shared" si="62"/>
        <v>3</v>
      </c>
      <c r="CP90" s="17">
        <f t="shared" si="63"/>
        <v>6</v>
      </c>
      <c r="CQ90" s="17">
        <f t="shared" si="64"/>
        <v>3</v>
      </c>
      <c r="CR90" s="17">
        <f t="shared" si="65"/>
        <v>2</v>
      </c>
      <c r="CS90" s="17">
        <f t="shared" si="66"/>
        <v>7</v>
      </c>
      <c r="CT90" s="17">
        <f t="shared" si="67"/>
        <v>7</v>
      </c>
      <c r="CU90" s="17">
        <f t="shared" si="68"/>
        <v>7</v>
      </c>
      <c r="CV90" s="17">
        <f t="shared" si="69"/>
        <v>-3</v>
      </c>
      <c r="CW90" s="17">
        <f t="shared" si="70"/>
        <v>10</v>
      </c>
      <c r="CX90" s="17">
        <f t="shared" si="73"/>
        <v>3</v>
      </c>
      <c r="CY90" s="17">
        <f t="shared" si="73"/>
        <v>-228</v>
      </c>
      <c r="CZ90" s="17">
        <f t="shared" si="73"/>
        <v>0</v>
      </c>
      <c r="DA90" s="17">
        <f t="shared" si="73"/>
        <v>0</v>
      </c>
      <c r="DB90" s="17">
        <f t="shared" si="73"/>
        <v>0</v>
      </c>
      <c r="DC90" s="17">
        <f t="shared" si="73"/>
        <v>0</v>
      </c>
      <c r="DD90" s="17">
        <f t="shared" si="73"/>
        <v>0</v>
      </c>
      <c r="DE90" s="17">
        <f t="shared" si="73"/>
        <v>0</v>
      </c>
      <c r="DF90" s="17">
        <f t="shared" si="73"/>
        <v>0</v>
      </c>
      <c r="DG90" s="17">
        <f t="shared" si="73"/>
        <v>0</v>
      </c>
      <c r="DH90" s="17">
        <f t="shared" si="73"/>
        <v>0</v>
      </c>
      <c r="DI90" s="17">
        <f t="shared" si="73"/>
        <v>0</v>
      </c>
    </row>
    <row r="91" spans="1:113" ht="15.75" x14ac:dyDescent="0.25">
      <c r="A91" s="4" t="s">
        <v>171</v>
      </c>
      <c r="B91" s="6" t="s">
        <v>172</v>
      </c>
      <c r="H91" s="90">
        <f>'Combined data'!H91</f>
        <v>198</v>
      </c>
      <c r="I91" s="90">
        <f>'Combined data'!I91-'Combined data'!H91</f>
        <v>12</v>
      </c>
      <c r="J91" s="90">
        <f>'Combined data'!J91-'Combined data'!I91</f>
        <v>16</v>
      </c>
      <c r="K91" s="90">
        <f>'Combined data'!K91-'Combined data'!J91</f>
        <v>19</v>
      </c>
      <c r="L91" s="90">
        <f>'Combined data'!L91-'Combined data'!K91</f>
        <v>7</v>
      </c>
      <c r="M91" s="90">
        <f>'Combined data'!M91-'Combined data'!L91</f>
        <v>6</v>
      </c>
      <c r="N91" s="90">
        <f>'Combined data'!N91-'Combined data'!M91</f>
        <v>14</v>
      </c>
      <c r="O91" s="90">
        <f>'Combined data'!O91-'Combined data'!N91</f>
        <v>0</v>
      </c>
      <c r="P91" s="90">
        <f>'Combined data'!P91-'Combined data'!O91</f>
        <v>18</v>
      </c>
      <c r="Q91" s="90">
        <f>'Combined data'!Q91-'Combined data'!P91</f>
        <v>8</v>
      </c>
      <c r="R91" s="90">
        <f>'Combined data'!R91-'Combined data'!Q91</f>
        <v>6</v>
      </c>
      <c r="S91" s="90">
        <f>'Combined data'!S91-'Combined data'!R91</f>
        <v>0</v>
      </c>
      <c r="T91" s="90">
        <f>'Combined data'!T91-'Combined data'!S91</f>
        <v>11</v>
      </c>
      <c r="U91" s="90">
        <f>'Combined data'!U91-'Combined data'!T91</f>
        <v>18</v>
      </c>
      <c r="V91" s="90">
        <f>'Combined data'!V91-'Combined data'!U91</f>
        <v>12</v>
      </c>
      <c r="W91" s="90">
        <f>'Combined data'!W91-'Combined data'!V91</f>
        <v>7</v>
      </c>
      <c r="X91" s="90">
        <f>'Combined data'!X91-'Combined data'!W91</f>
        <v>15</v>
      </c>
      <c r="Y91" s="90">
        <f>'Combined data'!Y91-'Combined data'!X91</f>
        <v>8</v>
      </c>
      <c r="Z91" s="90">
        <f>'Combined data'!Z91-'Combined data'!Y91</f>
        <v>12</v>
      </c>
      <c r="AA91" s="90">
        <f>'Combined data'!AA91-'Combined data'!Z91</f>
        <v>7</v>
      </c>
      <c r="AB91" s="90">
        <f>'Combined data'!AB91-'Combined data'!AA91</f>
        <v>7</v>
      </c>
      <c r="AC91" s="90">
        <f>'Combined data'!AC91-'Combined data'!AB91</f>
        <v>4</v>
      </c>
      <c r="AD91" s="90">
        <f>'Combined data'!AD91-'Combined data'!AC91</f>
        <v>21</v>
      </c>
      <c r="AE91" s="90">
        <f>'Combined data'!AE91-'Combined data'!AD91</f>
        <v>-426</v>
      </c>
      <c r="AF91" s="90">
        <f>'Combined data'!AF91-'Combined data'!AE91</f>
        <v>0</v>
      </c>
      <c r="AG91" s="90">
        <f>'Combined data'!AG91-'Combined data'!AF91</f>
        <v>0</v>
      </c>
      <c r="AH91" s="90">
        <f>'Combined data'!AH91-'Combined data'!AG91</f>
        <v>0</v>
      </c>
      <c r="AI91" s="90">
        <f>'Combined data'!AI91-'Combined data'!AH91</f>
        <v>0</v>
      </c>
      <c r="AJ91" s="90">
        <f>'Combined data'!AJ91-'Combined data'!AI91</f>
        <v>0</v>
      </c>
      <c r="AK91" s="90">
        <f>'Combined data'!AK91-'Combined data'!AJ91</f>
        <v>0</v>
      </c>
      <c r="AL91" s="90">
        <f>'Combined data'!AL91-'Combined data'!AK91</f>
        <v>0</v>
      </c>
      <c r="AM91" s="90">
        <f>'Combined data'!AM91-'Combined data'!AL91</f>
        <v>0</v>
      </c>
      <c r="AN91" s="90">
        <f>'Combined data'!AN91-'Combined data'!AM91</f>
        <v>0</v>
      </c>
      <c r="AO91" s="90">
        <f>'Combined data'!AO91-'Combined data'!AN91</f>
        <v>0</v>
      </c>
      <c r="AP91" s="56">
        <f t="shared" si="72"/>
        <v>0</v>
      </c>
      <c r="AQ91" s="113"/>
      <c r="AR91" s="17">
        <f>'Combined data'!AR91</f>
        <v>83</v>
      </c>
      <c r="AS91" s="17">
        <f>'Combined data'!AS91-'Combined data'!AR91</f>
        <v>10</v>
      </c>
      <c r="AT91" s="17">
        <f>'Combined data'!AT91-'Combined data'!AS91</f>
        <v>17</v>
      </c>
      <c r="AU91" s="17">
        <f>'Combined data'!AU91-'Combined data'!AT91</f>
        <v>22</v>
      </c>
      <c r="AV91" s="17">
        <f>'Combined data'!AV91-'Combined data'!AU91</f>
        <v>5</v>
      </c>
      <c r="AW91" s="17">
        <f>'Combined data'!AW91-'Combined data'!AV91</f>
        <v>7</v>
      </c>
      <c r="AX91" s="17">
        <f>'Combined data'!AX91-'Combined data'!AW91</f>
        <v>20</v>
      </c>
      <c r="AY91" s="17">
        <f>'Combined data'!AY91-'Combined data'!AX91</f>
        <v>13</v>
      </c>
      <c r="AZ91" s="17">
        <f>'Combined data'!AZ91-'Combined data'!AY91</f>
        <v>14</v>
      </c>
      <c r="BA91" s="17">
        <f>'Combined data'!BA91-'Combined data'!AZ91</f>
        <v>7</v>
      </c>
      <c r="BB91" s="17">
        <f>'Combined data'!BB91-'Combined data'!BA91</f>
        <v>4</v>
      </c>
      <c r="BC91" s="17">
        <f>'Combined data'!BC91-'Combined data'!BB91</f>
        <v>16</v>
      </c>
      <c r="BD91" s="17">
        <f>'Combined data'!BD91-'Combined data'!BC91</f>
        <v>6</v>
      </c>
      <c r="BE91" s="17">
        <f>'Combined data'!BE91-'Combined data'!BD91</f>
        <v>8</v>
      </c>
      <c r="BF91" s="17">
        <f>'Combined data'!BF91-'Combined data'!BE91</f>
        <v>2</v>
      </c>
      <c r="BG91" s="17">
        <f>'Combined data'!BG91-'Combined data'!BF91</f>
        <v>5</v>
      </c>
      <c r="BH91" s="17">
        <f>'Combined data'!BH91-'Combined data'!BG91</f>
        <v>4</v>
      </c>
      <c r="BI91" s="17">
        <f>'Combined data'!BI91-'Combined data'!BH91</f>
        <v>6</v>
      </c>
      <c r="BJ91" s="17">
        <f>'Combined data'!BJ91-'Combined data'!BI91</f>
        <v>18</v>
      </c>
      <c r="BK91" s="17">
        <f>'Combined data'!BK91-'Combined data'!BJ91</f>
        <v>10</v>
      </c>
      <c r="BL91" s="17">
        <f>'Combined data'!BL91-'Combined data'!BK91</f>
        <v>11</v>
      </c>
      <c r="BM91" s="17">
        <f>'Combined data'!BM91-'Combined data'!BL91</f>
        <v>0</v>
      </c>
      <c r="BN91" s="17">
        <f>'Combined data'!BN91-'Combined data'!BM91</f>
        <v>5</v>
      </c>
      <c r="BO91" s="17">
        <f>'Combined data'!BO91-'Combined data'!BN91</f>
        <v>-293</v>
      </c>
      <c r="BP91" s="17">
        <f>'Combined data'!BP91-'Combined data'!BO91</f>
        <v>0</v>
      </c>
      <c r="BQ91" s="17">
        <f>'Combined data'!BQ91-'Combined data'!BP91</f>
        <v>0</v>
      </c>
      <c r="BR91" s="17">
        <f>'Combined data'!BR91-'Combined data'!BQ91</f>
        <v>0</v>
      </c>
      <c r="BS91" s="17">
        <f>'Combined data'!BS91-'Combined data'!BR91</f>
        <v>0</v>
      </c>
      <c r="BT91" s="17">
        <f>'Combined data'!BT91-'Combined data'!BS91</f>
        <v>0</v>
      </c>
      <c r="BU91" s="17">
        <f>'Combined data'!BU91-'Combined data'!BT91</f>
        <v>0</v>
      </c>
      <c r="BV91" s="17">
        <f>'Combined data'!BV91-'Combined data'!BU91</f>
        <v>0</v>
      </c>
      <c r="BW91" s="17">
        <f>'Combined data'!BW91-'Combined data'!BV91</f>
        <v>0</v>
      </c>
      <c r="BX91" s="17">
        <f>'Combined data'!BX91-'Combined data'!BW91</f>
        <v>0</v>
      </c>
      <c r="BY91" s="17">
        <f>'Combined data'!BY91-'Combined data'!BX91</f>
        <v>0</v>
      </c>
      <c r="CB91" s="17">
        <f t="shared" si="49"/>
        <v>83</v>
      </c>
      <c r="CC91" s="17">
        <f t="shared" si="50"/>
        <v>10</v>
      </c>
      <c r="CD91" s="17">
        <f t="shared" si="51"/>
        <v>17</v>
      </c>
      <c r="CE91" s="17">
        <f t="shared" si="52"/>
        <v>22</v>
      </c>
      <c r="CF91" s="17">
        <f t="shared" si="53"/>
        <v>5</v>
      </c>
      <c r="CG91" s="17">
        <f t="shared" si="54"/>
        <v>7</v>
      </c>
      <c r="CH91" s="17">
        <f t="shared" si="55"/>
        <v>20</v>
      </c>
      <c r="CI91" s="17">
        <f t="shared" si="56"/>
        <v>13</v>
      </c>
      <c r="CJ91" s="17">
        <f t="shared" si="57"/>
        <v>14</v>
      </c>
      <c r="CK91" s="17">
        <f t="shared" si="58"/>
        <v>7</v>
      </c>
      <c r="CL91" s="17">
        <f t="shared" si="59"/>
        <v>4</v>
      </c>
      <c r="CM91" s="17">
        <f t="shared" si="60"/>
        <v>16</v>
      </c>
      <c r="CN91" s="17">
        <f t="shared" si="61"/>
        <v>6</v>
      </c>
      <c r="CO91" s="17">
        <f t="shared" si="62"/>
        <v>8</v>
      </c>
      <c r="CP91" s="17">
        <f t="shared" si="63"/>
        <v>2</v>
      </c>
      <c r="CQ91" s="17">
        <f t="shared" si="64"/>
        <v>5</v>
      </c>
      <c r="CR91" s="17">
        <f t="shared" si="65"/>
        <v>4</v>
      </c>
      <c r="CS91" s="17">
        <f t="shared" si="66"/>
        <v>6</v>
      </c>
      <c r="CT91" s="17">
        <f t="shared" si="67"/>
        <v>18</v>
      </c>
      <c r="CU91" s="17">
        <f t="shared" si="68"/>
        <v>10</v>
      </c>
      <c r="CV91" s="17">
        <f t="shared" si="69"/>
        <v>11</v>
      </c>
      <c r="CW91" s="17">
        <f t="shared" si="70"/>
        <v>0</v>
      </c>
      <c r="CX91" s="17">
        <f t="shared" si="73"/>
        <v>5</v>
      </c>
      <c r="CY91" s="17">
        <f t="shared" si="73"/>
        <v>-293</v>
      </c>
      <c r="CZ91" s="17">
        <f t="shared" si="73"/>
        <v>0</v>
      </c>
      <c r="DA91" s="17">
        <f t="shared" si="73"/>
        <v>0</v>
      </c>
      <c r="DB91" s="17">
        <f t="shared" si="73"/>
        <v>0</v>
      </c>
      <c r="DC91" s="17">
        <f t="shared" si="73"/>
        <v>0</v>
      </c>
      <c r="DD91" s="17">
        <f t="shared" si="73"/>
        <v>0</v>
      </c>
      <c r="DE91" s="17">
        <f t="shared" si="73"/>
        <v>0</v>
      </c>
      <c r="DF91" s="17">
        <f t="shared" si="73"/>
        <v>0</v>
      </c>
      <c r="DG91" s="17">
        <f t="shared" si="73"/>
        <v>0</v>
      </c>
      <c r="DH91" s="17">
        <f t="shared" si="73"/>
        <v>0</v>
      </c>
      <c r="DI91" s="17">
        <f t="shared" si="73"/>
        <v>0</v>
      </c>
    </row>
    <row r="92" spans="1:113" ht="15.75" x14ac:dyDescent="0.25">
      <c r="A92" s="4" t="s">
        <v>173</v>
      </c>
      <c r="B92" s="6" t="s">
        <v>174</v>
      </c>
      <c r="H92" s="90">
        <f>'Combined data'!H92</f>
        <v>861</v>
      </c>
      <c r="I92" s="90">
        <f>'Combined data'!I92-'Combined data'!H92</f>
        <v>33</v>
      </c>
      <c r="J92" s="90">
        <f>'Combined data'!J92-'Combined data'!I92</f>
        <v>57</v>
      </c>
      <c r="K92" s="90">
        <f>'Combined data'!K92-'Combined data'!J92</f>
        <v>66</v>
      </c>
      <c r="L92" s="90">
        <f>'Combined data'!L92-'Combined data'!K92</f>
        <v>26</v>
      </c>
      <c r="M92" s="90">
        <f>'Combined data'!M92-'Combined data'!L92</f>
        <v>25</v>
      </c>
      <c r="N92" s="90">
        <f>'Combined data'!N92-'Combined data'!M92</f>
        <v>59</v>
      </c>
      <c r="O92" s="90">
        <f>'Combined data'!O92-'Combined data'!N92</f>
        <v>26</v>
      </c>
      <c r="P92" s="90">
        <f>'Combined data'!P92-'Combined data'!O92</f>
        <v>53</v>
      </c>
      <c r="Q92" s="90">
        <f>'Combined data'!Q92-'Combined data'!P92</f>
        <v>23</v>
      </c>
      <c r="R92" s="90">
        <f>'Combined data'!R92-'Combined data'!Q92</f>
        <v>21</v>
      </c>
      <c r="S92" s="90">
        <f>'Combined data'!S92-'Combined data'!R92</f>
        <v>32</v>
      </c>
      <c r="T92" s="90">
        <f>'Combined data'!T92-'Combined data'!S92</f>
        <v>26</v>
      </c>
      <c r="U92" s="90">
        <f>'Combined data'!U92-'Combined data'!T92</f>
        <v>26</v>
      </c>
      <c r="V92" s="90">
        <f>'Combined data'!V92-'Combined data'!U92</f>
        <v>20</v>
      </c>
      <c r="W92" s="90">
        <f>'Combined data'!W92-'Combined data'!V92</f>
        <v>17</v>
      </c>
      <c r="X92" s="90">
        <f>'Combined data'!X92-'Combined data'!W92</f>
        <v>21</v>
      </c>
      <c r="Y92" s="90">
        <f>'Combined data'!Y92-'Combined data'!X92</f>
        <v>15</v>
      </c>
      <c r="Z92" s="90">
        <f>'Combined data'!Z92-'Combined data'!Y92</f>
        <v>23</v>
      </c>
      <c r="AA92" s="90">
        <f>'Combined data'!AA92-'Combined data'!Z92</f>
        <v>12</v>
      </c>
      <c r="AB92" s="90">
        <f>'Combined data'!AB92-'Combined data'!AA92</f>
        <v>8</v>
      </c>
      <c r="AC92" s="90">
        <f>'Combined data'!AC92-'Combined data'!AB92</f>
        <v>9</v>
      </c>
      <c r="AD92" s="90">
        <f>'Combined data'!AD92-'Combined data'!AC92</f>
        <v>27</v>
      </c>
      <c r="AE92" s="90">
        <f>'Combined data'!AE92-'Combined data'!AD92</f>
        <v>-1486</v>
      </c>
      <c r="AF92" s="90">
        <f>'Combined data'!AF92-'Combined data'!AE92</f>
        <v>0</v>
      </c>
      <c r="AG92" s="90">
        <f>'Combined data'!AG92-'Combined data'!AF92</f>
        <v>0</v>
      </c>
      <c r="AH92" s="90">
        <f>'Combined data'!AH92-'Combined data'!AG92</f>
        <v>0</v>
      </c>
      <c r="AI92" s="90">
        <f>'Combined data'!AI92-'Combined data'!AH92</f>
        <v>0</v>
      </c>
      <c r="AJ92" s="90">
        <f>'Combined data'!AJ92-'Combined data'!AI92</f>
        <v>0</v>
      </c>
      <c r="AK92" s="90">
        <f>'Combined data'!AK92-'Combined data'!AJ92</f>
        <v>0</v>
      </c>
      <c r="AL92" s="90">
        <f>'Combined data'!AL92-'Combined data'!AK92</f>
        <v>0</v>
      </c>
      <c r="AM92" s="90">
        <f>'Combined data'!AM92-'Combined data'!AL92</f>
        <v>0</v>
      </c>
      <c r="AN92" s="90">
        <f>'Combined data'!AN92-'Combined data'!AM92</f>
        <v>0</v>
      </c>
      <c r="AO92" s="90">
        <f>'Combined data'!AO92-'Combined data'!AN92</f>
        <v>0</v>
      </c>
      <c r="AP92" s="56">
        <f t="shared" si="72"/>
        <v>0</v>
      </c>
      <c r="AQ92" s="113"/>
      <c r="AR92" s="17">
        <f>'Combined data'!AR92</f>
        <v>416</v>
      </c>
      <c r="AS92" s="17">
        <f>'Combined data'!AS92-'Combined data'!AR92</f>
        <v>69</v>
      </c>
      <c r="AT92" s="17">
        <f>'Combined data'!AT92-'Combined data'!AS92</f>
        <v>73</v>
      </c>
      <c r="AU92" s="17">
        <f>'Combined data'!AU92-'Combined data'!AT92</f>
        <v>81</v>
      </c>
      <c r="AV92" s="17">
        <f>'Combined data'!AV92-'Combined data'!AU92</f>
        <v>40</v>
      </c>
      <c r="AW92" s="17">
        <f>'Combined data'!AW92-'Combined data'!AV92</f>
        <v>55</v>
      </c>
      <c r="AX92" s="17">
        <f>'Combined data'!AX92-'Combined data'!AW92</f>
        <v>58</v>
      </c>
      <c r="AY92" s="17">
        <f>'Combined data'!AY92-'Combined data'!AX92</f>
        <v>35</v>
      </c>
      <c r="AZ92" s="17">
        <f>'Combined data'!AZ92-'Combined data'!AY92</f>
        <v>32</v>
      </c>
      <c r="BA92" s="17">
        <f>'Combined data'!BA92-'Combined data'!AZ92</f>
        <v>26</v>
      </c>
      <c r="BB92" s="17">
        <f>'Combined data'!BB92-'Combined data'!BA92</f>
        <v>19</v>
      </c>
      <c r="BC92" s="17">
        <f>'Combined data'!BC92-'Combined data'!BB92</f>
        <v>40</v>
      </c>
      <c r="BD92" s="17">
        <f>'Combined data'!BD92-'Combined data'!BC92</f>
        <v>41</v>
      </c>
      <c r="BE92" s="17">
        <f>'Combined data'!BE92-'Combined data'!BD92</f>
        <v>49</v>
      </c>
      <c r="BF92" s="17">
        <f>'Combined data'!BF92-'Combined data'!BE92</f>
        <v>25</v>
      </c>
      <c r="BG92" s="17">
        <f>'Combined data'!BG92-'Combined data'!BF92</f>
        <v>21</v>
      </c>
      <c r="BH92" s="17">
        <f>'Combined data'!BH92-'Combined data'!BG92</f>
        <v>29</v>
      </c>
      <c r="BI92" s="17">
        <f>'Combined data'!BI92-'Combined data'!BH92</f>
        <v>20</v>
      </c>
      <c r="BJ92" s="17">
        <f>'Combined data'!BJ92-'Combined data'!BI92</f>
        <v>14</v>
      </c>
      <c r="BK92" s="17">
        <f>'Combined data'!BK92-'Combined data'!BJ92</f>
        <v>18</v>
      </c>
      <c r="BL92" s="17">
        <f>'Combined data'!BL92-'Combined data'!BK92</f>
        <v>30</v>
      </c>
      <c r="BM92" s="17">
        <f>'Combined data'!BM92-'Combined data'!BL92</f>
        <v>4</v>
      </c>
      <c r="BN92" s="17">
        <f>'Combined data'!BN92-'Combined data'!BM92</f>
        <v>8</v>
      </c>
      <c r="BO92" s="17">
        <f>'Combined data'!BO92-'Combined data'!BN92</f>
        <v>-1203</v>
      </c>
      <c r="BP92" s="17">
        <f>'Combined data'!BP92-'Combined data'!BO92</f>
        <v>0</v>
      </c>
      <c r="BQ92" s="17">
        <f>'Combined data'!BQ92-'Combined data'!BP92</f>
        <v>0</v>
      </c>
      <c r="BR92" s="17">
        <f>'Combined data'!BR92-'Combined data'!BQ92</f>
        <v>0</v>
      </c>
      <c r="BS92" s="17">
        <f>'Combined data'!BS92-'Combined data'!BR92</f>
        <v>0</v>
      </c>
      <c r="BT92" s="17">
        <f>'Combined data'!BT92-'Combined data'!BS92</f>
        <v>0</v>
      </c>
      <c r="BU92" s="17">
        <f>'Combined data'!BU92-'Combined data'!BT92</f>
        <v>0</v>
      </c>
      <c r="BV92" s="17">
        <f>'Combined data'!BV92-'Combined data'!BU92</f>
        <v>0</v>
      </c>
      <c r="BW92" s="17">
        <f>'Combined data'!BW92-'Combined data'!BV92</f>
        <v>0</v>
      </c>
      <c r="BX92" s="17">
        <f>'Combined data'!BX92-'Combined data'!BW92</f>
        <v>0</v>
      </c>
      <c r="BY92" s="17">
        <f>'Combined data'!BY92-'Combined data'!BX92</f>
        <v>0</v>
      </c>
      <c r="CB92" s="17">
        <f t="shared" si="49"/>
        <v>416</v>
      </c>
      <c r="CC92" s="17">
        <f t="shared" si="50"/>
        <v>69</v>
      </c>
      <c r="CD92" s="17">
        <f t="shared" si="51"/>
        <v>73</v>
      </c>
      <c r="CE92" s="17">
        <f t="shared" si="52"/>
        <v>81</v>
      </c>
      <c r="CF92" s="17">
        <f t="shared" si="53"/>
        <v>40</v>
      </c>
      <c r="CG92" s="17">
        <f t="shared" si="54"/>
        <v>55</v>
      </c>
      <c r="CH92" s="17">
        <f t="shared" si="55"/>
        <v>58</v>
      </c>
      <c r="CI92" s="17">
        <f t="shared" si="56"/>
        <v>35</v>
      </c>
      <c r="CJ92" s="17">
        <f t="shared" si="57"/>
        <v>32</v>
      </c>
      <c r="CK92" s="17">
        <f t="shared" si="58"/>
        <v>26</v>
      </c>
      <c r="CL92" s="17">
        <f t="shared" si="59"/>
        <v>19</v>
      </c>
      <c r="CM92" s="17">
        <f t="shared" si="60"/>
        <v>40</v>
      </c>
      <c r="CN92" s="17">
        <f t="shared" si="61"/>
        <v>41</v>
      </c>
      <c r="CO92" s="17">
        <f t="shared" si="62"/>
        <v>49</v>
      </c>
      <c r="CP92" s="17">
        <f t="shared" si="63"/>
        <v>25</v>
      </c>
      <c r="CQ92" s="17">
        <f t="shared" si="64"/>
        <v>21</v>
      </c>
      <c r="CR92" s="17">
        <f t="shared" si="65"/>
        <v>29</v>
      </c>
      <c r="CS92" s="17">
        <f t="shared" si="66"/>
        <v>20</v>
      </c>
      <c r="CT92" s="17">
        <f t="shared" si="67"/>
        <v>14</v>
      </c>
      <c r="CU92" s="17">
        <f t="shared" si="68"/>
        <v>18</v>
      </c>
      <c r="CV92" s="17">
        <f t="shared" si="69"/>
        <v>30</v>
      </c>
      <c r="CW92" s="17">
        <f t="shared" si="70"/>
        <v>4</v>
      </c>
      <c r="CX92" s="17">
        <f t="shared" si="73"/>
        <v>8</v>
      </c>
      <c r="CY92" s="17">
        <f t="shared" si="73"/>
        <v>-1203</v>
      </c>
      <c r="CZ92" s="17">
        <f t="shared" si="73"/>
        <v>0</v>
      </c>
      <c r="DA92" s="17">
        <f t="shared" si="73"/>
        <v>0</v>
      </c>
      <c r="DB92" s="17">
        <f t="shared" si="73"/>
        <v>0</v>
      </c>
      <c r="DC92" s="17">
        <f t="shared" si="73"/>
        <v>0</v>
      </c>
      <c r="DD92" s="17">
        <f t="shared" si="73"/>
        <v>0</v>
      </c>
      <c r="DE92" s="17">
        <f t="shared" si="73"/>
        <v>0</v>
      </c>
      <c r="DF92" s="17">
        <f t="shared" si="73"/>
        <v>0</v>
      </c>
      <c r="DG92" s="17">
        <f t="shared" si="73"/>
        <v>0</v>
      </c>
      <c r="DH92" s="17">
        <f t="shared" si="73"/>
        <v>0</v>
      </c>
      <c r="DI92" s="17">
        <f t="shared" si="73"/>
        <v>0</v>
      </c>
    </row>
    <row r="93" spans="1:113" ht="15.75" x14ac:dyDescent="0.25">
      <c r="A93" s="4" t="s">
        <v>175</v>
      </c>
      <c r="B93" s="6" t="s">
        <v>176</v>
      </c>
      <c r="H93" s="90">
        <f>'Combined data'!H93</f>
        <v>48</v>
      </c>
      <c r="I93" s="90">
        <f>'Combined data'!I93-'Combined data'!H93</f>
        <v>3</v>
      </c>
      <c r="J93" s="90">
        <f>'Combined data'!J93-'Combined data'!I93</f>
        <v>1</v>
      </c>
      <c r="K93" s="90">
        <f>'Combined data'!K93-'Combined data'!J93</f>
        <v>7</v>
      </c>
      <c r="L93" s="90">
        <f>'Combined data'!L93-'Combined data'!K93</f>
        <v>4</v>
      </c>
      <c r="M93" s="90">
        <f>'Combined data'!M93-'Combined data'!L93</f>
        <v>0</v>
      </c>
      <c r="N93" s="90">
        <f>'Combined data'!N93-'Combined data'!M93</f>
        <v>3</v>
      </c>
      <c r="O93" s="90">
        <f>'Combined data'!O93-'Combined data'!N93</f>
        <v>2</v>
      </c>
      <c r="P93" s="90">
        <f>'Combined data'!P93-'Combined data'!O93</f>
        <v>5</v>
      </c>
      <c r="Q93" s="90">
        <f>'Combined data'!Q93-'Combined data'!P93</f>
        <v>3</v>
      </c>
      <c r="R93" s="90">
        <f>'Combined data'!R93-'Combined data'!Q93</f>
        <v>0</v>
      </c>
      <c r="S93" s="90">
        <f>'Combined data'!S93-'Combined data'!R93</f>
        <v>5</v>
      </c>
      <c r="T93" s="90">
        <f>'Combined data'!T93-'Combined data'!S93</f>
        <v>0</v>
      </c>
      <c r="U93" s="90">
        <f>'Combined data'!U93-'Combined data'!T93</f>
        <v>4</v>
      </c>
      <c r="V93" s="90">
        <f>'Combined data'!V93-'Combined data'!U93</f>
        <v>0</v>
      </c>
      <c r="W93" s="90">
        <f>'Combined data'!W93-'Combined data'!V93</f>
        <v>3</v>
      </c>
      <c r="X93" s="90">
        <f>'Combined data'!X93-'Combined data'!W93</f>
        <v>2</v>
      </c>
      <c r="Y93" s="90">
        <f>'Combined data'!Y93-'Combined data'!X93</f>
        <v>4</v>
      </c>
      <c r="Z93" s="90">
        <f>'Combined data'!Z93-'Combined data'!Y93</f>
        <v>4</v>
      </c>
      <c r="AA93" s="90">
        <f>'Combined data'!AA93-'Combined data'!Z93</f>
        <v>2</v>
      </c>
      <c r="AB93" s="90">
        <f>'Combined data'!AB93-'Combined data'!AA93</f>
        <v>0</v>
      </c>
      <c r="AC93" s="90">
        <f>'Combined data'!AC93-'Combined data'!AB93</f>
        <v>0</v>
      </c>
      <c r="AD93" s="90">
        <f>'Combined data'!AD93-'Combined data'!AC93</f>
        <v>0</v>
      </c>
      <c r="AE93" s="90">
        <f>'Combined data'!AE93-'Combined data'!AD93</f>
        <v>-100</v>
      </c>
      <c r="AF93" s="90">
        <f>'Combined data'!AF93-'Combined data'!AE93</f>
        <v>0</v>
      </c>
      <c r="AG93" s="90">
        <f>'Combined data'!AG93-'Combined data'!AF93</f>
        <v>0</v>
      </c>
      <c r="AH93" s="90">
        <f>'Combined data'!AH93-'Combined data'!AG93</f>
        <v>0</v>
      </c>
      <c r="AI93" s="90">
        <f>'Combined data'!AI93-'Combined data'!AH93</f>
        <v>0</v>
      </c>
      <c r="AJ93" s="90">
        <f>'Combined data'!AJ93-'Combined data'!AI93</f>
        <v>0</v>
      </c>
      <c r="AK93" s="90">
        <f>'Combined data'!AK93-'Combined data'!AJ93</f>
        <v>0</v>
      </c>
      <c r="AL93" s="90">
        <f>'Combined data'!AL93-'Combined data'!AK93</f>
        <v>0</v>
      </c>
      <c r="AM93" s="90">
        <f>'Combined data'!AM93-'Combined data'!AL93</f>
        <v>0</v>
      </c>
      <c r="AN93" s="90">
        <f>'Combined data'!AN93-'Combined data'!AM93</f>
        <v>0</v>
      </c>
      <c r="AO93" s="90">
        <f>'Combined data'!AO93-'Combined data'!AN93</f>
        <v>0</v>
      </c>
      <c r="AP93" s="56">
        <f t="shared" si="72"/>
        <v>0</v>
      </c>
      <c r="AQ93" s="113"/>
      <c r="AR93" s="17">
        <f>'Combined data'!AR93</f>
        <v>26</v>
      </c>
      <c r="AS93" s="17">
        <f>'Combined data'!AS93-'Combined data'!AR93</f>
        <v>3</v>
      </c>
      <c r="AT93" s="17">
        <f>'Combined data'!AT93-'Combined data'!AS93</f>
        <v>4</v>
      </c>
      <c r="AU93" s="17">
        <f>'Combined data'!AU93-'Combined data'!AT93</f>
        <v>3</v>
      </c>
      <c r="AV93" s="17">
        <f>'Combined data'!AV93-'Combined data'!AU93</f>
        <v>2</v>
      </c>
      <c r="AW93" s="17">
        <f>'Combined data'!AW93-'Combined data'!AV93</f>
        <v>2</v>
      </c>
      <c r="AX93" s="17">
        <f>'Combined data'!AX93-'Combined data'!AW93</f>
        <v>2</v>
      </c>
      <c r="AY93" s="17">
        <f>'Combined data'!AY93-'Combined data'!AX93</f>
        <v>1</v>
      </c>
      <c r="AZ93" s="17">
        <f>'Combined data'!AZ93-'Combined data'!AY93</f>
        <v>0</v>
      </c>
      <c r="BA93" s="17">
        <f>'Combined data'!BA93-'Combined data'!AZ93</f>
        <v>0</v>
      </c>
      <c r="BB93" s="17">
        <f>'Combined data'!BB93-'Combined data'!BA93</f>
        <v>3</v>
      </c>
      <c r="BC93" s="17">
        <f>'Combined data'!BC93-'Combined data'!BB93</f>
        <v>3</v>
      </c>
      <c r="BD93" s="17">
        <f>'Combined data'!BD93-'Combined data'!BC93</f>
        <v>1</v>
      </c>
      <c r="BE93" s="17">
        <f>'Combined data'!BE93-'Combined data'!BD93</f>
        <v>1</v>
      </c>
      <c r="BF93" s="17">
        <f>'Combined data'!BF93-'Combined data'!BE93</f>
        <v>2</v>
      </c>
      <c r="BG93" s="17">
        <f>'Combined data'!BG93-'Combined data'!BF93</f>
        <v>5</v>
      </c>
      <c r="BH93" s="17">
        <f>'Combined data'!BH93-'Combined data'!BG93</f>
        <v>3</v>
      </c>
      <c r="BI93" s="17">
        <f>'Combined data'!BI93-'Combined data'!BH93</f>
        <v>2</v>
      </c>
      <c r="BJ93" s="17">
        <f>'Combined data'!BJ93-'Combined data'!BI93</f>
        <v>0</v>
      </c>
      <c r="BK93" s="17">
        <f>'Combined data'!BK93-'Combined data'!BJ93</f>
        <v>5</v>
      </c>
      <c r="BL93" s="17">
        <f>'Combined data'!BL93-'Combined data'!BK93</f>
        <v>4</v>
      </c>
      <c r="BM93" s="17">
        <f>'Combined data'!BM93-'Combined data'!BL93</f>
        <v>0</v>
      </c>
      <c r="BN93" s="17">
        <f>'Combined data'!BN93-'Combined data'!BM93</f>
        <v>5</v>
      </c>
      <c r="BO93" s="17">
        <f>'Combined data'!BO93-'Combined data'!BN93</f>
        <v>-77</v>
      </c>
      <c r="BP93" s="17">
        <f>'Combined data'!BP93-'Combined data'!BO93</f>
        <v>0</v>
      </c>
      <c r="BQ93" s="17">
        <f>'Combined data'!BQ93-'Combined data'!BP93</f>
        <v>0</v>
      </c>
      <c r="BR93" s="17">
        <f>'Combined data'!BR93-'Combined data'!BQ93</f>
        <v>0</v>
      </c>
      <c r="BS93" s="17">
        <f>'Combined data'!BS93-'Combined data'!BR93</f>
        <v>0</v>
      </c>
      <c r="BT93" s="17">
        <f>'Combined data'!BT93-'Combined data'!BS93</f>
        <v>0</v>
      </c>
      <c r="BU93" s="17">
        <f>'Combined data'!BU93-'Combined data'!BT93</f>
        <v>0</v>
      </c>
      <c r="BV93" s="17">
        <f>'Combined data'!BV93-'Combined data'!BU93</f>
        <v>0</v>
      </c>
      <c r="BW93" s="17">
        <f>'Combined data'!BW93-'Combined data'!BV93</f>
        <v>0</v>
      </c>
      <c r="BX93" s="17">
        <f>'Combined data'!BX93-'Combined data'!BW93</f>
        <v>0</v>
      </c>
      <c r="BY93" s="17">
        <f>'Combined data'!BY93-'Combined data'!BX93</f>
        <v>0</v>
      </c>
      <c r="CB93" s="17">
        <f t="shared" si="49"/>
        <v>26</v>
      </c>
      <c r="CC93" s="17">
        <f t="shared" si="50"/>
        <v>3</v>
      </c>
      <c r="CD93" s="17">
        <f t="shared" si="51"/>
        <v>4</v>
      </c>
      <c r="CE93" s="17">
        <f t="shared" si="52"/>
        <v>3</v>
      </c>
      <c r="CF93" s="17">
        <f t="shared" si="53"/>
        <v>2</v>
      </c>
      <c r="CG93" s="17">
        <f t="shared" si="54"/>
        <v>2</v>
      </c>
      <c r="CH93" s="17">
        <f t="shared" si="55"/>
        <v>2</v>
      </c>
      <c r="CI93" s="17">
        <f t="shared" si="56"/>
        <v>1</v>
      </c>
      <c r="CJ93" s="17">
        <f t="shared" si="57"/>
        <v>0</v>
      </c>
      <c r="CK93" s="17">
        <f t="shared" si="58"/>
        <v>0</v>
      </c>
      <c r="CL93" s="17">
        <f t="shared" si="59"/>
        <v>3</v>
      </c>
      <c r="CM93" s="17">
        <f t="shared" si="60"/>
        <v>3</v>
      </c>
      <c r="CN93" s="17">
        <f t="shared" si="61"/>
        <v>1</v>
      </c>
      <c r="CO93" s="17">
        <f t="shared" si="62"/>
        <v>1</v>
      </c>
      <c r="CP93" s="17">
        <f t="shared" si="63"/>
        <v>2</v>
      </c>
      <c r="CQ93" s="17">
        <f t="shared" si="64"/>
        <v>5</v>
      </c>
      <c r="CR93" s="17">
        <f t="shared" si="65"/>
        <v>3</v>
      </c>
      <c r="CS93" s="17">
        <f t="shared" si="66"/>
        <v>2</v>
      </c>
      <c r="CT93" s="17">
        <f t="shared" si="67"/>
        <v>0</v>
      </c>
      <c r="CU93" s="17">
        <f t="shared" si="68"/>
        <v>5</v>
      </c>
      <c r="CV93" s="17">
        <f t="shared" si="69"/>
        <v>4</v>
      </c>
      <c r="CW93" s="17">
        <f t="shared" si="70"/>
        <v>0</v>
      </c>
      <c r="CX93" s="17">
        <f t="shared" si="73"/>
        <v>5</v>
      </c>
      <c r="CY93" s="17">
        <f t="shared" si="73"/>
        <v>-77</v>
      </c>
      <c r="CZ93" s="17">
        <f t="shared" si="73"/>
        <v>0</v>
      </c>
      <c r="DA93" s="17">
        <f t="shared" si="73"/>
        <v>0</v>
      </c>
      <c r="DB93" s="17">
        <f t="shared" si="73"/>
        <v>0</v>
      </c>
      <c r="DC93" s="17">
        <f t="shared" si="73"/>
        <v>0</v>
      </c>
      <c r="DD93" s="17">
        <f t="shared" si="73"/>
        <v>0</v>
      </c>
      <c r="DE93" s="17">
        <f t="shared" si="73"/>
        <v>0</v>
      </c>
      <c r="DF93" s="17">
        <f t="shared" si="73"/>
        <v>0</v>
      </c>
      <c r="DG93" s="17">
        <f t="shared" si="73"/>
        <v>0</v>
      </c>
      <c r="DH93" s="17">
        <f t="shared" si="73"/>
        <v>0</v>
      </c>
      <c r="DI93" s="17">
        <f t="shared" si="73"/>
        <v>0</v>
      </c>
    </row>
    <row r="94" spans="1:113" ht="15.75" x14ac:dyDescent="0.25">
      <c r="A94" s="4" t="s">
        <v>177</v>
      </c>
      <c r="B94" s="6" t="s">
        <v>178</v>
      </c>
      <c r="H94" s="90">
        <f>'Combined data'!H94</f>
        <v>102</v>
      </c>
      <c r="I94" s="90">
        <f>'Combined data'!I94-'Combined data'!H94</f>
        <v>7</v>
      </c>
      <c r="J94" s="90">
        <f>'Combined data'!J94-'Combined data'!I94</f>
        <v>8</v>
      </c>
      <c r="K94" s="90">
        <f>'Combined data'!K94-'Combined data'!J94</f>
        <v>16</v>
      </c>
      <c r="L94" s="90">
        <f>'Combined data'!L94-'Combined data'!K94</f>
        <v>5</v>
      </c>
      <c r="M94" s="90">
        <f>'Combined data'!M94-'Combined data'!L94</f>
        <v>4</v>
      </c>
      <c r="N94" s="90">
        <f>'Combined data'!N94-'Combined data'!M94</f>
        <v>14</v>
      </c>
      <c r="O94" s="90">
        <f>'Combined data'!O94-'Combined data'!N94</f>
        <v>5</v>
      </c>
      <c r="P94" s="90">
        <f>'Combined data'!P94-'Combined data'!O94</f>
        <v>7</v>
      </c>
      <c r="Q94" s="90">
        <f>'Combined data'!Q94-'Combined data'!P94</f>
        <v>3</v>
      </c>
      <c r="R94" s="90">
        <f>'Combined data'!R94-'Combined data'!Q94</f>
        <v>4</v>
      </c>
      <c r="S94" s="90">
        <f>'Combined data'!S94-'Combined data'!R94</f>
        <v>3</v>
      </c>
      <c r="T94" s="90">
        <f>'Combined data'!T94-'Combined data'!S94</f>
        <v>4</v>
      </c>
      <c r="U94" s="90">
        <f>'Combined data'!U94-'Combined data'!T94</f>
        <v>3</v>
      </c>
      <c r="V94" s="90">
        <f>'Combined data'!V94-'Combined data'!U94</f>
        <v>4</v>
      </c>
      <c r="W94" s="90">
        <f>'Combined data'!W94-'Combined data'!V94</f>
        <v>2</v>
      </c>
      <c r="X94" s="90">
        <f>'Combined data'!X94-'Combined data'!W94</f>
        <v>2</v>
      </c>
      <c r="Y94" s="90">
        <f>'Combined data'!Y94-'Combined data'!X94</f>
        <v>0</v>
      </c>
      <c r="Z94" s="90">
        <f>'Combined data'!Z94-'Combined data'!Y94</f>
        <v>3</v>
      </c>
      <c r="AA94" s="90">
        <f>'Combined data'!AA94-'Combined data'!Z94</f>
        <v>3</v>
      </c>
      <c r="AB94" s="90">
        <f>'Combined data'!AB94-'Combined data'!AA94</f>
        <v>1</v>
      </c>
      <c r="AC94" s="90">
        <f>'Combined data'!AC94-'Combined data'!AB94</f>
        <v>0</v>
      </c>
      <c r="AD94" s="90">
        <f>'Combined data'!AD94-'Combined data'!AC94</f>
        <v>4</v>
      </c>
      <c r="AE94" s="90">
        <f>'Combined data'!AE94-'Combined data'!AD94</f>
        <v>-204</v>
      </c>
      <c r="AF94" s="90">
        <f>'Combined data'!AF94-'Combined data'!AE94</f>
        <v>0</v>
      </c>
      <c r="AG94" s="90">
        <f>'Combined data'!AG94-'Combined data'!AF94</f>
        <v>0</v>
      </c>
      <c r="AH94" s="90">
        <f>'Combined data'!AH94-'Combined data'!AG94</f>
        <v>0</v>
      </c>
      <c r="AI94" s="90">
        <f>'Combined data'!AI94-'Combined data'!AH94</f>
        <v>0</v>
      </c>
      <c r="AJ94" s="90">
        <f>'Combined data'!AJ94-'Combined data'!AI94</f>
        <v>0</v>
      </c>
      <c r="AK94" s="90">
        <f>'Combined data'!AK94-'Combined data'!AJ94</f>
        <v>0</v>
      </c>
      <c r="AL94" s="90">
        <f>'Combined data'!AL94-'Combined data'!AK94</f>
        <v>0</v>
      </c>
      <c r="AM94" s="90">
        <f>'Combined data'!AM94-'Combined data'!AL94</f>
        <v>0</v>
      </c>
      <c r="AN94" s="90">
        <f>'Combined data'!AN94-'Combined data'!AM94</f>
        <v>0</v>
      </c>
      <c r="AO94" s="90">
        <f>'Combined data'!AO94-'Combined data'!AN94</f>
        <v>0</v>
      </c>
      <c r="AP94" s="56">
        <f t="shared" si="72"/>
        <v>0</v>
      </c>
      <c r="AQ94" s="113"/>
      <c r="AR94" s="17">
        <f>'Combined data'!AR94</f>
        <v>54</v>
      </c>
      <c r="AS94" s="17">
        <f>'Combined data'!AS94-'Combined data'!AR94</f>
        <v>3</v>
      </c>
      <c r="AT94" s="17">
        <f>'Combined data'!AT94-'Combined data'!AS94</f>
        <v>6</v>
      </c>
      <c r="AU94" s="17">
        <f>'Combined data'!AU94-'Combined data'!AT94</f>
        <v>6</v>
      </c>
      <c r="AV94" s="17">
        <f>'Combined data'!AV94-'Combined data'!AU94</f>
        <v>12</v>
      </c>
      <c r="AW94" s="17">
        <f>'Combined data'!AW94-'Combined data'!AV94</f>
        <v>26</v>
      </c>
      <c r="AX94" s="17">
        <f>'Combined data'!AX94-'Combined data'!AW94</f>
        <v>8</v>
      </c>
      <c r="AY94" s="17">
        <f>'Combined data'!AY94-'Combined data'!AX94</f>
        <v>0</v>
      </c>
      <c r="AZ94" s="17">
        <f>'Combined data'!AZ94-'Combined data'!AY94</f>
        <v>4</v>
      </c>
      <c r="BA94" s="17">
        <f>'Combined data'!BA94-'Combined data'!AZ94</f>
        <v>13</v>
      </c>
      <c r="BB94" s="17">
        <f>'Combined data'!BB94-'Combined data'!BA94</f>
        <v>0</v>
      </c>
      <c r="BC94" s="17">
        <f>'Combined data'!BC94-'Combined data'!BB94</f>
        <v>7</v>
      </c>
      <c r="BD94" s="17">
        <f>'Combined data'!BD94-'Combined data'!BC94</f>
        <v>9</v>
      </c>
      <c r="BE94" s="17">
        <f>'Combined data'!BE94-'Combined data'!BD94</f>
        <v>4</v>
      </c>
      <c r="BF94" s="17">
        <f>'Combined data'!BF94-'Combined data'!BE94</f>
        <v>2</v>
      </c>
      <c r="BG94" s="17">
        <f>'Combined data'!BG94-'Combined data'!BF94</f>
        <v>5</v>
      </c>
      <c r="BH94" s="17">
        <f>'Combined data'!BH94-'Combined data'!BG94</f>
        <v>0</v>
      </c>
      <c r="BI94" s="17">
        <f>'Combined data'!BI94-'Combined data'!BH94</f>
        <v>0</v>
      </c>
      <c r="BJ94" s="17">
        <f>'Combined data'!BJ94-'Combined data'!BI94</f>
        <v>1</v>
      </c>
      <c r="BK94" s="17">
        <f>'Combined data'!BK94-'Combined data'!BJ94</f>
        <v>4</v>
      </c>
      <c r="BL94" s="17">
        <f>'Combined data'!BL94-'Combined data'!BK94</f>
        <v>9</v>
      </c>
      <c r="BM94" s="17">
        <f>'Combined data'!BM94-'Combined data'!BL94</f>
        <v>-3</v>
      </c>
      <c r="BN94" s="17">
        <f>'Combined data'!BN94-'Combined data'!BM94</f>
        <v>1</v>
      </c>
      <c r="BO94" s="17">
        <f>'Combined data'!BO94-'Combined data'!BN94</f>
        <v>-171</v>
      </c>
      <c r="BP94" s="17">
        <f>'Combined data'!BP94-'Combined data'!BO94</f>
        <v>0</v>
      </c>
      <c r="BQ94" s="17">
        <f>'Combined data'!BQ94-'Combined data'!BP94</f>
        <v>0</v>
      </c>
      <c r="BR94" s="17">
        <f>'Combined data'!BR94-'Combined data'!BQ94</f>
        <v>0</v>
      </c>
      <c r="BS94" s="17">
        <f>'Combined data'!BS94-'Combined data'!BR94</f>
        <v>0</v>
      </c>
      <c r="BT94" s="17">
        <f>'Combined data'!BT94-'Combined data'!BS94</f>
        <v>0</v>
      </c>
      <c r="BU94" s="17">
        <f>'Combined data'!BU94-'Combined data'!BT94</f>
        <v>0</v>
      </c>
      <c r="BV94" s="17">
        <f>'Combined data'!BV94-'Combined data'!BU94</f>
        <v>0</v>
      </c>
      <c r="BW94" s="17">
        <f>'Combined data'!BW94-'Combined data'!BV94</f>
        <v>0</v>
      </c>
      <c r="BX94" s="17">
        <f>'Combined data'!BX94-'Combined data'!BW94</f>
        <v>0</v>
      </c>
      <c r="BY94" s="17">
        <f>'Combined data'!BY94-'Combined data'!BX94</f>
        <v>0</v>
      </c>
      <c r="CB94" s="17">
        <f t="shared" si="49"/>
        <v>54</v>
      </c>
      <c r="CC94" s="17">
        <f t="shared" si="50"/>
        <v>3</v>
      </c>
      <c r="CD94" s="17">
        <f t="shared" si="51"/>
        <v>6</v>
      </c>
      <c r="CE94" s="17">
        <f t="shared" si="52"/>
        <v>6</v>
      </c>
      <c r="CF94" s="17">
        <f t="shared" si="53"/>
        <v>12</v>
      </c>
      <c r="CG94" s="17">
        <f t="shared" si="54"/>
        <v>26</v>
      </c>
      <c r="CH94" s="17">
        <f t="shared" si="55"/>
        <v>8</v>
      </c>
      <c r="CI94" s="17">
        <f t="shared" si="56"/>
        <v>0</v>
      </c>
      <c r="CJ94" s="17">
        <f t="shared" si="57"/>
        <v>4</v>
      </c>
      <c r="CK94" s="17">
        <f t="shared" si="58"/>
        <v>13</v>
      </c>
      <c r="CL94" s="17">
        <f t="shared" si="59"/>
        <v>0</v>
      </c>
      <c r="CM94" s="17">
        <f t="shared" si="60"/>
        <v>7</v>
      </c>
      <c r="CN94" s="17">
        <f t="shared" si="61"/>
        <v>9</v>
      </c>
      <c r="CO94" s="17">
        <f t="shared" si="62"/>
        <v>4</v>
      </c>
      <c r="CP94" s="17">
        <f t="shared" si="63"/>
        <v>2</v>
      </c>
      <c r="CQ94" s="17">
        <f t="shared" si="64"/>
        <v>5</v>
      </c>
      <c r="CR94" s="17">
        <f t="shared" si="65"/>
        <v>0</v>
      </c>
      <c r="CS94" s="17">
        <f t="shared" si="66"/>
        <v>0</v>
      </c>
      <c r="CT94" s="17">
        <f t="shared" si="67"/>
        <v>1</v>
      </c>
      <c r="CU94" s="17">
        <f t="shared" si="68"/>
        <v>4</v>
      </c>
      <c r="CV94" s="17">
        <f t="shared" si="69"/>
        <v>9</v>
      </c>
      <c r="CW94" s="17">
        <f t="shared" si="70"/>
        <v>-3</v>
      </c>
      <c r="CX94" s="17">
        <f t="shared" si="73"/>
        <v>1</v>
      </c>
      <c r="CY94" s="17">
        <f t="shared" si="73"/>
        <v>-171</v>
      </c>
      <c r="CZ94" s="17">
        <f t="shared" si="73"/>
        <v>0</v>
      </c>
      <c r="DA94" s="17">
        <f t="shared" si="73"/>
        <v>0</v>
      </c>
      <c r="DB94" s="17">
        <f t="shared" si="73"/>
        <v>0</v>
      </c>
      <c r="DC94" s="17">
        <f t="shared" si="73"/>
        <v>0</v>
      </c>
      <c r="DD94" s="17">
        <f t="shared" si="73"/>
        <v>0</v>
      </c>
      <c r="DE94" s="17">
        <f t="shared" si="73"/>
        <v>0</v>
      </c>
      <c r="DF94" s="17">
        <f t="shared" si="73"/>
        <v>0</v>
      </c>
      <c r="DG94" s="17">
        <f t="shared" si="73"/>
        <v>0</v>
      </c>
      <c r="DH94" s="17">
        <f t="shared" si="73"/>
        <v>0</v>
      </c>
      <c r="DI94" s="17">
        <f t="shared" si="73"/>
        <v>0</v>
      </c>
    </row>
    <row r="95" spans="1:113" ht="15.75" x14ac:dyDescent="0.25">
      <c r="A95" s="4" t="s">
        <v>179</v>
      </c>
      <c r="B95" s="6" t="s">
        <v>180</v>
      </c>
      <c r="H95" s="90">
        <f>'Combined data'!H95</f>
        <v>308</v>
      </c>
      <c r="I95" s="90">
        <f>'Combined data'!I95-'Combined data'!H95</f>
        <v>22</v>
      </c>
      <c r="J95" s="90">
        <f>'Combined data'!J95-'Combined data'!I95</f>
        <v>16</v>
      </c>
      <c r="K95" s="90">
        <f>'Combined data'!K95-'Combined data'!J95</f>
        <v>11</v>
      </c>
      <c r="L95" s="90">
        <f>'Combined data'!L95-'Combined data'!K95</f>
        <v>11</v>
      </c>
      <c r="M95" s="90">
        <f>'Combined data'!M95-'Combined data'!L95</f>
        <v>3</v>
      </c>
      <c r="N95" s="90">
        <f>'Combined data'!N95-'Combined data'!M95</f>
        <v>38</v>
      </c>
      <c r="O95" s="90">
        <f>'Combined data'!O95-'Combined data'!N95</f>
        <v>12</v>
      </c>
      <c r="P95" s="90">
        <f>'Combined data'!P95-'Combined data'!O95</f>
        <v>8</v>
      </c>
      <c r="Q95" s="90">
        <f>'Combined data'!Q95-'Combined data'!P95</f>
        <v>26</v>
      </c>
      <c r="R95" s="90">
        <f>'Combined data'!R95-'Combined data'!Q95</f>
        <v>9</v>
      </c>
      <c r="S95" s="90">
        <f>'Combined data'!S95-'Combined data'!R95</f>
        <v>5</v>
      </c>
      <c r="T95" s="90">
        <f>'Combined data'!T95-'Combined data'!S95</f>
        <v>11</v>
      </c>
      <c r="U95" s="90">
        <f>'Combined data'!U95-'Combined data'!T95</f>
        <v>12</v>
      </c>
      <c r="V95" s="90">
        <f>'Combined data'!V95-'Combined data'!U95</f>
        <v>7</v>
      </c>
      <c r="W95" s="90">
        <f>'Combined data'!W95-'Combined data'!V95</f>
        <v>0</v>
      </c>
      <c r="X95" s="90">
        <f>'Combined data'!X95-'Combined data'!W95</f>
        <v>8</v>
      </c>
      <c r="Y95" s="90">
        <f>'Combined data'!Y95-'Combined data'!X95</f>
        <v>7</v>
      </c>
      <c r="Z95" s="90">
        <f>'Combined data'!Z95-'Combined data'!Y95</f>
        <v>17</v>
      </c>
      <c r="AA95" s="90">
        <f>'Combined data'!AA95-'Combined data'!Z95</f>
        <v>9</v>
      </c>
      <c r="AB95" s="90">
        <f>'Combined data'!AB95-'Combined data'!AA95</f>
        <v>6</v>
      </c>
      <c r="AC95" s="90">
        <f>'Combined data'!AC95-'Combined data'!AB95</f>
        <v>-1</v>
      </c>
      <c r="AD95" s="90">
        <f>'Combined data'!AD95-'Combined data'!AC95</f>
        <v>11</v>
      </c>
      <c r="AE95" s="90">
        <f>'Combined data'!AE95-'Combined data'!AD95</f>
        <v>-556</v>
      </c>
      <c r="AF95" s="90">
        <f>'Combined data'!AF95-'Combined data'!AE95</f>
        <v>0</v>
      </c>
      <c r="AG95" s="90">
        <f>'Combined data'!AG95-'Combined data'!AF95</f>
        <v>0</v>
      </c>
      <c r="AH95" s="90">
        <f>'Combined data'!AH95-'Combined data'!AG95</f>
        <v>0</v>
      </c>
      <c r="AI95" s="90">
        <f>'Combined data'!AI95-'Combined data'!AH95</f>
        <v>0</v>
      </c>
      <c r="AJ95" s="90">
        <f>'Combined data'!AJ95-'Combined data'!AI95</f>
        <v>0</v>
      </c>
      <c r="AK95" s="90">
        <f>'Combined data'!AK95-'Combined data'!AJ95</f>
        <v>0</v>
      </c>
      <c r="AL95" s="90">
        <f>'Combined data'!AL95-'Combined data'!AK95</f>
        <v>0</v>
      </c>
      <c r="AM95" s="90">
        <f>'Combined data'!AM95-'Combined data'!AL95</f>
        <v>0</v>
      </c>
      <c r="AN95" s="90">
        <f>'Combined data'!AN95-'Combined data'!AM95</f>
        <v>0</v>
      </c>
      <c r="AO95" s="90">
        <f>'Combined data'!AO95-'Combined data'!AN95</f>
        <v>0</v>
      </c>
      <c r="AP95" s="56">
        <f t="shared" si="72"/>
        <v>0</v>
      </c>
      <c r="AQ95" s="113"/>
      <c r="AR95" s="17">
        <f>'Combined data'!AR95</f>
        <v>176</v>
      </c>
      <c r="AS95" s="17">
        <f>'Combined data'!AS95-'Combined data'!AR95</f>
        <v>38</v>
      </c>
      <c r="AT95" s="17">
        <f>'Combined data'!AT95-'Combined data'!AS95</f>
        <v>16</v>
      </c>
      <c r="AU95" s="17">
        <f>'Combined data'!AU95-'Combined data'!AT95</f>
        <v>18</v>
      </c>
      <c r="AV95" s="17">
        <f>'Combined data'!AV95-'Combined data'!AU95</f>
        <v>15</v>
      </c>
      <c r="AW95" s="17">
        <f>'Combined data'!AW95-'Combined data'!AV95</f>
        <v>9</v>
      </c>
      <c r="AX95" s="17">
        <f>'Combined data'!AX95-'Combined data'!AW95</f>
        <v>20</v>
      </c>
      <c r="AY95" s="17">
        <f>'Combined data'!AY95-'Combined data'!AX95</f>
        <v>13</v>
      </c>
      <c r="AZ95" s="17">
        <f>'Combined data'!AZ95-'Combined data'!AY95</f>
        <v>19</v>
      </c>
      <c r="BA95" s="17">
        <f>'Combined data'!BA95-'Combined data'!AZ95</f>
        <v>11</v>
      </c>
      <c r="BB95" s="17">
        <f>'Combined data'!BB95-'Combined data'!BA95</f>
        <v>16</v>
      </c>
      <c r="BC95" s="17">
        <f>'Combined data'!BC95-'Combined data'!BB95</f>
        <v>15</v>
      </c>
      <c r="BD95" s="17">
        <f>'Combined data'!BD95-'Combined data'!BC95</f>
        <v>9</v>
      </c>
      <c r="BE95" s="17">
        <f>'Combined data'!BE95-'Combined data'!BD95</f>
        <v>6</v>
      </c>
      <c r="BF95" s="17">
        <f>'Combined data'!BF95-'Combined data'!BE95</f>
        <v>6</v>
      </c>
      <c r="BG95" s="17">
        <f>'Combined data'!BG95-'Combined data'!BF95</f>
        <v>2</v>
      </c>
      <c r="BH95" s="17">
        <f>'Combined data'!BH95-'Combined data'!BG95</f>
        <v>4</v>
      </c>
      <c r="BI95" s="17">
        <f>'Combined data'!BI95-'Combined data'!BH95</f>
        <v>12</v>
      </c>
      <c r="BJ95" s="17">
        <f>'Combined data'!BJ95-'Combined data'!BI95</f>
        <v>5</v>
      </c>
      <c r="BK95" s="17">
        <f>'Combined data'!BK95-'Combined data'!BJ95</f>
        <v>6</v>
      </c>
      <c r="BL95" s="17">
        <f>'Combined data'!BL95-'Combined data'!BK95</f>
        <v>12</v>
      </c>
      <c r="BM95" s="17">
        <f>'Combined data'!BM95-'Combined data'!BL95</f>
        <v>-1</v>
      </c>
      <c r="BN95" s="17">
        <f>'Combined data'!BN95-'Combined data'!BM95</f>
        <v>9</v>
      </c>
      <c r="BO95" s="17">
        <f>'Combined data'!BO95-'Combined data'!BN95</f>
        <v>-436</v>
      </c>
      <c r="BP95" s="17">
        <f>'Combined data'!BP95-'Combined data'!BO95</f>
        <v>0</v>
      </c>
      <c r="BQ95" s="17">
        <f>'Combined data'!BQ95-'Combined data'!BP95</f>
        <v>0</v>
      </c>
      <c r="BR95" s="17">
        <f>'Combined data'!BR95-'Combined data'!BQ95</f>
        <v>0</v>
      </c>
      <c r="BS95" s="17">
        <f>'Combined data'!BS95-'Combined data'!BR95</f>
        <v>0</v>
      </c>
      <c r="BT95" s="17">
        <f>'Combined data'!BT95-'Combined data'!BS95</f>
        <v>0</v>
      </c>
      <c r="BU95" s="17">
        <f>'Combined data'!BU95-'Combined data'!BT95</f>
        <v>0</v>
      </c>
      <c r="BV95" s="17">
        <f>'Combined data'!BV95-'Combined data'!BU95</f>
        <v>0</v>
      </c>
      <c r="BW95" s="17">
        <f>'Combined data'!BW95-'Combined data'!BV95</f>
        <v>0</v>
      </c>
      <c r="BX95" s="17">
        <f>'Combined data'!BX95-'Combined data'!BW95</f>
        <v>0</v>
      </c>
      <c r="BY95" s="17">
        <f>'Combined data'!BY95-'Combined data'!BX95</f>
        <v>0</v>
      </c>
      <c r="CB95" s="17">
        <f t="shared" si="49"/>
        <v>176</v>
      </c>
      <c r="CC95" s="17">
        <f t="shared" si="50"/>
        <v>38</v>
      </c>
      <c r="CD95" s="17">
        <f t="shared" si="51"/>
        <v>16</v>
      </c>
      <c r="CE95" s="17">
        <f t="shared" si="52"/>
        <v>18</v>
      </c>
      <c r="CF95" s="17">
        <f t="shared" si="53"/>
        <v>15</v>
      </c>
      <c r="CG95" s="17">
        <f t="shared" si="54"/>
        <v>9</v>
      </c>
      <c r="CH95" s="17">
        <f t="shared" si="55"/>
        <v>20</v>
      </c>
      <c r="CI95" s="17">
        <f t="shared" si="56"/>
        <v>13</v>
      </c>
      <c r="CJ95" s="17">
        <f t="shared" si="57"/>
        <v>19</v>
      </c>
      <c r="CK95" s="17">
        <f t="shared" si="58"/>
        <v>11</v>
      </c>
      <c r="CL95" s="17">
        <f t="shared" si="59"/>
        <v>16</v>
      </c>
      <c r="CM95" s="17">
        <f t="shared" si="60"/>
        <v>15</v>
      </c>
      <c r="CN95" s="17">
        <f t="shared" si="61"/>
        <v>9</v>
      </c>
      <c r="CO95" s="17">
        <f t="shared" si="62"/>
        <v>6</v>
      </c>
      <c r="CP95" s="17">
        <f t="shared" si="63"/>
        <v>6</v>
      </c>
      <c r="CQ95" s="17">
        <f t="shared" si="64"/>
        <v>2</v>
      </c>
      <c r="CR95" s="17">
        <f t="shared" si="65"/>
        <v>4</v>
      </c>
      <c r="CS95" s="17">
        <f t="shared" si="66"/>
        <v>12</v>
      </c>
      <c r="CT95" s="17">
        <f t="shared" si="67"/>
        <v>5</v>
      </c>
      <c r="CU95" s="17">
        <f t="shared" si="68"/>
        <v>6</v>
      </c>
      <c r="CV95" s="17">
        <f t="shared" si="69"/>
        <v>12</v>
      </c>
      <c r="CW95" s="17">
        <f t="shared" si="70"/>
        <v>-1</v>
      </c>
      <c r="CX95" s="17">
        <f t="shared" si="73"/>
        <v>9</v>
      </c>
      <c r="CY95" s="17">
        <f t="shared" si="73"/>
        <v>-436</v>
      </c>
      <c r="CZ95" s="17">
        <f t="shared" si="73"/>
        <v>0</v>
      </c>
      <c r="DA95" s="17">
        <f t="shared" si="73"/>
        <v>0</v>
      </c>
      <c r="DB95" s="17">
        <f t="shared" si="73"/>
        <v>0</v>
      </c>
      <c r="DC95" s="17">
        <f t="shared" si="73"/>
        <v>0</v>
      </c>
      <c r="DD95" s="17">
        <f t="shared" si="73"/>
        <v>0</v>
      </c>
      <c r="DE95" s="17">
        <f t="shared" si="73"/>
        <v>0</v>
      </c>
      <c r="DF95" s="17">
        <f t="shared" si="73"/>
        <v>0</v>
      </c>
      <c r="DG95" s="17">
        <f t="shared" si="73"/>
        <v>0</v>
      </c>
      <c r="DH95" s="17">
        <f t="shared" si="73"/>
        <v>0</v>
      </c>
      <c r="DI95" s="17">
        <f t="shared" si="73"/>
        <v>0</v>
      </c>
    </row>
    <row r="96" spans="1:113" ht="15.75" x14ac:dyDescent="0.25">
      <c r="A96" s="4" t="s">
        <v>181</v>
      </c>
      <c r="B96" s="6" t="s">
        <v>182</v>
      </c>
      <c r="H96" s="90">
        <f>'Combined data'!H96</f>
        <v>302</v>
      </c>
      <c r="I96" s="90">
        <f>'Combined data'!I96-'Combined data'!H96</f>
        <v>16</v>
      </c>
      <c r="J96" s="90">
        <f>'Combined data'!J96-'Combined data'!I96</f>
        <v>20</v>
      </c>
      <c r="K96" s="90">
        <f>'Combined data'!K96-'Combined data'!J96</f>
        <v>32</v>
      </c>
      <c r="L96" s="90">
        <f>'Combined data'!L96-'Combined data'!K96</f>
        <v>14</v>
      </c>
      <c r="M96" s="90">
        <f>'Combined data'!M96-'Combined data'!L96</f>
        <v>5</v>
      </c>
      <c r="N96" s="90">
        <f>'Combined data'!N96-'Combined data'!M96</f>
        <v>25</v>
      </c>
      <c r="O96" s="90">
        <f>'Combined data'!O96-'Combined data'!N96</f>
        <v>17</v>
      </c>
      <c r="P96" s="90">
        <f>'Combined data'!P96-'Combined data'!O96</f>
        <v>11</v>
      </c>
      <c r="Q96" s="90">
        <f>'Combined data'!Q96-'Combined data'!P96</f>
        <v>13</v>
      </c>
      <c r="R96" s="90">
        <f>'Combined data'!R96-'Combined data'!Q96</f>
        <v>2</v>
      </c>
      <c r="S96" s="90">
        <f>'Combined data'!S96-'Combined data'!R96</f>
        <v>7</v>
      </c>
      <c r="T96" s="90">
        <f>'Combined data'!T96-'Combined data'!S96</f>
        <v>4</v>
      </c>
      <c r="U96" s="90">
        <f>'Combined data'!U96-'Combined data'!T96</f>
        <v>16</v>
      </c>
      <c r="V96" s="90">
        <f>'Combined data'!V96-'Combined data'!U96</f>
        <v>11</v>
      </c>
      <c r="W96" s="90">
        <f>'Combined data'!W96-'Combined data'!V96</f>
        <v>8</v>
      </c>
      <c r="X96" s="90">
        <f>'Combined data'!X96-'Combined data'!W96</f>
        <v>8</v>
      </c>
      <c r="Y96" s="90">
        <f>'Combined data'!Y96-'Combined data'!X96</f>
        <v>10</v>
      </c>
      <c r="Z96" s="90">
        <f>'Combined data'!Z96-'Combined data'!Y96</f>
        <v>16</v>
      </c>
      <c r="AA96" s="90">
        <f>'Combined data'!AA96-'Combined data'!Z96</f>
        <v>4</v>
      </c>
      <c r="AB96" s="90">
        <f>'Combined data'!AB96-'Combined data'!AA96</f>
        <v>1</v>
      </c>
      <c r="AC96" s="90">
        <f>'Combined data'!AC96-'Combined data'!AB96</f>
        <v>4</v>
      </c>
      <c r="AD96" s="90">
        <f>'Combined data'!AD96-'Combined data'!AC96</f>
        <v>11</v>
      </c>
      <c r="AE96" s="90">
        <f>'Combined data'!AE96-'Combined data'!AD96</f>
        <v>-557</v>
      </c>
      <c r="AF96" s="90">
        <f>'Combined data'!AF96-'Combined data'!AE96</f>
        <v>0</v>
      </c>
      <c r="AG96" s="90">
        <f>'Combined data'!AG96-'Combined data'!AF96</f>
        <v>0</v>
      </c>
      <c r="AH96" s="90">
        <f>'Combined data'!AH96-'Combined data'!AG96</f>
        <v>0</v>
      </c>
      <c r="AI96" s="90">
        <f>'Combined data'!AI96-'Combined data'!AH96</f>
        <v>0</v>
      </c>
      <c r="AJ96" s="90">
        <f>'Combined data'!AJ96-'Combined data'!AI96</f>
        <v>0</v>
      </c>
      <c r="AK96" s="90">
        <f>'Combined data'!AK96-'Combined data'!AJ96</f>
        <v>0</v>
      </c>
      <c r="AL96" s="90">
        <f>'Combined data'!AL96-'Combined data'!AK96</f>
        <v>0</v>
      </c>
      <c r="AM96" s="90">
        <f>'Combined data'!AM96-'Combined data'!AL96</f>
        <v>0</v>
      </c>
      <c r="AN96" s="90">
        <f>'Combined data'!AN96-'Combined data'!AM96</f>
        <v>0</v>
      </c>
      <c r="AO96" s="90">
        <f>'Combined data'!AO96-'Combined data'!AN96</f>
        <v>0</v>
      </c>
      <c r="AP96" s="56">
        <f t="shared" si="72"/>
        <v>0</v>
      </c>
      <c r="AQ96" s="113"/>
      <c r="AR96" s="17">
        <f>'Combined data'!AR96</f>
        <v>134</v>
      </c>
      <c r="AS96" s="17">
        <f>'Combined data'!AS96-'Combined data'!AR96</f>
        <v>32</v>
      </c>
      <c r="AT96" s="17">
        <f>'Combined data'!AT96-'Combined data'!AS96</f>
        <v>21</v>
      </c>
      <c r="AU96" s="17">
        <f>'Combined data'!AU96-'Combined data'!AT96</f>
        <v>39</v>
      </c>
      <c r="AV96" s="17">
        <f>'Combined data'!AV96-'Combined data'!AU96</f>
        <v>12</v>
      </c>
      <c r="AW96" s="17">
        <f>'Combined data'!AW96-'Combined data'!AV96</f>
        <v>0</v>
      </c>
      <c r="AX96" s="17">
        <f>'Combined data'!AX96-'Combined data'!AW96</f>
        <v>46</v>
      </c>
      <c r="AY96" s="17">
        <f>'Combined data'!AY96-'Combined data'!AX96</f>
        <v>19</v>
      </c>
      <c r="AZ96" s="17">
        <f>'Combined data'!AZ96-'Combined data'!AY96</f>
        <v>20</v>
      </c>
      <c r="BA96" s="17">
        <f>'Combined data'!BA96-'Combined data'!AZ96</f>
        <v>14</v>
      </c>
      <c r="BB96" s="17">
        <f>'Combined data'!BB96-'Combined data'!BA96</f>
        <v>3</v>
      </c>
      <c r="BC96" s="17">
        <f>'Combined data'!BC96-'Combined data'!BB96</f>
        <v>5</v>
      </c>
      <c r="BD96" s="17">
        <f>'Combined data'!BD96-'Combined data'!BC96</f>
        <v>21</v>
      </c>
      <c r="BE96" s="17">
        <f>'Combined data'!BE96-'Combined data'!BD96</f>
        <v>8</v>
      </c>
      <c r="BF96" s="17">
        <f>'Combined data'!BF96-'Combined data'!BE96</f>
        <v>12</v>
      </c>
      <c r="BG96" s="17">
        <f>'Combined data'!BG96-'Combined data'!BF96</f>
        <v>4</v>
      </c>
      <c r="BH96" s="17">
        <f>'Combined data'!BH96-'Combined data'!BG96</f>
        <v>7</v>
      </c>
      <c r="BI96" s="17">
        <f>'Combined data'!BI96-'Combined data'!BH96</f>
        <v>0</v>
      </c>
      <c r="BJ96" s="17">
        <f>'Combined data'!BJ96-'Combined data'!BI96</f>
        <v>6</v>
      </c>
      <c r="BK96" s="17">
        <f>'Combined data'!BK96-'Combined data'!BJ96</f>
        <v>12</v>
      </c>
      <c r="BL96" s="17">
        <f>'Combined data'!BL96-'Combined data'!BK96</f>
        <v>6</v>
      </c>
      <c r="BM96" s="17">
        <f>'Combined data'!BM96-'Combined data'!BL96</f>
        <v>7</v>
      </c>
      <c r="BN96" s="17">
        <f>'Combined data'!BN96-'Combined data'!BM96</f>
        <v>12</v>
      </c>
      <c r="BO96" s="17">
        <f>'Combined data'!BO96-'Combined data'!BN96</f>
        <v>-440</v>
      </c>
      <c r="BP96" s="17">
        <f>'Combined data'!BP96-'Combined data'!BO96</f>
        <v>0</v>
      </c>
      <c r="BQ96" s="17">
        <f>'Combined data'!BQ96-'Combined data'!BP96</f>
        <v>0</v>
      </c>
      <c r="BR96" s="17">
        <f>'Combined data'!BR96-'Combined data'!BQ96</f>
        <v>0</v>
      </c>
      <c r="BS96" s="17">
        <f>'Combined data'!BS96-'Combined data'!BR96</f>
        <v>0</v>
      </c>
      <c r="BT96" s="17">
        <f>'Combined data'!BT96-'Combined data'!BS96</f>
        <v>0</v>
      </c>
      <c r="BU96" s="17">
        <f>'Combined data'!BU96-'Combined data'!BT96</f>
        <v>0</v>
      </c>
      <c r="BV96" s="17">
        <f>'Combined data'!BV96-'Combined data'!BU96</f>
        <v>0</v>
      </c>
      <c r="BW96" s="17">
        <f>'Combined data'!BW96-'Combined data'!BV96</f>
        <v>0</v>
      </c>
      <c r="BX96" s="17">
        <f>'Combined data'!BX96-'Combined data'!BW96</f>
        <v>0</v>
      </c>
      <c r="BY96" s="17">
        <f>'Combined data'!BY96-'Combined data'!BX96</f>
        <v>0</v>
      </c>
      <c r="CB96" s="17">
        <f t="shared" si="49"/>
        <v>134</v>
      </c>
      <c r="CC96" s="17">
        <f t="shared" si="50"/>
        <v>32</v>
      </c>
      <c r="CD96" s="17">
        <f t="shared" si="51"/>
        <v>21</v>
      </c>
      <c r="CE96" s="17">
        <f t="shared" si="52"/>
        <v>39</v>
      </c>
      <c r="CF96" s="17">
        <f t="shared" si="53"/>
        <v>12</v>
      </c>
      <c r="CG96" s="17">
        <f t="shared" si="54"/>
        <v>0</v>
      </c>
      <c r="CH96" s="17">
        <f t="shared" si="55"/>
        <v>46</v>
      </c>
      <c r="CI96" s="17">
        <f t="shared" si="56"/>
        <v>19</v>
      </c>
      <c r="CJ96" s="17">
        <f t="shared" si="57"/>
        <v>20</v>
      </c>
      <c r="CK96" s="17">
        <f t="shared" si="58"/>
        <v>14</v>
      </c>
      <c r="CL96" s="17">
        <f t="shared" si="59"/>
        <v>3</v>
      </c>
      <c r="CM96" s="17">
        <f t="shared" si="60"/>
        <v>5</v>
      </c>
      <c r="CN96" s="17">
        <f t="shared" si="61"/>
        <v>21</v>
      </c>
      <c r="CO96" s="17">
        <f t="shared" si="62"/>
        <v>8</v>
      </c>
      <c r="CP96" s="17">
        <f t="shared" si="63"/>
        <v>12</v>
      </c>
      <c r="CQ96" s="17">
        <f t="shared" si="64"/>
        <v>4</v>
      </c>
      <c r="CR96" s="17">
        <f t="shared" si="65"/>
        <v>7</v>
      </c>
      <c r="CS96" s="17">
        <f t="shared" si="66"/>
        <v>0</v>
      </c>
      <c r="CT96" s="17">
        <f t="shared" si="67"/>
        <v>6</v>
      </c>
      <c r="CU96" s="17">
        <f t="shared" si="68"/>
        <v>12</v>
      </c>
      <c r="CV96" s="17">
        <f t="shared" si="69"/>
        <v>6</v>
      </c>
      <c r="CW96" s="17">
        <f t="shared" si="70"/>
        <v>7</v>
      </c>
      <c r="CX96" s="17">
        <f t="shared" si="73"/>
        <v>12</v>
      </c>
      <c r="CY96" s="17">
        <f t="shared" si="73"/>
        <v>-440</v>
      </c>
      <c r="CZ96" s="17">
        <f t="shared" si="73"/>
        <v>0</v>
      </c>
      <c r="DA96" s="17">
        <f t="shared" si="73"/>
        <v>0</v>
      </c>
      <c r="DB96" s="17">
        <f t="shared" si="73"/>
        <v>0</v>
      </c>
      <c r="DC96" s="17">
        <f t="shared" si="73"/>
        <v>0</v>
      </c>
      <c r="DD96" s="17">
        <f t="shared" si="73"/>
        <v>0</v>
      </c>
      <c r="DE96" s="17">
        <f t="shared" si="73"/>
        <v>0</v>
      </c>
      <c r="DF96" s="17">
        <f t="shared" si="73"/>
        <v>0</v>
      </c>
      <c r="DG96" s="17">
        <f t="shared" si="73"/>
        <v>0</v>
      </c>
      <c r="DH96" s="17">
        <f t="shared" si="73"/>
        <v>0</v>
      </c>
      <c r="DI96" s="17">
        <f t="shared" si="73"/>
        <v>0</v>
      </c>
    </row>
    <row r="97" spans="1:113" ht="15.75" x14ac:dyDescent="0.25">
      <c r="A97" s="4" t="s">
        <v>183</v>
      </c>
      <c r="B97" s="6" t="s">
        <v>184</v>
      </c>
      <c r="H97" s="90">
        <f>'Combined data'!H97</f>
        <v>181</v>
      </c>
      <c r="I97" s="90">
        <f>'Combined data'!I97-'Combined data'!H97</f>
        <v>12</v>
      </c>
      <c r="J97" s="90">
        <f>'Combined data'!J97-'Combined data'!I97</f>
        <v>19</v>
      </c>
      <c r="K97" s="90">
        <f>'Combined data'!K97-'Combined data'!J97</f>
        <v>10</v>
      </c>
      <c r="L97" s="90">
        <f>'Combined data'!L97-'Combined data'!K97</f>
        <v>0</v>
      </c>
      <c r="M97" s="90">
        <f>'Combined data'!M97-'Combined data'!L97</f>
        <v>6</v>
      </c>
      <c r="N97" s="90">
        <f>'Combined data'!N97-'Combined data'!M97</f>
        <v>11</v>
      </c>
      <c r="O97" s="90">
        <f>'Combined data'!O97-'Combined data'!N97</f>
        <v>9</v>
      </c>
      <c r="P97" s="90">
        <f>'Combined data'!P97-'Combined data'!O97</f>
        <v>5</v>
      </c>
      <c r="Q97" s="90">
        <f>'Combined data'!Q97-'Combined data'!P97</f>
        <v>4</v>
      </c>
      <c r="R97" s="90">
        <f>'Combined data'!R97-'Combined data'!Q97</f>
        <v>0</v>
      </c>
      <c r="S97" s="90">
        <f>'Combined data'!S97-'Combined data'!R97</f>
        <v>4</v>
      </c>
      <c r="T97" s="90">
        <f>'Combined data'!T97-'Combined data'!S97</f>
        <v>7</v>
      </c>
      <c r="U97" s="90">
        <f>'Combined data'!U97-'Combined data'!T97</f>
        <v>6</v>
      </c>
      <c r="V97" s="90">
        <f>'Combined data'!V97-'Combined data'!U97</f>
        <v>7</v>
      </c>
      <c r="W97" s="90">
        <f>'Combined data'!W97-'Combined data'!V97</f>
        <v>3</v>
      </c>
      <c r="X97" s="90">
        <f>'Combined data'!X97-'Combined data'!W97</f>
        <v>0</v>
      </c>
      <c r="Y97" s="90">
        <f>'Combined data'!Y97-'Combined data'!X97</f>
        <v>2</v>
      </c>
      <c r="Z97" s="90">
        <f>'Combined data'!Z97-'Combined data'!Y97</f>
        <v>2</v>
      </c>
      <c r="AA97" s="90">
        <f>'Combined data'!AA97-'Combined data'!Z97</f>
        <v>3</v>
      </c>
      <c r="AB97" s="90">
        <f>'Combined data'!AB97-'Combined data'!AA97</f>
        <v>1</v>
      </c>
      <c r="AC97" s="90">
        <f>'Combined data'!AC97-'Combined data'!AB97</f>
        <v>0</v>
      </c>
      <c r="AD97" s="90">
        <f>'Combined data'!AD97-'Combined data'!AC97</f>
        <v>0</v>
      </c>
      <c r="AE97" s="90">
        <f>'Combined data'!AE97-'Combined data'!AD97</f>
        <v>-292</v>
      </c>
      <c r="AF97" s="90">
        <f>'Combined data'!AF97-'Combined data'!AE97</f>
        <v>0</v>
      </c>
      <c r="AG97" s="90">
        <f>'Combined data'!AG97-'Combined data'!AF97</f>
        <v>0</v>
      </c>
      <c r="AH97" s="90">
        <f>'Combined data'!AH97-'Combined data'!AG97</f>
        <v>0</v>
      </c>
      <c r="AI97" s="90">
        <f>'Combined data'!AI97-'Combined data'!AH97</f>
        <v>0</v>
      </c>
      <c r="AJ97" s="90">
        <f>'Combined data'!AJ97-'Combined data'!AI97</f>
        <v>0</v>
      </c>
      <c r="AK97" s="90">
        <f>'Combined data'!AK97-'Combined data'!AJ97</f>
        <v>0</v>
      </c>
      <c r="AL97" s="90">
        <f>'Combined data'!AL97-'Combined data'!AK97</f>
        <v>0</v>
      </c>
      <c r="AM97" s="90">
        <f>'Combined data'!AM97-'Combined data'!AL97</f>
        <v>0</v>
      </c>
      <c r="AN97" s="90">
        <f>'Combined data'!AN97-'Combined data'!AM97</f>
        <v>0</v>
      </c>
      <c r="AO97" s="90">
        <f>'Combined data'!AO97-'Combined data'!AN97</f>
        <v>0</v>
      </c>
      <c r="AP97" s="56">
        <f t="shared" si="72"/>
        <v>0</v>
      </c>
      <c r="AQ97" s="113"/>
      <c r="AR97" s="17">
        <f>'Combined data'!AR97</f>
        <v>105</v>
      </c>
      <c r="AS97" s="17">
        <f>'Combined data'!AS97-'Combined data'!AR97</f>
        <v>12</v>
      </c>
      <c r="AT97" s="17">
        <f>'Combined data'!AT97-'Combined data'!AS97</f>
        <v>16</v>
      </c>
      <c r="AU97" s="17">
        <f>'Combined data'!AU97-'Combined data'!AT97</f>
        <v>19</v>
      </c>
      <c r="AV97" s="17">
        <f>'Combined data'!AV97-'Combined data'!AU97</f>
        <v>7</v>
      </c>
      <c r="AW97" s="17">
        <f>'Combined data'!AW97-'Combined data'!AV97</f>
        <v>8</v>
      </c>
      <c r="AX97" s="17">
        <f>'Combined data'!AX97-'Combined data'!AW97</f>
        <v>17</v>
      </c>
      <c r="AY97" s="17">
        <f>'Combined data'!AY97-'Combined data'!AX97</f>
        <v>5</v>
      </c>
      <c r="AZ97" s="17">
        <f>'Combined data'!AZ97-'Combined data'!AY97</f>
        <v>9</v>
      </c>
      <c r="BA97" s="17">
        <f>'Combined data'!BA97-'Combined data'!AZ97</f>
        <v>1</v>
      </c>
      <c r="BB97" s="17">
        <f>'Combined data'!BB97-'Combined data'!BA97</f>
        <v>4</v>
      </c>
      <c r="BC97" s="17">
        <f>'Combined data'!BC97-'Combined data'!BB97</f>
        <v>10</v>
      </c>
      <c r="BD97" s="17">
        <f>'Combined data'!BD97-'Combined data'!BC97</f>
        <v>1</v>
      </c>
      <c r="BE97" s="17">
        <f>'Combined data'!BE97-'Combined data'!BD97</f>
        <v>1</v>
      </c>
      <c r="BF97" s="17">
        <f>'Combined data'!BF97-'Combined data'!BE97</f>
        <v>5</v>
      </c>
      <c r="BG97" s="17">
        <f>'Combined data'!BG97-'Combined data'!BF97</f>
        <v>3</v>
      </c>
      <c r="BH97" s="17">
        <f>'Combined data'!BH97-'Combined data'!BG97</f>
        <v>4</v>
      </c>
      <c r="BI97" s="17">
        <f>'Combined data'!BI97-'Combined data'!BH97</f>
        <v>6</v>
      </c>
      <c r="BJ97" s="17">
        <f>'Combined data'!BJ97-'Combined data'!BI97</f>
        <v>4</v>
      </c>
      <c r="BK97" s="17">
        <f>'Combined data'!BK97-'Combined data'!BJ97</f>
        <v>3</v>
      </c>
      <c r="BL97" s="17">
        <f>'Combined data'!BL97-'Combined data'!BK97</f>
        <v>-1</v>
      </c>
      <c r="BM97" s="17">
        <f>'Combined data'!BM97-'Combined data'!BL97</f>
        <v>7</v>
      </c>
      <c r="BN97" s="17">
        <f>'Combined data'!BN97-'Combined data'!BM97</f>
        <v>1</v>
      </c>
      <c r="BO97" s="17">
        <f>'Combined data'!BO97-'Combined data'!BN97</f>
        <v>-247</v>
      </c>
      <c r="BP97" s="17">
        <f>'Combined data'!BP97-'Combined data'!BO97</f>
        <v>0</v>
      </c>
      <c r="BQ97" s="17">
        <f>'Combined data'!BQ97-'Combined data'!BP97</f>
        <v>0</v>
      </c>
      <c r="BR97" s="17">
        <f>'Combined data'!BR97-'Combined data'!BQ97</f>
        <v>0</v>
      </c>
      <c r="BS97" s="17">
        <f>'Combined data'!BS97-'Combined data'!BR97</f>
        <v>0</v>
      </c>
      <c r="BT97" s="17">
        <f>'Combined data'!BT97-'Combined data'!BS97</f>
        <v>0</v>
      </c>
      <c r="BU97" s="17">
        <f>'Combined data'!BU97-'Combined data'!BT97</f>
        <v>0</v>
      </c>
      <c r="BV97" s="17">
        <f>'Combined data'!BV97-'Combined data'!BU97</f>
        <v>0</v>
      </c>
      <c r="BW97" s="17">
        <f>'Combined data'!BW97-'Combined data'!BV97</f>
        <v>0</v>
      </c>
      <c r="BX97" s="17">
        <f>'Combined data'!BX97-'Combined data'!BW97</f>
        <v>0</v>
      </c>
      <c r="BY97" s="17">
        <f>'Combined data'!BY97-'Combined data'!BX97</f>
        <v>0</v>
      </c>
      <c r="CB97" s="17">
        <f t="shared" si="49"/>
        <v>105</v>
      </c>
      <c r="CC97" s="17">
        <f t="shared" si="50"/>
        <v>12</v>
      </c>
      <c r="CD97" s="17">
        <f t="shared" si="51"/>
        <v>16</v>
      </c>
      <c r="CE97" s="17">
        <f t="shared" si="52"/>
        <v>19</v>
      </c>
      <c r="CF97" s="17">
        <f t="shared" si="53"/>
        <v>7</v>
      </c>
      <c r="CG97" s="17">
        <f t="shared" si="54"/>
        <v>8</v>
      </c>
      <c r="CH97" s="17">
        <f t="shared" si="55"/>
        <v>17</v>
      </c>
      <c r="CI97" s="17">
        <f t="shared" si="56"/>
        <v>5</v>
      </c>
      <c r="CJ97" s="17">
        <f t="shared" si="57"/>
        <v>9</v>
      </c>
      <c r="CK97" s="17">
        <f t="shared" si="58"/>
        <v>1</v>
      </c>
      <c r="CL97" s="17">
        <f t="shared" si="59"/>
        <v>4</v>
      </c>
      <c r="CM97" s="17">
        <f t="shared" si="60"/>
        <v>10</v>
      </c>
      <c r="CN97" s="17">
        <f t="shared" si="61"/>
        <v>1</v>
      </c>
      <c r="CO97" s="17">
        <f t="shared" si="62"/>
        <v>1</v>
      </c>
      <c r="CP97" s="17">
        <f t="shared" si="63"/>
        <v>5</v>
      </c>
      <c r="CQ97" s="17">
        <f t="shared" si="64"/>
        <v>3</v>
      </c>
      <c r="CR97" s="17">
        <f t="shared" si="65"/>
        <v>4</v>
      </c>
      <c r="CS97" s="17">
        <f t="shared" si="66"/>
        <v>6</v>
      </c>
      <c r="CT97" s="17">
        <f t="shared" si="67"/>
        <v>4</v>
      </c>
      <c r="CU97" s="17">
        <f t="shared" si="68"/>
        <v>3</v>
      </c>
      <c r="CV97" s="17">
        <f t="shared" si="69"/>
        <v>-1</v>
      </c>
      <c r="CW97" s="17">
        <f t="shared" si="70"/>
        <v>7</v>
      </c>
      <c r="CX97" s="17">
        <f t="shared" si="73"/>
        <v>1</v>
      </c>
      <c r="CY97" s="17">
        <f t="shared" si="73"/>
        <v>-247</v>
      </c>
      <c r="CZ97" s="17">
        <f t="shared" si="73"/>
        <v>0</v>
      </c>
      <c r="DA97" s="17">
        <f t="shared" si="73"/>
        <v>0</v>
      </c>
      <c r="DB97" s="17">
        <f t="shared" si="73"/>
        <v>0</v>
      </c>
      <c r="DC97" s="17">
        <f t="shared" si="73"/>
        <v>0</v>
      </c>
      <c r="DD97" s="17">
        <f t="shared" si="73"/>
        <v>0</v>
      </c>
      <c r="DE97" s="17">
        <f t="shared" si="73"/>
        <v>0</v>
      </c>
      <c r="DF97" s="17">
        <f t="shared" si="73"/>
        <v>0</v>
      </c>
      <c r="DG97" s="17">
        <f t="shared" si="73"/>
        <v>0</v>
      </c>
      <c r="DH97" s="17">
        <f t="shared" si="73"/>
        <v>0</v>
      </c>
      <c r="DI97" s="17">
        <f t="shared" si="73"/>
        <v>0</v>
      </c>
    </row>
    <row r="98" spans="1:113" ht="15.75" x14ac:dyDescent="0.25">
      <c r="A98" s="4" t="s">
        <v>185</v>
      </c>
      <c r="B98" s="6" t="s">
        <v>186</v>
      </c>
      <c r="H98" s="90">
        <f>'Combined data'!H98</f>
        <v>627</v>
      </c>
      <c r="I98" s="90">
        <f>'Combined data'!I98-'Combined data'!H98</f>
        <v>51</v>
      </c>
      <c r="J98" s="90">
        <f>'Combined data'!J98-'Combined data'!I98</f>
        <v>57</v>
      </c>
      <c r="K98" s="90">
        <f>'Combined data'!K98-'Combined data'!J98</f>
        <v>63</v>
      </c>
      <c r="L98" s="90">
        <f>'Combined data'!L98-'Combined data'!K98</f>
        <v>36</v>
      </c>
      <c r="M98" s="90">
        <f>'Combined data'!M98-'Combined data'!L98</f>
        <v>28</v>
      </c>
      <c r="N98" s="90">
        <f>'Combined data'!N98-'Combined data'!M98</f>
        <v>40</v>
      </c>
      <c r="O98" s="90">
        <f>'Combined data'!O98-'Combined data'!N98</f>
        <v>24</v>
      </c>
      <c r="P98" s="90">
        <f>'Combined data'!P98-'Combined data'!O98</f>
        <v>47</v>
      </c>
      <c r="Q98" s="90">
        <f>'Combined data'!Q98-'Combined data'!P98</f>
        <v>22</v>
      </c>
      <c r="R98" s="90">
        <f>'Combined data'!R98-'Combined data'!Q98</f>
        <v>14</v>
      </c>
      <c r="S98" s="90">
        <f>'Combined data'!S98-'Combined data'!R98</f>
        <v>34</v>
      </c>
      <c r="T98" s="90">
        <f>'Combined data'!T98-'Combined data'!S98</f>
        <v>19</v>
      </c>
      <c r="U98" s="90">
        <f>'Combined data'!U98-'Combined data'!T98</f>
        <v>24</v>
      </c>
      <c r="V98" s="90">
        <f>'Combined data'!V98-'Combined data'!U98</f>
        <v>22</v>
      </c>
      <c r="W98" s="90">
        <f>'Combined data'!W98-'Combined data'!V98</f>
        <v>18</v>
      </c>
      <c r="X98" s="90">
        <f>'Combined data'!X98-'Combined data'!W98</f>
        <v>12</v>
      </c>
      <c r="Y98" s="90">
        <f>'Combined data'!Y98-'Combined data'!X98</f>
        <v>19</v>
      </c>
      <c r="Z98" s="90">
        <f>'Combined data'!Z98-'Combined data'!Y98</f>
        <v>16</v>
      </c>
      <c r="AA98" s="90">
        <f>'Combined data'!AA98-'Combined data'!Z98</f>
        <v>2</v>
      </c>
      <c r="AB98" s="90">
        <f>'Combined data'!AB98-'Combined data'!AA98</f>
        <v>14</v>
      </c>
      <c r="AC98" s="90">
        <f>'Combined data'!AC98-'Combined data'!AB98</f>
        <v>0</v>
      </c>
      <c r="AD98" s="90">
        <f>'Combined data'!AD98-'Combined data'!AC98</f>
        <v>22</v>
      </c>
      <c r="AE98" s="90">
        <f>'Combined data'!AE98-'Combined data'!AD98</f>
        <v>-1211</v>
      </c>
      <c r="AF98" s="90">
        <f>'Combined data'!AF98-'Combined data'!AE98</f>
        <v>0</v>
      </c>
      <c r="AG98" s="90">
        <f>'Combined data'!AG98-'Combined data'!AF98</f>
        <v>0</v>
      </c>
      <c r="AH98" s="90">
        <f>'Combined data'!AH98-'Combined data'!AG98</f>
        <v>0</v>
      </c>
      <c r="AI98" s="90">
        <f>'Combined data'!AI98-'Combined data'!AH98</f>
        <v>0</v>
      </c>
      <c r="AJ98" s="90">
        <f>'Combined data'!AJ98-'Combined data'!AI98</f>
        <v>0</v>
      </c>
      <c r="AK98" s="90">
        <f>'Combined data'!AK98-'Combined data'!AJ98</f>
        <v>0</v>
      </c>
      <c r="AL98" s="90">
        <f>'Combined data'!AL98-'Combined data'!AK98</f>
        <v>0</v>
      </c>
      <c r="AM98" s="90">
        <f>'Combined data'!AM98-'Combined data'!AL98</f>
        <v>0</v>
      </c>
      <c r="AN98" s="90">
        <f>'Combined data'!AN98-'Combined data'!AM98</f>
        <v>0</v>
      </c>
      <c r="AO98" s="90">
        <f>'Combined data'!AO98-'Combined data'!AN98</f>
        <v>0</v>
      </c>
      <c r="AP98" s="56">
        <f t="shared" si="72"/>
        <v>0</v>
      </c>
      <c r="AQ98" s="113"/>
      <c r="AR98" s="17">
        <f>'Combined data'!AR98</f>
        <v>299</v>
      </c>
      <c r="AS98" s="17">
        <f>'Combined data'!AS98-'Combined data'!AR98</f>
        <v>38</v>
      </c>
      <c r="AT98" s="17">
        <f>'Combined data'!AT98-'Combined data'!AS98</f>
        <v>42</v>
      </c>
      <c r="AU98" s="17">
        <f>'Combined data'!AU98-'Combined data'!AT98</f>
        <v>76</v>
      </c>
      <c r="AV98" s="17">
        <f>'Combined data'!AV98-'Combined data'!AU98</f>
        <v>47</v>
      </c>
      <c r="AW98" s="17">
        <f>'Combined data'!AW98-'Combined data'!AV98</f>
        <v>40</v>
      </c>
      <c r="AX98" s="17">
        <f>'Combined data'!AX98-'Combined data'!AW98</f>
        <v>71</v>
      </c>
      <c r="AY98" s="17">
        <f>'Combined data'!AY98-'Combined data'!AX98</f>
        <v>27</v>
      </c>
      <c r="AZ98" s="17">
        <f>'Combined data'!AZ98-'Combined data'!AY98</f>
        <v>43</v>
      </c>
      <c r="BA98" s="17">
        <f>'Combined data'!BA98-'Combined data'!AZ98</f>
        <v>44</v>
      </c>
      <c r="BB98" s="17">
        <f>'Combined data'!BB98-'Combined data'!BA98</f>
        <v>12</v>
      </c>
      <c r="BC98" s="17">
        <f>'Combined data'!BC98-'Combined data'!BB98</f>
        <v>52</v>
      </c>
      <c r="BD98" s="17">
        <f>'Combined data'!BD98-'Combined data'!BC98</f>
        <v>34</v>
      </c>
      <c r="BE98" s="17">
        <f>'Combined data'!BE98-'Combined data'!BD98</f>
        <v>24</v>
      </c>
      <c r="BF98" s="17">
        <f>'Combined data'!BF98-'Combined data'!BE98</f>
        <v>18</v>
      </c>
      <c r="BG98" s="17">
        <f>'Combined data'!BG98-'Combined data'!BF98</f>
        <v>20</v>
      </c>
      <c r="BH98" s="17">
        <f>'Combined data'!BH98-'Combined data'!BG98</f>
        <v>15</v>
      </c>
      <c r="BI98" s="17">
        <f>'Combined data'!BI98-'Combined data'!BH98</f>
        <v>30</v>
      </c>
      <c r="BJ98" s="17">
        <f>'Combined data'!BJ98-'Combined data'!BI98</f>
        <v>13</v>
      </c>
      <c r="BK98" s="17">
        <f>'Combined data'!BK98-'Combined data'!BJ98</f>
        <v>17</v>
      </c>
      <c r="BL98" s="17">
        <f>'Combined data'!BL98-'Combined data'!BK98</f>
        <v>13</v>
      </c>
      <c r="BM98" s="17">
        <f>'Combined data'!BM98-'Combined data'!BL98</f>
        <v>23</v>
      </c>
      <c r="BN98" s="17">
        <f>'Combined data'!BN98-'Combined data'!BM98</f>
        <v>12</v>
      </c>
      <c r="BO98" s="17">
        <f>'Combined data'!BO98-'Combined data'!BN98</f>
        <v>-1010</v>
      </c>
      <c r="BP98" s="17">
        <f>'Combined data'!BP98-'Combined data'!BO98</f>
        <v>0</v>
      </c>
      <c r="BQ98" s="17">
        <f>'Combined data'!BQ98-'Combined data'!BP98</f>
        <v>0</v>
      </c>
      <c r="BR98" s="17">
        <f>'Combined data'!BR98-'Combined data'!BQ98</f>
        <v>0</v>
      </c>
      <c r="BS98" s="17">
        <f>'Combined data'!BS98-'Combined data'!BR98</f>
        <v>0</v>
      </c>
      <c r="BT98" s="17">
        <f>'Combined data'!BT98-'Combined data'!BS98</f>
        <v>0</v>
      </c>
      <c r="BU98" s="17">
        <f>'Combined data'!BU98-'Combined data'!BT98</f>
        <v>0</v>
      </c>
      <c r="BV98" s="17">
        <f>'Combined data'!BV98-'Combined data'!BU98</f>
        <v>0</v>
      </c>
      <c r="BW98" s="17">
        <f>'Combined data'!BW98-'Combined data'!BV98</f>
        <v>0</v>
      </c>
      <c r="BX98" s="17">
        <f>'Combined data'!BX98-'Combined data'!BW98</f>
        <v>0</v>
      </c>
      <c r="BY98" s="17">
        <f>'Combined data'!BY98-'Combined data'!BX98</f>
        <v>0</v>
      </c>
      <c r="CB98" s="17">
        <f t="shared" si="49"/>
        <v>299</v>
      </c>
      <c r="CC98" s="17">
        <f t="shared" si="50"/>
        <v>38</v>
      </c>
      <c r="CD98" s="17">
        <f t="shared" si="51"/>
        <v>42</v>
      </c>
      <c r="CE98" s="17">
        <f t="shared" si="52"/>
        <v>76</v>
      </c>
      <c r="CF98" s="17">
        <f t="shared" si="53"/>
        <v>47</v>
      </c>
      <c r="CG98" s="17">
        <f t="shared" si="54"/>
        <v>40</v>
      </c>
      <c r="CH98" s="17">
        <f t="shared" si="55"/>
        <v>71</v>
      </c>
      <c r="CI98" s="17">
        <f t="shared" si="56"/>
        <v>27</v>
      </c>
      <c r="CJ98" s="17">
        <f t="shared" si="57"/>
        <v>43</v>
      </c>
      <c r="CK98" s="17">
        <f t="shared" si="58"/>
        <v>44</v>
      </c>
      <c r="CL98" s="17">
        <f t="shared" si="59"/>
        <v>12</v>
      </c>
      <c r="CM98" s="17">
        <f t="shared" si="60"/>
        <v>52</v>
      </c>
      <c r="CN98" s="17">
        <f t="shared" si="61"/>
        <v>34</v>
      </c>
      <c r="CO98" s="17">
        <f t="shared" si="62"/>
        <v>24</v>
      </c>
      <c r="CP98" s="17">
        <f t="shared" si="63"/>
        <v>18</v>
      </c>
      <c r="CQ98" s="17">
        <f t="shared" si="64"/>
        <v>20</v>
      </c>
      <c r="CR98" s="17">
        <f t="shared" si="65"/>
        <v>15</v>
      </c>
      <c r="CS98" s="17">
        <f t="shared" si="66"/>
        <v>30</v>
      </c>
      <c r="CT98" s="17">
        <f t="shared" si="67"/>
        <v>13</v>
      </c>
      <c r="CU98" s="17">
        <f t="shared" si="68"/>
        <v>17</v>
      </c>
      <c r="CV98" s="17">
        <f t="shared" si="69"/>
        <v>13</v>
      </c>
      <c r="CW98" s="17">
        <f t="shared" si="70"/>
        <v>23</v>
      </c>
      <c r="CX98" s="17">
        <f t="shared" si="73"/>
        <v>12</v>
      </c>
      <c r="CY98" s="17">
        <f t="shared" si="73"/>
        <v>-1010</v>
      </c>
      <c r="CZ98" s="17">
        <f t="shared" si="73"/>
        <v>0</v>
      </c>
      <c r="DA98" s="17">
        <f t="shared" si="73"/>
        <v>0</v>
      </c>
      <c r="DB98" s="17">
        <f t="shared" si="73"/>
        <v>0</v>
      </c>
      <c r="DC98" s="17">
        <f t="shared" si="73"/>
        <v>0</v>
      </c>
      <c r="DD98" s="17">
        <f t="shared" si="73"/>
        <v>0</v>
      </c>
      <c r="DE98" s="17">
        <f t="shared" si="73"/>
        <v>0</v>
      </c>
      <c r="DF98" s="17">
        <f t="shared" si="73"/>
        <v>0</v>
      </c>
      <c r="DG98" s="17">
        <f t="shared" si="73"/>
        <v>0</v>
      </c>
      <c r="DH98" s="17">
        <f t="shared" si="73"/>
        <v>0</v>
      </c>
      <c r="DI98" s="17">
        <f t="shared" si="73"/>
        <v>0</v>
      </c>
    </row>
    <row r="99" spans="1:113" ht="15.75" x14ac:dyDescent="0.25">
      <c r="A99" s="4" t="s">
        <v>187</v>
      </c>
      <c r="B99" s="6" t="s">
        <v>188</v>
      </c>
      <c r="H99" s="90">
        <f>'Combined data'!H99</f>
        <v>251</v>
      </c>
      <c r="I99" s="90">
        <f>'Combined data'!I99-'Combined data'!H99</f>
        <v>15</v>
      </c>
      <c r="J99" s="90">
        <f>'Combined data'!J99-'Combined data'!I99</f>
        <v>23</v>
      </c>
      <c r="K99" s="90">
        <f>'Combined data'!K99-'Combined data'!J99</f>
        <v>29</v>
      </c>
      <c r="L99" s="90">
        <f>'Combined data'!L99-'Combined data'!K99</f>
        <v>13</v>
      </c>
      <c r="M99" s="90">
        <f>'Combined data'!M99-'Combined data'!L99</f>
        <v>19</v>
      </c>
      <c r="N99" s="90">
        <f>'Combined data'!N99-'Combined data'!M99</f>
        <v>26</v>
      </c>
      <c r="O99" s="90">
        <f>'Combined data'!O99-'Combined data'!N99</f>
        <v>14</v>
      </c>
      <c r="P99" s="90">
        <f>'Combined data'!P99-'Combined data'!O99</f>
        <v>12</v>
      </c>
      <c r="Q99" s="90">
        <f>'Combined data'!Q99-'Combined data'!P99</f>
        <v>12</v>
      </c>
      <c r="R99" s="90">
        <f>'Combined data'!R99-'Combined data'!Q99</f>
        <v>13</v>
      </c>
      <c r="S99" s="90">
        <f>'Combined data'!S99-'Combined data'!R99</f>
        <v>23</v>
      </c>
      <c r="T99" s="90">
        <f>'Combined data'!T99-'Combined data'!S99</f>
        <v>15</v>
      </c>
      <c r="U99" s="90">
        <f>'Combined data'!U99-'Combined data'!T99</f>
        <v>16</v>
      </c>
      <c r="V99" s="90">
        <f>'Combined data'!V99-'Combined data'!U99</f>
        <v>16</v>
      </c>
      <c r="W99" s="90">
        <f>'Combined data'!W99-'Combined data'!V99</f>
        <v>15</v>
      </c>
      <c r="X99" s="90">
        <f>'Combined data'!X99-'Combined data'!W99</f>
        <v>2</v>
      </c>
      <c r="Y99" s="90">
        <f>'Combined data'!Y99-'Combined data'!X99</f>
        <v>6</v>
      </c>
      <c r="Z99" s="90">
        <f>'Combined data'!Z99-'Combined data'!Y99</f>
        <v>14</v>
      </c>
      <c r="AA99" s="90">
        <f>'Combined data'!AA99-'Combined data'!Z99</f>
        <v>9</v>
      </c>
      <c r="AB99" s="90">
        <f>'Combined data'!AB99-'Combined data'!AA99</f>
        <v>3</v>
      </c>
      <c r="AC99" s="90">
        <f>'Combined data'!AC99-'Combined data'!AB99</f>
        <v>-2</v>
      </c>
      <c r="AD99" s="90">
        <f>'Combined data'!AD99-'Combined data'!AC99</f>
        <v>6</v>
      </c>
      <c r="AE99" s="90">
        <f>'Combined data'!AE99-'Combined data'!AD99</f>
        <v>-550</v>
      </c>
      <c r="AF99" s="90">
        <f>'Combined data'!AF99-'Combined data'!AE99</f>
        <v>0</v>
      </c>
      <c r="AG99" s="90">
        <f>'Combined data'!AG99-'Combined data'!AF99</f>
        <v>0</v>
      </c>
      <c r="AH99" s="90">
        <f>'Combined data'!AH99-'Combined data'!AG99</f>
        <v>0</v>
      </c>
      <c r="AI99" s="90">
        <f>'Combined data'!AI99-'Combined data'!AH99</f>
        <v>0</v>
      </c>
      <c r="AJ99" s="90">
        <f>'Combined data'!AJ99-'Combined data'!AI99</f>
        <v>0</v>
      </c>
      <c r="AK99" s="90">
        <f>'Combined data'!AK99-'Combined data'!AJ99</f>
        <v>0</v>
      </c>
      <c r="AL99" s="90">
        <f>'Combined data'!AL99-'Combined data'!AK99</f>
        <v>0</v>
      </c>
      <c r="AM99" s="90">
        <f>'Combined data'!AM99-'Combined data'!AL99</f>
        <v>0</v>
      </c>
      <c r="AN99" s="90">
        <f>'Combined data'!AN99-'Combined data'!AM99</f>
        <v>0</v>
      </c>
      <c r="AO99" s="90">
        <f>'Combined data'!AO99-'Combined data'!AN99</f>
        <v>0</v>
      </c>
      <c r="AP99" s="56">
        <f t="shared" si="72"/>
        <v>0</v>
      </c>
      <c r="AQ99" s="113"/>
      <c r="AR99" s="17">
        <f>'Combined data'!AR99</f>
        <v>108</v>
      </c>
      <c r="AS99" s="17">
        <f>'Combined data'!AS99-'Combined data'!AR99</f>
        <v>32</v>
      </c>
      <c r="AT99" s="17">
        <f>'Combined data'!AT99-'Combined data'!AS99</f>
        <v>9</v>
      </c>
      <c r="AU99" s="17">
        <f>'Combined data'!AU99-'Combined data'!AT99</f>
        <v>50</v>
      </c>
      <c r="AV99" s="17">
        <f>'Combined data'!AV99-'Combined data'!AU99</f>
        <v>20</v>
      </c>
      <c r="AW99" s="17">
        <f>'Combined data'!AW99-'Combined data'!AV99</f>
        <v>10</v>
      </c>
      <c r="AX99" s="17">
        <f>'Combined data'!AX99-'Combined data'!AW99</f>
        <v>21</v>
      </c>
      <c r="AY99" s="17">
        <f>'Combined data'!AY99-'Combined data'!AX99</f>
        <v>9</v>
      </c>
      <c r="AZ99" s="17">
        <f>'Combined data'!AZ99-'Combined data'!AY99</f>
        <v>17</v>
      </c>
      <c r="BA99" s="17">
        <f>'Combined data'!BA99-'Combined data'!AZ99</f>
        <v>10</v>
      </c>
      <c r="BB99" s="17">
        <f>'Combined data'!BB99-'Combined data'!BA99</f>
        <v>19</v>
      </c>
      <c r="BC99" s="17">
        <f>'Combined data'!BC99-'Combined data'!BB99</f>
        <v>16</v>
      </c>
      <c r="BD99" s="17">
        <f>'Combined data'!BD99-'Combined data'!BC99</f>
        <v>17</v>
      </c>
      <c r="BE99" s="17">
        <f>'Combined data'!BE99-'Combined data'!BD99</f>
        <v>13</v>
      </c>
      <c r="BF99" s="17">
        <f>'Combined data'!BF99-'Combined data'!BE99</f>
        <v>15</v>
      </c>
      <c r="BG99" s="17">
        <f>'Combined data'!BG99-'Combined data'!BF99</f>
        <v>7</v>
      </c>
      <c r="BH99" s="17">
        <f>'Combined data'!BH99-'Combined data'!BG99</f>
        <v>8</v>
      </c>
      <c r="BI99" s="17">
        <f>'Combined data'!BI99-'Combined data'!BH99</f>
        <v>25</v>
      </c>
      <c r="BJ99" s="17">
        <f>'Combined data'!BJ99-'Combined data'!BI99</f>
        <v>14</v>
      </c>
      <c r="BK99" s="17">
        <f>'Combined data'!BK99-'Combined data'!BJ99</f>
        <v>12</v>
      </c>
      <c r="BL99" s="17">
        <f>'Combined data'!BL99-'Combined data'!BK99</f>
        <v>11</v>
      </c>
      <c r="BM99" s="17">
        <f>'Combined data'!BM99-'Combined data'!BL99</f>
        <v>12</v>
      </c>
      <c r="BN99" s="17">
        <f>'Combined data'!BN99-'Combined data'!BM99</f>
        <v>3</v>
      </c>
      <c r="BO99" s="17">
        <f>'Combined data'!BO99-'Combined data'!BN99</f>
        <v>-458</v>
      </c>
      <c r="BP99" s="17">
        <f>'Combined data'!BP99-'Combined data'!BO99</f>
        <v>0</v>
      </c>
      <c r="BQ99" s="17">
        <f>'Combined data'!BQ99-'Combined data'!BP99</f>
        <v>0</v>
      </c>
      <c r="BR99" s="17">
        <f>'Combined data'!BR99-'Combined data'!BQ99</f>
        <v>0</v>
      </c>
      <c r="BS99" s="17">
        <f>'Combined data'!BS99-'Combined data'!BR99</f>
        <v>0</v>
      </c>
      <c r="BT99" s="17">
        <f>'Combined data'!BT99-'Combined data'!BS99</f>
        <v>0</v>
      </c>
      <c r="BU99" s="17">
        <f>'Combined data'!BU99-'Combined data'!BT99</f>
        <v>0</v>
      </c>
      <c r="BV99" s="17">
        <f>'Combined data'!BV99-'Combined data'!BU99</f>
        <v>0</v>
      </c>
      <c r="BW99" s="17">
        <f>'Combined data'!BW99-'Combined data'!BV99</f>
        <v>0</v>
      </c>
      <c r="BX99" s="17">
        <f>'Combined data'!BX99-'Combined data'!BW99</f>
        <v>0</v>
      </c>
      <c r="BY99" s="17">
        <f>'Combined data'!BY99-'Combined data'!BX99</f>
        <v>0</v>
      </c>
      <c r="CB99" s="17">
        <f t="shared" si="49"/>
        <v>108</v>
      </c>
      <c r="CC99" s="17">
        <f t="shared" si="50"/>
        <v>32</v>
      </c>
      <c r="CD99" s="17">
        <f t="shared" si="51"/>
        <v>9</v>
      </c>
      <c r="CE99" s="17">
        <f t="shared" si="52"/>
        <v>50</v>
      </c>
      <c r="CF99" s="17">
        <f t="shared" si="53"/>
        <v>20</v>
      </c>
      <c r="CG99" s="17">
        <f t="shared" si="54"/>
        <v>10</v>
      </c>
      <c r="CH99" s="17">
        <f t="shared" si="55"/>
        <v>21</v>
      </c>
      <c r="CI99" s="17">
        <f t="shared" si="56"/>
        <v>9</v>
      </c>
      <c r="CJ99" s="17">
        <f t="shared" si="57"/>
        <v>17</v>
      </c>
      <c r="CK99" s="17">
        <f t="shared" si="58"/>
        <v>10</v>
      </c>
      <c r="CL99" s="17">
        <f t="shared" si="59"/>
        <v>19</v>
      </c>
      <c r="CM99" s="17">
        <f t="shared" si="60"/>
        <v>16</v>
      </c>
      <c r="CN99" s="17">
        <f t="shared" si="61"/>
        <v>17</v>
      </c>
      <c r="CO99" s="17">
        <f t="shared" si="62"/>
        <v>13</v>
      </c>
      <c r="CP99" s="17">
        <f t="shared" si="63"/>
        <v>15</v>
      </c>
      <c r="CQ99" s="17">
        <f t="shared" si="64"/>
        <v>7</v>
      </c>
      <c r="CR99" s="17">
        <f t="shared" si="65"/>
        <v>8</v>
      </c>
      <c r="CS99" s="17">
        <f t="shared" si="66"/>
        <v>25</v>
      </c>
      <c r="CT99" s="17">
        <f t="shared" si="67"/>
        <v>14</v>
      </c>
      <c r="CU99" s="17">
        <f t="shared" si="68"/>
        <v>12</v>
      </c>
      <c r="CV99" s="17">
        <f t="shared" si="69"/>
        <v>11</v>
      </c>
      <c r="CW99" s="17">
        <f t="shared" si="70"/>
        <v>12</v>
      </c>
      <c r="CX99" s="17">
        <f t="shared" si="73"/>
        <v>3</v>
      </c>
      <c r="CY99" s="17">
        <f t="shared" si="73"/>
        <v>-458</v>
      </c>
      <c r="CZ99" s="17">
        <f t="shared" si="73"/>
        <v>0</v>
      </c>
      <c r="DA99" s="17">
        <f t="shared" si="73"/>
        <v>0</v>
      </c>
      <c r="DB99" s="17">
        <f t="shared" si="73"/>
        <v>0</v>
      </c>
      <c r="DC99" s="17">
        <f t="shared" si="73"/>
        <v>0</v>
      </c>
      <c r="DD99" s="17">
        <f t="shared" si="73"/>
        <v>0</v>
      </c>
      <c r="DE99" s="17">
        <f t="shared" si="73"/>
        <v>0</v>
      </c>
      <c r="DF99" s="17">
        <f t="shared" si="73"/>
        <v>0</v>
      </c>
      <c r="DG99" s="17">
        <f t="shared" si="73"/>
        <v>0</v>
      </c>
      <c r="DH99" s="17">
        <f t="shared" si="73"/>
        <v>0</v>
      </c>
      <c r="DI99" s="17">
        <f t="shared" si="73"/>
        <v>0</v>
      </c>
    </row>
    <row r="100" spans="1:113" ht="15.75" x14ac:dyDescent="0.25">
      <c r="A100" s="4" t="s">
        <v>189</v>
      </c>
      <c r="B100" s="6" t="s">
        <v>190</v>
      </c>
      <c r="H100" s="90">
        <f>'Combined data'!H100</f>
        <v>160</v>
      </c>
      <c r="I100" s="90">
        <f>'Combined data'!I100-'Combined data'!H100</f>
        <v>6</v>
      </c>
      <c r="J100" s="90">
        <f>'Combined data'!J100-'Combined data'!I100</f>
        <v>12</v>
      </c>
      <c r="K100" s="90">
        <f>'Combined data'!K100-'Combined data'!J100</f>
        <v>13</v>
      </c>
      <c r="L100" s="90">
        <f>'Combined data'!L100-'Combined data'!K100</f>
        <v>0</v>
      </c>
      <c r="M100" s="90">
        <f>'Combined data'!M100-'Combined data'!L100</f>
        <v>2</v>
      </c>
      <c r="N100" s="90">
        <f>'Combined data'!N100-'Combined data'!M100</f>
        <v>16</v>
      </c>
      <c r="O100" s="90">
        <f>'Combined data'!O100-'Combined data'!N100</f>
        <v>1</v>
      </c>
      <c r="P100" s="90">
        <f>'Combined data'!P100-'Combined data'!O100</f>
        <v>15</v>
      </c>
      <c r="Q100" s="90">
        <f>'Combined data'!Q100-'Combined data'!P100</f>
        <v>5</v>
      </c>
      <c r="R100" s="90">
        <f>'Combined data'!R100-'Combined data'!Q100</f>
        <v>2</v>
      </c>
      <c r="S100" s="90">
        <f>'Combined data'!S100-'Combined data'!R100</f>
        <v>2</v>
      </c>
      <c r="T100" s="90">
        <f>'Combined data'!T100-'Combined data'!S100</f>
        <v>5</v>
      </c>
      <c r="U100" s="90">
        <f>'Combined data'!U100-'Combined data'!T100</f>
        <v>3</v>
      </c>
      <c r="V100" s="90">
        <f>'Combined data'!V100-'Combined data'!U100</f>
        <v>5</v>
      </c>
      <c r="W100" s="90">
        <f>'Combined data'!W100-'Combined data'!V100</f>
        <v>6</v>
      </c>
      <c r="X100" s="90">
        <f>'Combined data'!X100-'Combined data'!W100</f>
        <v>1</v>
      </c>
      <c r="Y100" s="90">
        <f>'Combined data'!Y100-'Combined data'!X100</f>
        <v>9</v>
      </c>
      <c r="Z100" s="90">
        <f>'Combined data'!Z100-'Combined data'!Y100</f>
        <v>2</v>
      </c>
      <c r="AA100" s="90">
        <f>'Combined data'!AA100-'Combined data'!Z100</f>
        <v>2</v>
      </c>
      <c r="AB100" s="90">
        <f>'Combined data'!AB100-'Combined data'!AA100</f>
        <v>3</v>
      </c>
      <c r="AC100" s="90">
        <f>'Combined data'!AC100-'Combined data'!AB100</f>
        <v>4</v>
      </c>
      <c r="AD100" s="90">
        <f>'Combined data'!AD100-'Combined data'!AC100</f>
        <v>4</v>
      </c>
      <c r="AE100" s="90">
        <f>'Combined data'!AE100-'Combined data'!AD100</f>
        <v>-278</v>
      </c>
      <c r="AF100" s="90">
        <f>'Combined data'!AF100-'Combined data'!AE100</f>
        <v>0</v>
      </c>
      <c r="AG100" s="90">
        <f>'Combined data'!AG100-'Combined data'!AF100</f>
        <v>0</v>
      </c>
      <c r="AH100" s="90">
        <f>'Combined data'!AH100-'Combined data'!AG100</f>
        <v>0</v>
      </c>
      <c r="AI100" s="90">
        <f>'Combined data'!AI100-'Combined data'!AH100</f>
        <v>0</v>
      </c>
      <c r="AJ100" s="90">
        <f>'Combined data'!AJ100-'Combined data'!AI100</f>
        <v>0</v>
      </c>
      <c r="AK100" s="90">
        <f>'Combined data'!AK100-'Combined data'!AJ100</f>
        <v>0</v>
      </c>
      <c r="AL100" s="90">
        <f>'Combined data'!AL100-'Combined data'!AK100</f>
        <v>0</v>
      </c>
      <c r="AM100" s="90">
        <f>'Combined data'!AM100-'Combined data'!AL100</f>
        <v>0</v>
      </c>
      <c r="AN100" s="90">
        <f>'Combined data'!AN100-'Combined data'!AM100</f>
        <v>0</v>
      </c>
      <c r="AO100" s="90">
        <f>'Combined data'!AO100-'Combined data'!AN100</f>
        <v>0</v>
      </c>
      <c r="AP100" s="56">
        <f t="shared" si="72"/>
        <v>0</v>
      </c>
      <c r="AQ100" s="113"/>
      <c r="AR100" s="17">
        <f>'Combined data'!AR100</f>
        <v>62</v>
      </c>
      <c r="AS100" s="17">
        <f>'Combined data'!AS100-'Combined data'!AR100</f>
        <v>22</v>
      </c>
      <c r="AT100" s="17">
        <f>'Combined data'!AT100-'Combined data'!AS100</f>
        <v>12</v>
      </c>
      <c r="AU100" s="17">
        <f>'Combined data'!AU100-'Combined data'!AT100</f>
        <v>10</v>
      </c>
      <c r="AV100" s="17">
        <f>'Combined data'!AV100-'Combined data'!AU100</f>
        <v>7</v>
      </c>
      <c r="AW100" s="17">
        <f>'Combined data'!AW100-'Combined data'!AV100</f>
        <v>12</v>
      </c>
      <c r="AX100" s="17">
        <f>'Combined data'!AX100-'Combined data'!AW100</f>
        <v>10</v>
      </c>
      <c r="AY100" s="17">
        <f>'Combined data'!AY100-'Combined data'!AX100</f>
        <v>11</v>
      </c>
      <c r="AZ100" s="17">
        <f>'Combined data'!AZ100-'Combined data'!AY100</f>
        <v>17</v>
      </c>
      <c r="BA100" s="17">
        <f>'Combined data'!BA100-'Combined data'!AZ100</f>
        <v>7</v>
      </c>
      <c r="BB100" s="17">
        <f>'Combined data'!BB100-'Combined data'!BA100</f>
        <v>3</v>
      </c>
      <c r="BC100" s="17">
        <f>'Combined data'!BC100-'Combined data'!BB100</f>
        <v>5</v>
      </c>
      <c r="BD100" s="17">
        <f>'Combined data'!BD100-'Combined data'!BC100</f>
        <v>17</v>
      </c>
      <c r="BE100" s="17">
        <f>'Combined data'!BE100-'Combined data'!BD100</f>
        <v>2</v>
      </c>
      <c r="BF100" s="17">
        <f>'Combined data'!BF100-'Combined data'!BE100</f>
        <v>2</v>
      </c>
      <c r="BG100" s="17">
        <f>'Combined data'!BG100-'Combined data'!BF100</f>
        <v>0</v>
      </c>
      <c r="BH100" s="17">
        <f>'Combined data'!BH100-'Combined data'!BG100</f>
        <v>4</v>
      </c>
      <c r="BI100" s="17">
        <f>'Combined data'!BI100-'Combined data'!BH100</f>
        <v>6</v>
      </c>
      <c r="BJ100" s="17">
        <f>'Combined data'!BJ100-'Combined data'!BI100</f>
        <v>0</v>
      </c>
      <c r="BK100" s="17">
        <f>'Combined data'!BK100-'Combined data'!BJ100</f>
        <v>3</v>
      </c>
      <c r="BL100" s="17">
        <f>'Combined data'!BL100-'Combined data'!BK100</f>
        <v>4</v>
      </c>
      <c r="BM100" s="17">
        <f>'Combined data'!BM100-'Combined data'!BL100</f>
        <v>7</v>
      </c>
      <c r="BN100" s="17">
        <f>'Combined data'!BN100-'Combined data'!BM100</f>
        <v>2</v>
      </c>
      <c r="BO100" s="17">
        <f>'Combined data'!BO100-'Combined data'!BN100</f>
        <v>-225</v>
      </c>
      <c r="BP100" s="17">
        <f>'Combined data'!BP100-'Combined data'!BO100</f>
        <v>0</v>
      </c>
      <c r="BQ100" s="17">
        <f>'Combined data'!BQ100-'Combined data'!BP100</f>
        <v>0</v>
      </c>
      <c r="BR100" s="17">
        <f>'Combined data'!BR100-'Combined data'!BQ100</f>
        <v>0</v>
      </c>
      <c r="BS100" s="17">
        <f>'Combined data'!BS100-'Combined data'!BR100</f>
        <v>0</v>
      </c>
      <c r="BT100" s="17">
        <f>'Combined data'!BT100-'Combined data'!BS100</f>
        <v>0</v>
      </c>
      <c r="BU100" s="17">
        <f>'Combined data'!BU100-'Combined data'!BT100</f>
        <v>0</v>
      </c>
      <c r="BV100" s="17">
        <f>'Combined data'!BV100-'Combined data'!BU100</f>
        <v>0</v>
      </c>
      <c r="BW100" s="17">
        <f>'Combined data'!BW100-'Combined data'!BV100</f>
        <v>0</v>
      </c>
      <c r="BX100" s="17">
        <f>'Combined data'!BX100-'Combined data'!BW100</f>
        <v>0</v>
      </c>
      <c r="BY100" s="17">
        <f>'Combined data'!BY100-'Combined data'!BX100</f>
        <v>0</v>
      </c>
      <c r="CB100" s="17">
        <f t="shared" si="49"/>
        <v>62</v>
      </c>
      <c r="CC100" s="17">
        <f t="shared" si="50"/>
        <v>22</v>
      </c>
      <c r="CD100" s="17">
        <f t="shared" si="51"/>
        <v>12</v>
      </c>
      <c r="CE100" s="17">
        <f t="shared" si="52"/>
        <v>10</v>
      </c>
      <c r="CF100" s="17">
        <f t="shared" si="53"/>
        <v>7</v>
      </c>
      <c r="CG100" s="17">
        <f t="shared" si="54"/>
        <v>12</v>
      </c>
      <c r="CH100" s="17">
        <f t="shared" si="55"/>
        <v>10</v>
      </c>
      <c r="CI100" s="17">
        <f t="shared" si="56"/>
        <v>11</v>
      </c>
      <c r="CJ100" s="17">
        <f t="shared" si="57"/>
        <v>17</v>
      </c>
      <c r="CK100" s="17">
        <f t="shared" si="58"/>
        <v>7</v>
      </c>
      <c r="CL100" s="17">
        <f t="shared" si="59"/>
        <v>3</v>
      </c>
      <c r="CM100" s="17">
        <f t="shared" si="60"/>
        <v>5</v>
      </c>
      <c r="CN100" s="17">
        <f t="shared" si="61"/>
        <v>17</v>
      </c>
      <c r="CO100" s="17">
        <f t="shared" si="62"/>
        <v>2</v>
      </c>
      <c r="CP100" s="17">
        <f t="shared" si="63"/>
        <v>2</v>
      </c>
      <c r="CQ100" s="17">
        <f t="shared" si="64"/>
        <v>0</v>
      </c>
      <c r="CR100" s="17">
        <f t="shared" si="65"/>
        <v>4</v>
      </c>
      <c r="CS100" s="17">
        <f t="shared" si="66"/>
        <v>6</v>
      </c>
      <c r="CT100" s="17">
        <f t="shared" si="67"/>
        <v>0</v>
      </c>
      <c r="CU100" s="17">
        <f t="shared" si="68"/>
        <v>3</v>
      </c>
      <c r="CV100" s="17">
        <f t="shared" si="69"/>
        <v>4</v>
      </c>
      <c r="CW100" s="17">
        <f t="shared" si="70"/>
        <v>7</v>
      </c>
      <c r="CX100" s="17">
        <f t="shared" si="73"/>
        <v>2</v>
      </c>
      <c r="CY100" s="17">
        <f t="shared" si="73"/>
        <v>-225</v>
      </c>
      <c r="CZ100" s="17">
        <f t="shared" si="73"/>
        <v>0</v>
      </c>
      <c r="DA100" s="17">
        <f t="shared" si="73"/>
        <v>0</v>
      </c>
      <c r="DB100" s="17">
        <f t="shared" si="73"/>
        <v>0</v>
      </c>
      <c r="DC100" s="17">
        <f t="shared" si="73"/>
        <v>0</v>
      </c>
      <c r="DD100" s="17">
        <f t="shared" si="73"/>
        <v>0</v>
      </c>
      <c r="DE100" s="17">
        <f t="shared" si="73"/>
        <v>0</v>
      </c>
      <c r="DF100" s="17">
        <f t="shared" si="73"/>
        <v>0</v>
      </c>
      <c r="DG100" s="17">
        <f t="shared" si="73"/>
        <v>0</v>
      </c>
      <c r="DH100" s="17">
        <f t="shared" si="73"/>
        <v>0</v>
      </c>
      <c r="DI100" s="17">
        <f t="shared" si="73"/>
        <v>0</v>
      </c>
    </row>
    <row r="101" spans="1:113" ht="15.75" x14ac:dyDescent="0.25">
      <c r="A101" s="4" t="s">
        <v>191</v>
      </c>
      <c r="B101" s="6" t="s">
        <v>192</v>
      </c>
      <c r="H101" s="90">
        <f>'Combined data'!H101</f>
        <v>629</v>
      </c>
      <c r="I101" s="90">
        <f>'Combined data'!I101-'Combined data'!H101</f>
        <v>34</v>
      </c>
      <c r="J101" s="90">
        <f>'Combined data'!J101-'Combined data'!I101</f>
        <v>20</v>
      </c>
      <c r="K101" s="90">
        <f>'Combined data'!K101-'Combined data'!J101</f>
        <v>71</v>
      </c>
      <c r="L101" s="90">
        <f>'Combined data'!L101-'Combined data'!K101</f>
        <v>10</v>
      </c>
      <c r="M101" s="90">
        <f>'Combined data'!M101-'Combined data'!L101</f>
        <v>15</v>
      </c>
      <c r="N101" s="90">
        <f>'Combined data'!N101-'Combined data'!M101</f>
        <v>64</v>
      </c>
      <c r="O101" s="90">
        <f>'Combined data'!O101-'Combined data'!N101</f>
        <v>15</v>
      </c>
      <c r="P101" s="90">
        <f>'Combined data'!P101-'Combined data'!O101</f>
        <v>29</v>
      </c>
      <c r="Q101" s="90">
        <f>'Combined data'!Q101-'Combined data'!P101</f>
        <v>17</v>
      </c>
      <c r="R101" s="90">
        <f>'Combined data'!R101-'Combined data'!Q101</f>
        <v>13</v>
      </c>
      <c r="S101" s="90">
        <f>'Combined data'!S101-'Combined data'!R101</f>
        <v>30</v>
      </c>
      <c r="T101" s="90">
        <f>'Combined data'!T101-'Combined data'!S101</f>
        <v>26</v>
      </c>
      <c r="U101" s="90">
        <f>'Combined data'!U101-'Combined data'!T101</f>
        <v>23</v>
      </c>
      <c r="V101" s="90">
        <f>'Combined data'!V101-'Combined data'!U101</f>
        <v>32</v>
      </c>
      <c r="W101" s="90">
        <f>'Combined data'!W101-'Combined data'!V101</f>
        <v>11</v>
      </c>
      <c r="X101" s="90">
        <f>'Combined data'!X101-'Combined data'!W101</f>
        <v>15</v>
      </c>
      <c r="Y101" s="90">
        <f>'Combined data'!Y101-'Combined data'!X101</f>
        <v>19</v>
      </c>
      <c r="Z101" s="90">
        <f>'Combined data'!Z101-'Combined data'!Y101</f>
        <v>26</v>
      </c>
      <c r="AA101" s="90">
        <f>'Combined data'!AA101-'Combined data'!Z101</f>
        <v>3</v>
      </c>
      <c r="AB101" s="90">
        <f>'Combined data'!AB101-'Combined data'!AA101</f>
        <v>10</v>
      </c>
      <c r="AC101" s="90">
        <f>'Combined data'!AC101-'Combined data'!AB101</f>
        <v>0</v>
      </c>
      <c r="AD101" s="90">
        <f>'Combined data'!AD101-'Combined data'!AC101</f>
        <v>24</v>
      </c>
      <c r="AE101" s="90">
        <f>'Combined data'!AE101-'Combined data'!AD101</f>
        <v>-1136</v>
      </c>
      <c r="AF101" s="90">
        <f>'Combined data'!AF101-'Combined data'!AE101</f>
        <v>0</v>
      </c>
      <c r="AG101" s="90">
        <f>'Combined data'!AG101-'Combined data'!AF101</f>
        <v>0</v>
      </c>
      <c r="AH101" s="90">
        <f>'Combined data'!AH101-'Combined data'!AG101</f>
        <v>0</v>
      </c>
      <c r="AI101" s="90">
        <f>'Combined data'!AI101-'Combined data'!AH101</f>
        <v>0</v>
      </c>
      <c r="AJ101" s="90">
        <f>'Combined data'!AJ101-'Combined data'!AI101</f>
        <v>0</v>
      </c>
      <c r="AK101" s="90">
        <f>'Combined data'!AK101-'Combined data'!AJ101</f>
        <v>0</v>
      </c>
      <c r="AL101" s="90">
        <f>'Combined data'!AL101-'Combined data'!AK101</f>
        <v>0</v>
      </c>
      <c r="AM101" s="90">
        <f>'Combined data'!AM101-'Combined data'!AL101</f>
        <v>0</v>
      </c>
      <c r="AN101" s="90">
        <f>'Combined data'!AN101-'Combined data'!AM101</f>
        <v>0</v>
      </c>
      <c r="AO101" s="90">
        <f>'Combined data'!AO101-'Combined data'!AN101</f>
        <v>0</v>
      </c>
      <c r="AP101" s="56">
        <f t="shared" si="72"/>
        <v>0</v>
      </c>
      <c r="AQ101" s="113"/>
      <c r="AR101" s="17">
        <f>'Combined data'!AR101</f>
        <v>320</v>
      </c>
      <c r="AS101" s="17">
        <f>'Combined data'!AS101-'Combined data'!AR101</f>
        <v>57</v>
      </c>
      <c r="AT101" s="17">
        <f>'Combined data'!AT101-'Combined data'!AS101</f>
        <v>57</v>
      </c>
      <c r="AU101" s="17">
        <f>'Combined data'!AU101-'Combined data'!AT101</f>
        <v>49</v>
      </c>
      <c r="AV101" s="17">
        <f>'Combined data'!AV101-'Combined data'!AU101</f>
        <v>27</v>
      </c>
      <c r="AW101" s="17">
        <f>'Combined data'!AW101-'Combined data'!AV101</f>
        <v>25</v>
      </c>
      <c r="AX101" s="17">
        <f>'Combined data'!AX101-'Combined data'!AW101</f>
        <v>45</v>
      </c>
      <c r="AY101" s="17">
        <f>'Combined data'!AY101-'Combined data'!AX101</f>
        <v>30</v>
      </c>
      <c r="AZ101" s="17">
        <f>'Combined data'!AZ101-'Combined data'!AY101</f>
        <v>39</v>
      </c>
      <c r="BA101" s="17">
        <f>'Combined data'!BA101-'Combined data'!AZ101</f>
        <v>17</v>
      </c>
      <c r="BB101" s="17">
        <f>'Combined data'!BB101-'Combined data'!BA101</f>
        <v>9</v>
      </c>
      <c r="BC101" s="17">
        <f>'Combined data'!BC101-'Combined data'!BB101</f>
        <v>21</v>
      </c>
      <c r="BD101" s="17">
        <f>'Combined data'!BD101-'Combined data'!BC101</f>
        <v>27</v>
      </c>
      <c r="BE101" s="17">
        <f>'Combined data'!BE101-'Combined data'!BD101</f>
        <v>20</v>
      </c>
      <c r="BF101" s="17">
        <f>'Combined data'!BF101-'Combined data'!BE101</f>
        <v>35</v>
      </c>
      <c r="BG101" s="17">
        <f>'Combined data'!BG101-'Combined data'!BF101</f>
        <v>17</v>
      </c>
      <c r="BH101" s="17">
        <f>'Combined data'!BH101-'Combined data'!BG101</f>
        <v>23</v>
      </c>
      <c r="BI101" s="17">
        <f>'Combined data'!BI101-'Combined data'!BH101</f>
        <v>8</v>
      </c>
      <c r="BJ101" s="17">
        <f>'Combined data'!BJ101-'Combined data'!BI101</f>
        <v>19</v>
      </c>
      <c r="BK101" s="17">
        <f>'Combined data'!BK101-'Combined data'!BJ101</f>
        <v>20</v>
      </c>
      <c r="BL101" s="17">
        <f>'Combined data'!BL101-'Combined data'!BK101</f>
        <v>22</v>
      </c>
      <c r="BM101" s="17">
        <f>'Combined data'!BM101-'Combined data'!BL101</f>
        <v>0</v>
      </c>
      <c r="BN101" s="17">
        <f>'Combined data'!BN101-'Combined data'!BM101</f>
        <v>17</v>
      </c>
      <c r="BO101" s="17">
        <f>'Combined data'!BO101-'Combined data'!BN101</f>
        <v>-904</v>
      </c>
      <c r="BP101" s="17">
        <f>'Combined data'!BP101-'Combined data'!BO101</f>
        <v>0</v>
      </c>
      <c r="BQ101" s="17">
        <f>'Combined data'!BQ101-'Combined data'!BP101</f>
        <v>0</v>
      </c>
      <c r="BR101" s="17">
        <f>'Combined data'!BR101-'Combined data'!BQ101</f>
        <v>0</v>
      </c>
      <c r="BS101" s="17">
        <f>'Combined data'!BS101-'Combined data'!BR101</f>
        <v>0</v>
      </c>
      <c r="BT101" s="17">
        <f>'Combined data'!BT101-'Combined data'!BS101</f>
        <v>0</v>
      </c>
      <c r="BU101" s="17">
        <f>'Combined data'!BU101-'Combined data'!BT101</f>
        <v>0</v>
      </c>
      <c r="BV101" s="17">
        <f>'Combined data'!BV101-'Combined data'!BU101</f>
        <v>0</v>
      </c>
      <c r="BW101" s="17">
        <f>'Combined data'!BW101-'Combined data'!BV101</f>
        <v>0</v>
      </c>
      <c r="BX101" s="17">
        <f>'Combined data'!BX101-'Combined data'!BW101</f>
        <v>0</v>
      </c>
      <c r="BY101" s="17">
        <f>'Combined data'!BY101-'Combined data'!BX101</f>
        <v>0</v>
      </c>
      <c r="CB101" s="17">
        <f t="shared" si="49"/>
        <v>320</v>
      </c>
      <c r="CC101" s="17">
        <f t="shared" si="50"/>
        <v>57</v>
      </c>
      <c r="CD101" s="17">
        <f t="shared" si="51"/>
        <v>57</v>
      </c>
      <c r="CE101" s="17">
        <f t="shared" si="52"/>
        <v>49</v>
      </c>
      <c r="CF101" s="17">
        <f t="shared" si="53"/>
        <v>27</v>
      </c>
      <c r="CG101" s="17">
        <f t="shared" si="54"/>
        <v>25</v>
      </c>
      <c r="CH101" s="17">
        <f t="shared" si="55"/>
        <v>45</v>
      </c>
      <c r="CI101" s="17">
        <f t="shared" si="56"/>
        <v>30</v>
      </c>
      <c r="CJ101" s="17">
        <f t="shared" si="57"/>
        <v>39</v>
      </c>
      <c r="CK101" s="17">
        <f t="shared" si="58"/>
        <v>17</v>
      </c>
      <c r="CL101" s="17">
        <f t="shared" si="59"/>
        <v>9</v>
      </c>
      <c r="CM101" s="17">
        <f t="shared" si="60"/>
        <v>21</v>
      </c>
      <c r="CN101" s="17">
        <f t="shared" si="61"/>
        <v>27</v>
      </c>
      <c r="CO101" s="17">
        <f t="shared" si="62"/>
        <v>20</v>
      </c>
      <c r="CP101" s="17">
        <f t="shared" si="63"/>
        <v>35</v>
      </c>
      <c r="CQ101" s="17">
        <f t="shared" si="64"/>
        <v>17</v>
      </c>
      <c r="CR101" s="17">
        <f t="shared" si="65"/>
        <v>23</v>
      </c>
      <c r="CS101" s="17">
        <f t="shared" si="66"/>
        <v>8</v>
      </c>
      <c r="CT101" s="17">
        <f t="shared" si="67"/>
        <v>19</v>
      </c>
      <c r="CU101" s="17">
        <f t="shared" si="68"/>
        <v>20</v>
      </c>
      <c r="CV101" s="17">
        <f t="shared" si="69"/>
        <v>22</v>
      </c>
      <c r="CW101" s="17">
        <f t="shared" si="70"/>
        <v>0</v>
      </c>
      <c r="CX101" s="17">
        <f t="shared" si="73"/>
        <v>17</v>
      </c>
      <c r="CY101" s="17">
        <f t="shared" si="73"/>
        <v>-904</v>
      </c>
      <c r="CZ101" s="17">
        <f t="shared" si="73"/>
        <v>0</v>
      </c>
      <c r="DA101" s="17">
        <f t="shared" si="73"/>
        <v>0</v>
      </c>
      <c r="DB101" s="17">
        <f t="shared" si="73"/>
        <v>0</v>
      </c>
      <c r="DC101" s="17">
        <f t="shared" si="73"/>
        <v>0</v>
      </c>
      <c r="DD101" s="17">
        <f t="shared" si="73"/>
        <v>0</v>
      </c>
      <c r="DE101" s="17">
        <f t="shared" si="73"/>
        <v>0</v>
      </c>
      <c r="DF101" s="17">
        <f t="shared" si="73"/>
        <v>0</v>
      </c>
      <c r="DG101" s="17">
        <f t="shared" si="73"/>
        <v>0</v>
      </c>
      <c r="DH101" s="17">
        <f t="shared" si="73"/>
        <v>0</v>
      </c>
      <c r="DI101" s="17">
        <f t="shared" si="73"/>
        <v>0</v>
      </c>
    </row>
    <row r="102" spans="1:113" ht="15.75" x14ac:dyDescent="0.25">
      <c r="A102" s="4" t="s">
        <v>193</v>
      </c>
      <c r="B102" s="6" t="s">
        <v>194</v>
      </c>
      <c r="H102" s="90">
        <f>'Combined data'!H102</f>
        <v>54</v>
      </c>
      <c r="I102" s="90">
        <f>'Combined data'!I102-'Combined data'!H102</f>
        <v>3</v>
      </c>
      <c r="J102" s="90">
        <f>'Combined data'!J102-'Combined data'!I102</f>
        <v>1</v>
      </c>
      <c r="K102" s="90">
        <f>'Combined data'!K102-'Combined data'!J102</f>
        <v>9</v>
      </c>
      <c r="L102" s="90">
        <f>'Combined data'!L102-'Combined data'!K102</f>
        <v>0</v>
      </c>
      <c r="M102" s="90">
        <f>'Combined data'!M102-'Combined data'!L102</f>
        <v>4</v>
      </c>
      <c r="N102" s="90">
        <f>'Combined data'!N102-'Combined data'!M102</f>
        <v>9</v>
      </c>
      <c r="O102" s="90">
        <f>'Combined data'!O102-'Combined data'!N102</f>
        <v>4</v>
      </c>
      <c r="P102" s="90">
        <f>'Combined data'!P102-'Combined data'!O102</f>
        <v>2</v>
      </c>
      <c r="Q102" s="90">
        <f>'Combined data'!Q102-'Combined data'!P102</f>
        <v>4</v>
      </c>
      <c r="R102" s="90">
        <f>'Combined data'!R102-'Combined data'!Q102</f>
        <v>0</v>
      </c>
      <c r="S102" s="90">
        <f>'Combined data'!S102-'Combined data'!R102</f>
        <v>0</v>
      </c>
      <c r="T102" s="90">
        <f>'Combined data'!T102-'Combined data'!S102</f>
        <v>1</v>
      </c>
      <c r="U102" s="90">
        <f>'Combined data'!U102-'Combined data'!T102</f>
        <v>3</v>
      </c>
      <c r="V102" s="90">
        <f>'Combined data'!V102-'Combined data'!U102</f>
        <v>-1</v>
      </c>
      <c r="W102" s="90">
        <f>'Combined data'!W102-'Combined data'!V102</f>
        <v>0</v>
      </c>
      <c r="X102" s="90">
        <f>'Combined data'!X102-'Combined data'!W102</f>
        <v>3</v>
      </c>
      <c r="Y102" s="90">
        <f>'Combined data'!Y102-'Combined data'!X102</f>
        <v>0</v>
      </c>
      <c r="Z102" s="90">
        <f>'Combined data'!Z102-'Combined data'!Y102</f>
        <v>3</v>
      </c>
      <c r="AA102" s="90">
        <f>'Combined data'!AA102-'Combined data'!Z102</f>
        <v>0</v>
      </c>
      <c r="AB102" s="90">
        <f>'Combined data'!AB102-'Combined data'!AA102</f>
        <v>-1</v>
      </c>
      <c r="AC102" s="90">
        <f>'Combined data'!AC102-'Combined data'!AB102</f>
        <v>1</v>
      </c>
      <c r="AD102" s="90">
        <f>'Combined data'!AD102-'Combined data'!AC102</f>
        <v>2</v>
      </c>
      <c r="AE102" s="90">
        <f>'Combined data'!AE102-'Combined data'!AD102</f>
        <v>-101</v>
      </c>
      <c r="AF102" s="90">
        <f>'Combined data'!AF102-'Combined data'!AE102</f>
        <v>0</v>
      </c>
      <c r="AG102" s="90">
        <f>'Combined data'!AG102-'Combined data'!AF102</f>
        <v>0</v>
      </c>
      <c r="AH102" s="90">
        <f>'Combined data'!AH102-'Combined data'!AG102</f>
        <v>0</v>
      </c>
      <c r="AI102" s="90">
        <f>'Combined data'!AI102-'Combined data'!AH102</f>
        <v>0</v>
      </c>
      <c r="AJ102" s="90">
        <f>'Combined data'!AJ102-'Combined data'!AI102</f>
        <v>0</v>
      </c>
      <c r="AK102" s="90">
        <f>'Combined data'!AK102-'Combined data'!AJ102</f>
        <v>0</v>
      </c>
      <c r="AL102" s="90">
        <f>'Combined data'!AL102-'Combined data'!AK102</f>
        <v>0</v>
      </c>
      <c r="AM102" s="90">
        <f>'Combined data'!AM102-'Combined data'!AL102</f>
        <v>0</v>
      </c>
      <c r="AN102" s="90">
        <f>'Combined data'!AN102-'Combined data'!AM102</f>
        <v>0</v>
      </c>
      <c r="AO102" s="90">
        <f>'Combined data'!AO102-'Combined data'!AN102</f>
        <v>0</v>
      </c>
      <c r="AP102" s="56">
        <f t="shared" si="72"/>
        <v>0</v>
      </c>
      <c r="AQ102" s="113"/>
      <c r="AR102" s="17">
        <f>'Combined data'!AR102</f>
        <v>34</v>
      </c>
      <c r="AS102" s="17">
        <f>'Combined data'!AS102-'Combined data'!AR102</f>
        <v>1</v>
      </c>
      <c r="AT102" s="17">
        <f>'Combined data'!AT102-'Combined data'!AS102</f>
        <v>1</v>
      </c>
      <c r="AU102" s="17">
        <f>'Combined data'!AU102-'Combined data'!AT102</f>
        <v>6</v>
      </c>
      <c r="AV102" s="17">
        <f>'Combined data'!AV102-'Combined data'!AU102</f>
        <v>4</v>
      </c>
      <c r="AW102" s="17">
        <f>'Combined data'!AW102-'Combined data'!AV102</f>
        <v>5</v>
      </c>
      <c r="AX102" s="17">
        <f>'Combined data'!AX102-'Combined data'!AW102</f>
        <v>3</v>
      </c>
      <c r="AY102" s="17">
        <f>'Combined data'!AY102-'Combined data'!AX102</f>
        <v>0</v>
      </c>
      <c r="AZ102" s="17">
        <f>'Combined data'!AZ102-'Combined data'!AY102</f>
        <v>7</v>
      </c>
      <c r="BA102" s="17">
        <f>'Combined data'!BA102-'Combined data'!AZ102</f>
        <v>6</v>
      </c>
      <c r="BB102" s="17">
        <f>'Combined data'!BB102-'Combined data'!BA102</f>
        <v>0</v>
      </c>
      <c r="BC102" s="17">
        <f>'Combined data'!BC102-'Combined data'!BB102</f>
        <v>0</v>
      </c>
      <c r="BD102" s="17">
        <f>'Combined data'!BD102-'Combined data'!BC102</f>
        <v>2</v>
      </c>
      <c r="BE102" s="17">
        <f>'Combined data'!BE102-'Combined data'!BD102</f>
        <v>1</v>
      </c>
      <c r="BF102" s="17">
        <f>'Combined data'!BF102-'Combined data'!BE102</f>
        <v>4</v>
      </c>
      <c r="BG102" s="17">
        <f>'Combined data'!BG102-'Combined data'!BF102</f>
        <v>0</v>
      </c>
      <c r="BH102" s="17">
        <f>'Combined data'!BH102-'Combined data'!BG102</f>
        <v>1</v>
      </c>
      <c r="BI102" s="17">
        <f>'Combined data'!BI102-'Combined data'!BH102</f>
        <v>2</v>
      </c>
      <c r="BJ102" s="17">
        <f>'Combined data'!BJ102-'Combined data'!BI102</f>
        <v>3</v>
      </c>
      <c r="BK102" s="17">
        <f>'Combined data'!BK102-'Combined data'!BJ102</f>
        <v>0</v>
      </c>
      <c r="BL102" s="17">
        <f>'Combined data'!BL102-'Combined data'!BK102</f>
        <v>3</v>
      </c>
      <c r="BM102" s="17">
        <f>'Combined data'!BM102-'Combined data'!BL102</f>
        <v>-2</v>
      </c>
      <c r="BN102" s="17">
        <f>'Combined data'!BN102-'Combined data'!BM102</f>
        <v>2</v>
      </c>
      <c r="BO102" s="17">
        <f>'Combined data'!BO102-'Combined data'!BN102</f>
        <v>-83</v>
      </c>
      <c r="BP102" s="17">
        <f>'Combined data'!BP102-'Combined data'!BO102</f>
        <v>0</v>
      </c>
      <c r="BQ102" s="17">
        <f>'Combined data'!BQ102-'Combined data'!BP102</f>
        <v>0</v>
      </c>
      <c r="BR102" s="17">
        <f>'Combined data'!BR102-'Combined data'!BQ102</f>
        <v>0</v>
      </c>
      <c r="BS102" s="17">
        <f>'Combined data'!BS102-'Combined data'!BR102</f>
        <v>0</v>
      </c>
      <c r="BT102" s="17">
        <f>'Combined data'!BT102-'Combined data'!BS102</f>
        <v>0</v>
      </c>
      <c r="BU102" s="17">
        <f>'Combined data'!BU102-'Combined data'!BT102</f>
        <v>0</v>
      </c>
      <c r="BV102" s="17">
        <f>'Combined data'!BV102-'Combined data'!BU102</f>
        <v>0</v>
      </c>
      <c r="BW102" s="17">
        <f>'Combined data'!BW102-'Combined data'!BV102</f>
        <v>0</v>
      </c>
      <c r="BX102" s="17">
        <f>'Combined data'!BX102-'Combined data'!BW102</f>
        <v>0</v>
      </c>
      <c r="BY102" s="17">
        <f>'Combined data'!BY102-'Combined data'!BX102</f>
        <v>0</v>
      </c>
      <c r="CB102" s="17">
        <f t="shared" si="49"/>
        <v>34</v>
      </c>
      <c r="CC102" s="17">
        <f t="shared" si="50"/>
        <v>1</v>
      </c>
      <c r="CD102" s="17">
        <f t="shared" si="51"/>
        <v>1</v>
      </c>
      <c r="CE102" s="17">
        <f t="shared" si="52"/>
        <v>6</v>
      </c>
      <c r="CF102" s="17">
        <f t="shared" si="53"/>
        <v>4</v>
      </c>
      <c r="CG102" s="17">
        <f t="shared" si="54"/>
        <v>5</v>
      </c>
      <c r="CH102" s="17">
        <f t="shared" si="55"/>
        <v>3</v>
      </c>
      <c r="CI102" s="17">
        <f t="shared" si="56"/>
        <v>0</v>
      </c>
      <c r="CJ102" s="17">
        <f t="shared" si="57"/>
        <v>7</v>
      </c>
      <c r="CK102" s="17">
        <f t="shared" si="58"/>
        <v>6</v>
      </c>
      <c r="CL102" s="17">
        <f t="shared" si="59"/>
        <v>0</v>
      </c>
      <c r="CM102" s="17">
        <f t="shared" si="60"/>
        <v>0</v>
      </c>
      <c r="CN102" s="17">
        <f t="shared" si="61"/>
        <v>2</v>
      </c>
      <c r="CO102" s="17">
        <f t="shared" si="62"/>
        <v>1</v>
      </c>
      <c r="CP102" s="17">
        <f t="shared" si="63"/>
        <v>4</v>
      </c>
      <c r="CQ102" s="17">
        <f t="shared" si="64"/>
        <v>0</v>
      </c>
      <c r="CR102" s="17">
        <f t="shared" si="65"/>
        <v>1</v>
      </c>
      <c r="CS102" s="17">
        <f t="shared" si="66"/>
        <v>2</v>
      </c>
      <c r="CT102" s="17">
        <f t="shared" si="67"/>
        <v>3</v>
      </c>
      <c r="CU102" s="17">
        <f t="shared" si="68"/>
        <v>0</v>
      </c>
      <c r="CV102" s="17">
        <f t="shared" si="69"/>
        <v>3</v>
      </c>
      <c r="CW102" s="17">
        <f t="shared" si="70"/>
        <v>-2</v>
      </c>
      <c r="CX102" s="17">
        <f t="shared" si="73"/>
        <v>2</v>
      </c>
      <c r="CY102" s="17">
        <f t="shared" si="73"/>
        <v>-83</v>
      </c>
      <c r="CZ102" s="17">
        <f t="shared" si="73"/>
        <v>0</v>
      </c>
      <c r="DA102" s="17">
        <f t="shared" si="73"/>
        <v>0</v>
      </c>
      <c r="DB102" s="17">
        <f t="shared" si="73"/>
        <v>0</v>
      </c>
      <c r="DC102" s="17">
        <f t="shared" si="73"/>
        <v>0</v>
      </c>
      <c r="DD102" s="17">
        <f t="shared" si="73"/>
        <v>0</v>
      </c>
      <c r="DE102" s="17">
        <f t="shared" si="73"/>
        <v>0</v>
      </c>
      <c r="DF102" s="17">
        <f t="shared" si="73"/>
        <v>0</v>
      </c>
      <c r="DG102" s="17">
        <f t="shared" si="73"/>
        <v>0</v>
      </c>
      <c r="DH102" s="17">
        <f t="shared" si="73"/>
        <v>0</v>
      </c>
      <c r="DI102" s="17">
        <f t="shared" si="73"/>
        <v>0</v>
      </c>
    </row>
    <row r="103" spans="1:113" ht="15.75" x14ac:dyDescent="0.25">
      <c r="A103" s="4" t="s">
        <v>195</v>
      </c>
      <c r="B103" s="6" t="s">
        <v>196</v>
      </c>
      <c r="H103" s="90">
        <f>'Combined data'!H103</f>
        <v>1327</v>
      </c>
      <c r="I103" s="90">
        <f>'Combined data'!I103-'Combined data'!H103</f>
        <v>80</v>
      </c>
      <c r="J103" s="90">
        <f>'Combined data'!J103-'Combined data'!I103</f>
        <v>76</v>
      </c>
      <c r="K103" s="90">
        <f>'Combined data'!K103-'Combined data'!J103</f>
        <v>127</v>
      </c>
      <c r="L103" s="90">
        <f>'Combined data'!L103-'Combined data'!K103</f>
        <v>35</v>
      </c>
      <c r="M103" s="90">
        <f>'Combined data'!M103-'Combined data'!L103</f>
        <v>33</v>
      </c>
      <c r="N103" s="90">
        <f>'Combined data'!N103-'Combined data'!M103</f>
        <v>93</v>
      </c>
      <c r="O103" s="90">
        <f>'Combined data'!O103-'Combined data'!N103</f>
        <v>39</v>
      </c>
      <c r="P103" s="90">
        <f>'Combined data'!P103-'Combined data'!O103</f>
        <v>70</v>
      </c>
      <c r="Q103" s="90">
        <f>'Combined data'!Q103-'Combined data'!P103</f>
        <v>46</v>
      </c>
      <c r="R103" s="90">
        <f>'Combined data'!R103-'Combined data'!Q103</f>
        <v>36</v>
      </c>
      <c r="S103" s="90">
        <f>'Combined data'!S103-'Combined data'!R103</f>
        <v>56</v>
      </c>
      <c r="T103" s="90">
        <f>'Combined data'!T103-'Combined data'!S103</f>
        <v>39</v>
      </c>
      <c r="U103" s="90">
        <f>'Combined data'!U103-'Combined data'!T103</f>
        <v>35</v>
      </c>
      <c r="V103" s="90">
        <f>'Combined data'!V103-'Combined data'!U103</f>
        <v>31</v>
      </c>
      <c r="W103" s="90">
        <f>'Combined data'!W103-'Combined data'!V103</f>
        <v>20</v>
      </c>
      <c r="X103" s="90">
        <f>'Combined data'!X103-'Combined data'!W103</f>
        <v>19</v>
      </c>
      <c r="Y103" s="90">
        <f>'Combined data'!Y103-'Combined data'!X103</f>
        <v>26</v>
      </c>
      <c r="Z103" s="90">
        <f>'Combined data'!Z103-'Combined data'!Y103</f>
        <v>35</v>
      </c>
      <c r="AA103" s="90">
        <f>'Combined data'!AA103-'Combined data'!Z103</f>
        <v>14</v>
      </c>
      <c r="AB103" s="90">
        <f>'Combined data'!AB103-'Combined data'!AA103</f>
        <v>6</v>
      </c>
      <c r="AC103" s="90">
        <f>'Combined data'!AC103-'Combined data'!AB103</f>
        <v>8</v>
      </c>
      <c r="AD103" s="90">
        <f>'Combined data'!AD103-'Combined data'!AC103</f>
        <v>27</v>
      </c>
      <c r="AE103" s="90">
        <f>'Combined data'!AE103-'Combined data'!AD103</f>
        <v>-2278</v>
      </c>
      <c r="AF103" s="90">
        <f>'Combined data'!AF103-'Combined data'!AE103</f>
        <v>0</v>
      </c>
      <c r="AG103" s="90">
        <f>'Combined data'!AG103-'Combined data'!AF103</f>
        <v>0</v>
      </c>
      <c r="AH103" s="90">
        <f>'Combined data'!AH103-'Combined data'!AG103</f>
        <v>0</v>
      </c>
      <c r="AI103" s="90">
        <f>'Combined data'!AI103-'Combined data'!AH103</f>
        <v>0</v>
      </c>
      <c r="AJ103" s="90">
        <f>'Combined data'!AJ103-'Combined data'!AI103</f>
        <v>0</v>
      </c>
      <c r="AK103" s="90">
        <f>'Combined data'!AK103-'Combined data'!AJ103</f>
        <v>0</v>
      </c>
      <c r="AL103" s="90">
        <f>'Combined data'!AL103-'Combined data'!AK103</f>
        <v>0</v>
      </c>
      <c r="AM103" s="90">
        <f>'Combined data'!AM103-'Combined data'!AL103</f>
        <v>0</v>
      </c>
      <c r="AN103" s="90">
        <f>'Combined data'!AN103-'Combined data'!AM103</f>
        <v>0</v>
      </c>
      <c r="AO103" s="90">
        <f>'Combined data'!AO103-'Combined data'!AN103</f>
        <v>0</v>
      </c>
      <c r="AP103" s="56">
        <f t="shared" si="72"/>
        <v>0</v>
      </c>
      <c r="AQ103" s="113"/>
      <c r="AR103" s="17">
        <f>'Combined data'!AR103</f>
        <v>639</v>
      </c>
      <c r="AS103" s="17">
        <f>'Combined data'!AS103-'Combined data'!AR103</f>
        <v>119</v>
      </c>
      <c r="AT103" s="17">
        <f>'Combined data'!AT103-'Combined data'!AS103</f>
        <v>99</v>
      </c>
      <c r="AU103" s="17">
        <f>'Combined data'!AU103-'Combined data'!AT103</f>
        <v>148</v>
      </c>
      <c r="AV103" s="17">
        <f>'Combined data'!AV103-'Combined data'!AU103</f>
        <v>80</v>
      </c>
      <c r="AW103" s="17">
        <f>'Combined data'!AW103-'Combined data'!AV103</f>
        <v>65</v>
      </c>
      <c r="AX103" s="17">
        <f>'Combined data'!AX103-'Combined data'!AW103</f>
        <v>94</v>
      </c>
      <c r="AY103" s="17">
        <f>'Combined data'!AY103-'Combined data'!AX103</f>
        <v>39</v>
      </c>
      <c r="AZ103" s="17">
        <f>'Combined data'!AZ103-'Combined data'!AY103</f>
        <v>60</v>
      </c>
      <c r="BA103" s="17">
        <f>'Combined data'!BA103-'Combined data'!AZ103</f>
        <v>58</v>
      </c>
      <c r="BB103" s="17">
        <f>'Combined data'!BB103-'Combined data'!BA103</f>
        <v>60</v>
      </c>
      <c r="BC103" s="17">
        <f>'Combined data'!BC103-'Combined data'!BB103</f>
        <v>65</v>
      </c>
      <c r="BD103" s="17">
        <f>'Combined data'!BD103-'Combined data'!BC103</f>
        <v>49</v>
      </c>
      <c r="BE103" s="17">
        <f>'Combined data'!BE103-'Combined data'!BD103</f>
        <v>44</v>
      </c>
      <c r="BF103" s="17">
        <f>'Combined data'!BF103-'Combined data'!BE103</f>
        <v>21</v>
      </c>
      <c r="BG103" s="17">
        <f>'Combined data'!BG103-'Combined data'!BF103</f>
        <v>27</v>
      </c>
      <c r="BH103" s="17">
        <f>'Combined data'!BH103-'Combined data'!BG103</f>
        <v>29</v>
      </c>
      <c r="BI103" s="17">
        <f>'Combined data'!BI103-'Combined data'!BH103</f>
        <v>21</v>
      </c>
      <c r="BJ103" s="17">
        <f>'Combined data'!BJ103-'Combined data'!BI103</f>
        <v>35</v>
      </c>
      <c r="BK103" s="17">
        <f>'Combined data'!BK103-'Combined data'!BJ103</f>
        <v>32</v>
      </c>
      <c r="BL103" s="17">
        <f>'Combined data'!BL103-'Combined data'!BK103</f>
        <v>59</v>
      </c>
      <c r="BM103" s="17">
        <f>'Combined data'!BM103-'Combined data'!BL103</f>
        <v>24</v>
      </c>
      <c r="BN103" s="17">
        <f>'Combined data'!BN103-'Combined data'!BM103</f>
        <v>23</v>
      </c>
      <c r="BO103" s="17">
        <f>'Combined data'!BO103-'Combined data'!BN103</f>
        <v>-1890</v>
      </c>
      <c r="BP103" s="17">
        <f>'Combined data'!BP103-'Combined data'!BO103</f>
        <v>0</v>
      </c>
      <c r="BQ103" s="17">
        <f>'Combined data'!BQ103-'Combined data'!BP103</f>
        <v>0</v>
      </c>
      <c r="BR103" s="17">
        <f>'Combined data'!BR103-'Combined data'!BQ103</f>
        <v>0</v>
      </c>
      <c r="BS103" s="17">
        <f>'Combined data'!BS103-'Combined data'!BR103</f>
        <v>0</v>
      </c>
      <c r="BT103" s="17">
        <f>'Combined data'!BT103-'Combined data'!BS103</f>
        <v>0</v>
      </c>
      <c r="BU103" s="17">
        <f>'Combined data'!BU103-'Combined data'!BT103</f>
        <v>0</v>
      </c>
      <c r="BV103" s="17">
        <f>'Combined data'!BV103-'Combined data'!BU103</f>
        <v>0</v>
      </c>
      <c r="BW103" s="17">
        <f>'Combined data'!BW103-'Combined data'!BV103</f>
        <v>0</v>
      </c>
      <c r="BX103" s="17">
        <f>'Combined data'!BX103-'Combined data'!BW103</f>
        <v>0</v>
      </c>
      <c r="BY103" s="17">
        <f>'Combined data'!BY103-'Combined data'!BX103</f>
        <v>0</v>
      </c>
      <c r="CB103" s="17">
        <f t="shared" si="49"/>
        <v>639</v>
      </c>
      <c r="CC103" s="17">
        <f t="shared" si="50"/>
        <v>119</v>
      </c>
      <c r="CD103" s="17">
        <f t="shared" si="51"/>
        <v>99</v>
      </c>
      <c r="CE103" s="17">
        <f t="shared" si="52"/>
        <v>148</v>
      </c>
      <c r="CF103" s="17">
        <f t="shared" si="53"/>
        <v>80</v>
      </c>
      <c r="CG103" s="17">
        <f t="shared" si="54"/>
        <v>65</v>
      </c>
      <c r="CH103" s="17">
        <f t="shared" si="55"/>
        <v>94</v>
      </c>
      <c r="CI103" s="17">
        <f t="shared" si="56"/>
        <v>39</v>
      </c>
      <c r="CJ103" s="17">
        <f t="shared" si="57"/>
        <v>60</v>
      </c>
      <c r="CK103" s="17">
        <f t="shared" si="58"/>
        <v>58</v>
      </c>
      <c r="CL103" s="17">
        <f t="shared" si="59"/>
        <v>60</v>
      </c>
      <c r="CM103" s="17">
        <f t="shared" si="60"/>
        <v>65</v>
      </c>
      <c r="CN103" s="17">
        <f t="shared" si="61"/>
        <v>49</v>
      </c>
      <c r="CO103" s="17">
        <f t="shared" si="62"/>
        <v>44</v>
      </c>
      <c r="CP103" s="17">
        <f t="shared" si="63"/>
        <v>21</v>
      </c>
      <c r="CQ103" s="17">
        <f t="shared" si="64"/>
        <v>27</v>
      </c>
      <c r="CR103" s="17">
        <f t="shared" si="65"/>
        <v>29</v>
      </c>
      <c r="CS103" s="17">
        <f t="shared" si="66"/>
        <v>21</v>
      </c>
      <c r="CT103" s="17">
        <f t="shared" si="67"/>
        <v>35</v>
      </c>
      <c r="CU103" s="17">
        <f t="shared" si="68"/>
        <v>32</v>
      </c>
      <c r="CV103" s="17">
        <f t="shared" si="69"/>
        <v>59</v>
      </c>
      <c r="CW103" s="17">
        <f t="shared" si="70"/>
        <v>24</v>
      </c>
      <c r="CX103" s="17">
        <f t="shared" si="73"/>
        <v>23</v>
      </c>
      <c r="CY103" s="17">
        <f t="shared" si="73"/>
        <v>-1890</v>
      </c>
      <c r="CZ103" s="17">
        <f t="shared" si="73"/>
        <v>0</v>
      </c>
      <c r="DA103" s="17">
        <f t="shared" si="73"/>
        <v>0</v>
      </c>
      <c r="DB103" s="17">
        <f t="shared" si="73"/>
        <v>0</v>
      </c>
      <c r="DC103" s="17">
        <f t="shared" si="73"/>
        <v>0</v>
      </c>
      <c r="DD103" s="17">
        <f t="shared" si="73"/>
        <v>0</v>
      </c>
      <c r="DE103" s="17">
        <f t="shared" si="73"/>
        <v>0</v>
      </c>
      <c r="DF103" s="17">
        <f t="shared" si="73"/>
        <v>0</v>
      </c>
      <c r="DG103" s="17">
        <f t="shared" si="73"/>
        <v>0</v>
      </c>
      <c r="DH103" s="17">
        <f t="shared" si="73"/>
        <v>0</v>
      </c>
      <c r="DI103" s="17">
        <f t="shared" si="73"/>
        <v>0</v>
      </c>
    </row>
    <row r="104" spans="1:113" ht="15.75" x14ac:dyDescent="0.25">
      <c r="A104" s="4" t="s">
        <v>197</v>
      </c>
      <c r="B104" s="6" t="s">
        <v>198</v>
      </c>
      <c r="H104" s="90">
        <f>'Combined data'!H104</f>
        <v>116</v>
      </c>
      <c r="I104" s="90">
        <f>'Combined data'!I104-'Combined data'!H104</f>
        <v>11</v>
      </c>
      <c r="J104" s="90">
        <f>'Combined data'!J104-'Combined data'!I104</f>
        <v>6</v>
      </c>
      <c r="K104" s="90">
        <f>'Combined data'!K104-'Combined data'!J104</f>
        <v>8</v>
      </c>
      <c r="L104" s="90">
        <f>'Combined data'!L104-'Combined data'!K104</f>
        <v>5</v>
      </c>
      <c r="M104" s="90">
        <f>'Combined data'!M104-'Combined data'!L104</f>
        <v>1</v>
      </c>
      <c r="N104" s="90">
        <f>'Combined data'!N104-'Combined data'!M104</f>
        <v>14</v>
      </c>
      <c r="O104" s="90">
        <f>'Combined data'!O104-'Combined data'!N104</f>
        <v>6</v>
      </c>
      <c r="P104" s="90">
        <f>'Combined data'!P104-'Combined data'!O104</f>
        <v>9</v>
      </c>
      <c r="Q104" s="90">
        <f>'Combined data'!Q104-'Combined data'!P104</f>
        <v>14</v>
      </c>
      <c r="R104" s="90">
        <f>'Combined data'!R104-'Combined data'!Q104</f>
        <v>3</v>
      </c>
      <c r="S104" s="90">
        <f>'Combined data'!S104-'Combined data'!R104</f>
        <v>6</v>
      </c>
      <c r="T104" s="90">
        <f>'Combined data'!T104-'Combined data'!S104</f>
        <v>6</v>
      </c>
      <c r="U104" s="90">
        <f>'Combined data'!U104-'Combined data'!T104</f>
        <v>4</v>
      </c>
      <c r="V104" s="90">
        <f>'Combined data'!V104-'Combined data'!U104</f>
        <v>3</v>
      </c>
      <c r="W104" s="90">
        <f>'Combined data'!W104-'Combined data'!V104</f>
        <v>11</v>
      </c>
      <c r="X104" s="90">
        <f>'Combined data'!X104-'Combined data'!W104</f>
        <v>1</v>
      </c>
      <c r="Y104" s="90">
        <f>'Combined data'!Y104-'Combined data'!X104</f>
        <v>6</v>
      </c>
      <c r="Z104" s="90">
        <f>'Combined data'!Z104-'Combined data'!Y104</f>
        <v>5</v>
      </c>
      <c r="AA104" s="90">
        <f>'Combined data'!AA104-'Combined data'!Z104</f>
        <v>9</v>
      </c>
      <c r="AB104" s="90">
        <f>'Combined data'!AB104-'Combined data'!AA104</f>
        <v>2</v>
      </c>
      <c r="AC104" s="90">
        <f>'Combined data'!AC104-'Combined data'!AB104</f>
        <v>2</v>
      </c>
      <c r="AD104" s="90">
        <f>'Combined data'!AD104-'Combined data'!AC104</f>
        <v>13</v>
      </c>
      <c r="AE104" s="90">
        <f>'Combined data'!AE104-'Combined data'!AD104</f>
        <v>-261</v>
      </c>
      <c r="AF104" s="90">
        <f>'Combined data'!AF104-'Combined data'!AE104</f>
        <v>0</v>
      </c>
      <c r="AG104" s="90">
        <f>'Combined data'!AG104-'Combined data'!AF104</f>
        <v>0</v>
      </c>
      <c r="AH104" s="90">
        <f>'Combined data'!AH104-'Combined data'!AG104</f>
        <v>0</v>
      </c>
      <c r="AI104" s="90">
        <f>'Combined data'!AI104-'Combined data'!AH104</f>
        <v>0</v>
      </c>
      <c r="AJ104" s="90">
        <f>'Combined data'!AJ104-'Combined data'!AI104</f>
        <v>0</v>
      </c>
      <c r="AK104" s="90">
        <f>'Combined data'!AK104-'Combined data'!AJ104</f>
        <v>0</v>
      </c>
      <c r="AL104" s="90">
        <f>'Combined data'!AL104-'Combined data'!AK104</f>
        <v>0</v>
      </c>
      <c r="AM104" s="90">
        <f>'Combined data'!AM104-'Combined data'!AL104</f>
        <v>0</v>
      </c>
      <c r="AN104" s="90">
        <f>'Combined data'!AN104-'Combined data'!AM104</f>
        <v>0</v>
      </c>
      <c r="AO104" s="90">
        <f>'Combined data'!AO104-'Combined data'!AN104</f>
        <v>0</v>
      </c>
      <c r="AP104" s="56">
        <f t="shared" si="72"/>
        <v>0</v>
      </c>
      <c r="AQ104" s="113"/>
      <c r="AR104" s="17">
        <f>'Combined data'!AR104</f>
        <v>51</v>
      </c>
      <c r="AS104" s="17">
        <f>'Combined data'!AS104-'Combined data'!AR104</f>
        <v>11</v>
      </c>
      <c r="AT104" s="17">
        <f>'Combined data'!AT104-'Combined data'!AS104</f>
        <v>11</v>
      </c>
      <c r="AU104" s="17">
        <f>'Combined data'!AU104-'Combined data'!AT104</f>
        <v>2</v>
      </c>
      <c r="AV104" s="17">
        <f>'Combined data'!AV104-'Combined data'!AU104</f>
        <v>4</v>
      </c>
      <c r="AW104" s="17">
        <f>'Combined data'!AW104-'Combined data'!AV104</f>
        <v>10</v>
      </c>
      <c r="AX104" s="17">
        <f>'Combined data'!AX104-'Combined data'!AW104</f>
        <v>8</v>
      </c>
      <c r="AY104" s="17">
        <f>'Combined data'!AY104-'Combined data'!AX104</f>
        <v>1</v>
      </c>
      <c r="AZ104" s="17">
        <f>'Combined data'!AZ104-'Combined data'!AY104</f>
        <v>10</v>
      </c>
      <c r="BA104" s="17">
        <f>'Combined data'!BA104-'Combined data'!AZ104</f>
        <v>16</v>
      </c>
      <c r="BB104" s="17">
        <f>'Combined data'!BB104-'Combined data'!BA104</f>
        <v>4</v>
      </c>
      <c r="BC104" s="17">
        <f>'Combined data'!BC104-'Combined data'!BB104</f>
        <v>7</v>
      </c>
      <c r="BD104" s="17">
        <f>'Combined data'!BD104-'Combined data'!BC104</f>
        <v>2</v>
      </c>
      <c r="BE104" s="17">
        <f>'Combined data'!BE104-'Combined data'!BD104</f>
        <v>7</v>
      </c>
      <c r="BF104" s="17">
        <f>'Combined data'!BF104-'Combined data'!BE104</f>
        <v>13</v>
      </c>
      <c r="BG104" s="17">
        <f>'Combined data'!BG104-'Combined data'!BF104</f>
        <v>3</v>
      </c>
      <c r="BH104" s="17">
        <f>'Combined data'!BH104-'Combined data'!BG104</f>
        <v>5</v>
      </c>
      <c r="BI104" s="17">
        <f>'Combined data'!BI104-'Combined data'!BH104</f>
        <v>3</v>
      </c>
      <c r="BJ104" s="17">
        <f>'Combined data'!BJ104-'Combined data'!BI104</f>
        <v>5</v>
      </c>
      <c r="BK104" s="17">
        <f>'Combined data'!BK104-'Combined data'!BJ104</f>
        <v>1</v>
      </c>
      <c r="BL104" s="17">
        <f>'Combined data'!BL104-'Combined data'!BK104</f>
        <v>4</v>
      </c>
      <c r="BM104" s="17">
        <f>'Combined data'!BM104-'Combined data'!BL104</f>
        <v>4</v>
      </c>
      <c r="BN104" s="17">
        <f>'Combined data'!BN104-'Combined data'!BM104</f>
        <v>4</v>
      </c>
      <c r="BO104" s="17">
        <f>'Combined data'!BO104-'Combined data'!BN104</f>
        <v>-186</v>
      </c>
      <c r="BP104" s="17">
        <f>'Combined data'!BP104-'Combined data'!BO104</f>
        <v>0</v>
      </c>
      <c r="BQ104" s="17">
        <f>'Combined data'!BQ104-'Combined data'!BP104</f>
        <v>0</v>
      </c>
      <c r="BR104" s="17">
        <f>'Combined data'!BR104-'Combined data'!BQ104</f>
        <v>0</v>
      </c>
      <c r="BS104" s="17">
        <f>'Combined data'!BS104-'Combined data'!BR104</f>
        <v>0</v>
      </c>
      <c r="BT104" s="17">
        <f>'Combined data'!BT104-'Combined data'!BS104</f>
        <v>0</v>
      </c>
      <c r="BU104" s="17">
        <f>'Combined data'!BU104-'Combined data'!BT104</f>
        <v>0</v>
      </c>
      <c r="BV104" s="17">
        <f>'Combined data'!BV104-'Combined data'!BU104</f>
        <v>0</v>
      </c>
      <c r="BW104" s="17">
        <f>'Combined data'!BW104-'Combined data'!BV104</f>
        <v>0</v>
      </c>
      <c r="BX104" s="17">
        <f>'Combined data'!BX104-'Combined data'!BW104</f>
        <v>0</v>
      </c>
      <c r="BY104" s="17">
        <f>'Combined data'!BY104-'Combined data'!BX104</f>
        <v>0</v>
      </c>
      <c r="CB104" s="17">
        <f t="shared" si="49"/>
        <v>51</v>
      </c>
      <c r="CC104" s="17">
        <f t="shared" si="50"/>
        <v>11</v>
      </c>
      <c r="CD104" s="17">
        <f t="shared" si="51"/>
        <v>11</v>
      </c>
      <c r="CE104" s="17">
        <f t="shared" si="52"/>
        <v>2</v>
      </c>
      <c r="CF104" s="17">
        <f t="shared" si="53"/>
        <v>4</v>
      </c>
      <c r="CG104" s="17">
        <f t="shared" si="54"/>
        <v>10</v>
      </c>
      <c r="CH104" s="17">
        <f t="shared" si="55"/>
        <v>8</v>
      </c>
      <c r="CI104" s="17">
        <f t="shared" si="56"/>
        <v>1</v>
      </c>
      <c r="CJ104" s="17">
        <f t="shared" si="57"/>
        <v>10</v>
      </c>
      <c r="CK104" s="17">
        <f t="shared" si="58"/>
        <v>16</v>
      </c>
      <c r="CL104" s="17">
        <f t="shared" si="59"/>
        <v>4</v>
      </c>
      <c r="CM104" s="17">
        <f t="shared" si="60"/>
        <v>7</v>
      </c>
      <c r="CN104" s="17">
        <f t="shared" si="61"/>
        <v>2</v>
      </c>
      <c r="CO104" s="17">
        <f t="shared" si="62"/>
        <v>7</v>
      </c>
      <c r="CP104" s="17">
        <f t="shared" si="63"/>
        <v>13</v>
      </c>
      <c r="CQ104" s="17">
        <f t="shared" si="64"/>
        <v>3</v>
      </c>
      <c r="CR104" s="17">
        <f t="shared" si="65"/>
        <v>5</v>
      </c>
      <c r="CS104" s="17">
        <f t="shared" si="66"/>
        <v>3</v>
      </c>
      <c r="CT104" s="17">
        <f t="shared" si="67"/>
        <v>5</v>
      </c>
      <c r="CU104" s="17">
        <f t="shared" si="68"/>
        <v>1</v>
      </c>
      <c r="CV104" s="17">
        <f t="shared" si="69"/>
        <v>4</v>
      </c>
      <c r="CW104" s="17">
        <f t="shared" si="70"/>
        <v>4</v>
      </c>
      <c r="CX104" s="17">
        <f t="shared" si="73"/>
        <v>4</v>
      </c>
      <c r="CY104" s="17">
        <f t="shared" si="73"/>
        <v>-186</v>
      </c>
      <c r="CZ104" s="17">
        <f t="shared" si="73"/>
        <v>0</v>
      </c>
      <c r="DA104" s="17">
        <f t="shared" si="73"/>
        <v>0</v>
      </c>
      <c r="DB104" s="17">
        <f t="shared" si="73"/>
        <v>0</v>
      </c>
      <c r="DC104" s="17">
        <f t="shared" si="73"/>
        <v>0</v>
      </c>
      <c r="DD104" s="17">
        <f t="shared" si="73"/>
        <v>0</v>
      </c>
      <c r="DE104" s="17">
        <f t="shared" si="73"/>
        <v>0</v>
      </c>
      <c r="DF104" s="17">
        <f t="shared" si="73"/>
        <v>0</v>
      </c>
      <c r="DG104" s="17">
        <f t="shared" si="73"/>
        <v>0</v>
      </c>
      <c r="DH104" s="17">
        <f t="shared" si="73"/>
        <v>0</v>
      </c>
      <c r="DI104" s="17">
        <f t="shared" si="73"/>
        <v>0</v>
      </c>
    </row>
    <row r="105" spans="1:113" ht="15.75" x14ac:dyDescent="0.25">
      <c r="A105" s="4" t="s">
        <v>199</v>
      </c>
      <c r="B105" s="6" t="s">
        <v>200</v>
      </c>
      <c r="H105" s="90">
        <f>'Combined data'!H105</f>
        <v>113</v>
      </c>
      <c r="I105" s="90">
        <f>'Combined data'!I105-'Combined data'!H105</f>
        <v>8</v>
      </c>
      <c r="J105" s="90">
        <f>'Combined data'!J105-'Combined data'!I105</f>
        <v>2</v>
      </c>
      <c r="K105" s="90">
        <f>'Combined data'!K105-'Combined data'!J105</f>
        <v>2</v>
      </c>
      <c r="L105" s="90">
        <f>'Combined data'!L105-'Combined data'!K105</f>
        <v>5</v>
      </c>
      <c r="M105" s="90">
        <f>'Combined data'!M105-'Combined data'!L105</f>
        <v>10</v>
      </c>
      <c r="N105" s="90">
        <f>'Combined data'!N105-'Combined data'!M105</f>
        <v>20</v>
      </c>
      <c r="O105" s="90">
        <f>'Combined data'!O105-'Combined data'!N105</f>
        <v>6</v>
      </c>
      <c r="P105" s="90">
        <f>'Combined data'!P105-'Combined data'!O105</f>
        <v>6</v>
      </c>
      <c r="Q105" s="90">
        <f>'Combined data'!Q105-'Combined data'!P105</f>
        <v>1</v>
      </c>
      <c r="R105" s="90">
        <f>'Combined data'!R105-'Combined data'!Q105</f>
        <v>1</v>
      </c>
      <c r="S105" s="90">
        <f>'Combined data'!S105-'Combined data'!R105</f>
        <v>2</v>
      </c>
      <c r="T105" s="90">
        <f>'Combined data'!T105-'Combined data'!S105</f>
        <v>6</v>
      </c>
      <c r="U105" s="90">
        <f>'Combined data'!U105-'Combined data'!T105</f>
        <v>4</v>
      </c>
      <c r="V105" s="90">
        <f>'Combined data'!V105-'Combined data'!U105</f>
        <v>0</v>
      </c>
      <c r="W105" s="90">
        <f>'Combined data'!W105-'Combined data'!V105</f>
        <v>3</v>
      </c>
      <c r="X105" s="90">
        <f>'Combined data'!X105-'Combined data'!W105</f>
        <v>6</v>
      </c>
      <c r="Y105" s="90">
        <f>'Combined data'!Y105-'Combined data'!X105</f>
        <v>2</v>
      </c>
      <c r="Z105" s="90">
        <f>'Combined data'!Z105-'Combined data'!Y105</f>
        <v>2</v>
      </c>
      <c r="AA105" s="90">
        <f>'Combined data'!AA105-'Combined data'!Z105</f>
        <v>2</v>
      </c>
      <c r="AB105" s="90">
        <f>'Combined data'!AB105-'Combined data'!AA105</f>
        <v>2</v>
      </c>
      <c r="AC105" s="90">
        <f>'Combined data'!AC105-'Combined data'!AB105</f>
        <v>1</v>
      </c>
      <c r="AD105" s="90">
        <f>'Combined data'!AD105-'Combined data'!AC105</f>
        <v>3</v>
      </c>
      <c r="AE105" s="90">
        <f>'Combined data'!AE105-'Combined data'!AD105</f>
        <v>-207</v>
      </c>
      <c r="AF105" s="90">
        <f>'Combined data'!AF105-'Combined data'!AE105</f>
        <v>0</v>
      </c>
      <c r="AG105" s="90">
        <f>'Combined data'!AG105-'Combined data'!AF105</f>
        <v>0</v>
      </c>
      <c r="AH105" s="90">
        <f>'Combined data'!AH105-'Combined data'!AG105</f>
        <v>0</v>
      </c>
      <c r="AI105" s="90">
        <f>'Combined data'!AI105-'Combined data'!AH105</f>
        <v>0</v>
      </c>
      <c r="AJ105" s="90">
        <f>'Combined data'!AJ105-'Combined data'!AI105</f>
        <v>0</v>
      </c>
      <c r="AK105" s="90">
        <f>'Combined data'!AK105-'Combined data'!AJ105</f>
        <v>0</v>
      </c>
      <c r="AL105" s="90">
        <f>'Combined data'!AL105-'Combined data'!AK105</f>
        <v>0</v>
      </c>
      <c r="AM105" s="90">
        <f>'Combined data'!AM105-'Combined data'!AL105</f>
        <v>0</v>
      </c>
      <c r="AN105" s="90">
        <f>'Combined data'!AN105-'Combined data'!AM105</f>
        <v>0</v>
      </c>
      <c r="AO105" s="90">
        <f>'Combined data'!AO105-'Combined data'!AN105</f>
        <v>0</v>
      </c>
      <c r="AP105" s="56">
        <f t="shared" si="72"/>
        <v>0</v>
      </c>
      <c r="AQ105" s="113"/>
      <c r="AR105" s="17">
        <f>'Combined data'!AR105</f>
        <v>69</v>
      </c>
      <c r="AS105" s="17">
        <f>'Combined data'!AS105-'Combined data'!AR105</f>
        <v>14</v>
      </c>
      <c r="AT105" s="17">
        <f>'Combined data'!AT105-'Combined data'!AS105</f>
        <v>9</v>
      </c>
      <c r="AU105" s="17">
        <f>'Combined data'!AU105-'Combined data'!AT105</f>
        <v>9</v>
      </c>
      <c r="AV105" s="17">
        <f>'Combined data'!AV105-'Combined data'!AU105</f>
        <v>1</v>
      </c>
      <c r="AW105" s="17">
        <f>'Combined data'!AW105-'Combined data'!AV105</f>
        <v>2</v>
      </c>
      <c r="AX105" s="17">
        <f>'Combined data'!AX105-'Combined data'!AW105</f>
        <v>8</v>
      </c>
      <c r="AY105" s="17">
        <f>'Combined data'!AY105-'Combined data'!AX105</f>
        <v>11</v>
      </c>
      <c r="AZ105" s="17">
        <f>'Combined data'!AZ105-'Combined data'!AY105</f>
        <v>2</v>
      </c>
      <c r="BA105" s="17">
        <f>'Combined data'!BA105-'Combined data'!AZ105</f>
        <v>12</v>
      </c>
      <c r="BB105" s="17">
        <f>'Combined data'!BB105-'Combined data'!BA105</f>
        <v>11</v>
      </c>
      <c r="BC105" s="17">
        <f>'Combined data'!BC105-'Combined data'!BB105</f>
        <v>7</v>
      </c>
      <c r="BD105" s="17">
        <f>'Combined data'!BD105-'Combined data'!BC105</f>
        <v>2</v>
      </c>
      <c r="BE105" s="17">
        <f>'Combined data'!BE105-'Combined data'!BD105</f>
        <v>1</v>
      </c>
      <c r="BF105" s="17">
        <f>'Combined data'!BF105-'Combined data'!BE105</f>
        <v>6</v>
      </c>
      <c r="BG105" s="17">
        <f>'Combined data'!BG105-'Combined data'!BF105</f>
        <v>0</v>
      </c>
      <c r="BH105" s="17">
        <f>'Combined data'!BH105-'Combined data'!BG105</f>
        <v>4</v>
      </c>
      <c r="BI105" s="17">
        <f>'Combined data'!BI105-'Combined data'!BH105</f>
        <v>3</v>
      </c>
      <c r="BJ105" s="17">
        <f>'Combined data'!BJ105-'Combined data'!BI105</f>
        <v>5</v>
      </c>
      <c r="BK105" s="17">
        <f>'Combined data'!BK105-'Combined data'!BJ105</f>
        <v>1</v>
      </c>
      <c r="BL105" s="17">
        <f>'Combined data'!BL105-'Combined data'!BK105</f>
        <v>0</v>
      </c>
      <c r="BM105" s="17">
        <f>'Combined data'!BM105-'Combined data'!BL105</f>
        <v>6</v>
      </c>
      <c r="BN105" s="17">
        <f>'Combined data'!BN105-'Combined data'!BM105</f>
        <v>0</v>
      </c>
      <c r="BO105" s="17">
        <f>'Combined data'!BO105-'Combined data'!BN105</f>
        <v>-183</v>
      </c>
      <c r="BP105" s="17">
        <f>'Combined data'!BP105-'Combined data'!BO105</f>
        <v>0</v>
      </c>
      <c r="BQ105" s="17">
        <f>'Combined data'!BQ105-'Combined data'!BP105</f>
        <v>0</v>
      </c>
      <c r="BR105" s="17">
        <f>'Combined data'!BR105-'Combined data'!BQ105</f>
        <v>0</v>
      </c>
      <c r="BS105" s="17">
        <f>'Combined data'!BS105-'Combined data'!BR105</f>
        <v>0</v>
      </c>
      <c r="BT105" s="17">
        <f>'Combined data'!BT105-'Combined data'!BS105</f>
        <v>0</v>
      </c>
      <c r="BU105" s="17">
        <f>'Combined data'!BU105-'Combined data'!BT105</f>
        <v>0</v>
      </c>
      <c r="BV105" s="17">
        <f>'Combined data'!BV105-'Combined data'!BU105</f>
        <v>0</v>
      </c>
      <c r="BW105" s="17">
        <f>'Combined data'!BW105-'Combined data'!BV105</f>
        <v>0</v>
      </c>
      <c r="BX105" s="17">
        <f>'Combined data'!BX105-'Combined data'!BW105</f>
        <v>0</v>
      </c>
      <c r="BY105" s="17">
        <f>'Combined data'!BY105-'Combined data'!BX105</f>
        <v>0</v>
      </c>
      <c r="CB105" s="17">
        <f t="shared" ref="CB105:CB136" si="74">AR105</f>
        <v>69</v>
      </c>
      <c r="CC105" s="17">
        <f t="shared" ref="CC105:CC136" si="75">AS105</f>
        <v>14</v>
      </c>
      <c r="CD105" s="17">
        <f t="shared" ref="CD105:CD136" si="76">AT105</f>
        <v>9</v>
      </c>
      <c r="CE105" s="17">
        <f t="shared" ref="CE105:CE136" si="77">AU105</f>
        <v>9</v>
      </c>
      <c r="CF105" s="17">
        <f t="shared" ref="CF105:CF136" si="78">AV105</f>
        <v>1</v>
      </c>
      <c r="CG105" s="17">
        <f t="shared" ref="CG105:CG136" si="79">AW105</f>
        <v>2</v>
      </c>
      <c r="CH105" s="17">
        <f t="shared" ref="CH105:CH136" si="80">AX105</f>
        <v>8</v>
      </c>
      <c r="CI105" s="17">
        <f t="shared" ref="CI105:CI136" si="81">AY105</f>
        <v>11</v>
      </c>
      <c r="CJ105" s="17">
        <f t="shared" ref="CJ105:CJ136" si="82">AZ105</f>
        <v>2</v>
      </c>
      <c r="CK105" s="17">
        <f t="shared" ref="CK105:CK136" si="83">BA105</f>
        <v>12</v>
      </c>
      <c r="CL105" s="17">
        <f t="shared" ref="CL105:CL136" si="84">BB105</f>
        <v>11</v>
      </c>
      <c r="CM105" s="17">
        <f t="shared" ref="CM105:CM136" si="85">BC105</f>
        <v>7</v>
      </c>
      <c r="CN105" s="17">
        <f t="shared" ref="CN105:CN136" si="86">BD105</f>
        <v>2</v>
      </c>
      <c r="CO105" s="17">
        <f t="shared" ref="CO105:CO136" si="87">BE105</f>
        <v>1</v>
      </c>
      <c r="CP105" s="17">
        <f t="shared" ref="CP105:CP136" si="88">BF105</f>
        <v>6</v>
      </c>
      <c r="CQ105" s="17">
        <f t="shared" ref="CQ105:CQ136" si="89">BG105</f>
        <v>0</v>
      </c>
      <c r="CR105" s="17">
        <f t="shared" ref="CR105:CR136" si="90">BH105</f>
        <v>4</v>
      </c>
      <c r="CS105" s="17">
        <f t="shared" ref="CS105:CS136" si="91">BI105</f>
        <v>3</v>
      </c>
      <c r="CT105" s="17">
        <f t="shared" ref="CT105:CT136" si="92">BJ105</f>
        <v>5</v>
      </c>
      <c r="CU105" s="17">
        <f t="shared" ref="CU105:CU136" si="93">BK105</f>
        <v>1</v>
      </c>
      <c r="CV105" s="17">
        <f t="shared" ref="CV105:CV136" si="94">BL105</f>
        <v>0</v>
      </c>
      <c r="CW105" s="17">
        <f t="shared" ref="CW105:CW136" si="95">BM105</f>
        <v>6</v>
      </c>
      <c r="CX105" s="17">
        <f t="shared" ref="CX105:DI120" si="96">BN105</f>
        <v>0</v>
      </c>
      <c r="CY105" s="17">
        <f t="shared" si="96"/>
        <v>-183</v>
      </c>
      <c r="CZ105" s="17">
        <f t="shared" si="96"/>
        <v>0</v>
      </c>
      <c r="DA105" s="17">
        <f t="shared" si="96"/>
        <v>0</v>
      </c>
      <c r="DB105" s="17">
        <f t="shared" si="96"/>
        <v>0</v>
      </c>
      <c r="DC105" s="17">
        <f t="shared" si="96"/>
        <v>0</v>
      </c>
      <c r="DD105" s="17">
        <f t="shared" si="96"/>
        <v>0</v>
      </c>
      <c r="DE105" s="17">
        <f t="shared" si="96"/>
        <v>0</v>
      </c>
      <c r="DF105" s="17">
        <f t="shared" si="96"/>
        <v>0</v>
      </c>
      <c r="DG105" s="17">
        <f t="shared" si="96"/>
        <v>0</v>
      </c>
      <c r="DH105" s="17">
        <f t="shared" si="96"/>
        <v>0</v>
      </c>
      <c r="DI105" s="17">
        <f t="shared" si="96"/>
        <v>0</v>
      </c>
    </row>
    <row r="106" spans="1:113" ht="15.75" x14ac:dyDescent="0.25">
      <c r="A106" s="4" t="s">
        <v>201</v>
      </c>
      <c r="B106" s="6" t="s">
        <v>202</v>
      </c>
      <c r="H106" s="90">
        <f>'Combined data'!H106</f>
        <v>78</v>
      </c>
      <c r="I106" s="90">
        <f>'Combined data'!I106-'Combined data'!H106</f>
        <v>17</v>
      </c>
      <c r="J106" s="90">
        <f>'Combined data'!J106-'Combined data'!I106</f>
        <v>9</v>
      </c>
      <c r="K106" s="90">
        <f>'Combined data'!K106-'Combined data'!J106</f>
        <v>9</v>
      </c>
      <c r="L106" s="90">
        <f>'Combined data'!L106-'Combined data'!K106</f>
        <v>1</v>
      </c>
      <c r="M106" s="90">
        <f>'Combined data'!M106-'Combined data'!L106</f>
        <v>4</v>
      </c>
      <c r="N106" s="90">
        <f>'Combined data'!N106-'Combined data'!M106</f>
        <v>10</v>
      </c>
      <c r="O106" s="90">
        <f>'Combined data'!O106-'Combined data'!N106</f>
        <v>10</v>
      </c>
      <c r="P106" s="90">
        <f>'Combined data'!P106-'Combined data'!O106</f>
        <v>7</v>
      </c>
      <c r="Q106" s="90">
        <f>'Combined data'!Q106-'Combined data'!P106</f>
        <v>7</v>
      </c>
      <c r="R106" s="90">
        <f>'Combined data'!R106-'Combined data'!Q106</f>
        <v>3</v>
      </c>
      <c r="S106" s="90">
        <f>'Combined data'!S106-'Combined data'!R106</f>
        <v>1</v>
      </c>
      <c r="T106" s="90">
        <f>'Combined data'!T106-'Combined data'!S106</f>
        <v>4</v>
      </c>
      <c r="U106" s="90">
        <f>'Combined data'!U106-'Combined data'!T106</f>
        <v>9</v>
      </c>
      <c r="V106" s="90">
        <f>'Combined data'!V106-'Combined data'!U106</f>
        <v>4</v>
      </c>
      <c r="W106" s="90">
        <f>'Combined data'!W106-'Combined data'!V106</f>
        <v>2</v>
      </c>
      <c r="X106" s="90">
        <f>'Combined data'!X106-'Combined data'!W106</f>
        <v>0</v>
      </c>
      <c r="Y106" s="90">
        <f>'Combined data'!Y106-'Combined data'!X106</f>
        <v>1</v>
      </c>
      <c r="Z106" s="90">
        <f>'Combined data'!Z106-'Combined data'!Y106</f>
        <v>1</v>
      </c>
      <c r="AA106" s="90">
        <f>'Combined data'!AA106-'Combined data'!Z106</f>
        <v>3</v>
      </c>
      <c r="AB106" s="90">
        <f>'Combined data'!AB106-'Combined data'!AA106</f>
        <v>1</v>
      </c>
      <c r="AC106" s="90">
        <f>'Combined data'!AC106-'Combined data'!AB106</f>
        <v>0</v>
      </c>
      <c r="AD106" s="90">
        <f>'Combined data'!AD106-'Combined data'!AC106</f>
        <v>2</v>
      </c>
      <c r="AE106" s="90">
        <f>'Combined data'!AE106-'Combined data'!AD106</f>
        <v>-183</v>
      </c>
      <c r="AF106" s="90">
        <f>'Combined data'!AF106-'Combined data'!AE106</f>
        <v>0</v>
      </c>
      <c r="AG106" s="90">
        <f>'Combined data'!AG106-'Combined data'!AF106</f>
        <v>0</v>
      </c>
      <c r="AH106" s="90">
        <f>'Combined data'!AH106-'Combined data'!AG106</f>
        <v>0</v>
      </c>
      <c r="AI106" s="90">
        <f>'Combined data'!AI106-'Combined data'!AH106</f>
        <v>0</v>
      </c>
      <c r="AJ106" s="90">
        <f>'Combined data'!AJ106-'Combined data'!AI106</f>
        <v>0</v>
      </c>
      <c r="AK106" s="90">
        <f>'Combined data'!AK106-'Combined data'!AJ106</f>
        <v>0</v>
      </c>
      <c r="AL106" s="90">
        <f>'Combined data'!AL106-'Combined data'!AK106</f>
        <v>0</v>
      </c>
      <c r="AM106" s="90">
        <f>'Combined data'!AM106-'Combined data'!AL106</f>
        <v>0</v>
      </c>
      <c r="AN106" s="90">
        <f>'Combined data'!AN106-'Combined data'!AM106</f>
        <v>0</v>
      </c>
      <c r="AO106" s="90">
        <f>'Combined data'!AO106-'Combined data'!AN106</f>
        <v>0</v>
      </c>
      <c r="AP106" s="56">
        <f t="shared" si="72"/>
        <v>0</v>
      </c>
      <c r="AQ106" s="113"/>
      <c r="AR106" s="17">
        <f>'Combined data'!AR106</f>
        <v>34</v>
      </c>
      <c r="AS106" s="17">
        <f>'Combined data'!AS106-'Combined data'!AR106</f>
        <v>3</v>
      </c>
      <c r="AT106" s="17">
        <f>'Combined data'!AT106-'Combined data'!AS106</f>
        <v>9</v>
      </c>
      <c r="AU106" s="17">
        <f>'Combined data'!AU106-'Combined data'!AT106</f>
        <v>18</v>
      </c>
      <c r="AV106" s="17">
        <f>'Combined data'!AV106-'Combined data'!AU106</f>
        <v>9</v>
      </c>
      <c r="AW106" s="17">
        <f>'Combined data'!AW106-'Combined data'!AV106</f>
        <v>6</v>
      </c>
      <c r="AX106" s="17">
        <f>'Combined data'!AX106-'Combined data'!AW106</f>
        <v>14</v>
      </c>
      <c r="AY106" s="17">
        <f>'Combined data'!AY106-'Combined data'!AX106</f>
        <v>2</v>
      </c>
      <c r="AZ106" s="17">
        <f>'Combined data'!AZ106-'Combined data'!AY106</f>
        <v>6</v>
      </c>
      <c r="BA106" s="17">
        <f>'Combined data'!BA106-'Combined data'!AZ106</f>
        <v>2</v>
      </c>
      <c r="BB106" s="17">
        <f>'Combined data'!BB106-'Combined data'!BA106</f>
        <v>9</v>
      </c>
      <c r="BC106" s="17">
        <f>'Combined data'!BC106-'Combined data'!BB106</f>
        <v>6</v>
      </c>
      <c r="BD106" s="17">
        <f>'Combined data'!BD106-'Combined data'!BC106</f>
        <v>4</v>
      </c>
      <c r="BE106" s="17">
        <f>'Combined data'!BE106-'Combined data'!BD106</f>
        <v>7</v>
      </c>
      <c r="BF106" s="17">
        <f>'Combined data'!BF106-'Combined data'!BE106</f>
        <v>2</v>
      </c>
      <c r="BG106" s="17">
        <f>'Combined data'!BG106-'Combined data'!BF106</f>
        <v>10</v>
      </c>
      <c r="BH106" s="17">
        <f>'Combined data'!BH106-'Combined data'!BG106</f>
        <v>0</v>
      </c>
      <c r="BI106" s="17">
        <f>'Combined data'!BI106-'Combined data'!BH106</f>
        <v>0</v>
      </c>
      <c r="BJ106" s="17">
        <f>'Combined data'!BJ106-'Combined data'!BI106</f>
        <v>5</v>
      </c>
      <c r="BK106" s="17">
        <f>'Combined data'!BK106-'Combined data'!BJ106</f>
        <v>6</v>
      </c>
      <c r="BL106" s="17">
        <f>'Combined data'!BL106-'Combined data'!BK106</f>
        <v>3</v>
      </c>
      <c r="BM106" s="17">
        <f>'Combined data'!BM106-'Combined data'!BL106</f>
        <v>3</v>
      </c>
      <c r="BN106" s="17">
        <f>'Combined data'!BN106-'Combined data'!BM106</f>
        <v>2</v>
      </c>
      <c r="BO106" s="17">
        <f>'Combined data'!BO106-'Combined data'!BN106</f>
        <v>-160</v>
      </c>
      <c r="BP106" s="17">
        <f>'Combined data'!BP106-'Combined data'!BO106</f>
        <v>0</v>
      </c>
      <c r="BQ106" s="17">
        <f>'Combined data'!BQ106-'Combined data'!BP106</f>
        <v>0</v>
      </c>
      <c r="BR106" s="17">
        <f>'Combined data'!BR106-'Combined data'!BQ106</f>
        <v>0</v>
      </c>
      <c r="BS106" s="17">
        <f>'Combined data'!BS106-'Combined data'!BR106</f>
        <v>0</v>
      </c>
      <c r="BT106" s="17">
        <f>'Combined data'!BT106-'Combined data'!BS106</f>
        <v>0</v>
      </c>
      <c r="BU106" s="17">
        <f>'Combined data'!BU106-'Combined data'!BT106</f>
        <v>0</v>
      </c>
      <c r="BV106" s="17">
        <f>'Combined data'!BV106-'Combined data'!BU106</f>
        <v>0</v>
      </c>
      <c r="BW106" s="17">
        <f>'Combined data'!BW106-'Combined data'!BV106</f>
        <v>0</v>
      </c>
      <c r="BX106" s="17">
        <f>'Combined data'!BX106-'Combined data'!BW106</f>
        <v>0</v>
      </c>
      <c r="BY106" s="17">
        <f>'Combined data'!BY106-'Combined data'!BX106</f>
        <v>0</v>
      </c>
      <c r="CB106" s="17">
        <f t="shared" si="74"/>
        <v>34</v>
      </c>
      <c r="CC106" s="17">
        <f t="shared" si="75"/>
        <v>3</v>
      </c>
      <c r="CD106" s="17">
        <f t="shared" si="76"/>
        <v>9</v>
      </c>
      <c r="CE106" s="17">
        <f t="shared" si="77"/>
        <v>18</v>
      </c>
      <c r="CF106" s="17">
        <f t="shared" si="78"/>
        <v>9</v>
      </c>
      <c r="CG106" s="17">
        <f t="shared" si="79"/>
        <v>6</v>
      </c>
      <c r="CH106" s="17">
        <f t="shared" si="80"/>
        <v>14</v>
      </c>
      <c r="CI106" s="17">
        <f t="shared" si="81"/>
        <v>2</v>
      </c>
      <c r="CJ106" s="17">
        <f t="shared" si="82"/>
        <v>6</v>
      </c>
      <c r="CK106" s="17">
        <f t="shared" si="83"/>
        <v>2</v>
      </c>
      <c r="CL106" s="17">
        <f t="shared" si="84"/>
        <v>9</v>
      </c>
      <c r="CM106" s="17">
        <f t="shared" si="85"/>
        <v>6</v>
      </c>
      <c r="CN106" s="17">
        <f t="shared" si="86"/>
        <v>4</v>
      </c>
      <c r="CO106" s="17">
        <f t="shared" si="87"/>
        <v>7</v>
      </c>
      <c r="CP106" s="17">
        <f t="shared" si="88"/>
        <v>2</v>
      </c>
      <c r="CQ106" s="17">
        <f t="shared" si="89"/>
        <v>10</v>
      </c>
      <c r="CR106" s="17">
        <f t="shared" si="90"/>
        <v>0</v>
      </c>
      <c r="CS106" s="17">
        <f t="shared" si="91"/>
        <v>0</v>
      </c>
      <c r="CT106" s="17">
        <f t="shared" si="92"/>
        <v>5</v>
      </c>
      <c r="CU106" s="17">
        <f t="shared" si="93"/>
        <v>6</v>
      </c>
      <c r="CV106" s="17">
        <f t="shared" si="94"/>
        <v>3</v>
      </c>
      <c r="CW106" s="17">
        <f t="shared" si="95"/>
        <v>3</v>
      </c>
      <c r="CX106" s="17">
        <f t="shared" si="96"/>
        <v>2</v>
      </c>
      <c r="CY106" s="17">
        <f t="shared" si="96"/>
        <v>-160</v>
      </c>
      <c r="CZ106" s="17">
        <f t="shared" si="96"/>
        <v>0</v>
      </c>
      <c r="DA106" s="17">
        <f t="shared" si="96"/>
        <v>0</v>
      </c>
      <c r="DB106" s="17">
        <f t="shared" si="96"/>
        <v>0</v>
      </c>
      <c r="DC106" s="17">
        <f t="shared" si="96"/>
        <v>0</v>
      </c>
      <c r="DD106" s="17">
        <f t="shared" si="96"/>
        <v>0</v>
      </c>
      <c r="DE106" s="17">
        <f t="shared" si="96"/>
        <v>0</v>
      </c>
      <c r="DF106" s="17">
        <f t="shared" si="96"/>
        <v>0</v>
      </c>
      <c r="DG106" s="17">
        <f t="shared" si="96"/>
        <v>0</v>
      </c>
      <c r="DH106" s="17">
        <f t="shared" si="96"/>
        <v>0</v>
      </c>
      <c r="DI106" s="17">
        <f t="shared" si="96"/>
        <v>0</v>
      </c>
    </row>
    <row r="107" spans="1:113" ht="15.75" x14ac:dyDescent="0.25">
      <c r="A107" s="4" t="s">
        <v>203</v>
      </c>
      <c r="B107" s="6" t="s">
        <v>204</v>
      </c>
      <c r="H107" s="90">
        <f>'Combined data'!H107</f>
        <v>134</v>
      </c>
      <c r="I107" s="90">
        <f>'Combined data'!I107-'Combined data'!H107</f>
        <v>13</v>
      </c>
      <c r="J107" s="90">
        <f>'Combined data'!J107-'Combined data'!I107</f>
        <v>9</v>
      </c>
      <c r="K107" s="90">
        <f>'Combined data'!K107-'Combined data'!J107</f>
        <v>16</v>
      </c>
      <c r="L107" s="90">
        <f>'Combined data'!L107-'Combined data'!K107</f>
        <v>5</v>
      </c>
      <c r="M107" s="90">
        <f>'Combined data'!M107-'Combined data'!L107</f>
        <v>3</v>
      </c>
      <c r="N107" s="90">
        <f>'Combined data'!N107-'Combined data'!M107</f>
        <v>12</v>
      </c>
      <c r="O107" s="90">
        <f>'Combined data'!O107-'Combined data'!N107</f>
        <v>8</v>
      </c>
      <c r="P107" s="90">
        <f>'Combined data'!P107-'Combined data'!O107</f>
        <v>12</v>
      </c>
      <c r="Q107" s="90">
        <f>'Combined data'!Q107-'Combined data'!P107</f>
        <v>6</v>
      </c>
      <c r="R107" s="90">
        <f>'Combined data'!R107-'Combined data'!Q107</f>
        <v>1</v>
      </c>
      <c r="S107" s="90">
        <f>'Combined data'!S107-'Combined data'!R107</f>
        <v>3</v>
      </c>
      <c r="T107" s="90">
        <f>'Combined data'!T107-'Combined data'!S107</f>
        <v>8</v>
      </c>
      <c r="U107" s="90">
        <f>'Combined data'!U107-'Combined data'!T107</f>
        <v>8</v>
      </c>
      <c r="V107" s="90">
        <f>'Combined data'!V107-'Combined data'!U107</f>
        <v>4</v>
      </c>
      <c r="W107" s="90">
        <f>'Combined data'!W107-'Combined data'!V107</f>
        <v>2</v>
      </c>
      <c r="X107" s="90">
        <f>'Combined data'!X107-'Combined data'!W107</f>
        <v>0</v>
      </c>
      <c r="Y107" s="90">
        <f>'Combined data'!Y107-'Combined data'!X107</f>
        <v>3</v>
      </c>
      <c r="Z107" s="90">
        <f>'Combined data'!Z107-'Combined data'!Y107</f>
        <v>5</v>
      </c>
      <c r="AA107" s="90">
        <f>'Combined data'!AA107-'Combined data'!Z107</f>
        <v>3</v>
      </c>
      <c r="AB107" s="90">
        <f>'Combined data'!AB107-'Combined data'!AA107</f>
        <v>4</v>
      </c>
      <c r="AC107" s="90">
        <f>'Combined data'!AC107-'Combined data'!AB107</f>
        <v>0</v>
      </c>
      <c r="AD107" s="90">
        <f>'Combined data'!AD107-'Combined data'!AC107</f>
        <v>4</v>
      </c>
      <c r="AE107" s="90">
        <f>'Combined data'!AE107-'Combined data'!AD107</f>
        <v>-263</v>
      </c>
      <c r="AF107" s="90">
        <f>'Combined data'!AF107-'Combined data'!AE107</f>
        <v>0</v>
      </c>
      <c r="AG107" s="90">
        <f>'Combined data'!AG107-'Combined data'!AF107</f>
        <v>0</v>
      </c>
      <c r="AH107" s="90">
        <f>'Combined data'!AH107-'Combined data'!AG107</f>
        <v>0</v>
      </c>
      <c r="AI107" s="90">
        <f>'Combined data'!AI107-'Combined data'!AH107</f>
        <v>0</v>
      </c>
      <c r="AJ107" s="90">
        <f>'Combined data'!AJ107-'Combined data'!AI107</f>
        <v>0</v>
      </c>
      <c r="AK107" s="90">
        <f>'Combined data'!AK107-'Combined data'!AJ107</f>
        <v>0</v>
      </c>
      <c r="AL107" s="90">
        <f>'Combined data'!AL107-'Combined data'!AK107</f>
        <v>0</v>
      </c>
      <c r="AM107" s="90">
        <f>'Combined data'!AM107-'Combined data'!AL107</f>
        <v>0</v>
      </c>
      <c r="AN107" s="90">
        <f>'Combined data'!AN107-'Combined data'!AM107</f>
        <v>0</v>
      </c>
      <c r="AO107" s="90">
        <f>'Combined data'!AO107-'Combined data'!AN107</f>
        <v>0</v>
      </c>
      <c r="AP107" s="56">
        <f t="shared" si="72"/>
        <v>0</v>
      </c>
      <c r="AQ107" s="113"/>
      <c r="AR107" s="17">
        <f>'Combined data'!AR107</f>
        <v>77</v>
      </c>
      <c r="AS107" s="17">
        <f>'Combined data'!AS107-'Combined data'!AR107</f>
        <v>6</v>
      </c>
      <c r="AT107" s="17">
        <f>'Combined data'!AT107-'Combined data'!AS107</f>
        <v>12</v>
      </c>
      <c r="AU107" s="17">
        <f>'Combined data'!AU107-'Combined data'!AT107</f>
        <v>10</v>
      </c>
      <c r="AV107" s="17">
        <f>'Combined data'!AV107-'Combined data'!AU107</f>
        <v>10</v>
      </c>
      <c r="AW107" s="17">
        <f>'Combined data'!AW107-'Combined data'!AV107</f>
        <v>9</v>
      </c>
      <c r="AX107" s="17">
        <f>'Combined data'!AX107-'Combined data'!AW107</f>
        <v>11</v>
      </c>
      <c r="AY107" s="17">
        <f>'Combined data'!AY107-'Combined data'!AX107</f>
        <v>8</v>
      </c>
      <c r="AZ107" s="17">
        <f>'Combined data'!AZ107-'Combined data'!AY107</f>
        <v>13</v>
      </c>
      <c r="BA107" s="17">
        <f>'Combined data'!BA107-'Combined data'!AZ107</f>
        <v>6</v>
      </c>
      <c r="BB107" s="17">
        <f>'Combined data'!BB107-'Combined data'!BA107</f>
        <v>6</v>
      </c>
      <c r="BC107" s="17">
        <f>'Combined data'!BC107-'Combined data'!BB107</f>
        <v>5</v>
      </c>
      <c r="BD107" s="17">
        <f>'Combined data'!BD107-'Combined data'!BC107</f>
        <v>4</v>
      </c>
      <c r="BE107" s="17">
        <f>'Combined data'!BE107-'Combined data'!BD107</f>
        <v>7</v>
      </c>
      <c r="BF107" s="17">
        <f>'Combined data'!BF107-'Combined data'!BE107</f>
        <v>6</v>
      </c>
      <c r="BG107" s="17">
        <f>'Combined data'!BG107-'Combined data'!BF107</f>
        <v>5</v>
      </c>
      <c r="BH107" s="17">
        <f>'Combined data'!BH107-'Combined data'!BG107</f>
        <v>5</v>
      </c>
      <c r="BI107" s="17">
        <f>'Combined data'!BI107-'Combined data'!BH107</f>
        <v>2</v>
      </c>
      <c r="BJ107" s="17">
        <f>'Combined data'!BJ107-'Combined data'!BI107</f>
        <v>3</v>
      </c>
      <c r="BK107" s="17">
        <f>'Combined data'!BK107-'Combined data'!BJ107</f>
        <v>0</v>
      </c>
      <c r="BL107" s="17">
        <f>'Combined data'!BL107-'Combined data'!BK107</f>
        <v>10</v>
      </c>
      <c r="BM107" s="17">
        <f>'Combined data'!BM107-'Combined data'!BL107</f>
        <v>-1</v>
      </c>
      <c r="BN107" s="17">
        <f>'Combined data'!BN107-'Combined data'!BM107</f>
        <v>5</v>
      </c>
      <c r="BO107" s="17">
        <f>'Combined data'!BO107-'Combined data'!BN107</f>
        <v>-219</v>
      </c>
      <c r="BP107" s="17">
        <f>'Combined data'!BP107-'Combined data'!BO107</f>
        <v>0</v>
      </c>
      <c r="BQ107" s="17">
        <f>'Combined data'!BQ107-'Combined data'!BP107</f>
        <v>0</v>
      </c>
      <c r="BR107" s="17">
        <f>'Combined data'!BR107-'Combined data'!BQ107</f>
        <v>0</v>
      </c>
      <c r="BS107" s="17">
        <f>'Combined data'!BS107-'Combined data'!BR107</f>
        <v>0</v>
      </c>
      <c r="BT107" s="17">
        <f>'Combined data'!BT107-'Combined data'!BS107</f>
        <v>0</v>
      </c>
      <c r="BU107" s="17">
        <f>'Combined data'!BU107-'Combined data'!BT107</f>
        <v>0</v>
      </c>
      <c r="BV107" s="17">
        <f>'Combined data'!BV107-'Combined data'!BU107</f>
        <v>0</v>
      </c>
      <c r="BW107" s="17">
        <f>'Combined data'!BW107-'Combined data'!BV107</f>
        <v>0</v>
      </c>
      <c r="BX107" s="17">
        <f>'Combined data'!BX107-'Combined data'!BW107</f>
        <v>0</v>
      </c>
      <c r="BY107" s="17">
        <f>'Combined data'!BY107-'Combined data'!BX107</f>
        <v>0</v>
      </c>
      <c r="CB107" s="17">
        <f t="shared" si="74"/>
        <v>77</v>
      </c>
      <c r="CC107" s="17">
        <f t="shared" si="75"/>
        <v>6</v>
      </c>
      <c r="CD107" s="17">
        <f t="shared" si="76"/>
        <v>12</v>
      </c>
      <c r="CE107" s="17">
        <f t="shared" si="77"/>
        <v>10</v>
      </c>
      <c r="CF107" s="17">
        <f t="shared" si="78"/>
        <v>10</v>
      </c>
      <c r="CG107" s="17">
        <f t="shared" si="79"/>
        <v>9</v>
      </c>
      <c r="CH107" s="17">
        <f t="shared" si="80"/>
        <v>11</v>
      </c>
      <c r="CI107" s="17">
        <f t="shared" si="81"/>
        <v>8</v>
      </c>
      <c r="CJ107" s="17">
        <f t="shared" si="82"/>
        <v>13</v>
      </c>
      <c r="CK107" s="17">
        <f t="shared" si="83"/>
        <v>6</v>
      </c>
      <c r="CL107" s="17">
        <f t="shared" si="84"/>
        <v>6</v>
      </c>
      <c r="CM107" s="17">
        <f t="shared" si="85"/>
        <v>5</v>
      </c>
      <c r="CN107" s="17">
        <f t="shared" si="86"/>
        <v>4</v>
      </c>
      <c r="CO107" s="17">
        <f t="shared" si="87"/>
        <v>7</v>
      </c>
      <c r="CP107" s="17">
        <f t="shared" si="88"/>
        <v>6</v>
      </c>
      <c r="CQ107" s="17">
        <f t="shared" si="89"/>
        <v>5</v>
      </c>
      <c r="CR107" s="17">
        <f t="shared" si="90"/>
        <v>5</v>
      </c>
      <c r="CS107" s="17">
        <f t="shared" si="91"/>
        <v>2</v>
      </c>
      <c r="CT107" s="17">
        <f t="shared" si="92"/>
        <v>3</v>
      </c>
      <c r="CU107" s="17">
        <f t="shared" si="93"/>
        <v>0</v>
      </c>
      <c r="CV107" s="17">
        <f t="shared" si="94"/>
        <v>10</v>
      </c>
      <c r="CW107" s="17">
        <f t="shared" si="95"/>
        <v>-1</v>
      </c>
      <c r="CX107" s="17">
        <f t="shared" si="96"/>
        <v>5</v>
      </c>
      <c r="CY107" s="17">
        <f t="shared" si="96"/>
        <v>-219</v>
      </c>
      <c r="CZ107" s="17">
        <f t="shared" si="96"/>
        <v>0</v>
      </c>
      <c r="DA107" s="17">
        <f t="shared" si="96"/>
        <v>0</v>
      </c>
      <c r="DB107" s="17">
        <f t="shared" si="96"/>
        <v>0</v>
      </c>
      <c r="DC107" s="17">
        <f t="shared" si="96"/>
        <v>0</v>
      </c>
      <c r="DD107" s="17">
        <f t="shared" si="96"/>
        <v>0</v>
      </c>
      <c r="DE107" s="17">
        <f t="shared" si="96"/>
        <v>0</v>
      </c>
      <c r="DF107" s="17">
        <f t="shared" si="96"/>
        <v>0</v>
      </c>
      <c r="DG107" s="17">
        <f t="shared" si="96"/>
        <v>0</v>
      </c>
      <c r="DH107" s="17">
        <f t="shared" si="96"/>
        <v>0</v>
      </c>
      <c r="DI107" s="17">
        <f t="shared" si="96"/>
        <v>0</v>
      </c>
    </row>
    <row r="108" spans="1:113" ht="15.75" x14ac:dyDescent="0.25">
      <c r="A108" s="4" t="s">
        <v>205</v>
      </c>
      <c r="B108" s="6" t="s">
        <v>206</v>
      </c>
      <c r="H108" s="90">
        <f>'Combined data'!H108</f>
        <v>254</v>
      </c>
      <c r="I108" s="90">
        <f>'Combined data'!I108-'Combined data'!H108</f>
        <v>12</v>
      </c>
      <c r="J108" s="90">
        <f>'Combined data'!J108-'Combined data'!I108</f>
        <v>29</v>
      </c>
      <c r="K108" s="90">
        <f>'Combined data'!K108-'Combined data'!J108</f>
        <v>10</v>
      </c>
      <c r="L108" s="90">
        <f>'Combined data'!L108-'Combined data'!K108</f>
        <v>6</v>
      </c>
      <c r="M108" s="90">
        <f>'Combined data'!M108-'Combined data'!L108</f>
        <v>2</v>
      </c>
      <c r="N108" s="90">
        <f>'Combined data'!N108-'Combined data'!M108</f>
        <v>22</v>
      </c>
      <c r="O108" s="90">
        <f>'Combined data'!O108-'Combined data'!N108</f>
        <v>13</v>
      </c>
      <c r="P108" s="90">
        <f>'Combined data'!P108-'Combined data'!O108</f>
        <v>11</v>
      </c>
      <c r="Q108" s="90">
        <f>'Combined data'!Q108-'Combined data'!P108</f>
        <v>15</v>
      </c>
      <c r="R108" s="90">
        <f>'Combined data'!R108-'Combined data'!Q108</f>
        <v>6</v>
      </c>
      <c r="S108" s="90">
        <f>'Combined data'!S108-'Combined data'!R108</f>
        <v>19</v>
      </c>
      <c r="T108" s="90">
        <f>'Combined data'!T108-'Combined data'!S108</f>
        <v>14</v>
      </c>
      <c r="U108" s="90">
        <f>'Combined data'!U108-'Combined data'!T108</f>
        <v>12</v>
      </c>
      <c r="V108" s="90">
        <f>'Combined data'!V108-'Combined data'!U108</f>
        <v>20</v>
      </c>
      <c r="W108" s="90">
        <f>'Combined data'!W108-'Combined data'!V108</f>
        <v>13</v>
      </c>
      <c r="X108" s="90">
        <f>'Combined data'!X108-'Combined data'!W108</f>
        <v>13</v>
      </c>
      <c r="Y108" s="90">
        <f>'Combined data'!Y108-'Combined data'!X108</f>
        <v>12</v>
      </c>
      <c r="Z108" s="90">
        <f>'Combined data'!Z108-'Combined data'!Y108</f>
        <v>10</v>
      </c>
      <c r="AA108" s="90">
        <f>'Combined data'!AA108-'Combined data'!Z108</f>
        <v>3</v>
      </c>
      <c r="AB108" s="90">
        <f>'Combined data'!AB108-'Combined data'!AA108</f>
        <v>11</v>
      </c>
      <c r="AC108" s="90">
        <f>'Combined data'!AC108-'Combined data'!AB108</f>
        <v>4</v>
      </c>
      <c r="AD108" s="90">
        <f>'Combined data'!AD108-'Combined data'!AC108</f>
        <v>21</v>
      </c>
      <c r="AE108" s="90">
        <f>'Combined data'!AE108-'Combined data'!AD108</f>
        <v>-532</v>
      </c>
      <c r="AF108" s="90">
        <f>'Combined data'!AF108-'Combined data'!AE108</f>
        <v>0</v>
      </c>
      <c r="AG108" s="90">
        <f>'Combined data'!AG108-'Combined data'!AF108</f>
        <v>0</v>
      </c>
      <c r="AH108" s="90">
        <f>'Combined data'!AH108-'Combined data'!AG108</f>
        <v>0</v>
      </c>
      <c r="AI108" s="90">
        <f>'Combined data'!AI108-'Combined data'!AH108</f>
        <v>0</v>
      </c>
      <c r="AJ108" s="90">
        <f>'Combined data'!AJ108-'Combined data'!AI108</f>
        <v>0</v>
      </c>
      <c r="AK108" s="90">
        <f>'Combined data'!AK108-'Combined data'!AJ108</f>
        <v>0</v>
      </c>
      <c r="AL108" s="90">
        <f>'Combined data'!AL108-'Combined data'!AK108</f>
        <v>0</v>
      </c>
      <c r="AM108" s="90">
        <f>'Combined data'!AM108-'Combined data'!AL108</f>
        <v>0</v>
      </c>
      <c r="AN108" s="90">
        <f>'Combined data'!AN108-'Combined data'!AM108</f>
        <v>0</v>
      </c>
      <c r="AO108" s="90">
        <f>'Combined data'!AO108-'Combined data'!AN108</f>
        <v>0</v>
      </c>
      <c r="AP108" s="56">
        <f t="shared" si="72"/>
        <v>0</v>
      </c>
      <c r="AQ108" s="113"/>
      <c r="AR108" s="17">
        <f>'Combined data'!AR108</f>
        <v>103</v>
      </c>
      <c r="AS108" s="17">
        <f>'Combined data'!AS108-'Combined data'!AR108</f>
        <v>31</v>
      </c>
      <c r="AT108" s="17">
        <f>'Combined data'!AT108-'Combined data'!AS108</f>
        <v>11</v>
      </c>
      <c r="AU108" s="17">
        <f>'Combined data'!AU108-'Combined data'!AT108</f>
        <v>17</v>
      </c>
      <c r="AV108" s="17">
        <f>'Combined data'!AV108-'Combined data'!AU108</f>
        <v>15</v>
      </c>
      <c r="AW108" s="17">
        <f>'Combined data'!AW108-'Combined data'!AV108</f>
        <v>12</v>
      </c>
      <c r="AX108" s="17">
        <f>'Combined data'!AX108-'Combined data'!AW108</f>
        <v>25</v>
      </c>
      <c r="AY108" s="17">
        <f>'Combined data'!AY108-'Combined data'!AX108</f>
        <v>11</v>
      </c>
      <c r="AZ108" s="17">
        <f>'Combined data'!AZ108-'Combined data'!AY108</f>
        <v>9</v>
      </c>
      <c r="BA108" s="17">
        <f>'Combined data'!BA108-'Combined data'!AZ108</f>
        <v>8</v>
      </c>
      <c r="BB108" s="17">
        <f>'Combined data'!BB108-'Combined data'!BA108</f>
        <v>6</v>
      </c>
      <c r="BC108" s="17">
        <f>'Combined data'!BC108-'Combined data'!BB108</f>
        <v>19</v>
      </c>
      <c r="BD108" s="17">
        <f>'Combined data'!BD108-'Combined data'!BC108</f>
        <v>17</v>
      </c>
      <c r="BE108" s="17">
        <f>'Combined data'!BE108-'Combined data'!BD108</f>
        <v>15</v>
      </c>
      <c r="BF108" s="17">
        <f>'Combined data'!BF108-'Combined data'!BE108</f>
        <v>13</v>
      </c>
      <c r="BG108" s="17">
        <f>'Combined data'!BG108-'Combined data'!BF108</f>
        <v>2</v>
      </c>
      <c r="BH108" s="17">
        <f>'Combined data'!BH108-'Combined data'!BG108</f>
        <v>9</v>
      </c>
      <c r="BI108" s="17">
        <f>'Combined data'!BI108-'Combined data'!BH108</f>
        <v>11</v>
      </c>
      <c r="BJ108" s="17">
        <f>'Combined data'!BJ108-'Combined data'!BI108</f>
        <v>9</v>
      </c>
      <c r="BK108" s="17">
        <f>'Combined data'!BK108-'Combined data'!BJ108</f>
        <v>12</v>
      </c>
      <c r="BL108" s="17">
        <f>'Combined data'!BL108-'Combined data'!BK108</f>
        <v>11</v>
      </c>
      <c r="BM108" s="17">
        <f>'Combined data'!BM108-'Combined data'!BL108</f>
        <v>3</v>
      </c>
      <c r="BN108" s="17">
        <f>'Combined data'!BN108-'Combined data'!BM108</f>
        <v>2</v>
      </c>
      <c r="BO108" s="17">
        <f>'Combined data'!BO108-'Combined data'!BN108</f>
        <v>-371</v>
      </c>
      <c r="BP108" s="17">
        <f>'Combined data'!BP108-'Combined data'!BO108</f>
        <v>0</v>
      </c>
      <c r="BQ108" s="17">
        <f>'Combined data'!BQ108-'Combined data'!BP108</f>
        <v>0</v>
      </c>
      <c r="BR108" s="17">
        <f>'Combined data'!BR108-'Combined data'!BQ108</f>
        <v>0</v>
      </c>
      <c r="BS108" s="17">
        <f>'Combined data'!BS108-'Combined data'!BR108</f>
        <v>0</v>
      </c>
      <c r="BT108" s="17">
        <f>'Combined data'!BT108-'Combined data'!BS108</f>
        <v>0</v>
      </c>
      <c r="BU108" s="17">
        <f>'Combined data'!BU108-'Combined data'!BT108</f>
        <v>0</v>
      </c>
      <c r="BV108" s="17">
        <f>'Combined data'!BV108-'Combined data'!BU108</f>
        <v>0</v>
      </c>
      <c r="BW108" s="17">
        <f>'Combined data'!BW108-'Combined data'!BV108</f>
        <v>0</v>
      </c>
      <c r="BX108" s="17">
        <f>'Combined data'!BX108-'Combined data'!BW108</f>
        <v>0</v>
      </c>
      <c r="BY108" s="17">
        <f>'Combined data'!BY108-'Combined data'!BX108</f>
        <v>0</v>
      </c>
      <c r="CB108" s="17">
        <f t="shared" si="74"/>
        <v>103</v>
      </c>
      <c r="CC108" s="17">
        <f t="shared" si="75"/>
        <v>31</v>
      </c>
      <c r="CD108" s="17">
        <f t="shared" si="76"/>
        <v>11</v>
      </c>
      <c r="CE108" s="17">
        <f t="shared" si="77"/>
        <v>17</v>
      </c>
      <c r="CF108" s="17">
        <f t="shared" si="78"/>
        <v>15</v>
      </c>
      <c r="CG108" s="17">
        <f t="shared" si="79"/>
        <v>12</v>
      </c>
      <c r="CH108" s="17">
        <f t="shared" si="80"/>
        <v>25</v>
      </c>
      <c r="CI108" s="17">
        <f t="shared" si="81"/>
        <v>11</v>
      </c>
      <c r="CJ108" s="17">
        <f t="shared" si="82"/>
        <v>9</v>
      </c>
      <c r="CK108" s="17">
        <f t="shared" si="83"/>
        <v>8</v>
      </c>
      <c r="CL108" s="17">
        <f t="shared" si="84"/>
        <v>6</v>
      </c>
      <c r="CM108" s="17">
        <f t="shared" si="85"/>
        <v>19</v>
      </c>
      <c r="CN108" s="17">
        <f t="shared" si="86"/>
        <v>17</v>
      </c>
      <c r="CO108" s="17">
        <f t="shared" si="87"/>
        <v>15</v>
      </c>
      <c r="CP108" s="17">
        <f t="shared" si="88"/>
        <v>13</v>
      </c>
      <c r="CQ108" s="17">
        <f t="shared" si="89"/>
        <v>2</v>
      </c>
      <c r="CR108" s="17">
        <f t="shared" si="90"/>
        <v>9</v>
      </c>
      <c r="CS108" s="17">
        <f t="shared" si="91"/>
        <v>11</v>
      </c>
      <c r="CT108" s="17">
        <f t="shared" si="92"/>
        <v>9</v>
      </c>
      <c r="CU108" s="17">
        <f t="shared" si="93"/>
        <v>12</v>
      </c>
      <c r="CV108" s="17">
        <f t="shared" si="94"/>
        <v>11</v>
      </c>
      <c r="CW108" s="17">
        <f t="shared" si="95"/>
        <v>3</v>
      </c>
      <c r="CX108" s="17">
        <f t="shared" si="96"/>
        <v>2</v>
      </c>
      <c r="CY108" s="17">
        <f t="shared" si="96"/>
        <v>-371</v>
      </c>
      <c r="CZ108" s="17">
        <f t="shared" si="96"/>
        <v>0</v>
      </c>
      <c r="DA108" s="17">
        <f t="shared" si="96"/>
        <v>0</v>
      </c>
      <c r="DB108" s="17">
        <f t="shared" si="96"/>
        <v>0</v>
      </c>
      <c r="DC108" s="17">
        <f t="shared" si="96"/>
        <v>0</v>
      </c>
      <c r="DD108" s="17">
        <f t="shared" si="96"/>
        <v>0</v>
      </c>
      <c r="DE108" s="17">
        <f t="shared" si="96"/>
        <v>0</v>
      </c>
      <c r="DF108" s="17">
        <f t="shared" si="96"/>
        <v>0</v>
      </c>
      <c r="DG108" s="17">
        <f t="shared" si="96"/>
        <v>0</v>
      </c>
      <c r="DH108" s="17">
        <f t="shared" si="96"/>
        <v>0</v>
      </c>
      <c r="DI108" s="17">
        <f t="shared" si="96"/>
        <v>0</v>
      </c>
    </row>
    <row r="109" spans="1:113" ht="15.75" x14ac:dyDescent="0.25">
      <c r="A109" s="4" t="s">
        <v>207</v>
      </c>
      <c r="B109" s="6" t="s">
        <v>208</v>
      </c>
      <c r="H109" s="90">
        <f>'Combined data'!H109</f>
        <v>45</v>
      </c>
      <c r="I109" s="90">
        <f>'Combined data'!I109-'Combined data'!H109</f>
        <v>5</v>
      </c>
      <c r="J109" s="90">
        <f>'Combined data'!J109-'Combined data'!I109</f>
        <v>7</v>
      </c>
      <c r="K109" s="90">
        <f>'Combined data'!K109-'Combined data'!J109</f>
        <v>10</v>
      </c>
      <c r="L109" s="90">
        <f>'Combined data'!L109-'Combined data'!K109</f>
        <v>3</v>
      </c>
      <c r="M109" s="90">
        <f>'Combined data'!M109-'Combined data'!L109</f>
        <v>1</v>
      </c>
      <c r="N109" s="90">
        <f>'Combined data'!N109-'Combined data'!M109</f>
        <v>8</v>
      </c>
      <c r="O109" s="90">
        <f>'Combined data'!O109-'Combined data'!N109</f>
        <v>2</v>
      </c>
      <c r="P109" s="90">
        <f>'Combined data'!P109-'Combined data'!O109</f>
        <v>3</v>
      </c>
      <c r="Q109" s="90">
        <f>'Combined data'!Q109-'Combined data'!P109</f>
        <v>2</v>
      </c>
      <c r="R109" s="90">
        <f>'Combined data'!R109-'Combined data'!Q109</f>
        <v>3</v>
      </c>
      <c r="S109" s="90">
        <f>'Combined data'!S109-'Combined data'!R109</f>
        <v>3</v>
      </c>
      <c r="T109" s="90">
        <f>'Combined data'!T109-'Combined data'!S109</f>
        <v>2</v>
      </c>
      <c r="U109" s="90">
        <f>'Combined data'!U109-'Combined data'!T109</f>
        <v>1</v>
      </c>
      <c r="V109" s="90">
        <f>'Combined data'!V109-'Combined data'!U109</f>
        <v>3</v>
      </c>
      <c r="W109" s="90">
        <f>'Combined data'!W109-'Combined data'!V109</f>
        <v>4</v>
      </c>
      <c r="X109" s="90">
        <f>'Combined data'!X109-'Combined data'!W109</f>
        <v>0</v>
      </c>
      <c r="Y109" s="90">
        <f>'Combined data'!Y109-'Combined data'!X109</f>
        <v>2</v>
      </c>
      <c r="Z109" s="90">
        <f>'Combined data'!Z109-'Combined data'!Y109</f>
        <v>0</v>
      </c>
      <c r="AA109" s="90">
        <f>'Combined data'!AA109-'Combined data'!Z109</f>
        <v>0</v>
      </c>
      <c r="AB109" s="90">
        <f>'Combined data'!AB109-'Combined data'!AA109</f>
        <v>0</v>
      </c>
      <c r="AC109" s="90">
        <f>'Combined data'!AC109-'Combined data'!AB109</f>
        <v>3</v>
      </c>
      <c r="AD109" s="90">
        <f>'Combined data'!AD109-'Combined data'!AC109</f>
        <v>0</v>
      </c>
      <c r="AE109" s="90">
        <f>'Combined data'!AE109-'Combined data'!AD109</f>
        <v>-107</v>
      </c>
      <c r="AF109" s="90">
        <f>'Combined data'!AF109-'Combined data'!AE109</f>
        <v>0</v>
      </c>
      <c r="AG109" s="90">
        <f>'Combined data'!AG109-'Combined data'!AF109</f>
        <v>0</v>
      </c>
      <c r="AH109" s="90">
        <f>'Combined data'!AH109-'Combined data'!AG109</f>
        <v>0</v>
      </c>
      <c r="AI109" s="90">
        <f>'Combined data'!AI109-'Combined data'!AH109</f>
        <v>0</v>
      </c>
      <c r="AJ109" s="90">
        <f>'Combined data'!AJ109-'Combined data'!AI109</f>
        <v>0</v>
      </c>
      <c r="AK109" s="90">
        <f>'Combined data'!AK109-'Combined data'!AJ109</f>
        <v>0</v>
      </c>
      <c r="AL109" s="90">
        <f>'Combined data'!AL109-'Combined data'!AK109</f>
        <v>0</v>
      </c>
      <c r="AM109" s="90">
        <f>'Combined data'!AM109-'Combined data'!AL109</f>
        <v>0</v>
      </c>
      <c r="AN109" s="90">
        <f>'Combined data'!AN109-'Combined data'!AM109</f>
        <v>0</v>
      </c>
      <c r="AO109" s="90">
        <f>'Combined data'!AO109-'Combined data'!AN109</f>
        <v>0</v>
      </c>
      <c r="AP109" s="56">
        <f t="shared" si="72"/>
        <v>0</v>
      </c>
      <c r="AQ109" s="113"/>
      <c r="AR109" s="17">
        <f>'Combined data'!AR109</f>
        <v>17</v>
      </c>
      <c r="AS109" s="17">
        <f>'Combined data'!AS109-'Combined data'!AR109</f>
        <v>8</v>
      </c>
      <c r="AT109" s="17">
        <f>'Combined data'!AT109-'Combined data'!AS109</f>
        <v>7</v>
      </c>
      <c r="AU109" s="17">
        <f>'Combined data'!AU109-'Combined data'!AT109</f>
        <v>2</v>
      </c>
      <c r="AV109" s="17">
        <f>'Combined data'!AV109-'Combined data'!AU109</f>
        <v>9</v>
      </c>
      <c r="AW109" s="17">
        <f>'Combined data'!AW109-'Combined data'!AV109</f>
        <v>4</v>
      </c>
      <c r="AX109" s="17">
        <f>'Combined data'!AX109-'Combined data'!AW109</f>
        <v>12</v>
      </c>
      <c r="AY109" s="17">
        <f>'Combined data'!AY109-'Combined data'!AX109</f>
        <v>0</v>
      </c>
      <c r="AZ109" s="17">
        <f>'Combined data'!AZ109-'Combined data'!AY109</f>
        <v>10</v>
      </c>
      <c r="BA109" s="17">
        <f>'Combined data'!BA109-'Combined data'!AZ109</f>
        <v>2</v>
      </c>
      <c r="BB109" s="17">
        <f>'Combined data'!BB109-'Combined data'!BA109</f>
        <v>2</v>
      </c>
      <c r="BC109" s="17">
        <f>'Combined data'!BC109-'Combined data'!BB109</f>
        <v>2</v>
      </c>
      <c r="BD109" s="17">
        <f>'Combined data'!BD109-'Combined data'!BC109</f>
        <v>6</v>
      </c>
      <c r="BE109" s="17">
        <f>'Combined data'!BE109-'Combined data'!BD109</f>
        <v>3</v>
      </c>
      <c r="BF109" s="17">
        <f>'Combined data'!BF109-'Combined data'!BE109</f>
        <v>0</v>
      </c>
      <c r="BG109" s="17">
        <f>'Combined data'!BG109-'Combined data'!BF109</f>
        <v>2</v>
      </c>
      <c r="BH109" s="17">
        <f>'Combined data'!BH109-'Combined data'!BG109</f>
        <v>2</v>
      </c>
      <c r="BI109" s="17">
        <f>'Combined data'!BI109-'Combined data'!BH109</f>
        <v>0</v>
      </c>
      <c r="BJ109" s="17">
        <f>'Combined data'!BJ109-'Combined data'!BI109</f>
        <v>2</v>
      </c>
      <c r="BK109" s="17">
        <f>'Combined data'!BK109-'Combined data'!BJ109</f>
        <v>0</v>
      </c>
      <c r="BL109" s="17">
        <f>'Combined data'!BL109-'Combined data'!BK109</f>
        <v>3</v>
      </c>
      <c r="BM109" s="17">
        <f>'Combined data'!BM109-'Combined data'!BL109</f>
        <v>-2</v>
      </c>
      <c r="BN109" s="17">
        <f>'Combined data'!BN109-'Combined data'!BM109</f>
        <v>1</v>
      </c>
      <c r="BO109" s="17">
        <f>'Combined data'!BO109-'Combined data'!BN109</f>
        <v>-92</v>
      </c>
      <c r="BP109" s="17">
        <f>'Combined data'!BP109-'Combined data'!BO109</f>
        <v>0</v>
      </c>
      <c r="BQ109" s="17">
        <f>'Combined data'!BQ109-'Combined data'!BP109</f>
        <v>0</v>
      </c>
      <c r="BR109" s="17">
        <f>'Combined data'!BR109-'Combined data'!BQ109</f>
        <v>0</v>
      </c>
      <c r="BS109" s="17">
        <f>'Combined data'!BS109-'Combined data'!BR109</f>
        <v>0</v>
      </c>
      <c r="BT109" s="17">
        <f>'Combined data'!BT109-'Combined data'!BS109</f>
        <v>0</v>
      </c>
      <c r="BU109" s="17">
        <f>'Combined data'!BU109-'Combined data'!BT109</f>
        <v>0</v>
      </c>
      <c r="BV109" s="17">
        <f>'Combined data'!BV109-'Combined data'!BU109</f>
        <v>0</v>
      </c>
      <c r="BW109" s="17">
        <f>'Combined data'!BW109-'Combined data'!BV109</f>
        <v>0</v>
      </c>
      <c r="BX109" s="17">
        <f>'Combined data'!BX109-'Combined data'!BW109</f>
        <v>0</v>
      </c>
      <c r="BY109" s="17">
        <f>'Combined data'!BY109-'Combined data'!BX109</f>
        <v>0</v>
      </c>
      <c r="CB109" s="17">
        <f t="shared" si="74"/>
        <v>17</v>
      </c>
      <c r="CC109" s="17">
        <f t="shared" si="75"/>
        <v>8</v>
      </c>
      <c r="CD109" s="17">
        <f t="shared" si="76"/>
        <v>7</v>
      </c>
      <c r="CE109" s="17">
        <f t="shared" si="77"/>
        <v>2</v>
      </c>
      <c r="CF109" s="17">
        <f t="shared" si="78"/>
        <v>9</v>
      </c>
      <c r="CG109" s="17">
        <f t="shared" si="79"/>
        <v>4</v>
      </c>
      <c r="CH109" s="17">
        <f t="shared" si="80"/>
        <v>12</v>
      </c>
      <c r="CI109" s="17">
        <f t="shared" si="81"/>
        <v>0</v>
      </c>
      <c r="CJ109" s="17">
        <f t="shared" si="82"/>
        <v>10</v>
      </c>
      <c r="CK109" s="17">
        <f t="shared" si="83"/>
        <v>2</v>
      </c>
      <c r="CL109" s="17">
        <f t="shared" si="84"/>
        <v>2</v>
      </c>
      <c r="CM109" s="17">
        <f t="shared" si="85"/>
        <v>2</v>
      </c>
      <c r="CN109" s="17">
        <f t="shared" si="86"/>
        <v>6</v>
      </c>
      <c r="CO109" s="17">
        <f t="shared" si="87"/>
        <v>3</v>
      </c>
      <c r="CP109" s="17">
        <f t="shared" si="88"/>
        <v>0</v>
      </c>
      <c r="CQ109" s="17">
        <f t="shared" si="89"/>
        <v>2</v>
      </c>
      <c r="CR109" s="17">
        <f t="shared" si="90"/>
        <v>2</v>
      </c>
      <c r="CS109" s="17">
        <f t="shared" si="91"/>
        <v>0</v>
      </c>
      <c r="CT109" s="17">
        <f t="shared" si="92"/>
        <v>2</v>
      </c>
      <c r="CU109" s="17">
        <f t="shared" si="93"/>
        <v>0</v>
      </c>
      <c r="CV109" s="17">
        <f t="shared" si="94"/>
        <v>3</v>
      </c>
      <c r="CW109" s="17">
        <f t="shared" si="95"/>
        <v>-2</v>
      </c>
      <c r="CX109" s="17">
        <f t="shared" si="96"/>
        <v>1</v>
      </c>
      <c r="CY109" s="17">
        <f t="shared" si="96"/>
        <v>-92</v>
      </c>
      <c r="CZ109" s="17">
        <f t="shared" si="96"/>
        <v>0</v>
      </c>
      <c r="DA109" s="17">
        <f t="shared" si="96"/>
        <v>0</v>
      </c>
      <c r="DB109" s="17">
        <f t="shared" si="96"/>
        <v>0</v>
      </c>
      <c r="DC109" s="17">
        <f t="shared" si="96"/>
        <v>0</v>
      </c>
      <c r="DD109" s="17">
        <f t="shared" si="96"/>
        <v>0</v>
      </c>
      <c r="DE109" s="17">
        <f t="shared" si="96"/>
        <v>0</v>
      </c>
      <c r="DF109" s="17">
        <f t="shared" si="96"/>
        <v>0</v>
      </c>
      <c r="DG109" s="17">
        <f t="shared" si="96"/>
        <v>0</v>
      </c>
      <c r="DH109" s="17">
        <f t="shared" si="96"/>
        <v>0</v>
      </c>
      <c r="DI109" s="17">
        <f t="shared" si="96"/>
        <v>0</v>
      </c>
    </row>
    <row r="110" spans="1:113" ht="15.75" x14ac:dyDescent="0.25">
      <c r="A110" s="4" t="s">
        <v>209</v>
      </c>
      <c r="B110" s="6" t="s">
        <v>210</v>
      </c>
      <c r="H110" s="90">
        <f>'Combined data'!H110</f>
        <v>454</v>
      </c>
      <c r="I110" s="90">
        <f>'Combined data'!I110-'Combined data'!H110</f>
        <v>39</v>
      </c>
      <c r="J110" s="90">
        <f>'Combined data'!J110-'Combined data'!I110</f>
        <v>23</v>
      </c>
      <c r="K110" s="90">
        <f>'Combined data'!K110-'Combined data'!J110</f>
        <v>24</v>
      </c>
      <c r="L110" s="90">
        <f>'Combined data'!L110-'Combined data'!K110</f>
        <v>13</v>
      </c>
      <c r="M110" s="90">
        <f>'Combined data'!M110-'Combined data'!L110</f>
        <v>14</v>
      </c>
      <c r="N110" s="90">
        <f>'Combined data'!N110-'Combined data'!M110</f>
        <v>37</v>
      </c>
      <c r="O110" s="90">
        <f>'Combined data'!O110-'Combined data'!N110</f>
        <v>18</v>
      </c>
      <c r="P110" s="90">
        <f>'Combined data'!P110-'Combined data'!O110</f>
        <v>18</v>
      </c>
      <c r="Q110" s="90">
        <f>'Combined data'!Q110-'Combined data'!P110</f>
        <v>8</v>
      </c>
      <c r="R110" s="90">
        <f>'Combined data'!R110-'Combined data'!Q110</f>
        <v>11</v>
      </c>
      <c r="S110" s="90">
        <f>'Combined data'!S110-'Combined data'!R110</f>
        <v>6</v>
      </c>
      <c r="T110" s="90">
        <f>'Combined data'!T110-'Combined data'!S110</f>
        <v>6</v>
      </c>
      <c r="U110" s="90">
        <f>'Combined data'!U110-'Combined data'!T110</f>
        <v>11</v>
      </c>
      <c r="V110" s="90">
        <f>'Combined data'!V110-'Combined data'!U110</f>
        <v>9</v>
      </c>
      <c r="W110" s="90">
        <f>'Combined data'!W110-'Combined data'!V110</f>
        <v>16</v>
      </c>
      <c r="X110" s="90">
        <f>'Combined data'!X110-'Combined data'!W110</f>
        <v>7</v>
      </c>
      <c r="Y110" s="90">
        <f>'Combined data'!Y110-'Combined data'!X110</f>
        <v>8</v>
      </c>
      <c r="Z110" s="90">
        <f>'Combined data'!Z110-'Combined data'!Y110</f>
        <v>16</v>
      </c>
      <c r="AA110" s="90">
        <f>'Combined data'!AA110-'Combined data'!Z110</f>
        <v>6</v>
      </c>
      <c r="AB110" s="90">
        <f>'Combined data'!AB110-'Combined data'!AA110</f>
        <v>3</v>
      </c>
      <c r="AC110" s="90">
        <f>'Combined data'!AC110-'Combined data'!AB110</f>
        <v>0</v>
      </c>
      <c r="AD110" s="90">
        <f>'Combined data'!AD110-'Combined data'!AC110</f>
        <v>16</v>
      </c>
      <c r="AE110" s="90">
        <f>'Combined data'!AE110-'Combined data'!AD110</f>
        <v>-763</v>
      </c>
      <c r="AF110" s="90">
        <f>'Combined data'!AF110-'Combined data'!AE110</f>
        <v>0</v>
      </c>
      <c r="AG110" s="90">
        <f>'Combined data'!AG110-'Combined data'!AF110</f>
        <v>0</v>
      </c>
      <c r="AH110" s="90">
        <f>'Combined data'!AH110-'Combined data'!AG110</f>
        <v>0</v>
      </c>
      <c r="AI110" s="90">
        <f>'Combined data'!AI110-'Combined data'!AH110</f>
        <v>0</v>
      </c>
      <c r="AJ110" s="90">
        <f>'Combined data'!AJ110-'Combined data'!AI110</f>
        <v>0</v>
      </c>
      <c r="AK110" s="90">
        <f>'Combined data'!AK110-'Combined data'!AJ110</f>
        <v>0</v>
      </c>
      <c r="AL110" s="90">
        <f>'Combined data'!AL110-'Combined data'!AK110</f>
        <v>0</v>
      </c>
      <c r="AM110" s="90">
        <f>'Combined data'!AM110-'Combined data'!AL110</f>
        <v>0</v>
      </c>
      <c r="AN110" s="90">
        <f>'Combined data'!AN110-'Combined data'!AM110</f>
        <v>0</v>
      </c>
      <c r="AO110" s="90">
        <f>'Combined data'!AO110-'Combined data'!AN110</f>
        <v>0</v>
      </c>
      <c r="AP110" s="56">
        <f t="shared" si="72"/>
        <v>0</v>
      </c>
      <c r="AQ110" s="113"/>
      <c r="AR110" s="17">
        <f>'Combined data'!AR110</f>
        <v>242</v>
      </c>
      <c r="AS110" s="17">
        <f>'Combined data'!AS110-'Combined data'!AR110</f>
        <v>38</v>
      </c>
      <c r="AT110" s="17">
        <f>'Combined data'!AT110-'Combined data'!AS110</f>
        <v>29</v>
      </c>
      <c r="AU110" s="17">
        <f>'Combined data'!AU110-'Combined data'!AT110</f>
        <v>30</v>
      </c>
      <c r="AV110" s="17">
        <f>'Combined data'!AV110-'Combined data'!AU110</f>
        <v>29</v>
      </c>
      <c r="AW110" s="17">
        <f>'Combined data'!AW110-'Combined data'!AV110</f>
        <v>16</v>
      </c>
      <c r="AX110" s="17">
        <f>'Combined data'!AX110-'Combined data'!AW110</f>
        <v>42</v>
      </c>
      <c r="AY110" s="17">
        <f>'Combined data'!AY110-'Combined data'!AX110</f>
        <v>8</v>
      </c>
      <c r="AZ110" s="17">
        <f>'Combined data'!AZ110-'Combined data'!AY110</f>
        <v>15</v>
      </c>
      <c r="BA110" s="17">
        <f>'Combined data'!BA110-'Combined data'!AZ110</f>
        <v>20</v>
      </c>
      <c r="BB110" s="17">
        <f>'Combined data'!BB110-'Combined data'!BA110</f>
        <v>18</v>
      </c>
      <c r="BC110" s="17">
        <f>'Combined data'!BC110-'Combined data'!BB110</f>
        <v>23</v>
      </c>
      <c r="BD110" s="17">
        <f>'Combined data'!BD110-'Combined data'!BC110</f>
        <v>21</v>
      </c>
      <c r="BE110" s="17">
        <f>'Combined data'!BE110-'Combined data'!BD110</f>
        <v>18</v>
      </c>
      <c r="BF110" s="17">
        <f>'Combined data'!BF110-'Combined data'!BE110</f>
        <v>8</v>
      </c>
      <c r="BG110" s="17">
        <f>'Combined data'!BG110-'Combined data'!BF110</f>
        <v>5</v>
      </c>
      <c r="BH110" s="17">
        <f>'Combined data'!BH110-'Combined data'!BG110</f>
        <v>14</v>
      </c>
      <c r="BI110" s="17">
        <f>'Combined data'!BI110-'Combined data'!BH110</f>
        <v>13</v>
      </c>
      <c r="BJ110" s="17">
        <f>'Combined data'!BJ110-'Combined data'!BI110</f>
        <v>12</v>
      </c>
      <c r="BK110" s="17">
        <f>'Combined data'!BK110-'Combined data'!BJ110</f>
        <v>6</v>
      </c>
      <c r="BL110" s="17">
        <f>'Combined data'!BL110-'Combined data'!BK110</f>
        <v>15</v>
      </c>
      <c r="BM110" s="17">
        <f>'Combined data'!BM110-'Combined data'!BL110</f>
        <v>2</v>
      </c>
      <c r="BN110" s="17">
        <f>'Combined data'!BN110-'Combined data'!BM110</f>
        <v>6</v>
      </c>
      <c r="BO110" s="17">
        <f>'Combined data'!BO110-'Combined data'!BN110</f>
        <v>-630</v>
      </c>
      <c r="BP110" s="17">
        <f>'Combined data'!BP110-'Combined data'!BO110</f>
        <v>0</v>
      </c>
      <c r="BQ110" s="17">
        <f>'Combined data'!BQ110-'Combined data'!BP110</f>
        <v>0</v>
      </c>
      <c r="BR110" s="17">
        <f>'Combined data'!BR110-'Combined data'!BQ110</f>
        <v>0</v>
      </c>
      <c r="BS110" s="17">
        <f>'Combined data'!BS110-'Combined data'!BR110</f>
        <v>0</v>
      </c>
      <c r="BT110" s="17">
        <f>'Combined data'!BT110-'Combined data'!BS110</f>
        <v>0</v>
      </c>
      <c r="BU110" s="17">
        <f>'Combined data'!BU110-'Combined data'!BT110</f>
        <v>0</v>
      </c>
      <c r="BV110" s="17">
        <f>'Combined data'!BV110-'Combined data'!BU110</f>
        <v>0</v>
      </c>
      <c r="BW110" s="17">
        <f>'Combined data'!BW110-'Combined data'!BV110</f>
        <v>0</v>
      </c>
      <c r="BX110" s="17">
        <f>'Combined data'!BX110-'Combined data'!BW110</f>
        <v>0</v>
      </c>
      <c r="BY110" s="17">
        <f>'Combined data'!BY110-'Combined data'!BX110</f>
        <v>0</v>
      </c>
      <c r="CB110" s="17">
        <f t="shared" si="74"/>
        <v>242</v>
      </c>
      <c r="CC110" s="17">
        <f t="shared" si="75"/>
        <v>38</v>
      </c>
      <c r="CD110" s="17">
        <f t="shared" si="76"/>
        <v>29</v>
      </c>
      <c r="CE110" s="17">
        <f t="shared" si="77"/>
        <v>30</v>
      </c>
      <c r="CF110" s="17">
        <f t="shared" si="78"/>
        <v>29</v>
      </c>
      <c r="CG110" s="17">
        <f t="shared" si="79"/>
        <v>16</v>
      </c>
      <c r="CH110" s="17">
        <f t="shared" si="80"/>
        <v>42</v>
      </c>
      <c r="CI110" s="17">
        <f t="shared" si="81"/>
        <v>8</v>
      </c>
      <c r="CJ110" s="17">
        <f t="shared" si="82"/>
        <v>15</v>
      </c>
      <c r="CK110" s="17">
        <f t="shared" si="83"/>
        <v>20</v>
      </c>
      <c r="CL110" s="17">
        <f t="shared" si="84"/>
        <v>18</v>
      </c>
      <c r="CM110" s="17">
        <f t="shared" si="85"/>
        <v>23</v>
      </c>
      <c r="CN110" s="17">
        <f t="shared" si="86"/>
        <v>21</v>
      </c>
      <c r="CO110" s="17">
        <f t="shared" si="87"/>
        <v>18</v>
      </c>
      <c r="CP110" s="17">
        <f t="shared" si="88"/>
        <v>8</v>
      </c>
      <c r="CQ110" s="17">
        <f t="shared" si="89"/>
        <v>5</v>
      </c>
      <c r="CR110" s="17">
        <f t="shared" si="90"/>
        <v>14</v>
      </c>
      <c r="CS110" s="17">
        <f t="shared" si="91"/>
        <v>13</v>
      </c>
      <c r="CT110" s="17">
        <f t="shared" si="92"/>
        <v>12</v>
      </c>
      <c r="CU110" s="17">
        <f t="shared" si="93"/>
        <v>6</v>
      </c>
      <c r="CV110" s="17">
        <f t="shared" si="94"/>
        <v>15</v>
      </c>
      <c r="CW110" s="17">
        <f t="shared" si="95"/>
        <v>2</v>
      </c>
      <c r="CX110" s="17">
        <f t="shared" si="96"/>
        <v>6</v>
      </c>
      <c r="CY110" s="17">
        <f t="shared" si="96"/>
        <v>-630</v>
      </c>
      <c r="CZ110" s="17">
        <f t="shared" si="96"/>
        <v>0</v>
      </c>
      <c r="DA110" s="17">
        <f t="shared" si="96"/>
        <v>0</v>
      </c>
      <c r="DB110" s="17">
        <f t="shared" si="96"/>
        <v>0</v>
      </c>
      <c r="DC110" s="17">
        <f t="shared" si="96"/>
        <v>0</v>
      </c>
      <c r="DD110" s="17">
        <f t="shared" si="96"/>
        <v>0</v>
      </c>
      <c r="DE110" s="17">
        <f t="shared" si="96"/>
        <v>0</v>
      </c>
      <c r="DF110" s="17">
        <f t="shared" si="96"/>
        <v>0</v>
      </c>
      <c r="DG110" s="17">
        <f t="shared" si="96"/>
        <v>0</v>
      </c>
      <c r="DH110" s="17">
        <f t="shared" si="96"/>
        <v>0</v>
      </c>
      <c r="DI110" s="17">
        <f t="shared" si="96"/>
        <v>0</v>
      </c>
    </row>
    <row r="111" spans="1:113" ht="15.75" x14ac:dyDescent="0.25">
      <c r="A111" s="4" t="s">
        <v>211</v>
      </c>
      <c r="B111" s="6" t="s">
        <v>212</v>
      </c>
      <c r="H111" s="90">
        <f>'Combined data'!H111</f>
        <v>58</v>
      </c>
      <c r="I111" s="90">
        <f>'Combined data'!I111-'Combined data'!H111</f>
        <v>3</v>
      </c>
      <c r="J111" s="90">
        <f>'Combined data'!J111-'Combined data'!I111</f>
        <v>5</v>
      </c>
      <c r="K111" s="90">
        <f>'Combined data'!K111-'Combined data'!J111</f>
        <v>3</v>
      </c>
      <c r="L111" s="90">
        <f>'Combined data'!L111-'Combined data'!K111</f>
        <v>-2</v>
      </c>
      <c r="M111" s="90">
        <f>'Combined data'!M111-'Combined data'!L111</f>
        <v>0</v>
      </c>
      <c r="N111" s="90">
        <f>'Combined data'!N111-'Combined data'!M111</f>
        <v>2</v>
      </c>
      <c r="O111" s="90">
        <f>'Combined data'!O111-'Combined data'!N111</f>
        <v>4</v>
      </c>
      <c r="P111" s="90">
        <f>'Combined data'!P111-'Combined data'!O111</f>
        <v>2</v>
      </c>
      <c r="Q111" s="90">
        <f>'Combined data'!Q111-'Combined data'!P111</f>
        <v>3</v>
      </c>
      <c r="R111" s="90">
        <f>'Combined data'!R111-'Combined data'!Q111</f>
        <v>2</v>
      </c>
      <c r="S111" s="90">
        <f>'Combined data'!S111-'Combined data'!R111</f>
        <v>4</v>
      </c>
      <c r="T111" s="90">
        <f>'Combined data'!T111-'Combined data'!S111</f>
        <v>3</v>
      </c>
      <c r="U111" s="90">
        <f>'Combined data'!U111-'Combined data'!T111</f>
        <v>4</v>
      </c>
      <c r="V111" s="90">
        <f>'Combined data'!V111-'Combined data'!U111</f>
        <v>2</v>
      </c>
      <c r="W111" s="90">
        <f>'Combined data'!W111-'Combined data'!V111</f>
        <v>3</v>
      </c>
      <c r="X111" s="90">
        <f>'Combined data'!X111-'Combined data'!W111</f>
        <v>2</v>
      </c>
      <c r="Y111" s="90">
        <f>'Combined data'!Y111-'Combined data'!X111</f>
        <v>1</v>
      </c>
      <c r="Z111" s="90">
        <f>'Combined data'!Z111-'Combined data'!Y111</f>
        <v>3</v>
      </c>
      <c r="AA111" s="90">
        <f>'Combined data'!AA111-'Combined data'!Z111</f>
        <v>3</v>
      </c>
      <c r="AB111" s="90">
        <f>'Combined data'!AB111-'Combined data'!AA111</f>
        <v>2</v>
      </c>
      <c r="AC111" s="90">
        <f>'Combined data'!AC111-'Combined data'!AB111</f>
        <v>-1</v>
      </c>
      <c r="AD111" s="90">
        <f>'Combined data'!AD111-'Combined data'!AC111</f>
        <v>2</v>
      </c>
      <c r="AE111" s="90">
        <f>'Combined data'!AE111-'Combined data'!AD111</f>
        <v>-108</v>
      </c>
      <c r="AF111" s="90">
        <f>'Combined data'!AF111-'Combined data'!AE111</f>
        <v>0</v>
      </c>
      <c r="AG111" s="90">
        <f>'Combined data'!AG111-'Combined data'!AF111</f>
        <v>0</v>
      </c>
      <c r="AH111" s="90">
        <f>'Combined data'!AH111-'Combined data'!AG111</f>
        <v>0</v>
      </c>
      <c r="AI111" s="90">
        <f>'Combined data'!AI111-'Combined data'!AH111</f>
        <v>0</v>
      </c>
      <c r="AJ111" s="90">
        <f>'Combined data'!AJ111-'Combined data'!AI111</f>
        <v>0</v>
      </c>
      <c r="AK111" s="90">
        <f>'Combined data'!AK111-'Combined data'!AJ111</f>
        <v>0</v>
      </c>
      <c r="AL111" s="90">
        <f>'Combined data'!AL111-'Combined data'!AK111</f>
        <v>0</v>
      </c>
      <c r="AM111" s="90">
        <f>'Combined data'!AM111-'Combined data'!AL111</f>
        <v>0</v>
      </c>
      <c r="AN111" s="90">
        <f>'Combined data'!AN111-'Combined data'!AM111</f>
        <v>0</v>
      </c>
      <c r="AO111" s="90">
        <f>'Combined data'!AO111-'Combined data'!AN111</f>
        <v>0</v>
      </c>
      <c r="AP111" s="56">
        <f t="shared" si="72"/>
        <v>0</v>
      </c>
      <c r="AQ111" s="113"/>
      <c r="AR111" s="17">
        <f>'Combined data'!AR111</f>
        <v>21</v>
      </c>
      <c r="AS111" s="17">
        <f>'Combined data'!AS111-'Combined data'!AR111</f>
        <v>4</v>
      </c>
      <c r="AT111" s="17">
        <f>'Combined data'!AT111-'Combined data'!AS111</f>
        <v>5</v>
      </c>
      <c r="AU111" s="17">
        <f>'Combined data'!AU111-'Combined data'!AT111</f>
        <v>6</v>
      </c>
      <c r="AV111" s="17">
        <f>'Combined data'!AV111-'Combined data'!AU111</f>
        <v>8</v>
      </c>
      <c r="AW111" s="17">
        <f>'Combined data'!AW111-'Combined data'!AV111</f>
        <v>4</v>
      </c>
      <c r="AX111" s="17">
        <f>'Combined data'!AX111-'Combined data'!AW111</f>
        <v>3</v>
      </c>
      <c r="AY111" s="17">
        <f>'Combined data'!AY111-'Combined data'!AX111</f>
        <v>0</v>
      </c>
      <c r="AZ111" s="17">
        <f>'Combined data'!AZ111-'Combined data'!AY111</f>
        <v>4</v>
      </c>
      <c r="BA111" s="17">
        <f>'Combined data'!BA111-'Combined data'!AZ111</f>
        <v>5</v>
      </c>
      <c r="BB111" s="17">
        <f>'Combined data'!BB111-'Combined data'!BA111</f>
        <v>1</v>
      </c>
      <c r="BC111" s="17">
        <f>'Combined data'!BC111-'Combined data'!BB111</f>
        <v>3</v>
      </c>
      <c r="BD111" s="17">
        <f>'Combined data'!BD111-'Combined data'!BC111</f>
        <v>0</v>
      </c>
      <c r="BE111" s="17">
        <f>'Combined data'!BE111-'Combined data'!BD111</f>
        <v>0</v>
      </c>
      <c r="BF111" s="17">
        <f>'Combined data'!BF111-'Combined data'!BE111</f>
        <v>1</v>
      </c>
      <c r="BG111" s="17">
        <f>'Combined data'!BG111-'Combined data'!BF111</f>
        <v>2</v>
      </c>
      <c r="BH111" s="17">
        <f>'Combined data'!BH111-'Combined data'!BG111</f>
        <v>4</v>
      </c>
      <c r="BI111" s="17">
        <f>'Combined data'!BI111-'Combined data'!BH111</f>
        <v>2</v>
      </c>
      <c r="BJ111" s="17">
        <f>'Combined data'!BJ111-'Combined data'!BI111</f>
        <v>2</v>
      </c>
      <c r="BK111" s="17">
        <f>'Combined data'!BK111-'Combined data'!BJ111</f>
        <v>2</v>
      </c>
      <c r="BL111" s="17">
        <f>'Combined data'!BL111-'Combined data'!BK111</f>
        <v>2</v>
      </c>
      <c r="BM111" s="17">
        <f>'Combined data'!BM111-'Combined data'!BL111</f>
        <v>0</v>
      </c>
      <c r="BN111" s="17">
        <f>'Combined data'!BN111-'Combined data'!BM111</f>
        <v>6</v>
      </c>
      <c r="BO111" s="17">
        <f>'Combined data'!BO111-'Combined data'!BN111</f>
        <v>-85</v>
      </c>
      <c r="BP111" s="17">
        <f>'Combined data'!BP111-'Combined data'!BO111</f>
        <v>0</v>
      </c>
      <c r="BQ111" s="17">
        <f>'Combined data'!BQ111-'Combined data'!BP111</f>
        <v>0</v>
      </c>
      <c r="BR111" s="17">
        <f>'Combined data'!BR111-'Combined data'!BQ111</f>
        <v>0</v>
      </c>
      <c r="BS111" s="17">
        <f>'Combined data'!BS111-'Combined data'!BR111</f>
        <v>0</v>
      </c>
      <c r="BT111" s="17">
        <f>'Combined data'!BT111-'Combined data'!BS111</f>
        <v>0</v>
      </c>
      <c r="BU111" s="17">
        <f>'Combined data'!BU111-'Combined data'!BT111</f>
        <v>0</v>
      </c>
      <c r="BV111" s="17">
        <f>'Combined data'!BV111-'Combined data'!BU111</f>
        <v>0</v>
      </c>
      <c r="BW111" s="17">
        <f>'Combined data'!BW111-'Combined data'!BV111</f>
        <v>0</v>
      </c>
      <c r="BX111" s="17">
        <f>'Combined data'!BX111-'Combined data'!BW111</f>
        <v>0</v>
      </c>
      <c r="BY111" s="17">
        <f>'Combined data'!BY111-'Combined data'!BX111</f>
        <v>0</v>
      </c>
      <c r="CB111" s="17">
        <f t="shared" si="74"/>
        <v>21</v>
      </c>
      <c r="CC111" s="17">
        <f t="shared" si="75"/>
        <v>4</v>
      </c>
      <c r="CD111" s="17">
        <f t="shared" si="76"/>
        <v>5</v>
      </c>
      <c r="CE111" s="17">
        <f t="shared" si="77"/>
        <v>6</v>
      </c>
      <c r="CF111" s="17">
        <f t="shared" si="78"/>
        <v>8</v>
      </c>
      <c r="CG111" s="17">
        <f t="shared" si="79"/>
        <v>4</v>
      </c>
      <c r="CH111" s="17">
        <f t="shared" si="80"/>
        <v>3</v>
      </c>
      <c r="CI111" s="17">
        <f t="shared" si="81"/>
        <v>0</v>
      </c>
      <c r="CJ111" s="17">
        <f t="shared" si="82"/>
        <v>4</v>
      </c>
      <c r="CK111" s="17">
        <f t="shared" si="83"/>
        <v>5</v>
      </c>
      <c r="CL111" s="17">
        <f t="shared" si="84"/>
        <v>1</v>
      </c>
      <c r="CM111" s="17">
        <f t="shared" si="85"/>
        <v>3</v>
      </c>
      <c r="CN111" s="17">
        <f t="shared" si="86"/>
        <v>0</v>
      </c>
      <c r="CO111" s="17">
        <f t="shared" si="87"/>
        <v>0</v>
      </c>
      <c r="CP111" s="17">
        <f t="shared" si="88"/>
        <v>1</v>
      </c>
      <c r="CQ111" s="17">
        <f t="shared" si="89"/>
        <v>2</v>
      </c>
      <c r="CR111" s="17">
        <f t="shared" si="90"/>
        <v>4</v>
      </c>
      <c r="CS111" s="17">
        <f t="shared" si="91"/>
        <v>2</v>
      </c>
      <c r="CT111" s="17">
        <f t="shared" si="92"/>
        <v>2</v>
      </c>
      <c r="CU111" s="17">
        <f t="shared" si="93"/>
        <v>2</v>
      </c>
      <c r="CV111" s="17">
        <f t="shared" si="94"/>
        <v>2</v>
      </c>
      <c r="CW111" s="17">
        <f t="shared" si="95"/>
        <v>0</v>
      </c>
      <c r="CX111" s="17">
        <f t="shared" si="96"/>
        <v>6</v>
      </c>
      <c r="CY111" s="17">
        <f t="shared" si="96"/>
        <v>-85</v>
      </c>
      <c r="CZ111" s="17">
        <f t="shared" si="96"/>
        <v>0</v>
      </c>
      <c r="DA111" s="17">
        <f t="shared" si="96"/>
        <v>0</v>
      </c>
      <c r="DB111" s="17">
        <f t="shared" si="96"/>
        <v>0</v>
      </c>
      <c r="DC111" s="17">
        <f t="shared" si="96"/>
        <v>0</v>
      </c>
      <c r="DD111" s="17">
        <f t="shared" si="96"/>
        <v>0</v>
      </c>
      <c r="DE111" s="17">
        <f t="shared" si="96"/>
        <v>0</v>
      </c>
      <c r="DF111" s="17">
        <f t="shared" si="96"/>
        <v>0</v>
      </c>
      <c r="DG111" s="17">
        <f t="shared" si="96"/>
        <v>0</v>
      </c>
      <c r="DH111" s="17">
        <f t="shared" si="96"/>
        <v>0</v>
      </c>
      <c r="DI111" s="17">
        <f t="shared" si="96"/>
        <v>0</v>
      </c>
    </row>
    <row r="112" spans="1:113" ht="15.75" x14ac:dyDescent="0.25">
      <c r="A112" s="4" t="s">
        <v>213</v>
      </c>
      <c r="B112" s="6" t="s">
        <v>214</v>
      </c>
      <c r="H112" s="90">
        <f>'Combined data'!H112</f>
        <v>78</v>
      </c>
      <c r="I112" s="90">
        <f>'Combined data'!I112-'Combined data'!H112</f>
        <v>4</v>
      </c>
      <c r="J112" s="90">
        <f>'Combined data'!J112-'Combined data'!I112</f>
        <v>7</v>
      </c>
      <c r="K112" s="90">
        <f>'Combined data'!K112-'Combined data'!J112</f>
        <v>12</v>
      </c>
      <c r="L112" s="90">
        <f>'Combined data'!L112-'Combined data'!K112</f>
        <v>1</v>
      </c>
      <c r="M112" s="90">
        <f>'Combined data'!M112-'Combined data'!L112</f>
        <v>3</v>
      </c>
      <c r="N112" s="90">
        <f>'Combined data'!N112-'Combined data'!M112</f>
        <v>11</v>
      </c>
      <c r="O112" s="90">
        <f>'Combined data'!O112-'Combined data'!N112</f>
        <v>3</v>
      </c>
      <c r="P112" s="90">
        <f>'Combined data'!P112-'Combined data'!O112</f>
        <v>4</v>
      </c>
      <c r="Q112" s="90">
        <f>'Combined data'!Q112-'Combined data'!P112</f>
        <v>5</v>
      </c>
      <c r="R112" s="90">
        <f>'Combined data'!R112-'Combined data'!Q112</f>
        <v>4</v>
      </c>
      <c r="S112" s="90">
        <f>'Combined data'!S112-'Combined data'!R112</f>
        <v>4</v>
      </c>
      <c r="T112" s="90">
        <f>'Combined data'!T112-'Combined data'!S112</f>
        <v>8</v>
      </c>
      <c r="U112" s="90">
        <f>'Combined data'!U112-'Combined data'!T112</f>
        <v>2</v>
      </c>
      <c r="V112" s="90">
        <f>'Combined data'!V112-'Combined data'!U112</f>
        <v>6</v>
      </c>
      <c r="W112" s="90">
        <f>'Combined data'!W112-'Combined data'!V112</f>
        <v>7</v>
      </c>
      <c r="X112" s="90">
        <f>'Combined data'!X112-'Combined data'!W112</f>
        <v>1</v>
      </c>
      <c r="Y112" s="90">
        <f>'Combined data'!Y112-'Combined data'!X112</f>
        <v>5</v>
      </c>
      <c r="Z112" s="90">
        <f>'Combined data'!Z112-'Combined data'!Y112</f>
        <v>8</v>
      </c>
      <c r="AA112" s="90">
        <f>'Combined data'!AA112-'Combined data'!Z112</f>
        <v>3</v>
      </c>
      <c r="AB112" s="90">
        <f>'Combined data'!AB112-'Combined data'!AA112</f>
        <v>1</v>
      </c>
      <c r="AC112" s="90">
        <f>'Combined data'!AC112-'Combined data'!AB112</f>
        <v>-1</v>
      </c>
      <c r="AD112" s="90">
        <f>'Combined data'!AD112-'Combined data'!AC112</f>
        <v>11</v>
      </c>
      <c r="AE112" s="90">
        <f>'Combined data'!AE112-'Combined data'!AD112</f>
        <v>-187</v>
      </c>
      <c r="AF112" s="90">
        <f>'Combined data'!AF112-'Combined data'!AE112</f>
        <v>0</v>
      </c>
      <c r="AG112" s="90">
        <f>'Combined data'!AG112-'Combined data'!AF112</f>
        <v>0</v>
      </c>
      <c r="AH112" s="90">
        <f>'Combined data'!AH112-'Combined data'!AG112</f>
        <v>0</v>
      </c>
      <c r="AI112" s="90">
        <f>'Combined data'!AI112-'Combined data'!AH112</f>
        <v>0</v>
      </c>
      <c r="AJ112" s="90">
        <f>'Combined data'!AJ112-'Combined data'!AI112</f>
        <v>0</v>
      </c>
      <c r="AK112" s="90">
        <f>'Combined data'!AK112-'Combined data'!AJ112</f>
        <v>0</v>
      </c>
      <c r="AL112" s="90">
        <f>'Combined data'!AL112-'Combined data'!AK112</f>
        <v>0</v>
      </c>
      <c r="AM112" s="90">
        <f>'Combined data'!AM112-'Combined data'!AL112</f>
        <v>0</v>
      </c>
      <c r="AN112" s="90">
        <f>'Combined data'!AN112-'Combined data'!AM112</f>
        <v>0</v>
      </c>
      <c r="AO112" s="90">
        <f>'Combined data'!AO112-'Combined data'!AN112</f>
        <v>0</v>
      </c>
      <c r="AP112" s="56">
        <f t="shared" si="72"/>
        <v>0</v>
      </c>
      <c r="AQ112" s="113"/>
      <c r="AR112" s="17">
        <f>'Combined data'!AR112</f>
        <v>42</v>
      </c>
      <c r="AS112" s="17">
        <f>'Combined data'!AS112-'Combined data'!AR112</f>
        <v>6</v>
      </c>
      <c r="AT112" s="17">
        <f>'Combined data'!AT112-'Combined data'!AS112</f>
        <v>2</v>
      </c>
      <c r="AU112" s="17">
        <f>'Combined data'!AU112-'Combined data'!AT112</f>
        <v>6</v>
      </c>
      <c r="AV112" s="17">
        <f>'Combined data'!AV112-'Combined data'!AU112</f>
        <v>6</v>
      </c>
      <c r="AW112" s="17">
        <f>'Combined data'!AW112-'Combined data'!AV112</f>
        <v>4</v>
      </c>
      <c r="AX112" s="17">
        <f>'Combined data'!AX112-'Combined data'!AW112</f>
        <v>5</v>
      </c>
      <c r="AY112" s="17">
        <f>'Combined data'!AY112-'Combined data'!AX112</f>
        <v>7</v>
      </c>
      <c r="AZ112" s="17">
        <f>'Combined data'!AZ112-'Combined data'!AY112</f>
        <v>2</v>
      </c>
      <c r="BA112" s="17">
        <f>'Combined data'!BA112-'Combined data'!AZ112</f>
        <v>1</v>
      </c>
      <c r="BB112" s="17">
        <f>'Combined data'!BB112-'Combined data'!BA112</f>
        <v>5</v>
      </c>
      <c r="BC112" s="17">
        <f>'Combined data'!BC112-'Combined data'!BB112</f>
        <v>6</v>
      </c>
      <c r="BD112" s="17">
        <f>'Combined data'!BD112-'Combined data'!BC112</f>
        <v>8</v>
      </c>
      <c r="BE112" s="17">
        <f>'Combined data'!BE112-'Combined data'!BD112</f>
        <v>2</v>
      </c>
      <c r="BF112" s="17">
        <f>'Combined data'!BF112-'Combined data'!BE112</f>
        <v>5</v>
      </c>
      <c r="BG112" s="17">
        <f>'Combined data'!BG112-'Combined data'!BF112</f>
        <v>0</v>
      </c>
      <c r="BH112" s="17">
        <f>'Combined data'!BH112-'Combined data'!BG112</f>
        <v>2</v>
      </c>
      <c r="BI112" s="17">
        <f>'Combined data'!BI112-'Combined data'!BH112</f>
        <v>1</v>
      </c>
      <c r="BJ112" s="17">
        <f>'Combined data'!BJ112-'Combined data'!BI112</f>
        <v>1</v>
      </c>
      <c r="BK112" s="17">
        <f>'Combined data'!BK112-'Combined data'!BJ112</f>
        <v>4</v>
      </c>
      <c r="BL112" s="17">
        <f>'Combined data'!BL112-'Combined data'!BK112</f>
        <v>3</v>
      </c>
      <c r="BM112" s="17">
        <f>'Combined data'!BM112-'Combined data'!BL112</f>
        <v>4</v>
      </c>
      <c r="BN112" s="17">
        <f>'Combined data'!BN112-'Combined data'!BM112</f>
        <v>2</v>
      </c>
      <c r="BO112" s="17">
        <f>'Combined data'!BO112-'Combined data'!BN112</f>
        <v>-124</v>
      </c>
      <c r="BP112" s="17">
        <f>'Combined data'!BP112-'Combined data'!BO112</f>
        <v>0</v>
      </c>
      <c r="BQ112" s="17">
        <f>'Combined data'!BQ112-'Combined data'!BP112</f>
        <v>0</v>
      </c>
      <c r="BR112" s="17">
        <f>'Combined data'!BR112-'Combined data'!BQ112</f>
        <v>0</v>
      </c>
      <c r="BS112" s="17">
        <f>'Combined data'!BS112-'Combined data'!BR112</f>
        <v>0</v>
      </c>
      <c r="BT112" s="17">
        <f>'Combined data'!BT112-'Combined data'!BS112</f>
        <v>0</v>
      </c>
      <c r="BU112" s="17">
        <f>'Combined data'!BU112-'Combined data'!BT112</f>
        <v>0</v>
      </c>
      <c r="BV112" s="17">
        <f>'Combined data'!BV112-'Combined data'!BU112</f>
        <v>0</v>
      </c>
      <c r="BW112" s="17">
        <f>'Combined data'!BW112-'Combined data'!BV112</f>
        <v>0</v>
      </c>
      <c r="BX112" s="17">
        <f>'Combined data'!BX112-'Combined data'!BW112</f>
        <v>0</v>
      </c>
      <c r="BY112" s="17">
        <f>'Combined data'!BY112-'Combined data'!BX112</f>
        <v>0</v>
      </c>
      <c r="CB112" s="17">
        <f t="shared" si="74"/>
        <v>42</v>
      </c>
      <c r="CC112" s="17">
        <f t="shared" si="75"/>
        <v>6</v>
      </c>
      <c r="CD112" s="17">
        <f t="shared" si="76"/>
        <v>2</v>
      </c>
      <c r="CE112" s="17">
        <f t="shared" si="77"/>
        <v>6</v>
      </c>
      <c r="CF112" s="17">
        <f t="shared" si="78"/>
        <v>6</v>
      </c>
      <c r="CG112" s="17">
        <f t="shared" si="79"/>
        <v>4</v>
      </c>
      <c r="CH112" s="17">
        <f t="shared" si="80"/>
        <v>5</v>
      </c>
      <c r="CI112" s="17">
        <f t="shared" si="81"/>
        <v>7</v>
      </c>
      <c r="CJ112" s="17">
        <f t="shared" si="82"/>
        <v>2</v>
      </c>
      <c r="CK112" s="17">
        <f t="shared" si="83"/>
        <v>1</v>
      </c>
      <c r="CL112" s="17">
        <f t="shared" si="84"/>
        <v>5</v>
      </c>
      <c r="CM112" s="17">
        <f t="shared" si="85"/>
        <v>6</v>
      </c>
      <c r="CN112" s="17">
        <f t="shared" si="86"/>
        <v>8</v>
      </c>
      <c r="CO112" s="17">
        <f t="shared" si="87"/>
        <v>2</v>
      </c>
      <c r="CP112" s="17">
        <f t="shared" si="88"/>
        <v>5</v>
      </c>
      <c r="CQ112" s="17">
        <f t="shared" si="89"/>
        <v>0</v>
      </c>
      <c r="CR112" s="17">
        <f t="shared" si="90"/>
        <v>2</v>
      </c>
      <c r="CS112" s="17">
        <f t="shared" si="91"/>
        <v>1</v>
      </c>
      <c r="CT112" s="17">
        <f t="shared" si="92"/>
        <v>1</v>
      </c>
      <c r="CU112" s="17">
        <f t="shared" si="93"/>
        <v>4</v>
      </c>
      <c r="CV112" s="17">
        <f t="shared" si="94"/>
        <v>3</v>
      </c>
      <c r="CW112" s="17">
        <f t="shared" si="95"/>
        <v>4</v>
      </c>
      <c r="CX112" s="17">
        <f t="shared" si="96"/>
        <v>2</v>
      </c>
      <c r="CY112" s="17">
        <f t="shared" si="96"/>
        <v>-124</v>
      </c>
      <c r="CZ112" s="17">
        <f t="shared" si="96"/>
        <v>0</v>
      </c>
      <c r="DA112" s="17">
        <f t="shared" si="96"/>
        <v>0</v>
      </c>
      <c r="DB112" s="17">
        <f t="shared" si="96"/>
        <v>0</v>
      </c>
      <c r="DC112" s="17">
        <f t="shared" si="96"/>
        <v>0</v>
      </c>
      <c r="DD112" s="17">
        <f t="shared" si="96"/>
        <v>0</v>
      </c>
      <c r="DE112" s="17">
        <f t="shared" si="96"/>
        <v>0</v>
      </c>
      <c r="DF112" s="17">
        <f t="shared" si="96"/>
        <v>0</v>
      </c>
      <c r="DG112" s="17">
        <f t="shared" si="96"/>
        <v>0</v>
      </c>
      <c r="DH112" s="17">
        <f t="shared" si="96"/>
        <v>0</v>
      </c>
      <c r="DI112" s="17">
        <f t="shared" si="96"/>
        <v>0</v>
      </c>
    </row>
    <row r="113" spans="1:113" ht="15.75" x14ac:dyDescent="0.25">
      <c r="A113" s="4" t="s">
        <v>215</v>
      </c>
      <c r="B113" s="6" t="s">
        <v>216</v>
      </c>
      <c r="H113" s="90">
        <f>'Combined data'!H113</f>
        <v>44</v>
      </c>
      <c r="I113" s="90">
        <f>'Combined data'!I113-'Combined data'!H113</f>
        <v>21</v>
      </c>
      <c r="J113" s="90">
        <f>'Combined data'!J113-'Combined data'!I113</f>
        <v>14</v>
      </c>
      <c r="K113" s="90">
        <f>'Combined data'!K113-'Combined data'!J113</f>
        <v>3</v>
      </c>
      <c r="L113" s="90">
        <f>'Combined data'!L113-'Combined data'!K113</f>
        <v>8</v>
      </c>
      <c r="M113" s="90">
        <f>'Combined data'!M113-'Combined data'!L113</f>
        <v>0</v>
      </c>
      <c r="N113" s="90">
        <f>'Combined data'!N113-'Combined data'!M113</f>
        <v>9</v>
      </c>
      <c r="O113" s="90">
        <f>'Combined data'!O113-'Combined data'!N113</f>
        <v>4</v>
      </c>
      <c r="P113" s="90">
        <f>'Combined data'!P113-'Combined data'!O113</f>
        <v>7</v>
      </c>
      <c r="Q113" s="90">
        <f>'Combined data'!Q113-'Combined data'!P113</f>
        <v>3</v>
      </c>
      <c r="R113" s="90">
        <f>'Combined data'!R113-'Combined data'!Q113</f>
        <v>1</v>
      </c>
      <c r="S113" s="90">
        <f>'Combined data'!S113-'Combined data'!R113</f>
        <v>1</v>
      </c>
      <c r="T113" s="90">
        <f>'Combined data'!T113-'Combined data'!S113</f>
        <v>0</v>
      </c>
      <c r="U113" s="90">
        <f>'Combined data'!U113-'Combined data'!T113</f>
        <v>11</v>
      </c>
      <c r="V113" s="90">
        <f>'Combined data'!V113-'Combined data'!U113</f>
        <v>1</v>
      </c>
      <c r="W113" s="90">
        <f>'Combined data'!W113-'Combined data'!V113</f>
        <v>7</v>
      </c>
      <c r="X113" s="90">
        <f>'Combined data'!X113-'Combined data'!W113</f>
        <v>0</v>
      </c>
      <c r="Y113" s="90">
        <f>'Combined data'!Y113-'Combined data'!X113</f>
        <v>1</v>
      </c>
      <c r="Z113" s="90">
        <f>'Combined data'!Z113-'Combined data'!Y113</f>
        <v>1</v>
      </c>
      <c r="AA113" s="90">
        <f>'Combined data'!AA113-'Combined data'!Z113</f>
        <v>2</v>
      </c>
      <c r="AB113" s="90">
        <f>'Combined data'!AB113-'Combined data'!AA113</f>
        <v>0</v>
      </c>
      <c r="AC113" s="90">
        <f>'Combined data'!AC113-'Combined data'!AB113</f>
        <v>0</v>
      </c>
      <c r="AD113" s="90">
        <f>'Combined data'!AD113-'Combined data'!AC113</f>
        <v>5</v>
      </c>
      <c r="AE113" s="90">
        <f>'Combined data'!AE113-'Combined data'!AD113</f>
        <v>-143</v>
      </c>
      <c r="AF113" s="90">
        <f>'Combined data'!AF113-'Combined data'!AE113</f>
        <v>0</v>
      </c>
      <c r="AG113" s="90">
        <f>'Combined data'!AG113-'Combined data'!AF113</f>
        <v>0</v>
      </c>
      <c r="AH113" s="90">
        <f>'Combined data'!AH113-'Combined data'!AG113</f>
        <v>0</v>
      </c>
      <c r="AI113" s="90">
        <f>'Combined data'!AI113-'Combined data'!AH113</f>
        <v>0</v>
      </c>
      <c r="AJ113" s="90">
        <f>'Combined data'!AJ113-'Combined data'!AI113</f>
        <v>0</v>
      </c>
      <c r="AK113" s="90">
        <f>'Combined data'!AK113-'Combined data'!AJ113</f>
        <v>0</v>
      </c>
      <c r="AL113" s="90">
        <f>'Combined data'!AL113-'Combined data'!AK113</f>
        <v>0</v>
      </c>
      <c r="AM113" s="90">
        <f>'Combined data'!AM113-'Combined data'!AL113</f>
        <v>0</v>
      </c>
      <c r="AN113" s="90">
        <f>'Combined data'!AN113-'Combined data'!AM113</f>
        <v>0</v>
      </c>
      <c r="AO113" s="90">
        <f>'Combined data'!AO113-'Combined data'!AN113</f>
        <v>0</v>
      </c>
      <c r="AP113" s="56">
        <f t="shared" si="72"/>
        <v>0</v>
      </c>
      <c r="AQ113" s="113"/>
      <c r="AR113" s="17">
        <f>'Combined data'!AR113</f>
        <v>24</v>
      </c>
      <c r="AS113" s="17">
        <f>'Combined data'!AS113-'Combined data'!AR113</f>
        <v>6</v>
      </c>
      <c r="AT113" s="17">
        <f>'Combined data'!AT113-'Combined data'!AS113</f>
        <v>2</v>
      </c>
      <c r="AU113" s="17">
        <f>'Combined data'!AU113-'Combined data'!AT113</f>
        <v>7</v>
      </c>
      <c r="AV113" s="17">
        <f>'Combined data'!AV113-'Combined data'!AU113</f>
        <v>3</v>
      </c>
      <c r="AW113" s="17">
        <f>'Combined data'!AW113-'Combined data'!AV113</f>
        <v>17</v>
      </c>
      <c r="AX113" s="17">
        <f>'Combined data'!AX113-'Combined data'!AW113</f>
        <v>6</v>
      </c>
      <c r="AY113" s="17">
        <f>'Combined data'!AY113-'Combined data'!AX113</f>
        <v>4</v>
      </c>
      <c r="AZ113" s="17">
        <f>'Combined data'!AZ113-'Combined data'!AY113</f>
        <v>2</v>
      </c>
      <c r="BA113" s="17">
        <f>'Combined data'!BA113-'Combined data'!AZ113</f>
        <v>10</v>
      </c>
      <c r="BB113" s="17">
        <f>'Combined data'!BB113-'Combined data'!BA113</f>
        <v>4</v>
      </c>
      <c r="BC113" s="17">
        <f>'Combined data'!BC113-'Combined data'!BB113</f>
        <v>0</v>
      </c>
      <c r="BD113" s="17">
        <f>'Combined data'!BD113-'Combined data'!BC113</f>
        <v>3</v>
      </c>
      <c r="BE113" s="17">
        <f>'Combined data'!BE113-'Combined data'!BD113</f>
        <v>0</v>
      </c>
      <c r="BF113" s="17">
        <f>'Combined data'!BF113-'Combined data'!BE113</f>
        <v>6</v>
      </c>
      <c r="BG113" s="17">
        <f>'Combined data'!BG113-'Combined data'!BF113</f>
        <v>4</v>
      </c>
      <c r="BH113" s="17">
        <f>'Combined data'!BH113-'Combined data'!BG113</f>
        <v>6</v>
      </c>
      <c r="BI113" s="17">
        <f>'Combined data'!BI113-'Combined data'!BH113</f>
        <v>0</v>
      </c>
      <c r="BJ113" s="17">
        <f>'Combined data'!BJ113-'Combined data'!BI113</f>
        <v>3</v>
      </c>
      <c r="BK113" s="17">
        <f>'Combined data'!BK113-'Combined data'!BJ113</f>
        <v>4</v>
      </c>
      <c r="BL113" s="17">
        <f>'Combined data'!BL113-'Combined data'!BK113</f>
        <v>2</v>
      </c>
      <c r="BM113" s="17">
        <f>'Combined data'!BM113-'Combined data'!BL113</f>
        <v>1</v>
      </c>
      <c r="BN113" s="17">
        <f>'Combined data'!BN113-'Combined data'!BM113</f>
        <v>2</v>
      </c>
      <c r="BO113" s="17">
        <f>'Combined data'!BO113-'Combined data'!BN113</f>
        <v>-116</v>
      </c>
      <c r="BP113" s="17">
        <f>'Combined data'!BP113-'Combined data'!BO113</f>
        <v>0</v>
      </c>
      <c r="BQ113" s="17">
        <f>'Combined data'!BQ113-'Combined data'!BP113</f>
        <v>0</v>
      </c>
      <c r="BR113" s="17">
        <f>'Combined data'!BR113-'Combined data'!BQ113</f>
        <v>0</v>
      </c>
      <c r="BS113" s="17">
        <f>'Combined data'!BS113-'Combined data'!BR113</f>
        <v>0</v>
      </c>
      <c r="BT113" s="17">
        <f>'Combined data'!BT113-'Combined data'!BS113</f>
        <v>0</v>
      </c>
      <c r="BU113" s="17">
        <f>'Combined data'!BU113-'Combined data'!BT113</f>
        <v>0</v>
      </c>
      <c r="BV113" s="17">
        <f>'Combined data'!BV113-'Combined data'!BU113</f>
        <v>0</v>
      </c>
      <c r="BW113" s="17">
        <f>'Combined data'!BW113-'Combined data'!BV113</f>
        <v>0</v>
      </c>
      <c r="BX113" s="17">
        <f>'Combined data'!BX113-'Combined data'!BW113</f>
        <v>0</v>
      </c>
      <c r="BY113" s="17">
        <f>'Combined data'!BY113-'Combined data'!BX113</f>
        <v>0</v>
      </c>
      <c r="CB113" s="17">
        <f t="shared" si="74"/>
        <v>24</v>
      </c>
      <c r="CC113" s="17">
        <f t="shared" si="75"/>
        <v>6</v>
      </c>
      <c r="CD113" s="17">
        <f t="shared" si="76"/>
        <v>2</v>
      </c>
      <c r="CE113" s="17">
        <f t="shared" si="77"/>
        <v>7</v>
      </c>
      <c r="CF113" s="17">
        <f t="shared" si="78"/>
        <v>3</v>
      </c>
      <c r="CG113" s="17">
        <f t="shared" si="79"/>
        <v>17</v>
      </c>
      <c r="CH113" s="17">
        <f t="shared" si="80"/>
        <v>6</v>
      </c>
      <c r="CI113" s="17">
        <f t="shared" si="81"/>
        <v>4</v>
      </c>
      <c r="CJ113" s="17">
        <f t="shared" si="82"/>
        <v>2</v>
      </c>
      <c r="CK113" s="17">
        <f t="shared" si="83"/>
        <v>10</v>
      </c>
      <c r="CL113" s="17">
        <f t="shared" si="84"/>
        <v>4</v>
      </c>
      <c r="CM113" s="17">
        <f t="shared" si="85"/>
        <v>0</v>
      </c>
      <c r="CN113" s="17">
        <f t="shared" si="86"/>
        <v>3</v>
      </c>
      <c r="CO113" s="17">
        <f t="shared" si="87"/>
        <v>0</v>
      </c>
      <c r="CP113" s="17">
        <f t="shared" si="88"/>
        <v>6</v>
      </c>
      <c r="CQ113" s="17">
        <f t="shared" si="89"/>
        <v>4</v>
      </c>
      <c r="CR113" s="17">
        <f t="shared" si="90"/>
        <v>6</v>
      </c>
      <c r="CS113" s="17">
        <f t="shared" si="91"/>
        <v>0</v>
      </c>
      <c r="CT113" s="17">
        <f t="shared" si="92"/>
        <v>3</v>
      </c>
      <c r="CU113" s="17">
        <f t="shared" si="93"/>
        <v>4</v>
      </c>
      <c r="CV113" s="17">
        <f t="shared" si="94"/>
        <v>2</v>
      </c>
      <c r="CW113" s="17">
        <f t="shared" si="95"/>
        <v>1</v>
      </c>
      <c r="CX113" s="17">
        <f t="shared" si="96"/>
        <v>2</v>
      </c>
      <c r="CY113" s="17">
        <f t="shared" si="96"/>
        <v>-116</v>
      </c>
      <c r="CZ113" s="17">
        <f t="shared" si="96"/>
        <v>0</v>
      </c>
      <c r="DA113" s="17">
        <f t="shared" si="96"/>
        <v>0</v>
      </c>
      <c r="DB113" s="17">
        <f t="shared" si="96"/>
        <v>0</v>
      </c>
      <c r="DC113" s="17">
        <f t="shared" si="96"/>
        <v>0</v>
      </c>
      <c r="DD113" s="17">
        <f t="shared" si="96"/>
        <v>0</v>
      </c>
      <c r="DE113" s="17">
        <f t="shared" si="96"/>
        <v>0</v>
      </c>
      <c r="DF113" s="17">
        <f t="shared" si="96"/>
        <v>0</v>
      </c>
      <c r="DG113" s="17">
        <f t="shared" si="96"/>
        <v>0</v>
      </c>
      <c r="DH113" s="17">
        <f t="shared" si="96"/>
        <v>0</v>
      </c>
      <c r="DI113" s="17">
        <f t="shared" si="96"/>
        <v>0</v>
      </c>
    </row>
    <row r="114" spans="1:113" ht="15.75" x14ac:dyDescent="0.25">
      <c r="A114" s="4" t="s">
        <v>217</v>
      </c>
      <c r="B114" s="6" t="s">
        <v>218</v>
      </c>
      <c r="H114" s="90">
        <f>'Combined data'!H114</f>
        <v>121</v>
      </c>
      <c r="I114" s="90">
        <f>'Combined data'!I114-'Combined data'!H114</f>
        <v>4</v>
      </c>
      <c r="J114" s="90">
        <f>'Combined data'!J114-'Combined data'!I114</f>
        <v>13</v>
      </c>
      <c r="K114" s="90">
        <f>'Combined data'!K114-'Combined data'!J114</f>
        <v>4</v>
      </c>
      <c r="L114" s="90">
        <f>'Combined data'!L114-'Combined data'!K114</f>
        <v>9</v>
      </c>
      <c r="M114" s="90">
        <f>'Combined data'!M114-'Combined data'!L114</f>
        <v>3</v>
      </c>
      <c r="N114" s="90">
        <f>'Combined data'!N114-'Combined data'!M114</f>
        <v>7</v>
      </c>
      <c r="O114" s="90">
        <f>'Combined data'!O114-'Combined data'!N114</f>
        <v>5</v>
      </c>
      <c r="P114" s="90">
        <f>'Combined data'!P114-'Combined data'!O114</f>
        <v>16</v>
      </c>
      <c r="Q114" s="90">
        <f>'Combined data'!Q114-'Combined data'!P114</f>
        <v>7</v>
      </c>
      <c r="R114" s="90">
        <f>'Combined data'!R114-'Combined data'!Q114</f>
        <v>4</v>
      </c>
      <c r="S114" s="90">
        <f>'Combined data'!S114-'Combined data'!R114</f>
        <v>5</v>
      </c>
      <c r="T114" s="90">
        <f>'Combined data'!T114-'Combined data'!S114</f>
        <v>5</v>
      </c>
      <c r="U114" s="90">
        <f>'Combined data'!U114-'Combined data'!T114</f>
        <v>3</v>
      </c>
      <c r="V114" s="90">
        <f>'Combined data'!V114-'Combined data'!U114</f>
        <v>7</v>
      </c>
      <c r="W114" s="90">
        <f>'Combined data'!W114-'Combined data'!V114</f>
        <v>11</v>
      </c>
      <c r="X114" s="90">
        <f>'Combined data'!X114-'Combined data'!W114</f>
        <v>0</v>
      </c>
      <c r="Y114" s="90">
        <f>'Combined data'!Y114-'Combined data'!X114</f>
        <v>2</v>
      </c>
      <c r="Z114" s="90">
        <f>'Combined data'!Z114-'Combined data'!Y114</f>
        <v>11</v>
      </c>
      <c r="AA114" s="90">
        <f>'Combined data'!AA114-'Combined data'!Z114</f>
        <v>2</v>
      </c>
      <c r="AB114" s="90">
        <f>'Combined data'!AB114-'Combined data'!AA114</f>
        <v>2</v>
      </c>
      <c r="AC114" s="90">
        <f>'Combined data'!AC114-'Combined data'!AB114</f>
        <v>2</v>
      </c>
      <c r="AD114" s="90">
        <f>'Combined data'!AD114-'Combined data'!AC114</f>
        <v>5</v>
      </c>
      <c r="AE114" s="90">
        <f>'Combined data'!AE114-'Combined data'!AD114</f>
        <v>-248</v>
      </c>
      <c r="AF114" s="90">
        <f>'Combined data'!AF114-'Combined data'!AE114</f>
        <v>0</v>
      </c>
      <c r="AG114" s="90">
        <f>'Combined data'!AG114-'Combined data'!AF114</f>
        <v>0</v>
      </c>
      <c r="AH114" s="90">
        <f>'Combined data'!AH114-'Combined data'!AG114</f>
        <v>0</v>
      </c>
      <c r="AI114" s="90">
        <f>'Combined data'!AI114-'Combined data'!AH114</f>
        <v>0</v>
      </c>
      <c r="AJ114" s="90">
        <f>'Combined data'!AJ114-'Combined data'!AI114</f>
        <v>0</v>
      </c>
      <c r="AK114" s="90">
        <f>'Combined data'!AK114-'Combined data'!AJ114</f>
        <v>0</v>
      </c>
      <c r="AL114" s="90">
        <f>'Combined data'!AL114-'Combined data'!AK114</f>
        <v>0</v>
      </c>
      <c r="AM114" s="90">
        <f>'Combined data'!AM114-'Combined data'!AL114</f>
        <v>0</v>
      </c>
      <c r="AN114" s="90">
        <f>'Combined data'!AN114-'Combined data'!AM114</f>
        <v>0</v>
      </c>
      <c r="AO114" s="90">
        <f>'Combined data'!AO114-'Combined data'!AN114</f>
        <v>0</v>
      </c>
      <c r="AP114" s="56">
        <f t="shared" si="72"/>
        <v>0</v>
      </c>
      <c r="AQ114" s="113"/>
      <c r="AR114" s="17">
        <f>'Combined data'!AR114</f>
        <v>51</v>
      </c>
      <c r="AS114" s="17">
        <f>'Combined data'!AS114-'Combined data'!AR114</f>
        <v>22</v>
      </c>
      <c r="AT114" s="17">
        <f>'Combined data'!AT114-'Combined data'!AS114</f>
        <v>5</v>
      </c>
      <c r="AU114" s="17">
        <f>'Combined data'!AU114-'Combined data'!AT114</f>
        <v>5</v>
      </c>
      <c r="AV114" s="17">
        <f>'Combined data'!AV114-'Combined data'!AU114</f>
        <v>11</v>
      </c>
      <c r="AW114" s="17">
        <f>'Combined data'!AW114-'Combined data'!AV114</f>
        <v>5</v>
      </c>
      <c r="AX114" s="17">
        <f>'Combined data'!AX114-'Combined data'!AW114</f>
        <v>15</v>
      </c>
      <c r="AY114" s="17">
        <f>'Combined data'!AY114-'Combined data'!AX114</f>
        <v>10</v>
      </c>
      <c r="AZ114" s="17">
        <f>'Combined data'!AZ114-'Combined data'!AY114</f>
        <v>1</v>
      </c>
      <c r="BA114" s="17">
        <f>'Combined data'!BA114-'Combined data'!AZ114</f>
        <v>0</v>
      </c>
      <c r="BB114" s="17">
        <f>'Combined data'!BB114-'Combined data'!BA114</f>
        <v>3</v>
      </c>
      <c r="BC114" s="17">
        <f>'Combined data'!BC114-'Combined data'!BB114</f>
        <v>4</v>
      </c>
      <c r="BD114" s="17">
        <f>'Combined data'!BD114-'Combined data'!BC114</f>
        <v>9</v>
      </c>
      <c r="BE114" s="17">
        <f>'Combined data'!BE114-'Combined data'!BD114</f>
        <v>6</v>
      </c>
      <c r="BF114" s="17">
        <f>'Combined data'!BF114-'Combined data'!BE114</f>
        <v>3</v>
      </c>
      <c r="BG114" s="17">
        <f>'Combined data'!BG114-'Combined data'!BF114</f>
        <v>4</v>
      </c>
      <c r="BH114" s="17">
        <f>'Combined data'!BH114-'Combined data'!BG114</f>
        <v>4</v>
      </c>
      <c r="BI114" s="17">
        <f>'Combined data'!BI114-'Combined data'!BH114</f>
        <v>2</v>
      </c>
      <c r="BJ114" s="17">
        <f>'Combined data'!BJ114-'Combined data'!BI114</f>
        <v>2</v>
      </c>
      <c r="BK114" s="17">
        <f>'Combined data'!BK114-'Combined data'!BJ114</f>
        <v>9</v>
      </c>
      <c r="BL114" s="17">
        <f>'Combined data'!BL114-'Combined data'!BK114</f>
        <v>9</v>
      </c>
      <c r="BM114" s="17">
        <f>'Combined data'!BM114-'Combined data'!BL114</f>
        <v>3</v>
      </c>
      <c r="BN114" s="17">
        <f>'Combined data'!BN114-'Combined data'!BM114</f>
        <v>9</v>
      </c>
      <c r="BO114" s="17">
        <f>'Combined data'!BO114-'Combined data'!BN114</f>
        <v>-192</v>
      </c>
      <c r="BP114" s="17">
        <f>'Combined data'!BP114-'Combined data'!BO114</f>
        <v>0</v>
      </c>
      <c r="BQ114" s="17">
        <f>'Combined data'!BQ114-'Combined data'!BP114</f>
        <v>0</v>
      </c>
      <c r="BR114" s="17">
        <f>'Combined data'!BR114-'Combined data'!BQ114</f>
        <v>0</v>
      </c>
      <c r="BS114" s="17">
        <f>'Combined data'!BS114-'Combined data'!BR114</f>
        <v>0</v>
      </c>
      <c r="BT114" s="17">
        <f>'Combined data'!BT114-'Combined data'!BS114</f>
        <v>0</v>
      </c>
      <c r="BU114" s="17">
        <f>'Combined data'!BU114-'Combined data'!BT114</f>
        <v>0</v>
      </c>
      <c r="BV114" s="17">
        <f>'Combined data'!BV114-'Combined data'!BU114</f>
        <v>0</v>
      </c>
      <c r="BW114" s="17">
        <f>'Combined data'!BW114-'Combined data'!BV114</f>
        <v>0</v>
      </c>
      <c r="BX114" s="17">
        <f>'Combined data'!BX114-'Combined data'!BW114</f>
        <v>0</v>
      </c>
      <c r="BY114" s="17">
        <f>'Combined data'!BY114-'Combined data'!BX114</f>
        <v>0</v>
      </c>
      <c r="CB114" s="17">
        <f t="shared" si="74"/>
        <v>51</v>
      </c>
      <c r="CC114" s="17">
        <f t="shared" si="75"/>
        <v>22</v>
      </c>
      <c r="CD114" s="17">
        <f t="shared" si="76"/>
        <v>5</v>
      </c>
      <c r="CE114" s="17">
        <f t="shared" si="77"/>
        <v>5</v>
      </c>
      <c r="CF114" s="17">
        <f t="shared" si="78"/>
        <v>11</v>
      </c>
      <c r="CG114" s="17">
        <f t="shared" si="79"/>
        <v>5</v>
      </c>
      <c r="CH114" s="17">
        <f t="shared" si="80"/>
        <v>15</v>
      </c>
      <c r="CI114" s="17">
        <f t="shared" si="81"/>
        <v>10</v>
      </c>
      <c r="CJ114" s="17">
        <f t="shared" si="82"/>
        <v>1</v>
      </c>
      <c r="CK114" s="17">
        <f t="shared" si="83"/>
        <v>0</v>
      </c>
      <c r="CL114" s="17">
        <f t="shared" si="84"/>
        <v>3</v>
      </c>
      <c r="CM114" s="17">
        <f t="shared" si="85"/>
        <v>4</v>
      </c>
      <c r="CN114" s="17">
        <f t="shared" si="86"/>
        <v>9</v>
      </c>
      <c r="CO114" s="17">
        <f t="shared" si="87"/>
        <v>6</v>
      </c>
      <c r="CP114" s="17">
        <f t="shared" si="88"/>
        <v>3</v>
      </c>
      <c r="CQ114" s="17">
        <f t="shared" si="89"/>
        <v>4</v>
      </c>
      <c r="CR114" s="17">
        <f t="shared" si="90"/>
        <v>4</v>
      </c>
      <c r="CS114" s="17">
        <f t="shared" si="91"/>
        <v>2</v>
      </c>
      <c r="CT114" s="17">
        <f t="shared" si="92"/>
        <v>2</v>
      </c>
      <c r="CU114" s="17">
        <f t="shared" si="93"/>
        <v>9</v>
      </c>
      <c r="CV114" s="17">
        <f t="shared" si="94"/>
        <v>9</v>
      </c>
      <c r="CW114" s="17">
        <f t="shared" si="95"/>
        <v>3</v>
      </c>
      <c r="CX114" s="17">
        <f t="shared" si="96"/>
        <v>9</v>
      </c>
      <c r="CY114" s="17">
        <f t="shared" si="96"/>
        <v>-192</v>
      </c>
      <c r="CZ114" s="17">
        <f t="shared" si="96"/>
        <v>0</v>
      </c>
      <c r="DA114" s="17">
        <f t="shared" si="96"/>
        <v>0</v>
      </c>
      <c r="DB114" s="17">
        <f t="shared" si="96"/>
        <v>0</v>
      </c>
      <c r="DC114" s="17">
        <f t="shared" si="96"/>
        <v>0</v>
      </c>
      <c r="DD114" s="17">
        <f t="shared" si="96"/>
        <v>0</v>
      </c>
      <c r="DE114" s="17">
        <f t="shared" si="96"/>
        <v>0</v>
      </c>
      <c r="DF114" s="17">
        <f t="shared" si="96"/>
        <v>0</v>
      </c>
      <c r="DG114" s="17">
        <f t="shared" si="96"/>
        <v>0</v>
      </c>
      <c r="DH114" s="17">
        <f t="shared" si="96"/>
        <v>0</v>
      </c>
      <c r="DI114" s="17">
        <f t="shared" si="96"/>
        <v>0</v>
      </c>
    </row>
    <row r="115" spans="1:113" ht="15.75" x14ac:dyDescent="0.25">
      <c r="A115" s="4" t="s">
        <v>219</v>
      </c>
      <c r="B115" s="6" t="s">
        <v>220</v>
      </c>
      <c r="H115" s="90">
        <f>'Combined data'!H115</f>
        <v>59</v>
      </c>
      <c r="I115" s="90">
        <f>'Combined data'!I115-'Combined data'!H115</f>
        <v>15</v>
      </c>
      <c r="J115" s="90">
        <f>'Combined data'!J115-'Combined data'!I115</f>
        <v>7</v>
      </c>
      <c r="K115" s="90">
        <f>'Combined data'!K115-'Combined data'!J115</f>
        <v>10</v>
      </c>
      <c r="L115" s="90">
        <f>'Combined data'!L115-'Combined data'!K115</f>
        <v>3</v>
      </c>
      <c r="M115" s="90">
        <f>'Combined data'!M115-'Combined data'!L115</f>
        <v>9</v>
      </c>
      <c r="N115" s="90">
        <f>'Combined data'!N115-'Combined data'!M115</f>
        <v>2</v>
      </c>
      <c r="O115" s="90">
        <f>'Combined data'!O115-'Combined data'!N115</f>
        <v>1</v>
      </c>
      <c r="P115" s="90">
        <f>'Combined data'!P115-'Combined data'!O115</f>
        <v>1</v>
      </c>
      <c r="Q115" s="90">
        <f>'Combined data'!Q115-'Combined data'!P115</f>
        <v>4</v>
      </c>
      <c r="R115" s="90">
        <f>'Combined data'!R115-'Combined data'!Q115</f>
        <v>3</v>
      </c>
      <c r="S115" s="90">
        <f>'Combined data'!S115-'Combined data'!R115</f>
        <v>5</v>
      </c>
      <c r="T115" s="90">
        <f>'Combined data'!T115-'Combined data'!S115</f>
        <v>2</v>
      </c>
      <c r="U115" s="90">
        <f>'Combined data'!U115-'Combined data'!T115</f>
        <v>2</v>
      </c>
      <c r="V115" s="90">
        <f>'Combined data'!V115-'Combined data'!U115</f>
        <v>4</v>
      </c>
      <c r="W115" s="90">
        <f>'Combined data'!W115-'Combined data'!V115</f>
        <v>-2</v>
      </c>
      <c r="X115" s="90">
        <f>'Combined data'!X115-'Combined data'!W115</f>
        <v>1</v>
      </c>
      <c r="Y115" s="90">
        <f>'Combined data'!Y115-'Combined data'!X115</f>
        <v>4</v>
      </c>
      <c r="Z115" s="90">
        <f>'Combined data'!Z115-'Combined data'!Y115</f>
        <v>0</v>
      </c>
      <c r="AA115" s="90">
        <f>'Combined data'!AA115-'Combined data'!Z115</f>
        <v>0</v>
      </c>
      <c r="AB115" s="90">
        <f>'Combined data'!AB115-'Combined data'!AA115</f>
        <v>0</v>
      </c>
      <c r="AC115" s="90">
        <f>'Combined data'!AC115-'Combined data'!AB115</f>
        <v>1</v>
      </c>
      <c r="AD115" s="90">
        <f>'Combined data'!AD115-'Combined data'!AC115</f>
        <v>5</v>
      </c>
      <c r="AE115" s="90">
        <f>'Combined data'!AE115-'Combined data'!AD115</f>
        <v>-136</v>
      </c>
      <c r="AF115" s="90">
        <f>'Combined data'!AF115-'Combined data'!AE115</f>
        <v>0</v>
      </c>
      <c r="AG115" s="90">
        <f>'Combined data'!AG115-'Combined data'!AF115</f>
        <v>0</v>
      </c>
      <c r="AH115" s="90">
        <f>'Combined data'!AH115-'Combined data'!AG115</f>
        <v>0</v>
      </c>
      <c r="AI115" s="90">
        <f>'Combined data'!AI115-'Combined data'!AH115</f>
        <v>0</v>
      </c>
      <c r="AJ115" s="90">
        <f>'Combined data'!AJ115-'Combined data'!AI115</f>
        <v>0</v>
      </c>
      <c r="AK115" s="90">
        <f>'Combined data'!AK115-'Combined data'!AJ115</f>
        <v>0</v>
      </c>
      <c r="AL115" s="90">
        <f>'Combined data'!AL115-'Combined data'!AK115</f>
        <v>0</v>
      </c>
      <c r="AM115" s="90">
        <f>'Combined data'!AM115-'Combined data'!AL115</f>
        <v>0</v>
      </c>
      <c r="AN115" s="90">
        <f>'Combined data'!AN115-'Combined data'!AM115</f>
        <v>0</v>
      </c>
      <c r="AO115" s="90">
        <f>'Combined data'!AO115-'Combined data'!AN115</f>
        <v>0</v>
      </c>
      <c r="AP115" s="56">
        <f t="shared" si="72"/>
        <v>0</v>
      </c>
      <c r="AQ115" s="113"/>
      <c r="AR115" s="17">
        <f>'Combined data'!AR115</f>
        <v>14</v>
      </c>
      <c r="AS115" s="17">
        <f>'Combined data'!AS115-'Combined data'!AR115</f>
        <v>11</v>
      </c>
      <c r="AT115" s="17">
        <f>'Combined data'!AT115-'Combined data'!AS115</f>
        <v>0</v>
      </c>
      <c r="AU115" s="17">
        <f>'Combined data'!AU115-'Combined data'!AT115</f>
        <v>0</v>
      </c>
      <c r="AV115" s="17">
        <f>'Combined data'!AV115-'Combined data'!AU115</f>
        <v>0</v>
      </c>
      <c r="AW115" s="17">
        <f>'Combined data'!AW115-'Combined data'!AV115</f>
        <v>7</v>
      </c>
      <c r="AX115" s="17">
        <f>'Combined data'!AX115-'Combined data'!AW115</f>
        <v>8</v>
      </c>
      <c r="AY115" s="17">
        <f>'Combined data'!AY115-'Combined data'!AX115</f>
        <v>0</v>
      </c>
      <c r="AZ115" s="17">
        <f>'Combined data'!AZ115-'Combined data'!AY115</f>
        <v>0</v>
      </c>
      <c r="BA115" s="17">
        <f>'Combined data'!BA115-'Combined data'!AZ115</f>
        <v>6</v>
      </c>
      <c r="BB115" s="17">
        <f>'Combined data'!BB115-'Combined data'!BA115</f>
        <v>1</v>
      </c>
      <c r="BC115" s="17">
        <f>'Combined data'!BC115-'Combined data'!BB115</f>
        <v>9</v>
      </c>
      <c r="BD115" s="17">
        <f>'Combined data'!BD115-'Combined data'!BC115</f>
        <v>1</v>
      </c>
      <c r="BE115" s="17">
        <f>'Combined data'!BE115-'Combined data'!BD115</f>
        <v>9</v>
      </c>
      <c r="BF115" s="17">
        <f>'Combined data'!BF115-'Combined data'!BE115</f>
        <v>1</v>
      </c>
      <c r="BG115" s="17">
        <f>'Combined data'!BG115-'Combined data'!BF115</f>
        <v>1</v>
      </c>
      <c r="BH115" s="17">
        <f>'Combined data'!BH115-'Combined data'!BG115</f>
        <v>2</v>
      </c>
      <c r="BI115" s="17">
        <f>'Combined data'!BI115-'Combined data'!BH115</f>
        <v>0</v>
      </c>
      <c r="BJ115" s="17">
        <f>'Combined data'!BJ115-'Combined data'!BI115</f>
        <v>1</v>
      </c>
      <c r="BK115" s="17">
        <f>'Combined data'!BK115-'Combined data'!BJ115</f>
        <v>5</v>
      </c>
      <c r="BL115" s="17">
        <f>'Combined data'!BL115-'Combined data'!BK115</f>
        <v>3</v>
      </c>
      <c r="BM115" s="17">
        <f>'Combined data'!BM115-'Combined data'!BL115</f>
        <v>0</v>
      </c>
      <c r="BN115" s="17">
        <f>'Combined data'!BN115-'Combined data'!BM115</f>
        <v>4</v>
      </c>
      <c r="BO115" s="17">
        <f>'Combined data'!BO115-'Combined data'!BN115</f>
        <v>-83</v>
      </c>
      <c r="BP115" s="17">
        <f>'Combined data'!BP115-'Combined data'!BO115</f>
        <v>0</v>
      </c>
      <c r="BQ115" s="17">
        <f>'Combined data'!BQ115-'Combined data'!BP115</f>
        <v>0</v>
      </c>
      <c r="BR115" s="17">
        <f>'Combined data'!BR115-'Combined data'!BQ115</f>
        <v>0</v>
      </c>
      <c r="BS115" s="17">
        <f>'Combined data'!BS115-'Combined data'!BR115</f>
        <v>0</v>
      </c>
      <c r="BT115" s="17">
        <f>'Combined data'!BT115-'Combined data'!BS115</f>
        <v>0</v>
      </c>
      <c r="BU115" s="17">
        <f>'Combined data'!BU115-'Combined data'!BT115</f>
        <v>0</v>
      </c>
      <c r="BV115" s="17">
        <f>'Combined data'!BV115-'Combined data'!BU115</f>
        <v>0</v>
      </c>
      <c r="BW115" s="17">
        <f>'Combined data'!BW115-'Combined data'!BV115</f>
        <v>0</v>
      </c>
      <c r="BX115" s="17">
        <f>'Combined data'!BX115-'Combined data'!BW115</f>
        <v>0</v>
      </c>
      <c r="BY115" s="17">
        <f>'Combined data'!BY115-'Combined data'!BX115</f>
        <v>0</v>
      </c>
      <c r="CB115" s="17">
        <f t="shared" si="74"/>
        <v>14</v>
      </c>
      <c r="CC115" s="17">
        <f t="shared" si="75"/>
        <v>11</v>
      </c>
      <c r="CD115" s="17">
        <f t="shared" si="76"/>
        <v>0</v>
      </c>
      <c r="CE115" s="17">
        <f t="shared" si="77"/>
        <v>0</v>
      </c>
      <c r="CF115" s="17">
        <f t="shared" si="78"/>
        <v>0</v>
      </c>
      <c r="CG115" s="17">
        <f t="shared" si="79"/>
        <v>7</v>
      </c>
      <c r="CH115" s="17">
        <f t="shared" si="80"/>
        <v>8</v>
      </c>
      <c r="CI115" s="17">
        <f t="shared" si="81"/>
        <v>0</v>
      </c>
      <c r="CJ115" s="17">
        <f t="shared" si="82"/>
        <v>0</v>
      </c>
      <c r="CK115" s="17">
        <f t="shared" si="83"/>
        <v>6</v>
      </c>
      <c r="CL115" s="17">
        <f t="shared" si="84"/>
        <v>1</v>
      </c>
      <c r="CM115" s="17">
        <f t="shared" si="85"/>
        <v>9</v>
      </c>
      <c r="CN115" s="17">
        <f t="shared" si="86"/>
        <v>1</v>
      </c>
      <c r="CO115" s="17">
        <f t="shared" si="87"/>
        <v>9</v>
      </c>
      <c r="CP115" s="17">
        <f t="shared" si="88"/>
        <v>1</v>
      </c>
      <c r="CQ115" s="17">
        <f t="shared" si="89"/>
        <v>1</v>
      </c>
      <c r="CR115" s="17">
        <f t="shared" si="90"/>
        <v>2</v>
      </c>
      <c r="CS115" s="17">
        <f t="shared" si="91"/>
        <v>0</v>
      </c>
      <c r="CT115" s="17">
        <f t="shared" si="92"/>
        <v>1</v>
      </c>
      <c r="CU115" s="17">
        <f t="shared" si="93"/>
        <v>5</v>
      </c>
      <c r="CV115" s="17">
        <f t="shared" si="94"/>
        <v>3</v>
      </c>
      <c r="CW115" s="17">
        <f t="shared" si="95"/>
        <v>0</v>
      </c>
      <c r="CX115" s="17">
        <f t="shared" si="96"/>
        <v>4</v>
      </c>
      <c r="CY115" s="17">
        <f t="shared" si="96"/>
        <v>-83</v>
      </c>
      <c r="CZ115" s="17">
        <f t="shared" si="96"/>
        <v>0</v>
      </c>
      <c r="DA115" s="17">
        <f t="shared" si="96"/>
        <v>0</v>
      </c>
      <c r="DB115" s="17">
        <f t="shared" si="96"/>
        <v>0</v>
      </c>
      <c r="DC115" s="17">
        <f t="shared" si="96"/>
        <v>0</v>
      </c>
      <c r="DD115" s="17">
        <f t="shared" si="96"/>
        <v>0</v>
      </c>
      <c r="DE115" s="17">
        <f t="shared" si="96"/>
        <v>0</v>
      </c>
      <c r="DF115" s="17">
        <f t="shared" si="96"/>
        <v>0</v>
      </c>
      <c r="DG115" s="17">
        <f t="shared" si="96"/>
        <v>0</v>
      </c>
      <c r="DH115" s="17">
        <f t="shared" si="96"/>
        <v>0</v>
      </c>
      <c r="DI115" s="17">
        <f t="shared" si="96"/>
        <v>0</v>
      </c>
    </row>
    <row r="116" spans="1:113" ht="15.75" x14ac:dyDescent="0.25">
      <c r="A116" s="4" t="s">
        <v>221</v>
      </c>
      <c r="B116" s="6" t="s">
        <v>222</v>
      </c>
      <c r="H116" s="90">
        <f>'Combined data'!H116</f>
        <v>156</v>
      </c>
      <c r="I116" s="90">
        <f>'Combined data'!I116-'Combined data'!H116</f>
        <v>13</v>
      </c>
      <c r="J116" s="90">
        <f>'Combined data'!J116-'Combined data'!I116</f>
        <v>11</v>
      </c>
      <c r="K116" s="90">
        <f>'Combined data'!K116-'Combined data'!J116</f>
        <v>11</v>
      </c>
      <c r="L116" s="90">
        <f>'Combined data'!L116-'Combined data'!K116</f>
        <v>6</v>
      </c>
      <c r="M116" s="90">
        <f>'Combined data'!M116-'Combined data'!L116</f>
        <v>2</v>
      </c>
      <c r="N116" s="90">
        <f>'Combined data'!N116-'Combined data'!M116</f>
        <v>12</v>
      </c>
      <c r="O116" s="90">
        <f>'Combined data'!O116-'Combined data'!N116</f>
        <v>2</v>
      </c>
      <c r="P116" s="90">
        <f>'Combined data'!P116-'Combined data'!O116</f>
        <v>6</v>
      </c>
      <c r="Q116" s="90">
        <f>'Combined data'!Q116-'Combined data'!P116</f>
        <v>5</v>
      </c>
      <c r="R116" s="90">
        <f>'Combined data'!R116-'Combined data'!Q116</f>
        <v>0</v>
      </c>
      <c r="S116" s="90">
        <f>'Combined data'!S116-'Combined data'!R116</f>
        <v>8</v>
      </c>
      <c r="T116" s="90">
        <f>'Combined data'!T116-'Combined data'!S116</f>
        <v>3</v>
      </c>
      <c r="U116" s="90">
        <f>'Combined data'!U116-'Combined data'!T116</f>
        <v>4</v>
      </c>
      <c r="V116" s="90">
        <f>'Combined data'!V116-'Combined data'!U116</f>
        <v>1</v>
      </c>
      <c r="W116" s="90">
        <f>'Combined data'!W116-'Combined data'!V116</f>
        <v>1</v>
      </c>
      <c r="X116" s="90">
        <f>'Combined data'!X116-'Combined data'!W116</f>
        <v>2</v>
      </c>
      <c r="Y116" s="90">
        <f>'Combined data'!Y116-'Combined data'!X116</f>
        <v>1</v>
      </c>
      <c r="Z116" s="90">
        <f>'Combined data'!Z116-'Combined data'!Y116</f>
        <v>7</v>
      </c>
      <c r="AA116" s="90">
        <f>'Combined data'!AA116-'Combined data'!Z116</f>
        <v>0</v>
      </c>
      <c r="AB116" s="90">
        <f>'Combined data'!AB116-'Combined data'!AA116</f>
        <v>1</v>
      </c>
      <c r="AC116" s="90">
        <f>'Combined data'!AC116-'Combined data'!AB116</f>
        <v>0</v>
      </c>
      <c r="AD116" s="90">
        <f>'Combined data'!AD116-'Combined data'!AC116</f>
        <v>11</v>
      </c>
      <c r="AE116" s="90">
        <f>'Combined data'!AE116-'Combined data'!AD116</f>
        <v>-263</v>
      </c>
      <c r="AF116" s="90">
        <f>'Combined data'!AF116-'Combined data'!AE116</f>
        <v>0</v>
      </c>
      <c r="AG116" s="90">
        <f>'Combined data'!AG116-'Combined data'!AF116</f>
        <v>0</v>
      </c>
      <c r="AH116" s="90">
        <f>'Combined data'!AH116-'Combined data'!AG116</f>
        <v>0</v>
      </c>
      <c r="AI116" s="90">
        <f>'Combined data'!AI116-'Combined data'!AH116</f>
        <v>0</v>
      </c>
      <c r="AJ116" s="90">
        <f>'Combined data'!AJ116-'Combined data'!AI116</f>
        <v>0</v>
      </c>
      <c r="AK116" s="90">
        <f>'Combined data'!AK116-'Combined data'!AJ116</f>
        <v>0</v>
      </c>
      <c r="AL116" s="90">
        <f>'Combined data'!AL116-'Combined data'!AK116</f>
        <v>0</v>
      </c>
      <c r="AM116" s="90">
        <f>'Combined data'!AM116-'Combined data'!AL116</f>
        <v>0</v>
      </c>
      <c r="AN116" s="90">
        <f>'Combined data'!AN116-'Combined data'!AM116</f>
        <v>0</v>
      </c>
      <c r="AO116" s="90">
        <f>'Combined data'!AO116-'Combined data'!AN116</f>
        <v>0</v>
      </c>
      <c r="AP116" s="56">
        <f t="shared" si="72"/>
        <v>0</v>
      </c>
      <c r="AQ116" s="113"/>
      <c r="AR116" s="17">
        <f>'Combined data'!AR116</f>
        <v>71</v>
      </c>
      <c r="AS116" s="17">
        <f>'Combined data'!AS116-'Combined data'!AR116</f>
        <v>18</v>
      </c>
      <c r="AT116" s="17">
        <f>'Combined data'!AT116-'Combined data'!AS116</f>
        <v>10</v>
      </c>
      <c r="AU116" s="17">
        <f>'Combined data'!AU116-'Combined data'!AT116</f>
        <v>17</v>
      </c>
      <c r="AV116" s="17">
        <f>'Combined data'!AV116-'Combined data'!AU116</f>
        <v>13</v>
      </c>
      <c r="AW116" s="17">
        <f>'Combined data'!AW116-'Combined data'!AV116</f>
        <v>9</v>
      </c>
      <c r="AX116" s="17">
        <f>'Combined data'!AX116-'Combined data'!AW116</f>
        <v>11</v>
      </c>
      <c r="AY116" s="17">
        <f>'Combined data'!AY116-'Combined data'!AX116</f>
        <v>6</v>
      </c>
      <c r="AZ116" s="17">
        <f>'Combined data'!AZ116-'Combined data'!AY116</f>
        <v>6</v>
      </c>
      <c r="BA116" s="17">
        <f>'Combined data'!BA116-'Combined data'!AZ116</f>
        <v>12</v>
      </c>
      <c r="BB116" s="17">
        <f>'Combined data'!BB116-'Combined data'!BA116</f>
        <v>2</v>
      </c>
      <c r="BC116" s="17">
        <f>'Combined data'!BC116-'Combined data'!BB116</f>
        <v>2</v>
      </c>
      <c r="BD116" s="17">
        <f>'Combined data'!BD116-'Combined data'!BC116</f>
        <v>1</v>
      </c>
      <c r="BE116" s="17">
        <f>'Combined data'!BE116-'Combined data'!BD116</f>
        <v>7</v>
      </c>
      <c r="BF116" s="17">
        <f>'Combined data'!BF116-'Combined data'!BE116</f>
        <v>3</v>
      </c>
      <c r="BG116" s="17">
        <f>'Combined data'!BG116-'Combined data'!BF116</f>
        <v>0</v>
      </c>
      <c r="BH116" s="17">
        <f>'Combined data'!BH116-'Combined data'!BG116</f>
        <v>6</v>
      </c>
      <c r="BI116" s="17">
        <f>'Combined data'!BI116-'Combined data'!BH116</f>
        <v>0</v>
      </c>
      <c r="BJ116" s="17">
        <f>'Combined data'!BJ116-'Combined data'!BI116</f>
        <v>3</v>
      </c>
      <c r="BK116" s="17">
        <f>'Combined data'!BK116-'Combined data'!BJ116</f>
        <v>2</v>
      </c>
      <c r="BL116" s="17">
        <f>'Combined data'!BL116-'Combined data'!BK116</f>
        <v>5</v>
      </c>
      <c r="BM116" s="17">
        <f>'Combined data'!BM116-'Combined data'!BL116</f>
        <v>-1</v>
      </c>
      <c r="BN116" s="17">
        <f>'Combined data'!BN116-'Combined data'!BM116</f>
        <v>2</v>
      </c>
      <c r="BO116" s="17">
        <f>'Combined data'!BO116-'Combined data'!BN116</f>
        <v>-205</v>
      </c>
      <c r="BP116" s="17">
        <f>'Combined data'!BP116-'Combined data'!BO116</f>
        <v>0</v>
      </c>
      <c r="BQ116" s="17">
        <f>'Combined data'!BQ116-'Combined data'!BP116</f>
        <v>0</v>
      </c>
      <c r="BR116" s="17">
        <f>'Combined data'!BR116-'Combined data'!BQ116</f>
        <v>0</v>
      </c>
      <c r="BS116" s="17">
        <f>'Combined data'!BS116-'Combined data'!BR116</f>
        <v>0</v>
      </c>
      <c r="BT116" s="17">
        <f>'Combined data'!BT116-'Combined data'!BS116</f>
        <v>0</v>
      </c>
      <c r="BU116" s="17">
        <f>'Combined data'!BU116-'Combined data'!BT116</f>
        <v>0</v>
      </c>
      <c r="BV116" s="17">
        <f>'Combined data'!BV116-'Combined data'!BU116</f>
        <v>0</v>
      </c>
      <c r="BW116" s="17">
        <f>'Combined data'!BW116-'Combined data'!BV116</f>
        <v>0</v>
      </c>
      <c r="BX116" s="17">
        <f>'Combined data'!BX116-'Combined data'!BW116</f>
        <v>0</v>
      </c>
      <c r="BY116" s="17">
        <f>'Combined data'!BY116-'Combined data'!BX116</f>
        <v>0</v>
      </c>
      <c r="CB116" s="17">
        <f t="shared" si="74"/>
        <v>71</v>
      </c>
      <c r="CC116" s="17">
        <f t="shared" si="75"/>
        <v>18</v>
      </c>
      <c r="CD116" s="17">
        <f t="shared" si="76"/>
        <v>10</v>
      </c>
      <c r="CE116" s="17">
        <f t="shared" si="77"/>
        <v>17</v>
      </c>
      <c r="CF116" s="17">
        <f t="shared" si="78"/>
        <v>13</v>
      </c>
      <c r="CG116" s="17">
        <f t="shared" si="79"/>
        <v>9</v>
      </c>
      <c r="CH116" s="17">
        <f t="shared" si="80"/>
        <v>11</v>
      </c>
      <c r="CI116" s="17">
        <f t="shared" si="81"/>
        <v>6</v>
      </c>
      <c r="CJ116" s="17">
        <f t="shared" si="82"/>
        <v>6</v>
      </c>
      <c r="CK116" s="17">
        <f t="shared" si="83"/>
        <v>12</v>
      </c>
      <c r="CL116" s="17">
        <f t="shared" si="84"/>
        <v>2</v>
      </c>
      <c r="CM116" s="17">
        <f t="shared" si="85"/>
        <v>2</v>
      </c>
      <c r="CN116" s="17">
        <f t="shared" si="86"/>
        <v>1</v>
      </c>
      <c r="CO116" s="17">
        <f t="shared" si="87"/>
        <v>7</v>
      </c>
      <c r="CP116" s="17">
        <f t="shared" si="88"/>
        <v>3</v>
      </c>
      <c r="CQ116" s="17">
        <f t="shared" si="89"/>
        <v>0</v>
      </c>
      <c r="CR116" s="17">
        <f t="shared" si="90"/>
        <v>6</v>
      </c>
      <c r="CS116" s="17">
        <f t="shared" si="91"/>
        <v>0</v>
      </c>
      <c r="CT116" s="17">
        <f t="shared" si="92"/>
        <v>3</v>
      </c>
      <c r="CU116" s="17">
        <f t="shared" si="93"/>
        <v>2</v>
      </c>
      <c r="CV116" s="17">
        <f t="shared" si="94"/>
        <v>5</v>
      </c>
      <c r="CW116" s="17">
        <f t="shared" si="95"/>
        <v>-1</v>
      </c>
      <c r="CX116" s="17">
        <f t="shared" si="96"/>
        <v>2</v>
      </c>
      <c r="CY116" s="17">
        <f t="shared" si="96"/>
        <v>-205</v>
      </c>
      <c r="CZ116" s="17">
        <f t="shared" si="96"/>
        <v>0</v>
      </c>
      <c r="DA116" s="17">
        <f t="shared" si="96"/>
        <v>0</v>
      </c>
      <c r="DB116" s="17">
        <f t="shared" si="96"/>
        <v>0</v>
      </c>
      <c r="DC116" s="17">
        <f t="shared" si="96"/>
        <v>0</v>
      </c>
      <c r="DD116" s="17">
        <f t="shared" si="96"/>
        <v>0</v>
      </c>
      <c r="DE116" s="17">
        <f t="shared" si="96"/>
        <v>0</v>
      </c>
      <c r="DF116" s="17">
        <f t="shared" si="96"/>
        <v>0</v>
      </c>
      <c r="DG116" s="17">
        <f t="shared" si="96"/>
        <v>0</v>
      </c>
      <c r="DH116" s="17">
        <f t="shared" si="96"/>
        <v>0</v>
      </c>
      <c r="DI116" s="17">
        <f t="shared" si="96"/>
        <v>0</v>
      </c>
    </row>
    <row r="117" spans="1:113" ht="15.75" x14ac:dyDescent="0.25">
      <c r="A117" s="4" t="s">
        <v>223</v>
      </c>
      <c r="B117" s="6" t="s">
        <v>224</v>
      </c>
      <c r="H117" s="90">
        <f>'Combined data'!H117</f>
        <v>358</v>
      </c>
      <c r="I117" s="90">
        <f>'Combined data'!I117-'Combined data'!H117</f>
        <v>25</v>
      </c>
      <c r="J117" s="90">
        <f>'Combined data'!J117-'Combined data'!I117</f>
        <v>19</v>
      </c>
      <c r="K117" s="90">
        <f>'Combined data'!K117-'Combined data'!J117</f>
        <v>32</v>
      </c>
      <c r="L117" s="90">
        <f>'Combined data'!L117-'Combined data'!K117</f>
        <v>23</v>
      </c>
      <c r="M117" s="90">
        <f>'Combined data'!M117-'Combined data'!L117</f>
        <v>19</v>
      </c>
      <c r="N117" s="90">
        <f>'Combined data'!N117-'Combined data'!M117</f>
        <v>25</v>
      </c>
      <c r="O117" s="90">
        <f>'Combined data'!O117-'Combined data'!N117</f>
        <v>23</v>
      </c>
      <c r="P117" s="90">
        <f>'Combined data'!P117-'Combined data'!O117</f>
        <v>24</v>
      </c>
      <c r="Q117" s="90">
        <f>'Combined data'!Q117-'Combined data'!P117</f>
        <v>12</v>
      </c>
      <c r="R117" s="90">
        <f>'Combined data'!R117-'Combined data'!Q117</f>
        <v>9</v>
      </c>
      <c r="S117" s="90">
        <f>'Combined data'!S117-'Combined data'!R117</f>
        <v>10</v>
      </c>
      <c r="T117" s="90">
        <f>'Combined data'!T117-'Combined data'!S117</f>
        <v>11</v>
      </c>
      <c r="U117" s="90">
        <f>'Combined data'!U117-'Combined data'!T117</f>
        <v>9</v>
      </c>
      <c r="V117" s="90">
        <f>'Combined data'!V117-'Combined data'!U117</f>
        <v>9</v>
      </c>
      <c r="W117" s="90">
        <f>'Combined data'!W117-'Combined data'!V117</f>
        <v>4</v>
      </c>
      <c r="X117" s="90">
        <f>'Combined data'!X117-'Combined data'!W117</f>
        <v>5</v>
      </c>
      <c r="Y117" s="90">
        <f>'Combined data'!Y117-'Combined data'!X117</f>
        <v>9</v>
      </c>
      <c r="Z117" s="90">
        <f>'Combined data'!Z117-'Combined data'!Y117</f>
        <v>4</v>
      </c>
      <c r="AA117" s="90">
        <f>'Combined data'!AA117-'Combined data'!Z117</f>
        <v>5</v>
      </c>
      <c r="AB117" s="90">
        <f>'Combined data'!AB117-'Combined data'!AA117</f>
        <v>1</v>
      </c>
      <c r="AC117" s="90">
        <f>'Combined data'!AC117-'Combined data'!AB117</f>
        <v>3</v>
      </c>
      <c r="AD117" s="90">
        <f>'Combined data'!AD117-'Combined data'!AC117</f>
        <v>12</v>
      </c>
      <c r="AE117" s="90">
        <f>'Combined data'!AE117-'Combined data'!AD117</f>
        <v>-651</v>
      </c>
      <c r="AF117" s="90">
        <f>'Combined data'!AF117-'Combined data'!AE117</f>
        <v>0</v>
      </c>
      <c r="AG117" s="90">
        <f>'Combined data'!AG117-'Combined data'!AF117</f>
        <v>0</v>
      </c>
      <c r="AH117" s="90">
        <f>'Combined data'!AH117-'Combined data'!AG117</f>
        <v>0</v>
      </c>
      <c r="AI117" s="90">
        <f>'Combined data'!AI117-'Combined data'!AH117</f>
        <v>0</v>
      </c>
      <c r="AJ117" s="90">
        <f>'Combined data'!AJ117-'Combined data'!AI117</f>
        <v>0</v>
      </c>
      <c r="AK117" s="90">
        <f>'Combined data'!AK117-'Combined data'!AJ117</f>
        <v>0</v>
      </c>
      <c r="AL117" s="90">
        <f>'Combined data'!AL117-'Combined data'!AK117</f>
        <v>0</v>
      </c>
      <c r="AM117" s="90">
        <f>'Combined data'!AM117-'Combined data'!AL117</f>
        <v>0</v>
      </c>
      <c r="AN117" s="90">
        <f>'Combined data'!AN117-'Combined data'!AM117</f>
        <v>0</v>
      </c>
      <c r="AO117" s="90">
        <f>'Combined data'!AO117-'Combined data'!AN117</f>
        <v>0</v>
      </c>
      <c r="AP117" s="56">
        <f t="shared" si="72"/>
        <v>0</v>
      </c>
      <c r="AQ117" s="113"/>
      <c r="AR117" s="17">
        <f>'Combined data'!AR117</f>
        <v>161</v>
      </c>
      <c r="AS117" s="17">
        <f>'Combined data'!AS117-'Combined data'!AR117</f>
        <v>26</v>
      </c>
      <c r="AT117" s="17">
        <f>'Combined data'!AT117-'Combined data'!AS117</f>
        <v>27</v>
      </c>
      <c r="AU117" s="17">
        <f>'Combined data'!AU117-'Combined data'!AT117</f>
        <v>25</v>
      </c>
      <c r="AV117" s="17">
        <f>'Combined data'!AV117-'Combined data'!AU117</f>
        <v>18</v>
      </c>
      <c r="AW117" s="17">
        <f>'Combined data'!AW117-'Combined data'!AV117</f>
        <v>13</v>
      </c>
      <c r="AX117" s="17">
        <f>'Combined data'!AX117-'Combined data'!AW117</f>
        <v>44</v>
      </c>
      <c r="AY117" s="17">
        <f>'Combined data'!AY117-'Combined data'!AX117</f>
        <v>21</v>
      </c>
      <c r="AZ117" s="17">
        <f>'Combined data'!AZ117-'Combined data'!AY117</f>
        <v>29</v>
      </c>
      <c r="BA117" s="17">
        <f>'Combined data'!BA117-'Combined data'!AZ117</f>
        <v>20</v>
      </c>
      <c r="BB117" s="17">
        <f>'Combined data'!BB117-'Combined data'!BA117</f>
        <v>15</v>
      </c>
      <c r="BC117" s="17">
        <f>'Combined data'!BC117-'Combined data'!BB117</f>
        <v>22</v>
      </c>
      <c r="BD117" s="17">
        <f>'Combined data'!BD117-'Combined data'!BC117</f>
        <v>18</v>
      </c>
      <c r="BE117" s="17">
        <f>'Combined data'!BE117-'Combined data'!BD117</f>
        <v>23</v>
      </c>
      <c r="BF117" s="17">
        <f>'Combined data'!BF117-'Combined data'!BE117</f>
        <v>7</v>
      </c>
      <c r="BG117" s="17">
        <f>'Combined data'!BG117-'Combined data'!BF117</f>
        <v>11</v>
      </c>
      <c r="BH117" s="17">
        <f>'Combined data'!BH117-'Combined data'!BG117</f>
        <v>11</v>
      </c>
      <c r="BI117" s="17">
        <f>'Combined data'!BI117-'Combined data'!BH117</f>
        <v>4</v>
      </c>
      <c r="BJ117" s="17">
        <f>'Combined data'!BJ117-'Combined data'!BI117</f>
        <v>9</v>
      </c>
      <c r="BK117" s="17">
        <f>'Combined data'!BK117-'Combined data'!BJ117</f>
        <v>7</v>
      </c>
      <c r="BL117" s="17">
        <f>'Combined data'!BL117-'Combined data'!BK117</f>
        <v>6</v>
      </c>
      <c r="BM117" s="17">
        <f>'Combined data'!BM117-'Combined data'!BL117</f>
        <v>4</v>
      </c>
      <c r="BN117" s="17">
        <f>'Combined data'!BN117-'Combined data'!BM117</f>
        <v>6</v>
      </c>
      <c r="BO117" s="17">
        <f>'Combined data'!BO117-'Combined data'!BN117</f>
        <v>-527</v>
      </c>
      <c r="BP117" s="17">
        <f>'Combined data'!BP117-'Combined data'!BO117</f>
        <v>0</v>
      </c>
      <c r="BQ117" s="17">
        <f>'Combined data'!BQ117-'Combined data'!BP117</f>
        <v>0</v>
      </c>
      <c r="BR117" s="17">
        <f>'Combined data'!BR117-'Combined data'!BQ117</f>
        <v>0</v>
      </c>
      <c r="BS117" s="17">
        <f>'Combined data'!BS117-'Combined data'!BR117</f>
        <v>0</v>
      </c>
      <c r="BT117" s="17">
        <f>'Combined data'!BT117-'Combined data'!BS117</f>
        <v>0</v>
      </c>
      <c r="BU117" s="17">
        <f>'Combined data'!BU117-'Combined data'!BT117</f>
        <v>0</v>
      </c>
      <c r="BV117" s="17">
        <f>'Combined data'!BV117-'Combined data'!BU117</f>
        <v>0</v>
      </c>
      <c r="BW117" s="17">
        <f>'Combined data'!BW117-'Combined data'!BV117</f>
        <v>0</v>
      </c>
      <c r="BX117" s="17">
        <f>'Combined data'!BX117-'Combined data'!BW117</f>
        <v>0</v>
      </c>
      <c r="BY117" s="17">
        <f>'Combined data'!BY117-'Combined data'!BX117</f>
        <v>0</v>
      </c>
      <c r="CB117" s="17">
        <f t="shared" si="74"/>
        <v>161</v>
      </c>
      <c r="CC117" s="17">
        <f t="shared" si="75"/>
        <v>26</v>
      </c>
      <c r="CD117" s="17">
        <f t="shared" si="76"/>
        <v>27</v>
      </c>
      <c r="CE117" s="17">
        <f t="shared" si="77"/>
        <v>25</v>
      </c>
      <c r="CF117" s="17">
        <f t="shared" si="78"/>
        <v>18</v>
      </c>
      <c r="CG117" s="17">
        <f t="shared" si="79"/>
        <v>13</v>
      </c>
      <c r="CH117" s="17">
        <f t="shared" si="80"/>
        <v>44</v>
      </c>
      <c r="CI117" s="17">
        <f t="shared" si="81"/>
        <v>21</v>
      </c>
      <c r="CJ117" s="17">
        <f t="shared" si="82"/>
        <v>29</v>
      </c>
      <c r="CK117" s="17">
        <f t="shared" si="83"/>
        <v>20</v>
      </c>
      <c r="CL117" s="17">
        <f t="shared" si="84"/>
        <v>15</v>
      </c>
      <c r="CM117" s="17">
        <f t="shared" si="85"/>
        <v>22</v>
      </c>
      <c r="CN117" s="17">
        <f t="shared" si="86"/>
        <v>18</v>
      </c>
      <c r="CO117" s="17">
        <f t="shared" si="87"/>
        <v>23</v>
      </c>
      <c r="CP117" s="17">
        <f t="shared" si="88"/>
        <v>7</v>
      </c>
      <c r="CQ117" s="17">
        <f t="shared" si="89"/>
        <v>11</v>
      </c>
      <c r="CR117" s="17">
        <f t="shared" si="90"/>
        <v>11</v>
      </c>
      <c r="CS117" s="17">
        <f t="shared" si="91"/>
        <v>4</v>
      </c>
      <c r="CT117" s="17">
        <f t="shared" si="92"/>
        <v>9</v>
      </c>
      <c r="CU117" s="17">
        <f t="shared" si="93"/>
        <v>7</v>
      </c>
      <c r="CV117" s="17">
        <f t="shared" si="94"/>
        <v>6</v>
      </c>
      <c r="CW117" s="17">
        <f t="shared" si="95"/>
        <v>4</v>
      </c>
      <c r="CX117" s="17">
        <f t="shared" si="96"/>
        <v>6</v>
      </c>
      <c r="CY117" s="17">
        <f t="shared" si="96"/>
        <v>-527</v>
      </c>
      <c r="CZ117" s="17">
        <f t="shared" si="96"/>
        <v>0</v>
      </c>
      <c r="DA117" s="17">
        <f t="shared" si="96"/>
        <v>0</v>
      </c>
      <c r="DB117" s="17">
        <f t="shared" si="96"/>
        <v>0</v>
      </c>
      <c r="DC117" s="17">
        <f t="shared" si="96"/>
        <v>0</v>
      </c>
      <c r="DD117" s="17">
        <f t="shared" si="96"/>
        <v>0</v>
      </c>
      <c r="DE117" s="17">
        <f t="shared" si="96"/>
        <v>0</v>
      </c>
      <c r="DF117" s="17">
        <f t="shared" si="96"/>
        <v>0</v>
      </c>
      <c r="DG117" s="17">
        <f t="shared" si="96"/>
        <v>0</v>
      </c>
      <c r="DH117" s="17">
        <f t="shared" si="96"/>
        <v>0</v>
      </c>
      <c r="DI117" s="17">
        <f t="shared" si="96"/>
        <v>0</v>
      </c>
    </row>
    <row r="118" spans="1:113" ht="15.75" x14ac:dyDescent="0.25">
      <c r="A118" s="4" t="s">
        <v>225</v>
      </c>
      <c r="B118" s="6" t="s">
        <v>226</v>
      </c>
      <c r="H118" s="90">
        <f>'Combined data'!H118</f>
        <v>322</v>
      </c>
      <c r="I118" s="90">
        <f>'Combined data'!I118-'Combined data'!H118</f>
        <v>12</v>
      </c>
      <c r="J118" s="90">
        <f>'Combined data'!J118-'Combined data'!I118</f>
        <v>21</v>
      </c>
      <c r="K118" s="90">
        <f>'Combined data'!K118-'Combined data'!J118</f>
        <v>27</v>
      </c>
      <c r="L118" s="90">
        <f>'Combined data'!L118-'Combined data'!K118</f>
        <v>13</v>
      </c>
      <c r="M118" s="90">
        <f>'Combined data'!M118-'Combined data'!L118</f>
        <v>18</v>
      </c>
      <c r="N118" s="90">
        <f>'Combined data'!N118-'Combined data'!M118</f>
        <v>32</v>
      </c>
      <c r="O118" s="90">
        <f>'Combined data'!O118-'Combined data'!N118</f>
        <v>22</v>
      </c>
      <c r="P118" s="90">
        <f>'Combined data'!P118-'Combined data'!O118</f>
        <v>27</v>
      </c>
      <c r="Q118" s="90">
        <f>'Combined data'!Q118-'Combined data'!P118</f>
        <v>28</v>
      </c>
      <c r="R118" s="90">
        <f>'Combined data'!R118-'Combined data'!Q118</f>
        <v>10</v>
      </c>
      <c r="S118" s="90">
        <f>'Combined data'!S118-'Combined data'!R118</f>
        <v>22</v>
      </c>
      <c r="T118" s="90">
        <f>'Combined data'!T118-'Combined data'!S118</f>
        <v>11</v>
      </c>
      <c r="U118" s="90">
        <f>'Combined data'!U118-'Combined data'!T118</f>
        <v>8</v>
      </c>
      <c r="V118" s="90">
        <f>'Combined data'!V118-'Combined data'!U118</f>
        <v>12</v>
      </c>
      <c r="W118" s="90">
        <f>'Combined data'!W118-'Combined data'!V118</f>
        <v>10</v>
      </c>
      <c r="X118" s="90">
        <f>'Combined data'!X118-'Combined data'!W118</f>
        <v>5</v>
      </c>
      <c r="Y118" s="90">
        <f>'Combined data'!Y118-'Combined data'!X118</f>
        <v>10</v>
      </c>
      <c r="Z118" s="90">
        <f>'Combined data'!Z118-'Combined data'!Y118</f>
        <v>21</v>
      </c>
      <c r="AA118" s="90">
        <f>'Combined data'!AA118-'Combined data'!Z118</f>
        <v>13</v>
      </c>
      <c r="AB118" s="90">
        <f>'Combined data'!AB118-'Combined data'!AA118</f>
        <v>4</v>
      </c>
      <c r="AC118" s="90">
        <f>'Combined data'!AC118-'Combined data'!AB118</f>
        <v>2</v>
      </c>
      <c r="AD118" s="90">
        <f>'Combined data'!AD118-'Combined data'!AC118</f>
        <v>13</v>
      </c>
      <c r="AE118" s="90">
        <f>'Combined data'!AE118-'Combined data'!AD118</f>
        <v>-663</v>
      </c>
      <c r="AF118" s="90">
        <f>'Combined data'!AF118-'Combined data'!AE118</f>
        <v>0</v>
      </c>
      <c r="AG118" s="90">
        <f>'Combined data'!AG118-'Combined data'!AF118</f>
        <v>0</v>
      </c>
      <c r="AH118" s="90">
        <f>'Combined data'!AH118-'Combined data'!AG118</f>
        <v>0</v>
      </c>
      <c r="AI118" s="90">
        <f>'Combined data'!AI118-'Combined data'!AH118</f>
        <v>0</v>
      </c>
      <c r="AJ118" s="90">
        <f>'Combined data'!AJ118-'Combined data'!AI118</f>
        <v>0</v>
      </c>
      <c r="AK118" s="90">
        <f>'Combined data'!AK118-'Combined data'!AJ118</f>
        <v>0</v>
      </c>
      <c r="AL118" s="90">
        <f>'Combined data'!AL118-'Combined data'!AK118</f>
        <v>0</v>
      </c>
      <c r="AM118" s="90">
        <f>'Combined data'!AM118-'Combined data'!AL118</f>
        <v>0</v>
      </c>
      <c r="AN118" s="90">
        <f>'Combined data'!AN118-'Combined data'!AM118</f>
        <v>0</v>
      </c>
      <c r="AO118" s="90">
        <f>'Combined data'!AO118-'Combined data'!AN118</f>
        <v>0</v>
      </c>
      <c r="AP118" s="56">
        <f t="shared" si="72"/>
        <v>0</v>
      </c>
      <c r="AQ118" s="113"/>
      <c r="AR118" s="17">
        <f>'Combined data'!AR118</f>
        <v>152</v>
      </c>
      <c r="AS118" s="17">
        <f>'Combined data'!AS118-'Combined data'!AR118</f>
        <v>28</v>
      </c>
      <c r="AT118" s="17">
        <f>'Combined data'!AT118-'Combined data'!AS118</f>
        <v>29</v>
      </c>
      <c r="AU118" s="17">
        <f>'Combined data'!AU118-'Combined data'!AT118</f>
        <v>43</v>
      </c>
      <c r="AV118" s="17">
        <f>'Combined data'!AV118-'Combined data'!AU118</f>
        <v>24</v>
      </c>
      <c r="AW118" s="17">
        <f>'Combined data'!AW118-'Combined data'!AV118</f>
        <v>22</v>
      </c>
      <c r="AX118" s="17">
        <f>'Combined data'!AX118-'Combined data'!AW118</f>
        <v>24</v>
      </c>
      <c r="AY118" s="17">
        <f>'Combined data'!AY118-'Combined data'!AX118</f>
        <v>17</v>
      </c>
      <c r="AZ118" s="17">
        <f>'Combined data'!AZ118-'Combined data'!AY118</f>
        <v>11</v>
      </c>
      <c r="BA118" s="17">
        <f>'Combined data'!BA118-'Combined data'!AZ118</f>
        <v>15</v>
      </c>
      <c r="BB118" s="17">
        <f>'Combined data'!BB118-'Combined data'!BA118</f>
        <v>8</v>
      </c>
      <c r="BC118" s="17">
        <f>'Combined data'!BC118-'Combined data'!BB118</f>
        <v>10</v>
      </c>
      <c r="BD118" s="17">
        <f>'Combined data'!BD118-'Combined data'!BC118</f>
        <v>17</v>
      </c>
      <c r="BE118" s="17">
        <f>'Combined data'!BE118-'Combined data'!BD118</f>
        <v>19</v>
      </c>
      <c r="BF118" s="17">
        <f>'Combined data'!BF118-'Combined data'!BE118</f>
        <v>20</v>
      </c>
      <c r="BG118" s="17">
        <f>'Combined data'!BG118-'Combined data'!BF118</f>
        <v>11</v>
      </c>
      <c r="BH118" s="17">
        <f>'Combined data'!BH118-'Combined data'!BG118</f>
        <v>4</v>
      </c>
      <c r="BI118" s="17">
        <f>'Combined data'!BI118-'Combined data'!BH118</f>
        <v>7</v>
      </c>
      <c r="BJ118" s="17">
        <f>'Combined data'!BJ118-'Combined data'!BI118</f>
        <v>9</v>
      </c>
      <c r="BK118" s="17">
        <f>'Combined data'!BK118-'Combined data'!BJ118</f>
        <v>23</v>
      </c>
      <c r="BL118" s="17">
        <f>'Combined data'!BL118-'Combined data'!BK118</f>
        <v>22</v>
      </c>
      <c r="BM118" s="17">
        <f>'Combined data'!BM118-'Combined data'!BL118</f>
        <v>8</v>
      </c>
      <c r="BN118" s="17">
        <f>'Combined data'!BN118-'Combined data'!BM118</f>
        <v>17</v>
      </c>
      <c r="BO118" s="17">
        <f>'Combined data'!BO118-'Combined data'!BN118</f>
        <v>-540</v>
      </c>
      <c r="BP118" s="17">
        <f>'Combined data'!BP118-'Combined data'!BO118</f>
        <v>0</v>
      </c>
      <c r="BQ118" s="17">
        <f>'Combined data'!BQ118-'Combined data'!BP118</f>
        <v>0</v>
      </c>
      <c r="BR118" s="17">
        <f>'Combined data'!BR118-'Combined data'!BQ118</f>
        <v>0</v>
      </c>
      <c r="BS118" s="17">
        <f>'Combined data'!BS118-'Combined data'!BR118</f>
        <v>0</v>
      </c>
      <c r="BT118" s="17">
        <f>'Combined data'!BT118-'Combined data'!BS118</f>
        <v>0</v>
      </c>
      <c r="BU118" s="17">
        <f>'Combined data'!BU118-'Combined data'!BT118</f>
        <v>0</v>
      </c>
      <c r="BV118" s="17">
        <f>'Combined data'!BV118-'Combined data'!BU118</f>
        <v>0</v>
      </c>
      <c r="BW118" s="17">
        <f>'Combined data'!BW118-'Combined data'!BV118</f>
        <v>0</v>
      </c>
      <c r="BX118" s="17">
        <f>'Combined data'!BX118-'Combined data'!BW118</f>
        <v>0</v>
      </c>
      <c r="BY118" s="17">
        <f>'Combined data'!BY118-'Combined data'!BX118</f>
        <v>0</v>
      </c>
      <c r="CB118" s="17">
        <f t="shared" si="74"/>
        <v>152</v>
      </c>
      <c r="CC118" s="17">
        <f t="shared" si="75"/>
        <v>28</v>
      </c>
      <c r="CD118" s="17">
        <f t="shared" si="76"/>
        <v>29</v>
      </c>
      <c r="CE118" s="17">
        <f t="shared" si="77"/>
        <v>43</v>
      </c>
      <c r="CF118" s="17">
        <f t="shared" si="78"/>
        <v>24</v>
      </c>
      <c r="CG118" s="17">
        <f t="shared" si="79"/>
        <v>22</v>
      </c>
      <c r="CH118" s="17">
        <f t="shared" si="80"/>
        <v>24</v>
      </c>
      <c r="CI118" s="17">
        <f t="shared" si="81"/>
        <v>17</v>
      </c>
      <c r="CJ118" s="17">
        <f t="shared" si="82"/>
        <v>11</v>
      </c>
      <c r="CK118" s="17">
        <f t="shared" si="83"/>
        <v>15</v>
      </c>
      <c r="CL118" s="17">
        <f t="shared" si="84"/>
        <v>8</v>
      </c>
      <c r="CM118" s="17">
        <f t="shared" si="85"/>
        <v>10</v>
      </c>
      <c r="CN118" s="17">
        <f t="shared" si="86"/>
        <v>17</v>
      </c>
      <c r="CO118" s="17">
        <f t="shared" si="87"/>
        <v>19</v>
      </c>
      <c r="CP118" s="17">
        <f t="shared" si="88"/>
        <v>20</v>
      </c>
      <c r="CQ118" s="17">
        <f t="shared" si="89"/>
        <v>11</v>
      </c>
      <c r="CR118" s="17">
        <f t="shared" si="90"/>
        <v>4</v>
      </c>
      <c r="CS118" s="17">
        <f t="shared" si="91"/>
        <v>7</v>
      </c>
      <c r="CT118" s="17">
        <f t="shared" si="92"/>
        <v>9</v>
      </c>
      <c r="CU118" s="17">
        <f t="shared" si="93"/>
        <v>23</v>
      </c>
      <c r="CV118" s="17">
        <f t="shared" si="94"/>
        <v>22</v>
      </c>
      <c r="CW118" s="17">
        <f t="shared" si="95"/>
        <v>8</v>
      </c>
      <c r="CX118" s="17">
        <f t="shared" si="96"/>
        <v>17</v>
      </c>
      <c r="CY118" s="17">
        <f t="shared" si="96"/>
        <v>-540</v>
      </c>
      <c r="CZ118" s="17">
        <f t="shared" si="96"/>
        <v>0</v>
      </c>
      <c r="DA118" s="17">
        <f t="shared" si="96"/>
        <v>0</v>
      </c>
      <c r="DB118" s="17">
        <f t="shared" si="96"/>
        <v>0</v>
      </c>
      <c r="DC118" s="17">
        <f t="shared" si="96"/>
        <v>0</v>
      </c>
      <c r="DD118" s="17">
        <f t="shared" si="96"/>
        <v>0</v>
      </c>
      <c r="DE118" s="17">
        <f t="shared" si="96"/>
        <v>0</v>
      </c>
      <c r="DF118" s="17">
        <f t="shared" si="96"/>
        <v>0</v>
      </c>
      <c r="DG118" s="17">
        <f t="shared" si="96"/>
        <v>0</v>
      </c>
      <c r="DH118" s="17">
        <f t="shared" si="96"/>
        <v>0</v>
      </c>
      <c r="DI118" s="17">
        <f t="shared" si="96"/>
        <v>0</v>
      </c>
    </row>
    <row r="119" spans="1:113" ht="15.75" x14ac:dyDescent="0.25">
      <c r="A119" s="4" t="s">
        <v>227</v>
      </c>
      <c r="B119" s="6" t="s">
        <v>228</v>
      </c>
      <c r="H119" s="90">
        <f>'Combined data'!H119</f>
        <v>40</v>
      </c>
      <c r="I119" s="90">
        <f>'Combined data'!I119-'Combined data'!H119</f>
        <v>4</v>
      </c>
      <c r="J119" s="90">
        <f>'Combined data'!J119-'Combined data'!I119</f>
        <v>1</v>
      </c>
      <c r="K119" s="90">
        <f>'Combined data'!K119-'Combined data'!J119</f>
        <v>2</v>
      </c>
      <c r="L119" s="90">
        <f>'Combined data'!L119-'Combined data'!K119</f>
        <v>0</v>
      </c>
      <c r="M119" s="90">
        <f>'Combined data'!M119-'Combined data'!L119</f>
        <v>0</v>
      </c>
      <c r="N119" s="90">
        <f>'Combined data'!N119-'Combined data'!M119</f>
        <v>3</v>
      </c>
      <c r="O119" s="90">
        <f>'Combined data'!O119-'Combined data'!N119</f>
        <v>0</v>
      </c>
      <c r="P119" s="90">
        <f>'Combined data'!P119-'Combined data'!O119</f>
        <v>1</v>
      </c>
      <c r="Q119" s="90">
        <f>'Combined data'!Q119-'Combined data'!P119</f>
        <v>3</v>
      </c>
      <c r="R119" s="90">
        <f>'Combined data'!R119-'Combined data'!Q119</f>
        <v>1</v>
      </c>
      <c r="S119" s="90">
        <f>'Combined data'!S119-'Combined data'!R119</f>
        <v>4</v>
      </c>
      <c r="T119" s="90">
        <f>'Combined data'!T119-'Combined data'!S119</f>
        <v>2</v>
      </c>
      <c r="U119" s="90">
        <f>'Combined data'!U119-'Combined data'!T119</f>
        <v>0</v>
      </c>
      <c r="V119" s="90">
        <f>'Combined data'!V119-'Combined data'!U119</f>
        <v>0</v>
      </c>
      <c r="W119" s="90">
        <f>'Combined data'!W119-'Combined data'!V119</f>
        <v>1</v>
      </c>
      <c r="X119" s="90">
        <f>'Combined data'!X119-'Combined data'!W119</f>
        <v>1</v>
      </c>
      <c r="Y119" s="90">
        <f>'Combined data'!Y119-'Combined data'!X119</f>
        <v>3</v>
      </c>
      <c r="Z119" s="90">
        <f>'Combined data'!Z119-'Combined data'!Y119</f>
        <v>4</v>
      </c>
      <c r="AA119" s="90">
        <f>'Combined data'!AA119-'Combined data'!Z119</f>
        <v>0</v>
      </c>
      <c r="AB119" s="90">
        <f>'Combined data'!AB119-'Combined data'!AA119</f>
        <v>0</v>
      </c>
      <c r="AC119" s="90">
        <f>'Combined data'!AC119-'Combined data'!AB119</f>
        <v>0</v>
      </c>
      <c r="AD119" s="90">
        <f>'Combined data'!AD119-'Combined data'!AC119</f>
        <v>2</v>
      </c>
      <c r="AE119" s="90">
        <f>'Combined data'!AE119-'Combined data'!AD119</f>
        <v>-72</v>
      </c>
      <c r="AF119" s="90">
        <f>'Combined data'!AF119-'Combined data'!AE119</f>
        <v>0</v>
      </c>
      <c r="AG119" s="90">
        <f>'Combined data'!AG119-'Combined data'!AF119</f>
        <v>0</v>
      </c>
      <c r="AH119" s="90">
        <f>'Combined data'!AH119-'Combined data'!AG119</f>
        <v>0</v>
      </c>
      <c r="AI119" s="90">
        <f>'Combined data'!AI119-'Combined data'!AH119</f>
        <v>0</v>
      </c>
      <c r="AJ119" s="90">
        <f>'Combined data'!AJ119-'Combined data'!AI119</f>
        <v>0</v>
      </c>
      <c r="AK119" s="90">
        <f>'Combined data'!AK119-'Combined data'!AJ119</f>
        <v>0</v>
      </c>
      <c r="AL119" s="90">
        <f>'Combined data'!AL119-'Combined data'!AK119</f>
        <v>0</v>
      </c>
      <c r="AM119" s="90">
        <f>'Combined data'!AM119-'Combined data'!AL119</f>
        <v>0</v>
      </c>
      <c r="AN119" s="90">
        <f>'Combined data'!AN119-'Combined data'!AM119</f>
        <v>0</v>
      </c>
      <c r="AO119" s="90">
        <f>'Combined data'!AO119-'Combined data'!AN119</f>
        <v>0</v>
      </c>
      <c r="AP119" s="56">
        <f t="shared" si="72"/>
        <v>0</v>
      </c>
      <c r="AQ119" s="113"/>
      <c r="AR119" s="17">
        <f>'Combined data'!AR119</f>
        <v>14</v>
      </c>
      <c r="AS119" s="17">
        <f>'Combined data'!AS119-'Combined data'!AR119</f>
        <v>11</v>
      </c>
      <c r="AT119" s="17">
        <f>'Combined data'!AT119-'Combined data'!AS119</f>
        <v>0</v>
      </c>
      <c r="AU119" s="17">
        <f>'Combined data'!AU119-'Combined data'!AT119</f>
        <v>0</v>
      </c>
      <c r="AV119" s="17">
        <f>'Combined data'!AV119-'Combined data'!AU119</f>
        <v>0</v>
      </c>
      <c r="AW119" s="17">
        <f>'Combined data'!AW119-'Combined data'!AV119</f>
        <v>5</v>
      </c>
      <c r="AX119" s="17">
        <f>'Combined data'!AX119-'Combined data'!AW119</f>
        <v>10</v>
      </c>
      <c r="AY119" s="17">
        <f>'Combined data'!AY119-'Combined data'!AX119</f>
        <v>0</v>
      </c>
      <c r="AZ119" s="17">
        <f>'Combined data'!AZ119-'Combined data'!AY119</f>
        <v>0</v>
      </c>
      <c r="BA119" s="17">
        <f>'Combined data'!BA119-'Combined data'!AZ119</f>
        <v>0</v>
      </c>
      <c r="BB119" s="17">
        <f>'Combined data'!BB119-'Combined data'!BA119</f>
        <v>5</v>
      </c>
      <c r="BC119" s="17">
        <f>'Combined data'!BC119-'Combined data'!BB119</f>
        <v>-7</v>
      </c>
      <c r="BD119" s="17">
        <f>'Combined data'!BD119-'Combined data'!BC119</f>
        <v>7</v>
      </c>
      <c r="BE119" s="17">
        <f>'Combined data'!BE119-'Combined data'!BD119</f>
        <v>0</v>
      </c>
      <c r="BF119" s="17">
        <f>'Combined data'!BF119-'Combined data'!BE119</f>
        <v>0</v>
      </c>
      <c r="BG119" s="17">
        <f>'Combined data'!BG119-'Combined data'!BF119</f>
        <v>0</v>
      </c>
      <c r="BH119" s="17">
        <f>'Combined data'!BH119-'Combined data'!BG119</f>
        <v>0</v>
      </c>
      <c r="BI119" s="17">
        <f>'Combined data'!BI119-'Combined data'!BH119</f>
        <v>0</v>
      </c>
      <c r="BJ119" s="17">
        <f>'Combined data'!BJ119-'Combined data'!BI119</f>
        <v>5</v>
      </c>
      <c r="BK119" s="17">
        <f>'Combined data'!BK119-'Combined data'!BJ119</f>
        <v>0</v>
      </c>
      <c r="BL119" s="17">
        <f>'Combined data'!BL119-'Combined data'!BK119</f>
        <v>5</v>
      </c>
      <c r="BM119" s="17">
        <f>'Combined data'!BM119-'Combined data'!BL119</f>
        <v>-6</v>
      </c>
      <c r="BN119" s="17">
        <f>'Combined data'!BN119-'Combined data'!BM119</f>
        <v>0</v>
      </c>
      <c r="BO119" s="17">
        <f>'Combined data'!BO119-'Combined data'!BN119</f>
        <v>-49</v>
      </c>
      <c r="BP119" s="17">
        <f>'Combined data'!BP119-'Combined data'!BO119</f>
        <v>0</v>
      </c>
      <c r="BQ119" s="17">
        <f>'Combined data'!BQ119-'Combined data'!BP119</f>
        <v>0</v>
      </c>
      <c r="BR119" s="17">
        <f>'Combined data'!BR119-'Combined data'!BQ119</f>
        <v>0</v>
      </c>
      <c r="BS119" s="17">
        <f>'Combined data'!BS119-'Combined data'!BR119</f>
        <v>0</v>
      </c>
      <c r="BT119" s="17">
        <f>'Combined data'!BT119-'Combined data'!BS119</f>
        <v>0</v>
      </c>
      <c r="BU119" s="17">
        <f>'Combined data'!BU119-'Combined data'!BT119</f>
        <v>0</v>
      </c>
      <c r="BV119" s="17">
        <f>'Combined data'!BV119-'Combined data'!BU119</f>
        <v>0</v>
      </c>
      <c r="BW119" s="17">
        <f>'Combined data'!BW119-'Combined data'!BV119</f>
        <v>0</v>
      </c>
      <c r="BX119" s="17">
        <f>'Combined data'!BX119-'Combined data'!BW119</f>
        <v>0</v>
      </c>
      <c r="BY119" s="17">
        <f>'Combined data'!BY119-'Combined data'!BX119</f>
        <v>0</v>
      </c>
      <c r="CB119" s="17">
        <f t="shared" si="74"/>
        <v>14</v>
      </c>
      <c r="CC119" s="17">
        <f t="shared" si="75"/>
        <v>11</v>
      </c>
      <c r="CD119" s="17">
        <f t="shared" si="76"/>
        <v>0</v>
      </c>
      <c r="CE119" s="17">
        <f t="shared" si="77"/>
        <v>0</v>
      </c>
      <c r="CF119" s="17">
        <f t="shared" si="78"/>
        <v>0</v>
      </c>
      <c r="CG119" s="17">
        <f t="shared" si="79"/>
        <v>5</v>
      </c>
      <c r="CH119" s="17">
        <f t="shared" si="80"/>
        <v>10</v>
      </c>
      <c r="CI119" s="17">
        <f t="shared" si="81"/>
        <v>0</v>
      </c>
      <c r="CJ119" s="17">
        <f t="shared" si="82"/>
        <v>0</v>
      </c>
      <c r="CK119" s="17">
        <f t="shared" si="83"/>
        <v>0</v>
      </c>
      <c r="CL119" s="17">
        <f t="shared" si="84"/>
        <v>5</v>
      </c>
      <c r="CM119" s="17">
        <f t="shared" si="85"/>
        <v>-7</v>
      </c>
      <c r="CN119" s="17">
        <f t="shared" si="86"/>
        <v>7</v>
      </c>
      <c r="CO119" s="17">
        <f t="shared" si="87"/>
        <v>0</v>
      </c>
      <c r="CP119" s="17">
        <f t="shared" si="88"/>
        <v>0</v>
      </c>
      <c r="CQ119" s="17">
        <f t="shared" si="89"/>
        <v>0</v>
      </c>
      <c r="CR119" s="17">
        <f t="shared" si="90"/>
        <v>0</v>
      </c>
      <c r="CS119" s="17">
        <f t="shared" si="91"/>
        <v>0</v>
      </c>
      <c r="CT119" s="17">
        <f t="shared" si="92"/>
        <v>5</v>
      </c>
      <c r="CU119" s="17">
        <f t="shared" si="93"/>
        <v>0</v>
      </c>
      <c r="CV119" s="17">
        <f t="shared" si="94"/>
        <v>5</v>
      </c>
      <c r="CW119" s="17">
        <f t="shared" si="95"/>
        <v>-6</v>
      </c>
      <c r="CX119" s="17">
        <f t="shared" si="96"/>
        <v>0</v>
      </c>
      <c r="CY119" s="17">
        <f t="shared" si="96"/>
        <v>-49</v>
      </c>
      <c r="CZ119" s="17">
        <f t="shared" si="96"/>
        <v>0</v>
      </c>
      <c r="DA119" s="17">
        <f t="shared" si="96"/>
        <v>0</v>
      </c>
      <c r="DB119" s="17">
        <f t="shared" si="96"/>
        <v>0</v>
      </c>
      <c r="DC119" s="17">
        <f t="shared" si="96"/>
        <v>0</v>
      </c>
      <c r="DD119" s="17">
        <f t="shared" si="96"/>
        <v>0</v>
      </c>
      <c r="DE119" s="17">
        <f t="shared" si="96"/>
        <v>0</v>
      </c>
      <c r="DF119" s="17">
        <f t="shared" si="96"/>
        <v>0</v>
      </c>
      <c r="DG119" s="17">
        <f t="shared" si="96"/>
        <v>0</v>
      </c>
      <c r="DH119" s="17">
        <f t="shared" si="96"/>
        <v>0</v>
      </c>
      <c r="DI119" s="17">
        <f t="shared" si="96"/>
        <v>0</v>
      </c>
    </row>
    <row r="120" spans="1:113" ht="15.75" x14ac:dyDescent="0.25">
      <c r="A120" s="4" t="s">
        <v>229</v>
      </c>
      <c r="B120" s="6" t="s">
        <v>230</v>
      </c>
      <c r="H120" s="90">
        <f>'Combined data'!H120</f>
        <v>137</v>
      </c>
      <c r="I120" s="90">
        <f>'Combined data'!I120-'Combined data'!H120</f>
        <v>13</v>
      </c>
      <c r="J120" s="90">
        <f>'Combined data'!J120-'Combined data'!I120</f>
        <v>8</v>
      </c>
      <c r="K120" s="90">
        <f>'Combined data'!K120-'Combined data'!J120</f>
        <v>10</v>
      </c>
      <c r="L120" s="90">
        <f>'Combined data'!L120-'Combined data'!K120</f>
        <v>9</v>
      </c>
      <c r="M120" s="90">
        <f>'Combined data'!M120-'Combined data'!L120</f>
        <v>6</v>
      </c>
      <c r="N120" s="90">
        <f>'Combined data'!N120-'Combined data'!M120</f>
        <v>8</v>
      </c>
      <c r="O120" s="90">
        <f>'Combined data'!O120-'Combined data'!N120</f>
        <v>3</v>
      </c>
      <c r="P120" s="90">
        <f>'Combined data'!P120-'Combined data'!O120</f>
        <v>15</v>
      </c>
      <c r="Q120" s="90">
        <f>'Combined data'!Q120-'Combined data'!P120</f>
        <v>0</v>
      </c>
      <c r="R120" s="90">
        <f>'Combined data'!R120-'Combined data'!Q120</f>
        <v>3</v>
      </c>
      <c r="S120" s="90">
        <f>'Combined data'!S120-'Combined data'!R120</f>
        <v>2</v>
      </c>
      <c r="T120" s="90">
        <f>'Combined data'!T120-'Combined data'!S120</f>
        <v>1</v>
      </c>
      <c r="U120" s="90">
        <f>'Combined data'!U120-'Combined data'!T120</f>
        <v>3</v>
      </c>
      <c r="V120" s="90">
        <f>'Combined data'!V120-'Combined data'!U120</f>
        <v>8</v>
      </c>
      <c r="W120" s="90">
        <f>'Combined data'!W120-'Combined data'!V120</f>
        <v>3</v>
      </c>
      <c r="X120" s="90">
        <f>'Combined data'!X120-'Combined data'!W120</f>
        <v>2</v>
      </c>
      <c r="Y120" s="90">
        <f>'Combined data'!Y120-'Combined data'!X120</f>
        <v>0</v>
      </c>
      <c r="Z120" s="90">
        <f>'Combined data'!Z120-'Combined data'!Y120</f>
        <v>5</v>
      </c>
      <c r="AA120" s="90">
        <f>'Combined data'!AA120-'Combined data'!Z120</f>
        <v>3</v>
      </c>
      <c r="AB120" s="90">
        <f>'Combined data'!AB120-'Combined data'!AA120</f>
        <v>5</v>
      </c>
      <c r="AC120" s="90">
        <f>'Combined data'!AC120-'Combined data'!AB120</f>
        <v>0</v>
      </c>
      <c r="AD120" s="90">
        <f>'Combined data'!AD120-'Combined data'!AC120</f>
        <v>10</v>
      </c>
      <c r="AE120" s="90">
        <f>'Combined data'!AE120-'Combined data'!AD120</f>
        <v>-254</v>
      </c>
      <c r="AF120" s="90">
        <f>'Combined data'!AF120-'Combined data'!AE120</f>
        <v>0</v>
      </c>
      <c r="AG120" s="90">
        <f>'Combined data'!AG120-'Combined data'!AF120</f>
        <v>0</v>
      </c>
      <c r="AH120" s="90">
        <f>'Combined data'!AH120-'Combined data'!AG120</f>
        <v>0</v>
      </c>
      <c r="AI120" s="90">
        <f>'Combined data'!AI120-'Combined data'!AH120</f>
        <v>0</v>
      </c>
      <c r="AJ120" s="90">
        <f>'Combined data'!AJ120-'Combined data'!AI120</f>
        <v>0</v>
      </c>
      <c r="AK120" s="90">
        <f>'Combined data'!AK120-'Combined data'!AJ120</f>
        <v>0</v>
      </c>
      <c r="AL120" s="90">
        <f>'Combined data'!AL120-'Combined data'!AK120</f>
        <v>0</v>
      </c>
      <c r="AM120" s="90">
        <f>'Combined data'!AM120-'Combined data'!AL120</f>
        <v>0</v>
      </c>
      <c r="AN120" s="90">
        <f>'Combined data'!AN120-'Combined data'!AM120</f>
        <v>0</v>
      </c>
      <c r="AO120" s="90">
        <f>'Combined data'!AO120-'Combined data'!AN120</f>
        <v>0</v>
      </c>
      <c r="AP120" s="56">
        <f t="shared" si="72"/>
        <v>0</v>
      </c>
      <c r="AQ120" s="113"/>
      <c r="AR120" s="17">
        <f>'Combined data'!AR120</f>
        <v>72</v>
      </c>
      <c r="AS120" s="17">
        <f>'Combined data'!AS120-'Combined data'!AR120</f>
        <v>8</v>
      </c>
      <c r="AT120" s="17">
        <f>'Combined data'!AT120-'Combined data'!AS120</f>
        <v>9</v>
      </c>
      <c r="AU120" s="17">
        <f>'Combined data'!AU120-'Combined data'!AT120</f>
        <v>18</v>
      </c>
      <c r="AV120" s="17">
        <f>'Combined data'!AV120-'Combined data'!AU120</f>
        <v>9</v>
      </c>
      <c r="AW120" s="17">
        <f>'Combined data'!AW120-'Combined data'!AV120</f>
        <v>5</v>
      </c>
      <c r="AX120" s="17">
        <f>'Combined data'!AX120-'Combined data'!AW120</f>
        <v>16</v>
      </c>
      <c r="AY120" s="17">
        <f>'Combined data'!AY120-'Combined data'!AX120</f>
        <v>0</v>
      </c>
      <c r="AZ120" s="17">
        <f>'Combined data'!AZ120-'Combined data'!AY120</f>
        <v>16</v>
      </c>
      <c r="BA120" s="17">
        <f>'Combined data'!BA120-'Combined data'!AZ120</f>
        <v>5</v>
      </c>
      <c r="BB120" s="17">
        <f>'Combined data'!BB120-'Combined data'!BA120</f>
        <v>3</v>
      </c>
      <c r="BC120" s="17">
        <f>'Combined data'!BC120-'Combined data'!BB120</f>
        <v>13</v>
      </c>
      <c r="BD120" s="17">
        <f>'Combined data'!BD120-'Combined data'!BC120</f>
        <v>8</v>
      </c>
      <c r="BE120" s="17">
        <f>'Combined data'!BE120-'Combined data'!BD120</f>
        <v>0</v>
      </c>
      <c r="BF120" s="17">
        <f>'Combined data'!BF120-'Combined data'!BE120</f>
        <v>0</v>
      </c>
      <c r="BG120" s="17">
        <f>'Combined data'!BG120-'Combined data'!BF120</f>
        <v>0</v>
      </c>
      <c r="BH120" s="17">
        <f>'Combined data'!BH120-'Combined data'!BG120</f>
        <v>2</v>
      </c>
      <c r="BI120" s="17">
        <f>'Combined data'!BI120-'Combined data'!BH120</f>
        <v>7</v>
      </c>
      <c r="BJ120" s="17">
        <f>'Combined data'!BJ120-'Combined data'!BI120</f>
        <v>4</v>
      </c>
      <c r="BK120" s="17">
        <f>'Combined data'!BK120-'Combined data'!BJ120</f>
        <v>6</v>
      </c>
      <c r="BL120" s="17">
        <f>'Combined data'!BL120-'Combined data'!BK120</f>
        <v>2</v>
      </c>
      <c r="BM120" s="17">
        <f>'Combined data'!BM120-'Combined data'!BL120</f>
        <v>3</v>
      </c>
      <c r="BN120" s="17">
        <f>'Combined data'!BN120-'Combined data'!BM120</f>
        <v>1</v>
      </c>
      <c r="BO120" s="17">
        <f>'Combined data'!BO120-'Combined data'!BN120</f>
        <v>-207</v>
      </c>
      <c r="BP120" s="17">
        <f>'Combined data'!BP120-'Combined data'!BO120</f>
        <v>0</v>
      </c>
      <c r="BQ120" s="17">
        <f>'Combined data'!BQ120-'Combined data'!BP120</f>
        <v>0</v>
      </c>
      <c r="BR120" s="17">
        <f>'Combined data'!BR120-'Combined data'!BQ120</f>
        <v>0</v>
      </c>
      <c r="BS120" s="17">
        <f>'Combined data'!BS120-'Combined data'!BR120</f>
        <v>0</v>
      </c>
      <c r="BT120" s="17">
        <f>'Combined data'!BT120-'Combined data'!BS120</f>
        <v>0</v>
      </c>
      <c r="BU120" s="17">
        <f>'Combined data'!BU120-'Combined data'!BT120</f>
        <v>0</v>
      </c>
      <c r="BV120" s="17">
        <f>'Combined data'!BV120-'Combined data'!BU120</f>
        <v>0</v>
      </c>
      <c r="BW120" s="17">
        <f>'Combined data'!BW120-'Combined data'!BV120</f>
        <v>0</v>
      </c>
      <c r="BX120" s="17">
        <f>'Combined data'!BX120-'Combined data'!BW120</f>
        <v>0</v>
      </c>
      <c r="BY120" s="17">
        <f>'Combined data'!BY120-'Combined data'!BX120</f>
        <v>0</v>
      </c>
      <c r="CB120" s="17">
        <f t="shared" si="74"/>
        <v>72</v>
      </c>
      <c r="CC120" s="17">
        <f t="shared" si="75"/>
        <v>8</v>
      </c>
      <c r="CD120" s="17">
        <f t="shared" si="76"/>
        <v>9</v>
      </c>
      <c r="CE120" s="17">
        <f t="shared" si="77"/>
        <v>18</v>
      </c>
      <c r="CF120" s="17">
        <f t="shared" si="78"/>
        <v>9</v>
      </c>
      <c r="CG120" s="17">
        <f t="shared" si="79"/>
        <v>5</v>
      </c>
      <c r="CH120" s="17">
        <f t="shared" si="80"/>
        <v>16</v>
      </c>
      <c r="CI120" s="17">
        <f t="shared" si="81"/>
        <v>0</v>
      </c>
      <c r="CJ120" s="17">
        <f t="shared" si="82"/>
        <v>16</v>
      </c>
      <c r="CK120" s="17">
        <f t="shared" si="83"/>
        <v>5</v>
      </c>
      <c r="CL120" s="17">
        <f t="shared" si="84"/>
        <v>3</v>
      </c>
      <c r="CM120" s="17">
        <f t="shared" si="85"/>
        <v>13</v>
      </c>
      <c r="CN120" s="17">
        <f t="shared" si="86"/>
        <v>8</v>
      </c>
      <c r="CO120" s="17">
        <f t="shared" si="87"/>
        <v>0</v>
      </c>
      <c r="CP120" s="17">
        <f t="shared" si="88"/>
        <v>0</v>
      </c>
      <c r="CQ120" s="17">
        <f t="shared" si="89"/>
        <v>0</v>
      </c>
      <c r="CR120" s="17">
        <f t="shared" si="90"/>
        <v>2</v>
      </c>
      <c r="CS120" s="17">
        <f t="shared" si="91"/>
        <v>7</v>
      </c>
      <c r="CT120" s="17">
        <f t="shared" si="92"/>
        <v>4</v>
      </c>
      <c r="CU120" s="17">
        <f t="shared" si="93"/>
        <v>6</v>
      </c>
      <c r="CV120" s="17">
        <f t="shared" si="94"/>
        <v>2</v>
      </c>
      <c r="CW120" s="17">
        <f t="shared" si="95"/>
        <v>3</v>
      </c>
      <c r="CX120" s="17">
        <f t="shared" si="96"/>
        <v>1</v>
      </c>
      <c r="CY120" s="17">
        <f t="shared" si="96"/>
        <v>-207</v>
      </c>
      <c r="CZ120" s="17">
        <f t="shared" si="96"/>
        <v>0</v>
      </c>
      <c r="DA120" s="17">
        <f t="shared" si="96"/>
        <v>0</v>
      </c>
      <c r="DB120" s="17">
        <f t="shared" si="96"/>
        <v>0</v>
      </c>
      <c r="DC120" s="17">
        <f t="shared" si="96"/>
        <v>0</v>
      </c>
      <c r="DD120" s="17">
        <f t="shared" si="96"/>
        <v>0</v>
      </c>
      <c r="DE120" s="17">
        <f t="shared" si="96"/>
        <v>0</v>
      </c>
      <c r="DF120" s="17">
        <f t="shared" si="96"/>
        <v>0</v>
      </c>
      <c r="DG120" s="17">
        <f t="shared" si="96"/>
        <v>0</v>
      </c>
      <c r="DH120" s="17">
        <f t="shared" si="96"/>
        <v>0</v>
      </c>
      <c r="DI120" s="17">
        <f t="shared" si="96"/>
        <v>0</v>
      </c>
    </row>
    <row r="121" spans="1:113" ht="15.75" x14ac:dyDescent="0.25">
      <c r="A121" s="4" t="s">
        <v>231</v>
      </c>
      <c r="B121" s="6" t="s">
        <v>232</v>
      </c>
      <c r="H121" s="90">
        <f>'Combined data'!H121</f>
        <v>916</v>
      </c>
      <c r="I121" s="90">
        <f>'Combined data'!I121-'Combined data'!H121</f>
        <v>49</v>
      </c>
      <c r="J121" s="90">
        <f>'Combined data'!J121-'Combined data'!I121</f>
        <v>57</v>
      </c>
      <c r="K121" s="90">
        <f>'Combined data'!K121-'Combined data'!J121</f>
        <v>67</v>
      </c>
      <c r="L121" s="90">
        <f>'Combined data'!L121-'Combined data'!K121</f>
        <v>29</v>
      </c>
      <c r="M121" s="90">
        <f>'Combined data'!M121-'Combined data'!L121</f>
        <v>37</v>
      </c>
      <c r="N121" s="90">
        <f>'Combined data'!N121-'Combined data'!M121</f>
        <v>58</v>
      </c>
      <c r="O121" s="90">
        <f>'Combined data'!O121-'Combined data'!N121</f>
        <v>37</v>
      </c>
      <c r="P121" s="90">
        <f>'Combined data'!P121-'Combined data'!O121</f>
        <v>35</v>
      </c>
      <c r="Q121" s="90">
        <f>'Combined data'!Q121-'Combined data'!P121</f>
        <v>34</v>
      </c>
      <c r="R121" s="90">
        <f>'Combined data'!R121-'Combined data'!Q121</f>
        <v>16</v>
      </c>
      <c r="S121" s="90">
        <f>'Combined data'!S121-'Combined data'!R121</f>
        <v>20</v>
      </c>
      <c r="T121" s="90">
        <f>'Combined data'!T121-'Combined data'!S121</f>
        <v>28</v>
      </c>
      <c r="U121" s="90">
        <f>'Combined data'!U121-'Combined data'!T121</f>
        <v>11</v>
      </c>
      <c r="V121" s="90">
        <f>'Combined data'!V121-'Combined data'!U121</f>
        <v>33</v>
      </c>
      <c r="W121" s="90">
        <f>'Combined data'!W121-'Combined data'!V121</f>
        <v>11</v>
      </c>
      <c r="X121" s="90">
        <f>'Combined data'!X121-'Combined data'!W121</f>
        <v>10</v>
      </c>
      <c r="Y121" s="90">
        <f>'Combined data'!Y121-'Combined data'!X121</f>
        <v>23</v>
      </c>
      <c r="Z121" s="90">
        <f>'Combined data'!Z121-'Combined data'!Y121</f>
        <v>19</v>
      </c>
      <c r="AA121" s="90">
        <f>'Combined data'!AA121-'Combined data'!Z121</f>
        <v>3</v>
      </c>
      <c r="AB121" s="90">
        <f>'Combined data'!AB121-'Combined data'!AA121</f>
        <v>8</v>
      </c>
      <c r="AC121" s="90">
        <f>'Combined data'!AC121-'Combined data'!AB121</f>
        <v>6</v>
      </c>
      <c r="AD121" s="90">
        <f>'Combined data'!AD121-'Combined data'!AC121</f>
        <v>31</v>
      </c>
      <c r="AE121" s="90">
        <f>'Combined data'!AE121-'Combined data'!AD121</f>
        <v>-1538</v>
      </c>
      <c r="AF121" s="90">
        <f>'Combined data'!AF121-'Combined data'!AE121</f>
        <v>0</v>
      </c>
      <c r="AG121" s="90">
        <f>'Combined data'!AG121-'Combined data'!AF121</f>
        <v>0</v>
      </c>
      <c r="AH121" s="90">
        <f>'Combined data'!AH121-'Combined data'!AG121</f>
        <v>0</v>
      </c>
      <c r="AI121" s="90">
        <f>'Combined data'!AI121-'Combined data'!AH121</f>
        <v>0</v>
      </c>
      <c r="AJ121" s="90">
        <f>'Combined data'!AJ121-'Combined data'!AI121</f>
        <v>0</v>
      </c>
      <c r="AK121" s="90">
        <f>'Combined data'!AK121-'Combined data'!AJ121</f>
        <v>0</v>
      </c>
      <c r="AL121" s="90">
        <f>'Combined data'!AL121-'Combined data'!AK121</f>
        <v>0</v>
      </c>
      <c r="AM121" s="90">
        <f>'Combined data'!AM121-'Combined data'!AL121</f>
        <v>0</v>
      </c>
      <c r="AN121" s="90">
        <f>'Combined data'!AN121-'Combined data'!AM121</f>
        <v>0</v>
      </c>
      <c r="AO121" s="90">
        <f>'Combined data'!AO121-'Combined data'!AN121</f>
        <v>0</v>
      </c>
      <c r="AP121" s="56">
        <f t="shared" si="72"/>
        <v>0</v>
      </c>
      <c r="AQ121" s="113"/>
      <c r="AR121" s="17">
        <f>'Combined data'!AR121</f>
        <v>422</v>
      </c>
      <c r="AS121" s="17">
        <f>'Combined data'!AS121-'Combined data'!AR121</f>
        <v>65</v>
      </c>
      <c r="AT121" s="17">
        <f>'Combined data'!AT121-'Combined data'!AS121</f>
        <v>103</v>
      </c>
      <c r="AU121" s="17">
        <f>'Combined data'!AU121-'Combined data'!AT121</f>
        <v>91</v>
      </c>
      <c r="AV121" s="17">
        <f>'Combined data'!AV121-'Combined data'!AU121</f>
        <v>64</v>
      </c>
      <c r="AW121" s="17">
        <f>'Combined data'!AW121-'Combined data'!AV121</f>
        <v>44</v>
      </c>
      <c r="AX121" s="17">
        <f>'Combined data'!AX121-'Combined data'!AW121</f>
        <v>61</v>
      </c>
      <c r="AY121" s="17">
        <f>'Combined data'!AY121-'Combined data'!AX121</f>
        <v>33</v>
      </c>
      <c r="AZ121" s="17">
        <f>'Combined data'!AZ121-'Combined data'!AY121</f>
        <v>47</v>
      </c>
      <c r="BA121" s="17">
        <f>'Combined data'!BA121-'Combined data'!AZ121</f>
        <v>41</v>
      </c>
      <c r="BB121" s="17">
        <f>'Combined data'!BB121-'Combined data'!BA121</f>
        <v>27</v>
      </c>
      <c r="BC121" s="17">
        <f>'Combined data'!BC121-'Combined data'!BB121</f>
        <v>42</v>
      </c>
      <c r="BD121" s="17">
        <f>'Combined data'!BD121-'Combined data'!BC121</f>
        <v>35</v>
      </c>
      <c r="BE121" s="17">
        <f>'Combined data'!BE121-'Combined data'!BD121</f>
        <v>22</v>
      </c>
      <c r="BF121" s="17">
        <f>'Combined data'!BF121-'Combined data'!BE121</f>
        <v>19</v>
      </c>
      <c r="BG121" s="17">
        <f>'Combined data'!BG121-'Combined data'!BF121</f>
        <v>25</v>
      </c>
      <c r="BH121" s="17">
        <f>'Combined data'!BH121-'Combined data'!BG121</f>
        <v>14</v>
      </c>
      <c r="BI121" s="17">
        <f>'Combined data'!BI121-'Combined data'!BH121</f>
        <v>11</v>
      </c>
      <c r="BJ121" s="17">
        <f>'Combined data'!BJ121-'Combined data'!BI121</f>
        <v>12</v>
      </c>
      <c r="BK121" s="17">
        <f>'Combined data'!BK121-'Combined data'!BJ121</f>
        <v>16</v>
      </c>
      <c r="BL121" s="17">
        <f>'Combined data'!BL121-'Combined data'!BK121</f>
        <v>18</v>
      </c>
      <c r="BM121" s="17">
        <f>'Combined data'!BM121-'Combined data'!BL121</f>
        <v>11</v>
      </c>
      <c r="BN121" s="17">
        <f>'Combined data'!BN121-'Combined data'!BM121</f>
        <v>12</v>
      </c>
      <c r="BO121" s="17">
        <f>'Combined data'!BO121-'Combined data'!BN121</f>
        <v>-1235</v>
      </c>
      <c r="BP121" s="17">
        <f>'Combined data'!BP121-'Combined data'!BO121</f>
        <v>0</v>
      </c>
      <c r="BQ121" s="17">
        <f>'Combined data'!BQ121-'Combined data'!BP121</f>
        <v>0</v>
      </c>
      <c r="BR121" s="17">
        <f>'Combined data'!BR121-'Combined data'!BQ121</f>
        <v>0</v>
      </c>
      <c r="BS121" s="17">
        <f>'Combined data'!BS121-'Combined data'!BR121</f>
        <v>0</v>
      </c>
      <c r="BT121" s="17">
        <f>'Combined data'!BT121-'Combined data'!BS121</f>
        <v>0</v>
      </c>
      <c r="BU121" s="17">
        <f>'Combined data'!BU121-'Combined data'!BT121</f>
        <v>0</v>
      </c>
      <c r="BV121" s="17">
        <f>'Combined data'!BV121-'Combined data'!BU121</f>
        <v>0</v>
      </c>
      <c r="BW121" s="17">
        <f>'Combined data'!BW121-'Combined data'!BV121</f>
        <v>0</v>
      </c>
      <c r="BX121" s="17">
        <f>'Combined data'!BX121-'Combined data'!BW121</f>
        <v>0</v>
      </c>
      <c r="BY121" s="17">
        <f>'Combined data'!BY121-'Combined data'!BX121</f>
        <v>0</v>
      </c>
      <c r="CB121" s="17">
        <f t="shared" si="74"/>
        <v>422</v>
      </c>
      <c r="CC121" s="17">
        <f t="shared" si="75"/>
        <v>65</v>
      </c>
      <c r="CD121" s="17">
        <f t="shared" si="76"/>
        <v>103</v>
      </c>
      <c r="CE121" s="17">
        <f t="shared" si="77"/>
        <v>91</v>
      </c>
      <c r="CF121" s="17">
        <f t="shared" si="78"/>
        <v>64</v>
      </c>
      <c r="CG121" s="17">
        <f t="shared" si="79"/>
        <v>44</v>
      </c>
      <c r="CH121" s="17">
        <f t="shared" si="80"/>
        <v>61</v>
      </c>
      <c r="CI121" s="17">
        <f t="shared" si="81"/>
        <v>33</v>
      </c>
      <c r="CJ121" s="17">
        <f t="shared" si="82"/>
        <v>47</v>
      </c>
      <c r="CK121" s="17">
        <f t="shared" si="83"/>
        <v>41</v>
      </c>
      <c r="CL121" s="17">
        <f t="shared" si="84"/>
        <v>27</v>
      </c>
      <c r="CM121" s="17">
        <f t="shared" si="85"/>
        <v>42</v>
      </c>
      <c r="CN121" s="17">
        <f t="shared" si="86"/>
        <v>35</v>
      </c>
      <c r="CO121" s="17">
        <f t="shared" si="87"/>
        <v>22</v>
      </c>
      <c r="CP121" s="17">
        <f t="shared" si="88"/>
        <v>19</v>
      </c>
      <c r="CQ121" s="17">
        <f t="shared" si="89"/>
        <v>25</v>
      </c>
      <c r="CR121" s="17">
        <f t="shared" si="90"/>
        <v>14</v>
      </c>
      <c r="CS121" s="17">
        <f t="shared" si="91"/>
        <v>11</v>
      </c>
      <c r="CT121" s="17">
        <f t="shared" si="92"/>
        <v>12</v>
      </c>
      <c r="CU121" s="17">
        <f t="shared" si="93"/>
        <v>16</v>
      </c>
      <c r="CV121" s="17">
        <f t="shared" si="94"/>
        <v>18</v>
      </c>
      <c r="CW121" s="17">
        <f t="shared" si="95"/>
        <v>11</v>
      </c>
      <c r="CX121" s="17">
        <f t="shared" ref="CX121:DI136" si="97">BN121</f>
        <v>12</v>
      </c>
      <c r="CY121" s="17">
        <f t="shared" si="97"/>
        <v>-1235</v>
      </c>
      <c r="CZ121" s="17">
        <f t="shared" si="97"/>
        <v>0</v>
      </c>
      <c r="DA121" s="17">
        <f t="shared" si="97"/>
        <v>0</v>
      </c>
      <c r="DB121" s="17">
        <f t="shared" si="97"/>
        <v>0</v>
      </c>
      <c r="DC121" s="17">
        <f t="shared" si="97"/>
        <v>0</v>
      </c>
      <c r="DD121" s="17">
        <f t="shared" si="97"/>
        <v>0</v>
      </c>
      <c r="DE121" s="17">
        <f t="shared" si="97"/>
        <v>0</v>
      </c>
      <c r="DF121" s="17">
        <f t="shared" si="97"/>
        <v>0</v>
      </c>
      <c r="DG121" s="17">
        <f t="shared" si="97"/>
        <v>0</v>
      </c>
      <c r="DH121" s="17">
        <f t="shared" si="97"/>
        <v>0</v>
      </c>
      <c r="DI121" s="17">
        <f t="shared" si="97"/>
        <v>0</v>
      </c>
    </row>
    <row r="122" spans="1:113" ht="15.75" x14ac:dyDescent="0.25">
      <c r="A122" s="4" t="s">
        <v>233</v>
      </c>
      <c r="B122" s="6" t="s">
        <v>234</v>
      </c>
      <c r="H122" s="90">
        <f>'Combined data'!H122</f>
        <v>247</v>
      </c>
      <c r="I122" s="90">
        <f>'Combined data'!I122-'Combined data'!H122</f>
        <v>10</v>
      </c>
      <c r="J122" s="90">
        <f>'Combined data'!J122-'Combined data'!I122</f>
        <v>10</v>
      </c>
      <c r="K122" s="90">
        <f>'Combined data'!K122-'Combined data'!J122</f>
        <v>24</v>
      </c>
      <c r="L122" s="90">
        <f>'Combined data'!L122-'Combined data'!K122</f>
        <v>6</v>
      </c>
      <c r="M122" s="90">
        <f>'Combined data'!M122-'Combined data'!L122</f>
        <v>2</v>
      </c>
      <c r="N122" s="90">
        <f>'Combined data'!N122-'Combined data'!M122</f>
        <v>11</v>
      </c>
      <c r="O122" s="90">
        <f>'Combined data'!O122-'Combined data'!N122</f>
        <v>10</v>
      </c>
      <c r="P122" s="90">
        <f>'Combined data'!P122-'Combined data'!O122</f>
        <v>8</v>
      </c>
      <c r="Q122" s="90">
        <f>'Combined data'!Q122-'Combined data'!P122</f>
        <v>12</v>
      </c>
      <c r="R122" s="90">
        <f>'Combined data'!R122-'Combined data'!Q122</f>
        <v>5</v>
      </c>
      <c r="S122" s="90">
        <f>'Combined data'!S122-'Combined data'!R122</f>
        <v>6</v>
      </c>
      <c r="T122" s="90">
        <f>'Combined data'!T122-'Combined data'!S122</f>
        <v>8</v>
      </c>
      <c r="U122" s="90">
        <f>'Combined data'!U122-'Combined data'!T122</f>
        <v>12</v>
      </c>
      <c r="V122" s="90">
        <f>'Combined data'!V122-'Combined data'!U122</f>
        <v>9</v>
      </c>
      <c r="W122" s="90">
        <f>'Combined data'!W122-'Combined data'!V122</f>
        <v>6</v>
      </c>
      <c r="X122" s="90">
        <f>'Combined data'!X122-'Combined data'!W122</f>
        <v>1</v>
      </c>
      <c r="Y122" s="90">
        <f>'Combined data'!Y122-'Combined data'!X122</f>
        <v>9</v>
      </c>
      <c r="Z122" s="90">
        <f>'Combined data'!Z122-'Combined data'!Y122</f>
        <v>17</v>
      </c>
      <c r="AA122" s="90">
        <f>'Combined data'!AA122-'Combined data'!Z122</f>
        <v>6</v>
      </c>
      <c r="AB122" s="90">
        <f>'Combined data'!AB122-'Combined data'!AA122</f>
        <v>3</v>
      </c>
      <c r="AC122" s="90">
        <f>'Combined data'!AC122-'Combined data'!AB122</f>
        <v>-2</v>
      </c>
      <c r="AD122" s="90">
        <f>'Combined data'!AD122-'Combined data'!AC122</f>
        <v>5</v>
      </c>
      <c r="AE122" s="90">
        <f>'Combined data'!AE122-'Combined data'!AD122</f>
        <v>-425</v>
      </c>
      <c r="AF122" s="90">
        <f>'Combined data'!AF122-'Combined data'!AE122</f>
        <v>0</v>
      </c>
      <c r="AG122" s="90">
        <f>'Combined data'!AG122-'Combined data'!AF122</f>
        <v>0</v>
      </c>
      <c r="AH122" s="90">
        <f>'Combined data'!AH122-'Combined data'!AG122</f>
        <v>0</v>
      </c>
      <c r="AI122" s="90">
        <f>'Combined data'!AI122-'Combined data'!AH122</f>
        <v>0</v>
      </c>
      <c r="AJ122" s="90">
        <f>'Combined data'!AJ122-'Combined data'!AI122</f>
        <v>0</v>
      </c>
      <c r="AK122" s="90">
        <f>'Combined data'!AK122-'Combined data'!AJ122</f>
        <v>0</v>
      </c>
      <c r="AL122" s="90">
        <f>'Combined data'!AL122-'Combined data'!AK122</f>
        <v>0</v>
      </c>
      <c r="AM122" s="90">
        <f>'Combined data'!AM122-'Combined data'!AL122</f>
        <v>0</v>
      </c>
      <c r="AN122" s="90">
        <f>'Combined data'!AN122-'Combined data'!AM122</f>
        <v>0</v>
      </c>
      <c r="AO122" s="90">
        <f>'Combined data'!AO122-'Combined data'!AN122</f>
        <v>0</v>
      </c>
      <c r="AP122" s="56">
        <f t="shared" si="72"/>
        <v>0</v>
      </c>
      <c r="AQ122" s="113"/>
      <c r="AR122" s="17">
        <f>'Combined data'!AR122</f>
        <v>124</v>
      </c>
      <c r="AS122" s="17">
        <f>'Combined data'!AS122-'Combined data'!AR122</f>
        <v>26</v>
      </c>
      <c r="AT122" s="17">
        <f>'Combined data'!AT122-'Combined data'!AS122</f>
        <v>13</v>
      </c>
      <c r="AU122" s="17">
        <f>'Combined data'!AU122-'Combined data'!AT122</f>
        <v>37</v>
      </c>
      <c r="AV122" s="17">
        <f>'Combined data'!AV122-'Combined data'!AU122</f>
        <v>11</v>
      </c>
      <c r="AW122" s="17">
        <f>'Combined data'!AW122-'Combined data'!AV122</f>
        <v>4</v>
      </c>
      <c r="AX122" s="17">
        <f>'Combined data'!AX122-'Combined data'!AW122</f>
        <v>28</v>
      </c>
      <c r="AY122" s="17">
        <f>'Combined data'!AY122-'Combined data'!AX122</f>
        <v>12</v>
      </c>
      <c r="AZ122" s="17">
        <f>'Combined data'!AZ122-'Combined data'!AY122</f>
        <v>15</v>
      </c>
      <c r="BA122" s="17">
        <f>'Combined data'!BA122-'Combined data'!AZ122</f>
        <v>5</v>
      </c>
      <c r="BB122" s="17">
        <f>'Combined data'!BB122-'Combined data'!BA122</f>
        <v>6</v>
      </c>
      <c r="BC122" s="17">
        <f>'Combined data'!BC122-'Combined data'!BB122</f>
        <v>3</v>
      </c>
      <c r="BD122" s="17">
        <f>'Combined data'!BD122-'Combined data'!BC122</f>
        <v>7</v>
      </c>
      <c r="BE122" s="17">
        <f>'Combined data'!BE122-'Combined data'!BD122</f>
        <v>3</v>
      </c>
      <c r="BF122" s="17">
        <f>'Combined data'!BF122-'Combined data'!BE122</f>
        <v>3</v>
      </c>
      <c r="BG122" s="17">
        <f>'Combined data'!BG122-'Combined data'!BF122</f>
        <v>6</v>
      </c>
      <c r="BH122" s="17">
        <f>'Combined data'!BH122-'Combined data'!BG122</f>
        <v>5</v>
      </c>
      <c r="BI122" s="17">
        <f>'Combined data'!BI122-'Combined data'!BH122</f>
        <v>4</v>
      </c>
      <c r="BJ122" s="17">
        <f>'Combined data'!BJ122-'Combined data'!BI122</f>
        <v>11</v>
      </c>
      <c r="BK122" s="17">
        <f>'Combined data'!BK122-'Combined data'!BJ122</f>
        <v>9</v>
      </c>
      <c r="BL122" s="17">
        <f>'Combined data'!BL122-'Combined data'!BK122</f>
        <v>22</v>
      </c>
      <c r="BM122" s="17">
        <f>'Combined data'!BM122-'Combined data'!BL122</f>
        <v>-3</v>
      </c>
      <c r="BN122" s="17">
        <f>'Combined data'!BN122-'Combined data'!BM122</f>
        <v>8</v>
      </c>
      <c r="BO122" s="17">
        <f>'Combined data'!BO122-'Combined data'!BN122</f>
        <v>-359</v>
      </c>
      <c r="BP122" s="17">
        <f>'Combined data'!BP122-'Combined data'!BO122</f>
        <v>0</v>
      </c>
      <c r="BQ122" s="17">
        <f>'Combined data'!BQ122-'Combined data'!BP122</f>
        <v>0</v>
      </c>
      <c r="BR122" s="17">
        <f>'Combined data'!BR122-'Combined data'!BQ122</f>
        <v>0</v>
      </c>
      <c r="BS122" s="17">
        <f>'Combined data'!BS122-'Combined data'!BR122</f>
        <v>0</v>
      </c>
      <c r="BT122" s="17">
        <f>'Combined data'!BT122-'Combined data'!BS122</f>
        <v>0</v>
      </c>
      <c r="BU122" s="17">
        <f>'Combined data'!BU122-'Combined data'!BT122</f>
        <v>0</v>
      </c>
      <c r="BV122" s="17">
        <f>'Combined data'!BV122-'Combined data'!BU122</f>
        <v>0</v>
      </c>
      <c r="BW122" s="17">
        <f>'Combined data'!BW122-'Combined data'!BV122</f>
        <v>0</v>
      </c>
      <c r="BX122" s="17">
        <f>'Combined data'!BX122-'Combined data'!BW122</f>
        <v>0</v>
      </c>
      <c r="BY122" s="17">
        <f>'Combined data'!BY122-'Combined data'!BX122</f>
        <v>0</v>
      </c>
      <c r="CB122" s="17">
        <f t="shared" si="74"/>
        <v>124</v>
      </c>
      <c r="CC122" s="17">
        <f t="shared" si="75"/>
        <v>26</v>
      </c>
      <c r="CD122" s="17">
        <f t="shared" si="76"/>
        <v>13</v>
      </c>
      <c r="CE122" s="17">
        <f t="shared" si="77"/>
        <v>37</v>
      </c>
      <c r="CF122" s="17">
        <f t="shared" si="78"/>
        <v>11</v>
      </c>
      <c r="CG122" s="17">
        <f t="shared" si="79"/>
        <v>4</v>
      </c>
      <c r="CH122" s="17">
        <f t="shared" si="80"/>
        <v>28</v>
      </c>
      <c r="CI122" s="17">
        <f t="shared" si="81"/>
        <v>12</v>
      </c>
      <c r="CJ122" s="17">
        <f t="shared" si="82"/>
        <v>15</v>
      </c>
      <c r="CK122" s="17">
        <f t="shared" si="83"/>
        <v>5</v>
      </c>
      <c r="CL122" s="17">
        <f t="shared" si="84"/>
        <v>6</v>
      </c>
      <c r="CM122" s="17">
        <f t="shared" si="85"/>
        <v>3</v>
      </c>
      <c r="CN122" s="17">
        <f t="shared" si="86"/>
        <v>7</v>
      </c>
      <c r="CO122" s="17">
        <f t="shared" si="87"/>
        <v>3</v>
      </c>
      <c r="CP122" s="17">
        <f t="shared" si="88"/>
        <v>3</v>
      </c>
      <c r="CQ122" s="17">
        <f t="shared" si="89"/>
        <v>6</v>
      </c>
      <c r="CR122" s="17">
        <f t="shared" si="90"/>
        <v>5</v>
      </c>
      <c r="CS122" s="17">
        <f t="shared" si="91"/>
        <v>4</v>
      </c>
      <c r="CT122" s="17">
        <f t="shared" si="92"/>
        <v>11</v>
      </c>
      <c r="CU122" s="17">
        <f t="shared" si="93"/>
        <v>9</v>
      </c>
      <c r="CV122" s="17">
        <f t="shared" si="94"/>
        <v>22</v>
      </c>
      <c r="CW122" s="17">
        <f t="shared" si="95"/>
        <v>-3</v>
      </c>
      <c r="CX122" s="17">
        <f t="shared" si="97"/>
        <v>8</v>
      </c>
      <c r="CY122" s="17">
        <f t="shared" si="97"/>
        <v>-359</v>
      </c>
      <c r="CZ122" s="17">
        <f t="shared" si="97"/>
        <v>0</v>
      </c>
      <c r="DA122" s="17">
        <f t="shared" si="97"/>
        <v>0</v>
      </c>
      <c r="DB122" s="17">
        <f t="shared" si="97"/>
        <v>0</v>
      </c>
      <c r="DC122" s="17">
        <f t="shared" si="97"/>
        <v>0</v>
      </c>
      <c r="DD122" s="17">
        <f t="shared" si="97"/>
        <v>0</v>
      </c>
      <c r="DE122" s="17">
        <f t="shared" si="97"/>
        <v>0</v>
      </c>
      <c r="DF122" s="17">
        <f t="shared" si="97"/>
        <v>0</v>
      </c>
      <c r="DG122" s="17">
        <f t="shared" si="97"/>
        <v>0</v>
      </c>
      <c r="DH122" s="17">
        <f t="shared" si="97"/>
        <v>0</v>
      </c>
      <c r="DI122" s="17">
        <f t="shared" si="97"/>
        <v>0</v>
      </c>
    </row>
    <row r="123" spans="1:113" ht="15.75" x14ac:dyDescent="0.25">
      <c r="A123" s="4" t="s">
        <v>235</v>
      </c>
      <c r="B123" s="6" t="s">
        <v>236</v>
      </c>
      <c r="H123" s="90">
        <f>'Combined data'!H123</f>
        <v>40</v>
      </c>
      <c r="I123" s="90">
        <f>'Combined data'!I123-'Combined data'!H123</f>
        <v>1</v>
      </c>
      <c r="J123" s="90">
        <f>'Combined data'!J123-'Combined data'!I123</f>
        <v>2</v>
      </c>
      <c r="K123" s="90">
        <f>'Combined data'!K123-'Combined data'!J123</f>
        <v>1</v>
      </c>
      <c r="L123" s="90">
        <f>'Combined data'!L123-'Combined data'!K123</f>
        <v>2</v>
      </c>
      <c r="M123" s="90">
        <f>'Combined data'!M123-'Combined data'!L123</f>
        <v>3</v>
      </c>
      <c r="N123" s="90">
        <f>'Combined data'!N123-'Combined data'!M123</f>
        <v>4</v>
      </c>
      <c r="O123" s="90">
        <f>'Combined data'!O123-'Combined data'!N123</f>
        <v>0</v>
      </c>
      <c r="P123" s="90">
        <f>'Combined data'!P123-'Combined data'!O123</f>
        <v>2</v>
      </c>
      <c r="Q123" s="90">
        <f>'Combined data'!Q123-'Combined data'!P123</f>
        <v>8</v>
      </c>
      <c r="R123" s="90">
        <f>'Combined data'!R123-'Combined data'!Q123</f>
        <v>2</v>
      </c>
      <c r="S123" s="90">
        <f>'Combined data'!S123-'Combined data'!R123</f>
        <v>2</v>
      </c>
      <c r="T123" s="90">
        <f>'Combined data'!T123-'Combined data'!S123</f>
        <v>1</v>
      </c>
      <c r="U123" s="90">
        <f>'Combined data'!U123-'Combined data'!T123</f>
        <v>2</v>
      </c>
      <c r="V123" s="90">
        <f>'Combined data'!V123-'Combined data'!U123</f>
        <v>0</v>
      </c>
      <c r="W123" s="90">
        <f>'Combined data'!W123-'Combined data'!V123</f>
        <v>0</v>
      </c>
      <c r="X123" s="90">
        <f>'Combined data'!X123-'Combined data'!W123</f>
        <v>1</v>
      </c>
      <c r="Y123" s="90">
        <f>'Combined data'!Y123-'Combined data'!X123</f>
        <v>0</v>
      </c>
      <c r="Z123" s="90">
        <f>'Combined data'!Z123-'Combined data'!Y123</f>
        <v>0</v>
      </c>
      <c r="AA123" s="90">
        <f>'Combined data'!AA123-'Combined data'!Z123</f>
        <v>0</v>
      </c>
      <c r="AB123" s="90">
        <f>'Combined data'!AB123-'Combined data'!AA123</f>
        <v>0</v>
      </c>
      <c r="AC123" s="90">
        <f>'Combined data'!AC123-'Combined data'!AB123</f>
        <v>0</v>
      </c>
      <c r="AD123" s="90">
        <f>'Combined data'!AD123-'Combined data'!AC123</f>
        <v>2</v>
      </c>
      <c r="AE123" s="90">
        <f>'Combined data'!AE123-'Combined data'!AD123</f>
        <v>-73</v>
      </c>
      <c r="AF123" s="90">
        <f>'Combined data'!AF123-'Combined data'!AE123</f>
        <v>0</v>
      </c>
      <c r="AG123" s="90">
        <f>'Combined data'!AG123-'Combined data'!AF123</f>
        <v>0</v>
      </c>
      <c r="AH123" s="90">
        <f>'Combined data'!AH123-'Combined data'!AG123</f>
        <v>0</v>
      </c>
      <c r="AI123" s="90">
        <f>'Combined data'!AI123-'Combined data'!AH123</f>
        <v>0</v>
      </c>
      <c r="AJ123" s="90">
        <f>'Combined data'!AJ123-'Combined data'!AI123</f>
        <v>0</v>
      </c>
      <c r="AK123" s="90">
        <f>'Combined data'!AK123-'Combined data'!AJ123</f>
        <v>0</v>
      </c>
      <c r="AL123" s="90">
        <f>'Combined data'!AL123-'Combined data'!AK123</f>
        <v>0</v>
      </c>
      <c r="AM123" s="90">
        <f>'Combined data'!AM123-'Combined data'!AL123</f>
        <v>0</v>
      </c>
      <c r="AN123" s="90">
        <f>'Combined data'!AN123-'Combined data'!AM123</f>
        <v>0</v>
      </c>
      <c r="AO123" s="90">
        <f>'Combined data'!AO123-'Combined data'!AN123</f>
        <v>0</v>
      </c>
      <c r="AP123" s="56">
        <f t="shared" si="72"/>
        <v>0</v>
      </c>
      <c r="AQ123" s="113"/>
      <c r="AR123" s="17">
        <f>'Combined data'!AR123</f>
        <v>20</v>
      </c>
      <c r="AS123" s="17">
        <f>'Combined data'!AS123-'Combined data'!AR123</f>
        <v>5</v>
      </c>
      <c r="AT123" s="17">
        <f>'Combined data'!AT123-'Combined data'!AS123</f>
        <v>0</v>
      </c>
      <c r="AU123" s="17">
        <f>'Combined data'!AU123-'Combined data'!AT123</f>
        <v>0</v>
      </c>
      <c r="AV123" s="17">
        <f>'Combined data'!AV123-'Combined data'!AU123</f>
        <v>5</v>
      </c>
      <c r="AW123" s="17">
        <f>'Combined data'!AW123-'Combined data'!AV123</f>
        <v>1</v>
      </c>
      <c r="AX123" s="17">
        <f>'Combined data'!AX123-'Combined data'!AW123</f>
        <v>9</v>
      </c>
      <c r="AY123" s="17">
        <f>'Combined data'!AY123-'Combined data'!AX123</f>
        <v>0</v>
      </c>
      <c r="AZ123" s="17">
        <f>'Combined data'!AZ123-'Combined data'!AY123</f>
        <v>0</v>
      </c>
      <c r="BA123" s="17">
        <f>'Combined data'!BA123-'Combined data'!AZ123</f>
        <v>0</v>
      </c>
      <c r="BB123" s="17">
        <f>'Combined data'!BB123-'Combined data'!BA123</f>
        <v>5</v>
      </c>
      <c r="BC123" s="17">
        <f>'Combined data'!BC123-'Combined data'!BB123</f>
        <v>0</v>
      </c>
      <c r="BD123" s="17">
        <f>'Combined data'!BD123-'Combined data'!BC123</f>
        <v>2</v>
      </c>
      <c r="BE123" s="17">
        <f>'Combined data'!BE123-'Combined data'!BD123</f>
        <v>5</v>
      </c>
      <c r="BF123" s="17">
        <f>'Combined data'!BF123-'Combined data'!BE123</f>
        <v>1</v>
      </c>
      <c r="BG123" s="17">
        <f>'Combined data'!BG123-'Combined data'!BF123</f>
        <v>0</v>
      </c>
      <c r="BH123" s="17">
        <f>'Combined data'!BH123-'Combined data'!BG123</f>
        <v>1</v>
      </c>
      <c r="BI123" s="17">
        <f>'Combined data'!BI123-'Combined data'!BH123</f>
        <v>2</v>
      </c>
      <c r="BJ123" s="17">
        <f>'Combined data'!BJ123-'Combined data'!BI123</f>
        <v>2</v>
      </c>
      <c r="BK123" s="17">
        <f>'Combined data'!BK123-'Combined data'!BJ123</f>
        <v>0</v>
      </c>
      <c r="BL123" s="17">
        <f>'Combined data'!BL123-'Combined data'!BK123</f>
        <v>0</v>
      </c>
      <c r="BM123" s="17">
        <f>'Combined data'!BM123-'Combined data'!BL123</f>
        <v>1</v>
      </c>
      <c r="BN123" s="17">
        <f>'Combined data'!BN123-'Combined data'!BM123</f>
        <v>0</v>
      </c>
      <c r="BO123" s="17">
        <f>'Combined data'!BO123-'Combined data'!BN123</f>
        <v>-59</v>
      </c>
      <c r="BP123" s="17">
        <f>'Combined data'!BP123-'Combined data'!BO123</f>
        <v>0</v>
      </c>
      <c r="BQ123" s="17">
        <f>'Combined data'!BQ123-'Combined data'!BP123</f>
        <v>0</v>
      </c>
      <c r="BR123" s="17">
        <f>'Combined data'!BR123-'Combined data'!BQ123</f>
        <v>0</v>
      </c>
      <c r="BS123" s="17">
        <f>'Combined data'!BS123-'Combined data'!BR123</f>
        <v>0</v>
      </c>
      <c r="BT123" s="17">
        <f>'Combined data'!BT123-'Combined data'!BS123</f>
        <v>0</v>
      </c>
      <c r="BU123" s="17">
        <f>'Combined data'!BU123-'Combined data'!BT123</f>
        <v>0</v>
      </c>
      <c r="BV123" s="17">
        <f>'Combined data'!BV123-'Combined data'!BU123</f>
        <v>0</v>
      </c>
      <c r="BW123" s="17">
        <f>'Combined data'!BW123-'Combined data'!BV123</f>
        <v>0</v>
      </c>
      <c r="BX123" s="17">
        <f>'Combined data'!BX123-'Combined data'!BW123</f>
        <v>0</v>
      </c>
      <c r="BY123" s="17">
        <f>'Combined data'!BY123-'Combined data'!BX123</f>
        <v>0</v>
      </c>
      <c r="CB123" s="17">
        <f t="shared" si="74"/>
        <v>20</v>
      </c>
      <c r="CC123" s="17">
        <f t="shared" si="75"/>
        <v>5</v>
      </c>
      <c r="CD123" s="17">
        <f t="shared" si="76"/>
        <v>0</v>
      </c>
      <c r="CE123" s="17">
        <f t="shared" si="77"/>
        <v>0</v>
      </c>
      <c r="CF123" s="17">
        <f t="shared" si="78"/>
        <v>5</v>
      </c>
      <c r="CG123" s="17">
        <f t="shared" si="79"/>
        <v>1</v>
      </c>
      <c r="CH123" s="17">
        <f t="shared" si="80"/>
        <v>9</v>
      </c>
      <c r="CI123" s="17">
        <f t="shared" si="81"/>
        <v>0</v>
      </c>
      <c r="CJ123" s="17">
        <f t="shared" si="82"/>
        <v>0</v>
      </c>
      <c r="CK123" s="17">
        <f t="shared" si="83"/>
        <v>0</v>
      </c>
      <c r="CL123" s="17">
        <f t="shared" si="84"/>
        <v>5</v>
      </c>
      <c r="CM123" s="17">
        <f t="shared" si="85"/>
        <v>0</v>
      </c>
      <c r="CN123" s="17">
        <f t="shared" si="86"/>
        <v>2</v>
      </c>
      <c r="CO123" s="17">
        <f t="shared" si="87"/>
        <v>5</v>
      </c>
      <c r="CP123" s="17">
        <f t="shared" si="88"/>
        <v>1</v>
      </c>
      <c r="CQ123" s="17">
        <f t="shared" si="89"/>
        <v>0</v>
      </c>
      <c r="CR123" s="17">
        <f t="shared" si="90"/>
        <v>1</v>
      </c>
      <c r="CS123" s="17">
        <f t="shared" si="91"/>
        <v>2</v>
      </c>
      <c r="CT123" s="17">
        <f t="shared" si="92"/>
        <v>2</v>
      </c>
      <c r="CU123" s="17">
        <f t="shared" si="93"/>
        <v>0</v>
      </c>
      <c r="CV123" s="17">
        <f t="shared" si="94"/>
        <v>0</v>
      </c>
      <c r="CW123" s="17">
        <f t="shared" si="95"/>
        <v>1</v>
      </c>
      <c r="CX123" s="17">
        <f t="shared" si="97"/>
        <v>0</v>
      </c>
      <c r="CY123" s="17">
        <f t="shared" si="97"/>
        <v>-59</v>
      </c>
      <c r="CZ123" s="17">
        <f t="shared" si="97"/>
        <v>0</v>
      </c>
      <c r="DA123" s="17">
        <f t="shared" si="97"/>
        <v>0</v>
      </c>
      <c r="DB123" s="17">
        <f t="shared" si="97"/>
        <v>0</v>
      </c>
      <c r="DC123" s="17">
        <f t="shared" si="97"/>
        <v>0</v>
      </c>
      <c r="DD123" s="17">
        <f t="shared" si="97"/>
        <v>0</v>
      </c>
      <c r="DE123" s="17">
        <f t="shared" si="97"/>
        <v>0</v>
      </c>
      <c r="DF123" s="17">
        <f t="shared" si="97"/>
        <v>0</v>
      </c>
      <c r="DG123" s="17">
        <f t="shared" si="97"/>
        <v>0</v>
      </c>
      <c r="DH123" s="17">
        <f t="shared" si="97"/>
        <v>0</v>
      </c>
      <c r="DI123" s="17">
        <f t="shared" si="97"/>
        <v>0</v>
      </c>
    </row>
    <row r="124" spans="1:113" ht="15.75" x14ac:dyDescent="0.25">
      <c r="A124" s="4" t="s">
        <v>237</v>
      </c>
      <c r="B124" s="6" t="s">
        <v>238</v>
      </c>
      <c r="H124" s="90">
        <f>'Combined data'!H124</f>
        <v>144</v>
      </c>
      <c r="I124" s="90">
        <f>'Combined data'!I124-'Combined data'!H124</f>
        <v>9</v>
      </c>
      <c r="J124" s="90">
        <f>'Combined data'!J124-'Combined data'!I124</f>
        <v>6</v>
      </c>
      <c r="K124" s="90">
        <f>'Combined data'!K124-'Combined data'!J124</f>
        <v>16</v>
      </c>
      <c r="L124" s="90">
        <f>'Combined data'!L124-'Combined data'!K124</f>
        <v>2</v>
      </c>
      <c r="M124" s="90">
        <f>'Combined data'!M124-'Combined data'!L124</f>
        <v>4</v>
      </c>
      <c r="N124" s="90">
        <f>'Combined data'!N124-'Combined data'!M124</f>
        <v>3</v>
      </c>
      <c r="O124" s="90">
        <f>'Combined data'!O124-'Combined data'!N124</f>
        <v>6</v>
      </c>
      <c r="P124" s="90">
        <f>'Combined data'!P124-'Combined data'!O124</f>
        <v>12</v>
      </c>
      <c r="Q124" s="90">
        <f>'Combined data'!Q124-'Combined data'!P124</f>
        <v>1</v>
      </c>
      <c r="R124" s="90">
        <f>'Combined data'!R124-'Combined data'!Q124</f>
        <v>7</v>
      </c>
      <c r="S124" s="90">
        <f>'Combined data'!S124-'Combined data'!R124</f>
        <v>3</v>
      </c>
      <c r="T124" s="90">
        <f>'Combined data'!T124-'Combined data'!S124</f>
        <v>9</v>
      </c>
      <c r="U124" s="90">
        <f>'Combined data'!U124-'Combined data'!T124</f>
        <v>1</v>
      </c>
      <c r="V124" s="90">
        <f>'Combined data'!V124-'Combined data'!U124</f>
        <v>1</v>
      </c>
      <c r="W124" s="90">
        <f>'Combined data'!W124-'Combined data'!V124</f>
        <v>1</v>
      </c>
      <c r="X124" s="90">
        <f>'Combined data'!X124-'Combined data'!W124</f>
        <v>0</v>
      </c>
      <c r="Y124" s="90">
        <f>'Combined data'!Y124-'Combined data'!X124</f>
        <v>2</v>
      </c>
      <c r="Z124" s="90">
        <f>'Combined data'!Z124-'Combined data'!Y124</f>
        <v>3</v>
      </c>
      <c r="AA124" s="90">
        <f>'Combined data'!AA124-'Combined data'!Z124</f>
        <v>1</v>
      </c>
      <c r="AB124" s="90">
        <f>'Combined data'!AB124-'Combined data'!AA124</f>
        <v>3</v>
      </c>
      <c r="AC124" s="90">
        <f>'Combined data'!AC124-'Combined data'!AB124</f>
        <v>0</v>
      </c>
      <c r="AD124" s="90">
        <f>'Combined data'!AD124-'Combined data'!AC124</f>
        <v>3</v>
      </c>
      <c r="AE124" s="90">
        <f>'Combined data'!AE124-'Combined data'!AD124</f>
        <v>-237</v>
      </c>
      <c r="AF124" s="90">
        <f>'Combined data'!AF124-'Combined data'!AE124</f>
        <v>0</v>
      </c>
      <c r="AG124" s="90">
        <f>'Combined data'!AG124-'Combined data'!AF124</f>
        <v>0</v>
      </c>
      <c r="AH124" s="90">
        <f>'Combined data'!AH124-'Combined data'!AG124</f>
        <v>0</v>
      </c>
      <c r="AI124" s="90">
        <f>'Combined data'!AI124-'Combined data'!AH124</f>
        <v>0</v>
      </c>
      <c r="AJ124" s="90">
        <f>'Combined data'!AJ124-'Combined data'!AI124</f>
        <v>0</v>
      </c>
      <c r="AK124" s="90">
        <f>'Combined data'!AK124-'Combined data'!AJ124</f>
        <v>0</v>
      </c>
      <c r="AL124" s="90">
        <f>'Combined data'!AL124-'Combined data'!AK124</f>
        <v>0</v>
      </c>
      <c r="AM124" s="90">
        <f>'Combined data'!AM124-'Combined data'!AL124</f>
        <v>0</v>
      </c>
      <c r="AN124" s="90">
        <f>'Combined data'!AN124-'Combined data'!AM124</f>
        <v>0</v>
      </c>
      <c r="AO124" s="90">
        <f>'Combined data'!AO124-'Combined data'!AN124</f>
        <v>0</v>
      </c>
      <c r="AP124" s="56">
        <f t="shared" si="72"/>
        <v>0</v>
      </c>
      <c r="AQ124" s="113"/>
      <c r="AR124" s="17">
        <f>'Combined data'!AR124</f>
        <v>75</v>
      </c>
      <c r="AS124" s="17">
        <f>'Combined data'!AS124-'Combined data'!AR124</f>
        <v>22</v>
      </c>
      <c r="AT124" s="17">
        <f>'Combined data'!AT124-'Combined data'!AS124</f>
        <v>4</v>
      </c>
      <c r="AU124" s="17">
        <f>'Combined data'!AU124-'Combined data'!AT124</f>
        <v>14</v>
      </c>
      <c r="AV124" s="17">
        <f>'Combined data'!AV124-'Combined data'!AU124</f>
        <v>11</v>
      </c>
      <c r="AW124" s="17">
        <f>'Combined data'!AW124-'Combined data'!AV124</f>
        <v>9</v>
      </c>
      <c r="AX124" s="17">
        <f>'Combined data'!AX124-'Combined data'!AW124</f>
        <v>8</v>
      </c>
      <c r="AY124" s="17">
        <f>'Combined data'!AY124-'Combined data'!AX124</f>
        <v>1</v>
      </c>
      <c r="AZ124" s="17">
        <f>'Combined data'!AZ124-'Combined data'!AY124</f>
        <v>9</v>
      </c>
      <c r="BA124" s="17">
        <f>'Combined data'!BA124-'Combined data'!AZ124</f>
        <v>2</v>
      </c>
      <c r="BB124" s="17">
        <f>'Combined data'!BB124-'Combined data'!BA124</f>
        <v>7</v>
      </c>
      <c r="BC124" s="17">
        <f>'Combined data'!BC124-'Combined data'!BB124</f>
        <v>11</v>
      </c>
      <c r="BD124" s="17">
        <f>'Combined data'!BD124-'Combined data'!BC124</f>
        <v>10</v>
      </c>
      <c r="BE124" s="17">
        <f>'Combined data'!BE124-'Combined data'!BD124</f>
        <v>4</v>
      </c>
      <c r="BF124" s="17">
        <f>'Combined data'!BF124-'Combined data'!BE124</f>
        <v>1</v>
      </c>
      <c r="BG124" s="17">
        <f>'Combined data'!BG124-'Combined data'!BF124</f>
        <v>1</v>
      </c>
      <c r="BH124" s="17">
        <f>'Combined data'!BH124-'Combined data'!BG124</f>
        <v>1</v>
      </c>
      <c r="BI124" s="17">
        <f>'Combined data'!BI124-'Combined data'!BH124</f>
        <v>3</v>
      </c>
      <c r="BJ124" s="17">
        <f>'Combined data'!BJ124-'Combined data'!BI124</f>
        <v>0</v>
      </c>
      <c r="BK124" s="17">
        <f>'Combined data'!BK124-'Combined data'!BJ124</f>
        <v>1</v>
      </c>
      <c r="BL124" s="17">
        <f>'Combined data'!BL124-'Combined data'!BK124</f>
        <v>4</v>
      </c>
      <c r="BM124" s="17">
        <f>'Combined data'!BM124-'Combined data'!BL124</f>
        <v>-3</v>
      </c>
      <c r="BN124" s="17">
        <f>'Combined data'!BN124-'Combined data'!BM124</f>
        <v>2</v>
      </c>
      <c r="BO124" s="17">
        <f>'Combined data'!BO124-'Combined data'!BN124</f>
        <v>-197</v>
      </c>
      <c r="BP124" s="17">
        <f>'Combined data'!BP124-'Combined data'!BO124</f>
        <v>0</v>
      </c>
      <c r="BQ124" s="17">
        <f>'Combined data'!BQ124-'Combined data'!BP124</f>
        <v>0</v>
      </c>
      <c r="BR124" s="17">
        <f>'Combined data'!BR124-'Combined data'!BQ124</f>
        <v>0</v>
      </c>
      <c r="BS124" s="17">
        <f>'Combined data'!BS124-'Combined data'!BR124</f>
        <v>0</v>
      </c>
      <c r="BT124" s="17">
        <f>'Combined data'!BT124-'Combined data'!BS124</f>
        <v>0</v>
      </c>
      <c r="BU124" s="17">
        <f>'Combined data'!BU124-'Combined data'!BT124</f>
        <v>0</v>
      </c>
      <c r="BV124" s="17">
        <f>'Combined data'!BV124-'Combined data'!BU124</f>
        <v>0</v>
      </c>
      <c r="BW124" s="17">
        <f>'Combined data'!BW124-'Combined data'!BV124</f>
        <v>0</v>
      </c>
      <c r="BX124" s="17">
        <f>'Combined data'!BX124-'Combined data'!BW124</f>
        <v>0</v>
      </c>
      <c r="BY124" s="17">
        <f>'Combined data'!BY124-'Combined data'!BX124</f>
        <v>0</v>
      </c>
      <c r="CB124" s="17">
        <f t="shared" si="74"/>
        <v>75</v>
      </c>
      <c r="CC124" s="17">
        <f t="shared" si="75"/>
        <v>22</v>
      </c>
      <c r="CD124" s="17">
        <f t="shared" si="76"/>
        <v>4</v>
      </c>
      <c r="CE124" s="17">
        <f t="shared" si="77"/>
        <v>14</v>
      </c>
      <c r="CF124" s="17">
        <f t="shared" si="78"/>
        <v>11</v>
      </c>
      <c r="CG124" s="17">
        <f t="shared" si="79"/>
        <v>9</v>
      </c>
      <c r="CH124" s="17">
        <f t="shared" si="80"/>
        <v>8</v>
      </c>
      <c r="CI124" s="17">
        <f t="shared" si="81"/>
        <v>1</v>
      </c>
      <c r="CJ124" s="17">
        <f t="shared" si="82"/>
        <v>9</v>
      </c>
      <c r="CK124" s="17">
        <f t="shared" si="83"/>
        <v>2</v>
      </c>
      <c r="CL124" s="17">
        <f t="shared" si="84"/>
        <v>7</v>
      </c>
      <c r="CM124" s="17">
        <f t="shared" si="85"/>
        <v>11</v>
      </c>
      <c r="CN124" s="17">
        <f t="shared" si="86"/>
        <v>10</v>
      </c>
      <c r="CO124" s="17">
        <f t="shared" si="87"/>
        <v>4</v>
      </c>
      <c r="CP124" s="17">
        <f t="shared" si="88"/>
        <v>1</v>
      </c>
      <c r="CQ124" s="17">
        <f t="shared" si="89"/>
        <v>1</v>
      </c>
      <c r="CR124" s="17">
        <f t="shared" si="90"/>
        <v>1</v>
      </c>
      <c r="CS124" s="17">
        <f t="shared" si="91"/>
        <v>3</v>
      </c>
      <c r="CT124" s="17">
        <f t="shared" si="92"/>
        <v>0</v>
      </c>
      <c r="CU124" s="17">
        <f t="shared" si="93"/>
        <v>1</v>
      </c>
      <c r="CV124" s="17">
        <f t="shared" si="94"/>
        <v>4</v>
      </c>
      <c r="CW124" s="17">
        <f t="shared" si="95"/>
        <v>-3</v>
      </c>
      <c r="CX124" s="17">
        <f t="shared" si="97"/>
        <v>2</v>
      </c>
      <c r="CY124" s="17">
        <f t="shared" si="97"/>
        <v>-197</v>
      </c>
      <c r="CZ124" s="17">
        <f t="shared" si="97"/>
        <v>0</v>
      </c>
      <c r="DA124" s="17">
        <f t="shared" si="97"/>
        <v>0</v>
      </c>
      <c r="DB124" s="17">
        <f t="shared" si="97"/>
        <v>0</v>
      </c>
      <c r="DC124" s="17">
        <f t="shared" si="97"/>
        <v>0</v>
      </c>
      <c r="DD124" s="17">
        <f t="shared" si="97"/>
        <v>0</v>
      </c>
      <c r="DE124" s="17">
        <f t="shared" si="97"/>
        <v>0</v>
      </c>
      <c r="DF124" s="17">
        <f t="shared" si="97"/>
        <v>0</v>
      </c>
      <c r="DG124" s="17">
        <f t="shared" si="97"/>
        <v>0</v>
      </c>
      <c r="DH124" s="17">
        <f t="shared" si="97"/>
        <v>0</v>
      </c>
      <c r="DI124" s="17">
        <f t="shared" si="97"/>
        <v>0</v>
      </c>
    </row>
    <row r="125" spans="1:113" ht="15.75" x14ac:dyDescent="0.25">
      <c r="A125" s="4" t="s">
        <v>239</v>
      </c>
      <c r="B125" s="6" t="s">
        <v>240</v>
      </c>
      <c r="H125" s="90">
        <f>'Combined data'!H125</f>
        <v>112</v>
      </c>
      <c r="I125" s="90">
        <f>'Combined data'!I125-'Combined data'!H125</f>
        <v>4</v>
      </c>
      <c r="J125" s="90">
        <f>'Combined data'!J125-'Combined data'!I125</f>
        <v>3</v>
      </c>
      <c r="K125" s="90">
        <f>'Combined data'!K125-'Combined data'!J125</f>
        <v>2</v>
      </c>
      <c r="L125" s="90">
        <f>'Combined data'!L125-'Combined data'!K125</f>
        <v>7</v>
      </c>
      <c r="M125" s="90">
        <f>'Combined data'!M125-'Combined data'!L125</f>
        <v>3</v>
      </c>
      <c r="N125" s="90">
        <f>'Combined data'!N125-'Combined data'!M125</f>
        <v>7</v>
      </c>
      <c r="O125" s="90">
        <f>'Combined data'!O125-'Combined data'!N125</f>
        <v>5</v>
      </c>
      <c r="P125" s="90">
        <f>'Combined data'!P125-'Combined data'!O125</f>
        <v>4</v>
      </c>
      <c r="Q125" s="90">
        <f>'Combined data'!Q125-'Combined data'!P125</f>
        <v>0</v>
      </c>
      <c r="R125" s="90">
        <f>'Combined data'!R125-'Combined data'!Q125</f>
        <v>1</v>
      </c>
      <c r="S125" s="90">
        <f>'Combined data'!S125-'Combined data'!R125</f>
        <v>4</v>
      </c>
      <c r="T125" s="90">
        <f>'Combined data'!T125-'Combined data'!S125</f>
        <v>2</v>
      </c>
      <c r="U125" s="90">
        <f>'Combined data'!U125-'Combined data'!T125</f>
        <v>4</v>
      </c>
      <c r="V125" s="90">
        <f>'Combined data'!V125-'Combined data'!U125</f>
        <v>3</v>
      </c>
      <c r="W125" s="90">
        <f>'Combined data'!W125-'Combined data'!V125</f>
        <v>5</v>
      </c>
      <c r="X125" s="90">
        <f>'Combined data'!X125-'Combined data'!W125</f>
        <v>1</v>
      </c>
      <c r="Y125" s="90">
        <f>'Combined data'!Y125-'Combined data'!X125</f>
        <v>0</v>
      </c>
      <c r="Z125" s="90">
        <f>'Combined data'!Z125-'Combined data'!Y125</f>
        <v>4</v>
      </c>
      <c r="AA125" s="90">
        <f>'Combined data'!AA125-'Combined data'!Z125</f>
        <v>0</v>
      </c>
      <c r="AB125" s="90">
        <f>'Combined data'!AB125-'Combined data'!AA125</f>
        <v>0</v>
      </c>
      <c r="AC125" s="90">
        <f>'Combined data'!AC125-'Combined data'!AB125</f>
        <v>-1</v>
      </c>
      <c r="AD125" s="90">
        <f>'Combined data'!AD125-'Combined data'!AC125</f>
        <v>1</v>
      </c>
      <c r="AE125" s="90">
        <f>'Combined data'!AE125-'Combined data'!AD125</f>
        <v>-171</v>
      </c>
      <c r="AF125" s="90">
        <f>'Combined data'!AF125-'Combined data'!AE125</f>
        <v>0</v>
      </c>
      <c r="AG125" s="90">
        <f>'Combined data'!AG125-'Combined data'!AF125</f>
        <v>0</v>
      </c>
      <c r="AH125" s="90">
        <f>'Combined data'!AH125-'Combined data'!AG125</f>
        <v>0</v>
      </c>
      <c r="AI125" s="90">
        <f>'Combined data'!AI125-'Combined data'!AH125</f>
        <v>0</v>
      </c>
      <c r="AJ125" s="90">
        <f>'Combined data'!AJ125-'Combined data'!AI125</f>
        <v>0</v>
      </c>
      <c r="AK125" s="90">
        <f>'Combined data'!AK125-'Combined data'!AJ125</f>
        <v>0</v>
      </c>
      <c r="AL125" s="90">
        <f>'Combined data'!AL125-'Combined data'!AK125</f>
        <v>0</v>
      </c>
      <c r="AM125" s="90">
        <f>'Combined data'!AM125-'Combined data'!AL125</f>
        <v>0</v>
      </c>
      <c r="AN125" s="90">
        <f>'Combined data'!AN125-'Combined data'!AM125</f>
        <v>0</v>
      </c>
      <c r="AO125" s="90">
        <f>'Combined data'!AO125-'Combined data'!AN125</f>
        <v>0</v>
      </c>
      <c r="AP125" s="56">
        <f t="shared" si="72"/>
        <v>0</v>
      </c>
      <c r="AQ125" s="113"/>
      <c r="AR125" s="17">
        <f>'Combined data'!AR125</f>
        <v>66</v>
      </c>
      <c r="AS125" s="17">
        <f>'Combined data'!AS125-'Combined data'!AR125</f>
        <v>8</v>
      </c>
      <c r="AT125" s="17">
        <f>'Combined data'!AT125-'Combined data'!AS125</f>
        <v>6</v>
      </c>
      <c r="AU125" s="17">
        <f>'Combined data'!AU125-'Combined data'!AT125</f>
        <v>6</v>
      </c>
      <c r="AV125" s="17">
        <f>'Combined data'!AV125-'Combined data'!AU125</f>
        <v>1</v>
      </c>
      <c r="AW125" s="17">
        <f>'Combined data'!AW125-'Combined data'!AV125</f>
        <v>4</v>
      </c>
      <c r="AX125" s="17">
        <f>'Combined data'!AX125-'Combined data'!AW125</f>
        <v>3</v>
      </c>
      <c r="AY125" s="17">
        <f>'Combined data'!AY125-'Combined data'!AX125</f>
        <v>6</v>
      </c>
      <c r="AZ125" s="17">
        <f>'Combined data'!AZ125-'Combined data'!AY125</f>
        <v>4</v>
      </c>
      <c r="BA125" s="17">
        <f>'Combined data'!BA125-'Combined data'!AZ125</f>
        <v>5</v>
      </c>
      <c r="BB125" s="17">
        <f>'Combined data'!BB125-'Combined data'!BA125</f>
        <v>1</v>
      </c>
      <c r="BC125" s="17">
        <f>'Combined data'!BC125-'Combined data'!BB125</f>
        <v>5</v>
      </c>
      <c r="BD125" s="17">
        <f>'Combined data'!BD125-'Combined data'!BC125</f>
        <v>1</v>
      </c>
      <c r="BE125" s="17">
        <f>'Combined data'!BE125-'Combined data'!BD125</f>
        <v>5</v>
      </c>
      <c r="BF125" s="17">
        <f>'Combined data'!BF125-'Combined data'!BE125</f>
        <v>1</v>
      </c>
      <c r="BG125" s="17">
        <f>'Combined data'!BG125-'Combined data'!BF125</f>
        <v>1</v>
      </c>
      <c r="BH125" s="17">
        <f>'Combined data'!BH125-'Combined data'!BG125</f>
        <v>0</v>
      </c>
      <c r="BI125" s="17">
        <f>'Combined data'!BI125-'Combined data'!BH125</f>
        <v>0</v>
      </c>
      <c r="BJ125" s="17">
        <f>'Combined data'!BJ125-'Combined data'!BI125</f>
        <v>9</v>
      </c>
      <c r="BK125" s="17">
        <f>'Combined data'!BK125-'Combined data'!BJ125</f>
        <v>1</v>
      </c>
      <c r="BL125" s="17">
        <f>'Combined data'!BL125-'Combined data'!BK125</f>
        <v>7</v>
      </c>
      <c r="BM125" s="17">
        <f>'Combined data'!BM125-'Combined data'!BL125</f>
        <v>-3</v>
      </c>
      <c r="BN125" s="17">
        <f>'Combined data'!BN125-'Combined data'!BM125</f>
        <v>-1</v>
      </c>
      <c r="BO125" s="17">
        <f>'Combined data'!BO125-'Combined data'!BN125</f>
        <v>-136</v>
      </c>
      <c r="BP125" s="17">
        <f>'Combined data'!BP125-'Combined data'!BO125</f>
        <v>0</v>
      </c>
      <c r="BQ125" s="17">
        <f>'Combined data'!BQ125-'Combined data'!BP125</f>
        <v>0</v>
      </c>
      <c r="BR125" s="17">
        <f>'Combined data'!BR125-'Combined data'!BQ125</f>
        <v>0</v>
      </c>
      <c r="BS125" s="17">
        <f>'Combined data'!BS125-'Combined data'!BR125</f>
        <v>0</v>
      </c>
      <c r="BT125" s="17">
        <f>'Combined data'!BT125-'Combined data'!BS125</f>
        <v>0</v>
      </c>
      <c r="BU125" s="17">
        <f>'Combined data'!BU125-'Combined data'!BT125</f>
        <v>0</v>
      </c>
      <c r="BV125" s="17">
        <f>'Combined data'!BV125-'Combined data'!BU125</f>
        <v>0</v>
      </c>
      <c r="BW125" s="17">
        <f>'Combined data'!BW125-'Combined data'!BV125</f>
        <v>0</v>
      </c>
      <c r="BX125" s="17">
        <f>'Combined data'!BX125-'Combined data'!BW125</f>
        <v>0</v>
      </c>
      <c r="BY125" s="17">
        <f>'Combined data'!BY125-'Combined data'!BX125</f>
        <v>0</v>
      </c>
      <c r="CB125" s="17">
        <f t="shared" si="74"/>
        <v>66</v>
      </c>
      <c r="CC125" s="17">
        <f t="shared" si="75"/>
        <v>8</v>
      </c>
      <c r="CD125" s="17">
        <f t="shared" si="76"/>
        <v>6</v>
      </c>
      <c r="CE125" s="17">
        <f t="shared" si="77"/>
        <v>6</v>
      </c>
      <c r="CF125" s="17">
        <f t="shared" si="78"/>
        <v>1</v>
      </c>
      <c r="CG125" s="17">
        <f t="shared" si="79"/>
        <v>4</v>
      </c>
      <c r="CH125" s="17">
        <f t="shared" si="80"/>
        <v>3</v>
      </c>
      <c r="CI125" s="17">
        <f t="shared" si="81"/>
        <v>6</v>
      </c>
      <c r="CJ125" s="17">
        <f t="shared" si="82"/>
        <v>4</v>
      </c>
      <c r="CK125" s="17">
        <f t="shared" si="83"/>
        <v>5</v>
      </c>
      <c r="CL125" s="17">
        <f t="shared" si="84"/>
        <v>1</v>
      </c>
      <c r="CM125" s="17">
        <f t="shared" si="85"/>
        <v>5</v>
      </c>
      <c r="CN125" s="17">
        <f t="shared" si="86"/>
        <v>1</v>
      </c>
      <c r="CO125" s="17">
        <f t="shared" si="87"/>
        <v>5</v>
      </c>
      <c r="CP125" s="17">
        <f t="shared" si="88"/>
        <v>1</v>
      </c>
      <c r="CQ125" s="17">
        <f t="shared" si="89"/>
        <v>1</v>
      </c>
      <c r="CR125" s="17">
        <f t="shared" si="90"/>
        <v>0</v>
      </c>
      <c r="CS125" s="17">
        <f t="shared" si="91"/>
        <v>0</v>
      </c>
      <c r="CT125" s="17">
        <f t="shared" si="92"/>
        <v>9</v>
      </c>
      <c r="CU125" s="17">
        <f t="shared" si="93"/>
        <v>1</v>
      </c>
      <c r="CV125" s="17">
        <f t="shared" si="94"/>
        <v>7</v>
      </c>
      <c r="CW125" s="17">
        <f t="shared" si="95"/>
        <v>-3</v>
      </c>
      <c r="CX125" s="17">
        <f t="shared" si="97"/>
        <v>-1</v>
      </c>
      <c r="CY125" s="17">
        <f t="shared" si="97"/>
        <v>-136</v>
      </c>
      <c r="CZ125" s="17">
        <f t="shared" si="97"/>
        <v>0</v>
      </c>
      <c r="DA125" s="17">
        <f t="shared" si="97"/>
        <v>0</v>
      </c>
      <c r="DB125" s="17">
        <f t="shared" si="97"/>
        <v>0</v>
      </c>
      <c r="DC125" s="17">
        <f t="shared" si="97"/>
        <v>0</v>
      </c>
      <c r="DD125" s="17">
        <f t="shared" si="97"/>
        <v>0</v>
      </c>
      <c r="DE125" s="17">
        <f t="shared" si="97"/>
        <v>0</v>
      </c>
      <c r="DF125" s="17">
        <f t="shared" si="97"/>
        <v>0</v>
      </c>
      <c r="DG125" s="17">
        <f t="shared" si="97"/>
        <v>0</v>
      </c>
      <c r="DH125" s="17">
        <f t="shared" si="97"/>
        <v>0</v>
      </c>
      <c r="DI125" s="17">
        <f t="shared" si="97"/>
        <v>0</v>
      </c>
    </row>
    <row r="126" spans="1:113" ht="15.75" x14ac:dyDescent="0.25">
      <c r="A126" s="4" t="s">
        <v>241</v>
      </c>
      <c r="B126" s="6" t="s">
        <v>242</v>
      </c>
      <c r="H126" s="90">
        <f>'Combined data'!H126</f>
        <v>315</v>
      </c>
      <c r="I126" s="90">
        <f>'Combined data'!I126-'Combined data'!H126</f>
        <v>12</v>
      </c>
      <c r="J126" s="90">
        <f>'Combined data'!J126-'Combined data'!I126</f>
        <v>24</v>
      </c>
      <c r="K126" s="90">
        <f>'Combined data'!K126-'Combined data'!J126</f>
        <v>24</v>
      </c>
      <c r="L126" s="90">
        <f>'Combined data'!L126-'Combined data'!K126</f>
        <v>4</v>
      </c>
      <c r="M126" s="90">
        <f>'Combined data'!M126-'Combined data'!L126</f>
        <v>7</v>
      </c>
      <c r="N126" s="90">
        <f>'Combined data'!N126-'Combined data'!M126</f>
        <v>20</v>
      </c>
      <c r="O126" s="90">
        <f>'Combined data'!O126-'Combined data'!N126</f>
        <v>10</v>
      </c>
      <c r="P126" s="90">
        <f>'Combined data'!P126-'Combined data'!O126</f>
        <v>23</v>
      </c>
      <c r="Q126" s="90">
        <f>'Combined data'!Q126-'Combined data'!P126</f>
        <v>10</v>
      </c>
      <c r="R126" s="90">
        <f>'Combined data'!R126-'Combined data'!Q126</f>
        <v>6</v>
      </c>
      <c r="S126" s="90">
        <f>'Combined data'!S126-'Combined data'!R126</f>
        <v>16</v>
      </c>
      <c r="T126" s="90">
        <f>'Combined data'!T126-'Combined data'!S126</f>
        <v>2</v>
      </c>
      <c r="U126" s="90">
        <f>'Combined data'!U126-'Combined data'!T126</f>
        <v>8</v>
      </c>
      <c r="V126" s="90">
        <f>'Combined data'!V126-'Combined data'!U126</f>
        <v>13</v>
      </c>
      <c r="W126" s="90">
        <f>'Combined data'!W126-'Combined data'!V126</f>
        <v>8</v>
      </c>
      <c r="X126" s="90">
        <f>'Combined data'!X126-'Combined data'!W126</f>
        <v>2</v>
      </c>
      <c r="Y126" s="90">
        <f>'Combined data'!Y126-'Combined data'!X126</f>
        <v>3</v>
      </c>
      <c r="Z126" s="90">
        <f>'Combined data'!Z126-'Combined data'!Y126</f>
        <v>7</v>
      </c>
      <c r="AA126" s="90">
        <f>'Combined data'!AA126-'Combined data'!Z126</f>
        <v>4</v>
      </c>
      <c r="AB126" s="90">
        <f>'Combined data'!AB126-'Combined data'!AA126</f>
        <v>1</v>
      </c>
      <c r="AC126" s="90">
        <f>'Combined data'!AC126-'Combined data'!AB126</f>
        <v>1</v>
      </c>
      <c r="AD126" s="90">
        <f>'Combined data'!AD126-'Combined data'!AC126</f>
        <v>15</v>
      </c>
      <c r="AE126" s="90">
        <f>'Combined data'!AE126-'Combined data'!AD126</f>
        <v>-535</v>
      </c>
      <c r="AF126" s="90">
        <f>'Combined data'!AF126-'Combined data'!AE126</f>
        <v>0</v>
      </c>
      <c r="AG126" s="90">
        <f>'Combined data'!AG126-'Combined data'!AF126</f>
        <v>0</v>
      </c>
      <c r="AH126" s="90">
        <f>'Combined data'!AH126-'Combined data'!AG126</f>
        <v>0</v>
      </c>
      <c r="AI126" s="90">
        <f>'Combined data'!AI126-'Combined data'!AH126</f>
        <v>0</v>
      </c>
      <c r="AJ126" s="90">
        <f>'Combined data'!AJ126-'Combined data'!AI126</f>
        <v>0</v>
      </c>
      <c r="AK126" s="90">
        <f>'Combined data'!AK126-'Combined data'!AJ126</f>
        <v>0</v>
      </c>
      <c r="AL126" s="90">
        <f>'Combined data'!AL126-'Combined data'!AK126</f>
        <v>0</v>
      </c>
      <c r="AM126" s="90">
        <f>'Combined data'!AM126-'Combined data'!AL126</f>
        <v>0</v>
      </c>
      <c r="AN126" s="90">
        <f>'Combined data'!AN126-'Combined data'!AM126</f>
        <v>0</v>
      </c>
      <c r="AO126" s="90">
        <f>'Combined data'!AO126-'Combined data'!AN126</f>
        <v>0</v>
      </c>
      <c r="AP126" s="56">
        <f t="shared" si="72"/>
        <v>0</v>
      </c>
      <c r="AQ126" s="113"/>
      <c r="AR126" s="17">
        <f>'Combined data'!AR126</f>
        <v>142</v>
      </c>
      <c r="AS126" s="17">
        <f>'Combined data'!AS126-'Combined data'!AR126</f>
        <v>17</v>
      </c>
      <c r="AT126" s="17">
        <f>'Combined data'!AT126-'Combined data'!AS126</f>
        <v>33</v>
      </c>
      <c r="AU126" s="17">
        <f>'Combined data'!AU126-'Combined data'!AT126</f>
        <v>29</v>
      </c>
      <c r="AV126" s="17">
        <f>'Combined data'!AV126-'Combined data'!AU126</f>
        <v>20</v>
      </c>
      <c r="AW126" s="17">
        <f>'Combined data'!AW126-'Combined data'!AV126</f>
        <v>9</v>
      </c>
      <c r="AX126" s="17">
        <f>'Combined data'!AX126-'Combined data'!AW126</f>
        <v>16</v>
      </c>
      <c r="AY126" s="17">
        <f>'Combined data'!AY126-'Combined data'!AX126</f>
        <v>10</v>
      </c>
      <c r="AZ126" s="17">
        <f>'Combined data'!AZ126-'Combined data'!AY126</f>
        <v>24</v>
      </c>
      <c r="BA126" s="17">
        <f>'Combined data'!BA126-'Combined data'!AZ126</f>
        <v>9</v>
      </c>
      <c r="BB126" s="17">
        <f>'Combined data'!BB126-'Combined data'!BA126</f>
        <v>6</v>
      </c>
      <c r="BC126" s="17">
        <f>'Combined data'!BC126-'Combined data'!BB126</f>
        <v>10</v>
      </c>
      <c r="BD126" s="17">
        <f>'Combined data'!BD126-'Combined data'!BC126</f>
        <v>6</v>
      </c>
      <c r="BE126" s="17">
        <f>'Combined data'!BE126-'Combined data'!BD126</f>
        <v>14</v>
      </c>
      <c r="BF126" s="17">
        <f>'Combined data'!BF126-'Combined data'!BE126</f>
        <v>7</v>
      </c>
      <c r="BG126" s="17">
        <f>'Combined data'!BG126-'Combined data'!BF126</f>
        <v>10</v>
      </c>
      <c r="BH126" s="17">
        <f>'Combined data'!BH126-'Combined data'!BG126</f>
        <v>6</v>
      </c>
      <c r="BI126" s="17">
        <f>'Combined data'!BI126-'Combined data'!BH126</f>
        <v>10</v>
      </c>
      <c r="BJ126" s="17">
        <f>'Combined data'!BJ126-'Combined data'!BI126</f>
        <v>8</v>
      </c>
      <c r="BK126" s="17">
        <f>'Combined data'!BK126-'Combined data'!BJ126</f>
        <v>8</v>
      </c>
      <c r="BL126" s="17">
        <f>'Combined data'!BL126-'Combined data'!BK126</f>
        <v>24</v>
      </c>
      <c r="BM126" s="17">
        <f>'Combined data'!BM126-'Combined data'!BL126</f>
        <v>-3</v>
      </c>
      <c r="BN126" s="17">
        <f>'Combined data'!BN126-'Combined data'!BM126</f>
        <v>10</v>
      </c>
      <c r="BO126" s="17">
        <f>'Combined data'!BO126-'Combined data'!BN126</f>
        <v>-425</v>
      </c>
      <c r="BP126" s="17">
        <f>'Combined data'!BP126-'Combined data'!BO126</f>
        <v>0</v>
      </c>
      <c r="BQ126" s="17">
        <f>'Combined data'!BQ126-'Combined data'!BP126</f>
        <v>0</v>
      </c>
      <c r="BR126" s="17">
        <f>'Combined data'!BR126-'Combined data'!BQ126</f>
        <v>0</v>
      </c>
      <c r="BS126" s="17">
        <f>'Combined data'!BS126-'Combined data'!BR126</f>
        <v>0</v>
      </c>
      <c r="BT126" s="17">
        <f>'Combined data'!BT126-'Combined data'!BS126</f>
        <v>0</v>
      </c>
      <c r="BU126" s="17">
        <f>'Combined data'!BU126-'Combined data'!BT126</f>
        <v>0</v>
      </c>
      <c r="BV126" s="17">
        <f>'Combined data'!BV126-'Combined data'!BU126</f>
        <v>0</v>
      </c>
      <c r="BW126" s="17">
        <f>'Combined data'!BW126-'Combined data'!BV126</f>
        <v>0</v>
      </c>
      <c r="BX126" s="17">
        <f>'Combined data'!BX126-'Combined data'!BW126</f>
        <v>0</v>
      </c>
      <c r="BY126" s="17">
        <f>'Combined data'!BY126-'Combined data'!BX126</f>
        <v>0</v>
      </c>
      <c r="CB126" s="17">
        <f t="shared" si="74"/>
        <v>142</v>
      </c>
      <c r="CC126" s="17">
        <f t="shared" si="75"/>
        <v>17</v>
      </c>
      <c r="CD126" s="17">
        <f t="shared" si="76"/>
        <v>33</v>
      </c>
      <c r="CE126" s="17">
        <f t="shared" si="77"/>
        <v>29</v>
      </c>
      <c r="CF126" s="17">
        <f t="shared" si="78"/>
        <v>20</v>
      </c>
      <c r="CG126" s="17">
        <f t="shared" si="79"/>
        <v>9</v>
      </c>
      <c r="CH126" s="17">
        <f t="shared" si="80"/>
        <v>16</v>
      </c>
      <c r="CI126" s="17">
        <f t="shared" si="81"/>
        <v>10</v>
      </c>
      <c r="CJ126" s="17">
        <f t="shared" si="82"/>
        <v>24</v>
      </c>
      <c r="CK126" s="17">
        <f t="shared" si="83"/>
        <v>9</v>
      </c>
      <c r="CL126" s="17">
        <f t="shared" si="84"/>
        <v>6</v>
      </c>
      <c r="CM126" s="17">
        <f t="shared" si="85"/>
        <v>10</v>
      </c>
      <c r="CN126" s="17">
        <f t="shared" si="86"/>
        <v>6</v>
      </c>
      <c r="CO126" s="17">
        <f t="shared" si="87"/>
        <v>14</v>
      </c>
      <c r="CP126" s="17">
        <f t="shared" si="88"/>
        <v>7</v>
      </c>
      <c r="CQ126" s="17">
        <f t="shared" si="89"/>
        <v>10</v>
      </c>
      <c r="CR126" s="17">
        <f t="shared" si="90"/>
        <v>6</v>
      </c>
      <c r="CS126" s="17">
        <f t="shared" si="91"/>
        <v>10</v>
      </c>
      <c r="CT126" s="17">
        <f t="shared" si="92"/>
        <v>8</v>
      </c>
      <c r="CU126" s="17">
        <f t="shared" si="93"/>
        <v>8</v>
      </c>
      <c r="CV126" s="17">
        <f t="shared" si="94"/>
        <v>24</v>
      </c>
      <c r="CW126" s="17">
        <f t="shared" si="95"/>
        <v>-3</v>
      </c>
      <c r="CX126" s="17">
        <f t="shared" si="97"/>
        <v>10</v>
      </c>
      <c r="CY126" s="17">
        <f t="shared" si="97"/>
        <v>-425</v>
      </c>
      <c r="CZ126" s="17">
        <f t="shared" si="97"/>
        <v>0</v>
      </c>
      <c r="DA126" s="17">
        <f t="shared" si="97"/>
        <v>0</v>
      </c>
      <c r="DB126" s="17">
        <f t="shared" si="97"/>
        <v>0</v>
      </c>
      <c r="DC126" s="17">
        <f t="shared" si="97"/>
        <v>0</v>
      </c>
      <c r="DD126" s="17">
        <f t="shared" si="97"/>
        <v>0</v>
      </c>
      <c r="DE126" s="17">
        <f t="shared" si="97"/>
        <v>0</v>
      </c>
      <c r="DF126" s="17">
        <f t="shared" si="97"/>
        <v>0</v>
      </c>
      <c r="DG126" s="17">
        <f t="shared" si="97"/>
        <v>0</v>
      </c>
      <c r="DH126" s="17">
        <f t="shared" si="97"/>
        <v>0</v>
      </c>
      <c r="DI126" s="17">
        <f t="shared" si="97"/>
        <v>0</v>
      </c>
    </row>
    <row r="127" spans="1:113" ht="15.75" x14ac:dyDescent="0.25">
      <c r="A127" s="4" t="s">
        <v>243</v>
      </c>
      <c r="B127" s="6" t="s">
        <v>244</v>
      </c>
      <c r="H127" s="90">
        <f>'Combined data'!H127</f>
        <v>60</v>
      </c>
      <c r="I127" s="90">
        <f>'Combined data'!I127-'Combined data'!H127</f>
        <v>1</v>
      </c>
      <c r="J127" s="90">
        <f>'Combined data'!J127-'Combined data'!I127</f>
        <v>1</v>
      </c>
      <c r="K127" s="90">
        <f>'Combined data'!K127-'Combined data'!J127</f>
        <v>8</v>
      </c>
      <c r="L127" s="90">
        <f>'Combined data'!L127-'Combined data'!K127</f>
        <v>-6</v>
      </c>
      <c r="M127" s="90">
        <f>'Combined data'!M127-'Combined data'!L127</f>
        <v>0</v>
      </c>
      <c r="N127" s="90">
        <f>'Combined data'!N127-'Combined data'!M127</f>
        <v>1</v>
      </c>
      <c r="O127" s="90">
        <f>'Combined data'!O127-'Combined data'!N127</f>
        <v>0</v>
      </c>
      <c r="P127" s="90">
        <f>'Combined data'!P127-'Combined data'!O127</f>
        <v>7</v>
      </c>
      <c r="Q127" s="90">
        <f>'Combined data'!Q127-'Combined data'!P127</f>
        <v>0</v>
      </c>
      <c r="R127" s="90">
        <f>'Combined data'!R127-'Combined data'!Q127</f>
        <v>0</v>
      </c>
      <c r="S127" s="90">
        <f>'Combined data'!S127-'Combined data'!R127</f>
        <v>0</v>
      </c>
      <c r="T127" s="90">
        <f>'Combined data'!T127-'Combined data'!S127</f>
        <v>4</v>
      </c>
      <c r="U127" s="90">
        <f>'Combined data'!U127-'Combined data'!T127</f>
        <v>4</v>
      </c>
      <c r="V127" s="90">
        <f>'Combined data'!V127-'Combined data'!U127</f>
        <v>2</v>
      </c>
      <c r="W127" s="90">
        <f>'Combined data'!W127-'Combined data'!V127</f>
        <v>0</v>
      </c>
      <c r="X127" s="90">
        <f>'Combined data'!X127-'Combined data'!W127</f>
        <v>0</v>
      </c>
      <c r="Y127" s="90">
        <f>'Combined data'!Y127-'Combined data'!X127</f>
        <v>2</v>
      </c>
      <c r="Z127" s="90">
        <f>'Combined data'!Z127-'Combined data'!Y127</f>
        <v>-1</v>
      </c>
      <c r="AA127" s="90">
        <f>'Combined data'!AA127-'Combined data'!Z127</f>
        <v>0</v>
      </c>
      <c r="AB127" s="90">
        <f>'Combined data'!AB127-'Combined data'!AA127</f>
        <v>0</v>
      </c>
      <c r="AC127" s="90">
        <f>'Combined data'!AC127-'Combined data'!AB127</f>
        <v>0</v>
      </c>
      <c r="AD127" s="90">
        <f>'Combined data'!AD127-'Combined data'!AC127</f>
        <v>2</v>
      </c>
      <c r="AE127" s="90">
        <f>'Combined data'!AE127-'Combined data'!AD127</f>
        <v>-85</v>
      </c>
      <c r="AF127" s="90">
        <f>'Combined data'!AF127-'Combined data'!AE127</f>
        <v>0</v>
      </c>
      <c r="AG127" s="90">
        <f>'Combined data'!AG127-'Combined data'!AF127</f>
        <v>0</v>
      </c>
      <c r="AH127" s="90">
        <f>'Combined data'!AH127-'Combined data'!AG127</f>
        <v>0</v>
      </c>
      <c r="AI127" s="90">
        <f>'Combined data'!AI127-'Combined data'!AH127</f>
        <v>0</v>
      </c>
      <c r="AJ127" s="90">
        <f>'Combined data'!AJ127-'Combined data'!AI127</f>
        <v>0</v>
      </c>
      <c r="AK127" s="90">
        <f>'Combined data'!AK127-'Combined data'!AJ127</f>
        <v>0</v>
      </c>
      <c r="AL127" s="90">
        <f>'Combined data'!AL127-'Combined data'!AK127</f>
        <v>0</v>
      </c>
      <c r="AM127" s="90">
        <f>'Combined data'!AM127-'Combined data'!AL127</f>
        <v>0</v>
      </c>
      <c r="AN127" s="90">
        <f>'Combined data'!AN127-'Combined data'!AM127</f>
        <v>0</v>
      </c>
      <c r="AO127" s="90">
        <f>'Combined data'!AO127-'Combined data'!AN127</f>
        <v>0</v>
      </c>
      <c r="AP127" s="56">
        <f t="shared" si="72"/>
        <v>0</v>
      </c>
      <c r="AQ127" s="113"/>
      <c r="AR127" s="17">
        <f>'Combined data'!AR127</f>
        <v>29</v>
      </c>
      <c r="AS127" s="17">
        <f>'Combined data'!AS127-'Combined data'!AR127</f>
        <v>3</v>
      </c>
      <c r="AT127" s="17">
        <f>'Combined data'!AT127-'Combined data'!AS127</f>
        <v>3</v>
      </c>
      <c r="AU127" s="17">
        <f>'Combined data'!AU127-'Combined data'!AT127</f>
        <v>3</v>
      </c>
      <c r="AV127" s="17">
        <f>'Combined data'!AV127-'Combined data'!AU127</f>
        <v>10</v>
      </c>
      <c r="AW127" s="17">
        <f>'Combined data'!AW127-'Combined data'!AV127</f>
        <v>4</v>
      </c>
      <c r="AX127" s="17">
        <f>'Combined data'!AX127-'Combined data'!AW127</f>
        <v>3</v>
      </c>
      <c r="AY127" s="17">
        <f>'Combined data'!AY127-'Combined data'!AX127</f>
        <v>0</v>
      </c>
      <c r="AZ127" s="17">
        <f>'Combined data'!AZ127-'Combined data'!AY127</f>
        <v>4</v>
      </c>
      <c r="BA127" s="17">
        <f>'Combined data'!BA127-'Combined data'!AZ127</f>
        <v>1</v>
      </c>
      <c r="BB127" s="17">
        <f>'Combined data'!BB127-'Combined data'!BA127</f>
        <v>0</v>
      </c>
      <c r="BC127" s="17">
        <f>'Combined data'!BC127-'Combined data'!BB127</f>
        <v>2</v>
      </c>
      <c r="BD127" s="17">
        <f>'Combined data'!BD127-'Combined data'!BC127</f>
        <v>0</v>
      </c>
      <c r="BE127" s="17">
        <f>'Combined data'!BE127-'Combined data'!BD127</f>
        <v>0</v>
      </c>
      <c r="BF127" s="17">
        <f>'Combined data'!BF127-'Combined data'!BE127</f>
        <v>0</v>
      </c>
      <c r="BG127" s="17">
        <f>'Combined data'!BG127-'Combined data'!BF127</f>
        <v>0</v>
      </c>
      <c r="BH127" s="17">
        <f>'Combined data'!BH127-'Combined data'!BG127</f>
        <v>6</v>
      </c>
      <c r="BI127" s="17">
        <f>'Combined data'!BI127-'Combined data'!BH127</f>
        <v>0</v>
      </c>
      <c r="BJ127" s="17">
        <f>'Combined data'!BJ127-'Combined data'!BI127</f>
        <v>0</v>
      </c>
      <c r="BK127" s="17">
        <f>'Combined data'!BK127-'Combined data'!BJ127</f>
        <v>6</v>
      </c>
      <c r="BL127" s="17">
        <f>'Combined data'!BL127-'Combined data'!BK127</f>
        <v>4</v>
      </c>
      <c r="BM127" s="17">
        <f>'Combined data'!BM127-'Combined data'!BL127</f>
        <v>0</v>
      </c>
      <c r="BN127" s="17">
        <f>'Combined data'!BN127-'Combined data'!BM127</f>
        <v>0</v>
      </c>
      <c r="BO127" s="17">
        <f>'Combined data'!BO127-'Combined data'!BN127</f>
        <v>-78</v>
      </c>
      <c r="BP127" s="17">
        <f>'Combined data'!BP127-'Combined data'!BO127</f>
        <v>0</v>
      </c>
      <c r="BQ127" s="17">
        <f>'Combined data'!BQ127-'Combined data'!BP127</f>
        <v>0</v>
      </c>
      <c r="BR127" s="17">
        <f>'Combined data'!BR127-'Combined data'!BQ127</f>
        <v>0</v>
      </c>
      <c r="BS127" s="17">
        <f>'Combined data'!BS127-'Combined data'!BR127</f>
        <v>0</v>
      </c>
      <c r="BT127" s="17">
        <f>'Combined data'!BT127-'Combined data'!BS127</f>
        <v>0</v>
      </c>
      <c r="BU127" s="17">
        <f>'Combined data'!BU127-'Combined data'!BT127</f>
        <v>0</v>
      </c>
      <c r="BV127" s="17">
        <f>'Combined data'!BV127-'Combined data'!BU127</f>
        <v>0</v>
      </c>
      <c r="BW127" s="17">
        <f>'Combined data'!BW127-'Combined data'!BV127</f>
        <v>0</v>
      </c>
      <c r="BX127" s="17">
        <f>'Combined data'!BX127-'Combined data'!BW127</f>
        <v>0</v>
      </c>
      <c r="BY127" s="17">
        <f>'Combined data'!BY127-'Combined data'!BX127</f>
        <v>0</v>
      </c>
      <c r="CB127" s="17">
        <f t="shared" si="74"/>
        <v>29</v>
      </c>
      <c r="CC127" s="17">
        <f t="shared" si="75"/>
        <v>3</v>
      </c>
      <c r="CD127" s="17">
        <f t="shared" si="76"/>
        <v>3</v>
      </c>
      <c r="CE127" s="17">
        <f t="shared" si="77"/>
        <v>3</v>
      </c>
      <c r="CF127" s="17">
        <f t="shared" si="78"/>
        <v>10</v>
      </c>
      <c r="CG127" s="17">
        <f t="shared" si="79"/>
        <v>4</v>
      </c>
      <c r="CH127" s="17">
        <f t="shared" si="80"/>
        <v>3</v>
      </c>
      <c r="CI127" s="17">
        <f t="shared" si="81"/>
        <v>0</v>
      </c>
      <c r="CJ127" s="17">
        <f t="shared" si="82"/>
        <v>4</v>
      </c>
      <c r="CK127" s="17">
        <f t="shared" si="83"/>
        <v>1</v>
      </c>
      <c r="CL127" s="17">
        <f t="shared" si="84"/>
        <v>0</v>
      </c>
      <c r="CM127" s="17">
        <f t="shared" si="85"/>
        <v>2</v>
      </c>
      <c r="CN127" s="17">
        <f t="shared" si="86"/>
        <v>0</v>
      </c>
      <c r="CO127" s="17">
        <f t="shared" si="87"/>
        <v>0</v>
      </c>
      <c r="CP127" s="17">
        <f t="shared" si="88"/>
        <v>0</v>
      </c>
      <c r="CQ127" s="17">
        <f t="shared" si="89"/>
        <v>0</v>
      </c>
      <c r="CR127" s="17">
        <f t="shared" si="90"/>
        <v>6</v>
      </c>
      <c r="CS127" s="17">
        <f t="shared" si="91"/>
        <v>0</v>
      </c>
      <c r="CT127" s="17">
        <f t="shared" si="92"/>
        <v>0</v>
      </c>
      <c r="CU127" s="17">
        <f t="shared" si="93"/>
        <v>6</v>
      </c>
      <c r="CV127" s="17">
        <f t="shared" si="94"/>
        <v>4</v>
      </c>
      <c r="CW127" s="17">
        <f t="shared" si="95"/>
        <v>0</v>
      </c>
      <c r="CX127" s="17">
        <f t="shared" si="97"/>
        <v>0</v>
      </c>
      <c r="CY127" s="17">
        <f t="shared" si="97"/>
        <v>-78</v>
      </c>
      <c r="CZ127" s="17">
        <f t="shared" si="97"/>
        <v>0</v>
      </c>
      <c r="DA127" s="17">
        <f t="shared" si="97"/>
        <v>0</v>
      </c>
      <c r="DB127" s="17">
        <f t="shared" si="97"/>
        <v>0</v>
      </c>
      <c r="DC127" s="17">
        <f t="shared" si="97"/>
        <v>0</v>
      </c>
      <c r="DD127" s="17">
        <f t="shared" si="97"/>
        <v>0</v>
      </c>
      <c r="DE127" s="17">
        <f t="shared" si="97"/>
        <v>0</v>
      </c>
      <c r="DF127" s="17">
        <f t="shared" si="97"/>
        <v>0</v>
      </c>
      <c r="DG127" s="17">
        <f t="shared" si="97"/>
        <v>0</v>
      </c>
      <c r="DH127" s="17">
        <f t="shared" si="97"/>
        <v>0</v>
      </c>
      <c r="DI127" s="17">
        <f t="shared" si="97"/>
        <v>0</v>
      </c>
    </row>
    <row r="128" spans="1:113" ht="15.75" x14ac:dyDescent="0.25">
      <c r="A128" s="4" t="s">
        <v>245</v>
      </c>
      <c r="B128" s="6" t="s">
        <v>246</v>
      </c>
      <c r="H128" s="90">
        <f>'Combined data'!H128</f>
        <v>509</v>
      </c>
      <c r="I128" s="90">
        <f>'Combined data'!I128-'Combined data'!H128</f>
        <v>33</v>
      </c>
      <c r="J128" s="90">
        <f>'Combined data'!J128-'Combined data'!I128</f>
        <v>39</v>
      </c>
      <c r="K128" s="90">
        <f>'Combined data'!K128-'Combined data'!J128</f>
        <v>35</v>
      </c>
      <c r="L128" s="90">
        <f>'Combined data'!L128-'Combined data'!K128</f>
        <v>15</v>
      </c>
      <c r="M128" s="90">
        <f>'Combined data'!M128-'Combined data'!L128</f>
        <v>15</v>
      </c>
      <c r="N128" s="90">
        <f>'Combined data'!N128-'Combined data'!M128</f>
        <v>36</v>
      </c>
      <c r="O128" s="90">
        <f>'Combined data'!O128-'Combined data'!N128</f>
        <v>28</v>
      </c>
      <c r="P128" s="90">
        <f>'Combined data'!P128-'Combined data'!O128</f>
        <v>27</v>
      </c>
      <c r="Q128" s="90">
        <f>'Combined data'!Q128-'Combined data'!P128</f>
        <v>18</v>
      </c>
      <c r="R128" s="90">
        <f>'Combined data'!R128-'Combined data'!Q128</f>
        <v>15</v>
      </c>
      <c r="S128" s="90">
        <f>'Combined data'!S128-'Combined data'!R128</f>
        <v>17</v>
      </c>
      <c r="T128" s="90">
        <f>'Combined data'!T128-'Combined data'!S128</f>
        <v>12</v>
      </c>
      <c r="U128" s="90">
        <f>'Combined data'!U128-'Combined data'!T128</f>
        <v>20</v>
      </c>
      <c r="V128" s="90">
        <f>'Combined data'!V128-'Combined data'!U128</f>
        <v>14</v>
      </c>
      <c r="W128" s="90">
        <f>'Combined data'!W128-'Combined data'!V128</f>
        <v>10</v>
      </c>
      <c r="X128" s="90">
        <f>'Combined data'!X128-'Combined data'!W128</f>
        <v>8</v>
      </c>
      <c r="Y128" s="90">
        <f>'Combined data'!Y128-'Combined data'!X128</f>
        <v>13</v>
      </c>
      <c r="Z128" s="90">
        <f>'Combined data'!Z128-'Combined data'!Y128</f>
        <v>21</v>
      </c>
      <c r="AA128" s="90">
        <f>'Combined data'!AA128-'Combined data'!Z128</f>
        <v>16</v>
      </c>
      <c r="AB128" s="90">
        <f>'Combined data'!AB128-'Combined data'!AA128</f>
        <v>14</v>
      </c>
      <c r="AC128" s="90">
        <f>'Combined data'!AC128-'Combined data'!AB128</f>
        <v>3</v>
      </c>
      <c r="AD128" s="90">
        <f>'Combined data'!AD128-'Combined data'!AC128</f>
        <v>25</v>
      </c>
      <c r="AE128" s="90">
        <f>'Combined data'!AE128-'Combined data'!AD128</f>
        <v>-943</v>
      </c>
      <c r="AF128" s="90">
        <f>'Combined data'!AF128-'Combined data'!AE128</f>
        <v>0</v>
      </c>
      <c r="AG128" s="90">
        <f>'Combined data'!AG128-'Combined data'!AF128</f>
        <v>0</v>
      </c>
      <c r="AH128" s="90">
        <f>'Combined data'!AH128-'Combined data'!AG128</f>
        <v>0</v>
      </c>
      <c r="AI128" s="90">
        <f>'Combined data'!AI128-'Combined data'!AH128</f>
        <v>0</v>
      </c>
      <c r="AJ128" s="90">
        <f>'Combined data'!AJ128-'Combined data'!AI128</f>
        <v>0</v>
      </c>
      <c r="AK128" s="90">
        <f>'Combined data'!AK128-'Combined data'!AJ128</f>
        <v>0</v>
      </c>
      <c r="AL128" s="90">
        <f>'Combined data'!AL128-'Combined data'!AK128</f>
        <v>0</v>
      </c>
      <c r="AM128" s="90">
        <f>'Combined data'!AM128-'Combined data'!AL128</f>
        <v>0</v>
      </c>
      <c r="AN128" s="90">
        <f>'Combined data'!AN128-'Combined data'!AM128</f>
        <v>0</v>
      </c>
      <c r="AO128" s="90">
        <f>'Combined data'!AO128-'Combined data'!AN128</f>
        <v>0</v>
      </c>
      <c r="AP128" s="56">
        <f t="shared" si="72"/>
        <v>0</v>
      </c>
      <c r="AQ128" s="113"/>
      <c r="AR128" s="17">
        <f>'Combined data'!AR128</f>
        <v>243</v>
      </c>
      <c r="AS128" s="17">
        <f>'Combined data'!AS128-'Combined data'!AR128</f>
        <v>47</v>
      </c>
      <c r="AT128" s="17">
        <f>'Combined data'!AT128-'Combined data'!AS128</f>
        <v>40</v>
      </c>
      <c r="AU128" s="17">
        <f>'Combined data'!AU128-'Combined data'!AT128</f>
        <v>46</v>
      </c>
      <c r="AV128" s="17">
        <f>'Combined data'!AV128-'Combined data'!AU128</f>
        <v>31</v>
      </c>
      <c r="AW128" s="17">
        <f>'Combined data'!AW128-'Combined data'!AV128</f>
        <v>23</v>
      </c>
      <c r="AX128" s="17">
        <f>'Combined data'!AX128-'Combined data'!AW128</f>
        <v>45</v>
      </c>
      <c r="AY128" s="17">
        <f>'Combined data'!AY128-'Combined data'!AX128</f>
        <v>33</v>
      </c>
      <c r="AZ128" s="17">
        <f>'Combined data'!AZ128-'Combined data'!AY128</f>
        <v>9</v>
      </c>
      <c r="BA128" s="17">
        <f>'Combined data'!BA128-'Combined data'!AZ128</f>
        <v>20</v>
      </c>
      <c r="BB128" s="17">
        <f>'Combined data'!BB128-'Combined data'!BA128</f>
        <v>21</v>
      </c>
      <c r="BC128" s="17">
        <f>'Combined data'!BC128-'Combined data'!BB128</f>
        <v>24</v>
      </c>
      <c r="BD128" s="17">
        <f>'Combined data'!BD128-'Combined data'!BC128</f>
        <v>14</v>
      </c>
      <c r="BE128" s="17">
        <f>'Combined data'!BE128-'Combined data'!BD128</f>
        <v>21</v>
      </c>
      <c r="BF128" s="17">
        <f>'Combined data'!BF128-'Combined data'!BE128</f>
        <v>23</v>
      </c>
      <c r="BG128" s="17">
        <f>'Combined data'!BG128-'Combined data'!BF128</f>
        <v>15</v>
      </c>
      <c r="BH128" s="17">
        <f>'Combined data'!BH128-'Combined data'!BG128</f>
        <v>4</v>
      </c>
      <c r="BI128" s="17">
        <f>'Combined data'!BI128-'Combined data'!BH128</f>
        <v>5</v>
      </c>
      <c r="BJ128" s="17">
        <f>'Combined data'!BJ128-'Combined data'!BI128</f>
        <v>20</v>
      </c>
      <c r="BK128" s="17">
        <f>'Combined data'!BK128-'Combined data'!BJ128</f>
        <v>13</v>
      </c>
      <c r="BL128" s="17">
        <f>'Combined data'!BL128-'Combined data'!BK128</f>
        <v>6</v>
      </c>
      <c r="BM128" s="17">
        <f>'Combined data'!BM128-'Combined data'!BL128</f>
        <v>6</v>
      </c>
      <c r="BN128" s="17">
        <f>'Combined data'!BN128-'Combined data'!BM128</f>
        <v>19</v>
      </c>
      <c r="BO128" s="17">
        <f>'Combined data'!BO128-'Combined data'!BN128</f>
        <v>-728</v>
      </c>
      <c r="BP128" s="17">
        <f>'Combined data'!BP128-'Combined data'!BO128</f>
        <v>0</v>
      </c>
      <c r="BQ128" s="17">
        <f>'Combined data'!BQ128-'Combined data'!BP128</f>
        <v>0</v>
      </c>
      <c r="BR128" s="17">
        <f>'Combined data'!BR128-'Combined data'!BQ128</f>
        <v>0</v>
      </c>
      <c r="BS128" s="17">
        <f>'Combined data'!BS128-'Combined data'!BR128</f>
        <v>0</v>
      </c>
      <c r="BT128" s="17">
        <f>'Combined data'!BT128-'Combined data'!BS128</f>
        <v>0</v>
      </c>
      <c r="BU128" s="17">
        <f>'Combined data'!BU128-'Combined data'!BT128</f>
        <v>0</v>
      </c>
      <c r="BV128" s="17">
        <f>'Combined data'!BV128-'Combined data'!BU128</f>
        <v>0</v>
      </c>
      <c r="BW128" s="17">
        <f>'Combined data'!BW128-'Combined data'!BV128</f>
        <v>0</v>
      </c>
      <c r="BX128" s="17">
        <f>'Combined data'!BX128-'Combined data'!BW128</f>
        <v>0</v>
      </c>
      <c r="BY128" s="17">
        <f>'Combined data'!BY128-'Combined data'!BX128</f>
        <v>0</v>
      </c>
      <c r="CB128" s="17">
        <f t="shared" si="74"/>
        <v>243</v>
      </c>
      <c r="CC128" s="17">
        <f t="shared" si="75"/>
        <v>47</v>
      </c>
      <c r="CD128" s="17">
        <f t="shared" si="76"/>
        <v>40</v>
      </c>
      <c r="CE128" s="17">
        <f t="shared" si="77"/>
        <v>46</v>
      </c>
      <c r="CF128" s="17">
        <f t="shared" si="78"/>
        <v>31</v>
      </c>
      <c r="CG128" s="17">
        <f t="shared" si="79"/>
        <v>23</v>
      </c>
      <c r="CH128" s="17">
        <f t="shared" si="80"/>
        <v>45</v>
      </c>
      <c r="CI128" s="17">
        <f t="shared" si="81"/>
        <v>33</v>
      </c>
      <c r="CJ128" s="17">
        <f t="shared" si="82"/>
        <v>9</v>
      </c>
      <c r="CK128" s="17">
        <f t="shared" si="83"/>
        <v>20</v>
      </c>
      <c r="CL128" s="17">
        <f t="shared" si="84"/>
        <v>21</v>
      </c>
      <c r="CM128" s="17">
        <f t="shared" si="85"/>
        <v>24</v>
      </c>
      <c r="CN128" s="17">
        <f t="shared" si="86"/>
        <v>14</v>
      </c>
      <c r="CO128" s="17">
        <f t="shared" si="87"/>
        <v>21</v>
      </c>
      <c r="CP128" s="17">
        <f t="shared" si="88"/>
        <v>23</v>
      </c>
      <c r="CQ128" s="17">
        <f t="shared" si="89"/>
        <v>15</v>
      </c>
      <c r="CR128" s="17">
        <f t="shared" si="90"/>
        <v>4</v>
      </c>
      <c r="CS128" s="17">
        <f t="shared" si="91"/>
        <v>5</v>
      </c>
      <c r="CT128" s="17">
        <f t="shared" si="92"/>
        <v>20</v>
      </c>
      <c r="CU128" s="17">
        <f t="shared" si="93"/>
        <v>13</v>
      </c>
      <c r="CV128" s="17">
        <f t="shared" si="94"/>
        <v>6</v>
      </c>
      <c r="CW128" s="17">
        <f t="shared" si="95"/>
        <v>6</v>
      </c>
      <c r="CX128" s="17">
        <f t="shared" si="97"/>
        <v>19</v>
      </c>
      <c r="CY128" s="17">
        <f t="shared" si="97"/>
        <v>-728</v>
      </c>
      <c r="CZ128" s="17">
        <f t="shared" si="97"/>
        <v>0</v>
      </c>
      <c r="DA128" s="17">
        <f t="shared" si="97"/>
        <v>0</v>
      </c>
      <c r="DB128" s="17">
        <f t="shared" si="97"/>
        <v>0</v>
      </c>
      <c r="DC128" s="17">
        <f t="shared" si="97"/>
        <v>0</v>
      </c>
      <c r="DD128" s="17">
        <f t="shared" si="97"/>
        <v>0</v>
      </c>
      <c r="DE128" s="17">
        <f t="shared" si="97"/>
        <v>0</v>
      </c>
      <c r="DF128" s="17">
        <f t="shared" si="97"/>
        <v>0</v>
      </c>
      <c r="DG128" s="17">
        <f t="shared" si="97"/>
        <v>0</v>
      </c>
      <c r="DH128" s="17">
        <f t="shared" si="97"/>
        <v>0</v>
      </c>
      <c r="DI128" s="17">
        <f t="shared" si="97"/>
        <v>0</v>
      </c>
    </row>
    <row r="129" spans="1:113" ht="15.75" x14ac:dyDescent="0.25">
      <c r="A129" s="4" t="s">
        <v>247</v>
      </c>
      <c r="B129" s="6" t="s">
        <v>248</v>
      </c>
      <c r="H129" s="90">
        <f>'Combined data'!H129</f>
        <v>223</v>
      </c>
      <c r="I129" s="90">
        <f>'Combined data'!I129-'Combined data'!H129</f>
        <v>12</v>
      </c>
      <c r="J129" s="90">
        <f>'Combined data'!J129-'Combined data'!I129</f>
        <v>3</v>
      </c>
      <c r="K129" s="90">
        <f>'Combined data'!K129-'Combined data'!J129</f>
        <v>14</v>
      </c>
      <c r="L129" s="90">
        <f>'Combined data'!L129-'Combined data'!K129</f>
        <v>6</v>
      </c>
      <c r="M129" s="90">
        <f>'Combined data'!M129-'Combined data'!L129</f>
        <v>9</v>
      </c>
      <c r="N129" s="90">
        <f>'Combined data'!N129-'Combined data'!M129</f>
        <v>11</v>
      </c>
      <c r="O129" s="90">
        <f>'Combined data'!O129-'Combined data'!N129</f>
        <v>12</v>
      </c>
      <c r="P129" s="90">
        <f>'Combined data'!P129-'Combined data'!O129</f>
        <v>5</v>
      </c>
      <c r="Q129" s="90">
        <f>'Combined data'!Q129-'Combined data'!P129</f>
        <v>4</v>
      </c>
      <c r="R129" s="90">
        <f>'Combined data'!R129-'Combined data'!Q129</f>
        <v>1</v>
      </c>
      <c r="S129" s="90">
        <f>'Combined data'!S129-'Combined data'!R129</f>
        <v>4</v>
      </c>
      <c r="T129" s="90">
        <f>'Combined data'!T129-'Combined data'!S129</f>
        <v>3</v>
      </c>
      <c r="U129" s="90">
        <f>'Combined data'!U129-'Combined data'!T129</f>
        <v>12</v>
      </c>
      <c r="V129" s="90">
        <f>'Combined data'!V129-'Combined data'!U129</f>
        <v>8</v>
      </c>
      <c r="W129" s="90">
        <f>'Combined data'!W129-'Combined data'!V129</f>
        <v>5</v>
      </c>
      <c r="X129" s="90">
        <f>'Combined data'!X129-'Combined data'!W129</f>
        <v>3</v>
      </c>
      <c r="Y129" s="90">
        <f>'Combined data'!Y129-'Combined data'!X129</f>
        <v>8</v>
      </c>
      <c r="Z129" s="90">
        <f>'Combined data'!Z129-'Combined data'!Y129</f>
        <v>8</v>
      </c>
      <c r="AA129" s="90">
        <f>'Combined data'!AA129-'Combined data'!Z129</f>
        <v>0</v>
      </c>
      <c r="AB129" s="90">
        <f>'Combined data'!AB129-'Combined data'!AA129</f>
        <v>1</v>
      </c>
      <c r="AC129" s="90">
        <f>'Combined data'!AC129-'Combined data'!AB129</f>
        <v>-1</v>
      </c>
      <c r="AD129" s="90">
        <f>'Combined data'!AD129-'Combined data'!AC129</f>
        <v>15</v>
      </c>
      <c r="AE129" s="90">
        <f>'Combined data'!AE129-'Combined data'!AD129</f>
        <v>-366</v>
      </c>
      <c r="AF129" s="90">
        <f>'Combined data'!AF129-'Combined data'!AE129</f>
        <v>0</v>
      </c>
      <c r="AG129" s="90">
        <f>'Combined data'!AG129-'Combined data'!AF129</f>
        <v>0</v>
      </c>
      <c r="AH129" s="90">
        <f>'Combined data'!AH129-'Combined data'!AG129</f>
        <v>0</v>
      </c>
      <c r="AI129" s="90">
        <f>'Combined data'!AI129-'Combined data'!AH129</f>
        <v>0</v>
      </c>
      <c r="AJ129" s="90">
        <f>'Combined data'!AJ129-'Combined data'!AI129</f>
        <v>0</v>
      </c>
      <c r="AK129" s="90">
        <f>'Combined data'!AK129-'Combined data'!AJ129</f>
        <v>0</v>
      </c>
      <c r="AL129" s="90">
        <f>'Combined data'!AL129-'Combined data'!AK129</f>
        <v>0</v>
      </c>
      <c r="AM129" s="90">
        <f>'Combined data'!AM129-'Combined data'!AL129</f>
        <v>0</v>
      </c>
      <c r="AN129" s="90">
        <f>'Combined data'!AN129-'Combined data'!AM129</f>
        <v>0</v>
      </c>
      <c r="AO129" s="90">
        <f>'Combined data'!AO129-'Combined data'!AN129</f>
        <v>0</v>
      </c>
      <c r="AP129" s="56">
        <f t="shared" si="72"/>
        <v>0</v>
      </c>
      <c r="AQ129" s="113"/>
      <c r="AR129" s="17">
        <f>'Combined data'!AR129</f>
        <v>107</v>
      </c>
      <c r="AS129" s="17">
        <f>'Combined data'!AS129-'Combined data'!AR129</f>
        <v>19</v>
      </c>
      <c r="AT129" s="17">
        <f>'Combined data'!AT129-'Combined data'!AS129</f>
        <v>16</v>
      </c>
      <c r="AU129" s="17">
        <f>'Combined data'!AU129-'Combined data'!AT129</f>
        <v>12</v>
      </c>
      <c r="AV129" s="17">
        <f>'Combined data'!AV129-'Combined data'!AU129</f>
        <v>10</v>
      </c>
      <c r="AW129" s="17">
        <f>'Combined data'!AW129-'Combined data'!AV129</f>
        <v>13</v>
      </c>
      <c r="AX129" s="17">
        <f>'Combined data'!AX129-'Combined data'!AW129</f>
        <v>17</v>
      </c>
      <c r="AY129" s="17">
        <f>'Combined data'!AY129-'Combined data'!AX129</f>
        <v>9</v>
      </c>
      <c r="AZ129" s="17">
        <f>'Combined data'!AZ129-'Combined data'!AY129</f>
        <v>9</v>
      </c>
      <c r="BA129" s="17">
        <f>'Combined data'!BA129-'Combined data'!AZ129</f>
        <v>8</v>
      </c>
      <c r="BB129" s="17">
        <f>'Combined data'!BB129-'Combined data'!BA129</f>
        <v>2</v>
      </c>
      <c r="BC129" s="17">
        <f>'Combined data'!BC129-'Combined data'!BB129</f>
        <v>2</v>
      </c>
      <c r="BD129" s="17">
        <f>'Combined data'!BD129-'Combined data'!BC129</f>
        <v>11</v>
      </c>
      <c r="BE129" s="17">
        <f>'Combined data'!BE129-'Combined data'!BD129</f>
        <v>4</v>
      </c>
      <c r="BF129" s="17">
        <f>'Combined data'!BF129-'Combined data'!BE129</f>
        <v>7</v>
      </c>
      <c r="BG129" s="17">
        <f>'Combined data'!BG129-'Combined data'!BF129</f>
        <v>3</v>
      </c>
      <c r="BH129" s="17">
        <f>'Combined data'!BH129-'Combined data'!BG129</f>
        <v>6</v>
      </c>
      <c r="BI129" s="17">
        <f>'Combined data'!BI129-'Combined data'!BH129</f>
        <v>1</v>
      </c>
      <c r="BJ129" s="17">
        <f>'Combined data'!BJ129-'Combined data'!BI129</f>
        <v>7</v>
      </c>
      <c r="BK129" s="17">
        <f>'Combined data'!BK129-'Combined data'!BJ129</f>
        <v>8</v>
      </c>
      <c r="BL129" s="17">
        <f>'Combined data'!BL129-'Combined data'!BK129</f>
        <v>13</v>
      </c>
      <c r="BM129" s="17">
        <f>'Combined data'!BM129-'Combined data'!BL129</f>
        <v>4</v>
      </c>
      <c r="BN129" s="17">
        <f>'Combined data'!BN129-'Combined data'!BM129</f>
        <v>8</v>
      </c>
      <c r="BO129" s="17">
        <f>'Combined data'!BO129-'Combined data'!BN129</f>
        <v>-296</v>
      </c>
      <c r="BP129" s="17">
        <f>'Combined data'!BP129-'Combined data'!BO129</f>
        <v>0</v>
      </c>
      <c r="BQ129" s="17">
        <f>'Combined data'!BQ129-'Combined data'!BP129</f>
        <v>0</v>
      </c>
      <c r="BR129" s="17">
        <f>'Combined data'!BR129-'Combined data'!BQ129</f>
        <v>0</v>
      </c>
      <c r="BS129" s="17">
        <f>'Combined data'!BS129-'Combined data'!BR129</f>
        <v>0</v>
      </c>
      <c r="BT129" s="17">
        <f>'Combined data'!BT129-'Combined data'!BS129</f>
        <v>0</v>
      </c>
      <c r="BU129" s="17">
        <f>'Combined data'!BU129-'Combined data'!BT129</f>
        <v>0</v>
      </c>
      <c r="BV129" s="17">
        <f>'Combined data'!BV129-'Combined data'!BU129</f>
        <v>0</v>
      </c>
      <c r="BW129" s="17">
        <f>'Combined data'!BW129-'Combined data'!BV129</f>
        <v>0</v>
      </c>
      <c r="BX129" s="17">
        <f>'Combined data'!BX129-'Combined data'!BW129</f>
        <v>0</v>
      </c>
      <c r="BY129" s="17">
        <f>'Combined data'!BY129-'Combined data'!BX129</f>
        <v>0</v>
      </c>
      <c r="CB129" s="17">
        <f t="shared" si="74"/>
        <v>107</v>
      </c>
      <c r="CC129" s="17">
        <f t="shared" si="75"/>
        <v>19</v>
      </c>
      <c r="CD129" s="17">
        <f t="shared" si="76"/>
        <v>16</v>
      </c>
      <c r="CE129" s="17">
        <f t="shared" si="77"/>
        <v>12</v>
      </c>
      <c r="CF129" s="17">
        <f t="shared" si="78"/>
        <v>10</v>
      </c>
      <c r="CG129" s="17">
        <f t="shared" si="79"/>
        <v>13</v>
      </c>
      <c r="CH129" s="17">
        <f t="shared" si="80"/>
        <v>17</v>
      </c>
      <c r="CI129" s="17">
        <f t="shared" si="81"/>
        <v>9</v>
      </c>
      <c r="CJ129" s="17">
        <f t="shared" si="82"/>
        <v>9</v>
      </c>
      <c r="CK129" s="17">
        <f t="shared" si="83"/>
        <v>8</v>
      </c>
      <c r="CL129" s="17">
        <f t="shared" si="84"/>
        <v>2</v>
      </c>
      <c r="CM129" s="17">
        <f t="shared" si="85"/>
        <v>2</v>
      </c>
      <c r="CN129" s="17">
        <f t="shared" si="86"/>
        <v>11</v>
      </c>
      <c r="CO129" s="17">
        <f t="shared" si="87"/>
        <v>4</v>
      </c>
      <c r="CP129" s="17">
        <f t="shared" si="88"/>
        <v>7</v>
      </c>
      <c r="CQ129" s="17">
        <f t="shared" si="89"/>
        <v>3</v>
      </c>
      <c r="CR129" s="17">
        <f t="shared" si="90"/>
        <v>6</v>
      </c>
      <c r="CS129" s="17">
        <f t="shared" si="91"/>
        <v>1</v>
      </c>
      <c r="CT129" s="17">
        <f t="shared" si="92"/>
        <v>7</v>
      </c>
      <c r="CU129" s="17">
        <f t="shared" si="93"/>
        <v>8</v>
      </c>
      <c r="CV129" s="17">
        <f t="shared" si="94"/>
        <v>13</v>
      </c>
      <c r="CW129" s="17">
        <f t="shared" si="95"/>
        <v>4</v>
      </c>
      <c r="CX129" s="17">
        <f t="shared" si="97"/>
        <v>8</v>
      </c>
      <c r="CY129" s="17">
        <f t="shared" si="97"/>
        <v>-296</v>
      </c>
      <c r="CZ129" s="17">
        <f t="shared" si="97"/>
        <v>0</v>
      </c>
      <c r="DA129" s="17">
        <f t="shared" si="97"/>
        <v>0</v>
      </c>
      <c r="DB129" s="17">
        <f t="shared" si="97"/>
        <v>0</v>
      </c>
      <c r="DC129" s="17">
        <f t="shared" si="97"/>
        <v>0</v>
      </c>
      <c r="DD129" s="17">
        <f t="shared" si="97"/>
        <v>0</v>
      </c>
      <c r="DE129" s="17">
        <f t="shared" si="97"/>
        <v>0</v>
      </c>
      <c r="DF129" s="17">
        <f t="shared" si="97"/>
        <v>0</v>
      </c>
      <c r="DG129" s="17">
        <f t="shared" si="97"/>
        <v>0</v>
      </c>
      <c r="DH129" s="17">
        <f t="shared" si="97"/>
        <v>0</v>
      </c>
      <c r="DI129" s="17">
        <f t="shared" si="97"/>
        <v>0</v>
      </c>
    </row>
    <row r="130" spans="1:113" ht="15.75" x14ac:dyDescent="0.25">
      <c r="A130" s="4" t="s">
        <v>249</v>
      </c>
      <c r="B130" s="6" t="s">
        <v>250</v>
      </c>
      <c r="H130" s="90">
        <f>'Combined data'!H130</f>
        <v>87</v>
      </c>
      <c r="I130" s="90">
        <f>'Combined data'!I130-'Combined data'!H130</f>
        <v>-1</v>
      </c>
      <c r="J130" s="90">
        <f>'Combined data'!J130-'Combined data'!I130</f>
        <v>6</v>
      </c>
      <c r="K130" s="90">
        <f>'Combined data'!K130-'Combined data'!J130</f>
        <v>6</v>
      </c>
      <c r="L130" s="90">
        <f>'Combined data'!L130-'Combined data'!K130</f>
        <v>0</v>
      </c>
      <c r="M130" s="90">
        <f>'Combined data'!M130-'Combined data'!L130</f>
        <v>5</v>
      </c>
      <c r="N130" s="90">
        <f>'Combined data'!N130-'Combined data'!M130</f>
        <v>5</v>
      </c>
      <c r="O130" s="90">
        <f>'Combined data'!O130-'Combined data'!N130</f>
        <v>4</v>
      </c>
      <c r="P130" s="90">
        <f>'Combined data'!P130-'Combined data'!O130</f>
        <v>5</v>
      </c>
      <c r="Q130" s="90">
        <f>'Combined data'!Q130-'Combined data'!P130</f>
        <v>2</v>
      </c>
      <c r="R130" s="90">
        <f>'Combined data'!R130-'Combined data'!Q130</f>
        <v>4</v>
      </c>
      <c r="S130" s="90">
        <f>'Combined data'!S130-'Combined data'!R130</f>
        <v>4</v>
      </c>
      <c r="T130" s="90">
        <f>'Combined data'!T130-'Combined data'!S130</f>
        <v>7</v>
      </c>
      <c r="U130" s="90">
        <f>'Combined data'!U130-'Combined data'!T130</f>
        <v>7</v>
      </c>
      <c r="V130" s="90">
        <f>'Combined data'!V130-'Combined data'!U130</f>
        <v>4</v>
      </c>
      <c r="W130" s="90">
        <f>'Combined data'!W130-'Combined data'!V130</f>
        <v>2</v>
      </c>
      <c r="X130" s="90">
        <f>'Combined data'!X130-'Combined data'!W130</f>
        <v>4</v>
      </c>
      <c r="Y130" s="90">
        <f>'Combined data'!Y130-'Combined data'!X130</f>
        <v>1</v>
      </c>
      <c r="Z130" s="90">
        <f>'Combined data'!Z130-'Combined data'!Y130</f>
        <v>5</v>
      </c>
      <c r="AA130" s="90">
        <f>'Combined data'!AA130-'Combined data'!Z130</f>
        <v>2</v>
      </c>
      <c r="AB130" s="90">
        <f>'Combined data'!AB130-'Combined data'!AA130</f>
        <v>2</v>
      </c>
      <c r="AC130" s="90">
        <f>'Combined data'!AC130-'Combined data'!AB130</f>
        <v>0</v>
      </c>
      <c r="AD130" s="90">
        <f>'Combined data'!AD130-'Combined data'!AC130</f>
        <v>4</v>
      </c>
      <c r="AE130" s="90">
        <f>'Combined data'!AE130-'Combined data'!AD130</f>
        <v>-165</v>
      </c>
      <c r="AF130" s="90">
        <f>'Combined data'!AF130-'Combined data'!AE130</f>
        <v>0</v>
      </c>
      <c r="AG130" s="90">
        <f>'Combined data'!AG130-'Combined data'!AF130</f>
        <v>0</v>
      </c>
      <c r="AH130" s="90">
        <f>'Combined data'!AH130-'Combined data'!AG130</f>
        <v>0</v>
      </c>
      <c r="AI130" s="90">
        <f>'Combined data'!AI130-'Combined data'!AH130</f>
        <v>0</v>
      </c>
      <c r="AJ130" s="90">
        <f>'Combined data'!AJ130-'Combined data'!AI130</f>
        <v>0</v>
      </c>
      <c r="AK130" s="90">
        <f>'Combined data'!AK130-'Combined data'!AJ130</f>
        <v>0</v>
      </c>
      <c r="AL130" s="90">
        <f>'Combined data'!AL130-'Combined data'!AK130</f>
        <v>0</v>
      </c>
      <c r="AM130" s="90">
        <f>'Combined data'!AM130-'Combined data'!AL130</f>
        <v>0</v>
      </c>
      <c r="AN130" s="90">
        <f>'Combined data'!AN130-'Combined data'!AM130</f>
        <v>0</v>
      </c>
      <c r="AO130" s="90">
        <f>'Combined data'!AO130-'Combined data'!AN130</f>
        <v>0</v>
      </c>
      <c r="AP130" s="56">
        <f t="shared" si="72"/>
        <v>0</v>
      </c>
      <c r="AQ130" s="113"/>
      <c r="AR130" s="17">
        <f>'Combined data'!AR130</f>
        <v>40</v>
      </c>
      <c r="AS130" s="17">
        <f>'Combined data'!AS130-'Combined data'!AR130</f>
        <v>5</v>
      </c>
      <c r="AT130" s="17">
        <f>'Combined data'!AT130-'Combined data'!AS130</f>
        <v>8</v>
      </c>
      <c r="AU130" s="17">
        <f>'Combined data'!AU130-'Combined data'!AT130</f>
        <v>16</v>
      </c>
      <c r="AV130" s="17">
        <f>'Combined data'!AV130-'Combined data'!AU130</f>
        <v>5</v>
      </c>
      <c r="AW130" s="17">
        <f>'Combined data'!AW130-'Combined data'!AV130</f>
        <v>3</v>
      </c>
      <c r="AX130" s="17">
        <f>'Combined data'!AX130-'Combined data'!AW130</f>
        <v>5</v>
      </c>
      <c r="AY130" s="17">
        <f>'Combined data'!AY130-'Combined data'!AX130</f>
        <v>0</v>
      </c>
      <c r="AZ130" s="17">
        <f>'Combined data'!AZ130-'Combined data'!AY130</f>
        <v>3</v>
      </c>
      <c r="BA130" s="17">
        <f>'Combined data'!BA130-'Combined data'!AZ130</f>
        <v>2</v>
      </c>
      <c r="BB130" s="17">
        <f>'Combined data'!BB130-'Combined data'!BA130</f>
        <v>2</v>
      </c>
      <c r="BC130" s="17">
        <f>'Combined data'!BC130-'Combined data'!BB130</f>
        <v>5</v>
      </c>
      <c r="BD130" s="17">
        <f>'Combined data'!BD130-'Combined data'!BC130</f>
        <v>3</v>
      </c>
      <c r="BE130" s="17">
        <f>'Combined data'!BE130-'Combined data'!BD130</f>
        <v>3</v>
      </c>
      <c r="BF130" s="17">
        <f>'Combined data'!BF130-'Combined data'!BE130</f>
        <v>9</v>
      </c>
      <c r="BG130" s="17">
        <f>'Combined data'!BG130-'Combined data'!BF130</f>
        <v>4</v>
      </c>
      <c r="BH130" s="17">
        <f>'Combined data'!BH130-'Combined data'!BG130</f>
        <v>6</v>
      </c>
      <c r="BI130" s="17">
        <f>'Combined data'!BI130-'Combined data'!BH130</f>
        <v>0</v>
      </c>
      <c r="BJ130" s="17">
        <f>'Combined data'!BJ130-'Combined data'!BI130</f>
        <v>1</v>
      </c>
      <c r="BK130" s="17">
        <f>'Combined data'!BK130-'Combined data'!BJ130</f>
        <v>4</v>
      </c>
      <c r="BL130" s="17">
        <f>'Combined data'!BL130-'Combined data'!BK130</f>
        <v>0</v>
      </c>
      <c r="BM130" s="17">
        <f>'Combined data'!BM130-'Combined data'!BL130</f>
        <v>3</v>
      </c>
      <c r="BN130" s="17">
        <f>'Combined data'!BN130-'Combined data'!BM130</f>
        <v>0</v>
      </c>
      <c r="BO130" s="17">
        <f>'Combined data'!BO130-'Combined data'!BN130</f>
        <v>-127</v>
      </c>
      <c r="BP130" s="17">
        <f>'Combined data'!BP130-'Combined data'!BO130</f>
        <v>0</v>
      </c>
      <c r="BQ130" s="17">
        <f>'Combined data'!BQ130-'Combined data'!BP130</f>
        <v>0</v>
      </c>
      <c r="BR130" s="17">
        <f>'Combined data'!BR130-'Combined data'!BQ130</f>
        <v>0</v>
      </c>
      <c r="BS130" s="17">
        <f>'Combined data'!BS130-'Combined data'!BR130</f>
        <v>0</v>
      </c>
      <c r="BT130" s="17">
        <f>'Combined data'!BT130-'Combined data'!BS130</f>
        <v>0</v>
      </c>
      <c r="BU130" s="17">
        <f>'Combined data'!BU130-'Combined data'!BT130</f>
        <v>0</v>
      </c>
      <c r="BV130" s="17">
        <f>'Combined data'!BV130-'Combined data'!BU130</f>
        <v>0</v>
      </c>
      <c r="BW130" s="17">
        <f>'Combined data'!BW130-'Combined data'!BV130</f>
        <v>0</v>
      </c>
      <c r="BX130" s="17">
        <f>'Combined data'!BX130-'Combined data'!BW130</f>
        <v>0</v>
      </c>
      <c r="BY130" s="17">
        <f>'Combined data'!BY130-'Combined data'!BX130</f>
        <v>0</v>
      </c>
      <c r="CB130" s="17">
        <f t="shared" si="74"/>
        <v>40</v>
      </c>
      <c r="CC130" s="17">
        <f t="shared" si="75"/>
        <v>5</v>
      </c>
      <c r="CD130" s="17">
        <f t="shared" si="76"/>
        <v>8</v>
      </c>
      <c r="CE130" s="17">
        <f t="shared" si="77"/>
        <v>16</v>
      </c>
      <c r="CF130" s="17">
        <f t="shared" si="78"/>
        <v>5</v>
      </c>
      <c r="CG130" s="17">
        <f t="shared" si="79"/>
        <v>3</v>
      </c>
      <c r="CH130" s="17">
        <f t="shared" si="80"/>
        <v>5</v>
      </c>
      <c r="CI130" s="17">
        <f t="shared" si="81"/>
        <v>0</v>
      </c>
      <c r="CJ130" s="17">
        <f t="shared" si="82"/>
        <v>3</v>
      </c>
      <c r="CK130" s="17">
        <f t="shared" si="83"/>
        <v>2</v>
      </c>
      <c r="CL130" s="17">
        <f t="shared" si="84"/>
        <v>2</v>
      </c>
      <c r="CM130" s="17">
        <f t="shared" si="85"/>
        <v>5</v>
      </c>
      <c r="CN130" s="17">
        <f t="shared" si="86"/>
        <v>3</v>
      </c>
      <c r="CO130" s="17">
        <f t="shared" si="87"/>
        <v>3</v>
      </c>
      <c r="CP130" s="17">
        <f t="shared" si="88"/>
        <v>9</v>
      </c>
      <c r="CQ130" s="17">
        <f t="shared" si="89"/>
        <v>4</v>
      </c>
      <c r="CR130" s="17">
        <f t="shared" si="90"/>
        <v>6</v>
      </c>
      <c r="CS130" s="17">
        <f t="shared" si="91"/>
        <v>0</v>
      </c>
      <c r="CT130" s="17">
        <f t="shared" si="92"/>
        <v>1</v>
      </c>
      <c r="CU130" s="17">
        <f t="shared" si="93"/>
        <v>4</v>
      </c>
      <c r="CV130" s="17">
        <f t="shared" si="94"/>
        <v>0</v>
      </c>
      <c r="CW130" s="17">
        <f t="shared" si="95"/>
        <v>3</v>
      </c>
      <c r="CX130" s="17">
        <f t="shared" si="97"/>
        <v>0</v>
      </c>
      <c r="CY130" s="17">
        <f t="shared" si="97"/>
        <v>-127</v>
      </c>
      <c r="CZ130" s="17">
        <f t="shared" si="97"/>
        <v>0</v>
      </c>
      <c r="DA130" s="17">
        <f t="shared" si="97"/>
        <v>0</v>
      </c>
      <c r="DB130" s="17">
        <f t="shared" si="97"/>
        <v>0</v>
      </c>
      <c r="DC130" s="17">
        <f t="shared" si="97"/>
        <v>0</v>
      </c>
      <c r="DD130" s="17">
        <f t="shared" si="97"/>
        <v>0</v>
      </c>
      <c r="DE130" s="17">
        <f t="shared" si="97"/>
        <v>0</v>
      </c>
      <c r="DF130" s="17">
        <f t="shared" si="97"/>
        <v>0</v>
      </c>
      <c r="DG130" s="17">
        <f t="shared" si="97"/>
        <v>0</v>
      </c>
      <c r="DH130" s="17">
        <f t="shared" si="97"/>
        <v>0</v>
      </c>
      <c r="DI130" s="17">
        <f t="shared" si="97"/>
        <v>0</v>
      </c>
    </row>
    <row r="131" spans="1:113" ht="15.75" x14ac:dyDescent="0.25">
      <c r="A131" s="4" t="s">
        <v>251</v>
      </c>
      <c r="B131" s="6" t="s">
        <v>252</v>
      </c>
      <c r="H131" s="90">
        <f>'Combined data'!H131</f>
        <v>53</v>
      </c>
      <c r="I131" s="90">
        <f>'Combined data'!I131-'Combined data'!H131</f>
        <v>4</v>
      </c>
      <c r="J131" s="90">
        <f>'Combined data'!J131-'Combined data'!I131</f>
        <v>1</v>
      </c>
      <c r="K131" s="90">
        <f>'Combined data'!K131-'Combined data'!J131</f>
        <v>9</v>
      </c>
      <c r="L131" s="90">
        <f>'Combined data'!L131-'Combined data'!K131</f>
        <v>0</v>
      </c>
      <c r="M131" s="90">
        <f>'Combined data'!M131-'Combined data'!L131</f>
        <v>0</v>
      </c>
      <c r="N131" s="90">
        <f>'Combined data'!N131-'Combined data'!M131</f>
        <v>7</v>
      </c>
      <c r="O131" s="90">
        <f>'Combined data'!O131-'Combined data'!N131</f>
        <v>4</v>
      </c>
      <c r="P131" s="90">
        <f>'Combined data'!P131-'Combined data'!O131</f>
        <v>5</v>
      </c>
      <c r="Q131" s="90">
        <f>'Combined data'!Q131-'Combined data'!P131</f>
        <v>1</v>
      </c>
      <c r="R131" s="90">
        <f>'Combined data'!R131-'Combined data'!Q131</f>
        <v>6</v>
      </c>
      <c r="S131" s="90">
        <f>'Combined data'!S131-'Combined data'!R131</f>
        <v>3</v>
      </c>
      <c r="T131" s="90">
        <f>'Combined data'!T131-'Combined data'!S131</f>
        <v>4</v>
      </c>
      <c r="U131" s="90">
        <f>'Combined data'!U131-'Combined data'!T131</f>
        <v>3</v>
      </c>
      <c r="V131" s="90">
        <f>'Combined data'!V131-'Combined data'!U131</f>
        <v>1</v>
      </c>
      <c r="W131" s="90">
        <f>'Combined data'!W131-'Combined data'!V131</f>
        <v>0</v>
      </c>
      <c r="X131" s="90">
        <f>'Combined data'!X131-'Combined data'!W131</f>
        <v>0</v>
      </c>
      <c r="Y131" s="90">
        <f>'Combined data'!Y131-'Combined data'!X131</f>
        <v>2</v>
      </c>
      <c r="Z131" s="90">
        <f>'Combined data'!Z131-'Combined data'!Y131</f>
        <v>3</v>
      </c>
      <c r="AA131" s="90">
        <f>'Combined data'!AA131-'Combined data'!Z131</f>
        <v>0</v>
      </c>
      <c r="AB131" s="90">
        <f>'Combined data'!AB131-'Combined data'!AA131</f>
        <v>3</v>
      </c>
      <c r="AC131" s="90">
        <f>'Combined data'!AC131-'Combined data'!AB131</f>
        <v>2</v>
      </c>
      <c r="AD131" s="90">
        <f>'Combined data'!AD131-'Combined data'!AC131</f>
        <v>4</v>
      </c>
      <c r="AE131" s="90">
        <f>'Combined data'!AE131-'Combined data'!AD131</f>
        <v>-115</v>
      </c>
      <c r="AF131" s="90">
        <f>'Combined data'!AF131-'Combined data'!AE131</f>
        <v>0</v>
      </c>
      <c r="AG131" s="90">
        <f>'Combined data'!AG131-'Combined data'!AF131</f>
        <v>0</v>
      </c>
      <c r="AH131" s="90">
        <f>'Combined data'!AH131-'Combined data'!AG131</f>
        <v>0</v>
      </c>
      <c r="AI131" s="90">
        <f>'Combined data'!AI131-'Combined data'!AH131</f>
        <v>0</v>
      </c>
      <c r="AJ131" s="90">
        <f>'Combined data'!AJ131-'Combined data'!AI131</f>
        <v>0</v>
      </c>
      <c r="AK131" s="90">
        <f>'Combined data'!AK131-'Combined data'!AJ131</f>
        <v>0</v>
      </c>
      <c r="AL131" s="90">
        <f>'Combined data'!AL131-'Combined data'!AK131</f>
        <v>0</v>
      </c>
      <c r="AM131" s="90">
        <f>'Combined data'!AM131-'Combined data'!AL131</f>
        <v>0</v>
      </c>
      <c r="AN131" s="90">
        <f>'Combined data'!AN131-'Combined data'!AM131</f>
        <v>0</v>
      </c>
      <c r="AO131" s="90">
        <f>'Combined data'!AO131-'Combined data'!AN131</f>
        <v>0</v>
      </c>
      <c r="AP131" s="56">
        <f t="shared" si="72"/>
        <v>0</v>
      </c>
      <c r="AQ131" s="113"/>
      <c r="AR131" s="17">
        <f>'Combined data'!AR131</f>
        <v>21</v>
      </c>
      <c r="AS131" s="17">
        <f>'Combined data'!AS131-'Combined data'!AR131</f>
        <v>6</v>
      </c>
      <c r="AT131" s="17">
        <f>'Combined data'!AT131-'Combined data'!AS131</f>
        <v>9</v>
      </c>
      <c r="AU131" s="17">
        <f>'Combined data'!AU131-'Combined data'!AT131</f>
        <v>5</v>
      </c>
      <c r="AV131" s="17">
        <f>'Combined data'!AV131-'Combined data'!AU131</f>
        <v>6</v>
      </c>
      <c r="AW131" s="17">
        <f>'Combined data'!AW131-'Combined data'!AV131</f>
        <v>10</v>
      </c>
      <c r="AX131" s="17">
        <f>'Combined data'!AX131-'Combined data'!AW131</f>
        <v>3</v>
      </c>
      <c r="AY131" s="17">
        <f>'Combined data'!AY131-'Combined data'!AX131</f>
        <v>2</v>
      </c>
      <c r="AZ131" s="17">
        <f>'Combined data'!AZ131-'Combined data'!AY131</f>
        <v>3</v>
      </c>
      <c r="BA131" s="17">
        <f>'Combined data'!BA131-'Combined data'!AZ131</f>
        <v>1</v>
      </c>
      <c r="BB131" s="17">
        <f>'Combined data'!BB131-'Combined data'!BA131</f>
        <v>1</v>
      </c>
      <c r="BC131" s="17">
        <f>'Combined data'!BC131-'Combined data'!BB131</f>
        <v>6</v>
      </c>
      <c r="BD131" s="17">
        <f>'Combined data'!BD131-'Combined data'!BC131</f>
        <v>7</v>
      </c>
      <c r="BE131" s="17">
        <f>'Combined data'!BE131-'Combined data'!BD131</f>
        <v>3</v>
      </c>
      <c r="BF131" s="17">
        <f>'Combined data'!BF131-'Combined data'!BE131</f>
        <v>0</v>
      </c>
      <c r="BG131" s="17">
        <f>'Combined data'!BG131-'Combined data'!BF131</f>
        <v>0</v>
      </c>
      <c r="BH131" s="17">
        <f>'Combined data'!BH131-'Combined data'!BG131</f>
        <v>0</v>
      </c>
      <c r="BI131" s="17">
        <f>'Combined data'!BI131-'Combined data'!BH131</f>
        <v>3</v>
      </c>
      <c r="BJ131" s="17">
        <f>'Combined data'!BJ131-'Combined data'!BI131</f>
        <v>2</v>
      </c>
      <c r="BK131" s="17">
        <f>'Combined data'!BK131-'Combined data'!BJ131</f>
        <v>0</v>
      </c>
      <c r="BL131" s="17">
        <f>'Combined data'!BL131-'Combined data'!BK131</f>
        <v>2</v>
      </c>
      <c r="BM131" s="17">
        <f>'Combined data'!BM131-'Combined data'!BL131</f>
        <v>3</v>
      </c>
      <c r="BN131" s="17">
        <f>'Combined data'!BN131-'Combined data'!BM131</f>
        <v>1</v>
      </c>
      <c r="BO131" s="17">
        <f>'Combined data'!BO131-'Combined data'!BN131</f>
        <v>-94</v>
      </c>
      <c r="BP131" s="17">
        <f>'Combined data'!BP131-'Combined data'!BO131</f>
        <v>0</v>
      </c>
      <c r="BQ131" s="17">
        <f>'Combined data'!BQ131-'Combined data'!BP131</f>
        <v>0</v>
      </c>
      <c r="BR131" s="17">
        <f>'Combined data'!BR131-'Combined data'!BQ131</f>
        <v>0</v>
      </c>
      <c r="BS131" s="17">
        <f>'Combined data'!BS131-'Combined data'!BR131</f>
        <v>0</v>
      </c>
      <c r="BT131" s="17">
        <f>'Combined data'!BT131-'Combined data'!BS131</f>
        <v>0</v>
      </c>
      <c r="BU131" s="17">
        <f>'Combined data'!BU131-'Combined data'!BT131</f>
        <v>0</v>
      </c>
      <c r="BV131" s="17">
        <f>'Combined data'!BV131-'Combined data'!BU131</f>
        <v>0</v>
      </c>
      <c r="BW131" s="17">
        <f>'Combined data'!BW131-'Combined data'!BV131</f>
        <v>0</v>
      </c>
      <c r="BX131" s="17">
        <f>'Combined data'!BX131-'Combined data'!BW131</f>
        <v>0</v>
      </c>
      <c r="BY131" s="17">
        <f>'Combined data'!BY131-'Combined data'!BX131</f>
        <v>0</v>
      </c>
      <c r="CB131" s="17">
        <f t="shared" si="74"/>
        <v>21</v>
      </c>
      <c r="CC131" s="17">
        <f t="shared" si="75"/>
        <v>6</v>
      </c>
      <c r="CD131" s="17">
        <f t="shared" si="76"/>
        <v>9</v>
      </c>
      <c r="CE131" s="17">
        <f t="shared" si="77"/>
        <v>5</v>
      </c>
      <c r="CF131" s="17">
        <f t="shared" si="78"/>
        <v>6</v>
      </c>
      <c r="CG131" s="17">
        <f t="shared" si="79"/>
        <v>10</v>
      </c>
      <c r="CH131" s="17">
        <f t="shared" si="80"/>
        <v>3</v>
      </c>
      <c r="CI131" s="17">
        <f t="shared" si="81"/>
        <v>2</v>
      </c>
      <c r="CJ131" s="17">
        <f t="shared" si="82"/>
        <v>3</v>
      </c>
      <c r="CK131" s="17">
        <f t="shared" si="83"/>
        <v>1</v>
      </c>
      <c r="CL131" s="17">
        <f t="shared" si="84"/>
        <v>1</v>
      </c>
      <c r="CM131" s="17">
        <f t="shared" si="85"/>
        <v>6</v>
      </c>
      <c r="CN131" s="17">
        <f t="shared" si="86"/>
        <v>7</v>
      </c>
      <c r="CO131" s="17">
        <f t="shared" si="87"/>
        <v>3</v>
      </c>
      <c r="CP131" s="17">
        <f t="shared" si="88"/>
        <v>0</v>
      </c>
      <c r="CQ131" s="17">
        <f t="shared" si="89"/>
        <v>0</v>
      </c>
      <c r="CR131" s="17">
        <f t="shared" si="90"/>
        <v>0</v>
      </c>
      <c r="CS131" s="17">
        <f t="shared" si="91"/>
        <v>3</v>
      </c>
      <c r="CT131" s="17">
        <f t="shared" si="92"/>
        <v>2</v>
      </c>
      <c r="CU131" s="17">
        <f t="shared" si="93"/>
        <v>0</v>
      </c>
      <c r="CV131" s="17">
        <f t="shared" si="94"/>
        <v>2</v>
      </c>
      <c r="CW131" s="17">
        <f t="shared" si="95"/>
        <v>3</v>
      </c>
      <c r="CX131" s="17">
        <f t="shared" si="97"/>
        <v>1</v>
      </c>
      <c r="CY131" s="17">
        <f t="shared" si="97"/>
        <v>-94</v>
      </c>
      <c r="CZ131" s="17">
        <f t="shared" si="97"/>
        <v>0</v>
      </c>
      <c r="DA131" s="17">
        <f t="shared" si="97"/>
        <v>0</v>
      </c>
      <c r="DB131" s="17">
        <f t="shared" si="97"/>
        <v>0</v>
      </c>
      <c r="DC131" s="17">
        <f t="shared" si="97"/>
        <v>0</v>
      </c>
      <c r="DD131" s="17">
        <f t="shared" si="97"/>
        <v>0</v>
      </c>
      <c r="DE131" s="17">
        <f t="shared" si="97"/>
        <v>0</v>
      </c>
      <c r="DF131" s="17">
        <f t="shared" si="97"/>
        <v>0</v>
      </c>
      <c r="DG131" s="17">
        <f t="shared" si="97"/>
        <v>0</v>
      </c>
      <c r="DH131" s="17">
        <f t="shared" si="97"/>
        <v>0</v>
      </c>
      <c r="DI131" s="17">
        <f t="shared" si="97"/>
        <v>0</v>
      </c>
    </row>
    <row r="132" spans="1:113" ht="15.75" x14ac:dyDescent="0.25">
      <c r="A132" s="4" t="s">
        <v>253</v>
      </c>
      <c r="B132" s="6" t="s">
        <v>254</v>
      </c>
      <c r="H132" s="90">
        <f>'Combined data'!H132</f>
        <v>772</v>
      </c>
      <c r="I132" s="90">
        <f>'Combined data'!I132-'Combined data'!H132</f>
        <v>47</v>
      </c>
      <c r="J132" s="90">
        <f>'Combined data'!J132-'Combined data'!I132</f>
        <v>55</v>
      </c>
      <c r="K132" s="90">
        <f>'Combined data'!K132-'Combined data'!J132</f>
        <v>72</v>
      </c>
      <c r="L132" s="90">
        <f>'Combined data'!L132-'Combined data'!K132</f>
        <v>20</v>
      </c>
      <c r="M132" s="90">
        <f>'Combined data'!M132-'Combined data'!L132</f>
        <v>28</v>
      </c>
      <c r="N132" s="90">
        <f>'Combined data'!N132-'Combined data'!M132</f>
        <v>70</v>
      </c>
      <c r="O132" s="90">
        <f>'Combined data'!O132-'Combined data'!N132</f>
        <v>59</v>
      </c>
      <c r="P132" s="90">
        <f>'Combined data'!P132-'Combined data'!O132</f>
        <v>49</v>
      </c>
      <c r="Q132" s="90">
        <f>'Combined data'!Q132-'Combined data'!P132</f>
        <v>28</v>
      </c>
      <c r="R132" s="90">
        <f>'Combined data'!R132-'Combined data'!Q132</f>
        <v>9</v>
      </c>
      <c r="S132" s="90">
        <f>'Combined data'!S132-'Combined data'!R132</f>
        <v>19</v>
      </c>
      <c r="T132" s="90">
        <f>'Combined data'!T132-'Combined data'!S132</f>
        <v>25</v>
      </c>
      <c r="U132" s="90">
        <f>'Combined data'!U132-'Combined data'!T132</f>
        <v>27</v>
      </c>
      <c r="V132" s="90">
        <f>'Combined data'!V132-'Combined data'!U132</f>
        <v>20</v>
      </c>
      <c r="W132" s="90">
        <f>'Combined data'!W132-'Combined data'!V132</f>
        <v>9</v>
      </c>
      <c r="X132" s="90">
        <f>'Combined data'!X132-'Combined data'!W132</f>
        <v>10</v>
      </c>
      <c r="Y132" s="90">
        <f>'Combined data'!Y132-'Combined data'!X132</f>
        <v>17</v>
      </c>
      <c r="Z132" s="90">
        <f>'Combined data'!Z132-'Combined data'!Y132</f>
        <v>20</v>
      </c>
      <c r="AA132" s="90">
        <f>'Combined data'!AA132-'Combined data'!Z132</f>
        <v>7</v>
      </c>
      <c r="AB132" s="90">
        <f>'Combined data'!AB132-'Combined data'!AA132</f>
        <v>3</v>
      </c>
      <c r="AC132" s="90">
        <f>'Combined data'!AC132-'Combined data'!AB132</f>
        <v>-1</v>
      </c>
      <c r="AD132" s="90">
        <f>'Combined data'!AD132-'Combined data'!AC132</f>
        <v>24</v>
      </c>
      <c r="AE132" s="90">
        <f>'Combined data'!AE132-'Combined data'!AD132</f>
        <v>-1389</v>
      </c>
      <c r="AF132" s="90">
        <f>'Combined data'!AF132-'Combined data'!AE132</f>
        <v>0</v>
      </c>
      <c r="AG132" s="90">
        <f>'Combined data'!AG132-'Combined data'!AF132</f>
        <v>0</v>
      </c>
      <c r="AH132" s="90">
        <f>'Combined data'!AH132-'Combined data'!AG132</f>
        <v>0</v>
      </c>
      <c r="AI132" s="90">
        <f>'Combined data'!AI132-'Combined data'!AH132</f>
        <v>0</v>
      </c>
      <c r="AJ132" s="90">
        <f>'Combined data'!AJ132-'Combined data'!AI132</f>
        <v>0</v>
      </c>
      <c r="AK132" s="90">
        <f>'Combined data'!AK132-'Combined data'!AJ132</f>
        <v>0</v>
      </c>
      <c r="AL132" s="90">
        <f>'Combined data'!AL132-'Combined data'!AK132</f>
        <v>0</v>
      </c>
      <c r="AM132" s="90">
        <f>'Combined data'!AM132-'Combined data'!AL132</f>
        <v>0</v>
      </c>
      <c r="AN132" s="90">
        <f>'Combined data'!AN132-'Combined data'!AM132</f>
        <v>0</v>
      </c>
      <c r="AO132" s="90">
        <f>'Combined data'!AO132-'Combined data'!AN132</f>
        <v>0</v>
      </c>
      <c r="AP132" s="56">
        <f t="shared" si="72"/>
        <v>0</v>
      </c>
      <c r="AQ132" s="113"/>
      <c r="AR132" s="17">
        <f>'Combined data'!AR132</f>
        <v>367</v>
      </c>
      <c r="AS132" s="17">
        <f>'Combined data'!AS132-'Combined data'!AR132</f>
        <v>62</v>
      </c>
      <c r="AT132" s="17">
        <f>'Combined data'!AT132-'Combined data'!AS132</f>
        <v>65</v>
      </c>
      <c r="AU132" s="17">
        <f>'Combined data'!AU132-'Combined data'!AT132</f>
        <v>69</v>
      </c>
      <c r="AV132" s="17">
        <f>'Combined data'!AV132-'Combined data'!AU132</f>
        <v>61</v>
      </c>
      <c r="AW132" s="17">
        <f>'Combined data'!AW132-'Combined data'!AV132</f>
        <v>41</v>
      </c>
      <c r="AX132" s="17">
        <f>'Combined data'!AX132-'Combined data'!AW132</f>
        <v>72</v>
      </c>
      <c r="AY132" s="17">
        <f>'Combined data'!AY132-'Combined data'!AX132</f>
        <v>46</v>
      </c>
      <c r="AZ132" s="17">
        <f>'Combined data'!AZ132-'Combined data'!AY132</f>
        <v>47</v>
      </c>
      <c r="BA132" s="17">
        <f>'Combined data'!BA132-'Combined data'!AZ132</f>
        <v>49</v>
      </c>
      <c r="BB132" s="17">
        <f>'Combined data'!BB132-'Combined data'!BA132</f>
        <v>19</v>
      </c>
      <c r="BC132" s="17">
        <f>'Combined data'!BC132-'Combined data'!BB132</f>
        <v>30</v>
      </c>
      <c r="BD132" s="17">
        <f>'Combined data'!BD132-'Combined data'!BC132</f>
        <v>37</v>
      </c>
      <c r="BE132" s="17">
        <f>'Combined data'!BE132-'Combined data'!BD132</f>
        <v>43</v>
      </c>
      <c r="BF132" s="17">
        <f>'Combined data'!BF132-'Combined data'!BE132</f>
        <v>25</v>
      </c>
      <c r="BG132" s="17">
        <f>'Combined data'!BG132-'Combined data'!BF132</f>
        <v>26</v>
      </c>
      <c r="BH132" s="17">
        <f>'Combined data'!BH132-'Combined data'!BG132</f>
        <v>12</v>
      </c>
      <c r="BI132" s="17">
        <f>'Combined data'!BI132-'Combined data'!BH132</f>
        <v>23</v>
      </c>
      <c r="BJ132" s="17">
        <f>'Combined data'!BJ132-'Combined data'!BI132</f>
        <v>17</v>
      </c>
      <c r="BK132" s="17">
        <f>'Combined data'!BK132-'Combined data'!BJ132</f>
        <v>16</v>
      </c>
      <c r="BL132" s="17">
        <f>'Combined data'!BL132-'Combined data'!BK132</f>
        <v>20</v>
      </c>
      <c r="BM132" s="17">
        <f>'Combined data'!BM132-'Combined data'!BL132</f>
        <v>1</v>
      </c>
      <c r="BN132" s="17">
        <f>'Combined data'!BN132-'Combined data'!BM132</f>
        <v>17</v>
      </c>
      <c r="BO132" s="17">
        <f>'Combined data'!BO132-'Combined data'!BN132</f>
        <v>-1165</v>
      </c>
      <c r="BP132" s="17">
        <f>'Combined data'!BP132-'Combined data'!BO132</f>
        <v>0</v>
      </c>
      <c r="BQ132" s="17">
        <f>'Combined data'!BQ132-'Combined data'!BP132</f>
        <v>0</v>
      </c>
      <c r="BR132" s="17">
        <f>'Combined data'!BR132-'Combined data'!BQ132</f>
        <v>0</v>
      </c>
      <c r="BS132" s="17">
        <f>'Combined data'!BS132-'Combined data'!BR132</f>
        <v>0</v>
      </c>
      <c r="BT132" s="17">
        <f>'Combined data'!BT132-'Combined data'!BS132</f>
        <v>0</v>
      </c>
      <c r="BU132" s="17">
        <f>'Combined data'!BU132-'Combined data'!BT132</f>
        <v>0</v>
      </c>
      <c r="BV132" s="17">
        <f>'Combined data'!BV132-'Combined data'!BU132</f>
        <v>0</v>
      </c>
      <c r="BW132" s="17">
        <f>'Combined data'!BW132-'Combined data'!BV132</f>
        <v>0</v>
      </c>
      <c r="BX132" s="17">
        <f>'Combined data'!BX132-'Combined data'!BW132</f>
        <v>0</v>
      </c>
      <c r="BY132" s="17">
        <f>'Combined data'!BY132-'Combined data'!BX132</f>
        <v>0</v>
      </c>
      <c r="CB132" s="17">
        <f t="shared" si="74"/>
        <v>367</v>
      </c>
      <c r="CC132" s="17">
        <f t="shared" si="75"/>
        <v>62</v>
      </c>
      <c r="CD132" s="17">
        <f t="shared" si="76"/>
        <v>65</v>
      </c>
      <c r="CE132" s="17">
        <f t="shared" si="77"/>
        <v>69</v>
      </c>
      <c r="CF132" s="17">
        <f t="shared" si="78"/>
        <v>61</v>
      </c>
      <c r="CG132" s="17">
        <f t="shared" si="79"/>
        <v>41</v>
      </c>
      <c r="CH132" s="17">
        <f t="shared" si="80"/>
        <v>72</v>
      </c>
      <c r="CI132" s="17">
        <f t="shared" si="81"/>
        <v>46</v>
      </c>
      <c r="CJ132" s="17">
        <f t="shared" si="82"/>
        <v>47</v>
      </c>
      <c r="CK132" s="17">
        <f t="shared" si="83"/>
        <v>49</v>
      </c>
      <c r="CL132" s="17">
        <f t="shared" si="84"/>
        <v>19</v>
      </c>
      <c r="CM132" s="17">
        <f t="shared" si="85"/>
        <v>30</v>
      </c>
      <c r="CN132" s="17">
        <f t="shared" si="86"/>
        <v>37</v>
      </c>
      <c r="CO132" s="17">
        <f t="shared" si="87"/>
        <v>43</v>
      </c>
      <c r="CP132" s="17">
        <f t="shared" si="88"/>
        <v>25</v>
      </c>
      <c r="CQ132" s="17">
        <f t="shared" si="89"/>
        <v>26</v>
      </c>
      <c r="CR132" s="17">
        <f t="shared" si="90"/>
        <v>12</v>
      </c>
      <c r="CS132" s="17">
        <f t="shared" si="91"/>
        <v>23</v>
      </c>
      <c r="CT132" s="17">
        <f t="shared" si="92"/>
        <v>17</v>
      </c>
      <c r="CU132" s="17">
        <f t="shared" si="93"/>
        <v>16</v>
      </c>
      <c r="CV132" s="17">
        <f t="shared" si="94"/>
        <v>20</v>
      </c>
      <c r="CW132" s="17">
        <f t="shared" si="95"/>
        <v>1</v>
      </c>
      <c r="CX132" s="17">
        <f t="shared" si="97"/>
        <v>17</v>
      </c>
      <c r="CY132" s="17">
        <f t="shared" si="97"/>
        <v>-1165</v>
      </c>
      <c r="CZ132" s="17">
        <f t="shared" si="97"/>
        <v>0</v>
      </c>
      <c r="DA132" s="17">
        <f t="shared" si="97"/>
        <v>0</v>
      </c>
      <c r="DB132" s="17">
        <f t="shared" si="97"/>
        <v>0</v>
      </c>
      <c r="DC132" s="17">
        <f t="shared" si="97"/>
        <v>0</v>
      </c>
      <c r="DD132" s="17">
        <f t="shared" si="97"/>
        <v>0</v>
      </c>
      <c r="DE132" s="17">
        <f t="shared" si="97"/>
        <v>0</v>
      </c>
      <c r="DF132" s="17">
        <f t="shared" si="97"/>
        <v>0</v>
      </c>
      <c r="DG132" s="17">
        <f t="shared" si="97"/>
        <v>0</v>
      </c>
      <c r="DH132" s="17">
        <f t="shared" si="97"/>
        <v>0</v>
      </c>
      <c r="DI132" s="17">
        <f t="shared" si="97"/>
        <v>0</v>
      </c>
    </row>
    <row r="133" spans="1:113" ht="15.75" x14ac:dyDescent="0.25">
      <c r="A133" s="4" t="s">
        <v>255</v>
      </c>
      <c r="B133" s="6" t="s">
        <v>256</v>
      </c>
      <c r="H133" s="90">
        <f>'Combined data'!H133</f>
        <v>93</v>
      </c>
      <c r="I133" s="90">
        <f>'Combined data'!I133-'Combined data'!H133</f>
        <v>1</v>
      </c>
      <c r="J133" s="90">
        <f>'Combined data'!J133-'Combined data'!I133</f>
        <v>4</v>
      </c>
      <c r="K133" s="90">
        <f>'Combined data'!K133-'Combined data'!J133</f>
        <v>4</v>
      </c>
      <c r="L133" s="90">
        <f>'Combined data'!L133-'Combined data'!K133</f>
        <v>3</v>
      </c>
      <c r="M133" s="90">
        <f>'Combined data'!M133-'Combined data'!L133</f>
        <v>6</v>
      </c>
      <c r="N133" s="90">
        <f>'Combined data'!N133-'Combined data'!M133</f>
        <v>8</v>
      </c>
      <c r="O133" s="90">
        <f>'Combined data'!O133-'Combined data'!N133</f>
        <v>-3</v>
      </c>
      <c r="P133" s="90">
        <f>'Combined data'!P133-'Combined data'!O133</f>
        <v>4</v>
      </c>
      <c r="Q133" s="90">
        <f>'Combined data'!Q133-'Combined data'!P133</f>
        <v>1</v>
      </c>
      <c r="R133" s="90">
        <f>'Combined data'!R133-'Combined data'!Q133</f>
        <v>2</v>
      </c>
      <c r="S133" s="90">
        <f>'Combined data'!S133-'Combined data'!R133</f>
        <v>4</v>
      </c>
      <c r="T133" s="90">
        <f>'Combined data'!T133-'Combined data'!S133</f>
        <v>4</v>
      </c>
      <c r="U133" s="90">
        <f>'Combined data'!U133-'Combined data'!T133</f>
        <v>4</v>
      </c>
      <c r="V133" s="90">
        <f>'Combined data'!V133-'Combined data'!U133</f>
        <v>3</v>
      </c>
      <c r="W133" s="90">
        <f>'Combined data'!W133-'Combined data'!V133</f>
        <v>8</v>
      </c>
      <c r="X133" s="90">
        <f>'Combined data'!X133-'Combined data'!W133</f>
        <v>0</v>
      </c>
      <c r="Y133" s="90">
        <f>'Combined data'!Y133-'Combined data'!X133</f>
        <v>1</v>
      </c>
      <c r="Z133" s="90">
        <f>'Combined data'!Z133-'Combined data'!Y133</f>
        <v>0</v>
      </c>
      <c r="AA133" s="90">
        <f>'Combined data'!AA133-'Combined data'!Z133</f>
        <v>1</v>
      </c>
      <c r="AB133" s="90">
        <f>'Combined data'!AB133-'Combined data'!AA133</f>
        <v>3</v>
      </c>
      <c r="AC133" s="90">
        <f>'Combined data'!AC133-'Combined data'!AB133</f>
        <v>0</v>
      </c>
      <c r="AD133" s="90">
        <f>'Combined data'!AD133-'Combined data'!AC133</f>
        <v>0</v>
      </c>
      <c r="AE133" s="90">
        <f>'Combined data'!AE133-'Combined data'!AD133</f>
        <v>-151</v>
      </c>
      <c r="AF133" s="90">
        <f>'Combined data'!AF133-'Combined data'!AE133</f>
        <v>0</v>
      </c>
      <c r="AG133" s="90">
        <f>'Combined data'!AG133-'Combined data'!AF133</f>
        <v>0</v>
      </c>
      <c r="AH133" s="90">
        <f>'Combined data'!AH133-'Combined data'!AG133</f>
        <v>0</v>
      </c>
      <c r="AI133" s="90">
        <f>'Combined data'!AI133-'Combined data'!AH133</f>
        <v>0</v>
      </c>
      <c r="AJ133" s="90">
        <f>'Combined data'!AJ133-'Combined data'!AI133</f>
        <v>0</v>
      </c>
      <c r="AK133" s="90">
        <f>'Combined data'!AK133-'Combined data'!AJ133</f>
        <v>0</v>
      </c>
      <c r="AL133" s="90">
        <f>'Combined data'!AL133-'Combined data'!AK133</f>
        <v>0</v>
      </c>
      <c r="AM133" s="90">
        <f>'Combined data'!AM133-'Combined data'!AL133</f>
        <v>0</v>
      </c>
      <c r="AN133" s="90">
        <f>'Combined data'!AN133-'Combined data'!AM133</f>
        <v>0</v>
      </c>
      <c r="AO133" s="90">
        <f>'Combined data'!AO133-'Combined data'!AN133</f>
        <v>0</v>
      </c>
      <c r="AP133" s="56">
        <f t="shared" si="72"/>
        <v>0</v>
      </c>
      <c r="AQ133" s="113"/>
      <c r="AR133" s="17">
        <f>'Combined data'!AR133</f>
        <v>51</v>
      </c>
      <c r="AS133" s="17">
        <f>'Combined data'!AS133-'Combined data'!AR133</f>
        <v>3</v>
      </c>
      <c r="AT133" s="17">
        <f>'Combined data'!AT133-'Combined data'!AS133</f>
        <v>8</v>
      </c>
      <c r="AU133" s="17">
        <f>'Combined data'!AU133-'Combined data'!AT133</f>
        <v>12</v>
      </c>
      <c r="AV133" s="17">
        <f>'Combined data'!AV133-'Combined data'!AU133</f>
        <v>10</v>
      </c>
      <c r="AW133" s="17">
        <f>'Combined data'!AW133-'Combined data'!AV133</f>
        <v>3</v>
      </c>
      <c r="AX133" s="17">
        <f>'Combined data'!AX133-'Combined data'!AW133</f>
        <v>3</v>
      </c>
      <c r="AY133" s="17">
        <f>'Combined data'!AY133-'Combined data'!AX133</f>
        <v>2</v>
      </c>
      <c r="AZ133" s="17">
        <f>'Combined data'!AZ133-'Combined data'!AY133</f>
        <v>2</v>
      </c>
      <c r="BA133" s="17">
        <f>'Combined data'!BA133-'Combined data'!AZ133</f>
        <v>3</v>
      </c>
      <c r="BB133" s="17">
        <f>'Combined data'!BB133-'Combined data'!BA133</f>
        <v>2</v>
      </c>
      <c r="BC133" s="17">
        <f>'Combined data'!BC133-'Combined data'!BB133</f>
        <v>5</v>
      </c>
      <c r="BD133" s="17">
        <f>'Combined data'!BD133-'Combined data'!BC133</f>
        <v>3</v>
      </c>
      <c r="BE133" s="17">
        <f>'Combined data'!BE133-'Combined data'!BD133</f>
        <v>4</v>
      </c>
      <c r="BF133" s="17">
        <f>'Combined data'!BF133-'Combined data'!BE133</f>
        <v>5</v>
      </c>
      <c r="BG133" s="17">
        <f>'Combined data'!BG133-'Combined data'!BF133</f>
        <v>3</v>
      </c>
      <c r="BH133" s="17">
        <f>'Combined data'!BH133-'Combined data'!BG133</f>
        <v>5</v>
      </c>
      <c r="BI133" s="17">
        <f>'Combined data'!BI133-'Combined data'!BH133</f>
        <v>2</v>
      </c>
      <c r="BJ133" s="17">
        <f>'Combined data'!BJ133-'Combined data'!BI133</f>
        <v>0</v>
      </c>
      <c r="BK133" s="17">
        <f>'Combined data'!BK133-'Combined data'!BJ133</f>
        <v>0</v>
      </c>
      <c r="BL133" s="17">
        <f>'Combined data'!BL133-'Combined data'!BK133</f>
        <v>5</v>
      </c>
      <c r="BM133" s="17">
        <f>'Combined data'!BM133-'Combined data'!BL133</f>
        <v>1</v>
      </c>
      <c r="BN133" s="17">
        <f>'Combined data'!BN133-'Combined data'!BM133</f>
        <v>1</v>
      </c>
      <c r="BO133" s="17">
        <f>'Combined data'!BO133-'Combined data'!BN133</f>
        <v>-133</v>
      </c>
      <c r="BP133" s="17">
        <f>'Combined data'!BP133-'Combined data'!BO133</f>
        <v>0</v>
      </c>
      <c r="BQ133" s="17">
        <f>'Combined data'!BQ133-'Combined data'!BP133</f>
        <v>0</v>
      </c>
      <c r="BR133" s="17">
        <f>'Combined data'!BR133-'Combined data'!BQ133</f>
        <v>0</v>
      </c>
      <c r="BS133" s="17">
        <f>'Combined data'!BS133-'Combined data'!BR133</f>
        <v>0</v>
      </c>
      <c r="BT133" s="17">
        <f>'Combined data'!BT133-'Combined data'!BS133</f>
        <v>0</v>
      </c>
      <c r="BU133" s="17">
        <f>'Combined data'!BU133-'Combined data'!BT133</f>
        <v>0</v>
      </c>
      <c r="BV133" s="17">
        <f>'Combined data'!BV133-'Combined data'!BU133</f>
        <v>0</v>
      </c>
      <c r="BW133" s="17">
        <f>'Combined data'!BW133-'Combined data'!BV133</f>
        <v>0</v>
      </c>
      <c r="BX133" s="17">
        <f>'Combined data'!BX133-'Combined data'!BW133</f>
        <v>0</v>
      </c>
      <c r="BY133" s="17">
        <f>'Combined data'!BY133-'Combined data'!BX133</f>
        <v>0</v>
      </c>
      <c r="CB133" s="17">
        <f t="shared" si="74"/>
        <v>51</v>
      </c>
      <c r="CC133" s="17">
        <f t="shared" si="75"/>
        <v>3</v>
      </c>
      <c r="CD133" s="17">
        <f t="shared" si="76"/>
        <v>8</v>
      </c>
      <c r="CE133" s="17">
        <f t="shared" si="77"/>
        <v>12</v>
      </c>
      <c r="CF133" s="17">
        <f t="shared" si="78"/>
        <v>10</v>
      </c>
      <c r="CG133" s="17">
        <f t="shared" si="79"/>
        <v>3</v>
      </c>
      <c r="CH133" s="17">
        <f t="shared" si="80"/>
        <v>3</v>
      </c>
      <c r="CI133" s="17">
        <f t="shared" si="81"/>
        <v>2</v>
      </c>
      <c r="CJ133" s="17">
        <f t="shared" si="82"/>
        <v>2</v>
      </c>
      <c r="CK133" s="17">
        <f t="shared" si="83"/>
        <v>3</v>
      </c>
      <c r="CL133" s="17">
        <f t="shared" si="84"/>
        <v>2</v>
      </c>
      <c r="CM133" s="17">
        <f t="shared" si="85"/>
        <v>5</v>
      </c>
      <c r="CN133" s="17">
        <f t="shared" si="86"/>
        <v>3</v>
      </c>
      <c r="CO133" s="17">
        <f t="shared" si="87"/>
        <v>4</v>
      </c>
      <c r="CP133" s="17">
        <f t="shared" si="88"/>
        <v>5</v>
      </c>
      <c r="CQ133" s="17">
        <f t="shared" si="89"/>
        <v>3</v>
      </c>
      <c r="CR133" s="17">
        <f t="shared" si="90"/>
        <v>5</v>
      </c>
      <c r="CS133" s="17">
        <f t="shared" si="91"/>
        <v>2</v>
      </c>
      <c r="CT133" s="17">
        <f t="shared" si="92"/>
        <v>0</v>
      </c>
      <c r="CU133" s="17">
        <f t="shared" si="93"/>
        <v>0</v>
      </c>
      <c r="CV133" s="17">
        <f t="shared" si="94"/>
        <v>5</v>
      </c>
      <c r="CW133" s="17">
        <f t="shared" si="95"/>
        <v>1</v>
      </c>
      <c r="CX133" s="17">
        <f t="shared" si="97"/>
        <v>1</v>
      </c>
      <c r="CY133" s="17">
        <f t="shared" si="97"/>
        <v>-133</v>
      </c>
      <c r="CZ133" s="17">
        <f t="shared" si="97"/>
        <v>0</v>
      </c>
      <c r="DA133" s="17">
        <f t="shared" si="97"/>
        <v>0</v>
      </c>
      <c r="DB133" s="17">
        <f t="shared" si="97"/>
        <v>0</v>
      </c>
      <c r="DC133" s="17">
        <f t="shared" si="97"/>
        <v>0</v>
      </c>
      <c r="DD133" s="17">
        <f t="shared" si="97"/>
        <v>0</v>
      </c>
      <c r="DE133" s="17">
        <f t="shared" si="97"/>
        <v>0</v>
      </c>
      <c r="DF133" s="17">
        <f t="shared" si="97"/>
        <v>0</v>
      </c>
      <c r="DG133" s="17">
        <f t="shared" si="97"/>
        <v>0</v>
      </c>
      <c r="DH133" s="17">
        <f t="shared" si="97"/>
        <v>0</v>
      </c>
      <c r="DI133" s="17">
        <f t="shared" si="97"/>
        <v>0</v>
      </c>
    </row>
    <row r="134" spans="1:113" ht="15.75" x14ac:dyDescent="0.25">
      <c r="A134" s="4" t="s">
        <v>257</v>
      </c>
      <c r="B134" s="6" t="s">
        <v>258</v>
      </c>
      <c r="H134" s="90">
        <f>'Combined data'!H134</f>
        <v>1937</v>
      </c>
      <c r="I134" s="90">
        <f>'Combined data'!I134-'Combined data'!H134</f>
        <v>119</v>
      </c>
      <c r="J134" s="90">
        <f>'Combined data'!J134-'Combined data'!I134</f>
        <v>143</v>
      </c>
      <c r="K134" s="90">
        <f>'Combined data'!K134-'Combined data'!J134</f>
        <v>170</v>
      </c>
      <c r="L134" s="90">
        <f>'Combined data'!L134-'Combined data'!K134</f>
        <v>57</v>
      </c>
      <c r="M134" s="90">
        <f>'Combined data'!M134-'Combined data'!L134</f>
        <v>42</v>
      </c>
      <c r="N134" s="90">
        <f>'Combined data'!N134-'Combined data'!M134</f>
        <v>124</v>
      </c>
      <c r="O134" s="90">
        <f>'Combined data'!O134-'Combined data'!N134</f>
        <v>63</v>
      </c>
      <c r="P134" s="90">
        <f>'Combined data'!P134-'Combined data'!O134</f>
        <v>91</v>
      </c>
      <c r="Q134" s="90">
        <f>'Combined data'!Q134-'Combined data'!P134</f>
        <v>89</v>
      </c>
      <c r="R134" s="90">
        <f>'Combined data'!R134-'Combined data'!Q134</f>
        <v>47</v>
      </c>
      <c r="S134" s="90">
        <f>'Combined data'!S134-'Combined data'!R134</f>
        <v>90</v>
      </c>
      <c r="T134" s="90">
        <f>'Combined data'!T134-'Combined data'!S134</f>
        <v>51</v>
      </c>
      <c r="U134" s="90">
        <f>'Combined data'!U134-'Combined data'!T134</f>
        <v>53</v>
      </c>
      <c r="V134" s="90">
        <f>'Combined data'!V134-'Combined data'!U134</f>
        <v>50</v>
      </c>
      <c r="W134" s="90">
        <f>'Combined data'!W134-'Combined data'!V134</f>
        <v>21</v>
      </c>
      <c r="X134" s="90">
        <f>'Combined data'!X134-'Combined data'!W134</f>
        <v>33</v>
      </c>
      <c r="Y134" s="90">
        <f>'Combined data'!Y134-'Combined data'!X134</f>
        <v>27</v>
      </c>
      <c r="Z134" s="90">
        <f>'Combined data'!Z134-'Combined data'!Y134</f>
        <v>36</v>
      </c>
      <c r="AA134" s="90">
        <f>'Combined data'!AA134-'Combined data'!Z134</f>
        <v>17</v>
      </c>
      <c r="AB134" s="90">
        <f>'Combined data'!AB134-'Combined data'!AA134</f>
        <v>21</v>
      </c>
      <c r="AC134" s="90">
        <f>'Combined data'!AC134-'Combined data'!AB134</f>
        <v>5</v>
      </c>
      <c r="AD134" s="90">
        <f>'Combined data'!AD134-'Combined data'!AC134</f>
        <v>49</v>
      </c>
      <c r="AE134" s="90">
        <f>'Combined data'!AE134-'Combined data'!AD134</f>
        <v>-3335</v>
      </c>
      <c r="AF134" s="90">
        <f>'Combined data'!AF134-'Combined data'!AE134</f>
        <v>0</v>
      </c>
      <c r="AG134" s="90">
        <f>'Combined data'!AG134-'Combined data'!AF134</f>
        <v>0</v>
      </c>
      <c r="AH134" s="90">
        <f>'Combined data'!AH134-'Combined data'!AG134</f>
        <v>0</v>
      </c>
      <c r="AI134" s="90">
        <f>'Combined data'!AI134-'Combined data'!AH134</f>
        <v>0</v>
      </c>
      <c r="AJ134" s="90">
        <f>'Combined data'!AJ134-'Combined data'!AI134</f>
        <v>0</v>
      </c>
      <c r="AK134" s="90">
        <f>'Combined data'!AK134-'Combined data'!AJ134</f>
        <v>0</v>
      </c>
      <c r="AL134" s="90">
        <f>'Combined data'!AL134-'Combined data'!AK134</f>
        <v>0</v>
      </c>
      <c r="AM134" s="90">
        <f>'Combined data'!AM134-'Combined data'!AL134</f>
        <v>0</v>
      </c>
      <c r="AN134" s="90">
        <f>'Combined data'!AN134-'Combined data'!AM134</f>
        <v>0</v>
      </c>
      <c r="AO134" s="90">
        <f>'Combined data'!AO134-'Combined data'!AN134</f>
        <v>0</v>
      </c>
      <c r="AP134" s="56">
        <f t="shared" si="72"/>
        <v>0</v>
      </c>
      <c r="AQ134" s="113"/>
      <c r="AR134" s="17">
        <f>'Combined data'!AR134</f>
        <v>984</v>
      </c>
      <c r="AS134" s="17">
        <f>'Combined data'!AS134-'Combined data'!AR134</f>
        <v>150</v>
      </c>
      <c r="AT134" s="17">
        <f>'Combined data'!AT134-'Combined data'!AS134</f>
        <v>159</v>
      </c>
      <c r="AU134" s="17">
        <f>'Combined data'!AU134-'Combined data'!AT134</f>
        <v>171</v>
      </c>
      <c r="AV134" s="17">
        <f>'Combined data'!AV134-'Combined data'!AU134</f>
        <v>129</v>
      </c>
      <c r="AW134" s="17">
        <f>'Combined data'!AW134-'Combined data'!AV134</f>
        <v>102</v>
      </c>
      <c r="AX134" s="17">
        <f>'Combined data'!AX134-'Combined data'!AW134</f>
        <v>161</v>
      </c>
      <c r="AY134" s="17">
        <f>'Combined data'!AY134-'Combined data'!AX134</f>
        <v>60</v>
      </c>
      <c r="AZ134" s="17">
        <f>'Combined data'!AZ134-'Combined data'!AY134</f>
        <v>115</v>
      </c>
      <c r="BA134" s="17">
        <f>'Combined data'!BA134-'Combined data'!AZ134</f>
        <v>93</v>
      </c>
      <c r="BB134" s="17">
        <f>'Combined data'!BB134-'Combined data'!BA134</f>
        <v>65</v>
      </c>
      <c r="BC134" s="17">
        <f>'Combined data'!BC134-'Combined data'!BB134</f>
        <v>100</v>
      </c>
      <c r="BD134" s="17">
        <f>'Combined data'!BD134-'Combined data'!BC134</f>
        <v>66</v>
      </c>
      <c r="BE134" s="17">
        <f>'Combined data'!BE134-'Combined data'!BD134</f>
        <v>60</v>
      </c>
      <c r="BF134" s="17">
        <f>'Combined data'!BF134-'Combined data'!BE134</f>
        <v>66</v>
      </c>
      <c r="BG134" s="17">
        <f>'Combined data'!BG134-'Combined data'!BF134</f>
        <v>34</v>
      </c>
      <c r="BH134" s="17">
        <f>'Combined data'!BH134-'Combined data'!BG134</f>
        <v>31</v>
      </c>
      <c r="BI134" s="17">
        <f>'Combined data'!BI134-'Combined data'!BH134</f>
        <v>57</v>
      </c>
      <c r="BJ134" s="17">
        <f>'Combined data'!BJ134-'Combined data'!BI134</f>
        <v>49</v>
      </c>
      <c r="BK134" s="17">
        <f>'Combined data'!BK134-'Combined data'!BJ134</f>
        <v>32</v>
      </c>
      <c r="BL134" s="17">
        <f>'Combined data'!BL134-'Combined data'!BK134</f>
        <v>41</v>
      </c>
      <c r="BM134" s="17">
        <f>'Combined data'!BM134-'Combined data'!BL134</f>
        <v>18</v>
      </c>
      <c r="BN134" s="17">
        <f>'Combined data'!BN134-'Combined data'!BM134</f>
        <v>31</v>
      </c>
      <c r="BO134" s="17">
        <f>'Combined data'!BO134-'Combined data'!BN134</f>
        <v>-2774</v>
      </c>
      <c r="BP134" s="17">
        <f>'Combined data'!BP134-'Combined data'!BO134</f>
        <v>0</v>
      </c>
      <c r="BQ134" s="17">
        <f>'Combined data'!BQ134-'Combined data'!BP134</f>
        <v>0</v>
      </c>
      <c r="BR134" s="17">
        <f>'Combined data'!BR134-'Combined data'!BQ134</f>
        <v>0</v>
      </c>
      <c r="BS134" s="17">
        <f>'Combined data'!BS134-'Combined data'!BR134</f>
        <v>0</v>
      </c>
      <c r="BT134" s="17">
        <f>'Combined data'!BT134-'Combined data'!BS134</f>
        <v>0</v>
      </c>
      <c r="BU134" s="17">
        <f>'Combined data'!BU134-'Combined data'!BT134</f>
        <v>0</v>
      </c>
      <c r="BV134" s="17">
        <f>'Combined data'!BV134-'Combined data'!BU134</f>
        <v>0</v>
      </c>
      <c r="BW134" s="17">
        <f>'Combined data'!BW134-'Combined data'!BV134</f>
        <v>0</v>
      </c>
      <c r="BX134" s="17">
        <f>'Combined data'!BX134-'Combined data'!BW134</f>
        <v>0</v>
      </c>
      <c r="BY134" s="17">
        <f>'Combined data'!BY134-'Combined data'!BX134</f>
        <v>0</v>
      </c>
      <c r="CB134" s="17">
        <f t="shared" si="74"/>
        <v>984</v>
      </c>
      <c r="CC134" s="17">
        <f t="shared" si="75"/>
        <v>150</v>
      </c>
      <c r="CD134" s="17">
        <f t="shared" si="76"/>
        <v>159</v>
      </c>
      <c r="CE134" s="17">
        <f t="shared" si="77"/>
        <v>171</v>
      </c>
      <c r="CF134" s="17">
        <f t="shared" si="78"/>
        <v>129</v>
      </c>
      <c r="CG134" s="17">
        <f t="shared" si="79"/>
        <v>102</v>
      </c>
      <c r="CH134" s="17">
        <f t="shared" si="80"/>
        <v>161</v>
      </c>
      <c r="CI134" s="17">
        <f t="shared" si="81"/>
        <v>60</v>
      </c>
      <c r="CJ134" s="17">
        <f t="shared" si="82"/>
        <v>115</v>
      </c>
      <c r="CK134" s="17">
        <f t="shared" si="83"/>
        <v>93</v>
      </c>
      <c r="CL134" s="17">
        <f t="shared" si="84"/>
        <v>65</v>
      </c>
      <c r="CM134" s="17">
        <f t="shared" si="85"/>
        <v>100</v>
      </c>
      <c r="CN134" s="17">
        <f t="shared" si="86"/>
        <v>66</v>
      </c>
      <c r="CO134" s="17">
        <f t="shared" si="87"/>
        <v>60</v>
      </c>
      <c r="CP134" s="17">
        <f t="shared" si="88"/>
        <v>66</v>
      </c>
      <c r="CQ134" s="17">
        <f t="shared" si="89"/>
        <v>34</v>
      </c>
      <c r="CR134" s="17">
        <f t="shared" si="90"/>
        <v>31</v>
      </c>
      <c r="CS134" s="17">
        <f t="shared" si="91"/>
        <v>57</v>
      </c>
      <c r="CT134" s="17">
        <f t="shared" si="92"/>
        <v>49</v>
      </c>
      <c r="CU134" s="17">
        <f t="shared" si="93"/>
        <v>32</v>
      </c>
      <c r="CV134" s="17">
        <f t="shared" si="94"/>
        <v>41</v>
      </c>
      <c r="CW134" s="17">
        <f t="shared" si="95"/>
        <v>18</v>
      </c>
      <c r="CX134" s="17">
        <f t="shared" si="97"/>
        <v>31</v>
      </c>
      <c r="CY134" s="17">
        <f t="shared" si="97"/>
        <v>-2774</v>
      </c>
      <c r="CZ134" s="17">
        <f t="shared" si="97"/>
        <v>0</v>
      </c>
      <c r="DA134" s="17">
        <f t="shared" si="97"/>
        <v>0</v>
      </c>
      <c r="DB134" s="17">
        <f t="shared" si="97"/>
        <v>0</v>
      </c>
      <c r="DC134" s="17">
        <f t="shared" si="97"/>
        <v>0</v>
      </c>
      <c r="DD134" s="17">
        <f t="shared" si="97"/>
        <v>0</v>
      </c>
      <c r="DE134" s="17">
        <f t="shared" si="97"/>
        <v>0</v>
      </c>
      <c r="DF134" s="17">
        <f t="shared" si="97"/>
        <v>0</v>
      </c>
      <c r="DG134" s="17">
        <f t="shared" si="97"/>
        <v>0</v>
      </c>
      <c r="DH134" s="17">
        <f t="shared" si="97"/>
        <v>0</v>
      </c>
      <c r="DI134" s="17">
        <f t="shared" si="97"/>
        <v>0</v>
      </c>
    </row>
    <row r="135" spans="1:113" ht="15.75" x14ac:dyDescent="0.25">
      <c r="A135" s="4" t="s">
        <v>259</v>
      </c>
      <c r="B135" s="6" t="s">
        <v>260</v>
      </c>
      <c r="H135" s="90">
        <f>'Combined data'!H135</f>
        <v>196</v>
      </c>
      <c r="I135" s="90">
        <f>'Combined data'!I135-'Combined data'!H135</f>
        <v>14</v>
      </c>
      <c r="J135" s="90">
        <f>'Combined data'!J135-'Combined data'!I135</f>
        <v>10</v>
      </c>
      <c r="K135" s="90">
        <f>'Combined data'!K135-'Combined data'!J135</f>
        <v>10</v>
      </c>
      <c r="L135" s="90">
        <f>'Combined data'!L135-'Combined data'!K135</f>
        <v>3</v>
      </c>
      <c r="M135" s="90">
        <f>'Combined data'!M135-'Combined data'!L135</f>
        <v>2</v>
      </c>
      <c r="N135" s="90">
        <f>'Combined data'!N135-'Combined data'!M135</f>
        <v>12</v>
      </c>
      <c r="O135" s="90">
        <f>'Combined data'!O135-'Combined data'!N135</f>
        <v>6</v>
      </c>
      <c r="P135" s="90">
        <f>'Combined data'!P135-'Combined data'!O135</f>
        <v>7</v>
      </c>
      <c r="Q135" s="90">
        <f>'Combined data'!Q135-'Combined data'!P135</f>
        <v>7</v>
      </c>
      <c r="R135" s="90">
        <f>'Combined data'!R135-'Combined data'!Q135</f>
        <v>7</v>
      </c>
      <c r="S135" s="90">
        <f>'Combined data'!S135-'Combined data'!R135</f>
        <v>7</v>
      </c>
      <c r="T135" s="90">
        <f>'Combined data'!T135-'Combined data'!S135</f>
        <v>4</v>
      </c>
      <c r="U135" s="90">
        <f>'Combined data'!U135-'Combined data'!T135</f>
        <v>8</v>
      </c>
      <c r="V135" s="90">
        <f>'Combined data'!V135-'Combined data'!U135</f>
        <v>12</v>
      </c>
      <c r="W135" s="90">
        <f>'Combined data'!W135-'Combined data'!V135</f>
        <v>4</v>
      </c>
      <c r="X135" s="90">
        <f>'Combined data'!X135-'Combined data'!W135</f>
        <v>0</v>
      </c>
      <c r="Y135" s="90">
        <f>'Combined data'!Y135-'Combined data'!X135</f>
        <v>2</v>
      </c>
      <c r="Z135" s="90">
        <f>'Combined data'!Z135-'Combined data'!Y135</f>
        <v>12</v>
      </c>
      <c r="AA135" s="90">
        <f>'Combined data'!AA135-'Combined data'!Z135</f>
        <v>9</v>
      </c>
      <c r="AB135" s="90">
        <f>'Combined data'!AB135-'Combined data'!AA135</f>
        <v>0</v>
      </c>
      <c r="AC135" s="90">
        <f>'Combined data'!AC135-'Combined data'!AB135</f>
        <v>-1</v>
      </c>
      <c r="AD135" s="90">
        <f>'Combined data'!AD135-'Combined data'!AC135</f>
        <v>14</v>
      </c>
      <c r="AE135" s="90">
        <f>'Combined data'!AE135-'Combined data'!AD135</f>
        <v>-345</v>
      </c>
      <c r="AF135" s="90">
        <f>'Combined data'!AF135-'Combined data'!AE135</f>
        <v>0</v>
      </c>
      <c r="AG135" s="90">
        <f>'Combined data'!AG135-'Combined data'!AF135</f>
        <v>0</v>
      </c>
      <c r="AH135" s="90">
        <f>'Combined data'!AH135-'Combined data'!AG135</f>
        <v>0</v>
      </c>
      <c r="AI135" s="90">
        <f>'Combined data'!AI135-'Combined data'!AH135</f>
        <v>0</v>
      </c>
      <c r="AJ135" s="90">
        <f>'Combined data'!AJ135-'Combined data'!AI135</f>
        <v>0</v>
      </c>
      <c r="AK135" s="90">
        <f>'Combined data'!AK135-'Combined data'!AJ135</f>
        <v>0</v>
      </c>
      <c r="AL135" s="90">
        <f>'Combined data'!AL135-'Combined data'!AK135</f>
        <v>0</v>
      </c>
      <c r="AM135" s="90">
        <f>'Combined data'!AM135-'Combined data'!AL135</f>
        <v>0</v>
      </c>
      <c r="AN135" s="90">
        <f>'Combined data'!AN135-'Combined data'!AM135</f>
        <v>0</v>
      </c>
      <c r="AO135" s="90">
        <f>'Combined data'!AO135-'Combined data'!AN135</f>
        <v>0</v>
      </c>
      <c r="AP135" s="56">
        <f t="shared" si="72"/>
        <v>0</v>
      </c>
      <c r="AQ135" s="113"/>
      <c r="AR135" s="17">
        <f>'Combined data'!AR135</f>
        <v>84</v>
      </c>
      <c r="AS135" s="17">
        <f>'Combined data'!AS135-'Combined data'!AR135</f>
        <v>16</v>
      </c>
      <c r="AT135" s="17">
        <f>'Combined data'!AT135-'Combined data'!AS135</f>
        <v>27</v>
      </c>
      <c r="AU135" s="17">
        <f>'Combined data'!AU135-'Combined data'!AT135</f>
        <v>11</v>
      </c>
      <c r="AV135" s="17">
        <f>'Combined data'!AV135-'Combined data'!AU135</f>
        <v>7</v>
      </c>
      <c r="AW135" s="17">
        <f>'Combined data'!AW135-'Combined data'!AV135</f>
        <v>14</v>
      </c>
      <c r="AX135" s="17">
        <f>'Combined data'!AX135-'Combined data'!AW135</f>
        <v>12</v>
      </c>
      <c r="AY135" s="17">
        <f>'Combined data'!AY135-'Combined data'!AX135</f>
        <v>9</v>
      </c>
      <c r="AZ135" s="17">
        <f>'Combined data'!AZ135-'Combined data'!AY135</f>
        <v>3</v>
      </c>
      <c r="BA135" s="17">
        <f>'Combined data'!BA135-'Combined data'!AZ135</f>
        <v>11</v>
      </c>
      <c r="BB135" s="17">
        <f>'Combined data'!BB135-'Combined data'!BA135</f>
        <v>6</v>
      </c>
      <c r="BC135" s="17">
        <f>'Combined data'!BC135-'Combined data'!BB135</f>
        <v>2</v>
      </c>
      <c r="BD135" s="17">
        <f>'Combined data'!BD135-'Combined data'!BC135</f>
        <v>7</v>
      </c>
      <c r="BE135" s="17">
        <f>'Combined data'!BE135-'Combined data'!BD135</f>
        <v>4</v>
      </c>
      <c r="BF135" s="17">
        <f>'Combined data'!BF135-'Combined data'!BE135</f>
        <v>5</v>
      </c>
      <c r="BG135" s="17">
        <f>'Combined data'!BG135-'Combined data'!BF135</f>
        <v>6</v>
      </c>
      <c r="BH135" s="17">
        <f>'Combined data'!BH135-'Combined data'!BG135</f>
        <v>8</v>
      </c>
      <c r="BI135" s="17">
        <f>'Combined data'!BI135-'Combined data'!BH135</f>
        <v>1</v>
      </c>
      <c r="BJ135" s="17">
        <f>'Combined data'!BJ135-'Combined data'!BI135</f>
        <v>11</v>
      </c>
      <c r="BK135" s="17">
        <f>'Combined data'!BK135-'Combined data'!BJ135</f>
        <v>7</v>
      </c>
      <c r="BL135" s="17">
        <f>'Combined data'!BL135-'Combined data'!BK135</f>
        <v>5</v>
      </c>
      <c r="BM135" s="17">
        <f>'Combined data'!BM135-'Combined data'!BL135</f>
        <v>7</v>
      </c>
      <c r="BN135" s="17">
        <f>'Combined data'!BN135-'Combined data'!BM135</f>
        <v>4</v>
      </c>
      <c r="BO135" s="17">
        <f>'Combined data'!BO135-'Combined data'!BN135</f>
        <v>-267</v>
      </c>
      <c r="BP135" s="17">
        <f>'Combined data'!BP135-'Combined data'!BO135</f>
        <v>0</v>
      </c>
      <c r="BQ135" s="17">
        <f>'Combined data'!BQ135-'Combined data'!BP135</f>
        <v>0</v>
      </c>
      <c r="BR135" s="17">
        <f>'Combined data'!BR135-'Combined data'!BQ135</f>
        <v>0</v>
      </c>
      <c r="BS135" s="17">
        <f>'Combined data'!BS135-'Combined data'!BR135</f>
        <v>0</v>
      </c>
      <c r="BT135" s="17">
        <f>'Combined data'!BT135-'Combined data'!BS135</f>
        <v>0</v>
      </c>
      <c r="BU135" s="17">
        <f>'Combined data'!BU135-'Combined data'!BT135</f>
        <v>0</v>
      </c>
      <c r="BV135" s="17">
        <f>'Combined data'!BV135-'Combined data'!BU135</f>
        <v>0</v>
      </c>
      <c r="BW135" s="17">
        <f>'Combined data'!BW135-'Combined data'!BV135</f>
        <v>0</v>
      </c>
      <c r="BX135" s="17">
        <f>'Combined data'!BX135-'Combined data'!BW135</f>
        <v>0</v>
      </c>
      <c r="BY135" s="17">
        <f>'Combined data'!BY135-'Combined data'!BX135</f>
        <v>0</v>
      </c>
      <c r="CB135" s="17">
        <f t="shared" si="74"/>
        <v>84</v>
      </c>
      <c r="CC135" s="17">
        <f t="shared" si="75"/>
        <v>16</v>
      </c>
      <c r="CD135" s="17">
        <f t="shared" si="76"/>
        <v>27</v>
      </c>
      <c r="CE135" s="17">
        <f t="shared" si="77"/>
        <v>11</v>
      </c>
      <c r="CF135" s="17">
        <f t="shared" si="78"/>
        <v>7</v>
      </c>
      <c r="CG135" s="17">
        <f t="shared" si="79"/>
        <v>14</v>
      </c>
      <c r="CH135" s="17">
        <f t="shared" si="80"/>
        <v>12</v>
      </c>
      <c r="CI135" s="17">
        <f t="shared" si="81"/>
        <v>9</v>
      </c>
      <c r="CJ135" s="17">
        <f t="shared" si="82"/>
        <v>3</v>
      </c>
      <c r="CK135" s="17">
        <f t="shared" si="83"/>
        <v>11</v>
      </c>
      <c r="CL135" s="17">
        <f t="shared" si="84"/>
        <v>6</v>
      </c>
      <c r="CM135" s="17">
        <f t="shared" si="85"/>
        <v>2</v>
      </c>
      <c r="CN135" s="17">
        <f t="shared" si="86"/>
        <v>7</v>
      </c>
      <c r="CO135" s="17">
        <f t="shared" si="87"/>
        <v>4</v>
      </c>
      <c r="CP135" s="17">
        <f t="shared" si="88"/>
        <v>5</v>
      </c>
      <c r="CQ135" s="17">
        <f t="shared" si="89"/>
        <v>6</v>
      </c>
      <c r="CR135" s="17">
        <f t="shared" si="90"/>
        <v>8</v>
      </c>
      <c r="CS135" s="17">
        <f t="shared" si="91"/>
        <v>1</v>
      </c>
      <c r="CT135" s="17">
        <f t="shared" si="92"/>
        <v>11</v>
      </c>
      <c r="CU135" s="17">
        <f t="shared" si="93"/>
        <v>7</v>
      </c>
      <c r="CV135" s="17">
        <f t="shared" si="94"/>
        <v>5</v>
      </c>
      <c r="CW135" s="17">
        <f t="shared" si="95"/>
        <v>7</v>
      </c>
      <c r="CX135" s="17">
        <f t="shared" si="97"/>
        <v>4</v>
      </c>
      <c r="CY135" s="17">
        <f t="shared" si="97"/>
        <v>-267</v>
      </c>
      <c r="CZ135" s="17">
        <f t="shared" si="97"/>
        <v>0</v>
      </c>
      <c r="DA135" s="17">
        <f t="shared" si="97"/>
        <v>0</v>
      </c>
      <c r="DB135" s="17">
        <f t="shared" si="97"/>
        <v>0</v>
      </c>
      <c r="DC135" s="17">
        <f t="shared" si="97"/>
        <v>0</v>
      </c>
      <c r="DD135" s="17">
        <f t="shared" si="97"/>
        <v>0</v>
      </c>
      <c r="DE135" s="17">
        <f t="shared" si="97"/>
        <v>0</v>
      </c>
      <c r="DF135" s="17">
        <f t="shared" si="97"/>
        <v>0</v>
      </c>
      <c r="DG135" s="17">
        <f t="shared" si="97"/>
        <v>0</v>
      </c>
      <c r="DH135" s="17">
        <f t="shared" si="97"/>
        <v>0</v>
      </c>
      <c r="DI135" s="17">
        <f t="shared" si="97"/>
        <v>0</v>
      </c>
    </row>
    <row r="136" spans="1:113" ht="15.75" x14ac:dyDescent="0.25">
      <c r="A136" s="4" t="s">
        <v>261</v>
      </c>
      <c r="B136" s="6" t="s">
        <v>262</v>
      </c>
      <c r="H136" s="90">
        <f>'Combined data'!H136</f>
        <v>141</v>
      </c>
      <c r="I136" s="90">
        <f>'Combined data'!I136-'Combined data'!H136</f>
        <v>11</v>
      </c>
      <c r="J136" s="90">
        <f>'Combined data'!J136-'Combined data'!I136</f>
        <v>7</v>
      </c>
      <c r="K136" s="90">
        <f>'Combined data'!K136-'Combined data'!J136</f>
        <v>4</v>
      </c>
      <c r="L136" s="90">
        <f>'Combined data'!L136-'Combined data'!K136</f>
        <v>6</v>
      </c>
      <c r="M136" s="90">
        <f>'Combined data'!M136-'Combined data'!L136</f>
        <v>8</v>
      </c>
      <c r="N136" s="90">
        <f>'Combined data'!N136-'Combined data'!M136</f>
        <v>11</v>
      </c>
      <c r="O136" s="90">
        <f>'Combined data'!O136-'Combined data'!N136</f>
        <v>6</v>
      </c>
      <c r="P136" s="90">
        <f>'Combined data'!P136-'Combined data'!O136</f>
        <v>6</v>
      </c>
      <c r="Q136" s="90">
        <f>'Combined data'!Q136-'Combined data'!P136</f>
        <v>4</v>
      </c>
      <c r="R136" s="90">
        <f>'Combined data'!R136-'Combined data'!Q136</f>
        <v>3</v>
      </c>
      <c r="S136" s="90">
        <f>'Combined data'!S136-'Combined data'!R136</f>
        <v>7</v>
      </c>
      <c r="T136" s="90">
        <f>'Combined data'!T136-'Combined data'!S136</f>
        <v>7</v>
      </c>
      <c r="U136" s="90">
        <f>'Combined data'!U136-'Combined data'!T136</f>
        <v>2</v>
      </c>
      <c r="V136" s="90">
        <f>'Combined data'!V136-'Combined data'!U136</f>
        <v>3</v>
      </c>
      <c r="W136" s="90">
        <f>'Combined data'!W136-'Combined data'!V136</f>
        <v>1</v>
      </c>
      <c r="X136" s="90">
        <f>'Combined data'!X136-'Combined data'!W136</f>
        <v>4</v>
      </c>
      <c r="Y136" s="90">
        <f>'Combined data'!Y136-'Combined data'!X136</f>
        <v>5</v>
      </c>
      <c r="Z136" s="90">
        <f>'Combined data'!Z136-'Combined data'!Y136</f>
        <v>6</v>
      </c>
      <c r="AA136" s="90">
        <f>'Combined data'!AA136-'Combined data'!Z136</f>
        <v>2</v>
      </c>
      <c r="AB136" s="90">
        <f>'Combined data'!AB136-'Combined data'!AA136</f>
        <v>1</v>
      </c>
      <c r="AC136" s="90">
        <f>'Combined data'!AC136-'Combined data'!AB136</f>
        <v>5</v>
      </c>
      <c r="AD136" s="90">
        <f>'Combined data'!AD136-'Combined data'!AC136</f>
        <v>2</v>
      </c>
      <c r="AE136" s="90">
        <f>'Combined data'!AE136-'Combined data'!AD136</f>
        <v>-252</v>
      </c>
      <c r="AF136" s="90">
        <f>'Combined data'!AF136-'Combined data'!AE136</f>
        <v>0</v>
      </c>
      <c r="AG136" s="90">
        <f>'Combined data'!AG136-'Combined data'!AF136</f>
        <v>0</v>
      </c>
      <c r="AH136" s="90">
        <f>'Combined data'!AH136-'Combined data'!AG136</f>
        <v>0</v>
      </c>
      <c r="AI136" s="90">
        <f>'Combined data'!AI136-'Combined data'!AH136</f>
        <v>0</v>
      </c>
      <c r="AJ136" s="90">
        <f>'Combined data'!AJ136-'Combined data'!AI136</f>
        <v>0</v>
      </c>
      <c r="AK136" s="90">
        <f>'Combined data'!AK136-'Combined data'!AJ136</f>
        <v>0</v>
      </c>
      <c r="AL136" s="90">
        <f>'Combined data'!AL136-'Combined data'!AK136</f>
        <v>0</v>
      </c>
      <c r="AM136" s="90">
        <f>'Combined data'!AM136-'Combined data'!AL136</f>
        <v>0</v>
      </c>
      <c r="AN136" s="90">
        <f>'Combined data'!AN136-'Combined data'!AM136</f>
        <v>0</v>
      </c>
      <c r="AO136" s="90">
        <f>'Combined data'!AO136-'Combined data'!AN136</f>
        <v>0</v>
      </c>
      <c r="AP136" s="56">
        <f t="shared" si="72"/>
        <v>0</v>
      </c>
      <c r="AQ136" s="113"/>
      <c r="AR136" s="17">
        <f>'Combined data'!AR136</f>
        <v>66</v>
      </c>
      <c r="AS136" s="17">
        <f>'Combined data'!AS136-'Combined data'!AR136</f>
        <v>19</v>
      </c>
      <c r="AT136" s="17">
        <f>'Combined data'!AT136-'Combined data'!AS136</f>
        <v>12</v>
      </c>
      <c r="AU136" s="17">
        <f>'Combined data'!AU136-'Combined data'!AT136</f>
        <v>11</v>
      </c>
      <c r="AV136" s="17">
        <f>'Combined data'!AV136-'Combined data'!AU136</f>
        <v>7</v>
      </c>
      <c r="AW136" s="17">
        <f>'Combined data'!AW136-'Combined data'!AV136</f>
        <v>4</v>
      </c>
      <c r="AX136" s="17">
        <f>'Combined data'!AX136-'Combined data'!AW136</f>
        <v>14</v>
      </c>
      <c r="AY136" s="17">
        <f>'Combined data'!AY136-'Combined data'!AX136</f>
        <v>9</v>
      </c>
      <c r="AZ136" s="17">
        <f>'Combined data'!AZ136-'Combined data'!AY136</f>
        <v>7</v>
      </c>
      <c r="BA136" s="17">
        <f>'Combined data'!BA136-'Combined data'!AZ136</f>
        <v>7</v>
      </c>
      <c r="BB136" s="17">
        <f>'Combined data'!BB136-'Combined data'!BA136</f>
        <v>1</v>
      </c>
      <c r="BC136" s="17">
        <f>'Combined data'!BC136-'Combined data'!BB136</f>
        <v>7</v>
      </c>
      <c r="BD136" s="17">
        <f>'Combined data'!BD136-'Combined data'!BC136</f>
        <v>5</v>
      </c>
      <c r="BE136" s="17">
        <f>'Combined data'!BE136-'Combined data'!BD136</f>
        <v>2</v>
      </c>
      <c r="BF136" s="17">
        <f>'Combined data'!BF136-'Combined data'!BE136</f>
        <v>4</v>
      </c>
      <c r="BG136" s="17">
        <f>'Combined data'!BG136-'Combined data'!BF136</f>
        <v>2</v>
      </c>
      <c r="BH136" s="17">
        <f>'Combined data'!BH136-'Combined data'!BG136</f>
        <v>2</v>
      </c>
      <c r="BI136" s="17">
        <f>'Combined data'!BI136-'Combined data'!BH136</f>
        <v>8</v>
      </c>
      <c r="BJ136" s="17">
        <f>'Combined data'!BJ136-'Combined data'!BI136</f>
        <v>2</v>
      </c>
      <c r="BK136" s="17">
        <f>'Combined data'!BK136-'Combined data'!BJ136</f>
        <v>4</v>
      </c>
      <c r="BL136" s="17">
        <f>'Combined data'!BL136-'Combined data'!BK136</f>
        <v>9</v>
      </c>
      <c r="BM136" s="17">
        <f>'Combined data'!BM136-'Combined data'!BL136</f>
        <v>8</v>
      </c>
      <c r="BN136" s="17">
        <f>'Combined data'!BN136-'Combined data'!BM136</f>
        <v>2</v>
      </c>
      <c r="BO136" s="17">
        <f>'Combined data'!BO136-'Combined data'!BN136</f>
        <v>-212</v>
      </c>
      <c r="BP136" s="17">
        <f>'Combined data'!BP136-'Combined data'!BO136</f>
        <v>0</v>
      </c>
      <c r="BQ136" s="17">
        <f>'Combined data'!BQ136-'Combined data'!BP136</f>
        <v>0</v>
      </c>
      <c r="BR136" s="17">
        <f>'Combined data'!BR136-'Combined data'!BQ136</f>
        <v>0</v>
      </c>
      <c r="BS136" s="17">
        <f>'Combined data'!BS136-'Combined data'!BR136</f>
        <v>0</v>
      </c>
      <c r="BT136" s="17">
        <f>'Combined data'!BT136-'Combined data'!BS136</f>
        <v>0</v>
      </c>
      <c r="BU136" s="17">
        <f>'Combined data'!BU136-'Combined data'!BT136</f>
        <v>0</v>
      </c>
      <c r="BV136" s="17">
        <f>'Combined data'!BV136-'Combined data'!BU136</f>
        <v>0</v>
      </c>
      <c r="BW136" s="17">
        <f>'Combined data'!BW136-'Combined data'!BV136</f>
        <v>0</v>
      </c>
      <c r="BX136" s="17">
        <f>'Combined data'!BX136-'Combined data'!BW136</f>
        <v>0</v>
      </c>
      <c r="BY136" s="17">
        <f>'Combined data'!BY136-'Combined data'!BX136</f>
        <v>0</v>
      </c>
      <c r="CB136" s="17">
        <f t="shared" si="74"/>
        <v>66</v>
      </c>
      <c r="CC136" s="17">
        <f t="shared" si="75"/>
        <v>19</v>
      </c>
      <c r="CD136" s="17">
        <f t="shared" si="76"/>
        <v>12</v>
      </c>
      <c r="CE136" s="17">
        <f t="shared" si="77"/>
        <v>11</v>
      </c>
      <c r="CF136" s="17">
        <f t="shared" si="78"/>
        <v>7</v>
      </c>
      <c r="CG136" s="17">
        <f t="shared" si="79"/>
        <v>4</v>
      </c>
      <c r="CH136" s="17">
        <f t="shared" si="80"/>
        <v>14</v>
      </c>
      <c r="CI136" s="17">
        <f t="shared" si="81"/>
        <v>9</v>
      </c>
      <c r="CJ136" s="17">
        <f t="shared" si="82"/>
        <v>7</v>
      </c>
      <c r="CK136" s="17">
        <f t="shared" si="83"/>
        <v>7</v>
      </c>
      <c r="CL136" s="17">
        <f t="shared" si="84"/>
        <v>1</v>
      </c>
      <c r="CM136" s="17">
        <f t="shared" si="85"/>
        <v>7</v>
      </c>
      <c r="CN136" s="17">
        <f t="shared" si="86"/>
        <v>5</v>
      </c>
      <c r="CO136" s="17">
        <f t="shared" si="87"/>
        <v>2</v>
      </c>
      <c r="CP136" s="17">
        <f t="shared" si="88"/>
        <v>4</v>
      </c>
      <c r="CQ136" s="17">
        <f t="shared" si="89"/>
        <v>2</v>
      </c>
      <c r="CR136" s="17">
        <f t="shared" si="90"/>
        <v>2</v>
      </c>
      <c r="CS136" s="17">
        <f t="shared" si="91"/>
        <v>8</v>
      </c>
      <c r="CT136" s="17">
        <f t="shared" si="92"/>
        <v>2</v>
      </c>
      <c r="CU136" s="17">
        <f t="shared" si="93"/>
        <v>4</v>
      </c>
      <c r="CV136" s="17">
        <f t="shared" si="94"/>
        <v>9</v>
      </c>
      <c r="CW136" s="17">
        <f t="shared" si="95"/>
        <v>8</v>
      </c>
      <c r="CX136" s="17">
        <f t="shared" si="97"/>
        <v>2</v>
      </c>
      <c r="CY136" s="17">
        <f t="shared" si="97"/>
        <v>-212</v>
      </c>
      <c r="CZ136" s="17">
        <f t="shared" si="97"/>
        <v>0</v>
      </c>
      <c r="DA136" s="17">
        <f t="shared" si="97"/>
        <v>0</v>
      </c>
      <c r="DB136" s="17">
        <f t="shared" si="97"/>
        <v>0</v>
      </c>
      <c r="DC136" s="17">
        <f t="shared" si="97"/>
        <v>0</v>
      </c>
      <c r="DD136" s="17">
        <f t="shared" si="97"/>
        <v>0</v>
      </c>
      <c r="DE136" s="17">
        <f t="shared" si="97"/>
        <v>0</v>
      </c>
      <c r="DF136" s="17">
        <f t="shared" si="97"/>
        <v>0</v>
      </c>
      <c r="DG136" s="17">
        <f t="shared" si="97"/>
        <v>0</v>
      </c>
      <c r="DH136" s="17">
        <f t="shared" si="97"/>
        <v>0</v>
      </c>
      <c r="DI136" s="17">
        <f t="shared" si="97"/>
        <v>0</v>
      </c>
    </row>
    <row r="137" spans="1:113" ht="15.75" x14ac:dyDescent="0.25">
      <c r="A137" s="4" t="s">
        <v>263</v>
      </c>
      <c r="B137" s="6" t="s">
        <v>264</v>
      </c>
      <c r="H137" s="90">
        <f>'Combined data'!H137</f>
        <v>82</v>
      </c>
      <c r="I137" s="90">
        <f>'Combined data'!I137-'Combined data'!H137</f>
        <v>5</v>
      </c>
      <c r="J137" s="90">
        <f>'Combined data'!J137-'Combined data'!I137</f>
        <v>4</v>
      </c>
      <c r="K137" s="90">
        <f>'Combined data'!K137-'Combined data'!J137</f>
        <v>10</v>
      </c>
      <c r="L137" s="90">
        <f>'Combined data'!L137-'Combined data'!K137</f>
        <v>-1</v>
      </c>
      <c r="M137" s="90">
        <f>'Combined data'!M137-'Combined data'!L137</f>
        <v>2</v>
      </c>
      <c r="N137" s="90">
        <f>'Combined data'!N137-'Combined data'!M137</f>
        <v>8</v>
      </c>
      <c r="O137" s="90">
        <f>'Combined data'!O137-'Combined data'!N137</f>
        <v>0</v>
      </c>
      <c r="P137" s="90">
        <f>'Combined data'!P137-'Combined data'!O137</f>
        <v>1</v>
      </c>
      <c r="Q137" s="90">
        <f>'Combined data'!Q137-'Combined data'!P137</f>
        <v>2</v>
      </c>
      <c r="R137" s="90">
        <f>'Combined data'!R137-'Combined data'!Q137</f>
        <v>3</v>
      </c>
      <c r="S137" s="90">
        <f>'Combined data'!S137-'Combined data'!R137</f>
        <v>6</v>
      </c>
      <c r="T137" s="90">
        <f>'Combined data'!T137-'Combined data'!S137</f>
        <v>4</v>
      </c>
      <c r="U137" s="90">
        <f>'Combined data'!U137-'Combined data'!T137</f>
        <v>1</v>
      </c>
      <c r="V137" s="90">
        <f>'Combined data'!V137-'Combined data'!U137</f>
        <v>2</v>
      </c>
      <c r="W137" s="90">
        <f>'Combined data'!W137-'Combined data'!V137</f>
        <v>5</v>
      </c>
      <c r="X137" s="90">
        <f>'Combined data'!X137-'Combined data'!W137</f>
        <v>1</v>
      </c>
      <c r="Y137" s="90">
        <f>'Combined data'!Y137-'Combined data'!X137</f>
        <v>5</v>
      </c>
      <c r="Z137" s="90">
        <f>'Combined data'!Z137-'Combined data'!Y137</f>
        <v>5</v>
      </c>
      <c r="AA137" s="90">
        <f>'Combined data'!AA137-'Combined data'!Z137</f>
        <v>0</v>
      </c>
      <c r="AB137" s="90">
        <f>'Combined data'!AB137-'Combined data'!AA137</f>
        <v>0</v>
      </c>
      <c r="AC137" s="90">
        <f>'Combined data'!AC137-'Combined data'!AB137</f>
        <v>1</v>
      </c>
      <c r="AD137" s="90">
        <f>'Combined data'!AD137-'Combined data'!AC137</f>
        <v>5</v>
      </c>
      <c r="AE137" s="90">
        <f>'Combined data'!AE137-'Combined data'!AD137</f>
        <v>-151</v>
      </c>
      <c r="AF137" s="90">
        <f>'Combined data'!AF137-'Combined data'!AE137</f>
        <v>0</v>
      </c>
      <c r="AG137" s="90">
        <f>'Combined data'!AG137-'Combined data'!AF137</f>
        <v>0</v>
      </c>
      <c r="AH137" s="90">
        <f>'Combined data'!AH137-'Combined data'!AG137</f>
        <v>0</v>
      </c>
      <c r="AI137" s="90">
        <f>'Combined data'!AI137-'Combined data'!AH137</f>
        <v>0</v>
      </c>
      <c r="AJ137" s="90">
        <f>'Combined data'!AJ137-'Combined data'!AI137</f>
        <v>0</v>
      </c>
      <c r="AK137" s="90">
        <f>'Combined data'!AK137-'Combined data'!AJ137</f>
        <v>0</v>
      </c>
      <c r="AL137" s="90">
        <f>'Combined data'!AL137-'Combined data'!AK137</f>
        <v>0</v>
      </c>
      <c r="AM137" s="90">
        <f>'Combined data'!AM137-'Combined data'!AL137</f>
        <v>0</v>
      </c>
      <c r="AN137" s="90">
        <f>'Combined data'!AN137-'Combined data'!AM137</f>
        <v>0</v>
      </c>
      <c r="AO137" s="90">
        <f>'Combined data'!AO137-'Combined data'!AN137</f>
        <v>0</v>
      </c>
      <c r="AP137" s="56">
        <f t="shared" si="72"/>
        <v>0</v>
      </c>
      <c r="AQ137" s="113"/>
      <c r="AR137" s="17">
        <f>'Combined data'!AR137</f>
        <v>38</v>
      </c>
      <c r="AS137" s="17">
        <f>'Combined data'!AS137-'Combined data'!AR137</f>
        <v>5</v>
      </c>
      <c r="AT137" s="17">
        <f>'Combined data'!AT137-'Combined data'!AS137</f>
        <v>12</v>
      </c>
      <c r="AU137" s="17">
        <f>'Combined data'!AU137-'Combined data'!AT137</f>
        <v>6</v>
      </c>
      <c r="AV137" s="17">
        <f>'Combined data'!AV137-'Combined data'!AU137</f>
        <v>6</v>
      </c>
      <c r="AW137" s="17">
        <f>'Combined data'!AW137-'Combined data'!AV137</f>
        <v>2</v>
      </c>
      <c r="AX137" s="17">
        <f>'Combined data'!AX137-'Combined data'!AW137</f>
        <v>14</v>
      </c>
      <c r="AY137" s="17">
        <f>'Combined data'!AY137-'Combined data'!AX137</f>
        <v>1</v>
      </c>
      <c r="AZ137" s="17">
        <f>'Combined data'!AZ137-'Combined data'!AY137</f>
        <v>0</v>
      </c>
      <c r="BA137" s="17">
        <f>'Combined data'!BA137-'Combined data'!AZ137</f>
        <v>2</v>
      </c>
      <c r="BB137" s="17">
        <f>'Combined data'!BB137-'Combined data'!BA137</f>
        <v>2</v>
      </c>
      <c r="BC137" s="17">
        <f>'Combined data'!BC137-'Combined data'!BB137</f>
        <v>3</v>
      </c>
      <c r="BD137" s="17">
        <f>'Combined data'!BD137-'Combined data'!BC137</f>
        <v>2</v>
      </c>
      <c r="BE137" s="17">
        <f>'Combined data'!BE137-'Combined data'!BD137</f>
        <v>7</v>
      </c>
      <c r="BF137" s="17">
        <f>'Combined data'!BF137-'Combined data'!BE137</f>
        <v>3</v>
      </c>
      <c r="BG137" s="17">
        <f>'Combined data'!BG137-'Combined data'!BF137</f>
        <v>0</v>
      </c>
      <c r="BH137" s="17">
        <f>'Combined data'!BH137-'Combined data'!BG137</f>
        <v>0</v>
      </c>
      <c r="BI137" s="17">
        <f>'Combined data'!BI137-'Combined data'!BH137</f>
        <v>2</v>
      </c>
      <c r="BJ137" s="17">
        <f>'Combined data'!BJ137-'Combined data'!BI137</f>
        <v>2</v>
      </c>
      <c r="BK137" s="17">
        <f>'Combined data'!BK137-'Combined data'!BJ137</f>
        <v>4</v>
      </c>
      <c r="BL137" s="17">
        <f>'Combined data'!BL137-'Combined data'!BK137</f>
        <v>9</v>
      </c>
      <c r="BM137" s="17">
        <f>'Combined data'!BM137-'Combined data'!BL137</f>
        <v>1</v>
      </c>
      <c r="BN137" s="17">
        <f>'Combined data'!BN137-'Combined data'!BM137</f>
        <v>2</v>
      </c>
      <c r="BO137" s="17">
        <f>'Combined data'!BO137-'Combined data'!BN137</f>
        <v>-123</v>
      </c>
      <c r="BP137" s="17">
        <f>'Combined data'!BP137-'Combined data'!BO137</f>
        <v>0</v>
      </c>
      <c r="BQ137" s="17">
        <f>'Combined data'!BQ137-'Combined data'!BP137</f>
        <v>0</v>
      </c>
      <c r="BR137" s="17">
        <f>'Combined data'!BR137-'Combined data'!BQ137</f>
        <v>0</v>
      </c>
      <c r="BS137" s="17">
        <f>'Combined data'!BS137-'Combined data'!BR137</f>
        <v>0</v>
      </c>
      <c r="BT137" s="17">
        <f>'Combined data'!BT137-'Combined data'!BS137</f>
        <v>0</v>
      </c>
      <c r="BU137" s="17">
        <f>'Combined data'!BU137-'Combined data'!BT137</f>
        <v>0</v>
      </c>
      <c r="BV137" s="17">
        <f>'Combined data'!BV137-'Combined data'!BU137</f>
        <v>0</v>
      </c>
      <c r="BW137" s="17">
        <f>'Combined data'!BW137-'Combined data'!BV137</f>
        <v>0</v>
      </c>
      <c r="BX137" s="17">
        <f>'Combined data'!BX137-'Combined data'!BW137</f>
        <v>0</v>
      </c>
      <c r="BY137" s="17">
        <f>'Combined data'!BY137-'Combined data'!BX137</f>
        <v>0</v>
      </c>
      <c r="CB137" s="17">
        <f t="shared" ref="CB137:CB160" si="98">AR137</f>
        <v>38</v>
      </c>
      <c r="CC137" s="17">
        <f t="shared" ref="CC137:CC160" si="99">AS137</f>
        <v>5</v>
      </c>
      <c r="CD137" s="17">
        <f t="shared" ref="CD137:CD160" si="100">AT137</f>
        <v>12</v>
      </c>
      <c r="CE137" s="17">
        <f t="shared" ref="CE137:CE160" si="101">AU137</f>
        <v>6</v>
      </c>
      <c r="CF137" s="17">
        <f t="shared" ref="CF137:CF160" si="102">AV137</f>
        <v>6</v>
      </c>
      <c r="CG137" s="17">
        <f t="shared" ref="CG137:CG160" si="103">AW137</f>
        <v>2</v>
      </c>
      <c r="CH137" s="17">
        <f t="shared" ref="CH137:CH160" si="104">AX137</f>
        <v>14</v>
      </c>
      <c r="CI137" s="17">
        <f t="shared" ref="CI137:CI160" si="105">AY137</f>
        <v>1</v>
      </c>
      <c r="CJ137" s="17">
        <f t="shared" ref="CJ137:CJ160" si="106">AZ137</f>
        <v>0</v>
      </c>
      <c r="CK137" s="17">
        <f t="shared" ref="CK137:CK160" si="107">BA137</f>
        <v>2</v>
      </c>
      <c r="CL137" s="17">
        <f t="shared" ref="CL137:CL160" si="108">BB137</f>
        <v>2</v>
      </c>
      <c r="CM137" s="17">
        <f t="shared" ref="CM137:CM160" si="109">BC137</f>
        <v>3</v>
      </c>
      <c r="CN137" s="17">
        <f t="shared" ref="CN137:CN160" si="110">BD137</f>
        <v>2</v>
      </c>
      <c r="CO137" s="17">
        <f t="shared" ref="CO137:CO160" si="111">BE137</f>
        <v>7</v>
      </c>
      <c r="CP137" s="17">
        <f t="shared" ref="CP137:CP160" si="112">BF137</f>
        <v>3</v>
      </c>
      <c r="CQ137" s="17">
        <f t="shared" ref="CQ137:CQ160" si="113">BG137</f>
        <v>0</v>
      </c>
      <c r="CR137" s="17">
        <f t="shared" ref="CR137:CR160" si="114">BH137</f>
        <v>0</v>
      </c>
      <c r="CS137" s="17">
        <f t="shared" ref="CS137:CS160" si="115">BI137</f>
        <v>2</v>
      </c>
      <c r="CT137" s="17">
        <f t="shared" ref="CT137:CT160" si="116">BJ137</f>
        <v>2</v>
      </c>
      <c r="CU137" s="17">
        <f t="shared" ref="CU137:CU160" si="117">BK137</f>
        <v>4</v>
      </c>
      <c r="CV137" s="17">
        <f t="shared" ref="CV137:CV160" si="118">BL137</f>
        <v>9</v>
      </c>
      <c r="CW137" s="17">
        <f t="shared" ref="CW137:CW160" si="119">BM137</f>
        <v>1</v>
      </c>
      <c r="CX137" s="17">
        <f t="shared" ref="CX137:DI152" si="120">BN137</f>
        <v>2</v>
      </c>
      <c r="CY137" s="17">
        <f t="shared" si="120"/>
        <v>-123</v>
      </c>
      <c r="CZ137" s="17">
        <f t="shared" si="120"/>
        <v>0</v>
      </c>
      <c r="DA137" s="17">
        <f t="shared" si="120"/>
        <v>0</v>
      </c>
      <c r="DB137" s="17">
        <f t="shared" si="120"/>
        <v>0</v>
      </c>
      <c r="DC137" s="17">
        <f t="shared" si="120"/>
        <v>0</v>
      </c>
      <c r="DD137" s="17">
        <f t="shared" si="120"/>
        <v>0</v>
      </c>
      <c r="DE137" s="17">
        <f t="shared" si="120"/>
        <v>0</v>
      </c>
      <c r="DF137" s="17">
        <f t="shared" si="120"/>
        <v>0</v>
      </c>
      <c r="DG137" s="17">
        <f t="shared" si="120"/>
        <v>0</v>
      </c>
      <c r="DH137" s="17">
        <f t="shared" si="120"/>
        <v>0</v>
      </c>
      <c r="DI137" s="17">
        <f t="shared" si="120"/>
        <v>0</v>
      </c>
    </row>
    <row r="138" spans="1:113" ht="15.75" x14ac:dyDescent="0.25">
      <c r="A138" s="4" t="s">
        <v>265</v>
      </c>
      <c r="B138" s="6" t="s">
        <v>266</v>
      </c>
      <c r="H138" s="90">
        <f>'Combined data'!H138</f>
        <v>134</v>
      </c>
      <c r="I138" s="90">
        <f>'Combined data'!I138-'Combined data'!H138</f>
        <v>5</v>
      </c>
      <c r="J138" s="90">
        <f>'Combined data'!J138-'Combined data'!I138</f>
        <v>10</v>
      </c>
      <c r="K138" s="90">
        <f>'Combined data'!K138-'Combined data'!J138</f>
        <v>6</v>
      </c>
      <c r="L138" s="90">
        <f>'Combined data'!L138-'Combined data'!K138</f>
        <v>4</v>
      </c>
      <c r="M138" s="90">
        <f>'Combined data'!M138-'Combined data'!L138</f>
        <v>3</v>
      </c>
      <c r="N138" s="90">
        <f>'Combined data'!N138-'Combined data'!M138</f>
        <v>10</v>
      </c>
      <c r="O138" s="90">
        <f>'Combined data'!O138-'Combined data'!N138</f>
        <v>12</v>
      </c>
      <c r="P138" s="90">
        <f>'Combined data'!P138-'Combined data'!O138</f>
        <v>4</v>
      </c>
      <c r="Q138" s="90">
        <f>'Combined data'!Q138-'Combined data'!P138</f>
        <v>11</v>
      </c>
      <c r="R138" s="90">
        <f>'Combined data'!R138-'Combined data'!Q138</f>
        <v>2</v>
      </c>
      <c r="S138" s="90">
        <f>'Combined data'!S138-'Combined data'!R138</f>
        <v>9</v>
      </c>
      <c r="T138" s="90">
        <f>'Combined data'!T138-'Combined data'!S138</f>
        <v>1</v>
      </c>
      <c r="U138" s="90">
        <f>'Combined data'!U138-'Combined data'!T138</f>
        <v>3</v>
      </c>
      <c r="V138" s="90">
        <f>'Combined data'!V138-'Combined data'!U138</f>
        <v>2</v>
      </c>
      <c r="W138" s="90">
        <f>'Combined data'!W138-'Combined data'!V138</f>
        <v>3</v>
      </c>
      <c r="X138" s="90">
        <f>'Combined data'!X138-'Combined data'!W138</f>
        <v>1</v>
      </c>
      <c r="Y138" s="90">
        <f>'Combined data'!Y138-'Combined data'!X138</f>
        <v>2</v>
      </c>
      <c r="Z138" s="90">
        <f>'Combined data'!Z138-'Combined data'!Y138</f>
        <v>3</v>
      </c>
      <c r="AA138" s="90">
        <f>'Combined data'!AA138-'Combined data'!Z138</f>
        <v>0</v>
      </c>
      <c r="AB138" s="90">
        <f>'Combined data'!AB138-'Combined data'!AA138</f>
        <v>7</v>
      </c>
      <c r="AC138" s="90">
        <f>'Combined data'!AC138-'Combined data'!AB138</f>
        <v>2</v>
      </c>
      <c r="AD138" s="90">
        <f>'Combined data'!AD138-'Combined data'!AC138</f>
        <v>2</v>
      </c>
      <c r="AE138" s="90">
        <f>'Combined data'!AE138-'Combined data'!AD138</f>
        <v>-236</v>
      </c>
      <c r="AF138" s="90">
        <f>'Combined data'!AF138-'Combined data'!AE138</f>
        <v>0</v>
      </c>
      <c r="AG138" s="90">
        <f>'Combined data'!AG138-'Combined data'!AF138</f>
        <v>0</v>
      </c>
      <c r="AH138" s="90">
        <f>'Combined data'!AH138-'Combined data'!AG138</f>
        <v>0</v>
      </c>
      <c r="AI138" s="90">
        <f>'Combined data'!AI138-'Combined data'!AH138</f>
        <v>0</v>
      </c>
      <c r="AJ138" s="90">
        <f>'Combined data'!AJ138-'Combined data'!AI138</f>
        <v>0</v>
      </c>
      <c r="AK138" s="90">
        <f>'Combined data'!AK138-'Combined data'!AJ138</f>
        <v>0</v>
      </c>
      <c r="AL138" s="90">
        <f>'Combined data'!AL138-'Combined data'!AK138</f>
        <v>0</v>
      </c>
      <c r="AM138" s="90">
        <f>'Combined data'!AM138-'Combined data'!AL138</f>
        <v>0</v>
      </c>
      <c r="AN138" s="90">
        <f>'Combined data'!AN138-'Combined data'!AM138</f>
        <v>0</v>
      </c>
      <c r="AO138" s="90">
        <f>'Combined data'!AO138-'Combined data'!AN138</f>
        <v>0</v>
      </c>
      <c r="AP138" s="56">
        <f t="shared" ref="AP138:AP201" si="121">SUM(H138:AO138)</f>
        <v>0</v>
      </c>
      <c r="AQ138" s="113"/>
      <c r="AR138" s="17">
        <f>'Combined data'!AR138</f>
        <v>58</v>
      </c>
      <c r="AS138" s="17">
        <f>'Combined data'!AS138-'Combined data'!AR138</f>
        <v>12</v>
      </c>
      <c r="AT138" s="17">
        <f>'Combined data'!AT138-'Combined data'!AS138</f>
        <v>11</v>
      </c>
      <c r="AU138" s="17">
        <f>'Combined data'!AU138-'Combined data'!AT138</f>
        <v>7</v>
      </c>
      <c r="AV138" s="17">
        <f>'Combined data'!AV138-'Combined data'!AU138</f>
        <v>11</v>
      </c>
      <c r="AW138" s="17">
        <f>'Combined data'!AW138-'Combined data'!AV138</f>
        <v>9</v>
      </c>
      <c r="AX138" s="17">
        <f>'Combined data'!AX138-'Combined data'!AW138</f>
        <v>14</v>
      </c>
      <c r="AY138" s="17">
        <f>'Combined data'!AY138-'Combined data'!AX138</f>
        <v>6</v>
      </c>
      <c r="AZ138" s="17">
        <f>'Combined data'!AZ138-'Combined data'!AY138</f>
        <v>6</v>
      </c>
      <c r="BA138" s="17">
        <f>'Combined data'!BA138-'Combined data'!AZ138</f>
        <v>6</v>
      </c>
      <c r="BB138" s="17">
        <f>'Combined data'!BB138-'Combined data'!BA138</f>
        <v>5</v>
      </c>
      <c r="BC138" s="17">
        <f>'Combined data'!BC138-'Combined data'!BB138</f>
        <v>9</v>
      </c>
      <c r="BD138" s="17">
        <f>'Combined data'!BD138-'Combined data'!BC138</f>
        <v>9</v>
      </c>
      <c r="BE138" s="17">
        <f>'Combined data'!BE138-'Combined data'!BD138</f>
        <v>5</v>
      </c>
      <c r="BF138" s="17">
        <f>'Combined data'!BF138-'Combined data'!BE138</f>
        <v>8</v>
      </c>
      <c r="BG138" s="17">
        <f>'Combined data'!BG138-'Combined data'!BF138</f>
        <v>5</v>
      </c>
      <c r="BH138" s="17">
        <f>'Combined data'!BH138-'Combined data'!BG138</f>
        <v>0</v>
      </c>
      <c r="BI138" s="17">
        <f>'Combined data'!BI138-'Combined data'!BH138</f>
        <v>5</v>
      </c>
      <c r="BJ138" s="17">
        <f>'Combined data'!BJ138-'Combined data'!BI138</f>
        <v>11</v>
      </c>
      <c r="BK138" s="17">
        <f>'Combined data'!BK138-'Combined data'!BJ138</f>
        <v>0</v>
      </c>
      <c r="BL138" s="17">
        <f>'Combined data'!BL138-'Combined data'!BK138</f>
        <v>2</v>
      </c>
      <c r="BM138" s="17">
        <f>'Combined data'!BM138-'Combined data'!BL138</f>
        <v>0</v>
      </c>
      <c r="BN138" s="17">
        <f>'Combined data'!BN138-'Combined data'!BM138</f>
        <v>-1</v>
      </c>
      <c r="BO138" s="17">
        <f>'Combined data'!BO138-'Combined data'!BN138</f>
        <v>-198</v>
      </c>
      <c r="BP138" s="17">
        <f>'Combined data'!BP138-'Combined data'!BO138</f>
        <v>0</v>
      </c>
      <c r="BQ138" s="17">
        <f>'Combined data'!BQ138-'Combined data'!BP138</f>
        <v>0</v>
      </c>
      <c r="BR138" s="17">
        <f>'Combined data'!BR138-'Combined data'!BQ138</f>
        <v>0</v>
      </c>
      <c r="BS138" s="17">
        <f>'Combined data'!BS138-'Combined data'!BR138</f>
        <v>0</v>
      </c>
      <c r="BT138" s="17">
        <f>'Combined data'!BT138-'Combined data'!BS138</f>
        <v>0</v>
      </c>
      <c r="BU138" s="17">
        <f>'Combined data'!BU138-'Combined data'!BT138</f>
        <v>0</v>
      </c>
      <c r="BV138" s="17">
        <f>'Combined data'!BV138-'Combined data'!BU138</f>
        <v>0</v>
      </c>
      <c r="BW138" s="17">
        <f>'Combined data'!BW138-'Combined data'!BV138</f>
        <v>0</v>
      </c>
      <c r="BX138" s="17">
        <f>'Combined data'!BX138-'Combined data'!BW138</f>
        <v>0</v>
      </c>
      <c r="BY138" s="17">
        <f>'Combined data'!BY138-'Combined data'!BX138</f>
        <v>0</v>
      </c>
      <c r="CB138" s="17">
        <f t="shared" si="98"/>
        <v>58</v>
      </c>
      <c r="CC138" s="17">
        <f t="shared" si="99"/>
        <v>12</v>
      </c>
      <c r="CD138" s="17">
        <f t="shared" si="100"/>
        <v>11</v>
      </c>
      <c r="CE138" s="17">
        <f t="shared" si="101"/>
        <v>7</v>
      </c>
      <c r="CF138" s="17">
        <f t="shared" si="102"/>
        <v>11</v>
      </c>
      <c r="CG138" s="17">
        <f t="shared" si="103"/>
        <v>9</v>
      </c>
      <c r="CH138" s="17">
        <f t="shared" si="104"/>
        <v>14</v>
      </c>
      <c r="CI138" s="17">
        <f t="shared" si="105"/>
        <v>6</v>
      </c>
      <c r="CJ138" s="17">
        <f t="shared" si="106"/>
        <v>6</v>
      </c>
      <c r="CK138" s="17">
        <f t="shared" si="107"/>
        <v>6</v>
      </c>
      <c r="CL138" s="17">
        <f t="shared" si="108"/>
        <v>5</v>
      </c>
      <c r="CM138" s="17">
        <f t="shared" si="109"/>
        <v>9</v>
      </c>
      <c r="CN138" s="17">
        <f t="shared" si="110"/>
        <v>9</v>
      </c>
      <c r="CO138" s="17">
        <f t="shared" si="111"/>
        <v>5</v>
      </c>
      <c r="CP138" s="17">
        <f t="shared" si="112"/>
        <v>8</v>
      </c>
      <c r="CQ138" s="17">
        <f t="shared" si="113"/>
        <v>5</v>
      </c>
      <c r="CR138" s="17">
        <f t="shared" si="114"/>
        <v>0</v>
      </c>
      <c r="CS138" s="17">
        <f t="shared" si="115"/>
        <v>5</v>
      </c>
      <c r="CT138" s="17">
        <f t="shared" si="116"/>
        <v>11</v>
      </c>
      <c r="CU138" s="17">
        <f t="shared" si="117"/>
        <v>0</v>
      </c>
      <c r="CV138" s="17">
        <f t="shared" si="118"/>
        <v>2</v>
      </c>
      <c r="CW138" s="17">
        <f t="shared" si="119"/>
        <v>0</v>
      </c>
      <c r="CX138" s="17">
        <f t="shared" si="120"/>
        <v>-1</v>
      </c>
      <c r="CY138" s="17">
        <f t="shared" si="120"/>
        <v>-198</v>
      </c>
      <c r="CZ138" s="17">
        <f t="shared" si="120"/>
        <v>0</v>
      </c>
      <c r="DA138" s="17">
        <f t="shared" si="120"/>
        <v>0</v>
      </c>
      <c r="DB138" s="17">
        <f t="shared" si="120"/>
        <v>0</v>
      </c>
      <c r="DC138" s="17">
        <f t="shared" si="120"/>
        <v>0</v>
      </c>
      <c r="DD138" s="17">
        <f t="shared" si="120"/>
        <v>0</v>
      </c>
      <c r="DE138" s="17">
        <f t="shared" si="120"/>
        <v>0</v>
      </c>
      <c r="DF138" s="17">
        <f t="shared" si="120"/>
        <v>0</v>
      </c>
      <c r="DG138" s="17">
        <f t="shared" si="120"/>
        <v>0</v>
      </c>
      <c r="DH138" s="17">
        <f t="shared" si="120"/>
        <v>0</v>
      </c>
      <c r="DI138" s="17">
        <f t="shared" si="120"/>
        <v>0</v>
      </c>
    </row>
    <row r="139" spans="1:113" ht="15.75" x14ac:dyDescent="0.25">
      <c r="A139" s="4" t="s">
        <v>267</v>
      </c>
      <c r="B139" s="6" t="s">
        <v>268</v>
      </c>
      <c r="H139" s="90">
        <f>'Combined data'!H139</f>
        <v>73</v>
      </c>
      <c r="I139" s="90">
        <f>'Combined data'!I139-'Combined data'!H139</f>
        <v>9</v>
      </c>
      <c r="J139" s="90">
        <f>'Combined data'!J139-'Combined data'!I139</f>
        <v>3</v>
      </c>
      <c r="K139" s="90">
        <f>'Combined data'!K139-'Combined data'!J139</f>
        <v>8</v>
      </c>
      <c r="L139" s="90">
        <f>'Combined data'!L139-'Combined data'!K139</f>
        <v>0</v>
      </c>
      <c r="M139" s="90">
        <f>'Combined data'!M139-'Combined data'!L139</f>
        <v>1</v>
      </c>
      <c r="N139" s="90">
        <f>'Combined data'!N139-'Combined data'!M139</f>
        <v>5</v>
      </c>
      <c r="O139" s="90">
        <f>'Combined data'!O139-'Combined data'!N139</f>
        <v>4</v>
      </c>
      <c r="P139" s="90">
        <f>'Combined data'!P139-'Combined data'!O139</f>
        <v>5</v>
      </c>
      <c r="Q139" s="90">
        <f>'Combined data'!Q139-'Combined data'!P139</f>
        <v>5</v>
      </c>
      <c r="R139" s="90">
        <f>'Combined data'!R139-'Combined data'!Q139</f>
        <v>1</v>
      </c>
      <c r="S139" s="90">
        <f>'Combined data'!S139-'Combined data'!R139</f>
        <v>0</v>
      </c>
      <c r="T139" s="90">
        <f>'Combined data'!T139-'Combined data'!S139</f>
        <v>1</v>
      </c>
      <c r="U139" s="90">
        <f>'Combined data'!U139-'Combined data'!T139</f>
        <v>8</v>
      </c>
      <c r="V139" s="90">
        <f>'Combined data'!V139-'Combined data'!U139</f>
        <v>7</v>
      </c>
      <c r="W139" s="90">
        <f>'Combined data'!W139-'Combined data'!V139</f>
        <v>4</v>
      </c>
      <c r="X139" s="90">
        <f>'Combined data'!X139-'Combined data'!W139</f>
        <v>0</v>
      </c>
      <c r="Y139" s="90">
        <f>'Combined data'!Y139-'Combined data'!X139</f>
        <v>5</v>
      </c>
      <c r="Z139" s="90">
        <f>'Combined data'!Z139-'Combined data'!Y139</f>
        <v>8</v>
      </c>
      <c r="AA139" s="90">
        <f>'Combined data'!AA139-'Combined data'!Z139</f>
        <v>1</v>
      </c>
      <c r="AB139" s="90">
        <f>'Combined data'!AB139-'Combined data'!AA139</f>
        <v>5</v>
      </c>
      <c r="AC139" s="90">
        <f>'Combined data'!AC139-'Combined data'!AB139</f>
        <v>1</v>
      </c>
      <c r="AD139" s="90">
        <f>'Combined data'!AD139-'Combined data'!AC139</f>
        <v>7</v>
      </c>
      <c r="AE139" s="90">
        <f>'Combined data'!AE139-'Combined data'!AD139</f>
        <v>-161</v>
      </c>
      <c r="AF139" s="90">
        <f>'Combined data'!AF139-'Combined data'!AE139</f>
        <v>0</v>
      </c>
      <c r="AG139" s="90">
        <f>'Combined data'!AG139-'Combined data'!AF139</f>
        <v>0</v>
      </c>
      <c r="AH139" s="90">
        <f>'Combined data'!AH139-'Combined data'!AG139</f>
        <v>0</v>
      </c>
      <c r="AI139" s="90">
        <f>'Combined data'!AI139-'Combined data'!AH139</f>
        <v>0</v>
      </c>
      <c r="AJ139" s="90">
        <f>'Combined data'!AJ139-'Combined data'!AI139</f>
        <v>0</v>
      </c>
      <c r="AK139" s="90">
        <f>'Combined data'!AK139-'Combined data'!AJ139</f>
        <v>0</v>
      </c>
      <c r="AL139" s="90">
        <f>'Combined data'!AL139-'Combined data'!AK139</f>
        <v>0</v>
      </c>
      <c r="AM139" s="90">
        <f>'Combined data'!AM139-'Combined data'!AL139</f>
        <v>0</v>
      </c>
      <c r="AN139" s="90">
        <f>'Combined data'!AN139-'Combined data'!AM139</f>
        <v>0</v>
      </c>
      <c r="AO139" s="90">
        <f>'Combined data'!AO139-'Combined data'!AN139</f>
        <v>0</v>
      </c>
      <c r="AP139" s="56">
        <f t="shared" si="121"/>
        <v>0</v>
      </c>
      <c r="AQ139" s="113"/>
      <c r="AR139" s="17">
        <f>'Combined data'!AR139</f>
        <v>30</v>
      </c>
      <c r="AS139" s="17">
        <f>'Combined data'!AS139-'Combined data'!AR139</f>
        <v>1</v>
      </c>
      <c r="AT139" s="17">
        <f>'Combined data'!AT139-'Combined data'!AS139</f>
        <v>9</v>
      </c>
      <c r="AU139" s="17">
        <f>'Combined data'!AU139-'Combined data'!AT139</f>
        <v>2</v>
      </c>
      <c r="AV139" s="17">
        <f>'Combined data'!AV139-'Combined data'!AU139</f>
        <v>3</v>
      </c>
      <c r="AW139" s="17">
        <f>'Combined data'!AW139-'Combined data'!AV139</f>
        <v>14</v>
      </c>
      <c r="AX139" s="17">
        <f>'Combined data'!AX139-'Combined data'!AW139</f>
        <v>5</v>
      </c>
      <c r="AY139" s="17">
        <f>'Combined data'!AY139-'Combined data'!AX139</f>
        <v>0</v>
      </c>
      <c r="AZ139" s="17">
        <f>'Combined data'!AZ139-'Combined data'!AY139</f>
        <v>6</v>
      </c>
      <c r="BA139" s="17">
        <f>'Combined data'!BA139-'Combined data'!AZ139</f>
        <v>4</v>
      </c>
      <c r="BB139" s="17">
        <f>'Combined data'!BB139-'Combined data'!BA139</f>
        <v>4</v>
      </c>
      <c r="BC139" s="17">
        <f>'Combined data'!BC139-'Combined data'!BB139</f>
        <v>5</v>
      </c>
      <c r="BD139" s="17">
        <f>'Combined data'!BD139-'Combined data'!BC139</f>
        <v>2</v>
      </c>
      <c r="BE139" s="17">
        <f>'Combined data'!BE139-'Combined data'!BD139</f>
        <v>5</v>
      </c>
      <c r="BF139" s="17">
        <f>'Combined data'!BF139-'Combined data'!BE139</f>
        <v>1</v>
      </c>
      <c r="BG139" s="17">
        <f>'Combined data'!BG139-'Combined data'!BF139</f>
        <v>4</v>
      </c>
      <c r="BH139" s="17">
        <f>'Combined data'!BH139-'Combined data'!BG139</f>
        <v>3</v>
      </c>
      <c r="BI139" s="17">
        <f>'Combined data'!BI139-'Combined data'!BH139</f>
        <v>1</v>
      </c>
      <c r="BJ139" s="17">
        <f>'Combined data'!BJ139-'Combined data'!BI139</f>
        <v>3</v>
      </c>
      <c r="BK139" s="17">
        <f>'Combined data'!BK139-'Combined data'!BJ139</f>
        <v>1</v>
      </c>
      <c r="BL139" s="17">
        <f>'Combined data'!BL139-'Combined data'!BK139</f>
        <v>5</v>
      </c>
      <c r="BM139" s="17">
        <f>'Combined data'!BM139-'Combined data'!BL139</f>
        <v>1</v>
      </c>
      <c r="BN139" s="17">
        <f>'Combined data'!BN139-'Combined data'!BM139</f>
        <v>6</v>
      </c>
      <c r="BO139" s="17">
        <f>'Combined data'!BO139-'Combined data'!BN139</f>
        <v>-115</v>
      </c>
      <c r="BP139" s="17">
        <f>'Combined data'!BP139-'Combined data'!BO139</f>
        <v>0</v>
      </c>
      <c r="BQ139" s="17">
        <f>'Combined data'!BQ139-'Combined data'!BP139</f>
        <v>0</v>
      </c>
      <c r="BR139" s="17">
        <f>'Combined data'!BR139-'Combined data'!BQ139</f>
        <v>0</v>
      </c>
      <c r="BS139" s="17">
        <f>'Combined data'!BS139-'Combined data'!BR139</f>
        <v>0</v>
      </c>
      <c r="BT139" s="17">
        <f>'Combined data'!BT139-'Combined data'!BS139</f>
        <v>0</v>
      </c>
      <c r="BU139" s="17">
        <f>'Combined data'!BU139-'Combined data'!BT139</f>
        <v>0</v>
      </c>
      <c r="BV139" s="17">
        <f>'Combined data'!BV139-'Combined data'!BU139</f>
        <v>0</v>
      </c>
      <c r="BW139" s="17">
        <f>'Combined data'!BW139-'Combined data'!BV139</f>
        <v>0</v>
      </c>
      <c r="BX139" s="17">
        <f>'Combined data'!BX139-'Combined data'!BW139</f>
        <v>0</v>
      </c>
      <c r="BY139" s="17">
        <f>'Combined data'!BY139-'Combined data'!BX139</f>
        <v>0</v>
      </c>
      <c r="CB139" s="17">
        <f t="shared" si="98"/>
        <v>30</v>
      </c>
      <c r="CC139" s="17">
        <f t="shared" si="99"/>
        <v>1</v>
      </c>
      <c r="CD139" s="17">
        <f t="shared" si="100"/>
        <v>9</v>
      </c>
      <c r="CE139" s="17">
        <f t="shared" si="101"/>
        <v>2</v>
      </c>
      <c r="CF139" s="17">
        <f t="shared" si="102"/>
        <v>3</v>
      </c>
      <c r="CG139" s="17">
        <f t="shared" si="103"/>
        <v>14</v>
      </c>
      <c r="CH139" s="17">
        <f t="shared" si="104"/>
        <v>5</v>
      </c>
      <c r="CI139" s="17">
        <f t="shared" si="105"/>
        <v>0</v>
      </c>
      <c r="CJ139" s="17">
        <f t="shared" si="106"/>
        <v>6</v>
      </c>
      <c r="CK139" s="17">
        <f t="shared" si="107"/>
        <v>4</v>
      </c>
      <c r="CL139" s="17">
        <f t="shared" si="108"/>
        <v>4</v>
      </c>
      <c r="CM139" s="17">
        <f t="shared" si="109"/>
        <v>5</v>
      </c>
      <c r="CN139" s="17">
        <f t="shared" si="110"/>
        <v>2</v>
      </c>
      <c r="CO139" s="17">
        <f t="shared" si="111"/>
        <v>5</v>
      </c>
      <c r="CP139" s="17">
        <f t="shared" si="112"/>
        <v>1</v>
      </c>
      <c r="CQ139" s="17">
        <f t="shared" si="113"/>
        <v>4</v>
      </c>
      <c r="CR139" s="17">
        <f t="shared" si="114"/>
        <v>3</v>
      </c>
      <c r="CS139" s="17">
        <f t="shared" si="115"/>
        <v>1</v>
      </c>
      <c r="CT139" s="17">
        <f t="shared" si="116"/>
        <v>3</v>
      </c>
      <c r="CU139" s="17">
        <f t="shared" si="117"/>
        <v>1</v>
      </c>
      <c r="CV139" s="17">
        <f t="shared" si="118"/>
        <v>5</v>
      </c>
      <c r="CW139" s="17">
        <f t="shared" si="119"/>
        <v>1</v>
      </c>
      <c r="CX139" s="17">
        <f t="shared" si="120"/>
        <v>6</v>
      </c>
      <c r="CY139" s="17">
        <f t="shared" si="120"/>
        <v>-115</v>
      </c>
      <c r="CZ139" s="17">
        <f t="shared" si="120"/>
        <v>0</v>
      </c>
      <c r="DA139" s="17">
        <f t="shared" si="120"/>
        <v>0</v>
      </c>
      <c r="DB139" s="17">
        <f t="shared" si="120"/>
        <v>0</v>
      </c>
      <c r="DC139" s="17">
        <f t="shared" si="120"/>
        <v>0</v>
      </c>
      <c r="DD139" s="17">
        <f t="shared" si="120"/>
        <v>0</v>
      </c>
      <c r="DE139" s="17">
        <f t="shared" si="120"/>
        <v>0</v>
      </c>
      <c r="DF139" s="17">
        <f t="shared" si="120"/>
        <v>0</v>
      </c>
      <c r="DG139" s="17">
        <f t="shared" si="120"/>
        <v>0</v>
      </c>
      <c r="DH139" s="17">
        <f t="shared" si="120"/>
        <v>0</v>
      </c>
      <c r="DI139" s="17">
        <f t="shared" si="120"/>
        <v>0</v>
      </c>
    </row>
    <row r="140" spans="1:113" ht="15.75" x14ac:dyDescent="0.25">
      <c r="A140" s="4" t="s">
        <v>269</v>
      </c>
      <c r="B140" s="6" t="s">
        <v>270</v>
      </c>
      <c r="H140" s="90">
        <f>'Combined data'!H140</f>
        <v>121</v>
      </c>
      <c r="I140" s="90">
        <f>'Combined data'!I140-'Combined data'!H140</f>
        <v>4</v>
      </c>
      <c r="J140" s="90">
        <f>'Combined data'!J140-'Combined data'!I140</f>
        <v>11</v>
      </c>
      <c r="K140" s="90">
        <f>'Combined data'!K140-'Combined data'!J140</f>
        <v>4</v>
      </c>
      <c r="L140" s="90">
        <f>'Combined data'!L140-'Combined data'!K140</f>
        <v>1</v>
      </c>
      <c r="M140" s="90">
        <f>'Combined data'!M140-'Combined data'!L140</f>
        <v>3</v>
      </c>
      <c r="N140" s="90">
        <f>'Combined data'!N140-'Combined data'!M140</f>
        <v>13</v>
      </c>
      <c r="O140" s="90">
        <f>'Combined data'!O140-'Combined data'!N140</f>
        <v>2</v>
      </c>
      <c r="P140" s="90">
        <f>'Combined data'!P140-'Combined data'!O140</f>
        <v>8</v>
      </c>
      <c r="Q140" s="90">
        <f>'Combined data'!Q140-'Combined data'!P140</f>
        <v>11</v>
      </c>
      <c r="R140" s="90">
        <f>'Combined data'!R140-'Combined data'!Q140</f>
        <v>2</v>
      </c>
      <c r="S140" s="90">
        <f>'Combined data'!S140-'Combined data'!R140</f>
        <v>3</v>
      </c>
      <c r="T140" s="90">
        <f>'Combined data'!T140-'Combined data'!S140</f>
        <v>1</v>
      </c>
      <c r="U140" s="90">
        <f>'Combined data'!U140-'Combined data'!T140</f>
        <v>0</v>
      </c>
      <c r="V140" s="90">
        <f>'Combined data'!V140-'Combined data'!U140</f>
        <v>0</v>
      </c>
      <c r="W140" s="90">
        <f>'Combined data'!W140-'Combined data'!V140</f>
        <v>5</v>
      </c>
      <c r="X140" s="90">
        <f>'Combined data'!X140-'Combined data'!W140</f>
        <v>0</v>
      </c>
      <c r="Y140" s="90">
        <f>'Combined data'!Y140-'Combined data'!X140</f>
        <v>0</v>
      </c>
      <c r="Z140" s="90">
        <f>'Combined data'!Z140-'Combined data'!Y140</f>
        <v>3</v>
      </c>
      <c r="AA140" s="90">
        <f>'Combined data'!AA140-'Combined data'!Z140</f>
        <v>0</v>
      </c>
      <c r="AB140" s="90">
        <f>'Combined data'!AB140-'Combined data'!AA140</f>
        <v>2</v>
      </c>
      <c r="AC140" s="90">
        <f>'Combined data'!AC140-'Combined data'!AB140</f>
        <v>0</v>
      </c>
      <c r="AD140" s="90">
        <f>'Combined data'!AD140-'Combined data'!AC140</f>
        <v>2</v>
      </c>
      <c r="AE140" s="90">
        <f>'Combined data'!AE140-'Combined data'!AD140</f>
        <v>-196</v>
      </c>
      <c r="AF140" s="90">
        <f>'Combined data'!AF140-'Combined data'!AE140</f>
        <v>0</v>
      </c>
      <c r="AG140" s="90">
        <f>'Combined data'!AG140-'Combined data'!AF140</f>
        <v>0</v>
      </c>
      <c r="AH140" s="90">
        <f>'Combined data'!AH140-'Combined data'!AG140</f>
        <v>0</v>
      </c>
      <c r="AI140" s="90">
        <f>'Combined data'!AI140-'Combined data'!AH140</f>
        <v>0</v>
      </c>
      <c r="AJ140" s="90">
        <f>'Combined data'!AJ140-'Combined data'!AI140</f>
        <v>0</v>
      </c>
      <c r="AK140" s="90">
        <f>'Combined data'!AK140-'Combined data'!AJ140</f>
        <v>0</v>
      </c>
      <c r="AL140" s="90">
        <f>'Combined data'!AL140-'Combined data'!AK140</f>
        <v>0</v>
      </c>
      <c r="AM140" s="90">
        <f>'Combined data'!AM140-'Combined data'!AL140</f>
        <v>0</v>
      </c>
      <c r="AN140" s="90">
        <f>'Combined data'!AN140-'Combined data'!AM140</f>
        <v>0</v>
      </c>
      <c r="AO140" s="90">
        <f>'Combined data'!AO140-'Combined data'!AN140</f>
        <v>0</v>
      </c>
      <c r="AP140" s="56">
        <f t="shared" si="121"/>
        <v>0</v>
      </c>
      <c r="AQ140" s="113"/>
      <c r="AR140" s="17">
        <f>'Combined data'!AR140</f>
        <v>77</v>
      </c>
      <c r="AS140" s="17">
        <f>'Combined data'!AS140-'Combined data'!AR140</f>
        <v>7</v>
      </c>
      <c r="AT140" s="17">
        <f>'Combined data'!AT140-'Combined data'!AS140</f>
        <v>9</v>
      </c>
      <c r="AU140" s="17">
        <f>'Combined data'!AU140-'Combined data'!AT140</f>
        <v>9</v>
      </c>
      <c r="AV140" s="17">
        <f>'Combined data'!AV140-'Combined data'!AU140</f>
        <v>14</v>
      </c>
      <c r="AW140" s="17">
        <f>'Combined data'!AW140-'Combined data'!AV140</f>
        <v>4</v>
      </c>
      <c r="AX140" s="17">
        <f>'Combined data'!AX140-'Combined data'!AW140</f>
        <v>8</v>
      </c>
      <c r="AY140" s="17">
        <f>'Combined data'!AY140-'Combined data'!AX140</f>
        <v>5</v>
      </c>
      <c r="AZ140" s="17">
        <f>'Combined data'!AZ140-'Combined data'!AY140</f>
        <v>0</v>
      </c>
      <c r="BA140" s="17">
        <f>'Combined data'!BA140-'Combined data'!AZ140</f>
        <v>1</v>
      </c>
      <c r="BB140" s="17">
        <f>'Combined data'!BB140-'Combined data'!BA140</f>
        <v>6</v>
      </c>
      <c r="BC140" s="17">
        <f>'Combined data'!BC140-'Combined data'!BB140</f>
        <v>7</v>
      </c>
      <c r="BD140" s="17">
        <f>'Combined data'!BD140-'Combined data'!BC140</f>
        <v>2</v>
      </c>
      <c r="BE140" s="17">
        <f>'Combined data'!BE140-'Combined data'!BD140</f>
        <v>3</v>
      </c>
      <c r="BF140" s="17">
        <f>'Combined data'!BF140-'Combined data'!BE140</f>
        <v>4</v>
      </c>
      <c r="BG140" s="17">
        <f>'Combined data'!BG140-'Combined data'!BF140</f>
        <v>0</v>
      </c>
      <c r="BH140" s="17">
        <f>'Combined data'!BH140-'Combined data'!BG140</f>
        <v>2</v>
      </c>
      <c r="BI140" s="17">
        <f>'Combined data'!BI140-'Combined data'!BH140</f>
        <v>0</v>
      </c>
      <c r="BJ140" s="17">
        <f>'Combined data'!BJ140-'Combined data'!BI140</f>
        <v>2</v>
      </c>
      <c r="BK140" s="17">
        <f>'Combined data'!BK140-'Combined data'!BJ140</f>
        <v>1</v>
      </c>
      <c r="BL140" s="17">
        <f>'Combined data'!BL140-'Combined data'!BK140</f>
        <v>2</v>
      </c>
      <c r="BM140" s="17">
        <f>'Combined data'!BM140-'Combined data'!BL140</f>
        <v>-2</v>
      </c>
      <c r="BN140" s="17">
        <f>'Combined data'!BN140-'Combined data'!BM140</f>
        <v>2</v>
      </c>
      <c r="BO140" s="17">
        <f>'Combined data'!BO140-'Combined data'!BN140</f>
        <v>-163</v>
      </c>
      <c r="BP140" s="17">
        <f>'Combined data'!BP140-'Combined data'!BO140</f>
        <v>0</v>
      </c>
      <c r="BQ140" s="17">
        <f>'Combined data'!BQ140-'Combined data'!BP140</f>
        <v>0</v>
      </c>
      <c r="BR140" s="17">
        <f>'Combined data'!BR140-'Combined data'!BQ140</f>
        <v>0</v>
      </c>
      <c r="BS140" s="17">
        <f>'Combined data'!BS140-'Combined data'!BR140</f>
        <v>0</v>
      </c>
      <c r="BT140" s="17">
        <f>'Combined data'!BT140-'Combined data'!BS140</f>
        <v>0</v>
      </c>
      <c r="BU140" s="17">
        <f>'Combined data'!BU140-'Combined data'!BT140</f>
        <v>0</v>
      </c>
      <c r="BV140" s="17">
        <f>'Combined data'!BV140-'Combined data'!BU140</f>
        <v>0</v>
      </c>
      <c r="BW140" s="17">
        <f>'Combined data'!BW140-'Combined data'!BV140</f>
        <v>0</v>
      </c>
      <c r="BX140" s="17">
        <f>'Combined data'!BX140-'Combined data'!BW140</f>
        <v>0</v>
      </c>
      <c r="BY140" s="17">
        <f>'Combined data'!BY140-'Combined data'!BX140</f>
        <v>0</v>
      </c>
      <c r="CB140" s="17">
        <f t="shared" si="98"/>
        <v>77</v>
      </c>
      <c r="CC140" s="17">
        <f t="shared" si="99"/>
        <v>7</v>
      </c>
      <c r="CD140" s="17">
        <f t="shared" si="100"/>
        <v>9</v>
      </c>
      <c r="CE140" s="17">
        <f t="shared" si="101"/>
        <v>9</v>
      </c>
      <c r="CF140" s="17">
        <f t="shared" si="102"/>
        <v>14</v>
      </c>
      <c r="CG140" s="17">
        <f t="shared" si="103"/>
        <v>4</v>
      </c>
      <c r="CH140" s="17">
        <f t="shared" si="104"/>
        <v>8</v>
      </c>
      <c r="CI140" s="17">
        <f t="shared" si="105"/>
        <v>5</v>
      </c>
      <c r="CJ140" s="17">
        <f t="shared" si="106"/>
        <v>0</v>
      </c>
      <c r="CK140" s="17">
        <f t="shared" si="107"/>
        <v>1</v>
      </c>
      <c r="CL140" s="17">
        <f t="shared" si="108"/>
        <v>6</v>
      </c>
      <c r="CM140" s="17">
        <f t="shared" si="109"/>
        <v>7</v>
      </c>
      <c r="CN140" s="17">
        <f t="shared" si="110"/>
        <v>2</v>
      </c>
      <c r="CO140" s="17">
        <f t="shared" si="111"/>
        <v>3</v>
      </c>
      <c r="CP140" s="17">
        <f t="shared" si="112"/>
        <v>4</v>
      </c>
      <c r="CQ140" s="17">
        <f t="shared" si="113"/>
        <v>0</v>
      </c>
      <c r="CR140" s="17">
        <f t="shared" si="114"/>
        <v>2</v>
      </c>
      <c r="CS140" s="17">
        <f t="shared" si="115"/>
        <v>0</v>
      </c>
      <c r="CT140" s="17">
        <f t="shared" si="116"/>
        <v>2</v>
      </c>
      <c r="CU140" s="17">
        <f t="shared" si="117"/>
        <v>1</v>
      </c>
      <c r="CV140" s="17">
        <f t="shared" si="118"/>
        <v>2</v>
      </c>
      <c r="CW140" s="17">
        <f t="shared" si="119"/>
        <v>-2</v>
      </c>
      <c r="CX140" s="17">
        <f t="shared" si="120"/>
        <v>2</v>
      </c>
      <c r="CY140" s="17">
        <f t="shared" si="120"/>
        <v>-163</v>
      </c>
      <c r="CZ140" s="17">
        <f t="shared" si="120"/>
        <v>0</v>
      </c>
      <c r="DA140" s="17">
        <f t="shared" si="120"/>
        <v>0</v>
      </c>
      <c r="DB140" s="17">
        <f t="shared" si="120"/>
        <v>0</v>
      </c>
      <c r="DC140" s="17">
        <f t="shared" si="120"/>
        <v>0</v>
      </c>
      <c r="DD140" s="17">
        <f t="shared" si="120"/>
        <v>0</v>
      </c>
      <c r="DE140" s="17">
        <f t="shared" si="120"/>
        <v>0</v>
      </c>
      <c r="DF140" s="17">
        <f t="shared" si="120"/>
        <v>0</v>
      </c>
      <c r="DG140" s="17">
        <f t="shared" si="120"/>
        <v>0</v>
      </c>
      <c r="DH140" s="17">
        <f t="shared" si="120"/>
        <v>0</v>
      </c>
      <c r="DI140" s="17">
        <f t="shared" si="120"/>
        <v>0</v>
      </c>
    </row>
    <row r="141" spans="1:113" ht="15.75" x14ac:dyDescent="0.25">
      <c r="A141" s="4" t="s">
        <v>271</v>
      </c>
      <c r="B141" s="6" t="s">
        <v>272</v>
      </c>
      <c r="H141" s="90">
        <f>'Combined data'!H141</f>
        <v>221</v>
      </c>
      <c r="I141" s="90">
        <f>'Combined data'!I141-'Combined data'!H141</f>
        <v>17</v>
      </c>
      <c r="J141" s="90">
        <f>'Combined data'!J141-'Combined data'!I141</f>
        <v>6</v>
      </c>
      <c r="K141" s="90">
        <f>'Combined data'!K141-'Combined data'!J141</f>
        <v>7</v>
      </c>
      <c r="L141" s="90">
        <f>'Combined data'!L141-'Combined data'!K141</f>
        <v>5</v>
      </c>
      <c r="M141" s="90">
        <f>'Combined data'!M141-'Combined data'!L141</f>
        <v>6</v>
      </c>
      <c r="N141" s="90">
        <f>'Combined data'!N141-'Combined data'!M141</f>
        <v>12</v>
      </c>
      <c r="O141" s="90">
        <f>'Combined data'!O141-'Combined data'!N141</f>
        <v>12</v>
      </c>
      <c r="P141" s="90">
        <f>'Combined data'!P141-'Combined data'!O141</f>
        <v>14</v>
      </c>
      <c r="Q141" s="90">
        <f>'Combined data'!Q141-'Combined data'!P141</f>
        <v>11</v>
      </c>
      <c r="R141" s="90">
        <f>'Combined data'!R141-'Combined data'!Q141</f>
        <v>9</v>
      </c>
      <c r="S141" s="90">
        <f>'Combined data'!S141-'Combined data'!R141</f>
        <v>8</v>
      </c>
      <c r="T141" s="90">
        <f>'Combined data'!T141-'Combined data'!S141</f>
        <v>8</v>
      </c>
      <c r="U141" s="90">
        <f>'Combined data'!U141-'Combined data'!T141</f>
        <v>12</v>
      </c>
      <c r="V141" s="90">
        <f>'Combined data'!V141-'Combined data'!U141</f>
        <v>10</v>
      </c>
      <c r="W141" s="90">
        <f>'Combined data'!W141-'Combined data'!V141</f>
        <v>19</v>
      </c>
      <c r="X141" s="90">
        <f>'Combined data'!X141-'Combined data'!W141</f>
        <v>4</v>
      </c>
      <c r="Y141" s="90">
        <f>'Combined data'!Y141-'Combined data'!X141</f>
        <v>5</v>
      </c>
      <c r="Z141" s="90">
        <f>'Combined data'!Z141-'Combined data'!Y141</f>
        <v>16</v>
      </c>
      <c r="AA141" s="90">
        <f>'Combined data'!AA141-'Combined data'!Z141</f>
        <v>5</v>
      </c>
      <c r="AB141" s="90">
        <f>'Combined data'!AB141-'Combined data'!AA141</f>
        <v>0</v>
      </c>
      <c r="AC141" s="90">
        <f>'Combined data'!AC141-'Combined data'!AB141</f>
        <v>1</v>
      </c>
      <c r="AD141" s="90">
        <f>'Combined data'!AD141-'Combined data'!AC141</f>
        <v>25</v>
      </c>
      <c r="AE141" s="90">
        <f>'Combined data'!AE141-'Combined data'!AD141</f>
        <v>-433</v>
      </c>
      <c r="AF141" s="90">
        <f>'Combined data'!AF141-'Combined data'!AE141</f>
        <v>0</v>
      </c>
      <c r="AG141" s="90">
        <f>'Combined data'!AG141-'Combined data'!AF141</f>
        <v>0</v>
      </c>
      <c r="AH141" s="90">
        <f>'Combined data'!AH141-'Combined data'!AG141</f>
        <v>0</v>
      </c>
      <c r="AI141" s="90">
        <f>'Combined data'!AI141-'Combined data'!AH141</f>
        <v>0</v>
      </c>
      <c r="AJ141" s="90">
        <f>'Combined data'!AJ141-'Combined data'!AI141</f>
        <v>0</v>
      </c>
      <c r="AK141" s="90">
        <f>'Combined data'!AK141-'Combined data'!AJ141</f>
        <v>0</v>
      </c>
      <c r="AL141" s="90">
        <f>'Combined data'!AL141-'Combined data'!AK141</f>
        <v>0</v>
      </c>
      <c r="AM141" s="90">
        <f>'Combined data'!AM141-'Combined data'!AL141</f>
        <v>0</v>
      </c>
      <c r="AN141" s="90">
        <f>'Combined data'!AN141-'Combined data'!AM141</f>
        <v>0</v>
      </c>
      <c r="AO141" s="90">
        <f>'Combined data'!AO141-'Combined data'!AN141</f>
        <v>0</v>
      </c>
      <c r="AP141" s="56">
        <f t="shared" si="121"/>
        <v>0</v>
      </c>
      <c r="AQ141" s="113"/>
      <c r="AR141" s="17">
        <f>'Combined data'!AR141</f>
        <v>105</v>
      </c>
      <c r="AS141" s="17">
        <f>'Combined data'!AS141-'Combined data'!AR141</f>
        <v>12</v>
      </c>
      <c r="AT141" s="17">
        <f>'Combined data'!AT141-'Combined data'!AS141</f>
        <v>18</v>
      </c>
      <c r="AU141" s="17">
        <f>'Combined data'!AU141-'Combined data'!AT141</f>
        <v>11</v>
      </c>
      <c r="AV141" s="17">
        <f>'Combined data'!AV141-'Combined data'!AU141</f>
        <v>19</v>
      </c>
      <c r="AW141" s="17">
        <f>'Combined data'!AW141-'Combined data'!AV141</f>
        <v>6</v>
      </c>
      <c r="AX141" s="17">
        <f>'Combined data'!AX141-'Combined data'!AW141</f>
        <v>13</v>
      </c>
      <c r="AY141" s="17">
        <f>'Combined data'!AY141-'Combined data'!AX141</f>
        <v>7</v>
      </c>
      <c r="AZ141" s="17">
        <f>'Combined data'!AZ141-'Combined data'!AY141</f>
        <v>5</v>
      </c>
      <c r="BA141" s="17">
        <f>'Combined data'!BA141-'Combined data'!AZ141</f>
        <v>14</v>
      </c>
      <c r="BB141" s="17">
        <f>'Combined data'!BB141-'Combined data'!BA141</f>
        <v>9</v>
      </c>
      <c r="BC141" s="17">
        <f>'Combined data'!BC141-'Combined data'!BB141</f>
        <v>7</v>
      </c>
      <c r="BD141" s="17">
        <f>'Combined data'!BD141-'Combined data'!BC141</f>
        <v>6</v>
      </c>
      <c r="BE141" s="17">
        <f>'Combined data'!BE141-'Combined data'!BD141</f>
        <v>6</v>
      </c>
      <c r="BF141" s="17">
        <f>'Combined data'!BF141-'Combined data'!BE141</f>
        <v>7</v>
      </c>
      <c r="BG141" s="17">
        <f>'Combined data'!BG141-'Combined data'!BF141</f>
        <v>3</v>
      </c>
      <c r="BH141" s="17">
        <f>'Combined data'!BH141-'Combined data'!BG141</f>
        <v>14</v>
      </c>
      <c r="BI141" s="17">
        <f>'Combined data'!BI141-'Combined data'!BH141</f>
        <v>3</v>
      </c>
      <c r="BJ141" s="17">
        <f>'Combined data'!BJ141-'Combined data'!BI141</f>
        <v>10</v>
      </c>
      <c r="BK141" s="17">
        <f>'Combined data'!BK141-'Combined data'!BJ141</f>
        <v>6</v>
      </c>
      <c r="BL141" s="17">
        <f>'Combined data'!BL141-'Combined data'!BK141</f>
        <v>12</v>
      </c>
      <c r="BM141" s="17">
        <f>'Combined data'!BM141-'Combined data'!BL141</f>
        <v>-1</v>
      </c>
      <c r="BN141" s="17">
        <f>'Combined data'!BN141-'Combined data'!BM141</f>
        <v>8</v>
      </c>
      <c r="BO141" s="17">
        <f>'Combined data'!BO141-'Combined data'!BN141</f>
        <v>-300</v>
      </c>
      <c r="BP141" s="17">
        <f>'Combined data'!BP141-'Combined data'!BO141</f>
        <v>0</v>
      </c>
      <c r="BQ141" s="17">
        <f>'Combined data'!BQ141-'Combined data'!BP141</f>
        <v>0</v>
      </c>
      <c r="BR141" s="17">
        <f>'Combined data'!BR141-'Combined data'!BQ141</f>
        <v>0</v>
      </c>
      <c r="BS141" s="17">
        <f>'Combined data'!BS141-'Combined data'!BR141</f>
        <v>0</v>
      </c>
      <c r="BT141" s="17">
        <f>'Combined data'!BT141-'Combined data'!BS141</f>
        <v>0</v>
      </c>
      <c r="BU141" s="17">
        <f>'Combined data'!BU141-'Combined data'!BT141</f>
        <v>0</v>
      </c>
      <c r="BV141" s="17">
        <f>'Combined data'!BV141-'Combined data'!BU141</f>
        <v>0</v>
      </c>
      <c r="BW141" s="17">
        <f>'Combined data'!BW141-'Combined data'!BV141</f>
        <v>0</v>
      </c>
      <c r="BX141" s="17">
        <f>'Combined data'!BX141-'Combined data'!BW141</f>
        <v>0</v>
      </c>
      <c r="BY141" s="17">
        <f>'Combined data'!BY141-'Combined data'!BX141</f>
        <v>0</v>
      </c>
      <c r="CB141" s="17">
        <f t="shared" si="98"/>
        <v>105</v>
      </c>
      <c r="CC141" s="17">
        <f t="shared" si="99"/>
        <v>12</v>
      </c>
      <c r="CD141" s="17">
        <f t="shared" si="100"/>
        <v>18</v>
      </c>
      <c r="CE141" s="17">
        <f t="shared" si="101"/>
        <v>11</v>
      </c>
      <c r="CF141" s="17">
        <f t="shared" si="102"/>
        <v>19</v>
      </c>
      <c r="CG141" s="17">
        <f t="shared" si="103"/>
        <v>6</v>
      </c>
      <c r="CH141" s="17">
        <f t="shared" si="104"/>
        <v>13</v>
      </c>
      <c r="CI141" s="17">
        <f t="shared" si="105"/>
        <v>7</v>
      </c>
      <c r="CJ141" s="17">
        <f t="shared" si="106"/>
        <v>5</v>
      </c>
      <c r="CK141" s="17">
        <f t="shared" si="107"/>
        <v>14</v>
      </c>
      <c r="CL141" s="17">
        <f t="shared" si="108"/>
        <v>9</v>
      </c>
      <c r="CM141" s="17">
        <f t="shared" si="109"/>
        <v>7</v>
      </c>
      <c r="CN141" s="17">
        <f t="shared" si="110"/>
        <v>6</v>
      </c>
      <c r="CO141" s="17">
        <f t="shared" si="111"/>
        <v>6</v>
      </c>
      <c r="CP141" s="17">
        <f t="shared" si="112"/>
        <v>7</v>
      </c>
      <c r="CQ141" s="17">
        <f t="shared" si="113"/>
        <v>3</v>
      </c>
      <c r="CR141" s="17">
        <f t="shared" si="114"/>
        <v>14</v>
      </c>
      <c r="CS141" s="17">
        <f t="shared" si="115"/>
        <v>3</v>
      </c>
      <c r="CT141" s="17">
        <f t="shared" si="116"/>
        <v>10</v>
      </c>
      <c r="CU141" s="17">
        <f t="shared" si="117"/>
        <v>6</v>
      </c>
      <c r="CV141" s="17">
        <f t="shared" si="118"/>
        <v>12</v>
      </c>
      <c r="CW141" s="17">
        <f t="shared" si="119"/>
        <v>-1</v>
      </c>
      <c r="CX141" s="17">
        <f t="shared" si="120"/>
        <v>8</v>
      </c>
      <c r="CY141" s="17">
        <f t="shared" si="120"/>
        <v>-300</v>
      </c>
      <c r="CZ141" s="17">
        <f t="shared" si="120"/>
        <v>0</v>
      </c>
      <c r="DA141" s="17">
        <f t="shared" si="120"/>
        <v>0</v>
      </c>
      <c r="DB141" s="17">
        <f t="shared" si="120"/>
        <v>0</v>
      </c>
      <c r="DC141" s="17">
        <f t="shared" si="120"/>
        <v>0</v>
      </c>
      <c r="DD141" s="17">
        <f t="shared" si="120"/>
        <v>0</v>
      </c>
      <c r="DE141" s="17">
        <f t="shared" si="120"/>
        <v>0</v>
      </c>
      <c r="DF141" s="17">
        <f t="shared" si="120"/>
        <v>0</v>
      </c>
      <c r="DG141" s="17">
        <f t="shared" si="120"/>
        <v>0</v>
      </c>
      <c r="DH141" s="17">
        <f t="shared" si="120"/>
        <v>0</v>
      </c>
      <c r="DI141" s="17">
        <f t="shared" si="120"/>
        <v>0</v>
      </c>
    </row>
    <row r="142" spans="1:113" ht="15.75" x14ac:dyDescent="0.25">
      <c r="A142" s="4" t="s">
        <v>273</v>
      </c>
      <c r="B142" s="6" t="s">
        <v>274</v>
      </c>
      <c r="H142" s="90">
        <f>'Combined data'!H142</f>
        <v>210</v>
      </c>
      <c r="I142" s="90">
        <f>'Combined data'!I142-'Combined data'!H142</f>
        <v>12</v>
      </c>
      <c r="J142" s="90">
        <f>'Combined data'!J142-'Combined data'!I142</f>
        <v>17</v>
      </c>
      <c r="K142" s="90">
        <f>'Combined data'!K142-'Combined data'!J142</f>
        <v>12</v>
      </c>
      <c r="L142" s="90">
        <f>'Combined data'!L142-'Combined data'!K142</f>
        <v>2</v>
      </c>
      <c r="M142" s="90">
        <f>'Combined data'!M142-'Combined data'!L142</f>
        <v>4</v>
      </c>
      <c r="N142" s="90">
        <f>'Combined data'!N142-'Combined data'!M142</f>
        <v>11</v>
      </c>
      <c r="O142" s="90">
        <f>'Combined data'!O142-'Combined data'!N142</f>
        <v>5</v>
      </c>
      <c r="P142" s="90">
        <f>'Combined data'!P142-'Combined data'!O142</f>
        <v>9</v>
      </c>
      <c r="Q142" s="90">
        <f>'Combined data'!Q142-'Combined data'!P142</f>
        <v>7</v>
      </c>
      <c r="R142" s="90">
        <f>'Combined data'!R142-'Combined data'!Q142</f>
        <v>1</v>
      </c>
      <c r="S142" s="90">
        <f>'Combined data'!S142-'Combined data'!R142</f>
        <v>8</v>
      </c>
      <c r="T142" s="90">
        <f>'Combined data'!T142-'Combined data'!S142</f>
        <v>10</v>
      </c>
      <c r="U142" s="90">
        <f>'Combined data'!U142-'Combined data'!T142</f>
        <v>6</v>
      </c>
      <c r="V142" s="90">
        <f>'Combined data'!V142-'Combined data'!U142</f>
        <v>11</v>
      </c>
      <c r="W142" s="90">
        <f>'Combined data'!W142-'Combined data'!V142</f>
        <v>0</v>
      </c>
      <c r="X142" s="90">
        <f>'Combined data'!X142-'Combined data'!W142</f>
        <v>4</v>
      </c>
      <c r="Y142" s="90">
        <f>'Combined data'!Y142-'Combined data'!X142</f>
        <v>16</v>
      </c>
      <c r="Z142" s="90">
        <f>'Combined data'!Z142-'Combined data'!Y142</f>
        <v>3</v>
      </c>
      <c r="AA142" s="90">
        <f>'Combined data'!AA142-'Combined data'!Z142</f>
        <v>1</v>
      </c>
      <c r="AB142" s="90">
        <f>'Combined data'!AB142-'Combined data'!AA142</f>
        <v>1</v>
      </c>
      <c r="AC142" s="90">
        <f>'Combined data'!AC142-'Combined data'!AB142</f>
        <v>-1</v>
      </c>
      <c r="AD142" s="90">
        <f>'Combined data'!AD142-'Combined data'!AC142</f>
        <v>9</v>
      </c>
      <c r="AE142" s="90">
        <f>'Combined data'!AE142-'Combined data'!AD142</f>
        <v>-358</v>
      </c>
      <c r="AF142" s="90">
        <f>'Combined data'!AF142-'Combined data'!AE142</f>
        <v>0</v>
      </c>
      <c r="AG142" s="90">
        <f>'Combined data'!AG142-'Combined data'!AF142</f>
        <v>0</v>
      </c>
      <c r="AH142" s="90">
        <f>'Combined data'!AH142-'Combined data'!AG142</f>
        <v>0</v>
      </c>
      <c r="AI142" s="90">
        <f>'Combined data'!AI142-'Combined data'!AH142</f>
        <v>0</v>
      </c>
      <c r="AJ142" s="90">
        <f>'Combined data'!AJ142-'Combined data'!AI142</f>
        <v>0</v>
      </c>
      <c r="AK142" s="90">
        <f>'Combined data'!AK142-'Combined data'!AJ142</f>
        <v>0</v>
      </c>
      <c r="AL142" s="90">
        <f>'Combined data'!AL142-'Combined data'!AK142</f>
        <v>0</v>
      </c>
      <c r="AM142" s="90">
        <f>'Combined data'!AM142-'Combined data'!AL142</f>
        <v>0</v>
      </c>
      <c r="AN142" s="90">
        <f>'Combined data'!AN142-'Combined data'!AM142</f>
        <v>0</v>
      </c>
      <c r="AO142" s="90">
        <f>'Combined data'!AO142-'Combined data'!AN142</f>
        <v>0</v>
      </c>
      <c r="AP142" s="56">
        <f t="shared" si="121"/>
        <v>0</v>
      </c>
      <c r="AQ142" s="113"/>
      <c r="AR142" s="17">
        <f>'Combined data'!AR142</f>
        <v>96</v>
      </c>
      <c r="AS142" s="17">
        <f>'Combined data'!AS142-'Combined data'!AR142</f>
        <v>30</v>
      </c>
      <c r="AT142" s="17">
        <f>'Combined data'!AT142-'Combined data'!AS142</f>
        <v>13</v>
      </c>
      <c r="AU142" s="17">
        <f>'Combined data'!AU142-'Combined data'!AT142</f>
        <v>9</v>
      </c>
      <c r="AV142" s="17">
        <f>'Combined data'!AV142-'Combined data'!AU142</f>
        <v>13</v>
      </c>
      <c r="AW142" s="17">
        <f>'Combined data'!AW142-'Combined data'!AV142</f>
        <v>7</v>
      </c>
      <c r="AX142" s="17">
        <f>'Combined data'!AX142-'Combined data'!AW142</f>
        <v>21</v>
      </c>
      <c r="AY142" s="17">
        <f>'Combined data'!AY142-'Combined data'!AX142</f>
        <v>4</v>
      </c>
      <c r="AZ142" s="17">
        <f>'Combined data'!AZ142-'Combined data'!AY142</f>
        <v>7</v>
      </c>
      <c r="BA142" s="17">
        <f>'Combined data'!BA142-'Combined data'!AZ142</f>
        <v>12</v>
      </c>
      <c r="BB142" s="17">
        <f>'Combined data'!BB142-'Combined data'!BA142</f>
        <v>0</v>
      </c>
      <c r="BC142" s="17">
        <f>'Combined data'!BC142-'Combined data'!BB142</f>
        <v>5</v>
      </c>
      <c r="BD142" s="17">
        <f>'Combined data'!BD142-'Combined data'!BC142</f>
        <v>3</v>
      </c>
      <c r="BE142" s="17">
        <f>'Combined data'!BE142-'Combined data'!BD142</f>
        <v>16</v>
      </c>
      <c r="BF142" s="17">
        <f>'Combined data'!BF142-'Combined data'!BE142</f>
        <v>6</v>
      </c>
      <c r="BG142" s="17">
        <f>'Combined data'!BG142-'Combined data'!BF142</f>
        <v>0</v>
      </c>
      <c r="BH142" s="17">
        <f>'Combined data'!BH142-'Combined data'!BG142</f>
        <v>4</v>
      </c>
      <c r="BI142" s="17">
        <f>'Combined data'!BI142-'Combined data'!BH142</f>
        <v>6</v>
      </c>
      <c r="BJ142" s="17">
        <f>'Combined data'!BJ142-'Combined data'!BI142</f>
        <v>0</v>
      </c>
      <c r="BK142" s="17">
        <f>'Combined data'!BK142-'Combined data'!BJ142</f>
        <v>9</v>
      </c>
      <c r="BL142" s="17">
        <f>'Combined data'!BL142-'Combined data'!BK142</f>
        <v>4</v>
      </c>
      <c r="BM142" s="17">
        <f>'Combined data'!BM142-'Combined data'!BL142</f>
        <v>5</v>
      </c>
      <c r="BN142" s="17">
        <f>'Combined data'!BN142-'Combined data'!BM142</f>
        <v>3</v>
      </c>
      <c r="BO142" s="17">
        <f>'Combined data'!BO142-'Combined data'!BN142</f>
        <v>-273</v>
      </c>
      <c r="BP142" s="17">
        <f>'Combined data'!BP142-'Combined data'!BO142</f>
        <v>0</v>
      </c>
      <c r="BQ142" s="17">
        <f>'Combined data'!BQ142-'Combined data'!BP142</f>
        <v>0</v>
      </c>
      <c r="BR142" s="17">
        <f>'Combined data'!BR142-'Combined data'!BQ142</f>
        <v>0</v>
      </c>
      <c r="BS142" s="17">
        <f>'Combined data'!BS142-'Combined data'!BR142</f>
        <v>0</v>
      </c>
      <c r="BT142" s="17">
        <f>'Combined data'!BT142-'Combined data'!BS142</f>
        <v>0</v>
      </c>
      <c r="BU142" s="17">
        <f>'Combined data'!BU142-'Combined data'!BT142</f>
        <v>0</v>
      </c>
      <c r="BV142" s="17">
        <f>'Combined data'!BV142-'Combined data'!BU142</f>
        <v>0</v>
      </c>
      <c r="BW142" s="17">
        <f>'Combined data'!BW142-'Combined data'!BV142</f>
        <v>0</v>
      </c>
      <c r="BX142" s="17">
        <f>'Combined data'!BX142-'Combined data'!BW142</f>
        <v>0</v>
      </c>
      <c r="BY142" s="17">
        <f>'Combined data'!BY142-'Combined data'!BX142</f>
        <v>0</v>
      </c>
      <c r="CB142" s="17">
        <f t="shared" si="98"/>
        <v>96</v>
      </c>
      <c r="CC142" s="17">
        <f t="shared" si="99"/>
        <v>30</v>
      </c>
      <c r="CD142" s="17">
        <f t="shared" si="100"/>
        <v>13</v>
      </c>
      <c r="CE142" s="17">
        <f t="shared" si="101"/>
        <v>9</v>
      </c>
      <c r="CF142" s="17">
        <f t="shared" si="102"/>
        <v>13</v>
      </c>
      <c r="CG142" s="17">
        <f t="shared" si="103"/>
        <v>7</v>
      </c>
      <c r="CH142" s="17">
        <f t="shared" si="104"/>
        <v>21</v>
      </c>
      <c r="CI142" s="17">
        <f t="shared" si="105"/>
        <v>4</v>
      </c>
      <c r="CJ142" s="17">
        <f t="shared" si="106"/>
        <v>7</v>
      </c>
      <c r="CK142" s="17">
        <f t="shared" si="107"/>
        <v>12</v>
      </c>
      <c r="CL142" s="17">
        <f t="shared" si="108"/>
        <v>0</v>
      </c>
      <c r="CM142" s="17">
        <f t="shared" si="109"/>
        <v>5</v>
      </c>
      <c r="CN142" s="17">
        <f t="shared" si="110"/>
        <v>3</v>
      </c>
      <c r="CO142" s="17">
        <f t="shared" si="111"/>
        <v>16</v>
      </c>
      <c r="CP142" s="17">
        <f t="shared" si="112"/>
        <v>6</v>
      </c>
      <c r="CQ142" s="17">
        <f t="shared" si="113"/>
        <v>0</v>
      </c>
      <c r="CR142" s="17">
        <f t="shared" si="114"/>
        <v>4</v>
      </c>
      <c r="CS142" s="17">
        <f t="shared" si="115"/>
        <v>6</v>
      </c>
      <c r="CT142" s="17">
        <f t="shared" si="116"/>
        <v>0</v>
      </c>
      <c r="CU142" s="17">
        <f t="shared" si="117"/>
        <v>9</v>
      </c>
      <c r="CV142" s="17">
        <f t="shared" si="118"/>
        <v>4</v>
      </c>
      <c r="CW142" s="17">
        <f t="shared" si="119"/>
        <v>5</v>
      </c>
      <c r="CX142" s="17">
        <f t="shared" si="120"/>
        <v>3</v>
      </c>
      <c r="CY142" s="17">
        <f t="shared" si="120"/>
        <v>-273</v>
      </c>
      <c r="CZ142" s="17">
        <f t="shared" si="120"/>
        <v>0</v>
      </c>
      <c r="DA142" s="17">
        <f t="shared" si="120"/>
        <v>0</v>
      </c>
      <c r="DB142" s="17">
        <f t="shared" si="120"/>
        <v>0</v>
      </c>
      <c r="DC142" s="17">
        <f t="shared" si="120"/>
        <v>0</v>
      </c>
      <c r="DD142" s="17">
        <f t="shared" si="120"/>
        <v>0</v>
      </c>
      <c r="DE142" s="17">
        <f t="shared" si="120"/>
        <v>0</v>
      </c>
      <c r="DF142" s="17">
        <f t="shared" si="120"/>
        <v>0</v>
      </c>
      <c r="DG142" s="17">
        <f t="shared" si="120"/>
        <v>0</v>
      </c>
      <c r="DH142" s="17">
        <f t="shared" si="120"/>
        <v>0</v>
      </c>
      <c r="DI142" s="17">
        <f t="shared" si="120"/>
        <v>0</v>
      </c>
    </row>
    <row r="143" spans="1:113" ht="15.75" x14ac:dyDescent="0.25">
      <c r="A143" s="4" t="s">
        <v>275</v>
      </c>
      <c r="B143" s="6" t="s">
        <v>276</v>
      </c>
      <c r="H143" s="90">
        <f>'Combined data'!H143</f>
        <v>125</v>
      </c>
      <c r="I143" s="90">
        <f>'Combined data'!I143-'Combined data'!H143</f>
        <v>8</v>
      </c>
      <c r="J143" s="90">
        <f>'Combined data'!J143-'Combined data'!I143</f>
        <v>12</v>
      </c>
      <c r="K143" s="90">
        <f>'Combined data'!K143-'Combined data'!J143</f>
        <v>10</v>
      </c>
      <c r="L143" s="90">
        <f>'Combined data'!L143-'Combined data'!K143</f>
        <v>6</v>
      </c>
      <c r="M143" s="90">
        <f>'Combined data'!M143-'Combined data'!L143</f>
        <v>4</v>
      </c>
      <c r="N143" s="90">
        <f>'Combined data'!N143-'Combined data'!M143</f>
        <v>9</v>
      </c>
      <c r="O143" s="90">
        <f>'Combined data'!O143-'Combined data'!N143</f>
        <v>11</v>
      </c>
      <c r="P143" s="90">
        <f>'Combined data'!P143-'Combined data'!O143</f>
        <v>1</v>
      </c>
      <c r="Q143" s="90">
        <f>'Combined data'!Q143-'Combined data'!P143</f>
        <v>5</v>
      </c>
      <c r="R143" s="90">
        <f>'Combined data'!R143-'Combined data'!Q143</f>
        <v>9</v>
      </c>
      <c r="S143" s="90">
        <f>'Combined data'!S143-'Combined data'!R143</f>
        <v>3</v>
      </c>
      <c r="T143" s="90">
        <f>'Combined data'!T143-'Combined data'!S143</f>
        <v>3</v>
      </c>
      <c r="U143" s="90">
        <f>'Combined data'!U143-'Combined data'!T143</f>
        <v>5</v>
      </c>
      <c r="V143" s="90">
        <f>'Combined data'!V143-'Combined data'!U143</f>
        <v>4</v>
      </c>
      <c r="W143" s="90">
        <f>'Combined data'!W143-'Combined data'!V143</f>
        <v>1</v>
      </c>
      <c r="X143" s="90">
        <f>'Combined data'!X143-'Combined data'!W143</f>
        <v>2</v>
      </c>
      <c r="Y143" s="90">
        <f>'Combined data'!Y143-'Combined data'!X143</f>
        <v>2</v>
      </c>
      <c r="Z143" s="90">
        <f>'Combined data'!Z143-'Combined data'!Y143</f>
        <v>0</v>
      </c>
      <c r="AA143" s="90">
        <f>'Combined data'!AA143-'Combined data'!Z143</f>
        <v>0</v>
      </c>
      <c r="AB143" s="90">
        <f>'Combined data'!AB143-'Combined data'!AA143</f>
        <v>0</v>
      </c>
      <c r="AC143" s="90">
        <f>'Combined data'!AC143-'Combined data'!AB143</f>
        <v>0</v>
      </c>
      <c r="AD143" s="90">
        <f>'Combined data'!AD143-'Combined data'!AC143</f>
        <v>2</v>
      </c>
      <c r="AE143" s="90">
        <f>'Combined data'!AE143-'Combined data'!AD143</f>
        <v>-222</v>
      </c>
      <c r="AF143" s="90">
        <f>'Combined data'!AF143-'Combined data'!AE143</f>
        <v>0</v>
      </c>
      <c r="AG143" s="90">
        <f>'Combined data'!AG143-'Combined data'!AF143</f>
        <v>0</v>
      </c>
      <c r="AH143" s="90">
        <f>'Combined data'!AH143-'Combined data'!AG143</f>
        <v>0</v>
      </c>
      <c r="AI143" s="90">
        <f>'Combined data'!AI143-'Combined data'!AH143</f>
        <v>0</v>
      </c>
      <c r="AJ143" s="90">
        <f>'Combined data'!AJ143-'Combined data'!AI143</f>
        <v>0</v>
      </c>
      <c r="AK143" s="90">
        <f>'Combined data'!AK143-'Combined data'!AJ143</f>
        <v>0</v>
      </c>
      <c r="AL143" s="90">
        <f>'Combined data'!AL143-'Combined data'!AK143</f>
        <v>0</v>
      </c>
      <c r="AM143" s="90">
        <f>'Combined data'!AM143-'Combined data'!AL143</f>
        <v>0</v>
      </c>
      <c r="AN143" s="90">
        <f>'Combined data'!AN143-'Combined data'!AM143</f>
        <v>0</v>
      </c>
      <c r="AO143" s="90">
        <f>'Combined data'!AO143-'Combined data'!AN143</f>
        <v>0</v>
      </c>
      <c r="AP143" s="56">
        <f t="shared" si="121"/>
        <v>0</v>
      </c>
      <c r="AQ143" s="113"/>
      <c r="AR143" s="17">
        <f>'Combined data'!AR143</f>
        <v>59</v>
      </c>
      <c r="AS143" s="17">
        <f>'Combined data'!AS143-'Combined data'!AR143</f>
        <v>3</v>
      </c>
      <c r="AT143" s="17">
        <f>'Combined data'!AT143-'Combined data'!AS143</f>
        <v>5</v>
      </c>
      <c r="AU143" s="17">
        <f>'Combined data'!AU143-'Combined data'!AT143</f>
        <v>6</v>
      </c>
      <c r="AV143" s="17">
        <f>'Combined data'!AV143-'Combined data'!AU143</f>
        <v>8</v>
      </c>
      <c r="AW143" s="17">
        <f>'Combined data'!AW143-'Combined data'!AV143</f>
        <v>12</v>
      </c>
      <c r="AX143" s="17">
        <f>'Combined data'!AX143-'Combined data'!AW143</f>
        <v>20</v>
      </c>
      <c r="AY143" s="17">
        <f>'Combined data'!AY143-'Combined data'!AX143</f>
        <v>2</v>
      </c>
      <c r="AZ143" s="17">
        <f>'Combined data'!AZ143-'Combined data'!AY143</f>
        <v>3</v>
      </c>
      <c r="BA143" s="17">
        <f>'Combined data'!BA143-'Combined data'!AZ143</f>
        <v>7</v>
      </c>
      <c r="BB143" s="17">
        <f>'Combined data'!BB143-'Combined data'!BA143</f>
        <v>11</v>
      </c>
      <c r="BC143" s="17">
        <f>'Combined data'!BC143-'Combined data'!BB143</f>
        <v>5</v>
      </c>
      <c r="BD143" s="17">
        <f>'Combined data'!BD143-'Combined data'!BC143</f>
        <v>3</v>
      </c>
      <c r="BE143" s="17">
        <f>'Combined data'!BE143-'Combined data'!BD143</f>
        <v>6</v>
      </c>
      <c r="BF143" s="17">
        <f>'Combined data'!BF143-'Combined data'!BE143</f>
        <v>10</v>
      </c>
      <c r="BG143" s="17">
        <f>'Combined data'!BG143-'Combined data'!BF143</f>
        <v>2</v>
      </c>
      <c r="BH143" s="17">
        <f>'Combined data'!BH143-'Combined data'!BG143</f>
        <v>2</v>
      </c>
      <c r="BI143" s="17">
        <f>'Combined data'!BI143-'Combined data'!BH143</f>
        <v>4</v>
      </c>
      <c r="BJ143" s="17">
        <f>'Combined data'!BJ143-'Combined data'!BI143</f>
        <v>1</v>
      </c>
      <c r="BK143" s="17">
        <f>'Combined data'!BK143-'Combined data'!BJ143</f>
        <v>1</v>
      </c>
      <c r="BL143" s="17">
        <f>'Combined data'!BL143-'Combined data'!BK143</f>
        <v>3</v>
      </c>
      <c r="BM143" s="17">
        <f>'Combined data'!BM143-'Combined data'!BL143</f>
        <v>6</v>
      </c>
      <c r="BN143" s="17">
        <f>'Combined data'!BN143-'Combined data'!BM143</f>
        <v>0</v>
      </c>
      <c r="BO143" s="17">
        <f>'Combined data'!BO143-'Combined data'!BN143</f>
        <v>-179</v>
      </c>
      <c r="BP143" s="17">
        <f>'Combined data'!BP143-'Combined data'!BO143</f>
        <v>0</v>
      </c>
      <c r="BQ143" s="17">
        <f>'Combined data'!BQ143-'Combined data'!BP143</f>
        <v>0</v>
      </c>
      <c r="BR143" s="17">
        <f>'Combined data'!BR143-'Combined data'!BQ143</f>
        <v>0</v>
      </c>
      <c r="BS143" s="17">
        <f>'Combined data'!BS143-'Combined data'!BR143</f>
        <v>0</v>
      </c>
      <c r="BT143" s="17">
        <f>'Combined data'!BT143-'Combined data'!BS143</f>
        <v>0</v>
      </c>
      <c r="BU143" s="17">
        <f>'Combined data'!BU143-'Combined data'!BT143</f>
        <v>0</v>
      </c>
      <c r="BV143" s="17">
        <f>'Combined data'!BV143-'Combined data'!BU143</f>
        <v>0</v>
      </c>
      <c r="BW143" s="17">
        <f>'Combined data'!BW143-'Combined data'!BV143</f>
        <v>0</v>
      </c>
      <c r="BX143" s="17">
        <f>'Combined data'!BX143-'Combined data'!BW143</f>
        <v>0</v>
      </c>
      <c r="BY143" s="17">
        <f>'Combined data'!BY143-'Combined data'!BX143</f>
        <v>0</v>
      </c>
      <c r="CB143" s="17">
        <f t="shared" si="98"/>
        <v>59</v>
      </c>
      <c r="CC143" s="17">
        <f t="shared" si="99"/>
        <v>3</v>
      </c>
      <c r="CD143" s="17">
        <f t="shared" si="100"/>
        <v>5</v>
      </c>
      <c r="CE143" s="17">
        <f t="shared" si="101"/>
        <v>6</v>
      </c>
      <c r="CF143" s="17">
        <f t="shared" si="102"/>
        <v>8</v>
      </c>
      <c r="CG143" s="17">
        <f t="shared" si="103"/>
        <v>12</v>
      </c>
      <c r="CH143" s="17">
        <f t="shared" si="104"/>
        <v>20</v>
      </c>
      <c r="CI143" s="17">
        <f t="shared" si="105"/>
        <v>2</v>
      </c>
      <c r="CJ143" s="17">
        <f t="shared" si="106"/>
        <v>3</v>
      </c>
      <c r="CK143" s="17">
        <f t="shared" si="107"/>
        <v>7</v>
      </c>
      <c r="CL143" s="17">
        <f t="shared" si="108"/>
        <v>11</v>
      </c>
      <c r="CM143" s="17">
        <f t="shared" si="109"/>
        <v>5</v>
      </c>
      <c r="CN143" s="17">
        <f t="shared" si="110"/>
        <v>3</v>
      </c>
      <c r="CO143" s="17">
        <f t="shared" si="111"/>
        <v>6</v>
      </c>
      <c r="CP143" s="17">
        <f t="shared" si="112"/>
        <v>10</v>
      </c>
      <c r="CQ143" s="17">
        <f t="shared" si="113"/>
        <v>2</v>
      </c>
      <c r="CR143" s="17">
        <f t="shared" si="114"/>
        <v>2</v>
      </c>
      <c r="CS143" s="17">
        <f t="shared" si="115"/>
        <v>4</v>
      </c>
      <c r="CT143" s="17">
        <f t="shared" si="116"/>
        <v>1</v>
      </c>
      <c r="CU143" s="17">
        <f t="shared" si="117"/>
        <v>1</v>
      </c>
      <c r="CV143" s="17">
        <f t="shared" si="118"/>
        <v>3</v>
      </c>
      <c r="CW143" s="17">
        <f t="shared" si="119"/>
        <v>6</v>
      </c>
      <c r="CX143" s="17">
        <f t="shared" si="120"/>
        <v>0</v>
      </c>
      <c r="CY143" s="17">
        <f t="shared" si="120"/>
        <v>-179</v>
      </c>
      <c r="CZ143" s="17">
        <f t="shared" si="120"/>
        <v>0</v>
      </c>
      <c r="DA143" s="17">
        <f t="shared" si="120"/>
        <v>0</v>
      </c>
      <c r="DB143" s="17">
        <f t="shared" si="120"/>
        <v>0</v>
      </c>
      <c r="DC143" s="17">
        <f t="shared" si="120"/>
        <v>0</v>
      </c>
      <c r="DD143" s="17">
        <f t="shared" si="120"/>
        <v>0</v>
      </c>
      <c r="DE143" s="17">
        <f t="shared" si="120"/>
        <v>0</v>
      </c>
      <c r="DF143" s="17">
        <f t="shared" si="120"/>
        <v>0</v>
      </c>
      <c r="DG143" s="17">
        <f t="shared" si="120"/>
        <v>0</v>
      </c>
      <c r="DH143" s="17">
        <f t="shared" si="120"/>
        <v>0</v>
      </c>
      <c r="DI143" s="17">
        <f t="shared" si="120"/>
        <v>0</v>
      </c>
    </row>
    <row r="144" spans="1:113" ht="15.75" x14ac:dyDescent="0.25">
      <c r="A144" s="4" t="s">
        <v>277</v>
      </c>
      <c r="B144" s="6" t="s">
        <v>278</v>
      </c>
      <c r="H144" s="90">
        <f>'Combined data'!H144</f>
        <v>37</v>
      </c>
      <c r="I144" s="90">
        <f>'Combined data'!I144-'Combined data'!H144</f>
        <v>4</v>
      </c>
      <c r="J144" s="90">
        <f>'Combined data'!J144-'Combined data'!I144</f>
        <v>3</v>
      </c>
      <c r="K144" s="90">
        <f>'Combined data'!K144-'Combined data'!J144</f>
        <v>2</v>
      </c>
      <c r="L144" s="90">
        <f>'Combined data'!L144-'Combined data'!K144</f>
        <v>0</v>
      </c>
      <c r="M144" s="90">
        <f>'Combined data'!M144-'Combined data'!L144</f>
        <v>1</v>
      </c>
      <c r="N144" s="90">
        <f>'Combined data'!N144-'Combined data'!M144</f>
        <v>1</v>
      </c>
      <c r="O144" s="90">
        <f>'Combined data'!O144-'Combined data'!N144</f>
        <v>2</v>
      </c>
      <c r="P144" s="90">
        <f>'Combined data'!P144-'Combined data'!O144</f>
        <v>5</v>
      </c>
      <c r="Q144" s="90">
        <f>'Combined data'!Q144-'Combined data'!P144</f>
        <v>6</v>
      </c>
      <c r="R144" s="90">
        <f>'Combined data'!R144-'Combined data'!Q144</f>
        <v>1</v>
      </c>
      <c r="S144" s="90">
        <f>'Combined data'!S144-'Combined data'!R144</f>
        <v>0</v>
      </c>
      <c r="T144" s="90">
        <f>'Combined data'!T144-'Combined data'!S144</f>
        <v>0</v>
      </c>
      <c r="U144" s="90">
        <f>'Combined data'!U144-'Combined data'!T144</f>
        <v>2</v>
      </c>
      <c r="V144" s="90">
        <f>'Combined data'!V144-'Combined data'!U144</f>
        <v>0</v>
      </c>
      <c r="W144" s="90">
        <f>'Combined data'!W144-'Combined data'!V144</f>
        <v>3</v>
      </c>
      <c r="X144" s="90">
        <f>'Combined data'!X144-'Combined data'!W144</f>
        <v>2</v>
      </c>
      <c r="Y144" s="90">
        <f>'Combined data'!Y144-'Combined data'!X144</f>
        <v>0</v>
      </c>
      <c r="Z144" s="90">
        <f>'Combined data'!Z144-'Combined data'!Y144</f>
        <v>0</v>
      </c>
      <c r="AA144" s="90">
        <f>'Combined data'!AA144-'Combined data'!Z144</f>
        <v>0</v>
      </c>
      <c r="AB144" s="90">
        <f>'Combined data'!AB144-'Combined data'!AA144</f>
        <v>2</v>
      </c>
      <c r="AC144" s="90">
        <f>'Combined data'!AC144-'Combined data'!AB144</f>
        <v>0</v>
      </c>
      <c r="AD144" s="90">
        <f>'Combined data'!AD144-'Combined data'!AC144</f>
        <v>3</v>
      </c>
      <c r="AE144" s="90">
        <f>'Combined data'!AE144-'Combined data'!AD144</f>
        <v>-74</v>
      </c>
      <c r="AF144" s="90">
        <f>'Combined data'!AF144-'Combined data'!AE144</f>
        <v>0</v>
      </c>
      <c r="AG144" s="90">
        <f>'Combined data'!AG144-'Combined data'!AF144</f>
        <v>0</v>
      </c>
      <c r="AH144" s="90">
        <f>'Combined data'!AH144-'Combined data'!AG144</f>
        <v>0</v>
      </c>
      <c r="AI144" s="90">
        <f>'Combined data'!AI144-'Combined data'!AH144</f>
        <v>0</v>
      </c>
      <c r="AJ144" s="90">
        <f>'Combined data'!AJ144-'Combined data'!AI144</f>
        <v>0</v>
      </c>
      <c r="AK144" s="90">
        <f>'Combined data'!AK144-'Combined data'!AJ144</f>
        <v>0</v>
      </c>
      <c r="AL144" s="90">
        <f>'Combined data'!AL144-'Combined data'!AK144</f>
        <v>0</v>
      </c>
      <c r="AM144" s="90">
        <f>'Combined data'!AM144-'Combined data'!AL144</f>
        <v>0</v>
      </c>
      <c r="AN144" s="90">
        <f>'Combined data'!AN144-'Combined data'!AM144</f>
        <v>0</v>
      </c>
      <c r="AO144" s="90">
        <f>'Combined data'!AO144-'Combined data'!AN144</f>
        <v>0</v>
      </c>
      <c r="AP144" s="56">
        <f t="shared" si="121"/>
        <v>0</v>
      </c>
      <c r="AQ144" s="113"/>
      <c r="AR144" s="17">
        <f>'Combined data'!AR144</f>
        <v>13</v>
      </c>
      <c r="AS144" s="17">
        <f>'Combined data'!AS144-'Combined data'!AR144</f>
        <v>12</v>
      </c>
      <c r="AT144" s="17">
        <f>'Combined data'!AT144-'Combined data'!AS144</f>
        <v>0</v>
      </c>
      <c r="AU144" s="17">
        <f>'Combined data'!AU144-'Combined data'!AT144</f>
        <v>6</v>
      </c>
      <c r="AV144" s="17">
        <f>'Combined data'!AV144-'Combined data'!AU144</f>
        <v>3</v>
      </c>
      <c r="AW144" s="17">
        <f>'Combined data'!AW144-'Combined data'!AV144</f>
        <v>0</v>
      </c>
      <c r="AX144" s="17">
        <f>'Combined data'!AX144-'Combined data'!AW144</f>
        <v>6</v>
      </c>
      <c r="AY144" s="17">
        <f>'Combined data'!AY144-'Combined data'!AX144</f>
        <v>0</v>
      </c>
      <c r="AZ144" s="17">
        <f>'Combined data'!AZ144-'Combined data'!AY144</f>
        <v>0</v>
      </c>
      <c r="BA144" s="17">
        <f>'Combined data'!BA144-'Combined data'!AZ144</f>
        <v>1</v>
      </c>
      <c r="BB144" s="17">
        <f>'Combined data'!BB144-'Combined data'!BA144</f>
        <v>4</v>
      </c>
      <c r="BC144" s="17">
        <f>'Combined data'!BC144-'Combined data'!BB144</f>
        <v>2</v>
      </c>
      <c r="BD144" s="17">
        <f>'Combined data'!BD144-'Combined data'!BC144</f>
        <v>2</v>
      </c>
      <c r="BE144" s="17">
        <f>'Combined data'!BE144-'Combined data'!BD144</f>
        <v>1</v>
      </c>
      <c r="BF144" s="17">
        <f>'Combined data'!BF144-'Combined data'!BE144</f>
        <v>0</v>
      </c>
      <c r="BG144" s="17">
        <f>'Combined data'!BG144-'Combined data'!BF144</f>
        <v>0</v>
      </c>
      <c r="BH144" s="17">
        <f>'Combined data'!BH144-'Combined data'!BG144</f>
        <v>0</v>
      </c>
      <c r="BI144" s="17">
        <f>'Combined data'!BI144-'Combined data'!BH144</f>
        <v>2</v>
      </c>
      <c r="BJ144" s="17">
        <f>'Combined data'!BJ144-'Combined data'!BI144</f>
        <v>1</v>
      </c>
      <c r="BK144" s="17">
        <f>'Combined data'!BK144-'Combined data'!BJ144</f>
        <v>0</v>
      </c>
      <c r="BL144" s="17">
        <f>'Combined data'!BL144-'Combined data'!BK144</f>
        <v>2</v>
      </c>
      <c r="BM144" s="17">
        <f>'Combined data'!BM144-'Combined data'!BL144</f>
        <v>3</v>
      </c>
      <c r="BN144" s="17">
        <f>'Combined data'!BN144-'Combined data'!BM144</f>
        <v>2</v>
      </c>
      <c r="BO144" s="17">
        <f>'Combined data'!BO144-'Combined data'!BN144</f>
        <v>-60</v>
      </c>
      <c r="BP144" s="17">
        <f>'Combined data'!BP144-'Combined data'!BO144</f>
        <v>0</v>
      </c>
      <c r="BQ144" s="17">
        <f>'Combined data'!BQ144-'Combined data'!BP144</f>
        <v>0</v>
      </c>
      <c r="BR144" s="17">
        <f>'Combined data'!BR144-'Combined data'!BQ144</f>
        <v>0</v>
      </c>
      <c r="BS144" s="17">
        <f>'Combined data'!BS144-'Combined data'!BR144</f>
        <v>0</v>
      </c>
      <c r="BT144" s="17">
        <f>'Combined data'!BT144-'Combined data'!BS144</f>
        <v>0</v>
      </c>
      <c r="BU144" s="17">
        <f>'Combined data'!BU144-'Combined data'!BT144</f>
        <v>0</v>
      </c>
      <c r="BV144" s="17">
        <f>'Combined data'!BV144-'Combined data'!BU144</f>
        <v>0</v>
      </c>
      <c r="BW144" s="17">
        <f>'Combined data'!BW144-'Combined data'!BV144</f>
        <v>0</v>
      </c>
      <c r="BX144" s="17">
        <f>'Combined data'!BX144-'Combined data'!BW144</f>
        <v>0</v>
      </c>
      <c r="BY144" s="17">
        <f>'Combined data'!BY144-'Combined data'!BX144</f>
        <v>0</v>
      </c>
      <c r="CB144" s="17">
        <f t="shared" si="98"/>
        <v>13</v>
      </c>
      <c r="CC144" s="17">
        <f t="shared" si="99"/>
        <v>12</v>
      </c>
      <c r="CD144" s="17">
        <f t="shared" si="100"/>
        <v>0</v>
      </c>
      <c r="CE144" s="17">
        <f t="shared" si="101"/>
        <v>6</v>
      </c>
      <c r="CF144" s="17">
        <f t="shared" si="102"/>
        <v>3</v>
      </c>
      <c r="CG144" s="17">
        <f t="shared" si="103"/>
        <v>0</v>
      </c>
      <c r="CH144" s="17">
        <f t="shared" si="104"/>
        <v>6</v>
      </c>
      <c r="CI144" s="17">
        <f t="shared" si="105"/>
        <v>0</v>
      </c>
      <c r="CJ144" s="17">
        <f t="shared" si="106"/>
        <v>0</v>
      </c>
      <c r="CK144" s="17">
        <f t="shared" si="107"/>
        <v>1</v>
      </c>
      <c r="CL144" s="17">
        <f t="shared" si="108"/>
        <v>4</v>
      </c>
      <c r="CM144" s="17">
        <f t="shared" si="109"/>
        <v>2</v>
      </c>
      <c r="CN144" s="17">
        <f t="shared" si="110"/>
        <v>2</v>
      </c>
      <c r="CO144" s="17">
        <f t="shared" si="111"/>
        <v>1</v>
      </c>
      <c r="CP144" s="17">
        <f t="shared" si="112"/>
        <v>0</v>
      </c>
      <c r="CQ144" s="17">
        <f t="shared" si="113"/>
        <v>0</v>
      </c>
      <c r="CR144" s="17">
        <f t="shared" si="114"/>
        <v>0</v>
      </c>
      <c r="CS144" s="17">
        <f t="shared" si="115"/>
        <v>2</v>
      </c>
      <c r="CT144" s="17">
        <f t="shared" si="116"/>
        <v>1</v>
      </c>
      <c r="CU144" s="17">
        <f t="shared" si="117"/>
        <v>0</v>
      </c>
      <c r="CV144" s="17">
        <f t="shared" si="118"/>
        <v>2</v>
      </c>
      <c r="CW144" s="17">
        <f t="shared" si="119"/>
        <v>3</v>
      </c>
      <c r="CX144" s="17">
        <f t="shared" si="120"/>
        <v>2</v>
      </c>
      <c r="CY144" s="17">
        <f t="shared" si="120"/>
        <v>-60</v>
      </c>
      <c r="CZ144" s="17">
        <f t="shared" si="120"/>
        <v>0</v>
      </c>
      <c r="DA144" s="17">
        <f t="shared" si="120"/>
        <v>0</v>
      </c>
      <c r="DB144" s="17">
        <f t="shared" si="120"/>
        <v>0</v>
      </c>
      <c r="DC144" s="17">
        <f t="shared" si="120"/>
        <v>0</v>
      </c>
      <c r="DD144" s="17">
        <f t="shared" si="120"/>
        <v>0</v>
      </c>
      <c r="DE144" s="17">
        <f t="shared" si="120"/>
        <v>0</v>
      </c>
      <c r="DF144" s="17">
        <f t="shared" si="120"/>
        <v>0</v>
      </c>
      <c r="DG144" s="17">
        <f t="shared" si="120"/>
        <v>0</v>
      </c>
      <c r="DH144" s="17">
        <f t="shared" si="120"/>
        <v>0</v>
      </c>
      <c r="DI144" s="17">
        <f t="shared" si="120"/>
        <v>0</v>
      </c>
    </row>
    <row r="145" spans="1:113" ht="15.75" x14ac:dyDescent="0.25">
      <c r="A145" s="4" t="s">
        <v>279</v>
      </c>
      <c r="B145" s="6" t="s">
        <v>280</v>
      </c>
      <c r="H145" s="90">
        <f>'Combined data'!H145</f>
        <v>204</v>
      </c>
      <c r="I145" s="90">
        <f>'Combined data'!I145-'Combined data'!H145</f>
        <v>17</v>
      </c>
      <c r="J145" s="90">
        <f>'Combined data'!J145-'Combined data'!I145</f>
        <v>13</v>
      </c>
      <c r="K145" s="90">
        <f>'Combined data'!K145-'Combined data'!J145</f>
        <v>16</v>
      </c>
      <c r="L145" s="90">
        <f>'Combined data'!L145-'Combined data'!K145</f>
        <v>0</v>
      </c>
      <c r="M145" s="90">
        <f>'Combined data'!M145-'Combined data'!L145</f>
        <v>3</v>
      </c>
      <c r="N145" s="90">
        <f>'Combined data'!N145-'Combined data'!M145</f>
        <v>12</v>
      </c>
      <c r="O145" s="90">
        <f>'Combined data'!O145-'Combined data'!N145</f>
        <v>12</v>
      </c>
      <c r="P145" s="90">
        <f>'Combined data'!P145-'Combined data'!O145</f>
        <v>19</v>
      </c>
      <c r="Q145" s="90">
        <f>'Combined data'!Q145-'Combined data'!P145</f>
        <v>8</v>
      </c>
      <c r="R145" s="90">
        <f>'Combined data'!R145-'Combined data'!Q145</f>
        <v>3</v>
      </c>
      <c r="S145" s="90">
        <f>'Combined data'!S145-'Combined data'!R145</f>
        <v>11</v>
      </c>
      <c r="T145" s="90">
        <f>'Combined data'!T145-'Combined data'!S145</f>
        <v>8</v>
      </c>
      <c r="U145" s="90">
        <f>'Combined data'!U145-'Combined data'!T145</f>
        <v>18</v>
      </c>
      <c r="V145" s="90">
        <f>'Combined data'!V145-'Combined data'!U145</f>
        <v>7</v>
      </c>
      <c r="W145" s="90">
        <f>'Combined data'!W145-'Combined data'!V145</f>
        <v>12</v>
      </c>
      <c r="X145" s="90">
        <f>'Combined data'!X145-'Combined data'!W145</f>
        <v>7</v>
      </c>
      <c r="Y145" s="90">
        <f>'Combined data'!Y145-'Combined data'!X145</f>
        <v>6</v>
      </c>
      <c r="Z145" s="90">
        <f>'Combined data'!Z145-'Combined data'!Y145</f>
        <v>9</v>
      </c>
      <c r="AA145" s="90">
        <f>'Combined data'!AA145-'Combined data'!Z145</f>
        <v>5</v>
      </c>
      <c r="AB145" s="90">
        <f>'Combined data'!AB145-'Combined data'!AA145</f>
        <v>6</v>
      </c>
      <c r="AC145" s="90">
        <f>'Combined data'!AC145-'Combined data'!AB145</f>
        <v>4</v>
      </c>
      <c r="AD145" s="90">
        <f>'Combined data'!AD145-'Combined data'!AC145</f>
        <v>18</v>
      </c>
      <c r="AE145" s="90">
        <f>'Combined data'!AE145-'Combined data'!AD145</f>
        <v>-418</v>
      </c>
      <c r="AF145" s="90">
        <f>'Combined data'!AF145-'Combined data'!AE145</f>
        <v>0</v>
      </c>
      <c r="AG145" s="90">
        <f>'Combined data'!AG145-'Combined data'!AF145</f>
        <v>0</v>
      </c>
      <c r="AH145" s="90">
        <f>'Combined data'!AH145-'Combined data'!AG145</f>
        <v>0</v>
      </c>
      <c r="AI145" s="90">
        <f>'Combined data'!AI145-'Combined data'!AH145</f>
        <v>0</v>
      </c>
      <c r="AJ145" s="90">
        <f>'Combined data'!AJ145-'Combined data'!AI145</f>
        <v>0</v>
      </c>
      <c r="AK145" s="90">
        <f>'Combined data'!AK145-'Combined data'!AJ145</f>
        <v>0</v>
      </c>
      <c r="AL145" s="90">
        <f>'Combined data'!AL145-'Combined data'!AK145</f>
        <v>0</v>
      </c>
      <c r="AM145" s="90">
        <f>'Combined data'!AM145-'Combined data'!AL145</f>
        <v>0</v>
      </c>
      <c r="AN145" s="90">
        <f>'Combined data'!AN145-'Combined data'!AM145</f>
        <v>0</v>
      </c>
      <c r="AO145" s="90">
        <f>'Combined data'!AO145-'Combined data'!AN145</f>
        <v>0</v>
      </c>
      <c r="AP145" s="56">
        <f t="shared" si="121"/>
        <v>0</v>
      </c>
      <c r="AQ145" s="113"/>
      <c r="AR145" s="17">
        <f>'Combined data'!AR145</f>
        <v>122</v>
      </c>
      <c r="AS145" s="17">
        <f>'Combined data'!AS145-'Combined data'!AR145</f>
        <v>8</v>
      </c>
      <c r="AT145" s="17">
        <f>'Combined data'!AT145-'Combined data'!AS145</f>
        <v>8</v>
      </c>
      <c r="AU145" s="17">
        <f>'Combined data'!AU145-'Combined data'!AT145</f>
        <v>18</v>
      </c>
      <c r="AV145" s="17">
        <f>'Combined data'!AV145-'Combined data'!AU145</f>
        <v>7</v>
      </c>
      <c r="AW145" s="17">
        <f>'Combined data'!AW145-'Combined data'!AV145</f>
        <v>6</v>
      </c>
      <c r="AX145" s="17">
        <f>'Combined data'!AX145-'Combined data'!AW145</f>
        <v>14</v>
      </c>
      <c r="AY145" s="17">
        <f>'Combined data'!AY145-'Combined data'!AX145</f>
        <v>8</v>
      </c>
      <c r="AZ145" s="17">
        <f>'Combined data'!AZ145-'Combined data'!AY145</f>
        <v>5</v>
      </c>
      <c r="BA145" s="17">
        <f>'Combined data'!BA145-'Combined data'!AZ145</f>
        <v>4</v>
      </c>
      <c r="BB145" s="17">
        <f>'Combined data'!BB145-'Combined data'!BA145</f>
        <v>8</v>
      </c>
      <c r="BC145" s="17">
        <f>'Combined data'!BC145-'Combined data'!BB145</f>
        <v>9</v>
      </c>
      <c r="BD145" s="17">
        <f>'Combined data'!BD145-'Combined data'!BC145</f>
        <v>7</v>
      </c>
      <c r="BE145" s="17">
        <f>'Combined data'!BE145-'Combined data'!BD145</f>
        <v>18</v>
      </c>
      <c r="BF145" s="17">
        <f>'Combined data'!BF145-'Combined data'!BE145</f>
        <v>4</v>
      </c>
      <c r="BG145" s="17">
        <f>'Combined data'!BG145-'Combined data'!BF145</f>
        <v>2</v>
      </c>
      <c r="BH145" s="17">
        <f>'Combined data'!BH145-'Combined data'!BG145</f>
        <v>2</v>
      </c>
      <c r="BI145" s="17">
        <f>'Combined data'!BI145-'Combined data'!BH145</f>
        <v>5</v>
      </c>
      <c r="BJ145" s="17">
        <f>'Combined data'!BJ145-'Combined data'!BI145</f>
        <v>8</v>
      </c>
      <c r="BK145" s="17">
        <f>'Combined data'!BK145-'Combined data'!BJ145</f>
        <v>15</v>
      </c>
      <c r="BL145" s="17">
        <f>'Combined data'!BL145-'Combined data'!BK145</f>
        <v>17</v>
      </c>
      <c r="BM145" s="17">
        <f>'Combined data'!BM145-'Combined data'!BL145</f>
        <v>2</v>
      </c>
      <c r="BN145" s="17">
        <f>'Combined data'!BN145-'Combined data'!BM145</f>
        <v>6</v>
      </c>
      <c r="BO145" s="17">
        <f>'Combined data'!BO145-'Combined data'!BN145</f>
        <v>-303</v>
      </c>
      <c r="BP145" s="17">
        <f>'Combined data'!BP145-'Combined data'!BO145</f>
        <v>0</v>
      </c>
      <c r="BQ145" s="17">
        <f>'Combined data'!BQ145-'Combined data'!BP145</f>
        <v>0</v>
      </c>
      <c r="BR145" s="17">
        <f>'Combined data'!BR145-'Combined data'!BQ145</f>
        <v>0</v>
      </c>
      <c r="BS145" s="17">
        <f>'Combined data'!BS145-'Combined data'!BR145</f>
        <v>0</v>
      </c>
      <c r="BT145" s="17">
        <f>'Combined data'!BT145-'Combined data'!BS145</f>
        <v>0</v>
      </c>
      <c r="BU145" s="17">
        <f>'Combined data'!BU145-'Combined data'!BT145</f>
        <v>0</v>
      </c>
      <c r="BV145" s="17">
        <f>'Combined data'!BV145-'Combined data'!BU145</f>
        <v>0</v>
      </c>
      <c r="BW145" s="17">
        <f>'Combined data'!BW145-'Combined data'!BV145</f>
        <v>0</v>
      </c>
      <c r="BX145" s="17">
        <f>'Combined data'!BX145-'Combined data'!BW145</f>
        <v>0</v>
      </c>
      <c r="BY145" s="17">
        <f>'Combined data'!BY145-'Combined data'!BX145</f>
        <v>0</v>
      </c>
      <c r="CB145" s="17">
        <f t="shared" si="98"/>
        <v>122</v>
      </c>
      <c r="CC145" s="17">
        <f t="shared" si="99"/>
        <v>8</v>
      </c>
      <c r="CD145" s="17">
        <f t="shared" si="100"/>
        <v>8</v>
      </c>
      <c r="CE145" s="17">
        <f t="shared" si="101"/>
        <v>18</v>
      </c>
      <c r="CF145" s="17">
        <f t="shared" si="102"/>
        <v>7</v>
      </c>
      <c r="CG145" s="17">
        <f t="shared" si="103"/>
        <v>6</v>
      </c>
      <c r="CH145" s="17">
        <f t="shared" si="104"/>
        <v>14</v>
      </c>
      <c r="CI145" s="17">
        <f t="shared" si="105"/>
        <v>8</v>
      </c>
      <c r="CJ145" s="17">
        <f t="shared" si="106"/>
        <v>5</v>
      </c>
      <c r="CK145" s="17">
        <f t="shared" si="107"/>
        <v>4</v>
      </c>
      <c r="CL145" s="17">
        <f t="shared" si="108"/>
        <v>8</v>
      </c>
      <c r="CM145" s="17">
        <f t="shared" si="109"/>
        <v>9</v>
      </c>
      <c r="CN145" s="17">
        <f t="shared" si="110"/>
        <v>7</v>
      </c>
      <c r="CO145" s="17">
        <f t="shared" si="111"/>
        <v>18</v>
      </c>
      <c r="CP145" s="17">
        <f t="shared" si="112"/>
        <v>4</v>
      </c>
      <c r="CQ145" s="17">
        <f t="shared" si="113"/>
        <v>2</v>
      </c>
      <c r="CR145" s="17">
        <f t="shared" si="114"/>
        <v>2</v>
      </c>
      <c r="CS145" s="17">
        <f t="shared" si="115"/>
        <v>5</v>
      </c>
      <c r="CT145" s="17">
        <f t="shared" si="116"/>
        <v>8</v>
      </c>
      <c r="CU145" s="17">
        <f t="shared" si="117"/>
        <v>15</v>
      </c>
      <c r="CV145" s="17">
        <f t="shared" si="118"/>
        <v>17</v>
      </c>
      <c r="CW145" s="17">
        <f t="shared" si="119"/>
        <v>2</v>
      </c>
      <c r="CX145" s="17">
        <f t="shared" si="120"/>
        <v>6</v>
      </c>
      <c r="CY145" s="17">
        <f t="shared" si="120"/>
        <v>-303</v>
      </c>
      <c r="CZ145" s="17">
        <f t="shared" si="120"/>
        <v>0</v>
      </c>
      <c r="DA145" s="17">
        <f t="shared" si="120"/>
        <v>0</v>
      </c>
      <c r="DB145" s="17">
        <f t="shared" si="120"/>
        <v>0</v>
      </c>
      <c r="DC145" s="17">
        <f t="shared" si="120"/>
        <v>0</v>
      </c>
      <c r="DD145" s="17">
        <f t="shared" si="120"/>
        <v>0</v>
      </c>
      <c r="DE145" s="17">
        <f t="shared" si="120"/>
        <v>0</v>
      </c>
      <c r="DF145" s="17">
        <f t="shared" si="120"/>
        <v>0</v>
      </c>
      <c r="DG145" s="17">
        <f t="shared" si="120"/>
        <v>0</v>
      </c>
      <c r="DH145" s="17">
        <f t="shared" si="120"/>
        <v>0</v>
      </c>
      <c r="DI145" s="17">
        <f t="shared" si="120"/>
        <v>0</v>
      </c>
    </row>
    <row r="146" spans="1:113" ht="15.75" x14ac:dyDescent="0.25">
      <c r="A146" s="4" t="s">
        <v>281</v>
      </c>
      <c r="B146" s="6" t="s">
        <v>282</v>
      </c>
      <c r="H146" s="90">
        <f>'Combined data'!H146</f>
        <v>509</v>
      </c>
      <c r="I146" s="90">
        <f>'Combined data'!I146-'Combined data'!H146</f>
        <v>22</v>
      </c>
      <c r="J146" s="90">
        <f>'Combined data'!J146-'Combined data'!I146</f>
        <v>47</v>
      </c>
      <c r="K146" s="90">
        <f>'Combined data'!K146-'Combined data'!J146</f>
        <v>24</v>
      </c>
      <c r="L146" s="90">
        <f>'Combined data'!L146-'Combined data'!K146</f>
        <v>8</v>
      </c>
      <c r="M146" s="90">
        <f>'Combined data'!M146-'Combined data'!L146</f>
        <v>13</v>
      </c>
      <c r="N146" s="90">
        <f>'Combined data'!N146-'Combined data'!M146</f>
        <v>62</v>
      </c>
      <c r="O146" s="90">
        <f>'Combined data'!O146-'Combined data'!N146</f>
        <v>31</v>
      </c>
      <c r="P146" s="90">
        <f>'Combined data'!P146-'Combined data'!O146</f>
        <v>25</v>
      </c>
      <c r="Q146" s="90">
        <f>'Combined data'!Q146-'Combined data'!P146</f>
        <v>14</v>
      </c>
      <c r="R146" s="90">
        <f>'Combined data'!R146-'Combined data'!Q146</f>
        <v>10</v>
      </c>
      <c r="S146" s="90">
        <f>'Combined data'!S146-'Combined data'!R146</f>
        <v>18</v>
      </c>
      <c r="T146" s="90">
        <f>'Combined data'!T146-'Combined data'!S146</f>
        <v>24</v>
      </c>
      <c r="U146" s="90">
        <f>'Combined data'!U146-'Combined data'!T146</f>
        <v>9</v>
      </c>
      <c r="V146" s="90">
        <f>'Combined data'!V146-'Combined data'!U146</f>
        <v>19</v>
      </c>
      <c r="W146" s="90">
        <f>'Combined data'!W146-'Combined data'!V146</f>
        <v>13</v>
      </c>
      <c r="X146" s="90">
        <f>'Combined data'!X146-'Combined data'!W146</f>
        <v>14</v>
      </c>
      <c r="Y146" s="90">
        <f>'Combined data'!Y146-'Combined data'!X146</f>
        <v>14</v>
      </c>
      <c r="Z146" s="90">
        <f>'Combined data'!Z146-'Combined data'!Y146</f>
        <v>19</v>
      </c>
      <c r="AA146" s="90">
        <f>'Combined data'!AA146-'Combined data'!Z146</f>
        <v>6</v>
      </c>
      <c r="AB146" s="90">
        <f>'Combined data'!AB146-'Combined data'!AA146</f>
        <v>8</v>
      </c>
      <c r="AC146" s="90">
        <f>'Combined data'!AC146-'Combined data'!AB146</f>
        <v>4</v>
      </c>
      <c r="AD146" s="90">
        <f>'Combined data'!AD146-'Combined data'!AC146</f>
        <v>24</v>
      </c>
      <c r="AE146" s="90">
        <f>'Combined data'!AE146-'Combined data'!AD146</f>
        <v>-937</v>
      </c>
      <c r="AF146" s="90">
        <f>'Combined data'!AF146-'Combined data'!AE146</f>
        <v>0</v>
      </c>
      <c r="AG146" s="90">
        <f>'Combined data'!AG146-'Combined data'!AF146</f>
        <v>0</v>
      </c>
      <c r="AH146" s="90">
        <f>'Combined data'!AH146-'Combined data'!AG146</f>
        <v>0</v>
      </c>
      <c r="AI146" s="90">
        <f>'Combined data'!AI146-'Combined data'!AH146</f>
        <v>0</v>
      </c>
      <c r="AJ146" s="90">
        <f>'Combined data'!AJ146-'Combined data'!AI146</f>
        <v>0</v>
      </c>
      <c r="AK146" s="90">
        <f>'Combined data'!AK146-'Combined data'!AJ146</f>
        <v>0</v>
      </c>
      <c r="AL146" s="90">
        <f>'Combined data'!AL146-'Combined data'!AK146</f>
        <v>0</v>
      </c>
      <c r="AM146" s="90">
        <f>'Combined data'!AM146-'Combined data'!AL146</f>
        <v>0</v>
      </c>
      <c r="AN146" s="90">
        <f>'Combined data'!AN146-'Combined data'!AM146</f>
        <v>0</v>
      </c>
      <c r="AO146" s="90">
        <f>'Combined data'!AO146-'Combined data'!AN146</f>
        <v>0</v>
      </c>
      <c r="AP146" s="56">
        <f t="shared" si="121"/>
        <v>0</v>
      </c>
      <c r="AQ146" s="113"/>
      <c r="AR146" s="17">
        <f>'Combined data'!AR146</f>
        <v>232</v>
      </c>
      <c r="AS146" s="17">
        <f>'Combined data'!AS146-'Combined data'!AR146</f>
        <v>38</v>
      </c>
      <c r="AT146" s="17">
        <f>'Combined data'!AT146-'Combined data'!AS146</f>
        <v>42</v>
      </c>
      <c r="AU146" s="17">
        <f>'Combined data'!AU146-'Combined data'!AT146</f>
        <v>47</v>
      </c>
      <c r="AV146" s="17">
        <f>'Combined data'!AV146-'Combined data'!AU146</f>
        <v>28</v>
      </c>
      <c r="AW146" s="17">
        <f>'Combined data'!AW146-'Combined data'!AV146</f>
        <v>33</v>
      </c>
      <c r="AX146" s="17">
        <f>'Combined data'!AX146-'Combined data'!AW146</f>
        <v>47</v>
      </c>
      <c r="AY146" s="17">
        <f>'Combined data'!AY146-'Combined data'!AX146</f>
        <v>16</v>
      </c>
      <c r="AZ146" s="17">
        <f>'Combined data'!AZ146-'Combined data'!AY146</f>
        <v>25</v>
      </c>
      <c r="BA146" s="17">
        <f>'Combined data'!BA146-'Combined data'!AZ146</f>
        <v>26</v>
      </c>
      <c r="BB146" s="17">
        <f>'Combined data'!BB146-'Combined data'!BA146</f>
        <v>20</v>
      </c>
      <c r="BC146" s="17">
        <f>'Combined data'!BC146-'Combined data'!BB146</f>
        <v>18</v>
      </c>
      <c r="BD146" s="17">
        <f>'Combined data'!BD146-'Combined data'!BC146</f>
        <v>18</v>
      </c>
      <c r="BE146" s="17">
        <f>'Combined data'!BE146-'Combined data'!BD146</f>
        <v>10</v>
      </c>
      <c r="BF146" s="17">
        <f>'Combined data'!BF146-'Combined data'!BE146</f>
        <v>15</v>
      </c>
      <c r="BG146" s="17">
        <f>'Combined data'!BG146-'Combined data'!BF146</f>
        <v>11</v>
      </c>
      <c r="BH146" s="17">
        <f>'Combined data'!BH146-'Combined data'!BG146</f>
        <v>16</v>
      </c>
      <c r="BI146" s="17">
        <f>'Combined data'!BI146-'Combined data'!BH146</f>
        <v>20</v>
      </c>
      <c r="BJ146" s="17">
        <f>'Combined data'!BJ146-'Combined data'!BI146</f>
        <v>18</v>
      </c>
      <c r="BK146" s="17">
        <f>'Combined data'!BK146-'Combined data'!BJ146</f>
        <v>14</v>
      </c>
      <c r="BL146" s="17">
        <f>'Combined data'!BL146-'Combined data'!BK146</f>
        <v>13</v>
      </c>
      <c r="BM146" s="17">
        <f>'Combined data'!BM146-'Combined data'!BL146</f>
        <v>4</v>
      </c>
      <c r="BN146" s="17">
        <f>'Combined data'!BN146-'Combined data'!BM146</f>
        <v>13</v>
      </c>
      <c r="BO146" s="17">
        <f>'Combined data'!BO146-'Combined data'!BN146</f>
        <v>-724</v>
      </c>
      <c r="BP146" s="17">
        <f>'Combined data'!BP146-'Combined data'!BO146</f>
        <v>0</v>
      </c>
      <c r="BQ146" s="17">
        <f>'Combined data'!BQ146-'Combined data'!BP146</f>
        <v>0</v>
      </c>
      <c r="BR146" s="17">
        <f>'Combined data'!BR146-'Combined data'!BQ146</f>
        <v>0</v>
      </c>
      <c r="BS146" s="17">
        <f>'Combined data'!BS146-'Combined data'!BR146</f>
        <v>0</v>
      </c>
      <c r="BT146" s="17">
        <f>'Combined data'!BT146-'Combined data'!BS146</f>
        <v>0</v>
      </c>
      <c r="BU146" s="17">
        <f>'Combined data'!BU146-'Combined data'!BT146</f>
        <v>0</v>
      </c>
      <c r="BV146" s="17">
        <f>'Combined data'!BV146-'Combined data'!BU146</f>
        <v>0</v>
      </c>
      <c r="BW146" s="17">
        <f>'Combined data'!BW146-'Combined data'!BV146</f>
        <v>0</v>
      </c>
      <c r="BX146" s="17">
        <f>'Combined data'!BX146-'Combined data'!BW146</f>
        <v>0</v>
      </c>
      <c r="BY146" s="17">
        <f>'Combined data'!BY146-'Combined data'!BX146</f>
        <v>0</v>
      </c>
      <c r="CB146" s="17">
        <f t="shared" si="98"/>
        <v>232</v>
      </c>
      <c r="CC146" s="17">
        <f t="shared" si="99"/>
        <v>38</v>
      </c>
      <c r="CD146" s="17">
        <f t="shared" si="100"/>
        <v>42</v>
      </c>
      <c r="CE146" s="17">
        <f t="shared" si="101"/>
        <v>47</v>
      </c>
      <c r="CF146" s="17">
        <f t="shared" si="102"/>
        <v>28</v>
      </c>
      <c r="CG146" s="17">
        <f t="shared" si="103"/>
        <v>33</v>
      </c>
      <c r="CH146" s="17">
        <f t="shared" si="104"/>
        <v>47</v>
      </c>
      <c r="CI146" s="17">
        <f t="shared" si="105"/>
        <v>16</v>
      </c>
      <c r="CJ146" s="17">
        <f t="shared" si="106"/>
        <v>25</v>
      </c>
      <c r="CK146" s="17">
        <f t="shared" si="107"/>
        <v>26</v>
      </c>
      <c r="CL146" s="17">
        <f t="shared" si="108"/>
        <v>20</v>
      </c>
      <c r="CM146" s="17">
        <f t="shared" si="109"/>
        <v>18</v>
      </c>
      <c r="CN146" s="17">
        <f t="shared" si="110"/>
        <v>18</v>
      </c>
      <c r="CO146" s="17">
        <f t="shared" si="111"/>
        <v>10</v>
      </c>
      <c r="CP146" s="17">
        <f t="shared" si="112"/>
        <v>15</v>
      </c>
      <c r="CQ146" s="17">
        <f t="shared" si="113"/>
        <v>11</v>
      </c>
      <c r="CR146" s="17">
        <f t="shared" si="114"/>
        <v>16</v>
      </c>
      <c r="CS146" s="17">
        <f t="shared" si="115"/>
        <v>20</v>
      </c>
      <c r="CT146" s="17">
        <f t="shared" si="116"/>
        <v>18</v>
      </c>
      <c r="CU146" s="17">
        <f t="shared" si="117"/>
        <v>14</v>
      </c>
      <c r="CV146" s="17">
        <f t="shared" si="118"/>
        <v>13</v>
      </c>
      <c r="CW146" s="17">
        <f t="shared" si="119"/>
        <v>4</v>
      </c>
      <c r="CX146" s="17">
        <f t="shared" si="120"/>
        <v>13</v>
      </c>
      <c r="CY146" s="17">
        <f t="shared" si="120"/>
        <v>-724</v>
      </c>
      <c r="CZ146" s="17">
        <f t="shared" si="120"/>
        <v>0</v>
      </c>
      <c r="DA146" s="17">
        <f t="shared" si="120"/>
        <v>0</v>
      </c>
      <c r="DB146" s="17">
        <f t="shared" si="120"/>
        <v>0</v>
      </c>
      <c r="DC146" s="17">
        <f t="shared" si="120"/>
        <v>0</v>
      </c>
      <c r="DD146" s="17">
        <f t="shared" si="120"/>
        <v>0</v>
      </c>
      <c r="DE146" s="17">
        <f t="shared" si="120"/>
        <v>0</v>
      </c>
      <c r="DF146" s="17">
        <f t="shared" si="120"/>
        <v>0</v>
      </c>
      <c r="DG146" s="17">
        <f t="shared" si="120"/>
        <v>0</v>
      </c>
      <c r="DH146" s="17">
        <f t="shared" si="120"/>
        <v>0</v>
      </c>
      <c r="DI146" s="17">
        <f t="shared" si="120"/>
        <v>0</v>
      </c>
    </row>
    <row r="147" spans="1:113" ht="15.75" x14ac:dyDescent="0.25">
      <c r="A147" s="4" t="s">
        <v>283</v>
      </c>
      <c r="B147" s="6" t="s">
        <v>284</v>
      </c>
      <c r="H147" s="90">
        <f>'Combined data'!H147</f>
        <v>150</v>
      </c>
      <c r="I147" s="90">
        <f>'Combined data'!I147-'Combined data'!H147</f>
        <v>10</v>
      </c>
      <c r="J147" s="90">
        <f>'Combined data'!J147-'Combined data'!I147</f>
        <v>15</v>
      </c>
      <c r="K147" s="90">
        <f>'Combined data'!K147-'Combined data'!J147</f>
        <v>20</v>
      </c>
      <c r="L147" s="90">
        <f>'Combined data'!L147-'Combined data'!K147</f>
        <v>2</v>
      </c>
      <c r="M147" s="90">
        <f>'Combined data'!M147-'Combined data'!L147</f>
        <v>7</v>
      </c>
      <c r="N147" s="90">
        <f>'Combined data'!N147-'Combined data'!M147</f>
        <v>11</v>
      </c>
      <c r="O147" s="90">
        <f>'Combined data'!O147-'Combined data'!N147</f>
        <v>4</v>
      </c>
      <c r="P147" s="90">
        <f>'Combined data'!P147-'Combined data'!O147</f>
        <v>6</v>
      </c>
      <c r="Q147" s="90">
        <f>'Combined data'!Q147-'Combined data'!P147</f>
        <v>2</v>
      </c>
      <c r="R147" s="90">
        <f>'Combined data'!R147-'Combined data'!Q147</f>
        <v>3</v>
      </c>
      <c r="S147" s="90">
        <f>'Combined data'!S147-'Combined data'!R147</f>
        <v>4</v>
      </c>
      <c r="T147" s="90">
        <f>'Combined data'!T147-'Combined data'!S147</f>
        <v>4</v>
      </c>
      <c r="U147" s="90">
        <f>'Combined data'!U147-'Combined data'!T147</f>
        <v>0</v>
      </c>
      <c r="V147" s="90">
        <f>'Combined data'!V147-'Combined data'!U147</f>
        <v>3</v>
      </c>
      <c r="W147" s="90">
        <f>'Combined data'!W147-'Combined data'!V147</f>
        <v>1</v>
      </c>
      <c r="X147" s="90">
        <f>'Combined data'!X147-'Combined data'!W147</f>
        <v>1</v>
      </c>
      <c r="Y147" s="90">
        <f>'Combined data'!Y147-'Combined data'!X147</f>
        <v>8</v>
      </c>
      <c r="Z147" s="90">
        <f>'Combined data'!Z147-'Combined data'!Y147</f>
        <v>9</v>
      </c>
      <c r="AA147" s="90">
        <f>'Combined data'!AA147-'Combined data'!Z147</f>
        <v>0</v>
      </c>
      <c r="AB147" s="90">
        <f>'Combined data'!AB147-'Combined data'!AA147</f>
        <v>0</v>
      </c>
      <c r="AC147" s="90">
        <f>'Combined data'!AC147-'Combined data'!AB147</f>
        <v>-2</v>
      </c>
      <c r="AD147" s="90">
        <f>'Combined data'!AD147-'Combined data'!AC147</f>
        <v>4</v>
      </c>
      <c r="AE147" s="90">
        <f>'Combined data'!AE147-'Combined data'!AD147</f>
        <v>-262</v>
      </c>
      <c r="AF147" s="90">
        <f>'Combined data'!AF147-'Combined data'!AE147</f>
        <v>0</v>
      </c>
      <c r="AG147" s="90">
        <f>'Combined data'!AG147-'Combined data'!AF147</f>
        <v>0</v>
      </c>
      <c r="AH147" s="90">
        <f>'Combined data'!AH147-'Combined data'!AG147</f>
        <v>0</v>
      </c>
      <c r="AI147" s="90">
        <f>'Combined data'!AI147-'Combined data'!AH147</f>
        <v>0</v>
      </c>
      <c r="AJ147" s="90">
        <f>'Combined data'!AJ147-'Combined data'!AI147</f>
        <v>0</v>
      </c>
      <c r="AK147" s="90">
        <f>'Combined data'!AK147-'Combined data'!AJ147</f>
        <v>0</v>
      </c>
      <c r="AL147" s="90">
        <f>'Combined data'!AL147-'Combined data'!AK147</f>
        <v>0</v>
      </c>
      <c r="AM147" s="90">
        <f>'Combined data'!AM147-'Combined data'!AL147</f>
        <v>0</v>
      </c>
      <c r="AN147" s="90">
        <f>'Combined data'!AN147-'Combined data'!AM147</f>
        <v>0</v>
      </c>
      <c r="AO147" s="90">
        <f>'Combined data'!AO147-'Combined data'!AN147</f>
        <v>0</v>
      </c>
      <c r="AP147" s="56">
        <f t="shared" si="121"/>
        <v>0</v>
      </c>
      <c r="AQ147" s="113"/>
      <c r="AR147" s="17">
        <f>'Combined data'!AR147</f>
        <v>50</v>
      </c>
      <c r="AS147" s="17">
        <f>'Combined data'!AS147-'Combined data'!AR147</f>
        <v>14</v>
      </c>
      <c r="AT147" s="17">
        <f>'Combined data'!AT147-'Combined data'!AS147</f>
        <v>22</v>
      </c>
      <c r="AU147" s="17">
        <f>'Combined data'!AU147-'Combined data'!AT147</f>
        <v>20</v>
      </c>
      <c r="AV147" s="17">
        <f>'Combined data'!AV147-'Combined data'!AU147</f>
        <v>16</v>
      </c>
      <c r="AW147" s="17">
        <f>'Combined data'!AW147-'Combined data'!AV147</f>
        <v>9</v>
      </c>
      <c r="AX147" s="17">
        <f>'Combined data'!AX147-'Combined data'!AW147</f>
        <v>11</v>
      </c>
      <c r="AY147" s="17">
        <f>'Combined data'!AY147-'Combined data'!AX147</f>
        <v>10</v>
      </c>
      <c r="AZ147" s="17">
        <f>'Combined data'!AZ147-'Combined data'!AY147</f>
        <v>13</v>
      </c>
      <c r="BA147" s="17">
        <f>'Combined data'!BA147-'Combined data'!AZ147</f>
        <v>8</v>
      </c>
      <c r="BB147" s="17">
        <f>'Combined data'!BB147-'Combined data'!BA147</f>
        <v>5</v>
      </c>
      <c r="BC147" s="17">
        <f>'Combined data'!BC147-'Combined data'!BB147</f>
        <v>11</v>
      </c>
      <c r="BD147" s="17">
        <f>'Combined data'!BD147-'Combined data'!BC147</f>
        <v>4</v>
      </c>
      <c r="BE147" s="17">
        <f>'Combined data'!BE147-'Combined data'!BD147</f>
        <v>3</v>
      </c>
      <c r="BF147" s="17">
        <f>'Combined data'!BF147-'Combined data'!BE147</f>
        <v>2</v>
      </c>
      <c r="BG147" s="17">
        <f>'Combined data'!BG147-'Combined data'!BF147</f>
        <v>3</v>
      </c>
      <c r="BH147" s="17">
        <f>'Combined data'!BH147-'Combined data'!BG147</f>
        <v>1</v>
      </c>
      <c r="BI147" s="17">
        <f>'Combined data'!BI147-'Combined data'!BH147</f>
        <v>2</v>
      </c>
      <c r="BJ147" s="17">
        <f>'Combined data'!BJ147-'Combined data'!BI147</f>
        <v>8</v>
      </c>
      <c r="BK147" s="17">
        <f>'Combined data'!BK147-'Combined data'!BJ147</f>
        <v>3</v>
      </c>
      <c r="BL147" s="17">
        <f>'Combined data'!BL147-'Combined data'!BK147</f>
        <v>8</v>
      </c>
      <c r="BM147" s="17">
        <f>'Combined data'!BM147-'Combined data'!BL147</f>
        <v>0</v>
      </c>
      <c r="BN147" s="17">
        <f>'Combined data'!BN147-'Combined data'!BM147</f>
        <v>1</v>
      </c>
      <c r="BO147" s="17">
        <f>'Combined data'!BO147-'Combined data'!BN147</f>
        <v>-224</v>
      </c>
      <c r="BP147" s="17">
        <f>'Combined data'!BP147-'Combined data'!BO147</f>
        <v>0</v>
      </c>
      <c r="BQ147" s="17">
        <f>'Combined data'!BQ147-'Combined data'!BP147</f>
        <v>0</v>
      </c>
      <c r="BR147" s="17">
        <f>'Combined data'!BR147-'Combined data'!BQ147</f>
        <v>0</v>
      </c>
      <c r="BS147" s="17">
        <f>'Combined data'!BS147-'Combined data'!BR147</f>
        <v>0</v>
      </c>
      <c r="BT147" s="17">
        <f>'Combined data'!BT147-'Combined data'!BS147</f>
        <v>0</v>
      </c>
      <c r="BU147" s="17">
        <f>'Combined data'!BU147-'Combined data'!BT147</f>
        <v>0</v>
      </c>
      <c r="BV147" s="17">
        <f>'Combined data'!BV147-'Combined data'!BU147</f>
        <v>0</v>
      </c>
      <c r="BW147" s="17">
        <f>'Combined data'!BW147-'Combined data'!BV147</f>
        <v>0</v>
      </c>
      <c r="BX147" s="17">
        <f>'Combined data'!BX147-'Combined data'!BW147</f>
        <v>0</v>
      </c>
      <c r="BY147" s="17">
        <f>'Combined data'!BY147-'Combined data'!BX147</f>
        <v>0</v>
      </c>
      <c r="CB147" s="17">
        <f t="shared" si="98"/>
        <v>50</v>
      </c>
      <c r="CC147" s="17">
        <f t="shared" si="99"/>
        <v>14</v>
      </c>
      <c r="CD147" s="17">
        <f t="shared" si="100"/>
        <v>22</v>
      </c>
      <c r="CE147" s="17">
        <f t="shared" si="101"/>
        <v>20</v>
      </c>
      <c r="CF147" s="17">
        <f t="shared" si="102"/>
        <v>16</v>
      </c>
      <c r="CG147" s="17">
        <f t="shared" si="103"/>
        <v>9</v>
      </c>
      <c r="CH147" s="17">
        <f t="shared" si="104"/>
        <v>11</v>
      </c>
      <c r="CI147" s="17">
        <f t="shared" si="105"/>
        <v>10</v>
      </c>
      <c r="CJ147" s="17">
        <f t="shared" si="106"/>
        <v>13</v>
      </c>
      <c r="CK147" s="17">
        <f t="shared" si="107"/>
        <v>8</v>
      </c>
      <c r="CL147" s="17">
        <f t="shared" si="108"/>
        <v>5</v>
      </c>
      <c r="CM147" s="17">
        <f t="shared" si="109"/>
        <v>11</v>
      </c>
      <c r="CN147" s="17">
        <f t="shared" si="110"/>
        <v>4</v>
      </c>
      <c r="CO147" s="17">
        <f t="shared" si="111"/>
        <v>3</v>
      </c>
      <c r="CP147" s="17">
        <f t="shared" si="112"/>
        <v>2</v>
      </c>
      <c r="CQ147" s="17">
        <f t="shared" si="113"/>
        <v>3</v>
      </c>
      <c r="CR147" s="17">
        <f t="shared" si="114"/>
        <v>1</v>
      </c>
      <c r="CS147" s="17">
        <f t="shared" si="115"/>
        <v>2</v>
      </c>
      <c r="CT147" s="17">
        <f t="shared" si="116"/>
        <v>8</v>
      </c>
      <c r="CU147" s="17">
        <f t="shared" si="117"/>
        <v>3</v>
      </c>
      <c r="CV147" s="17">
        <f t="shared" si="118"/>
        <v>8</v>
      </c>
      <c r="CW147" s="17">
        <f t="shared" si="119"/>
        <v>0</v>
      </c>
      <c r="CX147" s="17">
        <f t="shared" si="120"/>
        <v>1</v>
      </c>
      <c r="CY147" s="17">
        <f t="shared" si="120"/>
        <v>-224</v>
      </c>
      <c r="CZ147" s="17">
        <f t="shared" si="120"/>
        <v>0</v>
      </c>
      <c r="DA147" s="17">
        <f t="shared" si="120"/>
        <v>0</v>
      </c>
      <c r="DB147" s="17">
        <f t="shared" si="120"/>
        <v>0</v>
      </c>
      <c r="DC147" s="17">
        <f t="shared" si="120"/>
        <v>0</v>
      </c>
      <c r="DD147" s="17">
        <f t="shared" si="120"/>
        <v>0</v>
      </c>
      <c r="DE147" s="17">
        <f t="shared" si="120"/>
        <v>0</v>
      </c>
      <c r="DF147" s="17">
        <f t="shared" si="120"/>
        <v>0</v>
      </c>
      <c r="DG147" s="17">
        <f t="shared" si="120"/>
        <v>0</v>
      </c>
      <c r="DH147" s="17">
        <f t="shared" si="120"/>
        <v>0</v>
      </c>
      <c r="DI147" s="17">
        <f t="shared" si="120"/>
        <v>0</v>
      </c>
    </row>
    <row r="148" spans="1:113" ht="15.75" x14ac:dyDescent="0.25">
      <c r="A148" s="4" t="s">
        <v>285</v>
      </c>
      <c r="B148" s="6" t="s">
        <v>286</v>
      </c>
      <c r="H148" s="90">
        <f>'Combined data'!H148</f>
        <v>653</v>
      </c>
      <c r="I148" s="90">
        <f>'Combined data'!I148-'Combined data'!H148</f>
        <v>48</v>
      </c>
      <c r="J148" s="90">
        <f>'Combined data'!J148-'Combined data'!I148</f>
        <v>49</v>
      </c>
      <c r="K148" s="90">
        <f>'Combined data'!K148-'Combined data'!J148</f>
        <v>62</v>
      </c>
      <c r="L148" s="90">
        <f>'Combined data'!L148-'Combined data'!K148</f>
        <v>21</v>
      </c>
      <c r="M148" s="90">
        <f>'Combined data'!M148-'Combined data'!L148</f>
        <v>14</v>
      </c>
      <c r="N148" s="90">
        <f>'Combined data'!N148-'Combined data'!M148</f>
        <v>36</v>
      </c>
      <c r="O148" s="90">
        <f>'Combined data'!O148-'Combined data'!N148</f>
        <v>35</v>
      </c>
      <c r="P148" s="90">
        <f>'Combined data'!P148-'Combined data'!O148</f>
        <v>20</v>
      </c>
      <c r="Q148" s="90">
        <f>'Combined data'!Q148-'Combined data'!P148</f>
        <v>29</v>
      </c>
      <c r="R148" s="90">
        <f>'Combined data'!R148-'Combined data'!Q148</f>
        <v>8</v>
      </c>
      <c r="S148" s="90">
        <f>'Combined data'!S148-'Combined data'!R148</f>
        <v>18</v>
      </c>
      <c r="T148" s="90">
        <f>'Combined data'!T148-'Combined data'!S148</f>
        <v>16</v>
      </c>
      <c r="U148" s="90">
        <f>'Combined data'!U148-'Combined data'!T148</f>
        <v>26</v>
      </c>
      <c r="V148" s="90">
        <f>'Combined data'!V148-'Combined data'!U148</f>
        <v>21</v>
      </c>
      <c r="W148" s="90">
        <f>'Combined data'!W148-'Combined data'!V148</f>
        <v>19</v>
      </c>
      <c r="X148" s="90">
        <f>'Combined data'!X148-'Combined data'!W148</f>
        <v>10</v>
      </c>
      <c r="Y148" s="90">
        <f>'Combined data'!Y148-'Combined data'!X148</f>
        <v>16</v>
      </c>
      <c r="Z148" s="90">
        <f>'Combined data'!Z148-'Combined data'!Y148</f>
        <v>16</v>
      </c>
      <c r="AA148" s="90">
        <f>'Combined data'!AA148-'Combined data'!Z148</f>
        <v>6</v>
      </c>
      <c r="AB148" s="90">
        <f>'Combined data'!AB148-'Combined data'!AA148</f>
        <v>6</v>
      </c>
      <c r="AC148" s="90">
        <f>'Combined data'!AC148-'Combined data'!AB148</f>
        <v>-2</v>
      </c>
      <c r="AD148" s="90">
        <f>'Combined data'!AD148-'Combined data'!AC148</f>
        <v>14</v>
      </c>
      <c r="AE148" s="90">
        <f>'Combined data'!AE148-'Combined data'!AD148</f>
        <v>-1141</v>
      </c>
      <c r="AF148" s="90">
        <f>'Combined data'!AF148-'Combined data'!AE148</f>
        <v>0</v>
      </c>
      <c r="AG148" s="90">
        <f>'Combined data'!AG148-'Combined data'!AF148</f>
        <v>0</v>
      </c>
      <c r="AH148" s="90">
        <f>'Combined data'!AH148-'Combined data'!AG148</f>
        <v>0</v>
      </c>
      <c r="AI148" s="90">
        <f>'Combined data'!AI148-'Combined data'!AH148</f>
        <v>0</v>
      </c>
      <c r="AJ148" s="90">
        <f>'Combined data'!AJ148-'Combined data'!AI148</f>
        <v>0</v>
      </c>
      <c r="AK148" s="90">
        <f>'Combined data'!AK148-'Combined data'!AJ148</f>
        <v>0</v>
      </c>
      <c r="AL148" s="90">
        <f>'Combined data'!AL148-'Combined data'!AK148</f>
        <v>0</v>
      </c>
      <c r="AM148" s="90">
        <f>'Combined data'!AM148-'Combined data'!AL148</f>
        <v>0</v>
      </c>
      <c r="AN148" s="90">
        <f>'Combined data'!AN148-'Combined data'!AM148</f>
        <v>0</v>
      </c>
      <c r="AO148" s="90">
        <f>'Combined data'!AO148-'Combined data'!AN148</f>
        <v>0</v>
      </c>
      <c r="AP148" s="56">
        <f t="shared" si="121"/>
        <v>0</v>
      </c>
      <c r="AQ148" s="113"/>
      <c r="AR148" s="17">
        <f>'Combined data'!AR148</f>
        <v>339</v>
      </c>
      <c r="AS148" s="17">
        <f>'Combined data'!AS148-'Combined data'!AR148</f>
        <v>38</v>
      </c>
      <c r="AT148" s="17">
        <f>'Combined data'!AT148-'Combined data'!AS148</f>
        <v>36</v>
      </c>
      <c r="AU148" s="17">
        <f>'Combined data'!AU148-'Combined data'!AT148</f>
        <v>59</v>
      </c>
      <c r="AV148" s="17">
        <f>'Combined data'!AV148-'Combined data'!AU148</f>
        <v>47</v>
      </c>
      <c r="AW148" s="17">
        <f>'Combined data'!AW148-'Combined data'!AV148</f>
        <v>43</v>
      </c>
      <c r="AX148" s="17">
        <f>'Combined data'!AX148-'Combined data'!AW148</f>
        <v>49</v>
      </c>
      <c r="AY148" s="17">
        <f>'Combined data'!AY148-'Combined data'!AX148</f>
        <v>20</v>
      </c>
      <c r="AZ148" s="17">
        <f>'Combined data'!AZ148-'Combined data'!AY148</f>
        <v>26</v>
      </c>
      <c r="BA148" s="17">
        <f>'Combined data'!BA148-'Combined data'!AZ148</f>
        <v>23</v>
      </c>
      <c r="BB148" s="17">
        <f>'Combined data'!BB148-'Combined data'!BA148</f>
        <v>28</v>
      </c>
      <c r="BC148" s="17">
        <f>'Combined data'!BC148-'Combined data'!BB148</f>
        <v>28</v>
      </c>
      <c r="BD148" s="17">
        <f>'Combined data'!BD148-'Combined data'!BC148</f>
        <v>30</v>
      </c>
      <c r="BE148" s="17">
        <f>'Combined data'!BE148-'Combined data'!BD148</f>
        <v>16</v>
      </c>
      <c r="BF148" s="17">
        <f>'Combined data'!BF148-'Combined data'!BE148</f>
        <v>21</v>
      </c>
      <c r="BG148" s="17">
        <f>'Combined data'!BG148-'Combined data'!BF148</f>
        <v>23</v>
      </c>
      <c r="BH148" s="17">
        <f>'Combined data'!BH148-'Combined data'!BG148</f>
        <v>6</v>
      </c>
      <c r="BI148" s="17">
        <f>'Combined data'!BI148-'Combined data'!BH148</f>
        <v>17</v>
      </c>
      <c r="BJ148" s="17">
        <f>'Combined data'!BJ148-'Combined data'!BI148</f>
        <v>3</v>
      </c>
      <c r="BK148" s="17">
        <f>'Combined data'!BK148-'Combined data'!BJ148</f>
        <v>18</v>
      </c>
      <c r="BL148" s="17">
        <f>'Combined data'!BL148-'Combined data'!BK148</f>
        <v>24</v>
      </c>
      <c r="BM148" s="17">
        <f>'Combined data'!BM148-'Combined data'!BL148</f>
        <v>4</v>
      </c>
      <c r="BN148" s="17">
        <f>'Combined data'!BN148-'Combined data'!BM148</f>
        <v>11</v>
      </c>
      <c r="BO148" s="17">
        <f>'Combined data'!BO148-'Combined data'!BN148</f>
        <v>-909</v>
      </c>
      <c r="BP148" s="17">
        <f>'Combined data'!BP148-'Combined data'!BO148</f>
        <v>0</v>
      </c>
      <c r="BQ148" s="17">
        <f>'Combined data'!BQ148-'Combined data'!BP148</f>
        <v>0</v>
      </c>
      <c r="BR148" s="17">
        <f>'Combined data'!BR148-'Combined data'!BQ148</f>
        <v>0</v>
      </c>
      <c r="BS148" s="17">
        <f>'Combined data'!BS148-'Combined data'!BR148</f>
        <v>0</v>
      </c>
      <c r="BT148" s="17">
        <f>'Combined data'!BT148-'Combined data'!BS148</f>
        <v>0</v>
      </c>
      <c r="BU148" s="17">
        <f>'Combined data'!BU148-'Combined data'!BT148</f>
        <v>0</v>
      </c>
      <c r="BV148" s="17">
        <f>'Combined data'!BV148-'Combined data'!BU148</f>
        <v>0</v>
      </c>
      <c r="BW148" s="17">
        <f>'Combined data'!BW148-'Combined data'!BV148</f>
        <v>0</v>
      </c>
      <c r="BX148" s="17">
        <f>'Combined data'!BX148-'Combined data'!BW148</f>
        <v>0</v>
      </c>
      <c r="BY148" s="17">
        <f>'Combined data'!BY148-'Combined data'!BX148</f>
        <v>0</v>
      </c>
      <c r="CB148" s="17">
        <f t="shared" si="98"/>
        <v>339</v>
      </c>
      <c r="CC148" s="17">
        <f t="shared" si="99"/>
        <v>38</v>
      </c>
      <c r="CD148" s="17">
        <f t="shared" si="100"/>
        <v>36</v>
      </c>
      <c r="CE148" s="17">
        <f t="shared" si="101"/>
        <v>59</v>
      </c>
      <c r="CF148" s="17">
        <f t="shared" si="102"/>
        <v>47</v>
      </c>
      <c r="CG148" s="17">
        <f t="shared" si="103"/>
        <v>43</v>
      </c>
      <c r="CH148" s="17">
        <f t="shared" si="104"/>
        <v>49</v>
      </c>
      <c r="CI148" s="17">
        <f t="shared" si="105"/>
        <v>20</v>
      </c>
      <c r="CJ148" s="17">
        <f t="shared" si="106"/>
        <v>26</v>
      </c>
      <c r="CK148" s="17">
        <f t="shared" si="107"/>
        <v>23</v>
      </c>
      <c r="CL148" s="17">
        <f t="shared" si="108"/>
        <v>28</v>
      </c>
      <c r="CM148" s="17">
        <f t="shared" si="109"/>
        <v>28</v>
      </c>
      <c r="CN148" s="17">
        <f t="shared" si="110"/>
        <v>30</v>
      </c>
      <c r="CO148" s="17">
        <f t="shared" si="111"/>
        <v>16</v>
      </c>
      <c r="CP148" s="17">
        <f t="shared" si="112"/>
        <v>21</v>
      </c>
      <c r="CQ148" s="17">
        <f t="shared" si="113"/>
        <v>23</v>
      </c>
      <c r="CR148" s="17">
        <f t="shared" si="114"/>
        <v>6</v>
      </c>
      <c r="CS148" s="17">
        <f t="shared" si="115"/>
        <v>17</v>
      </c>
      <c r="CT148" s="17">
        <f t="shared" si="116"/>
        <v>3</v>
      </c>
      <c r="CU148" s="17">
        <f t="shared" si="117"/>
        <v>18</v>
      </c>
      <c r="CV148" s="17">
        <f t="shared" si="118"/>
        <v>24</v>
      </c>
      <c r="CW148" s="17">
        <f t="shared" si="119"/>
        <v>4</v>
      </c>
      <c r="CX148" s="17">
        <f t="shared" si="120"/>
        <v>11</v>
      </c>
      <c r="CY148" s="17">
        <f t="shared" si="120"/>
        <v>-909</v>
      </c>
      <c r="CZ148" s="17">
        <f t="shared" si="120"/>
        <v>0</v>
      </c>
      <c r="DA148" s="17">
        <f t="shared" si="120"/>
        <v>0</v>
      </c>
      <c r="DB148" s="17">
        <f t="shared" si="120"/>
        <v>0</v>
      </c>
      <c r="DC148" s="17">
        <f t="shared" si="120"/>
        <v>0</v>
      </c>
      <c r="DD148" s="17">
        <f t="shared" si="120"/>
        <v>0</v>
      </c>
      <c r="DE148" s="17">
        <f t="shared" si="120"/>
        <v>0</v>
      </c>
      <c r="DF148" s="17">
        <f t="shared" si="120"/>
        <v>0</v>
      </c>
      <c r="DG148" s="17">
        <f t="shared" si="120"/>
        <v>0</v>
      </c>
      <c r="DH148" s="17">
        <f t="shared" si="120"/>
        <v>0</v>
      </c>
      <c r="DI148" s="17">
        <f t="shared" si="120"/>
        <v>0</v>
      </c>
    </row>
    <row r="149" spans="1:113" ht="15.75" x14ac:dyDescent="0.25">
      <c r="A149" s="4" t="s">
        <v>287</v>
      </c>
      <c r="B149" s="6" t="s">
        <v>288</v>
      </c>
      <c r="H149" s="90">
        <f>'Combined data'!H149</f>
        <v>260</v>
      </c>
      <c r="I149" s="90">
        <f>'Combined data'!I149-'Combined data'!H149</f>
        <v>27</v>
      </c>
      <c r="J149" s="90">
        <f>'Combined data'!J149-'Combined data'!I149</f>
        <v>30</v>
      </c>
      <c r="K149" s="90">
        <f>'Combined data'!K149-'Combined data'!J149</f>
        <v>19</v>
      </c>
      <c r="L149" s="90">
        <f>'Combined data'!L149-'Combined data'!K149</f>
        <v>13</v>
      </c>
      <c r="M149" s="90">
        <f>'Combined data'!M149-'Combined data'!L149</f>
        <v>6</v>
      </c>
      <c r="N149" s="90">
        <f>'Combined data'!N149-'Combined data'!M149</f>
        <v>21</v>
      </c>
      <c r="O149" s="90">
        <f>'Combined data'!O149-'Combined data'!N149</f>
        <v>18</v>
      </c>
      <c r="P149" s="90">
        <f>'Combined data'!P149-'Combined data'!O149</f>
        <v>19</v>
      </c>
      <c r="Q149" s="90">
        <f>'Combined data'!Q149-'Combined data'!P149</f>
        <v>9</v>
      </c>
      <c r="R149" s="90">
        <f>'Combined data'!R149-'Combined data'!Q149</f>
        <v>7</v>
      </c>
      <c r="S149" s="90">
        <f>'Combined data'!S149-'Combined data'!R149</f>
        <v>20</v>
      </c>
      <c r="T149" s="90">
        <f>'Combined data'!T149-'Combined data'!S149</f>
        <v>10</v>
      </c>
      <c r="U149" s="90">
        <f>'Combined data'!U149-'Combined data'!T149</f>
        <v>13</v>
      </c>
      <c r="V149" s="90">
        <f>'Combined data'!V149-'Combined data'!U149</f>
        <v>9</v>
      </c>
      <c r="W149" s="90">
        <f>'Combined data'!W149-'Combined data'!V149</f>
        <v>0</v>
      </c>
      <c r="X149" s="90">
        <f>'Combined data'!X149-'Combined data'!W149</f>
        <v>4</v>
      </c>
      <c r="Y149" s="90">
        <f>'Combined data'!Y149-'Combined data'!X149</f>
        <v>8</v>
      </c>
      <c r="Z149" s="90">
        <f>'Combined data'!Z149-'Combined data'!Y149</f>
        <v>9</v>
      </c>
      <c r="AA149" s="90">
        <f>'Combined data'!AA149-'Combined data'!Z149</f>
        <v>6</v>
      </c>
      <c r="AB149" s="90">
        <f>'Combined data'!AB149-'Combined data'!AA149</f>
        <v>0</v>
      </c>
      <c r="AC149" s="90">
        <f>'Combined data'!AC149-'Combined data'!AB149</f>
        <v>-1</v>
      </c>
      <c r="AD149" s="90">
        <f>'Combined data'!AD149-'Combined data'!AC149</f>
        <v>9</v>
      </c>
      <c r="AE149" s="90">
        <f>'Combined data'!AE149-'Combined data'!AD149</f>
        <v>-516</v>
      </c>
      <c r="AF149" s="90">
        <f>'Combined data'!AF149-'Combined data'!AE149</f>
        <v>0</v>
      </c>
      <c r="AG149" s="90">
        <f>'Combined data'!AG149-'Combined data'!AF149</f>
        <v>0</v>
      </c>
      <c r="AH149" s="90">
        <f>'Combined data'!AH149-'Combined data'!AG149</f>
        <v>0</v>
      </c>
      <c r="AI149" s="90">
        <f>'Combined data'!AI149-'Combined data'!AH149</f>
        <v>0</v>
      </c>
      <c r="AJ149" s="90">
        <f>'Combined data'!AJ149-'Combined data'!AI149</f>
        <v>0</v>
      </c>
      <c r="AK149" s="90">
        <f>'Combined data'!AK149-'Combined data'!AJ149</f>
        <v>0</v>
      </c>
      <c r="AL149" s="90">
        <f>'Combined data'!AL149-'Combined data'!AK149</f>
        <v>0</v>
      </c>
      <c r="AM149" s="90">
        <f>'Combined data'!AM149-'Combined data'!AL149</f>
        <v>0</v>
      </c>
      <c r="AN149" s="90">
        <f>'Combined data'!AN149-'Combined data'!AM149</f>
        <v>0</v>
      </c>
      <c r="AO149" s="90">
        <f>'Combined data'!AO149-'Combined data'!AN149</f>
        <v>0</v>
      </c>
      <c r="AP149" s="56">
        <f t="shared" si="121"/>
        <v>0</v>
      </c>
      <c r="AQ149" s="113"/>
      <c r="AR149" s="17">
        <f>'Combined data'!AR149</f>
        <v>133</v>
      </c>
      <c r="AS149" s="17">
        <f>'Combined data'!AS149-'Combined data'!AR149</f>
        <v>17</v>
      </c>
      <c r="AT149" s="17">
        <f>'Combined data'!AT149-'Combined data'!AS149</f>
        <v>22</v>
      </c>
      <c r="AU149" s="17">
        <f>'Combined data'!AU149-'Combined data'!AT149</f>
        <v>18</v>
      </c>
      <c r="AV149" s="17">
        <f>'Combined data'!AV149-'Combined data'!AU149</f>
        <v>8</v>
      </c>
      <c r="AW149" s="17">
        <f>'Combined data'!AW149-'Combined data'!AV149</f>
        <v>30</v>
      </c>
      <c r="AX149" s="17">
        <f>'Combined data'!AX149-'Combined data'!AW149</f>
        <v>46</v>
      </c>
      <c r="AY149" s="17">
        <f>'Combined data'!AY149-'Combined data'!AX149</f>
        <v>13</v>
      </c>
      <c r="AZ149" s="17">
        <f>'Combined data'!AZ149-'Combined data'!AY149</f>
        <v>12</v>
      </c>
      <c r="BA149" s="17">
        <f>'Combined data'!BA149-'Combined data'!AZ149</f>
        <v>13</v>
      </c>
      <c r="BB149" s="17">
        <f>'Combined data'!BB149-'Combined data'!BA149</f>
        <v>15</v>
      </c>
      <c r="BC149" s="17">
        <f>'Combined data'!BC149-'Combined data'!BB149</f>
        <v>9</v>
      </c>
      <c r="BD149" s="17">
        <f>'Combined data'!BD149-'Combined data'!BC149</f>
        <v>22</v>
      </c>
      <c r="BE149" s="17">
        <f>'Combined data'!BE149-'Combined data'!BD149</f>
        <v>17</v>
      </c>
      <c r="BF149" s="17">
        <f>'Combined data'!BF149-'Combined data'!BE149</f>
        <v>3</v>
      </c>
      <c r="BG149" s="17">
        <f>'Combined data'!BG149-'Combined data'!BF149</f>
        <v>7</v>
      </c>
      <c r="BH149" s="17">
        <f>'Combined data'!BH149-'Combined data'!BG149</f>
        <v>8</v>
      </c>
      <c r="BI149" s="17">
        <f>'Combined data'!BI149-'Combined data'!BH149</f>
        <v>8</v>
      </c>
      <c r="BJ149" s="17">
        <f>'Combined data'!BJ149-'Combined data'!BI149</f>
        <v>14</v>
      </c>
      <c r="BK149" s="17">
        <f>'Combined data'!BK149-'Combined data'!BJ149</f>
        <v>9</v>
      </c>
      <c r="BL149" s="17">
        <f>'Combined data'!BL149-'Combined data'!BK149</f>
        <v>3</v>
      </c>
      <c r="BM149" s="17">
        <f>'Combined data'!BM149-'Combined data'!BL149</f>
        <v>1</v>
      </c>
      <c r="BN149" s="17">
        <f>'Combined data'!BN149-'Combined data'!BM149</f>
        <v>3</v>
      </c>
      <c r="BO149" s="17">
        <f>'Combined data'!BO149-'Combined data'!BN149</f>
        <v>-431</v>
      </c>
      <c r="BP149" s="17">
        <f>'Combined data'!BP149-'Combined data'!BO149</f>
        <v>0</v>
      </c>
      <c r="BQ149" s="17">
        <f>'Combined data'!BQ149-'Combined data'!BP149</f>
        <v>0</v>
      </c>
      <c r="BR149" s="17">
        <f>'Combined data'!BR149-'Combined data'!BQ149</f>
        <v>0</v>
      </c>
      <c r="BS149" s="17">
        <f>'Combined data'!BS149-'Combined data'!BR149</f>
        <v>0</v>
      </c>
      <c r="BT149" s="17">
        <f>'Combined data'!BT149-'Combined data'!BS149</f>
        <v>0</v>
      </c>
      <c r="BU149" s="17">
        <f>'Combined data'!BU149-'Combined data'!BT149</f>
        <v>0</v>
      </c>
      <c r="BV149" s="17">
        <f>'Combined data'!BV149-'Combined data'!BU149</f>
        <v>0</v>
      </c>
      <c r="BW149" s="17">
        <f>'Combined data'!BW149-'Combined data'!BV149</f>
        <v>0</v>
      </c>
      <c r="BX149" s="17">
        <f>'Combined data'!BX149-'Combined data'!BW149</f>
        <v>0</v>
      </c>
      <c r="BY149" s="17">
        <f>'Combined data'!BY149-'Combined data'!BX149</f>
        <v>0</v>
      </c>
      <c r="CB149" s="17">
        <f t="shared" si="98"/>
        <v>133</v>
      </c>
      <c r="CC149" s="17">
        <f t="shared" si="99"/>
        <v>17</v>
      </c>
      <c r="CD149" s="17">
        <f t="shared" si="100"/>
        <v>22</v>
      </c>
      <c r="CE149" s="17">
        <f t="shared" si="101"/>
        <v>18</v>
      </c>
      <c r="CF149" s="17">
        <f t="shared" si="102"/>
        <v>8</v>
      </c>
      <c r="CG149" s="17">
        <f t="shared" si="103"/>
        <v>30</v>
      </c>
      <c r="CH149" s="17">
        <f t="shared" si="104"/>
        <v>46</v>
      </c>
      <c r="CI149" s="17">
        <f t="shared" si="105"/>
        <v>13</v>
      </c>
      <c r="CJ149" s="17">
        <f t="shared" si="106"/>
        <v>12</v>
      </c>
      <c r="CK149" s="17">
        <f t="shared" si="107"/>
        <v>13</v>
      </c>
      <c r="CL149" s="17">
        <f t="shared" si="108"/>
        <v>15</v>
      </c>
      <c r="CM149" s="17">
        <f t="shared" si="109"/>
        <v>9</v>
      </c>
      <c r="CN149" s="17">
        <f t="shared" si="110"/>
        <v>22</v>
      </c>
      <c r="CO149" s="17">
        <f t="shared" si="111"/>
        <v>17</v>
      </c>
      <c r="CP149" s="17">
        <f t="shared" si="112"/>
        <v>3</v>
      </c>
      <c r="CQ149" s="17">
        <f t="shared" si="113"/>
        <v>7</v>
      </c>
      <c r="CR149" s="17">
        <f t="shared" si="114"/>
        <v>8</v>
      </c>
      <c r="CS149" s="17">
        <f t="shared" si="115"/>
        <v>8</v>
      </c>
      <c r="CT149" s="17">
        <f t="shared" si="116"/>
        <v>14</v>
      </c>
      <c r="CU149" s="17">
        <f t="shared" si="117"/>
        <v>9</v>
      </c>
      <c r="CV149" s="17">
        <f t="shared" si="118"/>
        <v>3</v>
      </c>
      <c r="CW149" s="17">
        <f t="shared" si="119"/>
        <v>1</v>
      </c>
      <c r="CX149" s="17">
        <f t="shared" si="120"/>
        <v>3</v>
      </c>
      <c r="CY149" s="17">
        <f t="shared" si="120"/>
        <v>-431</v>
      </c>
      <c r="CZ149" s="17">
        <f t="shared" si="120"/>
        <v>0</v>
      </c>
      <c r="DA149" s="17">
        <f t="shared" si="120"/>
        <v>0</v>
      </c>
      <c r="DB149" s="17">
        <f t="shared" si="120"/>
        <v>0</v>
      </c>
      <c r="DC149" s="17">
        <f t="shared" si="120"/>
        <v>0</v>
      </c>
      <c r="DD149" s="17">
        <f t="shared" si="120"/>
        <v>0</v>
      </c>
      <c r="DE149" s="17">
        <f t="shared" si="120"/>
        <v>0</v>
      </c>
      <c r="DF149" s="17">
        <f t="shared" si="120"/>
        <v>0</v>
      </c>
      <c r="DG149" s="17">
        <f t="shared" si="120"/>
        <v>0</v>
      </c>
      <c r="DH149" s="17">
        <f t="shared" si="120"/>
        <v>0</v>
      </c>
      <c r="DI149" s="17">
        <f t="shared" si="120"/>
        <v>0</v>
      </c>
    </row>
    <row r="150" spans="1:113" ht="15.75" x14ac:dyDescent="0.25">
      <c r="A150" s="4" t="s">
        <v>289</v>
      </c>
      <c r="B150" s="6" t="s">
        <v>290</v>
      </c>
      <c r="H150" s="90">
        <f>'Combined data'!H150</f>
        <v>452</v>
      </c>
      <c r="I150" s="90">
        <f>'Combined data'!I150-'Combined data'!H150</f>
        <v>34</v>
      </c>
      <c r="J150" s="90">
        <f>'Combined data'!J150-'Combined data'!I150</f>
        <v>18</v>
      </c>
      <c r="K150" s="90">
        <f>'Combined data'!K150-'Combined data'!J150</f>
        <v>32</v>
      </c>
      <c r="L150" s="90">
        <f>'Combined data'!L150-'Combined data'!K150</f>
        <v>16</v>
      </c>
      <c r="M150" s="90">
        <f>'Combined data'!M150-'Combined data'!L150</f>
        <v>15</v>
      </c>
      <c r="N150" s="90">
        <f>'Combined data'!N150-'Combined data'!M150</f>
        <v>28</v>
      </c>
      <c r="O150" s="90">
        <f>'Combined data'!O150-'Combined data'!N150</f>
        <v>9</v>
      </c>
      <c r="P150" s="90">
        <f>'Combined data'!P150-'Combined data'!O150</f>
        <v>12</v>
      </c>
      <c r="Q150" s="90">
        <f>'Combined data'!Q150-'Combined data'!P150</f>
        <v>27</v>
      </c>
      <c r="R150" s="90">
        <f>'Combined data'!R150-'Combined data'!Q150</f>
        <v>3</v>
      </c>
      <c r="S150" s="90">
        <f>'Combined data'!S150-'Combined data'!R150</f>
        <v>11</v>
      </c>
      <c r="T150" s="90">
        <f>'Combined data'!T150-'Combined data'!S150</f>
        <v>5</v>
      </c>
      <c r="U150" s="90">
        <f>'Combined data'!U150-'Combined data'!T150</f>
        <v>10</v>
      </c>
      <c r="V150" s="90">
        <f>'Combined data'!V150-'Combined data'!U150</f>
        <v>9</v>
      </c>
      <c r="W150" s="90">
        <f>'Combined data'!W150-'Combined data'!V150</f>
        <v>17</v>
      </c>
      <c r="X150" s="90">
        <f>'Combined data'!X150-'Combined data'!W150</f>
        <v>12</v>
      </c>
      <c r="Y150" s="90">
        <f>'Combined data'!Y150-'Combined data'!X150</f>
        <v>12</v>
      </c>
      <c r="Z150" s="90">
        <f>'Combined data'!Z150-'Combined data'!Y150</f>
        <v>9</v>
      </c>
      <c r="AA150" s="90">
        <f>'Combined data'!AA150-'Combined data'!Z150</f>
        <v>7</v>
      </c>
      <c r="AB150" s="90">
        <f>'Combined data'!AB150-'Combined data'!AA150</f>
        <v>6</v>
      </c>
      <c r="AC150" s="90">
        <f>'Combined data'!AC150-'Combined data'!AB150</f>
        <v>-1</v>
      </c>
      <c r="AD150" s="90">
        <f>'Combined data'!AD150-'Combined data'!AC150</f>
        <v>23</v>
      </c>
      <c r="AE150" s="90">
        <f>'Combined data'!AE150-'Combined data'!AD150</f>
        <v>-766</v>
      </c>
      <c r="AF150" s="90">
        <f>'Combined data'!AF150-'Combined data'!AE150</f>
        <v>0</v>
      </c>
      <c r="AG150" s="90">
        <f>'Combined data'!AG150-'Combined data'!AF150</f>
        <v>0</v>
      </c>
      <c r="AH150" s="90">
        <f>'Combined data'!AH150-'Combined data'!AG150</f>
        <v>0</v>
      </c>
      <c r="AI150" s="90">
        <f>'Combined data'!AI150-'Combined data'!AH150</f>
        <v>0</v>
      </c>
      <c r="AJ150" s="90">
        <f>'Combined data'!AJ150-'Combined data'!AI150</f>
        <v>0</v>
      </c>
      <c r="AK150" s="90">
        <f>'Combined data'!AK150-'Combined data'!AJ150</f>
        <v>0</v>
      </c>
      <c r="AL150" s="90">
        <f>'Combined data'!AL150-'Combined data'!AK150</f>
        <v>0</v>
      </c>
      <c r="AM150" s="90">
        <f>'Combined data'!AM150-'Combined data'!AL150</f>
        <v>0</v>
      </c>
      <c r="AN150" s="90">
        <f>'Combined data'!AN150-'Combined data'!AM150</f>
        <v>0</v>
      </c>
      <c r="AO150" s="90">
        <f>'Combined data'!AO150-'Combined data'!AN150</f>
        <v>0</v>
      </c>
      <c r="AP150" s="56">
        <f t="shared" si="121"/>
        <v>0</v>
      </c>
      <c r="AQ150" s="113"/>
      <c r="AR150" s="17">
        <f>'Combined data'!AR150</f>
        <v>194</v>
      </c>
      <c r="AS150" s="17">
        <f>'Combined data'!AS150-'Combined data'!AR150</f>
        <v>98</v>
      </c>
      <c r="AT150" s="17">
        <f>'Combined data'!AT150-'Combined data'!AS150</f>
        <v>27</v>
      </c>
      <c r="AU150" s="17">
        <f>'Combined data'!AU150-'Combined data'!AT150</f>
        <v>49</v>
      </c>
      <c r="AV150" s="17">
        <f>'Combined data'!AV150-'Combined data'!AU150</f>
        <v>28</v>
      </c>
      <c r="AW150" s="17">
        <f>'Combined data'!AW150-'Combined data'!AV150</f>
        <v>31</v>
      </c>
      <c r="AX150" s="17">
        <f>'Combined data'!AX150-'Combined data'!AW150</f>
        <v>13</v>
      </c>
      <c r="AY150" s="17">
        <f>'Combined data'!AY150-'Combined data'!AX150</f>
        <v>12</v>
      </c>
      <c r="AZ150" s="17">
        <f>'Combined data'!AZ150-'Combined data'!AY150</f>
        <v>17</v>
      </c>
      <c r="BA150" s="17">
        <f>'Combined data'!BA150-'Combined data'!AZ150</f>
        <v>12</v>
      </c>
      <c r="BB150" s="17">
        <f>'Combined data'!BB150-'Combined data'!BA150</f>
        <v>30</v>
      </c>
      <c r="BC150" s="17">
        <f>'Combined data'!BC150-'Combined data'!BB150</f>
        <v>8</v>
      </c>
      <c r="BD150" s="17">
        <f>'Combined data'!BD150-'Combined data'!BC150</f>
        <v>12</v>
      </c>
      <c r="BE150" s="17">
        <f>'Combined data'!BE150-'Combined data'!BD150</f>
        <v>3</v>
      </c>
      <c r="BF150" s="17">
        <f>'Combined data'!BF150-'Combined data'!BE150</f>
        <v>5</v>
      </c>
      <c r="BG150" s="17">
        <f>'Combined data'!BG150-'Combined data'!BF150</f>
        <v>10</v>
      </c>
      <c r="BH150" s="17">
        <f>'Combined data'!BH150-'Combined data'!BG150</f>
        <v>17</v>
      </c>
      <c r="BI150" s="17">
        <f>'Combined data'!BI150-'Combined data'!BH150</f>
        <v>5</v>
      </c>
      <c r="BJ150" s="17">
        <f>'Combined data'!BJ150-'Combined data'!BI150</f>
        <v>6</v>
      </c>
      <c r="BK150" s="17">
        <f>'Combined data'!BK150-'Combined data'!BJ150</f>
        <v>9</v>
      </c>
      <c r="BL150" s="17">
        <f>'Combined data'!BL150-'Combined data'!BK150</f>
        <v>22</v>
      </c>
      <c r="BM150" s="17">
        <f>'Combined data'!BM150-'Combined data'!BL150</f>
        <v>6</v>
      </c>
      <c r="BN150" s="17">
        <f>'Combined data'!BN150-'Combined data'!BM150</f>
        <v>3</v>
      </c>
      <c r="BO150" s="17">
        <f>'Combined data'!BO150-'Combined data'!BN150</f>
        <v>-617</v>
      </c>
      <c r="BP150" s="17">
        <f>'Combined data'!BP150-'Combined data'!BO150</f>
        <v>0</v>
      </c>
      <c r="BQ150" s="17">
        <f>'Combined data'!BQ150-'Combined data'!BP150</f>
        <v>0</v>
      </c>
      <c r="BR150" s="17">
        <f>'Combined data'!BR150-'Combined data'!BQ150</f>
        <v>0</v>
      </c>
      <c r="BS150" s="17">
        <f>'Combined data'!BS150-'Combined data'!BR150</f>
        <v>0</v>
      </c>
      <c r="BT150" s="17">
        <f>'Combined data'!BT150-'Combined data'!BS150</f>
        <v>0</v>
      </c>
      <c r="BU150" s="17">
        <f>'Combined data'!BU150-'Combined data'!BT150</f>
        <v>0</v>
      </c>
      <c r="BV150" s="17">
        <f>'Combined data'!BV150-'Combined data'!BU150</f>
        <v>0</v>
      </c>
      <c r="BW150" s="17">
        <f>'Combined data'!BW150-'Combined data'!BV150</f>
        <v>0</v>
      </c>
      <c r="BX150" s="17">
        <f>'Combined data'!BX150-'Combined data'!BW150</f>
        <v>0</v>
      </c>
      <c r="BY150" s="17">
        <f>'Combined data'!BY150-'Combined data'!BX150</f>
        <v>0</v>
      </c>
      <c r="CB150" s="17">
        <f t="shared" si="98"/>
        <v>194</v>
      </c>
      <c r="CC150" s="17">
        <f t="shared" si="99"/>
        <v>98</v>
      </c>
      <c r="CD150" s="17">
        <f t="shared" si="100"/>
        <v>27</v>
      </c>
      <c r="CE150" s="17">
        <f t="shared" si="101"/>
        <v>49</v>
      </c>
      <c r="CF150" s="17">
        <f t="shared" si="102"/>
        <v>28</v>
      </c>
      <c r="CG150" s="17">
        <f t="shared" si="103"/>
        <v>31</v>
      </c>
      <c r="CH150" s="17">
        <f t="shared" si="104"/>
        <v>13</v>
      </c>
      <c r="CI150" s="17">
        <f t="shared" si="105"/>
        <v>12</v>
      </c>
      <c r="CJ150" s="17">
        <f t="shared" si="106"/>
        <v>17</v>
      </c>
      <c r="CK150" s="17">
        <f t="shared" si="107"/>
        <v>12</v>
      </c>
      <c r="CL150" s="17">
        <f t="shared" si="108"/>
        <v>30</v>
      </c>
      <c r="CM150" s="17">
        <f t="shared" si="109"/>
        <v>8</v>
      </c>
      <c r="CN150" s="17">
        <f t="shared" si="110"/>
        <v>12</v>
      </c>
      <c r="CO150" s="17">
        <f t="shared" si="111"/>
        <v>3</v>
      </c>
      <c r="CP150" s="17">
        <f t="shared" si="112"/>
        <v>5</v>
      </c>
      <c r="CQ150" s="17">
        <f t="shared" si="113"/>
        <v>10</v>
      </c>
      <c r="CR150" s="17">
        <f t="shared" si="114"/>
        <v>17</v>
      </c>
      <c r="CS150" s="17">
        <f t="shared" si="115"/>
        <v>5</v>
      </c>
      <c r="CT150" s="17">
        <f t="shared" si="116"/>
        <v>6</v>
      </c>
      <c r="CU150" s="17">
        <f t="shared" si="117"/>
        <v>9</v>
      </c>
      <c r="CV150" s="17">
        <f t="shared" si="118"/>
        <v>22</v>
      </c>
      <c r="CW150" s="17">
        <f t="shared" si="119"/>
        <v>6</v>
      </c>
      <c r="CX150" s="17">
        <f t="shared" si="120"/>
        <v>3</v>
      </c>
      <c r="CY150" s="17">
        <f t="shared" si="120"/>
        <v>-617</v>
      </c>
      <c r="CZ150" s="17">
        <f t="shared" si="120"/>
        <v>0</v>
      </c>
      <c r="DA150" s="17">
        <f t="shared" si="120"/>
        <v>0</v>
      </c>
      <c r="DB150" s="17">
        <f t="shared" si="120"/>
        <v>0</v>
      </c>
      <c r="DC150" s="17">
        <f t="shared" si="120"/>
        <v>0</v>
      </c>
      <c r="DD150" s="17">
        <f t="shared" si="120"/>
        <v>0</v>
      </c>
      <c r="DE150" s="17">
        <f t="shared" si="120"/>
        <v>0</v>
      </c>
      <c r="DF150" s="17">
        <f t="shared" si="120"/>
        <v>0</v>
      </c>
      <c r="DG150" s="17">
        <f t="shared" si="120"/>
        <v>0</v>
      </c>
      <c r="DH150" s="17">
        <f t="shared" si="120"/>
        <v>0</v>
      </c>
      <c r="DI150" s="17">
        <f t="shared" si="120"/>
        <v>0</v>
      </c>
    </row>
    <row r="151" spans="1:113" ht="15.75" x14ac:dyDescent="0.25">
      <c r="A151" s="4" t="s">
        <v>291</v>
      </c>
      <c r="B151" s="6" t="s">
        <v>292</v>
      </c>
      <c r="H151" s="90">
        <f>'Combined data'!H151</f>
        <v>1316</v>
      </c>
      <c r="I151" s="90">
        <f>'Combined data'!I151-'Combined data'!H151</f>
        <v>96</v>
      </c>
      <c r="J151" s="90">
        <f>'Combined data'!J151-'Combined data'!I151</f>
        <v>76</v>
      </c>
      <c r="K151" s="90">
        <f>'Combined data'!K151-'Combined data'!J151</f>
        <v>133</v>
      </c>
      <c r="L151" s="90">
        <f>'Combined data'!L151-'Combined data'!K151</f>
        <v>39</v>
      </c>
      <c r="M151" s="90">
        <f>'Combined data'!M151-'Combined data'!L151</f>
        <v>35</v>
      </c>
      <c r="N151" s="90">
        <f>'Combined data'!N151-'Combined data'!M151</f>
        <v>94</v>
      </c>
      <c r="O151" s="90">
        <f>'Combined data'!O151-'Combined data'!N151</f>
        <v>48</v>
      </c>
      <c r="P151" s="90">
        <f>'Combined data'!P151-'Combined data'!O151</f>
        <v>63</v>
      </c>
      <c r="Q151" s="90">
        <f>'Combined data'!Q151-'Combined data'!P151</f>
        <v>42</v>
      </c>
      <c r="R151" s="90">
        <f>'Combined data'!R151-'Combined data'!Q151</f>
        <v>12</v>
      </c>
      <c r="S151" s="90">
        <f>'Combined data'!S151-'Combined data'!R151</f>
        <v>40</v>
      </c>
      <c r="T151" s="90">
        <f>'Combined data'!T151-'Combined data'!S151</f>
        <v>24</v>
      </c>
      <c r="U151" s="90">
        <f>'Combined data'!U151-'Combined data'!T151</f>
        <v>24</v>
      </c>
      <c r="V151" s="90">
        <f>'Combined data'!V151-'Combined data'!U151</f>
        <v>23</v>
      </c>
      <c r="W151" s="90">
        <f>'Combined data'!W151-'Combined data'!V151</f>
        <v>17</v>
      </c>
      <c r="X151" s="90">
        <f>'Combined data'!X151-'Combined data'!W151</f>
        <v>11</v>
      </c>
      <c r="Y151" s="90">
        <f>'Combined data'!Y151-'Combined data'!X151</f>
        <v>15</v>
      </c>
      <c r="Z151" s="90">
        <f>'Combined data'!Z151-'Combined data'!Y151</f>
        <v>19</v>
      </c>
      <c r="AA151" s="90">
        <f>'Combined data'!AA151-'Combined data'!Z151</f>
        <v>9</v>
      </c>
      <c r="AB151" s="90">
        <f>'Combined data'!AB151-'Combined data'!AA151</f>
        <v>11</v>
      </c>
      <c r="AC151" s="90">
        <f>'Combined data'!AC151-'Combined data'!AB151</f>
        <v>1</v>
      </c>
      <c r="AD151" s="90">
        <f>'Combined data'!AD151-'Combined data'!AC151</f>
        <v>25</v>
      </c>
      <c r="AE151" s="90">
        <f>'Combined data'!AE151-'Combined data'!AD151</f>
        <v>-2173</v>
      </c>
      <c r="AF151" s="90">
        <f>'Combined data'!AF151-'Combined data'!AE151</f>
        <v>0</v>
      </c>
      <c r="AG151" s="90">
        <f>'Combined data'!AG151-'Combined data'!AF151</f>
        <v>0</v>
      </c>
      <c r="AH151" s="90">
        <f>'Combined data'!AH151-'Combined data'!AG151</f>
        <v>0</v>
      </c>
      <c r="AI151" s="90">
        <f>'Combined data'!AI151-'Combined data'!AH151</f>
        <v>0</v>
      </c>
      <c r="AJ151" s="90">
        <f>'Combined data'!AJ151-'Combined data'!AI151</f>
        <v>0</v>
      </c>
      <c r="AK151" s="90">
        <f>'Combined data'!AK151-'Combined data'!AJ151</f>
        <v>0</v>
      </c>
      <c r="AL151" s="90">
        <f>'Combined data'!AL151-'Combined data'!AK151</f>
        <v>0</v>
      </c>
      <c r="AM151" s="90">
        <f>'Combined data'!AM151-'Combined data'!AL151</f>
        <v>0</v>
      </c>
      <c r="AN151" s="90">
        <f>'Combined data'!AN151-'Combined data'!AM151</f>
        <v>0</v>
      </c>
      <c r="AO151" s="90">
        <f>'Combined data'!AO151-'Combined data'!AN151</f>
        <v>0</v>
      </c>
      <c r="AP151" s="56">
        <f t="shared" si="121"/>
        <v>0</v>
      </c>
      <c r="AQ151" s="113"/>
      <c r="AR151" s="17">
        <f>'Combined data'!AR151</f>
        <v>657</v>
      </c>
      <c r="AS151" s="17">
        <f>'Combined data'!AS151-'Combined data'!AR151</f>
        <v>152</v>
      </c>
      <c r="AT151" s="17">
        <f>'Combined data'!AT151-'Combined data'!AS151</f>
        <v>100</v>
      </c>
      <c r="AU151" s="17">
        <f>'Combined data'!AU151-'Combined data'!AT151</f>
        <v>124</v>
      </c>
      <c r="AV151" s="17">
        <f>'Combined data'!AV151-'Combined data'!AU151</f>
        <v>68</v>
      </c>
      <c r="AW151" s="17">
        <f>'Combined data'!AW151-'Combined data'!AV151</f>
        <v>63</v>
      </c>
      <c r="AX151" s="17">
        <f>'Combined data'!AX151-'Combined data'!AW151</f>
        <v>94</v>
      </c>
      <c r="AY151" s="17">
        <f>'Combined data'!AY151-'Combined data'!AX151</f>
        <v>76</v>
      </c>
      <c r="AZ151" s="17">
        <f>'Combined data'!AZ151-'Combined data'!AY151</f>
        <v>66</v>
      </c>
      <c r="BA151" s="17">
        <f>'Combined data'!BA151-'Combined data'!AZ151</f>
        <v>54</v>
      </c>
      <c r="BB151" s="17">
        <f>'Combined data'!BB151-'Combined data'!BA151</f>
        <v>42</v>
      </c>
      <c r="BC151" s="17">
        <f>'Combined data'!BC151-'Combined data'!BB151</f>
        <v>60</v>
      </c>
      <c r="BD151" s="17">
        <f>'Combined data'!BD151-'Combined data'!BC151</f>
        <v>37</v>
      </c>
      <c r="BE151" s="17">
        <f>'Combined data'!BE151-'Combined data'!BD151</f>
        <v>41</v>
      </c>
      <c r="BF151" s="17">
        <f>'Combined data'!BF151-'Combined data'!BE151</f>
        <v>29</v>
      </c>
      <c r="BG151" s="17">
        <f>'Combined data'!BG151-'Combined data'!BF151</f>
        <v>21</v>
      </c>
      <c r="BH151" s="17">
        <f>'Combined data'!BH151-'Combined data'!BG151</f>
        <v>28</v>
      </c>
      <c r="BI151" s="17">
        <f>'Combined data'!BI151-'Combined data'!BH151</f>
        <v>21</v>
      </c>
      <c r="BJ151" s="17">
        <f>'Combined data'!BJ151-'Combined data'!BI151</f>
        <v>16</v>
      </c>
      <c r="BK151" s="17">
        <f>'Combined data'!BK151-'Combined data'!BJ151</f>
        <v>21</v>
      </c>
      <c r="BL151" s="17">
        <f>'Combined data'!BL151-'Combined data'!BK151</f>
        <v>38</v>
      </c>
      <c r="BM151" s="17">
        <f>'Combined data'!BM151-'Combined data'!BL151</f>
        <v>-5</v>
      </c>
      <c r="BN151" s="17">
        <f>'Combined data'!BN151-'Combined data'!BM151</f>
        <v>22</v>
      </c>
      <c r="BO151" s="17">
        <f>'Combined data'!BO151-'Combined data'!BN151</f>
        <v>-1825</v>
      </c>
      <c r="BP151" s="17">
        <f>'Combined data'!BP151-'Combined data'!BO151</f>
        <v>0</v>
      </c>
      <c r="BQ151" s="17">
        <f>'Combined data'!BQ151-'Combined data'!BP151</f>
        <v>0</v>
      </c>
      <c r="BR151" s="17">
        <f>'Combined data'!BR151-'Combined data'!BQ151</f>
        <v>0</v>
      </c>
      <c r="BS151" s="17">
        <f>'Combined data'!BS151-'Combined data'!BR151</f>
        <v>0</v>
      </c>
      <c r="BT151" s="17">
        <f>'Combined data'!BT151-'Combined data'!BS151</f>
        <v>0</v>
      </c>
      <c r="BU151" s="17">
        <f>'Combined data'!BU151-'Combined data'!BT151</f>
        <v>0</v>
      </c>
      <c r="BV151" s="17">
        <f>'Combined data'!BV151-'Combined data'!BU151</f>
        <v>0</v>
      </c>
      <c r="BW151" s="17">
        <f>'Combined data'!BW151-'Combined data'!BV151</f>
        <v>0</v>
      </c>
      <c r="BX151" s="17">
        <f>'Combined data'!BX151-'Combined data'!BW151</f>
        <v>0</v>
      </c>
      <c r="BY151" s="17">
        <f>'Combined data'!BY151-'Combined data'!BX151</f>
        <v>0</v>
      </c>
      <c r="CB151" s="17">
        <f t="shared" si="98"/>
        <v>657</v>
      </c>
      <c r="CC151" s="17">
        <f t="shared" si="99"/>
        <v>152</v>
      </c>
      <c r="CD151" s="17">
        <f t="shared" si="100"/>
        <v>100</v>
      </c>
      <c r="CE151" s="17">
        <f t="shared" si="101"/>
        <v>124</v>
      </c>
      <c r="CF151" s="17">
        <f t="shared" si="102"/>
        <v>68</v>
      </c>
      <c r="CG151" s="17">
        <f t="shared" si="103"/>
        <v>63</v>
      </c>
      <c r="CH151" s="17">
        <f t="shared" si="104"/>
        <v>94</v>
      </c>
      <c r="CI151" s="17">
        <f t="shared" si="105"/>
        <v>76</v>
      </c>
      <c r="CJ151" s="17">
        <f t="shared" si="106"/>
        <v>66</v>
      </c>
      <c r="CK151" s="17">
        <f t="shared" si="107"/>
        <v>54</v>
      </c>
      <c r="CL151" s="17">
        <f t="shared" si="108"/>
        <v>42</v>
      </c>
      <c r="CM151" s="17">
        <f t="shared" si="109"/>
        <v>60</v>
      </c>
      <c r="CN151" s="17">
        <f t="shared" si="110"/>
        <v>37</v>
      </c>
      <c r="CO151" s="17">
        <f t="shared" si="111"/>
        <v>41</v>
      </c>
      <c r="CP151" s="17">
        <f t="shared" si="112"/>
        <v>29</v>
      </c>
      <c r="CQ151" s="17">
        <f t="shared" si="113"/>
        <v>21</v>
      </c>
      <c r="CR151" s="17">
        <f t="shared" si="114"/>
        <v>28</v>
      </c>
      <c r="CS151" s="17">
        <f t="shared" si="115"/>
        <v>21</v>
      </c>
      <c r="CT151" s="17">
        <f t="shared" si="116"/>
        <v>16</v>
      </c>
      <c r="CU151" s="17">
        <f t="shared" si="117"/>
        <v>21</v>
      </c>
      <c r="CV151" s="17">
        <f t="shared" si="118"/>
        <v>38</v>
      </c>
      <c r="CW151" s="17">
        <f t="shared" si="119"/>
        <v>-5</v>
      </c>
      <c r="CX151" s="17">
        <f t="shared" si="120"/>
        <v>22</v>
      </c>
      <c r="CY151" s="17">
        <f t="shared" si="120"/>
        <v>-1825</v>
      </c>
      <c r="CZ151" s="17">
        <f t="shared" si="120"/>
        <v>0</v>
      </c>
      <c r="DA151" s="17">
        <f t="shared" si="120"/>
        <v>0</v>
      </c>
      <c r="DB151" s="17">
        <f t="shared" si="120"/>
        <v>0</v>
      </c>
      <c r="DC151" s="17">
        <f t="shared" si="120"/>
        <v>0</v>
      </c>
      <c r="DD151" s="17">
        <f t="shared" si="120"/>
        <v>0</v>
      </c>
      <c r="DE151" s="17">
        <f t="shared" si="120"/>
        <v>0</v>
      </c>
      <c r="DF151" s="17">
        <f t="shared" si="120"/>
        <v>0</v>
      </c>
      <c r="DG151" s="17">
        <f t="shared" si="120"/>
        <v>0</v>
      </c>
      <c r="DH151" s="17">
        <f t="shared" si="120"/>
        <v>0</v>
      </c>
      <c r="DI151" s="17">
        <f t="shared" si="120"/>
        <v>0</v>
      </c>
    </row>
    <row r="152" spans="1:113" ht="15.75" x14ac:dyDescent="0.25">
      <c r="A152" s="4" t="s">
        <v>293</v>
      </c>
      <c r="B152" s="6" t="s">
        <v>294</v>
      </c>
      <c r="H152" s="90">
        <f>'Combined data'!H152</f>
        <v>387</v>
      </c>
      <c r="I152" s="90">
        <f>'Combined data'!I152-'Combined data'!H152</f>
        <v>28</v>
      </c>
      <c r="J152" s="90">
        <f>'Combined data'!J152-'Combined data'!I152</f>
        <v>16</v>
      </c>
      <c r="K152" s="90">
        <f>'Combined data'!K152-'Combined data'!J152</f>
        <v>20</v>
      </c>
      <c r="L152" s="90">
        <f>'Combined data'!L152-'Combined data'!K152</f>
        <v>7</v>
      </c>
      <c r="M152" s="90">
        <f>'Combined data'!M152-'Combined data'!L152</f>
        <v>14</v>
      </c>
      <c r="N152" s="90">
        <f>'Combined data'!N152-'Combined data'!M152</f>
        <v>32</v>
      </c>
      <c r="O152" s="90">
        <f>'Combined data'!O152-'Combined data'!N152</f>
        <v>21</v>
      </c>
      <c r="P152" s="90">
        <f>'Combined data'!P152-'Combined data'!O152</f>
        <v>17</v>
      </c>
      <c r="Q152" s="90">
        <f>'Combined data'!Q152-'Combined data'!P152</f>
        <v>16</v>
      </c>
      <c r="R152" s="90">
        <f>'Combined data'!R152-'Combined data'!Q152</f>
        <v>9</v>
      </c>
      <c r="S152" s="90">
        <f>'Combined data'!S152-'Combined data'!R152</f>
        <v>20</v>
      </c>
      <c r="T152" s="90">
        <f>'Combined data'!T152-'Combined data'!S152</f>
        <v>30</v>
      </c>
      <c r="U152" s="90">
        <f>'Combined data'!U152-'Combined data'!T152</f>
        <v>18</v>
      </c>
      <c r="V152" s="90">
        <f>'Combined data'!V152-'Combined data'!U152</f>
        <v>16</v>
      </c>
      <c r="W152" s="90">
        <f>'Combined data'!W152-'Combined data'!V152</f>
        <v>13</v>
      </c>
      <c r="X152" s="90">
        <f>'Combined data'!X152-'Combined data'!W152</f>
        <v>8</v>
      </c>
      <c r="Y152" s="90">
        <f>'Combined data'!Y152-'Combined data'!X152</f>
        <v>18</v>
      </c>
      <c r="Z152" s="90">
        <f>'Combined data'!Z152-'Combined data'!Y152</f>
        <v>16</v>
      </c>
      <c r="AA152" s="90">
        <f>'Combined data'!AA152-'Combined data'!Z152</f>
        <v>16</v>
      </c>
      <c r="AB152" s="90">
        <f>'Combined data'!AB152-'Combined data'!AA152</f>
        <v>6</v>
      </c>
      <c r="AC152" s="90">
        <f>'Combined data'!AC152-'Combined data'!AB152</f>
        <v>2</v>
      </c>
      <c r="AD152" s="90">
        <f>'Combined data'!AD152-'Combined data'!AC152</f>
        <v>26</v>
      </c>
      <c r="AE152" s="90">
        <f>'Combined data'!AE152-'Combined data'!AD152</f>
        <v>-756</v>
      </c>
      <c r="AF152" s="90">
        <f>'Combined data'!AF152-'Combined data'!AE152</f>
        <v>0</v>
      </c>
      <c r="AG152" s="90">
        <f>'Combined data'!AG152-'Combined data'!AF152</f>
        <v>0</v>
      </c>
      <c r="AH152" s="90">
        <f>'Combined data'!AH152-'Combined data'!AG152</f>
        <v>0</v>
      </c>
      <c r="AI152" s="90">
        <f>'Combined data'!AI152-'Combined data'!AH152</f>
        <v>0</v>
      </c>
      <c r="AJ152" s="90">
        <f>'Combined data'!AJ152-'Combined data'!AI152</f>
        <v>0</v>
      </c>
      <c r="AK152" s="90">
        <f>'Combined data'!AK152-'Combined data'!AJ152</f>
        <v>0</v>
      </c>
      <c r="AL152" s="90">
        <f>'Combined data'!AL152-'Combined data'!AK152</f>
        <v>0</v>
      </c>
      <c r="AM152" s="90">
        <f>'Combined data'!AM152-'Combined data'!AL152</f>
        <v>0</v>
      </c>
      <c r="AN152" s="90">
        <f>'Combined data'!AN152-'Combined data'!AM152</f>
        <v>0</v>
      </c>
      <c r="AO152" s="90">
        <f>'Combined data'!AO152-'Combined data'!AN152</f>
        <v>0</v>
      </c>
      <c r="AP152" s="56">
        <f t="shared" si="121"/>
        <v>0</v>
      </c>
      <c r="AQ152" s="113"/>
      <c r="AR152" s="17">
        <f>'Combined data'!AR152</f>
        <v>171</v>
      </c>
      <c r="AS152" s="17">
        <f>'Combined data'!AS152-'Combined data'!AR152</f>
        <v>33</v>
      </c>
      <c r="AT152" s="17">
        <f>'Combined data'!AT152-'Combined data'!AS152</f>
        <v>17</v>
      </c>
      <c r="AU152" s="17">
        <f>'Combined data'!AU152-'Combined data'!AT152</f>
        <v>25</v>
      </c>
      <c r="AV152" s="17">
        <f>'Combined data'!AV152-'Combined data'!AU152</f>
        <v>16</v>
      </c>
      <c r="AW152" s="17">
        <f>'Combined data'!AW152-'Combined data'!AV152</f>
        <v>26</v>
      </c>
      <c r="AX152" s="17">
        <f>'Combined data'!AX152-'Combined data'!AW152</f>
        <v>27</v>
      </c>
      <c r="AY152" s="17">
        <f>'Combined data'!AY152-'Combined data'!AX152</f>
        <v>12</v>
      </c>
      <c r="AZ152" s="17">
        <f>'Combined data'!AZ152-'Combined data'!AY152</f>
        <v>19</v>
      </c>
      <c r="BA152" s="17">
        <f>'Combined data'!BA152-'Combined data'!AZ152</f>
        <v>16</v>
      </c>
      <c r="BB152" s="17">
        <f>'Combined data'!BB152-'Combined data'!BA152</f>
        <v>7</v>
      </c>
      <c r="BC152" s="17">
        <f>'Combined data'!BC152-'Combined data'!BB152</f>
        <v>15</v>
      </c>
      <c r="BD152" s="17">
        <f>'Combined data'!BD152-'Combined data'!BC152</f>
        <v>22</v>
      </c>
      <c r="BE152" s="17">
        <f>'Combined data'!BE152-'Combined data'!BD152</f>
        <v>18</v>
      </c>
      <c r="BF152" s="17">
        <f>'Combined data'!BF152-'Combined data'!BE152</f>
        <v>12</v>
      </c>
      <c r="BG152" s="17">
        <f>'Combined data'!BG152-'Combined data'!BF152</f>
        <v>7</v>
      </c>
      <c r="BH152" s="17">
        <f>'Combined data'!BH152-'Combined data'!BG152</f>
        <v>22</v>
      </c>
      <c r="BI152" s="17">
        <f>'Combined data'!BI152-'Combined data'!BH152</f>
        <v>9</v>
      </c>
      <c r="BJ152" s="17">
        <f>'Combined data'!BJ152-'Combined data'!BI152</f>
        <v>15</v>
      </c>
      <c r="BK152" s="17">
        <f>'Combined data'!BK152-'Combined data'!BJ152</f>
        <v>17</v>
      </c>
      <c r="BL152" s="17">
        <f>'Combined data'!BL152-'Combined data'!BK152</f>
        <v>18</v>
      </c>
      <c r="BM152" s="17">
        <f>'Combined data'!BM152-'Combined data'!BL152</f>
        <v>14</v>
      </c>
      <c r="BN152" s="17">
        <f>'Combined data'!BN152-'Combined data'!BM152</f>
        <v>6</v>
      </c>
      <c r="BO152" s="17">
        <f>'Combined data'!BO152-'Combined data'!BN152</f>
        <v>-544</v>
      </c>
      <c r="BP152" s="17">
        <f>'Combined data'!BP152-'Combined data'!BO152</f>
        <v>0</v>
      </c>
      <c r="BQ152" s="17">
        <f>'Combined data'!BQ152-'Combined data'!BP152</f>
        <v>0</v>
      </c>
      <c r="BR152" s="17">
        <f>'Combined data'!BR152-'Combined data'!BQ152</f>
        <v>0</v>
      </c>
      <c r="BS152" s="17">
        <f>'Combined data'!BS152-'Combined data'!BR152</f>
        <v>0</v>
      </c>
      <c r="BT152" s="17">
        <f>'Combined data'!BT152-'Combined data'!BS152</f>
        <v>0</v>
      </c>
      <c r="BU152" s="17">
        <f>'Combined data'!BU152-'Combined data'!BT152</f>
        <v>0</v>
      </c>
      <c r="BV152" s="17">
        <f>'Combined data'!BV152-'Combined data'!BU152</f>
        <v>0</v>
      </c>
      <c r="BW152" s="17">
        <f>'Combined data'!BW152-'Combined data'!BV152</f>
        <v>0</v>
      </c>
      <c r="BX152" s="17">
        <f>'Combined data'!BX152-'Combined data'!BW152</f>
        <v>0</v>
      </c>
      <c r="BY152" s="17">
        <f>'Combined data'!BY152-'Combined data'!BX152</f>
        <v>0</v>
      </c>
      <c r="CB152" s="17">
        <f t="shared" si="98"/>
        <v>171</v>
      </c>
      <c r="CC152" s="17">
        <f t="shared" si="99"/>
        <v>33</v>
      </c>
      <c r="CD152" s="17">
        <f t="shared" si="100"/>
        <v>17</v>
      </c>
      <c r="CE152" s="17">
        <f t="shared" si="101"/>
        <v>25</v>
      </c>
      <c r="CF152" s="17">
        <f t="shared" si="102"/>
        <v>16</v>
      </c>
      <c r="CG152" s="17">
        <f t="shared" si="103"/>
        <v>26</v>
      </c>
      <c r="CH152" s="17">
        <f t="shared" si="104"/>
        <v>27</v>
      </c>
      <c r="CI152" s="17">
        <f t="shared" si="105"/>
        <v>12</v>
      </c>
      <c r="CJ152" s="17">
        <f t="shared" si="106"/>
        <v>19</v>
      </c>
      <c r="CK152" s="17">
        <f t="shared" si="107"/>
        <v>16</v>
      </c>
      <c r="CL152" s="17">
        <f t="shared" si="108"/>
        <v>7</v>
      </c>
      <c r="CM152" s="17">
        <f t="shared" si="109"/>
        <v>15</v>
      </c>
      <c r="CN152" s="17">
        <f t="shared" si="110"/>
        <v>22</v>
      </c>
      <c r="CO152" s="17">
        <f t="shared" si="111"/>
        <v>18</v>
      </c>
      <c r="CP152" s="17">
        <f t="shared" si="112"/>
        <v>12</v>
      </c>
      <c r="CQ152" s="17">
        <f t="shared" si="113"/>
        <v>7</v>
      </c>
      <c r="CR152" s="17">
        <f t="shared" si="114"/>
        <v>22</v>
      </c>
      <c r="CS152" s="17">
        <f t="shared" si="115"/>
        <v>9</v>
      </c>
      <c r="CT152" s="17">
        <f t="shared" si="116"/>
        <v>15</v>
      </c>
      <c r="CU152" s="17">
        <f t="shared" si="117"/>
        <v>17</v>
      </c>
      <c r="CV152" s="17">
        <f t="shared" si="118"/>
        <v>18</v>
      </c>
      <c r="CW152" s="17">
        <f t="shared" si="119"/>
        <v>14</v>
      </c>
      <c r="CX152" s="17">
        <f t="shared" si="120"/>
        <v>6</v>
      </c>
      <c r="CY152" s="17">
        <f t="shared" si="120"/>
        <v>-544</v>
      </c>
      <c r="CZ152" s="17">
        <f t="shared" si="120"/>
        <v>0</v>
      </c>
      <c r="DA152" s="17">
        <f t="shared" si="120"/>
        <v>0</v>
      </c>
      <c r="DB152" s="17">
        <f t="shared" si="120"/>
        <v>0</v>
      </c>
      <c r="DC152" s="17">
        <f t="shared" si="120"/>
        <v>0</v>
      </c>
      <c r="DD152" s="17">
        <f t="shared" si="120"/>
        <v>0</v>
      </c>
      <c r="DE152" s="17">
        <f t="shared" si="120"/>
        <v>0</v>
      </c>
      <c r="DF152" s="17">
        <f t="shared" si="120"/>
        <v>0</v>
      </c>
      <c r="DG152" s="17">
        <f t="shared" si="120"/>
        <v>0</v>
      </c>
      <c r="DH152" s="17">
        <f t="shared" si="120"/>
        <v>0</v>
      </c>
      <c r="DI152" s="17">
        <f t="shared" si="120"/>
        <v>0</v>
      </c>
    </row>
    <row r="153" spans="1:113" ht="15.75" x14ac:dyDescent="0.25">
      <c r="A153" s="4" t="s">
        <v>295</v>
      </c>
      <c r="B153" s="6" t="s">
        <v>296</v>
      </c>
      <c r="H153" s="90">
        <f>'Combined data'!H153</f>
        <v>98</v>
      </c>
      <c r="I153" s="90">
        <f>'Combined data'!I153-'Combined data'!H153</f>
        <v>-1</v>
      </c>
      <c r="J153" s="90">
        <f>'Combined data'!J153-'Combined data'!I153</f>
        <v>5</v>
      </c>
      <c r="K153" s="90">
        <f>'Combined data'!K153-'Combined data'!J153</f>
        <v>9</v>
      </c>
      <c r="L153" s="90">
        <f>'Combined data'!L153-'Combined data'!K153</f>
        <v>5</v>
      </c>
      <c r="M153" s="90">
        <f>'Combined data'!M153-'Combined data'!L153</f>
        <v>6</v>
      </c>
      <c r="N153" s="90">
        <f>'Combined data'!N153-'Combined data'!M153</f>
        <v>0</v>
      </c>
      <c r="O153" s="90">
        <f>'Combined data'!O153-'Combined data'!N153</f>
        <v>3</v>
      </c>
      <c r="P153" s="90">
        <f>'Combined data'!P153-'Combined data'!O153</f>
        <v>1</v>
      </c>
      <c r="Q153" s="90">
        <f>'Combined data'!Q153-'Combined data'!P153</f>
        <v>4</v>
      </c>
      <c r="R153" s="90">
        <f>'Combined data'!R153-'Combined data'!Q153</f>
        <v>0</v>
      </c>
      <c r="S153" s="90">
        <f>'Combined data'!S153-'Combined data'!R153</f>
        <v>2</v>
      </c>
      <c r="T153" s="90">
        <f>'Combined data'!T153-'Combined data'!S153</f>
        <v>0</v>
      </c>
      <c r="U153" s="90">
        <f>'Combined data'!U153-'Combined data'!T153</f>
        <v>0</v>
      </c>
      <c r="V153" s="90">
        <f>'Combined data'!V153-'Combined data'!U153</f>
        <v>0</v>
      </c>
      <c r="W153" s="90">
        <f>'Combined data'!W153-'Combined data'!V153</f>
        <v>4</v>
      </c>
      <c r="X153" s="90">
        <f>'Combined data'!X153-'Combined data'!W153</f>
        <v>1</v>
      </c>
      <c r="Y153" s="90">
        <f>'Combined data'!Y153-'Combined data'!X153</f>
        <v>1</v>
      </c>
      <c r="Z153" s="90">
        <f>'Combined data'!Z153-'Combined data'!Y153</f>
        <v>4</v>
      </c>
      <c r="AA153" s="90">
        <f>'Combined data'!AA153-'Combined data'!Z153</f>
        <v>1</v>
      </c>
      <c r="AB153" s="90">
        <f>'Combined data'!AB153-'Combined data'!AA153</f>
        <v>2</v>
      </c>
      <c r="AC153" s="90">
        <f>'Combined data'!AC153-'Combined data'!AB153</f>
        <v>0</v>
      </c>
      <c r="AD153" s="90">
        <f>'Combined data'!AD153-'Combined data'!AC153</f>
        <v>2</v>
      </c>
      <c r="AE153" s="90">
        <f>'Combined data'!AE153-'Combined data'!AD153</f>
        <v>-147</v>
      </c>
      <c r="AF153" s="90">
        <f>'Combined data'!AF153-'Combined data'!AE153</f>
        <v>0</v>
      </c>
      <c r="AG153" s="90">
        <f>'Combined data'!AG153-'Combined data'!AF153</f>
        <v>0</v>
      </c>
      <c r="AH153" s="90">
        <f>'Combined data'!AH153-'Combined data'!AG153</f>
        <v>0</v>
      </c>
      <c r="AI153" s="90">
        <f>'Combined data'!AI153-'Combined data'!AH153</f>
        <v>0</v>
      </c>
      <c r="AJ153" s="90">
        <f>'Combined data'!AJ153-'Combined data'!AI153</f>
        <v>0</v>
      </c>
      <c r="AK153" s="90">
        <f>'Combined data'!AK153-'Combined data'!AJ153</f>
        <v>0</v>
      </c>
      <c r="AL153" s="90">
        <f>'Combined data'!AL153-'Combined data'!AK153</f>
        <v>0</v>
      </c>
      <c r="AM153" s="90">
        <f>'Combined data'!AM153-'Combined data'!AL153</f>
        <v>0</v>
      </c>
      <c r="AN153" s="90">
        <f>'Combined data'!AN153-'Combined data'!AM153</f>
        <v>0</v>
      </c>
      <c r="AO153" s="90">
        <f>'Combined data'!AO153-'Combined data'!AN153</f>
        <v>0</v>
      </c>
      <c r="AP153" s="56">
        <f t="shared" si="121"/>
        <v>0</v>
      </c>
      <c r="AQ153" s="113"/>
      <c r="AR153" s="17">
        <f>'Combined data'!AR153</f>
        <v>45</v>
      </c>
      <c r="AS153" s="17">
        <f>'Combined data'!AS153-'Combined data'!AR153</f>
        <v>5</v>
      </c>
      <c r="AT153" s="17">
        <f>'Combined data'!AT153-'Combined data'!AS153</f>
        <v>12</v>
      </c>
      <c r="AU153" s="17">
        <f>'Combined data'!AU153-'Combined data'!AT153</f>
        <v>7</v>
      </c>
      <c r="AV153" s="17">
        <f>'Combined data'!AV153-'Combined data'!AU153</f>
        <v>11</v>
      </c>
      <c r="AW153" s="17">
        <f>'Combined data'!AW153-'Combined data'!AV153</f>
        <v>6</v>
      </c>
      <c r="AX153" s="17">
        <f>'Combined data'!AX153-'Combined data'!AW153</f>
        <v>3</v>
      </c>
      <c r="AY153" s="17">
        <f>'Combined data'!AY153-'Combined data'!AX153</f>
        <v>0</v>
      </c>
      <c r="AZ153" s="17">
        <f>'Combined data'!AZ153-'Combined data'!AY153</f>
        <v>0</v>
      </c>
      <c r="BA153" s="17">
        <f>'Combined data'!BA153-'Combined data'!AZ153</f>
        <v>3</v>
      </c>
      <c r="BB153" s="17">
        <f>'Combined data'!BB153-'Combined data'!BA153</f>
        <v>1</v>
      </c>
      <c r="BC153" s="17">
        <f>'Combined data'!BC153-'Combined data'!BB153</f>
        <v>6</v>
      </c>
      <c r="BD153" s="17">
        <f>'Combined data'!BD153-'Combined data'!BC153</f>
        <v>1</v>
      </c>
      <c r="BE153" s="17">
        <f>'Combined data'!BE153-'Combined data'!BD153</f>
        <v>0</v>
      </c>
      <c r="BF153" s="17">
        <f>'Combined data'!BF153-'Combined data'!BE153</f>
        <v>1</v>
      </c>
      <c r="BG153" s="17">
        <f>'Combined data'!BG153-'Combined data'!BF153</f>
        <v>1</v>
      </c>
      <c r="BH153" s="17">
        <f>'Combined data'!BH153-'Combined data'!BG153</f>
        <v>3</v>
      </c>
      <c r="BI153" s="17">
        <f>'Combined data'!BI153-'Combined data'!BH153</f>
        <v>1</v>
      </c>
      <c r="BJ153" s="17">
        <f>'Combined data'!BJ153-'Combined data'!BI153</f>
        <v>4</v>
      </c>
      <c r="BK153" s="17">
        <f>'Combined data'!BK153-'Combined data'!BJ153</f>
        <v>1</v>
      </c>
      <c r="BL153" s="17">
        <f>'Combined data'!BL153-'Combined data'!BK153</f>
        <v>10</v>
      </c>
      <c r="BM153" s="17">
        <f>'Combined data'!BM153-'Combined data'!BL153</f>
        <v>-2</v>
      </c>
      <c r="BN153" s="17">
        <f>'Combined data'!BN153-'Combined data'!BM153</f>
        <v>0</v>
      </c>
      <c r="BO153" s="17">
        <f>'Combined data'!BO153-'Combined data'!BN153</f>
        <v>-119</v>
      </c>
      <c r="BP153" s="17">
        <f>'Combined data'!BP153-'Combined data'!BO153</f>
        <v>0</v>
      </c>
      <c r="BQ153" s="17">
        <f>'Combined data'!BQ153-'Combined data'!BP153</f>
        <v>0</v>
      </c>
      <c r="BR153" s="17">
        <f>'Combined data'!BR153-'Combined data'!BQ153</f>
        <v>0</v>
      </c>
      <c r="BS153" s="17">
        <f>'Combined data'!BS153-'Combined data'!BR153</f>
        <v>0</v>
      </c>
      <c r="BT153" s="17">
        <f>'Combined data'!BT153-'Combined data'!BS153</f>
        <v>0</v>
      </c>
      <c r="BU153" s="17">
        <f>'Combined data'!BU153-'Combined data'!BT153</f>
        <v>0</v>
      </c>
      <c r="BV153" s="17">
        <f>'Combined data'!BV153-'Combined data'!BU153</f>
        <v>0</v>
      </c>
      <c r="BW153" s="17">
        <f>'Combined data'!BW153-'Combined data'!BV153</f>
        <v>0</v>
      </c>
      <c r="BX153" s="17">
        <f>'Combined data'!BX153-'Combined data'!BW153</f>
        <v>0</v>
      </c>
      <c r="BY153" s="17">
        <f>'Combined data'!BY153-'Combined data'!BX153</f>
        <v>0</v>
      </c>
      <c r="CB153" s="17">
        <f t="shared" si="98"/>
        <v>45</v>
      </c>
      <c r="CC153" s="17">
        <f t="shared" si="99"/>
        <v>5</v>
      </c>
      <c r="CD153" s="17">
        <f t="shared" si="100"/>
        <v>12</v>
      </c>
      <c r="CE153" s="17">
        <f t="shared" si="101"/>
        <v>7</v>
      </c>
      <c r="CF153" s="17">
        <f t="shared" si="102"/>
        <v>11</v>
      </c>
      <c r="CG153" s="17">
        <f t="shared" si="103"/>
        <v>6</v>
      </c>
      <c r="CH153" s="17">
        <f t="shared" si="104"/>
        <v>3</v>
      </c>
      <c r="CI153" s="17">
        <f t="shared" si="105"/>
        <v>0</v>
      </c>
      <c r="CJ153" s="17">
        <f t="shared" si="106"/>
        <v>0</v>
      </c>
      <c r="CK153" s="17">
        <f t="shared" si="107"/>
        <v>3</v>
      </c>
      <c r="CL153" s="17">
        <f t="shared" si="108"/>
        <v>1</v>
      </c>
      <c r="CM153" s="17">
        <f t="shared" si="109"/>
        <v>6</v>
      </c>
      <c r="CN153" s="17">
        <f t="shared" si="110"/>
        <v>1</v>
      </c>
      <c r="CO153" s="17">
        <f t="shared" si="111"/>
        <v>0</v>
      </c>
      <c r="CP153" s="17">
        <f t="shared" si="112"/>
        <v>1</v>
      </c>
      <c r="CQ153" s="17">
        <f t="shared" si="113"/>
        <v>1</v>
      </c>
      <c r="CR153" s="17">
        <f t="shared" si="114"/>
        <v>3</v>
      </c>
      <c r="CS153" s="17">
        <f t="shared" si="115"/>
        <v>1</v>
      </c>
      <c r="CT153" s="17">
        <f t="shared" si="116"/>
        <v>4</v>
      </c>
      <c r="CU153" s="17">
        <f t="shared" si="117"/>
        <v>1</v>
      </c>
      <c r="CV153" s="17">
        <f t="shared" si="118"/>
        <v>10</v>
      </c>
      <c r="CW153" s="17">
        <f t="shared" si="119"/>
        <v>-2</v>
      </c>
      <c r="CX153" s="17">
        <f t="shared" ref="CX153:DI160" si="122">BN153</f>
        <v>0</v>
      </c>
      <c r="CY153" s="17">
        <f t="shared" si="122"/>
        <v>-119</v>
      </c>
      <c r="CZ153" s="17">
        <f t="shared" si="122"/>
        <v>0</v>
      </c>
      <c r="DA153" s="17">
        <f t="shared" si="122"/>
        <v>0</v>
      </c>
      <c r="DB153" s="17">
        <f t="shared" si="122"/>
        <v>0</v>
      </c>
      <c r="DC153" s="17">
        <f t="shared" si="122"/>
        <v>0</v>
      </c>
      <c r="DD153" s="17">
        <f t="shared" si="122"/>
        <v>0</v>
      </c>
      <c r="DE153" s="17">
        <f t="shared" si="122"/>
        <v>0</v>
      </c>
      <c r="DF153" s="17">
        <f t="shared" si="122"/>
        <v>0</v>
      </c>
      <c r="DG153" s="17">
        <f t="shared" si="122"/>
        <v>0</v>
      </c>
      <c r="DH153" s="17">
        <f t="shared" si="122"/>
        <v>0</v>
      </c>
      <c r="DI153" s="17">
        <f t="shared" si="122"/>
        <v>0</v>
      </c>
    </row>
    <row r="154" spans="1:113" ht="15.75" x14ac:dyDescent="0.25">
      <c r="A154" s="4" t="s">
        <v>297</v>
      </c>
      <c r="B154" s="6" t="s">
        <v>298</v>
      </c>
      <c r="H154" s="90">
        <f>'Combined data'!H154</f>
        <v>787</v>
      </c>
      <c r="I154" s="90">
        <f>'Combined data'!I154-'Combined data'!H154</f>
        <v>51</v>
      </c>
      <c r="J154" s="90">
        <f>'Combined data'!J154-'Combined data'!I154</f>
        <v>63</v>
      </c>
      <c r="K154" s="90">
        <f>'Combined data'!K154-'Combined data'!J154</f>
        <v>69</v>
      </c>
      <c r="L154" s="90">
        <f>'Combined data'!L154-'Combined data'!K154</f>
        <v>41</v>
      </c>
      <c r="M154" s="90">
        <f>'Combined data'!M154-'Combined data'!L154</f>
        <v>29</v>
      </c>
      <c r="N154" s="90">
        <f>'Combined data'!N154-'Combined data'!M154</f>
        <v>70</v>
      </c>
      <c r="O154" s="90">
        <f>'Combined data'!O154-'Combined data'!N154</f>
        <v>26</v>
      </c>
      <c r="P154" s="90">
        <f>'Combined data'!P154-'Combined data'!O154</f>
        <v>41</v>
      </c>
      <c r="Q154" s="90">
        <f>'Combined data'!Q154-'Combined data'!P154</f>
        <v>43</v>
      </c>
      <c r="R154" s="90">
        <f>'Combined data'!R154-'Combined data'!Q154</f>
        <v>16</v>
      </c>
      <c r="S154" s="90">
        <f>'Combined data'!S154-'Combined data'!R154</f>
        <v>6</v>
      </c>
      <c r="T154" s="90">
        <f>'Combined data'!T154-'Combined data'!S154</f>
        <v>27</v>
      </c>
      <c r="U154" s="90">
        <f>'Combined data'!U154-'Combined data'!T154</f>
        <v>20</v>
      </c>
      <c r="V154" s="90">
        <f>'Combined data'!V154-'Combined data'!U154</f>
        <v>9</v>
      </c>
      <c r="W154" s="90">
        <f>'Combined data'!W154-'Combined data'!V154</f>
        <v>16</v>
      </c>
      <c r="X154" s="90">
        <f>'Combined data'!X154-'Combined data'!W154</f>
        <v>13</v>
      </c>
      <c r="Y154" s="90">
        <f>'Combined data'!Y154-'Combined data'!X154</f>
        <v>17</v>
      </c>
      <c r="Z154" s="90">
        <f>'Combined data'!Z154-'Combined data'!Y154</f>
        <v>19</v>
      </c>
      <c r="AA154" s="90">
        <f>'Combined data'!AA154-'Combined data'!Z154</f>
        <v>13</v>
      </c>
      <c r="AB154" s="90">
        <f>'Combined data'!AB154-'Combined data'!AA154</f>
        <v>5</v>
      </c>
      <c r="AC154" s="90">
        <f>'Combined data'!AC154-'Combined data'!AB154</f>
        <v>3</v>
      </c>
      <c r="AD154" s="90">
        <f>'Combined data'!AD154-'Combined data'!AC154</f>
        <v>20</v>
      </c>
      <c r="AE154" s="90">
        <f>'Combined data'!AE154-'Combined data'!AD154</f>
        <v>-1404</v>
      </c>
      <c r="AF154" s="90">
        <f>'Combined data'!AF154-'Combined data'!AE154</f>
        <v>0</v>
      </c>
      <c r="AG154" s="90">
        <f>'Combined data'!AG154-'Combined data'!AF154</f>
        <v>0</v>
      </c>
      <c r="AH154" s="90">
        <f>'Combined data'!AH154-'Combined data'!AG154</f>
        <v>0</v>
      </c>
      <c r="AI154" s="90">
        <f>'Combined data'!AI154-'Combined data'!AH154</f>
        <v>0</v>
      </c>
      <c r="AJ154" s="90">
        <f>'Combined data'!AJ154-'Combined data'!AI154</f>
        <v>0</v>
      </c>
      <c r="AK154" s="90">
        <f>'Combined data'!AK154-'Combined data'!AJ154</f>
        <v>0</v>
      </c>
      <c r="AL154" s="90">
        <f>'Combined data'!AL154-'Combined data'!AK154</f>
        <v>0</v>
      </c>
      <c r="AM154" s="90">
        <f>'Combined data'!AM154-'Combined data'!AL154</f>
        <v>0</v>
      </c>
      <c r="AN154" s="90">
        <f>'Combined data'!AN154-'Combined data'!AM154</f>
        <v>0</v>
      </c>
      <c r="AO154" s="90">
        <f>'Combined data'!AO154-'Combined data'!AN154</f>
        <v>0</v>
      </c>
      <c r="AP154" s="56">
        <f t="shared" si="121"/>
        <v>0</v>
      </c>
      <c r="AQ154" s="113"/>
      <c r="AR154" s="17">
        <f>'Combined data'!AR154</f>
        <v>327</v>
      </c>
      <c r="AS154" s="17">
        <f>'Combined data'!AS154-'Combined data'!AR154</f>
        <v>41</v>
      </c>
      <c r="AT154" s="17">
        <f>'Combined data'!AT154-'Combined data'!AS154</f>
        <v>74</v>
      </c>
      <c r="AU154" s="17">
        <f>'Combined data'!AU154-'Combined data'!AT154</f>
        <v>103</v>
      </c>
      <c r="AV154" s="17">
        <f>'Combined data'!AV154-'Combined data'!AU154</f>
        <v>58</v>
      </c>
      <c r="AW154" s="17">
        <f>'Combined data'!AW154-'Combined data'!AV154</f>
        <v>39</v>
      </c>
      <c r="AX154" s="17">
        <f>'Combined data'!AX154-'Combined data'!AW154</f>
        <v>113</v>
      </c>
      <c r="AY154" s="17">
        <f>'Combined data'!AY154-'Combined data'!AX154</f>
        <v>36</v>
      </c>
      <c r="AZ154" s="17">
        <f>'Combined data'!AZ154-'Combined data'!AY154</f>
        <v>58</v>
      </c>
      <c r="BA154" s="17">
        <f>'Combined data'!BA154-'Combined data'!AZ154</f>
        <v>29</v>
      </c>
      <c r="BB154" s="17">
        <f>'Combined data'!BB154-'Combined data'!BA154</f>
        <v>26</v>
      </c>
      <c r="BC154" s="17">
        <f>'Combined data'!BC154-'Combined data'!BB154</f>
        <v>33</v>
      </c>
      <c r="BD154" s="17">
        <f>'Combined data'!BD154-'Combined data'!BC154</f>
        <v>26</v>
      </c>
      <c r="BE154" s="17">
        <f>'Combined data'!BE154-'Combined data'!BD154</f>
        <v>32</v>
      </c>
      <c r="BF154" s="17">
        <f>'Combined data'!BF154-'Combined data'!BE154</f>
        <v>35</v>
      </c>
      <c r="BG154" s="17">
        <f>'Combined data'!BG154-'Combined data'!BF154</f>
        <v>14</v>
      </c>
      <c r="BH154" s="17">
        <f>'Combined data'!BH154-'Combined data'!BG154</f>
        <v>16</v>
      </c>
      <c r="BI154" s="17">
        <f>'Combined data'!BI154-'Combined data'!BH154</f>
        <v>17</v>
      </c>
      <c r="BJ154" s="17">
        <f>'Combined data'!BJ154-'Combined data'!BI154</f>
        <v>7</v>
      </c>
      <c r="BK154" s="17">
        <f>'Combined data'!BK154-'Combined data'!BJ154</f>
        <v>19</v>
      </c>
      <c r="BL154" s="17">
        <f>'Combined data'!BL154-'Combined data'!BK154</f>
        <v>22</v>
      </c>
      <c r="BM154" s="17">
        <f>'Combined data'!BM154-'Combined data'!BL154</f>
        <v>18</v>
      </c>
      <c r="BN154" s="17">
        <f>'Combined data'!BN154-'Combined data'!BM154</f>
        <v>17</v>
      </c>
      <c r="BO154" s="17">
        <f>'Combined data'!BO154-'Combined data'!BN154</f>
        <v>-1160</v>
      </c>
      <c r="BP154" s="17">
        <f>'Combined data'!BP154-'Combined data'!BO154</f>
        <v>0</v>
      </c>
      <c r="BQ154" s="17">
        <f>'Combined data'!BQ154-'Combined data'!BP154</f>
        <v>0</v>
      </c>
      <c r="BR154" s="17">
        <f>'Combined data'!BR154-'Combined data'!BQ154</f>
        <v>0</v>
      </c>
      <c r="BS154" s="17">
        <f>'Combined data'!BS154-'Combined data'!BR154</f>
        <v>0</v>
      </c>
      <c r="BT154" s="17">
        <f>'Combined data'!BT154-'Combined data'!BS154</f>
        <v>0</v>
      </c>
      <c r="BU154" s="17">
        <f>'Combined data'!BU154-'Combined data'!BT154</f>
        <v>0</v>
      </c>
      <c r="BV154" s="17">
        <f>'Combined data'!BV154-'Combined data'!BU154</f>
        <v>0</v>
      </c>
      <c r="BW154" s="17">
        <f>'Combined data'!BW154-'Combined data'!BV154</f>
        <v>0</v>
      </c>
      <c r="BX154" s="17">
        <f>'Combined data'!BX154-'Combined data'!BW154</f>
        <v>0</v>
      </c>
      <c r="BY154" s="17">
        <f>'Combined data'!BY154-'Combined data'!BX154</f>
        <v>0</v>
      </c>
      <c r="CB154" s="17">
        <f t="shared" si="98"/>
        <v>327</v>
      </c>
      <c r="CC154" s="17">
        <f t="shared" si="99"/>
        <v>41</v>
      </c>
      <c r="CD154" s="17">
        <f t="shared" si="100"/>
        <v>74</v>
      </c>
      <c r="CE154" s="17">
        <f t="shared" si="101"/>
        <v>103</v>
      </c>
      <c r="CF154" s="17">
        <f t="shared" si="102"/>
        <v>58</v>
      </c>
      <c r="CG154" s="17">
        <f t="shared" si="103"/>
        <v>39</v>
      </c>
      <c r="CH154" s="17">
        <f t="shared" si="104"/>
        <v>113</v>
      </c>
      <c r="CI154" s="17">
        <f t="shared" si="105"/>
        <v>36</v>
      </c>
      <c r="CJ154" s="17">
        <f t="shared" si="106"/>
        <v>58</v>
      </c>
      <c r="CK154" s="17">
        <f t="shared" si="107"/>
        <v>29</v>
      </c>
      <c r="CL154" s="17">
        <f t="shared" si="108"/>
        <v>26</v>
      </c>
      <c r="CM154" s="17">
        <f t="shared" si="109"/>
        <v>33</v>
      </c>
      <c r="CN154" s="17">
        <f t="shared" si="110"/>
        <v>26</v>
      </c>
      <c r="CO154" s="17">
        <f t="shared" si="111"/>
        <v>32</v>
      </c>
      <c r="CP154" s="17">
        <f t="shared" si="112"/>
        <v>35</v>
      </c>
      <c r="CQ154" s="17">
        <f t="shared" si="113"/>
        <v>14</v>
      </c>
      <c r="CR154" s="17">
        <f t="shared" si="114"/>
        <v>16</v>
      </c>
      <c r="CS154" s="17">
        <f t="shared" si="115"/>
        <v>17</v>
      </c>
      <c r="CT154" s="17">
        <f t="shared" si="116"/>
        <v>7</v>
      </c>
      <c r="CU154" s="17">
        <f t="shared" si="117"/>
        <v>19</v>
      </c>
      <c r="CV154" s="17">
        <f t="shared" si="118"/>
        <v>22</v>
      </c>
      <c r="CW154" s="17">
        <f t="shared" si="119"/>
        <v>18</v>
      </c>
      <c r="CX154" s="17">
        <f t="shared" si="122"/>
        <v>17</v>
      </c>
      <c r="CY154" s="17">
        <f t="shared" si="122"/>
        <v>-1160</v>
      </c>
      <c r="CZ154" s="17">
        <f t="shared" si="122"/>
        <v>0</v>
      </c>
      <c r="DA154" s="17">
        <f t="shared" si="122"/>
        <v>0</v>
      </c>
      <c r="DB154" s="17">
        <f t="shared" si="122"/>
        <v>0</v>
      </c>
      <c r="DC154" s="17">
        <f t="shared" si="122"/>
        <v>0</v>
      </c>
      <c r="DD154" s="17">
        <f t="shared" si="122"/>
        <v>0</v>
      </c>
      <c r="DE154" s="17">
        <f t="shared" si="122"/>
        <v>0</v>
      </c>
      <c r="DF154" s="17">
        <f t="shared" si="122"/>
        <v>0</v>
      </c>
      <c r="DG154" s="17">
        <f t="shared" si="122"/>
        <v>0</v>
      </c>
      <c r="DH154" s="17">
        <f t="shared" si="122"/>
        <v>0</v>
      </c>
      <c r="DI154" s="17">
        <f t="shared" si="122"/>
        <v>0</v>
      </c>
    </row>
    <row r="155" spans="1:113" ht="15.75" x14ac:dyDescent="0.25">
      <c r="A155" s="4" t="s">
        <v>299</v>
      </c>
      <c r="B155" s="6" t="s">
        <v>300</v>
      </c>
      <c r="H155" s="90">
        <f>'Combined data'!H155</f>
        <v>240</v>
      </c>
      <c r="I155" s="90">
        <f>'Combined data'!I155-'Combined data'!H155</f>
        <v>17</v>
      </c>
      <c r="J155" s="90">
        <f>'Combined data'!J155-'Combined data'!I155</f>
        <v>13</v>
      </c>
      <c r="K155" s="90">
        <f>'Combined data'!K155-'Combined data'!J155</f>
        <v>21</v>
      </c>
      <c r="L155" s="90">
        <f>'Combined data'!L155-'Combined data'!K155</f>
        <v>2</v>
      </c>
      <c r="M155" s="90">
        <f>'Combined data'!M155-'Combined data'!L155</f>
        <v>2</v>
      </c>
      <c r="N155" s="90">
        <f>'Combined data'!N155-'Combined data'!M155</f>
        <v>20</v>
      </c>
      <c r="O155" s="90">
        <f>'Combined data'!O155-'Combined data'!N155</f>
        <v>3</v>
      </c>
      <c r="P155" s="90">
        <f>'Combined data'!P155-'Combined data'!O155</f>
        <v>12</v>
      </c>
      <c r="Q155" s="90">
        <f>'Combined data'!Q155-'Combined data'!P155</f>
        <v>6</v>
      </c>
      <c r="R155" s="90">
        <f>'Combined data'!R155-'Combined data'!Q155</f>
        <v>5</v>
      </c>
      <c r="S155" s="90">
        <f>'Combined data'!S155-'Combined data'!R155</f>
        <v>6</v>
      </c>
      <c r="T155" s="90">
        <f>'Combined data'!T155-'Combined data'!S155</f>
        <v>8</v>
      </c>
      <c r="U155" s="90">
        <f>'Combined data'!U155-'Combined data'!T155</f>
        <v>-1</v>
      </c>
      <c r="V155" s="90">
        <f>'Combined data'!V155-'Combined data'!U155</f>
        <v>8</v>
      </c>
      <c r="W155" s="90">
        <f>'Combined data'!W155-'Combined data'!V155</f>
        <v>3</v>
      </c>
      <c r="X155" s="90">
        <f>'Combined data'!X155-'Combined data'!W155</f>
        <v>3</v>
      </c>
      <c r="Y155" s="90">
        <f>'Combined data'!Y155-'Combined data'!X155</f>
        <v>7</v>
      </c>
      <c r="Z155" s="90">
        <f>'Combined data'!Z155-'Combined data'!Y155</f>
        <v>11</v>
      </c>
      <c r="AA155" s="90">
        <f>'Combined data'!AA155-'Combined data'!Z155</f>
        <v>2</v>
      </c>
      <c r="AB155" s="90">
        <f>'Combined data'!AB155-'Combined data'!AA155</f>
        <v>0</v>
      </c>
      <c r="AC155" s="90">
        <f>'Combined data'!AC155-'Combined data'!AB155</f>
        <v>0</v>
      </c>
      <c r="AD155" s="90">
        <f>'Combined data'!AD155-'Combined data'!AC155</f>
        <v>8</v>
      </c>
      <c r="AE155" s="90">
        <f>'Combined data'!AE155-'Combined data'!AD155</f>
        <v>-396</v>
      </c>
      <c r="AF155" s="90">
        <f>'Combined data'!AF155-'Combined data'!AE155</f>
        <v>0</v>
      </c>
      <c r="AG155" s="90">
        <f>'Combined data'!AG155-'Combined data'!AF155</f>
        <v>0</v>
      </c>
      <c r="AH155" s="90">
        <f>'Combined data'!AH155-'Combined data'!AG155</f>
        <v>0</v>
      </c>
      <c r="AI155" s="90">
        <f>'Combined data'!AI155-'Combined data'!AH155</f>
        <v>0</v>
      </c>
      <c r="AJ155" s="90">
        <f>'Combined data'!AJ155-'Combined data'!AI155</f>
        <v>0</v>
      </c>
      <c r="AK155" s="90">
        <f>'Combined data'!AK155-'Combined data'!AJ155</f>
        <v>0</v>
      </c>
      <c r="AL155" s="90">
        <f>'Combined data'!AL155-'Combined data'!AK155</f>
        <v>0</v>
      </c>
      <c r="AM155" s="90">
        <f>'Combined data'!AM155-'Combined data'!AL155</f>
        <v>0</v>
      </c>
      <c r="AN155" s="90">
        <f>'Combined data'!AN155-'Combined data'!AM155</f>
        <v>0</v>
      </c>
      <c r="AO155" s="90">
        <f>'Combined data'!AO155-'Combined data'!AN155</f>
        <v>0</v>
      </c>
      <c r="AP155" s="56">
        <f t="shared" si="121"/>
        <v>0</v>
      </c>
      <c r="AQ155" s="113"/>
      <c r="AR155" s="17">
        <f>'Combined data'!AR155</f>
        <v>125</v>
      </c>
      <c r="AS155" s="17">
        <f>'Combined data'!AS155-'Combined data'!AR155</f>
        <v>22</v>
      </c>
      <c r="AT155" s="17">
        <f>'Combined data'!AT155-'Combined data'!AS155</f>
        <v>16</v>
      </c>
      <c r="AU155" s="17">
        <f>'Combined data'!AU155-'Combined data'!AT155</f>
        <v>26</v>
      </c>
      <c r="AV155" s="17">
        <f>'Combined data'!AV155-'Combined data'!AU155</f>
        <v>8</v>
      </c>
      <c r="AW155" s="17">
        <f>'Combined data'!AW155-'Combined data'!AV155</f>
        <v>14</v>
      </c>
      <c r="AX155" s="17">
        <f>'Combined data'!AX155-'Combined data'!AW155</f>
        <v>25</v>
      </c>
      <c r="AY155" s="17">
        <f>'Combined data'!AY155-'Combined data'!AX155</f>
        <v>8</v>
      </c>
      <c r="AZ155" s="17">
        <f>'Combined data'!AZ155-'Combined data'!AY155</f>
        <v>4</v>
      </c>
      <c r="BA155" s="17">
        <f>'Combined data'!BA155-'Combined data'!AZ155</f>
        <v>7</v>
      </c>
      <c r="BB155" s="17">
        <f>'Combined data'!BB155-'Combined data'!BA155</f>
        <v>6</v>
      </c>
      <c r="BC155" s="17">
        <f>'Combined data'!BC155-'Combined data'!BB155</f>
        <v>5</v>
      </c>
      <c r="BD155" s="17">
        <f>'Combined data'!BD155-'Combined data'!BC155</f>
        <v>11</v>
      </c>
      <c r="BE155" s="17">
        <f>'Combined data'!BE155-'Combined data'!BD155</f>
        <v>3</v>
      </c>
      <c r="BF155" s="17">
        <f>'Combined data'!BF155-'Combined data'!BE155</f>
        <v>11</v>
      </c>
      <c r="BG155" s="17">
        <f>'Combined data'!BG155-'Combined data'!BF155</f>
        <v>11</v>
      </c>
      <c r="BH155" s="17">
        <f>'Combined data'!BH155-'Combined data'!BG155</f>
        <v>0</v>
      </c>
      <c r="BI155" s="17">
        <f>'Combined data'!BI155-'Combined data'!BH155</f>
        <v>3</v>
      </c>
      <c r="BJ155" s="17">
        <f>'Combined data'!BJ155-'Combined data'!BI155</f>
        <v>6</v>
      </c>
      <c r="BK155" s="17">
        <f>'Combined data'!BK155-'Combined data'!BJ155</f>
        <v>9</v>
      </c>
      <c r="BL155" s="17">
        <f>'Combined data'!BL155-'Combined data'!BK155</f>
        <v>14</v>
      </c>
      <c r="BM155" s="17">
        <f>'Combined data'!BM155-'Combined data'!BL155</f>
        <v>-3</v>
      </c>
      <c r="BN155" s="17">
        <f>'Combined data'!BN155-'Combined data'!BM155</f>
        <v>3</v>
      </c>
      <c r="BO155" s="17">
        <f>'Combined data'!BO155-'Combined data'!BN155</f>
        <v>-334</v>
      </c>
      <c r="BP155" s="17">
        <f>'Combined data'!BP155-'Combined data'!BO155</f>
        <v>0</v>
      </c>
      <c r="BQ155" s="17">
        <f>'Combined data'!BQ155-'Combined data'!BP155</f>
        <v>0</v>
      </c>
      <c r="BR155" s="17">
        <f>'Combined data'!BR155-'Combined data'!BQ155</f>
        <v>0</v>
      </c>
      <c r="BS155" s="17">
        <f>'Combined data'!BS155-'Combined data'!BR155</f>
        <v>0</v>
      </c>
      <c r="BT155" s="17">
        <f>'Combined data'!BT155-'Combined data'!BS155</f>
        <v>0</v>
      </c>
      <c r="BU155" s="17">
        <f>'Combined data'!BU155-'Combined data'!BT155</f>
        <v>0</v>
      </c>
      <c r="BV155" s="17">
        <f>'Combined data'!BV155-'Combined data'!BU155</f>
        <v>0</v>
      </c>
      <c r="BW155" s="17">
        <f>'Combined data'!BW155-'Combined data'!BV155</f>
        <v>0</v>
      </c>
      <c r="BX155" s="17">
        <f>'Combined data'!BX155-'Combined data'!BW155</f>
        <v>0</v>
      </c>
      <c r="BY155" s="17">
        <f>'Combined data'!BY155-'Combined data'!BX155</f>
        <v>0</v>
      </c>
      <c r="CB155" s="17">
        <f t="shared" si="98"/>
        <v>125</v>
      </c>
      <c r="CC155" s="17">
        <f t="shared" si="99"/>
        <v>22</v>
      </c>
      <c r="CD155" s="17">
        <f t="shared" si="100"/>
        <v>16</v>
      </c>
      <c r="CE155" s="17">
        <f t="shared" si="101"/>
        <v>26</v>
      </c>
      <c r="CF155" s="17">
        <f t="shared" si="102"/>
        <v>8</v>
      </c>
      <c r="CG155" s="17">
        <f t="shared" si="103"/>
        <v>14</v>
      </c>
      <c r="CH155" s="17">
        <f t="shared" si="104"/>
        <v>25</v>
      </c>
      <c r="CI155" s="17">
        <f t="shared" si="105"/>
        <v>8</v>
      </c>
      <c r="CJ155" s="17">
        <f t="shared" si="106"/>
        <v>4</v>
      </c>
      <c r="CK155" s="17">
        <f t="shared" si="107"/>
        <v>7</v>
      </c>
      <c r="CL155" s="17">
        <f t="shared" si="108"/>
        <v>6</v>
      </c>
      <c r="CM155" s="17">
        <f t="shared" si="109"/>
        <v>5</v>
      </c>
      <c r="CN155" s="17">
        <f t="shared" si="110"/>
        <v>11</v>
      </c>
      <c r="CO155" s="17">
        <f t="shared" si="111"/>
        <v>3</v>
      </c>
      <c r="CP155" s="17">
        <f t="shared" si="112"/>
        <v>11</v>
      </c>
      <c r="CQ155" s="17">
        <f t="shared" si="113"/>
        <v>11</v>
      </c>
      <c r="CR155" s="17">
        <f t="shared" si="114"/>
        <v>0</v>
      </c>
      <c r="CS155" s="17">
        <f t="shared" si="115"/>
        <v>3</v>
      </c>
      <c r="CT155" s="17">
        <f t="shared" si="116"/>
        <v>6</v>
      </c>
      <c r="CU155" s="17">
        <f t="shared" si="117"/>
        <v>9</v>
      </c>
      <c r="CV155" s="17">
        <f t="shared" si="118"/>
        <v>14</v>
      </c>
      <c r="CW155" s="17">
        <f t="shared" si="119"/>
        <v>-3</v>
      </c>
      <c r="CX155" s="17">
        <f t="shared" si="122"/>
        <v>3</v>
      </c>
      <c r="CY155" s="17">
        <f t="shared" si="122"/>
        <v>-334</v>
      </c>
      <c r="CZ155" s="17">
        <f t="shared" si="122"/>
        <v>0</v>
      </c>
      <c r="DA155" s="17">
        <f t="shared" si="122"/>
        <v>0</v>
      </c>
      <c r="DB155" s="17">
        <f t="shared" si="122"/>
        <v>0</v>
      </c>
      <c r="DC155" s="17">
        <f t="shared" si="122"/>
        <v>0</v>
      </c>
      <c r="DD155" s="17">
        <f t="shared" si="122"/>
        <v>0</v>
      </c>
      <c r="DE155" s="17">
        <f t="shared" si="122"/>
        <v>0</v>
      </c>
      <c r="DF155" s="17">
        <f t="shared" si="122"/>
        <v>0</v>
      </c>
      <c r="DG155" s="17">
        <f t="shared" si="122"/>
        <v>0</v>
      </c>
      <c r="DH155" s="17">
        <f t="shared" si="122"/>
        <v>0</v>
      </c>
      <c r="DI155" s="17">
        <f t="shared" si="122"/>
        <v>0</v>
      </c>
    </row>
    <row r="156" spans="1:113" ht="15.75" x14ac:dyDescent="0.25">
      <c r="A156" s="4" t="s">
        <v>301</v>
      </c>
      <c r="B156" s="6" t="s">
        <v>302</v>
      </c>
      <c r="H156" s="90">
        <f>'Combined data'!H156</f>
        <v>239</v>
      </c>
      <c r="I156" s="90">
        <f>'Combined data'!I156-'Combined data'!H156</f>
        <v>13</v>
      </c>
      <c r="J156" s="90">
        <f>'Combined data'!J156-'Combined data'!I156</f>
        <v>17</v>
      </c>
      <c r="K156" s="90">
        <f>'Combined data'!K156-'Combined data'!J156</f>
        <v>9</v>
      </c>
      <c r="L156" s="90">
        <f>'Combined data'!L156-'Combined data'!K156</f>
        <v>8</v>
      </c>
      <c r="M156" s="90">
        <f>'Combined data'!M156-'Combined data'!L156</f>
        <v>3</v>
      </c>
      <c r="N156" s="90">
        <f>'Combined data'!N156-'Combined data'!M156</f>
        <v>12</v>
      </c>
      <c r="O156" s="90">
        <f>'Combined data'!O156-'Combined data'!N156</f>
        <v>12</v>
      </c>
      <c r="P156" s="90">
        <f>'Combined data'!P156-'Combined data'!O156</f>
        <v>22</v>
      </c>
      <c r="Q156" s="90">
        <f>'Combined data'!Q156-'Combined data'!P156</f>
        <v>6</v>
      </c>
      <c r="R156" s="90">
        <f>'Combined data'!R156-'Combined data'!Q156</f>
        <v>2</v>
      </c>
      <c r="S156" s="90">
        <f>'Combined data'!S156-'Combined data'!R156</f>
        <v>5</v>
      </c>
      <c r="T156" s="90">
        <f>'Combined data'!T156-'Combined data'!S156</f>
        <v>8</v>
      </c>
      <c r="U156" s="90">
        <f>'Combined data'!U156-'Combined data'!T156</f>
        <v>12</v>
      </c>
      <c r="V156" s="90">
        <f>'Combined data'!V156-'Combined data'!U156</f>
        <v>13</v>
      </c>
      <c r="W156" s="90">
        <f>'Combined data'!W156-'Combined data'!V156</f>
        <v>6</v>
      </c>
      <c r="X156" s="90">
        <f>'Combined data'!X156-'Combined data'!W156</f>
        <v>5</v>
      </c>
      <c r="Y156" s="90">
        <f>'Combined data'!Y156-'Combined data'!X156</f>
        <v>2</v>
      </c>
      <c r="Z156" s="90">
        <f>'Combined data'!Z156-'Combined data'!Y156</f>
        <v>8</v>
      </c>
      <c r="AA156" s="90">
        <f>'Combined data'!AA156-'Combined data'!Z156</f>
        <v>8</v>
      </c>
      <c r="AB156" s="90">
        <f>'Combined data'!AB156-'Combined data'!AA156</f>
        <v>5</v>
      </c>
      <c r="AC156" s="90">
        <f>'Combined data'!AC156-'Combined data'!AB156</f>
        <v>3</v>
      </c>
      <c r="AD156" s="90">
        <f>'Combined data'!AD156-'Combined data'!AC156</f>
        <v>5</v>
      </c>
      <c r="AE156" s="90">
        <f>'Combined data'!AE156-'Combined data'!AD156</f>
        <v>-423</v>
      </c>
      <c r="AF156" s="90">
        <f>'Combined data'!AF156-'Combined data'!AE156</f>
        <v>0</v>
      </c>
      <c r="AG156" s="90">
        <f>'Combined data'!AG156-'Combined data'!AF156</f>
        <v>0</v>
      </c>
      <c r="AH156" s="90">
        <f>'Combined data'!AH156-'Combined data'!AG156</f>
        <v>0</v>
      </c>
      <c r="AI156" s="90">
        <f>'Combined data'!AI156-'Combined data'!AH156</f>
        <v>0</v>
      </c>
      <c r="AJ156" s="90">
        <f>'Combined data'!AJ156-'Combined data'!AI156</f>
        <v>0</v>
      </c>
      <c r="AK156" s="90">
        <f>'Combined data'!AK156-'Combined data'!AJ156</f>
        <v>0</v>
      </c>
      <c r="AL156" s="90">
        <f>'Combined data'!AL156-'Combined data'!AK156</f>
        <v>0</v>
      </c>
      <c r="AM156" s="90">
        <f>'Combined data'!AM156-'Combined data'!AL156</f>
        <v>0</v>
      </c>
      <c r="AN156" s="90">
        <f>'Combined data'!AN156-'Combined data'!AM156</f>
        <v>0</v>
      </c>
      <c r="AO156" s="90">
        <f>'Combined data'!AO156-'Combined data'!AN156</f>
        <v>0</v>
      </c>
      <c r="AP156" s="56">
        <f t="shared" si="121"/>
        <v>0</v>
      </c>
      <c r="AQ156" s="113"/>
      <c r="AR156" s="17">
        <f>'Combined data'!AR156</f>
        <v>106</v>
      </c>
      <c r="AS156" s="17">
        <f>'Combined data'!AS156-'Combined data'!AR156</f>
        <v>23</v>
      </c>
      <c r="AT156" s="17">
        <f>'Combined data'!AT156-'Combined data'!AS156</f>
        <v>19</v>
      </c>
      <c r="AU156" s="17">
        <f>'Combined data'!AU156-'Combined data'!AT156</f>
        <v>24</v>
      </c>
      <c r="AV156" s="17">
        <f>'Combined data'!AV156-'Combined data'!AU156</f>
        <v>17</v>
      </c>
      <c r="AW156" s="17">
        <f>'Combined data'!AW156-'Combined data'!AV156</f>
        <v>16</v>
      </c>
      <c r="AX156" s="17">
        <f>'Combined data'!AX156-'Combined data'!AW156</f>
        <v>7</v>
      </c>
      <c r="AY156" s="17">
        <f>'Combined data'!AY156-'Combined data'!AX156</f>
        <v>9</v>
      </c>
      <c r="AZ156" s="17">
        <f>'Combined data'!AZ156-'Combined data'!AY156</f>
        <v>8</v>
      </c>
      <c r="BA156" s="17">
        <f>'Combined data'!BA156-'Combined data'!AZ156</f>
        <v>11</v>
      </c>
      <c r="BB156" s="17">
        <f>'Combined data'!BB156-'Combined data'!BA156</f>
        <v>2</v>
      </c>
      <c r="BC156" s="17">
        <f>'Combined data'!BC156-'Combined data'!BB156</f>
        <v>16</v>
      </c>
      <c r="BD156" s="17">
        <f>'Combined data'!BD156-'Combined data'!BC156</f>
        <v>7</v>
      </c>
      <c r="BE156" s="17">
        <f>'Combined data'!BE156-'Combined data'!BD156</f>
        <v>9</v>
      </c>
      <c r="BF156" s="17">
        <f>'Combined data'!BF156-'Combined data'!BE156</f>
        <v>8</v>
      </c>
      <c r="BG156" s="17">
        <f>'Combined data'!BG156-'Combined data'!BF156</f>
        <v>9</v>
      </c>
      <c r="BH156" s="17">
        <f>'Combined data'!BH156-'Combined data'!BG156</f>
        <v>2</v>
      </c>
      <c r="BI156" s="17">
        <f>'Combined data'!BI156-'Combined data'!BH156</f>
        <v>1</v>
      </c>
      <c r="BJ156" s="17">
        <f>'Combined data'!BJ156-'Combined data'!BI156</f>
        <v>6</v>
      </c>
      <c r="BK156" s="17">
        <f>'Combined data'!BK156-'Combined data'!BJ156</f>
        <v>4</v>
      </c>
      <c r="BL156" s="17">
        <f>'Combined data'!BL156-'Combined data'!BK156</f>
        <v>6</v>
      </c>
      <c r="BM156" s="17">
        <f>'Combined data'!BM156-'Combined data'!BL156</f>
        <v>5</v>
      </c>
      <c r="BN156" s="17">
        <f>'Combined data'!BN156-'Combined data'!BM156</f>
        <v>9</v>
      </c>
      <c r="BO156" s="17">
        <f>'Combined data'!BO156-'Combined data'!BN156</f>
        <v>-324</v>
      </c>
      <c r="BP156" s="17">
        <f>'Combined data'!BP156-'Combined data'!BO156</f>
        <v>0</v>
      </c>
      <c r="BQ156" s="17">
        <f>'Combined data'!BQ156-'Combined data'!BP156</f>
        <v>0</v>
      </c>
      <c r="BR156" s="17">
        <f>'Combined data'!BR156-'Combined data'!BQ156</f>
        <v>0</v>
      </c>
      <c r="BS156" s="17">
        <f>'Combined data'!BS156-'Combined data'!BR156</f>
        <v>0</v>
      </c>
      <c r="BT156" s="17">
        <f>'Combined data'!BT156-'Combined data'!BS156</f>
        <v>0</v>
      </c>
      <c r="BU156" s="17">
        <f>'Combined data'!BU156-'Combined data'!BT156</f>
        <v>0</v>
      </c>
      <c r="BV156" s="17">
        <f>'Combined data'!BV156-'Combined data'!BU156</f>
        <v>0</v>
      </c>
      <c r="BW156" s="17">
        <f>'Combined data'!BW156-'Combined data'!BV156</f>
        <v>0</v>
      </c>
      <c r="BX156" s="17">
        <f>'Combined data'!BX156-'Combined data'!BW156</f>
        <v>0</v>
      </c>
      <c r="BY156" s="17">
        <f>'Combined data'!BY156-'Combined data'!BX156</f>
        <v>0</v>
      </c>
      <c r="CB156" s="17">
        <f t="shared" si="98"/>
        <v>106</v>
      </c>
      <c r="CC156" s="17">
        <f t="shared" si="99"/>
        <v>23</v>
      </c>
      <c r="CD156" s="17">
        <f t="shared" si="100"/>
        <v>19</v>
      </c>
      <c r="CE156" s="17">
        <f t="shared" si="101"/>
        <v>24</v>
      </c>
      <c r="CF156" s="17">
        <f t="shared" si="102"/>
        <v>17</v>
      </c>
      <c r="CG156" s="17">
        <f t="shared" si="103"/>
        <v>16</v>
      </c>
      <c r="CH156" s="17">
        <f t="shared" si="104"/>
        <v>7</v>
      </c>
      <c r="CI156" s="17">
        <f t="shared" si="105"/>
        <v>9</v>
      </c>
      <c r="CJ156" s="17">
        <f t="shared" si="106"/>
        <v>8</v>
      </c>
      <c r="CK156" s="17">
        <f t="shared" si="107"/>
        <v>11</v>
      </c>
      <c r="CL156" s="17">
        <f t="shared" si="108"/>
        <v>2</v>
      </c>
      <c r="CM156" s="17">
        <f t="shared" si="109"/>
        <v>16</v>
      </c>
      <c r="CN156" s="17">
        <f t="shared" si="110"/>
        <v>7</v>
      </c>
      <c r="CO156" s="17">
        <f t="shared" si="111"/>
        <v>9</v>
      </c>
      <c r="CP156" s="17">
        <f t="shared" si="112"/>
        <v>8</v>
      </c>
      <c r="CQ156" s="17">
        <f t="shared" si="113"/>
        <v>9</v>
      </c>
      <c r="CR156" s="17">
        <f t="shared" si="114"/>
        <v>2</v>
      </c>
      <c r="CS156" s="17">
        <f t="shared" si="115"/>
        <v>1</v>
      </c>
      <c r="CT156" s="17">
        <f t="shared" si="116"/>
        <v>6</v>
      </c>
      <c r="CU156" s="17">
        <f t="shared" si="117"/>
        <v>4</v>
      </c>
      <c r="CV156" s="17">
        <f t="shared" si="118"/>
        <v>6</v>
      </c>
      <c r="CW156" s="17">
        <f t="shared" si="119"/>
        <v>5</v>
      </c>
      <c r="CX156" s="17">
        <f t="shared" si="122"/>
        <v>9</v>
      </c>
      <c r="CY156" s="17">
        <f t="shared" si="122"/>
        <v>-324</v>
      </c>
      <c r="CZ156" s="17">
        <f t="shared" si="122"/>
        <v>0</v>
      </c>
      <c r="DA156" s="17">
        <f t="shared" si="122"/>
        <v>0</v>
      </c>
      <c r="DB156" s="17">
        <f t="shared" si="122"/>
        <v>0</v>
      </c>
      <c r="DC156" s="17">
        <f t="shared" si="122"/>
        <v>0</v>
      </c>
      <c r="DD156" s="17">
        <f t="shared" si="122"/>
        <v>0</v>
      </c>
      <c r="DE156" s="17">
        <f t="shared" si="122"/>
        <v>0</v>
      </c>
      <c r="DF156" s="17">
        <f t="shared" si="122"/>
        <v>0</v>
      </c>
      <c r="DG156" s="17">
        <f t="shared" si="122"/>
        <v>0</v>
      </c>
      <c r="DH156" s="17">
        <f t="shared" si="122"/>
        <v>0</v>
      </c>
      <c r="DI156" s="17">
        <f t="shared" si="122"/>
        <v>0</v>
      </c>
    </row>
    <row r="157" spans="1:113" ht="15.75" x14ac:dyDescent="0.25">
      <c r="A157" s="4" t="s">
        <v>303</v>
      </c>
      <c r="B157" s="6" t="s">
        <v>304</v>
      </c>
      <c r="H157" s="90">
        <f>'Combined data'!H157</f>
        <v>251</v>
      </c>
      <c r="I157" s="90">
        <f>'Combined data'!I157-'Combined data'!H157</f>
        <v>15</v>
      </c>
      <c r="J157" s="90">
        <f>'Combined data'!J157-'Combined data'!I157</f>
        <v>5</v>
      </c>
      <c r="K157" s="90">
        <f>'Combined data'!K157-'Combined data'!J157</f>
        <v>21</v>
      </c>
      <c r="L157" s="90">
        <f>'Combined data'!L157-'Combined data'!K157</f>
        <v>5</v>
      </c>
      <c r="M157" s="90">
        <f>'Combined data'!M157-'Combined data'!L157</f>
        <v>4</v>
      </c>
      <c r="N157" s="90">
        <f>'Combined data'!N157-'Combined data'!M157</f>
        <v>19</v>
      </c>
      <c r="O157" s="90">
        <f>'Combined data'!O157-'Combined data'!N157</f>
        <v>14</v>
      </c>
      <c r="P157" s="90">
        <f>'Combined data'!P157-'Combined data'!O157</f>
        <v>17</v>
      </c>
      <c r="Q157" s="90">
        <f>'Combined data'!Q157-'Combined data'!P157</f>
        <v>23</v>
      </c>
      <c r="R157" s="90">
        <f>'Combined data'!R157-'Combined data'!Q157</f>
        <v>8</v>
      </c>
      <c r="S157" s="90">
        <f>'Combined data'!S157-'Combined data'!R157</f>
        <v>3</v>
      </c>
      <c r="T157" s="90">
        <f>'Combined data'!T157-'Combined data'!S157</f>
        <v>9</v>
      </c>
      <c r="U157" s="90">
        <f>'Combined data'!U157-'Combined data'!T157</f>
        <v>16</v>
      </c>
      <c r="V157" s="90">
        <f>'Combined data'!V157-'Combined data'!U157</f>
        <v>3</v>
      </c>
      <c r="W157" s="90">
        <f>'Combined data'!W157-'Combined data'!V157</f>
        <v>5</v>
      </c>
      <c r="X157" s="90">
        <f>'Combined data'!X157-'Combined data'!W157</f>
        <v>4</v>
      </c>
      <c r="Y157" s="90">
        <f>'Combined data'!Y157-'Combined data'!X157</f>
        <v>2</v>
      </c>
      <c r="Z157" s="90">
        <f>'Combined data'!Z157-'Combined data'!Y157</f>
        <v>6</v>
      </c>
      <c r="AA157" s="90">
        <f>'Combined data'!AA157-'Combined data'!Z157</f>
        <v>4</v>
      </c>
      <c r="AB157" s="90">
        <f>'Combined data'!AB157-'Combined data'!AA157</f>
        <v>0</v>
      </c>
      <c r="AC157" s="90">
        <f>'Combined data'!AC157-'Combined data'!AB157</f>
        <v>-1</v>
      </c>
      <c r="AD157" s="90">
        <f>'Combined data'!AD157-'Combined data'!AC157</f>
        <v>9</v>
      </c>
      <c r="AE157" s="90">
        <f>'Combined data'!AE157-'Combined data'!AD157</f>
        <v>-442</v>
      </c>
      <c r="AF157" s="90">
        <f>'Combined data'!AF157-'Combined data'!AE157</f>
        <v>0</v>
      </c>
      <c r="AG157" s="90">
        <f>'Combined data'!AG157-'Combined data'!AF157</f>
        <v>0</v>
      </c>
      <c r="AH157" s="90">
        <f>'Combined data'!AH157-'Combined data'!AG157</f>
        <v>0</v>
      </c>
      <c r="AI157" s="90">
        <f>'Combined data'!AI157-'Combined data'!AH157</f>
        <v>0</v>
      </c>
      <c r="AJ157" s="90">
        <f>'Combined data'!AJ157-'Combined data'!AI157</f>
        <v>0</v>
      </c>
      <c r="AK157" s="90">
        <f>'Combined data'!AK157-'Combined data'!AJ157</f>
        <v>0</v>
      </c>
      <c r="AL157" s="90">
        <f>'Combined data'!AL157-'Combined data'!AK157</f>
        <v>0</v>
      </c>
      <c r="AM157" s="90">
        <f>'Combined data'!AM157-'Combined data'!AL157</f>
        <v>0</v>
      </c>
      <c r="AN157" s="90">
        <f>'Combined data'!AN157-'Combined data'!AM157</f>
        <v>0</v>
      </c>
      <c r="AO157" s="90">
        <f>'Combined data'!AO157-'Combined data'!AN157</f>
        <v>0</v>
      </c>
      <c r="AP157" s="56">
        <f t="shared" si="121"/>
        <v>0</v>
      </c>
      <c r="AQ157" s="113"/>
      <c r="AR157" s="17">
        <f>'Combined data'!AR157</f>
        <v>140</v>
      </c>
      <c r="AS157" s="17">
        <f>'Combined data'!AS157-'Combined data'!AR157</f>
        <v>22</v>
      </c>
      <c r="AT157" s="17">
        <f>'Combined data'!AT157-'Combined data'!AS157</f>
        <v>11</v>
      </c>
      <c r="AU157" s="17">
        <f>'Combined data'!AU157-'Combined data'!AT157</f>
        <v>20</v>
      </c>
      <c r="AV157" s="17">
        <f>'Combined data'!AV157-'Combined data'!AU157</f>
        <v>11</v>
      </c>
      <c r="AW157" s="17">
        <f>'Combined data'!AW157-'Combined data'!AV157</f>
        <v>18</v>
      </c>
      <c r="AX157" s="17">
        <f>'Combined data'!AX157-'Combined data'!AW157</f>
        <v>20</v>
      </c>
      <c r="AY157" s="17">
        <f>'Combined data'!AY157-'Combined data'!AX157</f>
        <v>11</v>
      </c>
      <c r="AZ157" s="17">
        <f>'Combined data'!AZ157-'Combined data'!AY157</f>
        <v>7</v>
      </c>
      <c r="BA157" s="17">
        <f>'Combined data'!BA157-'Combined data'!AZ157</f>
        <v>12</v>
      </c>
      <c r="BB157" s="17">
        <f>'Combined data'!BB157-'Combined data'!BA157</f>
        <v>11</v>
      </c>
      <c r="BC157" s="17">
        <f>'Combined data'!BC157-'Combined data'!BB157</f>
        <v>16</v>
      </c>
      <c r="BD157" s="17">
        <f>'Combined data'!BD157-'Combined data'!BC157</f>
        <v>16</v>
      </c>
      <c r="BE157" s="17">
        <f>'Combined data'!BE157-'Combined data'!BD157</f>
        <v>9</v>
      </c>
      <c r="BF157" s="17">
        <f>'Combined data'!BF157-'Combined data'!BE157</f>
        <v>6</v>
      </c>
      <c r="BG157" s="17">
        <f>'Combined data'!BG157-'Combined data'!BF157</f>
        <v>15</v>
      </c>
      <c r="BH157" s="17">
        <f>'Combined data'!BH157-'Combined data'!BG157</f>
        <v>12</v>
      </c>
      <c r="BI157" s="17">
        <f>'Combined data'!BI157-'Combined data'!BH157</f>
        <v>5</v>
      </c>
      <c r="BJ157" s="17">
        <f>'Combined data'!BJ157-'Combined data'!BI157</f>
        <v>11</v>
      </c>
      <c r="BK157" s="17">
        <f>'Combined data'!BK157-'Combined data'!BJ157</f>
        <v>2</v>
      </c>
      <c r="BL157" s="17">
        <f>'Combined data'!BL157-'Combined data'!BK157</f>
        <v>9</v>
      </c>
      <c r="BM157" s="17">
        <f>'Combined data'!BM157-'Combined data'!BL157</f>
        <v>1</v>
      </c>
      <c r="BN157" s="17">
        <f>'Combined data'!BN157-'Combined data'!BM157</f>
        <v>7</v>
      </c>
      <c r="BO157" s="17">
        <f>'Combined data'!BO157-'Combined data'!BN157</f>
        <v>-392</v>
      </c>
      <c r="BP157" s="17">
        <f>'Combined data'!BP157-'Combined data'!BO157</f>
        <v>0</v>
      </c>
      <c r="BQ157" s="17">
        <f>'Combined data'!BQ157-'Combined data'!BP157</f>
        <v>0</v>
      </c>
      <c r="BR157" s="17">
        <f>'Combined data'!BR157-'Combined data'!BQ157</f>
        <v>0</v>
      </c>
      <c r="BS157" s="17">
        <f>'Combined data'!BS157-'Combined data'!BR157</f>
        <v>0</v>
      </c>
      <c r="BT157" s="17">
        <f>'Combined data'!BT157-'Combined data'!BS157</f>
        <v>0</v>
      </c>
      <c r="BU157" s="17">
        <f>'Combined data'!BU157-'Combined data'!BT157</f>
        <v>0</v>
      </c>
      <c r="BV157" s="17">
        <f>'Combined data'!BV157-'Combined data'!BU157</f>
        <v>0</v>
      </c>
      <c r="BW157" s="17">
        <f>'Combined data'!BW157-'Combined data'!BV157</f>
        <v>0</v>
      </c>
      <c r="BX157" s="17">
        <f>'Combined data'!BX157-'Combined data'!BW157</f>
        <v>0</v>
      </c>
      <c r="BY157" s="17">
        <f>'Combined data'!BY157-'Combined data'!BX157</f>
        <v>0</v>
      </c>
      <c r="CB157" s="17">
        <f t="shared" si="98"/>
        <v>140</v>
      </c>
      <c r="CC157" s="17">
        <f t="shared" si="99"/>
        <v>22</v>
      </c>
      <c r="CD157" s="17">
        <f t="shared" si="100"/>
        <v>11</v>
      </c>
      <c r="CE157" s="17">
        <f t="shared" si="101"/>
        <v>20</v>
      </c>
      <c r="CF157" s="17">
        <f t="shared" si="102"/>
        <v>11</v>
      </c>
      <c r="CG157" s="17">
        <f t="shared" si="103"/>
        <v>18</v>
      </c>
      <c r="CH157" s="17">
        <f t="shared" si="104"/>
        <v>20</v>
      </c>
      <c r="CI157" s="17">
        <f t="shared" si="105"/>
        <v>11</v>
      </c>
      <c r="CJ157" s="17">
        <f t="shared" si="106"/>
        <v>7</v>
      </c>
      <c r="CK157" s="17">
        <f t="shared" si="107"/>
        <v>12</v>
      </c>
      <c r="CL157" s="17">
        <f t="shared" si="108"/>
        <v>11</v>
      </c>
      <c r="CM157" s="17">
        <f t="shared" si="109"/>
        <v>16</v>
      </c>
      <c r="CN157" s="17">
        <f t="shared" si="110"/>
        <v>16</v>
      </c>
      <c r="CO157" s="17">
        <f t="shared" si="111"/>
        <v>9</v>
      </c>
      <c r="CP157" s="17">
        <f t="shared" si="112"/>
        <v>6</v>
      </c>
      <c r="CQ157" s="17">
        <f t="shared" si="113"/>
        <v>15</v>
      </c>
      <c r="CR157" s="17">
        <f t="shared" si="114"/>
        <v>12</v>
      </c>
      <c r="CS157" s="17">
        <f t="shared" si="115"/>
        <v>5</v>
      </c>
      <c r="CT157" s="17">
        <f t="shared" si="116"/>
        <v>11</v>
      </c>
      <c r="CU157" s="17">
        <f t="shared" si="117"/>
        <v>2</v>
      </c>
      <c r="CV157" s="17">
        <f t="shared" si="118"/>
        <v>9</v>
      </c>
      <c r="CW157" s="17">
        <f t="shared" si="119"/>
        <v>1</v>
      </c>
      <c r="CX157" s="17">
        <f t="shared" si="122"/>
        <v>7</v>
      </c>
      <c r="CY157" s="17">
        <f t="shared" si="122"/>
        <v>-392</v>
      </c>
      <c r="CZ157" s="17">
        <f t="shared" si="122"/>
        <v>0</v>
      </c>
      <c r="DA157" s="17">
        <f t="shared" si="122"/>
        <v>0</v>
      </c>
      <c r="DB157" s="17">
        <f t="shared" si="122"/>
        <v>0</v>
      </c>
      <c r="DC157" s="17">
        <f t="shared" si="122"/>
        <v>0</v>
      </c>
      <c r="DD157" s="17">
        <f t="shared" si="122"/>
        <v>0</v>
      </c>
      <c r="DE157" s="17">
        <f t="shared" si="122"/>
        <v>0</v>
      </c>
      <c r="DF157" s="17">
        <f t="shared" si="122"/>
        <v>0</v>
      </c>
      <c r="DG157" s="17">
        <f t="shared" si="122"/>
        <v>0</v>
      </c>
      <c r="DH157" s="17">
        <f t="shared" si="122"/>
        <v>0</v>
      </c>
      <c r="DI157" s="17">
        <f t="shared" si="122"/>
        <v>0</v>
      </c>
    </row>
    <row r="158" spans="1:113" ht="15.75" x14ac:dyDescent="0.25">
      <c r="A158" s="4" t="s">
        <v>305</v>
      </c>
      <c r="B158" s="6" t="s">
        <v>306</v>
      </c>
      <c r="H158" s="90">
        <f>'Combined data'!H158</f>
        <v>62</v>
      </c>
      <c r="I158" s="90">
        <f>'Combined data'!I158-'Combined data'!H158</f>
        <v>2</v>
      </c>
      <c r="J158" s="90">
        <f>'Combined data'!J158-'Combined data'!I158</f>
        <v>3</v>
      </c>
      <c r="K158" s="90">
        <f>'Combined data'!K158-'Combined data'!J158</f>
        <v>1</v>
      </c>
      <c r="L158" s="90">
        <f>'Combined data'!L158-'Combined data'!K158</f>
        <v>0</v>
      </c>
      <c r="M158" s="90">
        <f>'Combined data'!M158-'Combined data'!L158</f>
        <v>0</v>
      </c>
      <c r="N158" s="90">
        <f>'Combined data'!N158-'Combined data'!M158</f>
        <v>3</v>
      </c>
      <c r="O158" s="90">
        <f>'Combined data'!O158-'Combined data'!N158</f>
        <v>1</v>
      </c>
      <c r="P158" s="90">
        <f>'Combined data'!P158-'Combined data'!O158</f>
        <v>3</v>
      </c>
      <c r="Q158" s="90">
        <f>'Combined data'!Q158-'Combined data'!P158</f>
        <v>2</v>
      </c>
      <c r="R158" s="90">
        <f>'Combined data'!R158-'Combined data'!Q158</f>
        <v>1</v>
      </c>
      <c r="S158" s="90">
        <f>'Combined data'!S158-'Combined data'!R158</f>
        <v>0</v>
      </c>
      <c r="T158" s="90">
        <f>'Combined data'!T158-'Combined data'!S158</f>
        <v>9</v>
      </c>
      <c r="U158" s="90">
        <f>'Combined data'!U158-'Combined data'!T158</f>
        <v>6</v>
      </c>
      <c r="V158" s="90">
        <f>'Combined data'!V158-'Combined data'!U158</f>
        <v>1</v>
      </c>
      <c r="W158" s="90">
        <f>'Combined data'!W158-'Combined data'!V158</f>
        <v>2</v>
      </c>
      <c r="X158" s="90">
        <f>'Combined data'!X158-'Combined data'!W158</f>
        <v>6</v>
      </c>
      <c r="Y158" s="90">
        <f>'Combined data'!Y158-'Combined data'!X158</f>
        <v>2</v>
      </c>
      <c r="Z158" s="90">
        <f>'Combined data'!Z158-'Combined data'!Y158</f>
        <v>0</v>
      </c>
      <c r="AA158" s="90">
        <f>'Combined data'!AA158-'Combined data'!Z158</f>
        <v>0</v>
      </c>
      <c r="AB158" s="90">
        <f>'Combined data'!AB158-'Combined data'!AA158</f>
        <v>0</v>
      </c>
      <c r="AC158" s="90">
        <f>'Combined data'!AC158-'Combined data'!AB158</f>
        <v>0</v>
      </c>
      <c r="AD158" s="90">
        <f>'Combined data'!AD158-'Combined data'!AC158</f>
        <v>0</v>
      </c>
      <c r="AE158" s="90">
        <f>'Combined data'!AE158-'Combined data'!AD158</f>
        <v>-104</v>
      </c>
      <c r="AF158" s="90">
        <f>'Combined data'!AF158-'Combined data'!AE158</f>
        <v>0</v>
      </c>
      <c r="AG158" s="90">
        <f>'Combined data'!AG158-'Combined data'!AF158</f>
        <v>0</v>
      </c>
      <c r="AH158" s="90">
        <f>'Combined data'!AH158-'Combined data'!AG158</f>
        <v>0</v>
      </c>
      <c r="AI158" s="90">
        <f>'Combined data'!AI158-'Combined data'!AH158</f>
        <v>0</v>
      </c>
      <c r="AJ158" s="90">
        <f>'Combined data'!AJ158-'Combined data'!AI158</f>
        <v>0</v>
      </c>
      <c r="AK158" s="90">
        <f>'Combined data'!AK158-'Combined data'!AJ158</f>
        <v>0</v>
      </c>
      <c r="AL158" s="90">
        <f>'Combined data'!AL158-'Combined data'!AK158</f>
        <v>0</v>
      </c>
      <c r="AM158" s="90">
        <f>'Combined data'!AM158-'Combined data'!AL158</f>
        <v>0</v>
      </c>
      <c r="AN158" s="90">
        <f>'Combined data'!AN158-'Combined data'!AM158</f>
        <v>0</v>
      </c>
      <c r="AO158" s="90">
        <f>'Combined data'!AO158-'Combined data'!AN158</f>
        <v>0</v>
      </c>
      <c r="AP158" s="56">
        <f t="shared" si="121"/>
        <v>0</v>
      </c>
      <c r="AQ158" s="113"/>
      <c r="AR158" s="17">
        <f>'Combined data'!AR158</f>
        <v>27</v>
      </c>
      <c r="AS158" s="17">
        <f>'Combined data'!AS158-'Combined data'!AR158</f>
        <v>4</v>
      </c>
      <c r="AT158" s="17">
        <f>'Combined data'!AT158-'Combined data'!AS158</f>
        <v>0</v>
      </c>
      <c r="AU158" s="17">
        <f>'Combined data'!AU158-'Combined data'!AT158</f>
        <v>2</v>
      </c>
      <c r="AV158" s="17">
        <f>'Combined data'!AV158-'Combined data'!AU158</f>
        <v>1</v>
      </c>
      <c r="AW158" s="17">
        <f>'Combined data'!AW158-'Combined data'!AV158</f>
        <v>0</v>
      </c>
      <c r="AX158" s="17">
        <f>'Combined data'!AX158-'Combined data'!AW158</f>
        <v>8</v>
      </c>
      <c r="AY158" s="17">
        <f>'Combined data'!AY158-'Combined data'!AX158</f>
        <v>2</v>
      </c>
      <c r="AZ158" s="17">
        <f>'Combined data'!AZ158-'Combined data'!AY158</f>
        <v>4</v>
      </c>
      <c r="BA158" s="17">
        <f>'Combined data'!BA158-'Combined data'!AZ158</f>
        <v>4</v>
      </c>
      <c r="BB158" s="17">
        <f>'Combined data'!BB158-'Combined data'!BA158</f>
        <v>0</v>
      </c>
      <c r="BC158" s="17">
        <f>'Combined data'!BC158-'Combined data'!BB158</f>
        <v>0</v>
      </c>
      <c r="BD158" s="17">
        <f>'Combined data'!BD158-'Combined data'!BC158</f>
        <v>3</v>
      </c>
      <c r="BE158" s="17">
        <f>'Combined data'!BE158-'Combined data'!BD158</f>
        <v>6</v>
      </c>
      <c r="BF158" s="17">
        <f>'Combined data'!BF158-'Combined data'!BE158</f>
        <v>1</v>
      </c>
      <c r="BG158" s="17">
        <f>'Combined data'!BG158-'Combined data'!BF158</f>
        <v>5</v>
      </c>
      <c r="BH158" s="17">
        <f>'Combined data'!BH158-'Combined data'!BG158</f>
        <v>5</v>
      </c>
      <c r="BI158" s="17">
        <f>'Combined data'!BI158-'Combined data'!BH158</f>
        <v>2</v>
      </c>
      <c r="BJ158" s="17">
        <f>'Combined data'!BJ158-'Combined data'!BI158</f>
        <v>2</v>
      </c>
      <c r="BK158" s="17">
        <f>'Combined data'!BK158-'Combined data'!BJ158</f>
        <v>1</v>
      </c>
      <c r="BL158" s="17">
        <f>'Combined data'!BL158-'Combined data'!BK158</f>
        <v>1</v>
      </c>
      <c r="BM158" s="17">
        <f>'Combined data'!BM158-'Combined data'!BL158</f>
        <v>0</v>
      </c>
      <c r="BN158" s="17">
        <f>'Combined data'!BN158-'Combined data'!BM158</f>
        <v>2</v>
      </c>
      <c r="BO158" s="17">
        <f>'Combined data'!BO158-'Combined data'!BN158</f>
        <v>-80</v>
      </c>
      <c r="BP158" s="17">
        <f>'Combined data'!BP158-'Combined data'!BO158</f>
        <v>0</v>
      </c>
      <c r="BQ158" s="17">
        <f>'Combined data'!BQ158-'Combined data'!BP158</f>
        <v>0</v>
      </c>
      <c r="BR158" s="17">
        <f>'Combined data'!BR158-'Combined data'!BQ158</f>
        <v>0</v>
      </c>
      <c r="BS158" s="17">
        <f>'Combined data'!BS158-'Combined data'!BR158</f>
        <v>0</v>
      </c>
      <c r="BT158" s="17">
        <f>'Combined data'!BT158-'Combined data'!BS158</f>
        <v>0</v>
      </c>
      <c r="BU158" s="17">
        <f>'Combined data'!BU158-'Combined data'!BT158</f>
        <v>0</v>
      </c>
      <c r="BV158" s="17">
        <f>'Combined data'!BV158-'Combined data'!BU158</f>
        <v>0</v>
      </c>
      <c r="BW158" s="17">
        <f>'Combined data'!BW158-'Combined data'!BV158</f>
        <v>0</v>
      </c>
      <c r="BX158" s="17">
        <f>'Combined data'!BX158-'Combined data'!BW158</f>
        <v>0</v>
      </c>
      <c r="BY158" s="17">
        <f>'Combined data'!BY158-'Combined data'!BX158</f>
        <v>0</v>
      </c>
      <c r="CB158" s="17">
        <f t="shared" si="98"/>
        <v>27</v>
      </c>
      <c r="CC158" s="17">
        <f t="shared" si="99"/>
        <v>4</v>
      </c>
      <c r="CD158" s="17">
        <f t="shared" si="100"/>
        <v>0</v>
      </c>
      <c r="CE158" s="17">
        <f t="shared" si="101"/>
        <v>2</v>
      </c>
      <c r="CF158" s="17">
        <f t="shared" si="102"/>
        <v>1</v>
      </c>
      <c r="CG158" s="17">
        <f t="shared" si="103"/>
        <v>0</v>
      </c>
      <c r="CH158" s="17">
        <f t="shared" si="104"/>
        <v>8</v>
      </c>
      <c r="CI158" s="17">
        <f t="shared" si="105"/>
        <v>2</v>
      </c>
      <c r="CJ158" s="17">
        <f t="shared" si="106"/>
        <v>4</v>
      </c>
      <c r="CK158" s="17">
        <f t="shared" si="107"/>
        <v>4</v>
      </c>
      <c r="CL158" s="17">
        <f t="shared" si="108"/>
        <v>0</v>
      </c>
      <c r="CM158" s="17">
        <f t="shared" si="109"/>
        <v>0</v>
      </c>
      <c r="CN158" s="17">
        <f t="shared" si="110"/>
        <v>3</v>
      </c>
      <c r="CO158" s="17">
        <f t="shared" si="111"/>
        <v>6</v>
      </c>
      <c r="CP158" s="17">
        <f t="shared" si="112"/>
        <v>1</v>
      </c>
      <c r="CQ158" s="17">
        <f t="shared" si="113"/>
        <v>5</v>
      </c>
      <c r="CR158" s="17">
        <f t="shared" si="114"/>
        <v>5</v>
      </c>
      <c r="CS158" s="17">
        <f t="shared" si="115"/>
        <v>2</v>
      </c>
      <c r="CT158" s="17">
        <f t="shared" si="116"/>
        <v>2</v>
      </c>
      <c r="CU158" s="17">
        <f t="shared" si="117"/>
        <v>1</v>
      </c>
      <c r="CV158" s="17">
        <f t="shared" si="118"/>
        <v>1</v>
      </c>
      <c r="CW158" s="17">
        <f t="shared" si="119"/>
        <v>0</v>
      </c>
      <c r="CX158" s="17">
        <f t="shared" si="122"/>
        <v>2</v>
      </c>
      <c r="CY158" s="17">
        <f t="shared" si="122"/>
        <v>-80</v>
      </c>
      <c r="CZ158" s="17">
        <f t="shared" si="122"/>
        <v>0</v>
      </c>
      <c r="DA158" s="17">
        <f t="shared" si="122"/>
        <v>0</v>
      </c>
      <c r="DB158" s="17">
        <f t="shared" si="122"/>
        <v>0</v>
      </c>
      <c r="DC158" s="17">
        <f t="shared" si="122"/>
        <v>0</v>
      </c>
      <c r="DD158" s="17">
        <f t="shared" si="122"/>
        <v>0</v>
      </c>
      <c r="DE158" s="17">
        <f t="shared" si="122"/>
        <v>0</v>
      </c>
      <c r="DF158" s="17">
        <f t="shared" si="122"/>
        <v>0</v>
      </c>
      <c r="DG158" s="17">
        <f t="shared" si="122"/>
        <v>0</v>
      </c>
      <c r="DH158" s="17">
        <f t="shared" si="122"/>
        <v>0</v>
      </c>
      <c r="DI158" s="17">
        <f t="shared" si="122"/>
        <v>0</v>
      </c>
    </row>
    <row r="159" spans="1:113" ht="15.75" x14ac:dyDescent="0.25">
      <c r="A159" s="4" t="s">
        <v>307</v>
      </c>
      <c r="B159" s="6" t="s">
        <v>308</v>
      </c>
      <c r="H159" s="90">
        <f>'Combined data'!H159</f>
        <v>604</v>
      </c>
      <c r="I159" s="90">
        <f>'Combined data'!I159-'Combined data'!H159</f>
        <v>60</v>
      </c>
      <c r="J159" s="90">
        <f>'Combined data'!J159-'Combined data'!I159</f>
        <v>57</v>
      </c>
      <c r="K159" s="90">
        <f>'Combined data'!K159-'Combined data'!J159</f>
        <v>53</v>
      </c>
      <c r="L159" s="90">
        <f>'Combined data'!L159-'Combined data'!K159</f>
        <v>40</v>
      </c>
      <c r="M159" s="90">
        <f>'Combined data'!M159-'Combined data'!L159</f>
        <v>49</v>
      </c>
      <c r="N159" s="90">
        <f>'Combined data'!N159-'Combined data'!M159</f>
        <v>35</v>
      </c>
      <c r="O159" s="90">
        <f>'Combined data'!O159-'Combined data'!N159</f>
        <v>34</v>
      </c>
      <c r="P159" s="90">
        <f>'Combined data'!P159-'Combined data'!O159</f>
        <v>31</v>
      </c>
      <c r="Q159" s="90">
        <f>'Combined data'!Q159-'Combined data'!P159</f>
        <v>17</v>
      </c>
      <c r="R159" s="90">
        <f>'Combined data'!R159-'Combined data'!Q159</f>
        <v>12</v>
      </c>
      <c r="S159" s="90">
        <f>'Combined data'!S159-'Combined data'!R159</f>
        <v>36</v>
      </c>
      <c r="T159" s="90">
        <f>'Combined data'!T159-'Combined data'!S159</f>
        <v>20</v>
      </c>
      <c r="U159" s="90">
        <f>'Combined data'!U159-'Combined data'!T159</f>
        <v>28</v>
      </c>
      <c r="V159" s="90">
        <f>'Combined data'!V159-'Combined data'!U159</f>
        <v>9</v>
      </c>
      <c r="W159" s="90">
        <f>'Combined data'!W159-'Combined data'!V159</f>
        <v>11</v>
      </c>
      <c r="X159" s="90">
        <f>'Combined data'!X159-'Combined data'!W159</f>
        <v>11</v>
      </c>
      <c r="Y159" s="90">
        <f>'Combined data'!Y159-'Combined data'!X159</f>
        <v>14</v>
      </c>
      <c r="Z159" s="90">
        <f>'Combined data'!Z159-'Combined data'!Y159</f>
        <v>17</v>
      </c>
      <c r="AA159" s="90">
        <f>'Combined data'!AA159-'Combined data'!Z159</f>
        <v>14</v>
      </c>
      <c r="AB159" s="90">
        <f>'Combined data'!AB159-'Combined data'!AA159</f>
        <v>4</v>
      </c>
      <c r="AC159" s="90">
        <f>'Combined data'!AC159-'Combined data'!AB159</f>
        <v>7</v>
      </c>
      <c r="AD159" s="90">
        <f>'Combined data'!AD159-'Combined data'!AC159</f>
        <v>30</v>
      </c>
      <c r="AE159" s="90">
        <f>'Combined data'!AE159-'Combined data'!AD159</f>
        <v>-1193</v>
      </c>
      <c r="AF159" s="90">
        <f>'Combined data'!AF159-'Combined data'!AE159</f>
        <v>0</v>
      </c>
      <c r="AG159" s="90">
        <f>'Combined data'!AG159-'Combined data'!AF159</f>
        <v>0</v>
      </c>
      <c r="AH159" s="90">
        <f>'Combined data'!AH159-'Combined data'!AG159</f>
        <v>0</v>
      </c>
      <c r="AI159" s="90">
        <f>'Combined data'!AI159-'Combined data'!AH159</f>
        <v>0</v>
      </c>
      <c r="AJ159" s="90">
        <f>'Combined data'!AJ159-'Combined data'!AI159</f>
        <v>0</v>
      </c>
      <c r="AK159" s="90">
        <f>'Combined data'!AK159-'Combined data'!AJ159</f>
        <v>0</v>
      </c>
      <c r="AL159" s="90">
        <f>'Combined data'!AL159-'Combined data'!AK159</f>
        <v>0</v>
      </c>
      <c r="AM159" s="90">
        <f>'Combined data'!AM159-'Combined data'!AL159</f>
        <v>0</v>
      </c>
      <c r="AN159" s="90">
        <f>'Combined data'!AN159-'Combined data'!AM159</f>
        <v>0</v>
      </c>
      <c r="AO159" s="90">
        <f>'Combined data'!AO159-'Combined data'!AN159</f>
        <v>0</v>
      </c>
      <c r="AP159" s="56">
        <f t="shared" si="121"/>
        <v>0</v>
      </c>
      <c r="AQ159" s="113"/>
      <c r="AR159" s="17">
        <f>'Combined data'!AR159</f>
        <v>307</v>
      </c>
      <c r="AS159" s="17">
        <f>'Combined data'!AS159-'Combined data'!AR159</f>
        <v>46</v>
      </c>
      <c r="AT159" s="17">
        <f>'Combined data'!AT159-'Combined data'!AS159</f>
        <v>41</v>
      </c>
      <c r="AU159" s="17">
        <f>'Combined data'!AU159-'Combined data'!AT159</f>
        <v>66</v>
      </c>
      <c r="AV159" s="17">
        <f>'Combined data'!AV159-'Combined data'!AU159</f>
        <v>56</v>
      </c>
      <c r="AW159" s="17">
        <f>'Combined data'!AW159-'Combined data'!AV159</f>
        <v>56</v>
      </c>
      <c r="AX159" s="17">
        <f>'Combined data'!AX159-'Combined data'!AW159</f>
        <v>75</v>
      </c>
      <c r="AY159" s="17">
        <f>'Combined data'!AY159-'Combined data'!AX159</f>
        <v>21</v>
      </c>
      <c r="AZ159" s="17">
        <f>'Combined data'!AZ159-'Combined data'!AY159</f>
        <v>41</v>
      </c>
      <c r="BA159" s="17">
        <f>'Combined data'!BA159-'Combined data'!AZ159</f>
        <v>35</v>
      </c>
      <c r="BB159" s="17">
        <f>'Combined data'!BB159-'Combined data'!BA159</f>
        <v>19</v>
      </c>
      <c r="BC159" s="17">
        <f>'Combined data'!BC159-'Combined data'!BB159</f>
        <v>41</v>
      </c>
      <c r="BD159" s="17">
        <f>'Combined data'!BD159-'Combined data'!BC159</f>
        <v>29</v>
      </c>
      <c r="BE159" s="17">
        <f>'Combined data'!BE159-'Combined data'!BD159</f>
        <v>21</v>
      </c>
      <c r="BF159" s="17">
        <f>'Combined data'!BF159-'Combined data'!BE159</f>
        <v>26</v>
      </c>
      <c r="BG159" s="17">
        <f>'Combined data'!BG159-'Combined data'!BF159</f>
        <v>20</v>
      </c>
      <c r="BH159" s="17">
        <f>'Combined data'!BH159-'Combined data'!BG159</f>
        <v>20</v>
      </c>
      <c r="BI159" s="17">
        <f>'Combined data'!BI159-'Combined data'!BH159</f>
        <v>10</v>
      </c>
      <c r="BJ159" s="17">
        <f>'Combined data'!BJ159-'Combined data'!BI159</f>
        <v>7</v>
      </c>
      <c r="BK159" s="17">
        <f>'Combined data'!BK159-'Combined data'!BJ159</f>
        <v>20</v>
      </c>
      <c r="BL159" s="17">
        <f>'Combined data'!BL159-'Combined data'!BK159</f>
        <v>17</v>
      </c>
      <c r="BM159" s="17">
        <f>'Combined data'!BM159-'Combined data'!BL159</f>
        <v>7</v>
      </c>
      <c r="BN159" s="17">
        <f>'Combined data'!BN159-'Combined data'!BM159</f>
        <v>11</v>
      </c>
      <c r="BO159" s="17">
        <f>'Combined data'!BO159-'Combined data'!BN159</f>
        <v>-992</v>
      </c>
      <c r="BP159" s="17">
        <f>'Combined data'!BP159-'Combined data'!BO159</f>
        <v>0</v>
      </c>
      <c r="BQ159" s="17">
        <f>'Combined data'!BQ159-'Combined data'!BP159</f>
        <v>0</v>
      </c>
      <c r="BR159" s="17">
        <f>'Combined data'!BR159-'Combined data'!BQ159</f>
        <v>0</v>
      </c>
      <c r="BS159" s="17">
        <f>'Combined data'!BS159-'Combined data'!BR159</f>
        <v>0</v>
      </c>
      <c r="BT159" s="17">
        <f>'Combined data'!BT159-'Combined data'!BS159</f>
        <v>0</v>
      </c>
      <c r="BU159" s="17">
        <f>'Combined data'!BU159-'Combined data'!BT159</f>
        <v>0</v>
      </c>
      <c r="BV159" s="17">
        <f>'Combined data'!BV159-'Combined data'!BU159</f>
        <v>0</v>
      </c>
      <c r="BW159" s="17">
        <f>'Combined data'!BW159-'Combined data'!BV159</f>
        <v>0</v>
      </c>
      <c r="BX159" s="17">
        <f>'Combined data'!BX159-'Combined data'!BW159</f>
        <v>0</v>
      </c>
      <c r="BY159" s="17">
        <f>'Combined data'!BY159-'Combined data'!BX159</f>
        <v>0</v>
      </c>
      <c r="CB159" s="17">
        <f t="shared" si="98"/>
        <v>307</v>
      </c>
      <c r="CC159" s="17">
        <f t="shared" si="99"/>
        <v>46</v>
      </c>
      <c r="CD159" s="17">
        <f t="shared" si="100"/>
        <v>41</v>
      </c>
      <c r="CE159" s="17">
        <f t="shared" si="101"/>
        <v>66</v>
      </c>
      <c r="CF159" s="17">
        <f t="shared" si="102"/>
        <v>56</v>
      </c>
      <c r="CG159" s="17">
        <f t="shared" si="103"/>
        <v>56</v>
      </c>
      <c r="CH159" s="17">
        <f t="shared" si="104"/>
        <v>75</v>
      </c>
      <c r="CI159" s="17">
        <f t="shared" si="105"/>
        <v>21</v>
      </c>
      <c r="CJ159" s="17">
        <f t="shared" si="106"/>
        <v>41</v>
      </c>
      <c r="CK159" s="17">
        <f t="shared" si="107"/>
        <v>35</v>
      </c>
      <c r="CL159" s="17">
        <f t="shared" si="108"/>
        <v>19</v>
      </c>
      <c r="CM159" s="17">
        <f t="shared" si="109"/>
        <v>41</v>
      </c>
      <c r="CN159" s="17">
        <f t="shared" si="110"/>
        <v>29</v>
      </c>
      <c r="CO159" s="17">
        <f t="shared" si="111"/>
        <v>21</v>
      </c>
      <c r="CP159" s="17">
        <f t="shared" si="112"/>
        <v>26</v>
      </c>
      <c r="CQ159" s="17">
        <f t="shared" si="113"/>
        <v>20</v>
      </c>
      <c r="CR159" s="17">
        <f t="shared" si="114"/>
        <v>20</v>
      </c>
      <c r="CS159" s="17">
        <f t="shared" si="115"/>
        <v>10</v>
      </c>
      <c r="CT159" s="17">
        <f t="shared" si="116"/>
        <v>7</v>
      </c>
      <c r="CU159" s="17">
        <f t="shared" si="117"/>
        <v>20</v>
      </c>
      <c r="CV159" s="17">
        <f t="shared" si="118"/>
        <v>17</v>
      </c>
      <c r="CW159" s="17">
        <f t="shared" si="119"/>
        <v>7</v>
      </c>
      <c r="CX159" s="17">
        <f t="shared" si="122"/>
        <v>11</v>
      </c>
      <c r="CY159" s="17">
        <f t="shared" si="122"/>
        <v>-992</v>
      </c>
      <c r="CZ159" s="17">
        <f t="shared" si="122"/>
        <v>0</v>
      </c>
      <c r="DA159" s="17">
        <f t="shared" si="122"/>
        <v>0</v>
      </c>
      <c r="DB159" s="17">
        <f t="shared" si="122"/>
        <v>0</v>
      </c>
      <c r="DC159" s="17">
        <f t="shared" si="122"/>
        <v>0</v>
      </c>
      <c r="DD159" s="17">
        <f t="shared" si="122"/>
        <v>0</v>
      </c>
      <c r="DE159" s="17">
        <f t="shared" si="122"/>
        <v>0</v>
      </c>
      <c r="DF159" s="17">
        <f t="shared" si="122"/>
        <v>0</v>
      </c>
      <c r="DG159" s="17">
        <f t="shared" si="122"/>
        <v>0</v>
      </c>
      <c r="DH159" s="17">
        <f t="shared" si="122"/>
        <v>0</v>
      </c>
      <c r="DI159" s="17">
        <f t="shared" si="122"/>
        <v>0</v>
      </c>
    </row>
    <row r="160" spans="1:113" ht="15.75" x14ac:dyDescent="0.25">
      <c r="A160" s="4" t="s">
        <v>309</v>
      </c>
      <c r="B160" s="6" t="s">
        <v>310</v>
      </c>
      <c r="H160" s="90">
        <f>'Combined data'!H160</f>
        <v>186</v>
      </c>
      <c r="I160" s="90">
        <f>'Combined data'!I160-'Combined data'!H160</f>
        <v>16</v>
      </c>
      <c r="J160" s="90">
        <f>'Combined data'!J160-'Combined data'!I160</f>
        <v>12</v>
      </c>
      <c r="K160" s="90">
        <f>'Combined data'!K160-'Combined data'!J160</f>
        <v>20</v>
      </c>
      <c r="L160" s="90">
        <f>'Combined data'!L160-'Combined data'!K160</f>
        <v>5</v>
      </c>
      <c r="M160" s="90">
        <f>'Combined data'!M160-'Combined data'!L160</f>
        <v>5</v>
      </c>
      <c r="N160" s="90">
        <f>'Combined data'!N160-'Combined data'!M160</f>
        <v>25</v>
      </c>
      <c r="O160" s="90">
        <f>'Combined data'!O160-'Combined data'!N160</f>
        <v>13</v>
      </c>
      <c r="P160" s="90">
        <f>'Combined data'!P160-'Combined data'!O160</f>
        <v>11</v>
      </c>
      <c r="Q160" s="90">
        <f>'Combined data'!Q160-'Combined data'!P160</f>
        <v>1</v>
      </c>
      <c r="R160" s="90">
        <f>'Combined data'!R160-'Combined data'!Q160</f>
        <v>7</v>
      </c>
      <c r="S160" s="90">
        <f>'Combined data'!S160-'Combined data'!R160</f>
        <v>8</v>
      </c>
      <c r="T160" s="90">
        <f>'Combined data'!T160-'Combined data'!S160</f>
        <v>5</v>
      </c>
      <c r="U160" s="90">
        <f>'Combined data'!U160-'Combined data'!T160</f>
        <v>4</v>
      </c>
      <c r="V160" s="90">
        <f>'Combined data'!V160-'Combined data'!U160</f>
        <v>8</v>
      </c>
      <c r="W160" s="90">
        <f>'Combined data'!W160-'Combined data'!V160</f>
        <v>3</v>
      </c>
      <c r="X160" s="90">
        <f>'Combined data'!X160-'Combined data'!W160</f>
        <v>1</v>
      </c>
      <c r="Y160" s="90">
        <f>'Combined data'!Y160-'Combined data'!X160</f>
        <v>5</v>
      </c>
      <c r="Z160" s="90">
        <f>'Combined data'!Z160-'Combined data'!Y160</f>
        <v>2</v>
      </c>
      <c r="AA160" s="90">
        <f>'Combined data'!AA160-'Combined data'!Z160</f>
        <v>2</v>
      </c>
      <c r="AB160" s="90">
        <f>'Combined data'!AB160-'Combined data'!AA160</f>
        <v>3</v>
      </c>
      <c r="AC160" s="90">
        <f>'Combined data'!AC160-'Combined data'!AB160</f>
        <v>1</v>
      </c>
      <c r="AD160" s="90">
        <f>'Combined data'!AD160-'Combined data'!AC160</f>
        <v>3</v>
      </c>
      <c r="AE160" s="90">
        <f>'Combined data'!AE160-'Combined data'!AD160</f>
        <v>-346</v>
      </c>
      <c r="AF160" s="90">
        <f>'Combined data'!AF160-'Combined data'!AE160</f>
        <v>0</v>
      </c>
      <c r="AG160" s="90">
        <f>'Combined data'!AG160-'Combined data'!AF160</f>
        <v>0</v>
      </c>
      <c r="AH160" s="90">
        <f>'Combined data'!AH160-'Combined data'!AG160</f>
        <v>0</v>
      </c>
      <c r="AI160" s="90">
        <f>'Combined data'!AI160-'Combined data'!AH160</f>
        <v>0</v>
      </c>
      <c r="AJ160" s="90">
        <f>'Combined data'!AJ160-'Combined data'!AI160</f>
        <v>0</v>
      </c>
      <c r="AK160" s="90">
        <f>'Combined data'!AK160-'Combined data'!AJ160</f>
        <v>0</v>
      </c>
      <c r="AL160" s="90">
        <f>'Combined data'!AL160-'Combined data'!AK160</f>
        <v>0</v>
      </c>
      <c r="AM160" s="90">
        <f>'Combined data'!AM160-'Combined data'!AL160</f>
        <v>0</v>
      </c>
      <c r="AN160" s="90">
        <f>'Combined data'!AN160-'Combined data'!AM160</f>
        <v>0</v>
      </c>
      <c r="AO160" s="90">
        <f>'Combined data'!AO160-'Combined data'!AN160</f>
        <v>0</v>
      </c>
      <c r="AP160" s="56">
        <f t="shared" si="121"/>
        <v>0</v>
      </c>
      <c r="AQ160" s="113"/>
      <c r="AR160" s="17">
        <f>'Combined data'!AR160</f>
        <v>113</v>
      </c>
      <c r="AS160" s="17">
        <f>'Combined data'!AS160-'Combined data'!AR160</f>
        <v>7</v>
      </c>
      <c r="AT160" s="17">
        <f>'Combined data'!AT160-'Combined data'!AS160</f>
        <v>11</v>
      </c>
      <c r="AU160" s="17">
        <f>'Combined data'!AU160-'Combined data'!AT160</f>
        <v>22</v>
      </c>
      <c r="AV160" s="17">
        <f>'Combined data'!AV160-'Combined data'!AU160</f>
        <v>12</v>
      </c>
      <c r="AW160" s="17">
        <f>'Combined data'!AW160-'Combined data'!AV160</f>
        <v>7</v>
      </c>
      <c r="AX160" s="17">
        <f>'Combined data'!AX160-'Combined data'!AW160</f>
        <v>17</v>
      </c>
      <c r="AY160" s="17">
        <f>'Combined data'!AY160-'Combined data'!AX160</f>
        <v>6</v>
      </c>
      <c r="AZ160" s="17">
        <f>'Combined data'!AZ160-'Combined data'!AY160</f>
        <v>18</v>
      </c>
      <c r="BA160" s="17">
        <f>'Combined data'!BA160-'Combined data'!AZ160</f>
        <v>5</v>
      </c>
      <c r="BB160" s="17">
        <f>'Combined data'!BB160-'Combined data'!BA160</f>
        <v>13</v>
      </c>
      <c r="BC160" s="17">
        <f>'Combined data'!BC160-'Combined data'!BB160</f>
        <v>6</v>
      </c>
      <c r="BD160" s="17">
        <f>'Combined data'!BD160-'Combined data'!BC160</f>
        <v>10</v>
      </c>
      <c r="BE160" s="17">
        <f>'Combined data'!BE160-'Combined data'!BD160</f>
        <v>13</v>
      </c>
      <c r="BF160" s="17">
        <f>'Combined data'!BF160-'Combined data'!BE160</f>
        <v>6</v>
      </c>
      <c r="BG160" s="17">
        <f>'Combined data'!BG160-'Combined data'!BF160</f>
        <v>8</v>
      </c>
      <c r="BH160" s="17">
        <f>'Combined data'!BH160-'Combined data'!BG160</f>
        <v>7</v>
      </c>
      <c r="BI160" s="17">
        <f>'Combined data'!BI160-'Combined data'!BH160</f>
        <v>12</v>
      </c>
      <c r="BJ160" s="17">
        <f>'Combined data'!BJ160-'Combined data'!BI160</f>
        <v>7</v>
      </c>
      <c r="BK160" s="17">
        <f>'Combined data'!BK160-'Combined data'!BJ160</f>
        <v>5</v>
      </c>
      <c r="BL160" s="17">
        <f>'Combined data'!BL160-'Combined data'!BK160</f>
        <v>3</v>
      </c>
      <c r="BM160" s="17">
        <f>'Combined data'!BM160-'Combined data'!BL160</f>
        <v>-1</v>
      </c>
      <c r="BN160" s="17">
        <f>'Combined data'!BN160-'Combined data'!BM160</f>
        <v>3</v>
      </c>
      <c r="BO160" s="17">
        <f>'Combined data'!BO160-'Combined data'!BN160</f>
        <v>-310</v>
      </c>
      <c r="BP160" s="17">
        <f>'Combined data'!BP160-'Combined data'!BO160</f>
        <v>0</v>
      </c>
      <c r="BQ160" s="17">
        <f>'Combined data'!BQ160-'Combined data'!BP160</f>
        <v>0</v>
      </c>
      <c r="BR160" s="17">
        <f>'Combined data'!BR160-'Combined data'!BQ160</f>
        <v>0</v>
      </c>
      <c r="BS160" s="17">
        <f>'Combined data'!BS160-'Combined data'!BR160</f>
        <v>0</v>
      </c>
      <c r="BT160" s="17">
        <f>'Combined data'!BT160-'Combined data'!BS160</f>
        <v>0</v>
      </c>
      <c r="BU160" s="17">
        <f>'Combined data'!BU160-'Combined data'!BT160</f>
        <v>0</v>
      </c>
      <c r="BV160" s="17">
        <f>'Combined data'!BV160-'Combined data'!BU160</f>
        <v>0</v>
      </c>
      <c r="BW160" s="17">
        <f>'Combined data'!BW160-'Combined data'!BV160</f>
        <v>0</v>
      </c>
      <c r="BX160" s="17">
        <f>'Combined data'!BX160-'Combined data'!BW160</f>
        <v>0</v>
      </c>
      <c r="BY160" s="17">
        <f>'Combined data'!BY160-'Combined data'!BX160</f>
        <v>0</v>
      </c>
      <c r="CB160" s="17">
        <f t="shared" si="98"/>
        <v>113</v>
      </c>
      <c r="CC160" s="17">
        <f t="shared" si="99"/>
        <v>7</v>
      </c>
      <c r="CD160" s="17">
        <f t="shared" si="100"/>
        <v>11</v>
      </c>
      <c r="CE160" s="17">
        <f t="shared" si="101"/>
        <v>22</v>
      </c>
      <c r="CF160" s="17">
        <f t="shared" si="102"/>
        <v>12</v>
      </c>
      <c r="CG160" s="17">
        <f t="shared" si="103"/>
        <v>7</v>
      </c>
      <c r="CH160" s="17">
        <f t="shared" si="104"/>
        <v>17</v>
      </c>
      <c r="CI160" s="17">
        <f t="shared" si="105"/>
        <v>6</v>
      </c>
      <c r="CJ160" s="17">
        <f t="shared" si="106"/>
        <v>18</v>
      </c>
      <c r="CK160" s="17">
        <f t="shared" si="107"/>
        <v>5</v>
      </c>
      <c r="CL160" s="17">
        <f t="shared" si="108"/>
        <v>13</v>
      </c>
      <c r="CM160" s="17">
        <f t="shared" si="109"/>
        <v>6</v>
      </c>
      <c r="CN160" s="17">
        <f t="shared" si="110"/>
        <v>10</v>
      </c>
      <c r="CO160" s="17">
        <f t="shared" si="111"/>
        <v>13</v>
      </c>
      <c r="CP160" s="17">
        <f t="shared" si="112"/>
        <v>6</v>
      </c>
      <c r="CQ160" s="17">
        <f t="shared" si="113"/>
        <v>8</v>
      </c>
      <c r="CR160" s="17">
        <f t="shared" si="114"/>
        <v>7</v>
      </c>
      <c r="CS160" s="17">
        <f t="shared" si="115"/>
        <v>12</v>
      </c>
      <c r="CT160" s="17">
        <f t="shared" si="116"/>
        <v>7</v>
      </c>
      <c r="CU160" s="17">
        <f t="shared" si="117"/>
        <v>5</v>
      </c>
      <c r="CV160" s="17">
        <f t="shared" si="118"/>
        <v>3</v>
      </c>
      <c r="CW160" s="17">
        <f t="shared" si="119"/>
        <v>-1</v>
      </c>
      <c r="CX160" s="17">
        <f t="shared" si="122"/>
        <v>3</v>
      </c>
      <c r="CY160" s="17">
        <f t="shared" si="122"/>
        <v>-310</v>
      </c>
      <c r="CZ160" s="17">
        <f t="shared" si="122"/>
        <v>0</v>
      </c>
      <c r="DA160" s="17">
        <f t="shared" si="122"/>
        <v>0</v>
      </c>
      <c r="DB160" s="17">
        <f t="shared" si="122"/>
        <v>0</v>
      </c>
      <c r="DC160" s="17">
        <f t="shared" si="122"/>
        <v>0</v>
      </c>
      <c r="DD160" s="17">
        <f t="shared" si="122"/>
        <v>0</v>
      </c>
      <c r="DE160" s="17">
        <f t="shared" si="122"/>
        <v>0</v>
      </c>
      <c r="DF160" s="17">
        <f t="shared" si="122"/>
        <v>0</v>
      </c>
      <c r="DG160" s="17">
        <f t="shared" si="122"/>
        <v>0</v>
      </c>
      <c r="DH160" s="17">
        <f t="shared" si="122"/>
        <v>0</v>
      </c>
      <c r="DI160" s="17">
        <f t="shared" si="122"/>
        <v>0</v>
      </c>
    </row>
    <row r="161" spans="1:113" ht="15.75" x14ac:dyDescent="0.25">
      <c r="A161" s="4"/>
      <c r="B161" s="6"/>
      <c r="H161" s="106"/>
      <c r="I161" s="106"/>
      <c r="J161" s="106"/>
      <c r="K161" s="106"/>
      <c r="L161" s="106"/>
      <c r="M161" s="106"/>
      <c r="N161" s="106"/>
      <c r="O161" s="106"/>
      <c r="P161" s="90"/>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56">
        <f t="shared" si="121"/>
        <v>0</v>
      </c>
      <c r="AQ161" s="112"/>
      <c r="AR161" s="26"/>
      <c r="AS161" s="6"/>
      <c r="AT161" s="6"/>
      <c r="AU161" s="6"/>
      <c r="AV161" s="6"/>
      <c r="AW161" s="6"/>
      <c r="AX161" s="6"/>
      <c r="AY161" s="6"/>
      <c r="AZ161" s="17"/>
      <c r="BA161" s="6"/>
      <c r="BB161" s="6"/>
      <c r="BC161" s="6"/>
      <c r="BD161" s="6"/>
      <c r="BE161" s="6"/>
      <c r="BF161" s="6"/>
      <c r="BG161" s="6"/>
      <c r="BH161" s="6"/>
      <c r="BI161" s="6"/>
      <c r="BJ161" s="6"/>
      <c r="BK161" s="6"/>
      <c r="BL161" s="6"/>
      <c r="BM161" s="6"/>
      <c r="BN161" s="6"/>
      <c r="BO161" s="6"/>
      <c r="BP161" s="6"/>
      <c r="BQ161" s="6"/>
      <c r="BR161" s="6"/>
      <c r="BS161" s="6"/>
      <c r="BT161" s="6"/>
      <c r="BU161" s="6"/>
      <c r="BV161" s="6"/>
      <c r="BW161" s="6"/>
      <c r="BX161" s="6"/>
      <c r="BY161" s="6"/>
      <c r="CB161" s="26"/>
      <c r="CC161" s="6"/>
      <c r="CD161" s="6"/>
      <c r="CE161" s="6"/>
      <c r="CF161" s="6"/>
      <c r="CG161" s="6"/>
      <c r="CH161" s="6"/>
      <c r="CI161" s="6"/>
      <c r="CJ161" s="17"/>
      <c r="CK161" s="6"/>
      <c r="CL161" s="6"/>
      <c r="CM161" s="6"/>
      <c r="CN161" s="6"/>
      <c r="CO161" s="6"/>
      <c r="CP161" s="6"/>
      <c r="CQ161" s="6"/>
      <c r="CR161" s="6"/>
      <c r="CS161" s="6"/>
      <c r="CT161" s="6"/>
      <c r="CU161" s="6"/>
      <c r="CV161" s="6"/>
      <c r="CW161" s="6"/>
      <c r="CX161" s="6"/>
      <c r="CY161" s="6"/>
      <c r="CZ161" s="6"/>
      <c r="DA161" s="6"/>
      <c r="DB161" s="6"/>
      <c r="DC161" s="6"/>
      <c r="DD161" s="6"/>
      <c r="DE161" s="6"/>
      <c r="DF161" s="6"/>
      <c r="DG161" s="6"/>
      <c r="DH161" s="6"/>
      <c r="DI161" s="6"/>
    </row>
    <row r="162" spans="1:113" ht="15.75" x14ac:dyDescent="0.25">
      <c r="A162" s="8" t="s">
        <v>5</v>
      </c>
      <c r="B162" s="11"/>
      <c r="H162" s="92">
        <f>SUM(H9:H161)</f>
        <v>50084</v>
      </c>
      <c r="I162" s="92">
        <f t="shared" ref="I162:AC162" si="123">SUM(I9:I161)</f>
        <v>3390</v>
      </c>
      <c r="J162" s="92">
        <f t="shared" si="123"/>
        <v>3289</v>
      </c>
      <c r="K162" s="92">
        <f t="shared" si="123"/>
        <v>4247</v>
      </c>
      <c r="L162" s="92">
        <f t="shared" si="123"/>
        <v>1685</v>
      </c>
      <c r="M162" s="92">
        <f t="shared" si="123"/>
        <v>1429</v>
      </c>
      <c r="N162" s="92">
        <f t="shared" si="123"/>
        <v>3803</v>
      </c>
      <c r="O162" s="92">
        <f t="shared" si="123"/>
        <v>1940</v>
      </c>
      <c r="P162" s="92">
        <f t="shared" si="123"/>
        <v>2680</v>
      </c>
      <c r="Q162" s="92">
        <f t="shared" si="123"/>
        <v>2015</v>
      </c>
      <c r="R162" s="92">
        <f t="shared" si="123"/>
        <v>1095</v>
      </c>
      <c r="S162" s="92">
        <f t="shared" si="123"/>
        <v>1785</v>
      </c>
      <c r="T162" s="92">
        <f t="shared" si="123"/>
        <v>1668</v>
      </c>
      <c r="U162" s="92">
        <f t="shared" si="123"/>
        <v>1686</v>
      </c>
      <c r="V162" s="92">
        <f t="shared" si="123"/>
        <v>1568</v>
      </c>
      <c r="W162" s="92">
        <f t="shared" si="123"/>
        <v>1230</v>
      </c>
      <c r="X162" s="92">
        <f t="shared" si="123"/>
        <v>849</v>
      </c>
      <c r="Y162" s="92">
        <f t="shared" si="123"/>
        <v>1232</v>
      </c>
      <c r="Z162" s="92">
        <f t="shared" si="123"/>
        <v>1589</v>
      </c>
      <c r="AA162" s="92">
        <f t="shared" si="123"/>
        <v>729</v>
      </c>
      <c r="AB162" s="92">
        <f t="shared" si="123"/>
        <v>649</v>
      </c>
      <c r="AC162" s="92">
        <f t="shared" si="123"/>
        <v>194</v>
      </c>
      <c r="AD162" s="92">
        <f t="shared" ref="AD162" si="124">SUM(AD9:AD161)</f>
        <v>1893</v>
      </c>
      <c r="AE162" s="92">
        <f t="shared" ref="AE162:AN162" si="125">SUM(AE9:AE161)</f>
        <v>-90729</v>
      </c>
      <c r="AF162" s="92">
        <f t="shared" si="125"/>
        <v>0</v>
      </c>
      <c r="AG162" s="92">
        <f t="shared" si="125"/>
        <v>0</v>
      </c>
      <c r="AH162" s="92">
        <f t="shared" si="125"/>
        <v>0</v>
      </c>
      <c r="AI162" s="92">
        <f t="shared" si="125"/>
        <v>0</v>
      </c>
      <c r="AJ162" s="92">
        <f t="shared" si="125"/>
        <v>0</v>
      </c>
      <c r="AK162" s="92">
        <f t="shared" si="125"/>
        <v>0</v>
      </c>
      <c r="AL162" s="92">
        <f t="shared" si="125"/>
        <v>0</v>
      </c>
      <c r="AM162" s="92">
        <f t="shared" si="125"/>
        <v>0</v>
      </c>
      <c r="AN162" s="92">
        <f t="shared" si="125"/>
        <v>0</v>
      </c>
      <c r="AO162" s="92">
        <f t="shared" ref="AO162" si="126">SUM(AO9:AO161)</f>
        <v>0</v>
      </c>
      <c r="AP162" s="56">
        <f t="shared" si="121"/>
        <v>0</v>
      </c>
      <c r="AQ162" s="113"/>
      <c r="AR162" s="18">
        <f t="shared" ref="AR162:BM162" si="127">SUM(AR9:AR161)</f>
        <v>24544</v>
      </c>
      <c r="AS162" s="18">
        <f t="shared" si="127"/>
        <v>4287</v>
      </c>
      <c r="AT162" s="18">
        <f t="shared" si="127"/>
        <v>3699</v>
      </c>
      <c r="AU162" s="18">
        <f t="shared" si="127"/>
        <v>4535</v>
      </c>
      <c r="AV162" s="18">
        <f t="shared" si="127"/>
        <v>3062</v>
      </c>
      <c r="AW162" s="18">
        <f t="shared" si="127"/>
        <v>2870</v>
      </c>
      <c r="AX162" s="18">
        <f t="shared" si="127"/>
        <v>4280</v>
      </c>
      <c r="AY162" s="18">
        <f t="shared" si="127"/>
        <v>2053</v>
      </c>
      <c r="AZ162" s="18">
        <f t="shared" si="127"/>
        <v>2592</v>
      </c>
      <c r="BA162" s="18">
        <f t="shared" si="127"/>
        <v>2168</v>
      </c>
      <c r="BB162" s="18">
        <f t="shared" si="127"/>
        <v>1568</v>
      </c>
      <c r="BC162" s="18">
        <f t="shared" si="127"/>
        <v>2376</v>
      </c>
      <c r="BD162" s="18">
        <f t="shared" si="127"/>
        <v>2077</v>
      </c>
      <c r="BE162" s="18">
        <f t="shared" si="127"/>
        <v>1718</v>
      </c>
      <c r="BF162" s="18">
        <f t="shared" si="127"/>
        <v>1502</v>
      </c>
      <c r="BG162" s="18">
        <f t="shared" si="127"/>
        <v>1131</v>
      </c>
      <c r="BH162" s="18">
        <f t="shared" si="127"/>
        <v>1303</v>
      </c>
      <c r="BI162" s="18">
        <f t="shared" si="127"/>
        <v>1148</v>
      </c>
      <c r="BJ162" s="18">
        <f t="shared" si="127"/>
        <v>1423</v>
      </c>
      <c r="BK162" s="18">
        <f t="shared" si="127"/>
        <v>1331</v>
      </c>
      <c r="BL162" s="18">
        <f t="shared" si="127"/>
        <v>1979</v>
      </c>
      <c r="BM162" s="18">
        <f t="shared" si="127"/>
        <v>389</v>
      </c>
      <c r="BN162" s="18">
        <f t="shared" ref="BN162:BY162" si="128">SUM(BN9:BN161)</f>
        <v>1056</v>
      </c>
      <c r="BO162" s="18">
        <f t="shared" si="128"/>
        <v>-73091</v>
      </c>
      <c r="BP162" s="18">
        <f t="shared" si="128"/>
        <v>0</v>
      </c>
      <c r="BQ162" s="18">
        <f t="shared" si="128"/>
        <v>0</v>
      </c>
      <c r="BR162" s="18">
        <f t="shared" si="128"/>
        <v>0</v>
      </c>
      <c r="BS162" s="18">
        <f t="shared" si="128"/>
        <v>0</v>
      </c>
      <c r="BT162" s="18">
        <f t="shared" si="128"/>
        <v>0</v>
      </c>
      <c r="BU162" s="18">
        <f t="shared" si="128"/>
        <v>0</v>
      </c>
      <c r="BV162" s="18">
        <f t="shared" si="128"/>
        <v>0</v>
      </c>
      <c r="BW162" s="18">
        <f t="shared" si="128"/>
        <v>0</v>
      </c>
      <c r="BX162" s="18">
        <f t="shared" si="128"/>
        <v>0</v>
      </c>
      <c r="BY162" s="18">
        <f t="shared" si="128"/>
        <v>0</v>
      </c>
      <c r="CB162" s="18">
        <f t="shared" ref="CB162:CW162" si="129">AR162</f>
        <v>24544</v>
      </c>
      <c r="CC162" s="18">
        <f t="shared" si="129"/>
        <v>4287</v>
      </c>
      <c r="CD162" s="18">
        <f t="shared" si="129"/>
        <v>3699</v>
      </c>
      <c r="CE162" s="18">
        <f t="shared" si="129"/>
        <v>4535</v>
      </c>
      <c r="CF162" s="18">
        <f t="shared" si="129"/>
        <v>3062</v>
      </c>
      <c r="CG162" s="18">
        <f t="shared" si="129"/>
        <v>2870</v>
      </c>
      <c r="CH162" s="18">
        <f t="shared" si="129"/>
        <v>4280</v>
      </c>
      <c r="CI162" s="18">
        <f t="shared" si="129"/>
        <v>2053</v>
      </c>
      <c r="CJ162" s="18">
        <f t="shared" si="129"/>
        <v>2592</v>
      </c>
      <c r="CK162" s="18">
        <f t="shared" si="129"/>
        <v>2168</v>
      </c>
      <c r="CL162" s="18">
        <f t="shared" si="129"/>
        <v>1568</v>
      </c>
      <c r="CM162" s="18">
        <f t="shared" si="129"/>
        <v>2376</v>
      </c>
      <c r="CN162" s="18">
        <f t="shared" si="129"/>
        <v>2077</v>
      </c>
      <c r="CO162" s="18">
        <f t="shared" si="129"/>
        <v>1718</v>
      </c>
      <c r="CP162" s="18">
        <f t="shared" si="129"/>
        <v>1502</v>
      </c>
      <c r="CQ162" s="18">
        <f t="shared" si="129"/>
        <v>1131</v>
      </c>
      <c r="CR162" s="18">
        <f t="shared" si="129"/>
        <v>1303</v>
      </c>
      <c r="CS162" s="18">
        <f t="shared" si="129"/>
        <v>1148</v>
      </c>
      <c r="CT162" s="18">
        <f t="shared" si="129"/>
        <v>1423</v>
      </c>
      <c r="CU162" s="18">
        <f t="shared" si="129"/>
        <v>1331</v>
      </c>
      <c r="CV162" s="18">
        <f t="shared" si="129"/>
        <v>1979</v>
      </c>
      <c r="CW162" s="18">
        <f t="shared" si="129"/>
        <v>389</v>
      </c>
      <c r="CX162" s="18">
        <f t="shared" ref="CX162:DI162" si="130">BN162</f>
        <v>1056</v>
      </c>
      <c r="CY162" s="18">
        <f t="shared" si="130"/>
        <v>-73091</v>
      </c>
      <c r="CZ162" s="18">
        <f t="shared" si="130"/>
        <v>0</v>
      </c>
      <c r="DA162" s="18">
        <f t="shared" si="130"/>
        <v>0</v>
      </c>
      <c r="DB162" s="18">
        <f t="shared" si="130"/>
        <v>0</v>
      </c>
      <c r="DC162" s="18">
        <f t="shared" si="130"/>
        <v>0</v>
      </c>
      <c r="DD162" s="18">
        <f t="shared" si="130"/>
        <v>0</v>
      </c>
      <c r="DE162" s="18">
        <f t="shared" si="130"/>
        <v>0</v>
      </c>
      <c r="DF162" s="18">
        <f t="shared" si="130"/>
        <v>0</v>
      </c>
      <c r="DG162" s="18">
        <f t="shared" si="130"/>
        <v>0</v>
      </c>
      <c r="DH162" s="18">
        <f t="shared" si="130"/>
        <v>0</v>
      </c>
      <c r="DI162" s="18">
        <f t="shared" si="130"/>
        <v>0</v>
      </c>
    </row>
    <row r="163" spans="1:113" ht="16.5" thickBot="1" x14ac:dyDescent="0.3">
      <c r="A163" s="12"/>
      <c r="B163" s="13"/>
      <c r="H163" s="107"/>
      <c r="I163" s="107"/>
      <c r="J163" s="107"/>
      <c r="K163" s="107"/>
      <c r="L163" s="107"/>
      <c r="M163" s="107"/>
      <c r="N163" s="107"/>
      <c r="O163" s="107"/>
      <c r="P163" s="115"/>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56">
        <f t="shared" si="121"/>
        <v>0</v>
      </c>
      <c r="AQ163" s="112"/>
      <c r="AR163" s="27"/>
      <c r="AS163" s="13"/>
      <c r="AT163" s="13"/>
      <c r="AU163" s="13"/>
      <c r="AV163" s="13"/>
      <c r="AW163" s="13"/>
      <c r="AX163" s="13"/>
      <c r="AY163" s="13"/>
      <c r="AZ163" s="25"/>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CB163" s="27"/>
      <c r="CC163" s="13"/>
      <c r="CD163" s="13"/>
      <c r="CE163" s="13"/>
      <c r="CF163" s="13"/>
      <c r="CG163" s="13"/>
      <c r="CH163" s="13"/>
      <c r="CI163" s="13"/>
      <c r="CJ163" s="25"/>
      <c r="CK163" s="13"/>
      <c r="CL163" s="13"/>
      <c r="CM163" s="13"/>
      <c r="CN163" s="13"/>
      <c r="CO163" s="13"/>
      <c r="CP163" s="13"/>
      <c r="CQ163" s="13"/>
      <c r="CR163" s="13"/>
      <c r="CS163" s="13"/>
      <c r="CT163" s="13"/>
      <c r="CU163" s="13"/>
      <c r="CV163" s="13"/>
      <c r="CW163" s="13"/>
      <c r="CX163" s="13"/>
      <c r="CY163" s="13"/>
      <c r="CZ163" s="13"/>
      <c r="DA163" s="13"/>
      <c r="DB163" s="13"/>
      <c r="DC163" s="13"/>
      <c r="DD163" s="13"/>
      <c r="DE163" s="13"/>
      <c r="DF163" s="13"/>
      <c r="DG163" s="13"/>
      <c r="DH163" s="13"/>
      <c r="DI163" s="13"/>
    </row>
    <row r="164" spans="1:113" ht="15.75" x14ac:dyDescent="0.25">
      <c r="AP164" s="56">
        <f t="shared" si="121"/>
        <v>0</v>
      </c>
      <c r="AQ164" s="112"/>
    </row>
    <row r="165" spans="1:113" ht="20.25" x14ac:dyDescent="0.3">
      <c r="A165" s="1" t="s">
        <v>0</v>
      </c>
      <c r="B165" s="2"/>
      <c r="AP165" s="56">
        <f t="shared" si="121"/>
        <v>0</v>
      </c>
      <c r="AQ165" s="112"/>
    </row>
    <row r="166" spans="1:113" ht="15.75" x14ac:dyDescent="0.25">
      <c r="A166" s="3" t="s">
        <v>1</v>
      </c>
      <c r="B166" s="2"/>
      <c r="AP166" s="56">
        <f t="shared" si="121"/>
        <v>0</v>
      </c>
      <c r="AQ166" s="112"/>
    </row>
    <row r="167" spans="1:113" ht="15.75" x14ac:dyDescent="0.25">
      <c r="A167" s="29"/>
      <c r="B167" s="2"/>
      <c r="AP167" s="56">
        <f t="shared" si="121"/>
        <v>0</v>
      </c>
      <c r="AQ167" s="112"/>
    </row>
    <row r="168" spans="1:113" ht="15.75" x14ac:dyDescent="0.25">
      <c r="A168" s="5" t="s">
        <v>385</v>
      </c>
      <c r="B168" s="6"/>
      <c r="AP168" s="56">
        <f t="shared" si="121"/>
        <v>0</v>
      </c>
      <c r="AQ168" s="112"/>
    </row>
    <row r="169" spans="1:113" ht="15.75" x14ac:dyDescent="0.25">
      <c r="A169" s="7"/>
      <c r="B169" s="6"/>
      <c r="AP169" s="56">
        <f t="shared" si="121"/>
        <v>0</v>
      </c>
      <c r="AQ169" s="112"/>
    </row>
    <row r="170" spans="1:113" ht="15.75" x14ac:dyDescent="0.25">
      <c r="A170" s="8" t="s">
        <v>386</v>
      </c>
      <c r="B170" s="30"/>
      <c r="AP170" s="56">
        <f t="shared" si="121"/>
        <v>0</v>
      </c>
      <c r="AQ170" s="112"/>
    </row>
    <row r="171" spans="1:113" ht="15.75" x14ac:dyDescent="0.25">
      <c r="A171" s="9"/>
      <c r="B171" s="2"/>
      <c r="AP171" s="56">
        <f t="shared" si="121"/>
        <v>0</v>
      </c>
      <c r="AQ171" s="112"/>
    </row>
    <row r="172" spans="1:113" ht="15.75" x14ac:dyDescent="0.25">
      <c r="A172" s="10" t="s">
        <v>3</v>
      </c>
      <c r="B172" s="31" t="s">
        <v>4</v>
      </c>
      <c r="AP172" s="56">
        <f t="shared" si="121"/>
        <v>0</v>
      </c>
      <c r="AQ172" s="112"/>
    </row>
    <row r="173" spans="1:113" ht="15.75" x14ac:dyDescent="0.25">
      <c r="A173" s="4"/>
      <c r="B173" s="6"/>
      <c r="AP173" s="56">
        <f t="shared" si="121"/>
        <v>0</v>
      </c>
      <c r="AQ173" s="112"/>
    </row>
    <row r="174" spans="1:113" ht="15.75" x14ac:dyDescent="0.25">
      <c r="A174" s="4" t="s">
        <v>387</v>
      </c>
      <c r="B174" s="6" t="s">
        <v>388</v>
      </c>
      <c r="H174" s="90">
        <f>'Combined data'!H174</f>
        <v>97</v>
      </c>
      <c r="I174" s="90">
        <f>'Combined data'!I174-'Combined data'!H174</f>
        <v>0</v>
      </c>
      <c r="J174" s="90">
        <f>'Combined data'!J174-'Combined data'!I174</f>
        <v>4</v>
      </c>
      <c r="K174" s="90">
        <f>'Combined data'!K174-'Combined data'!J174</f>
        <v>7</v>
      </c>
      <c r="L174" s="90">
        <f>'Combined data'!L174-'Combined data'!K174</f>
        <v>3</v>
      </c>
      <c r="M174" s="90">
        <f>'Combined data'!M174-'Combined data'!L174</f>
        <v>0</v>
      </c>
      <c r="N174" s="90">
        <f>'Combined data'!N174-'Combined data'!M174</f>
        <v>6</v>
      </c>
      <c r="O174" s="90">
        <f>'Combined data'!O174-'Combined data'!N174</f>
        <v>2</v>
      </c>
      <c r="P174" s="90">
        <f>'Combined data'!P174-'Combined data'!O174</f>
        <v>3</v>
      </c>
      <c r="Q174" s="90">
        <f>'Combined data'!Q174-'Combined data'!P174</f>
        <v>7</v>
      </c>
      <c r="R174" s="90">
        <f>'Combined data'!R174-'Combined data'!Q174</f>
        <v>0</v>
      </c>
      <c r="S174" s="90">
        <f>'Combined data'!S174-'Combined data'!R174</f>
        <v>1</v>
      </c>
      <c r="T174" s="90">
        <f>'Combined data'!T174-'Combined data'!S174</f>
        <v>0</v>
      </c>
      <c r="U174" s="90">
        <f>'Combined data'!U174-'Combined data'!T174</f>
        <v>1</v>
      </c>
      <c r="V174" s="90">
        <f>'Combined data'!V174-'Combined data'!U174</f>
        <v>1</v>
      </c>
      <c r="W174" s="90">
        <f>'Combined data'!W174-'Combined data'!V174</f>
        <v>2</v>
      </c>
      <c r="X174" s="90">
        <f>'Combined data'!X174-'Combined data'!W174</f>
        <v>1</v>
      </c>
      <c r="Y174" s="90">
        <f>'Combined data'!Y174-'Combined data'!X174</f>
        <v>1</v>
      </c>
      <c r="Z174" s="90">
        <f>'Combined data'!Z174-'Combined data'!Y174</f>
        <v>1</v>
      </c>
      <c r="AA174" s="90">
        <f>'Combined data'!AA174-'Combined data'!Z174</f>
        <v>0</v>
      </c>
      <c r="AB174" s="90">
        <f>'Combined data'!AB174-'Combined data'!AA174</f>
        <v>2</v>
      </c>
      <c r="AC174" s="90">
        <f>'Combined data'!AC174-'Combined data'!AB174</f>
        <v>-1</v>
      </c>
      <c r="AD174" s="90">
        <f>'Combined data'!AD174-'Combined data'!AC174</f>
        <v>5</v>
      </c>
      <c r="AE174" s="90">
        <f>'Combined data'!AE174-'Combined data'!AD174</f>
        <v>-143</v>
      </c>
      <c r="AF174" s="90">
        <f>'Combined data'!AF174-'Combined data'!AE174</f>
        <v>0</v>
      </c>
      <c r="AG174" s="90">
        <f>'Combined data'!AG174-'Combined data'!AF174</f>
        <v>0</v>
      </c>
      <c r="AH174" s="90">
        <f>'Combined data'!AH174-'Combined data'!AG174</f>
        <v>0</v>
      </c>
      <c r="AI174" s="90">
        <f>'Combined data'!AI174-'Combined data'!AH174</f>
        <v>0</v>
      </c>
      <c r="AJ174" s="90">
        <f>'Combined data'!AJ174-'Combined data'!AI174</f>
        <v>0</v>
      </c>
      <c r="AK174" s="90">
        <f>'Combined data'!AK174-'Combined data'!AJ174</f>
        <v>0</v>
      </c>
      <c r="AL174" s="90">
        <f>'Combined data'!AL174-'Combined data'!AK174</f>
        <v>0</v>
      </c>
      <c r="AM174" s="90">
        <f>'Combined data'!AM174-'Combined data'!AL174</f>
        <v>0</v>
      </c>
      <c r="AN174" s="90">
        <f>'Combined data'!AN174-'Combined data'!AM174</f>
        <v>0</v>
      </c>
      <c r="AO174" s="90">
        <f>'Combined data'!AO174-'Combined data'!AN174</f>
        <v>0</v>
      </c>
      <c r="AP174" s="56">
        <f t="shared" si="121"/>
        <v>0</v>
      </c>
      <c r="AQ174" s="113"/>
      <c r="AR174" s="17">
        <f>'Combined data'!AR174</f>
        <v>46</v>
      </c>
      <c r="AS174" s="17">
        <f>'Combined data'!AS174-'Combined data'!AR174</f>
        <v>6</v>
      </c>
      <c r="AT174" s="17">
        <f>'Combined data'!AT174-'Combined data'!AS174</f>
        <v>7</v>
      </c>
      <c r="AU174" s="17">
        <f>'Combined data'!AU174-'Combined data'!AT174</f>
        <v>11</v>
      </c>
      <c r="AV174" s="17">
        <f>'Combined data'!AV174-'Combined data'!AU174</f>
        <v>3</v>
      </c>
      <c r="AW174" s="17">
        <f>'Combined data'!AW174-'Combined data'!AV174</f>
        <v>5</v>
      </c>
      <c r="AX174" s="17">
        <f>'Combined data'!AX174-'Combined data'!AW174</f>
        <v>2</v>
      </c>
      <c r="AY174" s="17">
        <f>'Combined data'!AY174-'Combined data'!AX174</f>
        <v>0</v>
      </c>
      <c r="AZ174" s="17">
        <f>'Combined data'!AZ174-'Combined data'!AY174</f>
        <v>3</v>
      </c>
      <c r="BA174" s="17">
        <f>'Combined data'!BA174-'Combined data'!AZ174</f>
        <v>2</v>
      </c>
      <c r="BB174" s="17">
        <f>'Combined data'!BB174-'Combined data'!BA174</f>
        <v>2</v>
      </c>
      <c r="BC174" s="17">
        <f>'Combined data'!BC174-'Combined data'!BB174</f>
        <v>8</v>
      </c>
      <c r="BD174" s="17">
        <f>'Combined data'!BD174-'Combined data'!BC174</f>
        <v>4</v>
      </c>
      <c r="BE174" s="17">
        <f>'Combined data'!BE174-'Combined data'!BD174</f>
        <v>1</v>
      </c>
      <c r="BF174" s="17">
        <f>'Combined data'!BF174-'Combined data'!BE174</f>
        <v>0</v>
      </c>
      <c r="BG174" s="17">
        <f>'Combined data'!BG174-'Combined data'!BF174</f>
        <v>2</v>
      </c>
      <c r="BH174" s="17">
        <f>'Combined data'!BH174-'Combined data'!BG174</f>
        <v>0</v>
      </c>
      <c r="BI174" s="17">
        <f>'Combined data'!BI174-'Combined data'!BH174</f>
        <v>0</v>
      </c>
      <c r="BJ174" s="17">
        <f>'Combined data'!BJ174-'Combined data'!BI174</f>
        <v>0</v>
      </c>
      <c r="BK174" s="17">
        <f>'Combined data'!BK174-'Combined data'!BJ174</f>
        <v>0</v>
      </c>
      <c r="BL174" s="17">
        <f>'Combined data'!BL174-'Combined data'!BK174</f>
        <v>1</v>
      </c>
      <c r="BM174" s="17">
        <f>'Combined data'!BM174-'Combined data'!BL174</f>
        <v>1</v>
      </c>
      <c r="BN174" s="17">
        <f>'Combined data'!BN174-'Combined data'!BM174</f>
        <v>1</v>
      </c>
      <c r="BO174" s="17">
        <f>'Combined data'!BO174-'Combined data'!BN174</f>
        <v>-105</v>
      </c>
      <c r="BP174" s="17">
        <f>'Combined data'!BP174-'Combined data'!BO174</f>
        <v>0</v>
      </c>
      <c r="BQ174" s="17">
        <f>'Combined data'!BQ174-'Combined data'!BP174</f>
        <v>0</v>
      </c>
      <c r="BR174" s="17">
        <f>'Combined data'!BR174-'Combined data'!BQ174</f>
        <v>0</v>
      </c>
      <c r="BS174" s="17">
        <f>'Combined data'!BS174-'Combined data'!BR174</f>
        <v>0</v>
      </c>
      <c r="BT174" s="17">
        <f>'Combined data'!BT174-'Combined data'!BS174</f>
        <v>0</v>
      </c>
      <c r="BU174" s="17">
        <f>'Combined data'!BU174-'Combined data'!BT174</f>
        <v>0</v>
      </c>
      <c r="BV174" s="17">
        <f>'Combined data'!BV174-'Combined data'!BU174</f>
        <v>0</v>
      </c>
      <c r="BW174" s="17">
        <f>'Combined data'!BW174-'Combined data'!BV174</f>
        <v>0</v>
      </c>
      <c r="BX174" s="17">
        <f>'Combined data'!BX174-'Combined data'!BW174</f>
        <v>0</v>
      </c>
      <c r="BY174" s="17">
        <f>'Combined data'!BY174-'Combined data'!BX174</f>
        <v>0</v>
      </c>
      <c r="CB174" s="17">
        <f t="shared" ref="CB174:CB207" si="131">AR174</f>
        <v>46</v>
      </c>
      <c r="CC174" s="17">
        <f t="shared" ref="CC174:CC207" si="132">AS174</f>
        <v>6</v>
      </c>
      <c r="CD174" s="17">
        <f t="shared" ref="CD174:CD207" si="133">AT174</f>
        <v>7</v>
      </c>
      <c r="CE174" s="17">
        <f t="shared" ref="CE174:CE207" si="134">AU174</f>
        <v>11</v>
      </c>
      <c r="CF174" s="17">
        <f t="shared" ref="CF174:CF207" si="135">AV174</f>
        <v>3</v>
      </c>
      <c r="CG174" s="17">
        <f t="shared" ref="CG174:CG207" si="136">AW174</f>
        <v>5</v>
      </c>
      <c r="CH174" s="17">
        <f t="shared" ref="CH174:CH207" si="137">AX174</f>
        <v>2</v>
      </c>
      <c r="CI174" s="17">
        <f t="shared" ref="CI174:CI207" si="138">AY174</f>
        <v>0</v>
      </c>
      <c r="CJ174" s="17">
        <f t="shared" ref="CJ174:CJ207" si="139">AZ174</f>
        <v>3</v>
      </c>
      <c r="CK174" s="17">
        <f t="shared" ref="CK174:CK207" si="140">BA174</f>
        <v>2</v>
      </c>
      <c r="CL174" s="17">
        <f t="shared" ref="CL174:CL207" si="141">BB174</f>
        <v>2</v>
      </c>
      <c r="CM174" s="17">
        <f t="shared" ref="CM174:CM207" si="142">BC174</f>
        <v>8</v>
      </c>
      <c r="CN174" s="17">
        <f t="shared" ref="CN174:CN207" si="143">BD174</f>
        <v>4</v>
      </c>
      <c r="CO174" s="17">
        <f t="shared" ref="CO174:CO207" si="144">BE174</f>
        <v>1</v>
      </c>
      <c r="CP174" s="17">
        <f t="shared" ref="CP174:CP207" si="145">BF174</f>
        <v>0</v>
      </c>
      <c r="CQ174" s="17">
        <f t="shared" ref="CQ174:CQ207" si="146">BG174</f>
        <v>2</v>
      </c>
      <c r="CR174" s="17">
        <f t="shared" ref="CR174:CR207" si="147">BH174</f>
        <v>0</v>
      </c>
      <c r="CS174" s="17">
        <f t="shared" ref="CS174:CS207" si="148">BI174</f>
        <v>0</v>
      </c>
      <c r="CT174" s="17">
        <f t="shared" ref="CT174:CT207" si="149">BJ174</f>
        <v>0</v>
      </c>
      <c r="CU174" s="17">
        <f t="shared" ref="CU174:CU207" si="150">BK174</f>
        <v>0</v>
      </c>
      <c r="CV174" s="17">
        <f t="shared" ref="CV174:CV207" si="151">BL174</f>
        <v>1</v>
      </c>
      <c r="CW174" s="17">
        <f t="shared" ref="CW174:CW207" si="152">BM174</f>
        <v>1</v>
      </c>
      <c r="CX174" s="17">
        <f t="shared" ref="CX174:DI189" si="153">BN174</f>
        <v>1</v>
      </c>
      <c r="CY174" s="17">
        <f t="shared" si="153"/>
        <v>-105</v>
      </c>
      <c r="CZ174" s="17">
        <f t="shared" si="153"/>
        <v>0</v>
      </c>
      <c r="DA174" s="17">
        <f t="shared" si="153"/>
        <v>0</v>
      </c>
      <c r="DB174" s="17">
        <f t="shared" si="153"/>
        <v>0</v>
      </c>
      <c r="DC174" s="17">
        <f t="shared" si="153"/>
        <v>0</v>
      </c>
      <c r="DD174" s="17">
        <f t="shared" si="153"/>
        <v>0</v>
      </c>
      <c r="DE174" s="17">
        <f t="shared" si="153"/>
        <v>0</v>
      </c>
      <c r="DF174" s="17">
        <f t="shared" si="153"/>
        <v>0</v>
      </c>
      <c r="DG174" s="17">
        <f t="shared" si="153"/>
        <v>0</v>
      </c>
      <c r="DH174" s="17">
        <f t="shared" si="153"/>
        <v>0</v>
      </c>
      <c r="DI174" s="17">
        <f t="shared" si="153"/>
        <v>0</v>
      </c>
    </row>
    <row r="175" spans="1:113" ht="15.75" x14ac:dyDescent="0.25">
      <c r="A175" s="4" t="s">
        <v>389</v>
      </c>
      <c r="B175" s="6" t="s">
        <v>390</v>
      </c>
      <c r="H175" s="90">
        <f>'Combined data'!H175</f>
        <v>122</v>
      </c>
      <c r="I175" s="90">
        <f>'Combined data'!I175-'Combined data'!H175</f>
        <v>8</v>
      </c>
      <c r="J175" s="90">
        <f>'Combined data'!J175-'Combined data'!I175</f>
        <v>16</v>
      </c>
      <c r="K175" s="90">
        <f>'Combined data'!K175-'Combined data'!J175</f>
        <v>13</v>
      </c>
      <c r="L175" s="90">
        <f>'Combined data'!L175-'Combined data'!K175</f>
        <v>4</v>
      </c>
      <c r="M175" s="90">
        <f>'Combined data'!M175-'Combined data'!L175</f>
        <v>4</v>
      </c>
      <c r="N175" s="90">
        <f>'Combined data'!N175-'Combined data'!M175</f>
        <v>18</v>
      </c>
      <c r="O175" s="90">
        <f>'Combined data'!O175-'Combined data'!N175</f>
        <v>1</v>
      </c>
      <c r="P175" s="90">
        <f>'Combined data'!P175-'Combined data'!O175</f>
        <v>9</v>
      </c>
      <c r="Q175" s="90">
        <f>'Combined data'!Q175-'Combined data'!P175</f>
        <v>-2</v>
      </c>
      <c r="R175" s="90">
        <f>'Combined data'!R175-'Combined data'!Q175</f>
        <v>6</v>
      </c>
      <c r="S175" s="90">
        <f>'Combined data'!S175-'Combined data'!R175</f>
        <v>5</v>
      </c>
      <c r="T175" s="90">
        <f>'Combined data'!T175-'Combined data'!S175</f>
        <v>3</v>
      </c>
      <c r="U175" s="90">
        <f>'Combined data'!U175-'Combined data'!T175</f>
        <v>4</v>
      </c>
      <c r="V175" s="90">
        <f>'Combined data'!V175-'Combined data'!U175</f>
        <v>8</v>
      </c>
      <c r="W175" s="90">
        <f>'Combined data'!W175-'Combined data'!V175</f>
        <v>2</v>
      </c>
      <c r="X175" s="90">
        <f>'Combined data'!X175-'Combined data'!W175</f>
        <v>5</v>
      </c>
      <c r="Y175" s="90">
        <f>'Combined data'!Y175-'Combined data'!X175</f>
        <v>8</v>
      </c>
      <c r="Z175" s="90">
        <f>'Combined data'!Z175-'Combined data'!Y175</f>
        <v>4</v>
      </c>
      <c r="AA175" s="90">
        <f>'Combined data'!AA175-'Combined data'!Z175</f>
        <v>0</v>
      </c>
      <c r="AB175" s="90">
        <f>'Combined data'!AB175-'Combined data'!AA175</f>
        <v>1</v>
      </c>
      <c r="AC175" s="90">
        <f>'Combined data'!AC175-'Combined data'!AB175</f>
        <v>1</v>
      </c>
      <c r="AD175" s="90">
        <f>'Combined data'!AD175-'Combined data'!AC175</f>
        <v>5</v>
      </c>
      <c r="AE175" s="90">
        <f>'Combined data'!AE175-'Combined data'!AD175</f>
        <v>-245</v>
      </c>
      <c r="AF175" s="90">
        <f>'Combined data'!AF175-'Combined data'!AE175</f>
        <v>0</v>
      </c>
      <c r="AG175" s="90">
        <f>'Combined data'!AG175-'Combined data'!AF175</f>
        <v>0</v>
      </c>
      <c r="AH175" s="90">
        <f>'Combined data'!AH175-'Combined data'!AG175</f>
        <v>0</v>
      </c>
      <c r="AI175" s="90">
        <f>'Combined data'!AI175-'Combined data'!AH175</f>
        <v>0</v>
      </c>
      <c r="AJ175" s="90">
        <f>'Combined data'!AJ175-'Combined data'!AI175</f>
        <v>0</v>
      </c>
      <c r="AK175" s="90">
        <f>'Combined data'!AK175-'Combined data'!AJ175</f>
        <v>0</v>
      </c>
      <c r="AL175" s="90">
        <f>'Combined data'!AL175-'Combined data'!AK175</f>
        <v>0</v>
      </c>
      <c r="AM175" s="90">
        <f>'Combined data'!AM175-'Combined data'!AL175</f>
        <v>0</v>
      </c>
      <c r="AN175" s="90">
        <f>'Combined data'!AN175-'Combined data'!AM175</f>
        <v>0</v>
      </c>
      <c r="AO175" s="90">
        <f>'Combined data'!AO175-'Combined data'!AN175</f>
        <v>0</v>
      </c>
      <c r="AP175" s="56">
        <f t="shared" si="121"/>
        <v>0</v>
      </c>
      <c r="AQ175" s="113"/>
      <c r="AR175" s="17">
        <f>'Combined data'!AR175</f>
        <v>47</v>
      </c>
      <c r="AS175" s="17">
        <f>'Combined data'!AS175-'Combined data'!AR175</f>
        <v>6</v>
      </c>
      <c r="AT175" s="17">
        <f>'Combined data'!AT175-'Combined data'!AS175</f>
        <v>5</v>
      </c>
      <c r="AU175" s="17">
        <f>'Combined data'!AU175-'Combined data'!AT175</f>
        <v>11</v>
      </c>
      <c r="AV175" s="17">
        <f>'Combined data'!AV175-'Combined data'!AU175</f>
        <v>10</v>
      </c>
      <c r="AW175" s="17">
        <f>'Combined data'!AW175-'Combined data'!AV175</f>
        <v>7</v>
      </c>
      <c r="AX175" s="17">
        <f>'Combined data'!AX175-'Combined data'!AW175</f>
        <v>8</v>
      </c>
      <c r="AY175" s="17">
        <f>'Combined data'!AY175-'Combined data'!AX175</f>
        <v>12</v>
      </c>
      <c r="AZ175" s="17">
        <f>'Combined data'!AZ175-'Combined data'!AY175</f>
        <v>4</v>
      </c>
      <c r="BA175" s="17">
        <f>'Combined data'!BA175-'Combined data'!AZ175</f>
        <v>14</v>
      </c>
      <c r="BB175" s="17">
        <f>'Combined data'!BB175-'Combined data'!BA175</f>
        <v>0</v>
      </c>
      <c r="BC175" s="17">
        <f>'Combined data'!BC175-'Combined data'!BB175</f>
        <v>3</v>
      </c>
      <c r="BD175" s="17">
        <f>'Combined data'!BD175-'Combined data'!BC175</f>
        <v>7</v>
      </c>
      <c r="BE175" s="17">
        <f>'Combined data'!BE175-'Combined data'!BD175</f>
        <v>10</v>
      </c>
      <c r="BF175" s="17">
        <f>'Combined data'!BF175-'Combined data'!BE175</f>
        <v>11</v>
      </c>
      <c r="BG175" s="17">
        <f>'Combined data'!BG175-'Combined data'!BF175</f>
        <v>0</v>
      </c>
      <c r="BH175" s="17">
        <f>'Combined data'!BH175-'Combined data'!BG175</f>
        <v>4</v>
      </c>
      <c r="BI175" s="17">
        <f>'Combined data'!BI175-'Combined data'!BH175</f>
        <v>1</v>
      </c>
      <c r="BJ175" s="17">
        <f>'Combined data'!BJ175-'Combined data'!BI175</f>
        <v>8</v>
      </c>
      <c r="BK175" s="17">
        <f>'Combined data'!BK175-'Combined data'!BJ175</f>
        <v>6</v>
      </c>
      <c r="BL175" s="17">
        <f>'Combined data'!BL175-'Combined data'!BK175</f>
        <v>6</v>
      </c>
      <c r="BM175" s="17">
        <f>'Combined data'!BM175-'Combined data'!BL175</f>
        <v>5</v>
      </c>
      <c r="BN175" s="17">
        <f>'Combined data'!BN175-'Combined data'!BM175</f>
        <v>0</v>
      </c>
      <c r="BO175" s="17">
        <f>'Combined data'!BO175-'Combined data'!BN175</f>
        <v>-185</v>
      </c>
      <c r="BP175" s="17">
        <f>'Combined data'!BP175-'Combined data'!BO175</f>
        <v>0</v>
      </c>
      <c r="BQ175" s="17">
        <f>'Combined data'!BQ175-'Combined data'!BP175</f>
        <v>0</v>
      </c>
      <c r="BR175" s="17">
        <f>'Combined data'!BR175-'Combined data'!BQ175</f>
        <v>0</v>
      </c>
      <c r="BS175" s="17">
        <f>'Combined data'!BS175-'Combined data'!BR175</f>
        <v>0</v>
      </c>
      <c r="BT175" s="17">
        <f>'Combined data'!BT175-'Combined data'!BS175</f>
        <v>0</v>
      </c>
      <c r="BU175" s="17">
        <f>'Combined data'!BU175-'Combined data'!BT175</f>
        <v>0</v>
      </c>
      <c r="BV175" s="17">
        <f>'Combined data'!BV175-'Combined data'!BU175</f>
        <v>0</v>
      </c>
      <c r="BW175" s="17">
        <f>'Combined data'!BW175-'Combined data'!BV175</f>
        <v>0</v>
      </c>
      <c r="BX175" s="17">
        <f>'Combined data'!BX175-'Combined data'!BW175</f>
        <v>0</v>
      </c>
      <c r="BY175" s="17">
        <f>'Combined data'!BY175-'Combined data'!BX175</f>
        <v>0</v>
      </c>
      <c r="CB175" s="17">
        <f t="shared" si="131"/>
        <v>47</v>
      </c>
      <c r="CC175" s="17">
        <f t="shared" si="132"/>
        <v>6</v>
      </c>
      <c r="CD175" s="17">
        <f t="shared" si="133"/>
        <v>5</v>
      </c>
      <c r="CE175" s="17">
        <f t="shared" si="134"/>
        <v>11</v>
      </c>
      <c r="CF175" s="17">
        <f t="shared" si="135"/>
        <v>10</v>
      </c>
      <c r="CG175" s="17">
        <f t="shared" si="136"/>
        <v>7</v>
      </c>
      <c r="CH175" s="17">
        <f t="shared" si="137"/>
        <v>8</v>
      </c>
      <c r="CI175" s="17">
        <f t="shared" si="138"/>
        <v>12</v>
      </c>
      <c r="CJ175" s="17">
        <f t="shared" si="139"/>
        <v>4</v>
      </c>
      <c r="CK175" s="17">
        <f t="shared" si="140"/>
        <v>14</v>
      </c>
      <c r="CL175" s="17">
        <f t="shared" si="141"/>
        <v>0</v>
      </c>
      <c r="CM175" s="17">
        <f t="shared" si="142"/>
        <v>3</v>
      </c>
      <c r="CN175" s="17">
        <f t="shared" si="143"/>
        <v>7</v>
      </c>
      <c r="CO175" s="17">
        <f t="shared" si="144"/>
        <v>10</v>
      </c>
      <c r="CP175" s="17">
        <f t="shared" si="145"/>
        <v>11</v>
      </c>
      <c r="CQ175" s="17">
        <f t="shared" si="146"/>
        <v>0</v>
      </c>
      <c r="CR175" s="17">
        <f t="shared" si="147"/>
        <v>4</v>
      </c>
      <c r="CS175" s="17">
        <f t="shared" si="148"/>
        <v>1</v>
      </c>
      <c r="CT175" s="17">
        <f t="shared" si="149"/>
        <v>8</v>
      </c>
      <c r="CU175" s="17">
        <f t="shared" si="150"/>
        <v>6</v>
      </c>
      <c r="CV175" s="17">
        <f t="shared" si="151"/>
        <v>6</v>
      </c>
      <c r="CW175" s="17">
        <f t="shared" si="152"/>
        <v>5</v>
      </c>
      <c r="CX175" s="17">
        <f t="shared" si="153"/>
        <v>0</v>
      </c>
      <c r="CY175" s="17">
        <f t="shared" si="153"/>
        <v>-185</v>
      </c>
      <c r="CZ175" s="17">
        <f t="shared" si="153"/>
        <v>0</v>
      </c>
      <c r="DA175" s="17">
        <f t="shared" si="153"/>
        <v>0</v>
      </c>
      <c r="DB175" s="17">
        <f t="shared" si="153"/>
        <v>0</v>
      </c>
      <c r="DC175" s="17">
        <f t="shared" si="153"/>
        <v>0</v>
      </c>
      <c r="DD175" s="17">
        <f t="shared" si="153"/>
        <v>0</v>
      </c>
      <c r="DE175" s="17">
        <f t="shared" si="153"/>
        <v>0</v>
      </c>
      <c r="DF175" s="17">
        <f t="shared" si="153"/>
        <v>0</v>
      </c>
      <c r="DG175" s="17">
        <f t="shared" si="153"/>
        <v>0</v>
      </c>
      <c r="DH175" s="17">
        <f t="shared" si="153"/>
        <v>0</v>
      </c>
      <c r="DI175" s="17">
        <f t="shared" si="153"/>
        <v>0</v>
      </c>
    </row>
    <row r="176" spans="1:113" ht="15.75" x14ac:dyDescent="0.25">
      <c r="A176" s="4" t="s">
        <v>391</v>
      </c>
      <c r="B176" s="6" t="s">
        <v>392</v>
      </c>
      <c r="H176" s="90">
        <f>'Combined data'!H176</f>
        <v>94</v>
      </c>
      <c r="I176" s="90">
        <f>'Combined data'!I176-'Combined data'!H176</f>
        <v>3</v>
      </c>
      <c r="J176" s="90">
        <f>'Combined data'!J176-'Combined data'!I176</f>
        <v>16</v>
      </c>
      <c r="K176" s="90">
        <f>'Combined data'!K176-'Combined data'!J176</f>
        <v>14</v>
      </c>
      <c r="L176" s="90">
        <f>'Combined data'!L176-'Combined data'!K176</f>
        <v>5</v>
      </c>
      <c r="M176" s="90">
        <f>'Combined data'!M176-'Combined data'!L176</f>
        <v>10</v>
      </c>
      <c r="N176" s="90">
        <f>'Combined data'!N176-'Combined data'!M176</f>
        <v>15</v>
      </c>
      <c r="O176" s="90">
        <f>'Combined data'!O176-'Combined data'!N176</f>
        <v>3</v>
      </c>
      <c r="P176" s="90">
        <f>'Combined data'!P176-'Combined data'!O176</f>
        <v>10</v>
      </c>
      <c r="Q176" s="90">
        <f>'Combined data'!Q176-'Combined data'!P176</f>
        <v>4</v>
      </c>
      <c r="R176" s="90">
        <f>'Combined data'!R176-'Combined data'!Q176</f>
        <v>5</v>
      </c>
      <c r="S176" s="90">
        <f>'Combined data'!S176-'Combined data'!R176</f>
        <v>1</v>
      </c>
      <c r="T176" s="90">
        <f>'Combined data'!T176-'Combined data'!S176</f>
        <v>1</v>
      </c>
      <c r="U176" s="90">
        <f>'Combined data'!U176-'Combined data'!T176</f>
        <v>9</v>
      </c>
      <c r="V176" s="90">
        <f>'Combined data'!V176-'Combined data'!U176</f>
        <v>4</v>
      </c>
      <c r="W176" s="90">
        <f>'Combined data'!W176-'Combined data'!V176</f>
        <v>3</v>
      </c>
      <c r="X176" s="90">
        <f>'Combined data'!X176-'Combined data'!W176</f>
        <v>2</v>
      </c>
      <c r="Y176" s="90">
        <f>'Combined data'!Y176-'Combined data'!X176</f>
        <v>0</v>
      </c>
      <c r="Z176" s="90">
        <f>'Combined data'!Z176-'Combined data'!Y176</f>
        <v>4</v>
      </c>
      <c r="AA176" s="90">
        <f>'Combined data'!AA176-'Combined data'!Z176</f>
        <v>0</v>
      </c>
      <c r="AB176" s="90">
        <f>'Combined data'!AB176-'Combined data'!AA176</f>
        <v>3</v>
      </c>
      <c r="AC176" s="90">
        <f>'Combined data'!AC176-'Combined data'!AB176</f>
        <v>2</v>
      </c>
      <c r="AD176" s="90">
        <f>'Combined data'!AD176-'Combined data'!AC176</f>
        <v>8</v>
      </c>
      <c r="AE176" s="90">
        <f>'Combined data'!AE176-'Combined data'!AD176</f>
        <v>-216</v>
      </c>
      <c r="AF176" s="90">
        <f>'Combined data'!AF176-'Combined data'!AE176</f>
        <v>0</v>
      </c>
      <c r="AG176" s="90">
        <f>'Combined data'!AG176-'Combined data'!AF176</f>
        <v>0</v>
      </c>
      <c r="AH176" s="90">
        <f>'Combined data'!AH176-'Combined data'!AG176</f>
        <v>0</v>
      </c>
      <c r="AI176" s="90">
        <f>'Combined data'!AI176-'Combined data'!AH176</f>
        <v>0</v>
      </c>
      <c r="AJ176" s="90">
        <f>'Combined data'!AJ176-'Combined data'!AI176</f>
        <v>0</v>
      </c>
      <c r="AK176" s="90">
        <f>'Combined data'!AK176-'Combined data'!AJ176</f>
        <v>0</v>
      </c>
      <c r="AL176" s="90">
        <f>'Combined data'!AL176-'Combined data'!AK176</f>
        <v>0</v>
      </c>
      <c r="AM176" s="90">
        <f>'Combined data'!AM176-'Combined data'!AL176</f>
        <v>0</v>
      </c>
      <c r="AN176" s="90">
        <f>'Combined data'!AN176-'Combined data'!AM176</f>
        <v>0</v>
      </c>
      <c r="AO176" s="90">
        <f>'Combined data'!AO176-'Combined data'!AN176</f>
        <v>0</v>
      </c>
      <c r="AP176" s="56">
        <f t="shared" si="121"/>
        <v>0</v>
      </c>
      <c r="AQ176" s="113"/>
      <c r="AR176" s="17">
        <f>'Combined data'!AR176</f>
        <v>45</v>
      </c>
      <c r="AS176" s="17">
        <f>'Combined data'!AS176-'Combined data'!AR176</f>
        <v>14</v>
      </c>
      <c r="AT176" s="17">
        <f>'Combined data'!AT176-'Combined data'!AS176</f>
        <v>2</v>
      </c>
      <c r="AU176" s="17">
        <f>'Combined data'!AU176-'Combined data'!AT176</f>
        <v>10</v>
      </c>
      <c r="AV176" s="17">
        <f>'Combined data'!AV176-'Combined data'!AU176</f>
        <v>18</v>
      </c>
      <c r="AW176" s="17">
        <f>'Combined data'!AW176-'Combined data'!AV176</f>
        <v>5</v>
      </c>
      <c r="AX176" s="17">
        <f>'Combined data'!AX176-'Combined data'!AW176</f>
        <v>12</v>
      </c>
      <c r="AY176" s="17">
        <f>'Combined data'!AY176-'Combined data'!AX176</f>
        <v>3</v>
      </c>
      <c r="AZ176" s="17">
        <f>'Combined data'!AZ176-'Combined data'!AY176</f>
        <v>2</v>
      </c>
      <c r="BA176" s="17">
        <f>'Combined data'!BA176-'Combined data'!AZ176</f>
        <v>4</v>
      </c>
      <c r="BB176" s="17">
        <f>'Combined data'!BB176-'Combined data'!BA176</f>
        <v>7</v>
      </c>
      <c r="BC176" s="17">
        <f>'Combined data'!BC176-'Combined data'!BB176</f>
        <v>16</v>
      </c>
      <c r="BD176" s="17">
        <f>'Combined data'!BD176-'Combined data'!BC176</f>
        <v>10</v>
      </c>
      <c r="BE176" s="17">
        <f>'Combined data'!BE176-'Combined data'!BD176</f>
        <v>2</v>
      </c>
      <c r="BF176" s="17">
        <f>'Combined data'!BF176-'Combined data'!BE176</f>
        <v>5</v>
      </c>
      <c r="BG176" s="17">
        <f>'Combined data'!BG176-'Combined data'!BF176</f>
        <v>2</v>
      </c>
      <c r="BH176" s="17">
        <f>'Combined data'!BH176-'Combined data'!BG176</f>
        <v>4</v>
      </c>
      <c r="BI176" s="17">
        <f>'Combined data'!BI176-'Combined data'!BH176</f>
        <v>2</v>
      </c>
      <c r="BJ176" s="17">
        <f>'Combined data'!BJ176-'Combined data'!BI176</f>
        <v>0</v>
      </c>
      <c r="BK176" s="17">
        <f>'Combined data'!BK176-'Combined data'!BJ176</f>
        <v>2</v>
      </c>
      <c r="BL176" s="17">
        <f>'Combined data'!BL176-'Combined data'!BK176</f>
        <v>3</v>
      </c>
      <c r="BM176" s="17">
        <f>'Combined data'!BM176-'Combined data'!BL176</f>
        <v>0</v>
      </c>
      <c r="BN176" s="17">
        <f>'Combined data'!BN176-'Combined data'!BM176</f>
        <v>1</v>
      </c>
      <c r="BO176" s="17">
        <f>'Combined data'!BO176-'Combined data'!BN176</f>
        <v>-169</v>
      </c>
      <c r="BP176" s="17">
        <f>'Combined data'!BP176-'Combined data'!BO176</f>
        <v>0</v>
      </c>
      <c r="BQ176" s="17">
        <f>'Combined data'!BQ176-'Combined data'!BP176</f>
        <v>0</v>
      </c>
      <c r="BR176" s="17">
        <f>'Combined data'!BR176-'Combined data'!BQ176</f>
        <v>0</v>
      </c>
      <c r="BS176" s="17">
        <f>'Combined data'!BS176-'Combined data'!BR176</f>
        <v>0</v>
      </c>
      <c r="BT176" s="17">
        <f>'Combined data'!BT176-'Combined data'!BS176</f>
        <v>0</v>
      </c>
      <c r="BU176" s="17">
        <f>'Combined data'!BU176-'Combined data'!BT176</f>
        <v>0</v>
      </c>
      <c r="BV176" s="17">
        <f>'Combined data'!BV176-'Combined data'!BU176</f>
        <v>0</v>
      </c>
      <c r="BW176" s="17">
        <f>'Combined data'!BW176-'Combined data'!BV176</f>
        <v>0</v>
      </c>
      <c r="BX176" s="17">
        <f>'Combined data'!BX176-'Combined data'!BW176</f>
        <v>0</v>
      </c>
      <c r="BY176" s="17">
        <f>'Combined data'!BY176-'Combined data'!BX176</f>
        <v>0</v>
      </c>
      <c r="CB176" s="17">
        <f t="shared" si="131"/>
        <v>45</v>
      </c>
      <c r="CC176" s="17">
        <f t="shared" si="132"/>
        <v>14</v>
      </c>
      <c r="CD176" s="17">
        <f t="shared" si="133"/>
        <v>2</v>
      </c>
      <c r="CE176" s="17">
        <f t="shared" si="134"/>
        <v>10</v>
      </c>
      <c r="CF176" s="17">
        <f t="shared" si="135"/>
        <v>18</v>
      </c>
      <c r="CG176" s="17">
        <f t="shared" si="136"/>
        <v>5</v>
      </c>
      <c r="CH176" s="17">
        <f t="shared" si="137"/>
        <v>12</v>
      </c>
      <c r="CI176" s="17">
        <f t="shared" si="138"/>
        <v>3</v>
      </c>
      <c r="CJ176" s="17">
        <f t="shared" si="139"/>
        <v>2</v>
      </c>
      <c r="CK176" s="17">
        <f t="shared" si="140"/>
        <v>4</v>
      </c>
      <c r="CL176" s="17">
        <f t="shared" si="141"/>
        <v>7</v>
      </c>
      <c r="CM176" s="17">
        <f t="shared" si="142"/>
        <v>16</v>
      </c>
      <c r="CN176" s="17">
        <f t="shared" si="143"/>
        <v>10</v>
      </c>
      <c r="CO176" s="17">
        <f t="shared" si="144"/>
        <v>2</v>
      </c>
      <c r="CP176" s="17">
        <f t="shared" si="145"/>
        <v>5</v>
      </c>
      <c r="CQ176" s="17">
        <f t="shared" si="146"/>
        <v>2</v>
      </c>
      <c r="CR176" s="17">
        <f t="shared" si="147"/>
        <v>4</v>
      </c>
      <c r="CS176" s="17">
        <f t="shared" si="148"/>
        <v>2</v>
      </c>
      <c r="CT176" s="17">
        <f t="shared" si="149"/>
        <v>0</v>
      </c>
      <c r="CU176" s="17">
        <f t="shared" si="150"/>
        <v>2</v>
      </c>
      <c r="CV176" s="17">
        <f t="shared" si="151"/>
        <v>3</v>
      </c>
      <c r="CW176" s="17">
        <f t="shared" si="152"/>
        <v>0</v>
      </c>
      <c r="CX176" s="17">
        <f t="shared" si="153"/>
        <v>1</v>
      </c>
      <c r="CY176" s="17">
        <f t="shared" si="153"/>
        <v>-169</v>
      </c>
      <c r="CZ176" s="17">
        <f t="shared" si="153"/>
        <v>0</v>
      </c>
      <c r="DA176" s="17">
        <f t="shared" si="153"/>
        <v>0</v>
      </c>
      <c r="DB176" s="17">
        <f t="shared" si="153"/>
        <v>0</v>
      </c>
      <c r="DC176" s="17">
        <f t="shared" si="153"/>
        <v>0</v>
      </c>
      <c r="DD176" s="17">
        <f t="shared" si="153"/>
        <v>0</v>
      </c>
      <c r="DE176" s="17">
        <f t="shared" si="153"/>
        <v>0</v>
      </c>
      <c r="DF176" s="17">
        <f t="shared" si="153"/>
        <v>0</v>
      </c>
      <c r="DG176" s="17">
        <f t="shared" si="153"/>
        <v>0</v>
      </c>
      <c r="DH176" s="17">
        <f t="shared" si="153"/>
        <v>0</v>
      </c>
      <c r="DI176" s="17">
        <f t="shared" si="153"/>
        <v>0</v>
      </c>
    </row>
    <row r="177" spans="1:113" ht="15.75" x14ac:dyDescent="0.25">
      <c r="A177" s="4" t="s">
        <v>393</v>
      </c>
      <c r="B177" s="6" t="s">
        <v>394</v>
      </c>
      <c r="H177" s="90">
        <f>'Combined data'!H177</f>
        <v>92</v>
      </c>
      <c r="I177" s="90">
        <f>'Combined data'!I177-'Combined data'!H177</f>
        <v>11</v>
      </c>
      <c r="J177" s="90">
        <f>'Combined data'!J177-'Combined data'!I177</f>
        <v>1</v>
      </c>
      <c r="K177" s="90">
        <f>'Combined data'!K177-'Combined data'!J177</f>
        <v>16</v>
      </c>
      <c r="L177" s="90">
        <f>'Combined data'!L177-'Combined data'!K177</f>
        <v>4</v>
      </c>
      <c r="M177" s="90">
        <f>'Combined data'!M177-'Combined data'!L177</f>
        <v>3</v>
      </c>
      <c r="N177" s="90">
        <f>'Combined data'!N177-'Combined data'!M177</f>
        <v>8</v>
      </c>
      <c r="O177" s="90">
        <f>'Combined data'!O177-'Combined data'!N177</f>
        <v>6</v>
      </c>
      <c r="P177" s="90">
        <f>'Combined data'!P177-'Combined data'!O177</f>
        <v>0</v>
      </c>
      <c r="Q177" s="90">
        <f>'Combined data'!Q177-'Combined data'!P177</f>
        <v>7</v>
      </c>
      <c r="R177" s="90">
        <f>'Combined data'!R177-'Combined data'!Q177</f>
        <v>0</v>
      </c>
      <c r="S177" s="90">
        <f>'Combined data'!S177-'Combined data'!R177</f>
        <v>0</v>
      </c>
      <c r="T177" s="90">
        <f>'Combined data'!T177-'Combined data'!S177</f>
        <v>0</v>
      </c>
      <c r="U177" s="90">
        <f>'Combined data'!U177-'Combined data'!T177</f>
        <v>11</v>
      </c>
      <c r="V177" s="90">
        <f>'Combined data'!V177-'Combined data'!U177</f>
        <v>1</v>
      </c>
      <c r="W177" s="90">
        <f>'Combined data'!W177-'Combined data'!V177</f>
        <v>0</v>
      </c>
      <c r="X177" s="90">
        <f>'Combined data'!X177-'Combined data'!W177</f>
        <v>0</v>
      </c>
      <c r="Y177" s="90">
        <f>'Combined data'!Y177-'Combined data'!X177</f>
        <v>1</v>
      </c>
      <c r="Z177" s="90">
        <f>'Combined data'!Z177-'Combined data'!Y177</f>
        <v>0</v>
      </c>
      <c r="AA177" s="90">
        <f>'Combined data'!AA177-'Combined data'!Z177</f>
        <v>0</v>
      </c>
      <c r="AB177" s="90">
        <f>'Combined data'!AB177-'Combined data'!AA177</f>
        <v>0</v>
      </c>
      <c r="AC177" s="90">
        <f>'Combined data'!AC177-'Combined data'!AB177</f>
        <v>1</v>
      </c>
      <c r="AD177" s="90">
        <f>'Combined data'!AD177-'Combined data'!AC177</f>
        <v>8</v>
      </c>
      <c r="AE177" s="90">
        <f>'Combined data'!AE177-'Combined data'!AD177</f>
        <v>-170</v>
      </c>
      <c r="AF177" s="90">
        <f>'Combined data'!AF177-'Combined data'!AE177</f>
        <v>0</v>
      </c>
      <c r="AG177" s="90">
        <f>'Combined data'!AG177-'Combined data'!AF177</f>
        <v>0</v>
      </c>
      <c r="AH177" s="90">
        <f>'Combined data'!AH177-'Combined data'!AG177</f>
        <v>0</v>
      </c>
      <c r="AI177" s="90">
        <f>'Combined data'!AI177-'Combined data'!AH177</f>
        <v>0</v>
      </c>
      <c r="AJ177" s="90">
        <f>'Combined data'!AJ177-'Combined data'!AI177</f>
        <v>0</v>
      </c>
      <c r="AK177" s="90">
        <f>'Combined data'!AK177-'Combined data'!AJ177</f>
        <v>0</v>
      </c>
      <c r="AL177" s="90">
        <f>'Combined data'!AL177-'Combined data'!AK177</f>
        <v>0</v>
      </c>
      <c r="AM177" s="90">
        <f>'Combined data'!AM177-'Combined data'!AL177</f>
        <v>0</v>
      </c>
      <c r="AN177" s="90">
        <f>'Combined data'!AN177-'Combined data'!AM177</f>
        <v>0</v>
      </c>
      <c r="AO177" s="90">
        <f>'Combined data'!AO177-'Combined data'!AN177</f>
        <v>0</v>
      </c>
      <c r="AP177" s="56">
        <f t="shared" si="121"/>
        <v>0</v>
      </c>
      <c r="AQ177" s="113"/>
      <c r="AR177" s="17">
        <f>'Combined data'!AR177</f>
        <v>30</v>
      </c>
      <c r="AS177" s="17">
        <f>'Combined data'!AS177-'Combined data'!AR177</f>
        <v>0</v>
      </c>
      <c r="AT177" s="17">
        <f>'Combined data'!AT177-'Combined data'!AS177</f>
        <v>7</v>
      </c>
      <c r="AU177" s="17">
        <f>'Combined data'!AU177-'Combined data'!AT177</f>
        <v>8</v>
      </c>
      <c r="AV177" s="17">
        <f>'Combined data'!AV177-'Combined data'!AU177</f>
        <v>4</v>
      </c>
      <c r="AW177" s="17">
        <f>'Combined data'!AW177-'Combined data'!AV177</f>
        <v>5</v>
      </c>
      <c r="AX177" s="17">
        <f>'Combined data'!AX177-'Combined data'!AW177</f>
        <v>15</v>
      </c>
      <c r="AY177" s="17">
        <f>'Combined data'!AY177-'Combined data'!AX177</f>
        <v>6</v>
      </c>
      <c r="AZ177" s="17">
        <f>'Combined data'!AZ177-'Combined data'!AY177</f>
        <v>3</v>
      </c>
      <c r="BA177" s="17">
        <f>'Combined data'!BA177-'Combined data'!AZ177</f>
        <v>9</v>
      </c>
      <c r="BB177" s="17">
        <f>'Combined data'!BB177-'Combined data'!BA177</f>
        <v>4</v>
      </c>
      <c r="BC177" s="17">
        <f>'Combined data'!BC177-'Combined data'!BB177</f>
        <v>0</v>
      </c>
      <c r="BD177" s="17">
        <f>'Combined data'!BD177-'Combined data'!BC177</f>
        <v>1</v>
      </c>
      <c r="BE177" s="17">
        <f>'Combined data'!BE177-'Combined data'!BD177</f>
        <v>3</v>
      </c>
      <c r="BF177" s="17">
        <f>'Combined data'!BF177-'Combined data'!BE177</f>
        <v>3</v>
      </c>
      <c r="BG177" s="17">
        <f>'Combined data'!BG177-'Combined data'!BF177</f>
        <v>0</v>
      </c>
      <c r="BH177" s="17">
        <f>'Combined data'!BH177-'Combined data'!BG177</f>
        <v>4</v>
      </c>
      <c r="BI177" s="17">
        <f>'Combined data'!BI177-'Combined data'!BH177</f>
        <v>0</v>
      </c>
      <c r="BJ177" s="17">
        <f>'Combined data'!BJ177-'Combined data'!BI177</f>
        <v>0</v>
      </c>
      <c r="BK177" s="17">
        <f>'Combined data'!BK177-'Combined data'!BJ177</f>
        <v>0</v>
      </c>
      <c r="BL177" s="17">
        <f>'Combined data'!BL177-'Combined data'!BK177</f>
        <v>0</v>
      </c>
      <c r="BM177" s="17">
        <f>'Combined data'!BM177-'Combined data'!BL177</f>
        <v>0</v>
      </c>
      <c r="BN177" s="17">
        <f>'Combined data'!BN177-'Combined data'!BM177</f>
        <v>-1</v>
      </c>
      <c r="BO177" s="17">
        <f>'Combined data'!BO177-'Combined data'!BN177</f>
        <v>-101</v>
      </c>
      <c r="BP177" s="17">
        <f>'Combined data'!BP177-'Combined data'!BO177</f>
        <v>0</v>
      </c>
      <c r="BQ177" s="17">
        <f>'Combined data'!BQ177-'Combined data'!BP177</f>
        <v>0</v>
      </c>
      <c r="BR177" s="17">
        <f>'Combined data'!BR177-'Combined data'!BQ177</f>
        <v>0</v>
      </c>
      <c r="BS177" s="17">
        <f>'Combined data'!BS177-'Combined data'!BR177</f>
        <v>0</v>
      </c>
      <c r="BT177" s="17">
        <f>'Combined data'!BT177-'Combined data'!BS177</f>
        <v>0</v>
      </c>
      <c r="BU177" s="17">
        <f>'Combined data'!BU177-'Combined data'!BT177</f>
        <v>0</v>
      </c>
      <c r="BV177" s="17">
        <f>'Combined data'!BV177-'Combined data'!BU177</f>
        <v>0</v>
      </c>
      <c r="BW177" s="17">
        <f>'Combined data'!BW177-'Combined data'!BV177</f>
        <v>0</v>
      </c>
      <c r="BX177" s="17">
        <f>'Combined data'!BX177-'Combined data'!BW177</f>
        <v>0</v>
      </c>
      <c r="BY177" s="17">
        <f>'Combined data'!BY177-'Combined data'!BX177</f>
        <v>0</v>
      </c>
      <c r="CB177" s="17">
        <f t="shared" si="131"/>
        <v>30</v>
      </c>
      <c r="CC177" s="17">
        <f t="shared" si="132"/>
        <v>0</v>
      </c>
      <c r="CD177" s="17">
        <f t="shared" si="133"/>
        <v>7</v>
      </c>
      <c r="CE177" s="17">
        <f t="shared" si="134"/>
        <v>8</v>
      </c>
      <c r="CF177" s="17">
        <f t="shared" si="135"/>
        <v>4</v>
      </c>
      <c r="CG177" s="17">
        <f t="shared" si="136"/>
        <v>5</v>
      </c>
      <c r="CH177" s="17">
        <f t="shared" si="137"/>
        <v>15</v>
      </c>
      <c r="CI177" s="17">
        <f t="shared" si="138"/>
        <v>6</v>
      </c>
      <c r="CJ177" s="17">
        <f t="shared" si="139"/>
        <v>3</v>
      </c>
      <c r="CK177" s="17">
        <f t="shared" si="140"/>
        <v>9</v>
      </c>
      <c r="CL177" s="17">
        <f t="shared" si="141"/>
        <v>4</v>
      </c>
      <c r="CM177" s="17">
        <f t="shared" si="142"/>
        <v>0</v>
      </c>
      <c r="CN177" s="17">
        <f t="shared" si="143"/>
        <v>1</v>
      </c>
      <c r="CO177" s="17">
        <f t="shared" si="144"/>
        <v>3</v>
      </c>
      <c r="CP177" s="17">
        <f t="shared" si="145"/>
        <v>3</v>
      </c>
      <c r="CQ177" s="17">
        <f t="shared" si="146"/>
        <v>0</v>
      </c>
      <c r="CR177" s="17">
        <f t="shared" si="147"/>
        <v>4</v>
      </c>
      <c r="CS177" s="17">
        <f t="shared" si="148"/>
        <v>0</v>
      </c>
      <c r="CT177" s="17">
        <f t="shared" si="149"/>
        <v>0</v>
      </c>
      <c r="CU177" s="17">
        <f t="shared" si="150"/>
        <v>0</v>
      </c>
      <c r="CV177" s="17">
        <f t="shared" si="151"/>
        <v>0</v>
      </c>
      <c r="CW177" s="17">
        <f t="shared" si="152"/>
        <v>0</v>
      </c>
      <c r="CX177" s="17">
        <f t="shared" si="153"/>
        <v>-1</v>
      </c>
      <c r="CY177" s="17">
        <f t="shared" si="153"/>
        <v>-101</v>
      </c>
      <c r="CZ177" s="17">
        <f t="shared" si="153"/>
        <v>0</v>
      </c>
      <c r="DA177" s="17">
        <f t="shared" si="153"/>
        <v>0</v>
      </c>
      <c r="DB177" s="17">
        <f t="shared" si="153"/>
        <v>0</v>
      </c>
      <c r="DC177" s="17">
        <f t="shared" si="153"/>
        <v>0</v>
      </c>
      <c r="DD177" s="17">
        <f t="shared" si="153"/>
        <v>0</v>
      </c>
      <c r="DE177" s="17">
        <f t="shared" si="153"/>
        <v>0</v>
      </c>
      <c r="DF177" s="17">
        <f t="shared" si="153"/>
        <v>0</v>
      </c>
      <c r="DG177" s="17">
        <f t="shared" si="153"/>
        <v>0</v>
      </c>
      <c r="DH177" s="17">
        <f t="shared" si="153"/>
        <v>0</v>
      </c>
      <c r="DI177" s="17">
        <f t="shared" si="153"/>
        <v>0</v>
      </c>
    </row>
    <row r="178" spans="1:113" ht="15.75" x14ac:dyDescent="0.25">
      <c r="A178" s="4" t="s">
        <v>395</v>
      </c>
      <c r="B178" s="6" t="s">
        <v>396</v>
      </c>
      <c r="H178" s="90">
        <f>'Combined data'!H178</f>
        <v>437</v>
      </c>
      <c r="I178" s="90">
        <f>'Combined data'!I178-'Combined data'!H178</f>
        <v>35</v>
      </c>
      <c r="J178" s="90">
        <f>'Combined data'!J178-'Combined data'!I178</f>
        <v>21</v>
      </c>
      <c r="K178" s="90">
        <f>'Combined data'!K178-'Combined data'!J178</f>
        <v>17</v>
      </c>
      <c r="L178" s="90">
        <f>'Combined data'!L178-'Combined data'!K178</f>
        <v>6</v>
      </c>
      <c r="M178" s="90">
        <f>'Combined data'!M178-'Combined data'!L178</f>
        <v>8</v>
      </c>
      <c r="N178" s="90">
        <f>'Combined data'!N178-'Combined data'!M178</f>
        <v>23</v>
      </c>
      <c r="O178" s="90">
        <f>'Combined data'!O178-'Combined data'!N178</f>
        <v>17</v>
      </c>
      <c r="P178" s="90">
        <f>'Combined data'!P178-'Combined data'!O178</f>
        <v>12</v>
      </c>
      <c r="Q178" s="90">
        <f>'Combined data'!Q178-'Combined data'!P178</f>
        <v>9</v>
      </c>
      <c r="R178" s="90">
        <f>'Combined data'!R178-'Combined data'!Q178</f>
        <v>7</v>
      </c>
      <c r="S178" s="90">
        <f>'Combined data'!S178-'Combined data'!R178</f>
        <v>13</v>
      </c>
      <c r="T178" s="90">
        <f>'Combined data'!T178-'Combined data'!S178</f>
        <v>12</v>
      </c>
      <c r="U178" s="90">
        <f>'Combined data'!U178-'Combined data'!T178</f>
        <v>19</v>
      </c>
      <c r="V178" s="90">
        <f>'Combined data'!V178-'Combined data'!U178</f>
        <v>5</v>
      </c>
      <c r="W178" s="90">
        <f>'Combined data'!W178-'Combined data'!V178</f>
        <v>3</v>
      </c>
      <c r="X178" s="90">
        <f>'Combined data'!X178-'Combined data'!W178</f>
        <v>1</v>
      </c>
      <c r="Y178" s="90">
        <f>'Combined data'!Y178-'Combined data'!X178</f>
        <v>10</v>
      </c>
      <c r="Z178" s="90">
        <f>'Combined data'!Z178-'Combined data'!Y178</f>
        <v>7</v>
      </c>
      <c r="AA178" s="90">
        <f>'Combined data'!AA178-'Combined data'!Z178</f>
        <v>8</v>
      </c>
      <c r="AB178" s="90">
        <f>'Combined data'!AB178-'Combined data'!AA178</f>
        <v>3</v>
      </c>
      <c r="AC178" s="90">
        <f>'Combined data'!AC178-'Combined data'!AB178</f>
        <v>1</v>
      </c>
      <c r="AD178" s="90">
        <f>'Combined data'!AD178-'Combined data'!AC178</f>
        <v>3</v>
      </c>
      <c r="AE178" s="90">
        <f>'Combined data'!AE178-'Combined data'!AD178</f>
        <v>-677</v>
      </c>
      <c r="AF178" s="90">
        <f>'Combined data'!AF178-'Combined data'!AE178</f>
        <v>0</v>
      </c>
      <c r="AG178" s="90">
        <f>'Combined data'!AG178-'Combined data'!AF178</f>
        <v>0</v>
      </c>
      <c r="AH178" s="90">
        <f>'Combined data'!AH178-'Combined data'!AG178</f>
        <v>0</v>
      </c>
      <c r="AI178" s="90">
        <f>'Combined data'!AI178-'Combined data'!AH178</f>
        <v>0</v>
      </c>
      <c r="AJ178" s="90">
        <f>'Combined data'!AJ178-'Combined data'!AI178</f>
        <v>0</v>
      </c>
      <c r="AK178" s="90">
        <f>'Combined data'!AK178-'Combined data'!AJ178</f>
        <v>0</v>
      </c>
      <c r="AL178" s="90">
        <f>'Combined data'!AL178-'Combined data'!AK178</f>
        <v>0</v>
      </c>
      <c r="AM178" s="90">
        <f>'Combined data'!AM178-'Combined data'!AL178</f>
        <v>0</v>
      </c>
      <c r="AN178" s="90">
        <f>'Combined data'!AN178-'Combined data'!AM178</f>
        <v>0</v>
      </c>
      <c r="AO178" s="90">
        <f>'Combined data'!AO178-'Combined data'!AN178</f>
        <v>0</v>
      </c>
      <c r="AP178" s="56">
        <f t="shared" si="121"/>
        <v>0</v>
      </c>
      <c r="AQ178" s="113"/>
      <c r="AR178" s="17">
        <f>'Combined data'!AR178</f>
        <v>215</v>
      </c>
      <c r="AS178" s="17">
        <f>'Combined data'!AS178-'Combined data'!AR178</f>
        <v>36</v>
      </c>
      <c r="AT178" s="17">
        <f>'Combined data'!AT178-'Combined data'!AS178</f>
        <v>36</v>
      </c>
      <c r="AU178" s="17">
        <f>'Combined data'!AU178-'Combined data'!AT178</f>
        <v>34</v>
      </c>
      <c r="AV178" s="17">
        <f>'Combined data'!AV178-'Combined data'!AU178</f>
        <v>24</v>
      </c>
      <c r="AW178" s="17">
        <f>'Combined data'!AW178-'Combined data'!AV178</f>
        <v>10</v>
      </c>
      <c r="AX178" s="17">
        <f>'Combined data'!AX178-'Combined data'!AW178</f>
        <v>24</v>
      </c>
      <c r="AY178" s="17">
        <f>'Combined data'!AY178-'Combined data'!AX178</f>
        <v>24</v>
      </c>
      <c r="AZ178" s="17">
        <f>'Combined data'!AZ178-'Combined data'!AY178</f>
        <v>16</v>
      </c>
      <c r="BA178" s="17">
        <f>'Combined data'!BA178-'Combined data'!AZ178</f>
        <v>10</v>
      </c>
      <c r="BB178" s="17">
        <f>'Combined data'!BB178-'Combined data'!BA178</f>
        <v>17</v>
      </c>
      <c r="BC178" s="17">
        <f>'Combined data'!BC178-'Combined data'!BB178</f>
        <v>25</v>
      </c>
      <c r="BD178" s="17">
        <f>'Combined data'!BD178-'Combined data'!BC178</f>
        <v>10</v>
      </c>
      <c r="BE178" s="17">
        <f>'Combined data'!BE178-'Combined data'!BD178</f>
        <v>14</v>
      </c>
      <c r="BF178" s="17">
        <f>'Combined data'!BF178-'Combined data'!BE178</f>
        <v>11</v>
      </c>
      <c r="BG178" s="17">
        <f>'Combined data'!BG178-'Combined data'!BF178</f>
        <v>4</v>
      </c>
      <c r="BH178" s="17">
        <f>'Combined data'!BH178-'Combined data'!BG178</f>
        <v>5</v>
      </c>
      <c r="BI178" s="17">
        <f>'Combined data'!BI178-'Combined data'!BH178</f>
        <v>5</v>
      </c>
      <c r="BJ178" s="17">
        <f>'Combined data'!BJ178-'Combined data'!BI178</f>
        <v>5</v>
      </c>
      <c r="BK178" s="17">
        <f>'Combined data'!BK178-'Combined data'!BJ178</f>
        <v>12</v>
      </c>
      <c r="BL178" s="17">
        <f>'Combined data'!BL178-'Combined data'!BK178</f>
        <v>13</v>
      </c>
      <c r="BM178" s="17">
        <f>'Combined data'!BM178-'Combined data'!BL178</f>
        <v>3</v>
      </c>
      <c r="BN178" s="17">
        <f>'Combined data'!BN178-'Combined data'!BM178</f>
        <v>2</v>
      </c>
      <c r="BO178" s="17">
        <f>'Combined data'!BO178-'Combined data'!BN178</f>
        <v>-555</v>
      </c>
      <c r="BP178" s="17">
        <f>'Combined data'!BP178-'Combined data'!BO178</f>
        <v>0</v>
      </c>
      <c r="BQ178" s="17">
        <f>'Combined data'!BQ178-'Combined data'!BP178</f>
        <v>0</v>
      </c>
      <c r="BR178" s="17">
        <f>'Combined data'!BR178-'Combined data'!BQ178</f>
        <v>0</v>
      </c>
      <c r="BS178" s="17">
        <f>'Combined data'!BS178-'Combined data'!BR178</f>
        <v>0</v>
      </c>
      <c r="BT178" s="17">
        <f>'Combined data'!BT178-'Combined data'!BS178</f>
        <v>0</v>
      </c>
      <c r="BU178" s="17">
        <f>'Combined data'!BU178-'Combined data'!BT178</f>
        <v>0</v>
      </c>
      <c r="BV178" s="17">
        <f>'Combined data'!BV178-'Combined data'!BU178</f>
        <v>0</v>
      </c>
      <c r="BW178" s="17">
        <f>'Combined data'!BW178-'Combined data'!BV178</f>
        <v>0</v>
      </c>
      <c r="BX178" s="17">
        <f>'Combined data'!BX178-'Combined data'!BW178</f>
        <v>0</v>
      </c>
      <c r="BY178" s="17">
        <f>'Combined data'!BY178-'Combined data'!BX178</f>
        <v>0</v>
      </c>
      <c r="CB178" s="17">
        <f t="shared" si="131"/>
        <v>215</v>
      </c>
      <c r="CC178" s="17">
        <f t="shared" si="132"/>
        <v>36</v>
      </c>
      <c r="CD178" s="17">
        <f t="shared" si="133"/>
        <v>36</v>
      </c>
      <c r="CE178" s="17">
        <f t="shared" si="134"/>
        <v>34</v>
      </c>
      <c r="CF178" s="17">
        <f t="shared" si="135"/>
        <v>24</v>
      </c>
      <c r="CG178" s="17">
        <f t="shared" si="136"/>
        <v>10</v>
      </c>
      <c r="CH178" s="17">
        <f t="shared" si="137"/>
        <v>24</v>
      </c>
      <c r="CI178" s="17">
        <f t="shared" si="138"/>
        <v>24</v>
      </c>
      <c r="CJ178" s="17">
        <f t="shared" si="139"/>
        <v>16</v>
      </c>
      <c r="CK178" s="17">
        <f t="shared" si="140"/>
        <v>10</v>
      </c>
      <c r="CL178" s="17">
        <f t="shared" si="141"/>
        <v>17</v>
      </c>
      <c r="CM178" s="17">
        <f t="shared" si="142"/>
        <v>25</v>
      </c>
      <c r="CN178" s="17">
        <f t="shared" si="143"/>
        <v>10</v>
      </c>
      <c r="CO178" s="17">
        <f t="shared" si="144"/>
        <v>14</v>
      </c>
      <c r="CP178" s="17">
        <f t="shared" si="145"/>
        <v>11</v>
      </c>
      <c r="CQ178" s="17">
        <f t="shared" si="146"/>
        <v>4</v>
      </c>
      <c r="CR178" s="17">
        <f t="shared" si="147"/>
        <v>5</v>
      </c>
      <c r="CS178" s="17">
        <f t="shared" si="148"/>
        <v>5</v>
      </c>
      <c r="CT178" s="17">
        <f t="shared" si="149"/>
        <v>5</v>
      </c>
      <c r="CU178" s="17">
        <f t="shared" si="150"/>
        <v>12</v>
      </c>
      <c r="CV178" s="17">
        <f t="shared" si="151"/>
        <v>13</v>
      </c>
      <c r="CW178" s="17">
        <f t="shared" si="152"/>
        <v>3</v>
      </c>
      <c r="CX178" s="17">
        <f t="shared" si="153"/>
        <v>2</v>
      </c>
      <c r="CY178" s="17">
        <f t="shared" si="153"/>
        <v>-555</v>
      </c>
      <c r="CZ178" s="17">
        <f t="shared" si="153"/>
        <v>0</v>
      </c>
      <c r="DA178" s="17">
        <f t="shared" si="153"/>
        <v>0</v>
      </c>
      <c r="DB178" s="17">
        <f t="shared" si="153"/>
        <v>0</v>
      </c>
      <c r="DC178" s="17">
        <f t="shared" si="153"/>
        <v>0</v>
      </c>
      <c r="DD178" s="17">
        <f t="shared" si="153"/>
        <v>0</v>
      </c>
      <c r="DE178" s="17">
        <f t="shared" si="153"/>
        <v>0</v>
      </c>
      <c r="DF178" s="17">
        <f t="shared" si="153"/>
        <v>0</v>
      </c>
      <c r="DG178" s="17">
        <f t="shared" si="153"/>
        <v>0</v>
      </c>
      <c r="DH178" s="17">
        <f t="shared" si="153"/>
        <v>0</v>
      </c>
      <c r="DI178" s="17">
        <f t="shared" si="153"/>
        <v>0</v>
      </c>
    </row>
    <row r="179" spans="1:113" ht="15.75" x14ac:dyDescent="0.25">
      <c r="A179" s="4" t="s">
        <v>397</v>
      </c>
      <c r="B179" s="6" t="s">
        <v>398</v>
      </c>
      <c r="H179" s="90">
        <f>'Combined data'!H179</f>
        <v>14</v>
      </c>
      <c r="I179" s="90">
        <f>'Combined data'!I179-'Combined data'!H179</f>
        <v>1</v>
      </c>
      <c r="J179" s="90">
        <f>'Combined data'!J179-'Combined data'!I179</f>
        <v>0</v>
      </c>
      <c r="K179" s="90">
        <f>'Combined data'!K179-'Combined data'!J179</f>
        <v>7</v>
      </c>
      <c r="L179" s="90">
        <f>'Combined data'!L179-'Combined data'!K179</f>
        <v>0</v>
      </c>
      <c r="M179" s="90">
        <f>'Combined data'!M179-'Combined data'!L179</f>
        <v>0</v>
      </c>
      <c r="N179" s="90">
        <f>'Combined data'!N179-'Combined data'!M179</f>
        <v>2</v>
      </c>
      <c r="O179" s="90">
        <f>'Combined data'!O179-'Combined data'!N179</f>
        <v>2</v>
      </c>
      <c r="P179" s="90">
        <f>'Combined data'!P179-'Combined data'!O179</f>
        <v>2</v>
      </c>
      <c r="Q179" s="90">
        <f>'Combined data'!Q179-'Combined data'!P179</f>
        <v>4</v>
      </c>
      <c r="R179" s="90">
        <f>'Combined data'!R179-'Combined data'!Q179</f>
        <v>1</v>
      </c>
      <c r="S179" s="90">
        <f>'Combined data'!S179-'Combined data'!R179</f>
        <v>3</v>
      </c>
      <c r="T179" s="90">
        <f>'Combined data'!T179-'Combined data'!S179</f>
        <v>0</v>
      </c>
      <c r="U179" s="90">
        <f>'Combined data'!U179-'Combined data'!T179</f>
        <v>6</v>
      </c>
      <c r="V179" s="90">
        <f>'Combined data'!V179-'Combined data'!U179</f>
        <v>0</v>
      </c>
      <c r="W179" s="90">
        <f>'Combined data'!W179-'Combined data'!V179</f>
        <v>4</v>
      </c>
      <c r="X179" s="90">
        <f>'Combined data'!X179-'Combined data'!W179</f>
        <v>0</v>
      </c>
      <c r="Y179" s="90">
        <f>'Combined data'!Y179-'Combined data'!X179</f>
        <v>0</v>
      </c>
      <c r="Z179" s="90">
        <f>'Combined data'!Z179-'Combined data'!Y179</f>
        <v>1</v>
      </c>
      <c r="AA179" s="90">
        <f>'Combined data'!AA179-'Combined data'!Z179</f>
        <v>0</v>
      </c>
      <c r="AB179" s="90">
        <f>'Combined data'!AB179-'Combined data'!AA179</f>
        <v>0</v>
      </c>
      <c r="AC179" s="90">
        <f>'Combined data'!AC179-'Combined data'!AB179</f>
        <v>0</v>
      </c>
      <c r="AD179" s="90">
        <f>'Combined data'!AD179-'Combined data'!AC179</f>
        <v>0</v>
      </c>
      <c r="AE179" s="90">
        <f>'Combined data'!AE179-'Combined data'!AD179</f>
        <v>-47</v>
      </c>
      <c r="AF179" s="90">
        <f>'Combined data'!AF179-'Combined data'!AE179</f>
        <v>0</v>
      </c>
      <c r="AG179" s="90">
        <f>'Combined data'!AG179-'Combined data'!AF179</f>
        <v>0</v>
      </c>
      <c r="AH179" s="90">
        <f>'Combined data'!AH179-'Combined data'!AG179</f>
        <v>0</v>
      </c>
      <c r="AI179" s="90">
        <f>'Combined data'!AI179-'Combined data'!AH179</f>
        <v>0</v>
      </c>
      <c r="AJ179" s="90">
        <f>'Combined data'!AJ179-'Combined data'!AI179</f>
        <v>0</v>
      </c>
      <c r="AK179" s="90">
        <f>'Combined data'!AK179-'Combined data'!AJ179</f>
        <v>0</v>
      </c>
      <c r="AL179" s="90">
        <f>'Combined data'!AL179-'Combined data'!AK179</f>
        <v>0</v>
      </c>
      <c r="AM179" s="90">
        <f>'Combined data'!AM179-'Combined data'!AL179</f>
        <v>0</v>
      </c>
      <c r="AN179" s="90">
        <f>'Combined data'!AN179-'Combined data'!AM179</f>
        <v>0</v>
      </c>
      <c r="AO179" s="90">
        <f>'Combined data'!AO179-'Combined data'!AN179</f>
        <v>0</v>
      </c>
      <c r="AP179" s="56">
        <f t="shared" si="121"/>
        <v>0</v>
      </c>
      <c r="AQ179" s="113"/>
      <c r="AR179" s="17">
        <f>'Combined data'!AR179</f>
        <v>5</v>
      </c>
      <c r="AS179" s="17">
        <f>'Combined data'!AS179-'Combined data'!AR179</f>
        <v>3</v>
      </c>
      <c r="AT179" s="17">
        <f>'Combined data'!AT179-'Combined data'!AS179</f>
        <v>0</v>
      </c>
      <c r="AU179" s="17">
        <f>'Combined data'!AU179-'Combined data'!AT179</f>
        <v>8</v>
      </c>
      <c r="AV179" s="17">
        <f>'Combined data'!AV179-'Combined data'!AU179</f>
        <v>3</v>
      </c>
      <c r="AW179" s="17">
        <f>'Combined data'!AW179-'Combined data'!AV179</f>
        <v>0</v>
      </c>
      <c r="AX179" s="17">
        <f>'Combined data'!AX179-'Combined data'!AW179</f>
        <v>2</v>
      </c>
      <c r="AY179" s="17">
        <f>'Combined data'!AY179-'Combined data'!AX179</f>
        <v>0</v>
      </c>
      <c r="AZ179" s="17">
        <f>'Combined data'!AZ179-'Combined data'!AY179</f>
        <v>2</v>
      </c>
      <c r="BA179" s="17">
        <f>'Combined data'!BA179-'Combined data'!AZ179</f>
        <v>0</v>
      </c>
      <c r="BB179" s="17">
        <f>'Combined data'!BB179-'Combined data'!BA179</f>
        <v>0</v>
      </c>
      <c r="BC179" s="17">
        <f>'Combined data'!BC179-'Combined data'!BB179</f>
        <v>0</v>
      </c>
      <c r="BD179" s="17">
        <f>'Combined data'!BD179-'Combined data'!BC179</f>
        <v>3</v>
      </c>
      <c r="BE179" s="17">
        <f>'Combined data'!BE179-'Combined data'!BD179</f>
        <v>1</v>
      </c>
      <c r="BF179" s="17">
        <f>'Combined data'!BF179-'Combined data'!BE179</f>
        <v>8</v>
      </c>
      <c r="BG179" s="17">
        <f>'Combined data'!BG179-'Combined data'!BF179</f>
        <v>0</v>
      </c>
      <c r="BH179" s="17">
        <f>'Combined data'!BH179-'Combined data'!BG179</f>
        <v>2</v>
      </c>
      <c r="BI179" s="17">
        <f>'Combined data'!BI179-'Combined data'!BH179</f>
        <v>1</v>
      </c>
      <c r="BJ179" s="17">
        <f>'Combined data'!BJ179-'Combined data'!BI179</f>
        <v>1</v>
      </c>
      <c r="BK179" s="17">
        <f>'Combined data'!BK179-'Combined data'!BJ179</f>
        <v>0</v>
      </c>
      <c r="BL179" s="17">
        <f>'Combined data'!BL179-'Combined data'!BK179</f>
        <v>0</v>
      </c>
      <c r="BM179" s="17">
        <f>'Combined data'!BM179-'Combined data'!BL179</f>
        <v>0</v>
      </c>
      <c r="BN179" s="17">
        <f>'Combined data'!BN179-'Combined data'!BM179</f>
        <v>0</v>
      </c>
      <c r="BO179" s="17">
        <f>'Combined data'!BO179-'Combined data'!BN179</f>
        <v>-39</v>
      </c>
      <c r="BP179" s="17">
        <f>'Combined data'!BP179-'Combined data'!BO179</f>
        <v>0</v>
      </c>
      <c r="BQ179" s="17">
        <f>'Combined data'!BQ179-'Combined data'!BP179</f>
        <v>0</v>
      </c>
      <c r="BR179" s="17">
        <f>'Combined data'!BR179-'Combined data'!BQ179</f>
        <v>0</v>
      </c>
      <c r="BS179" s="17">
        <f>'Combined data'!BS179-'Combined data'!BR179</f>
        <v>0</v>
      </c>
      <c r="BT179" s="17">
        <f>'Combined data'!BT179-'Combined data'!BS179</f>
        <v>0</v>
      </c>
      <c r="BU179" s="17">
        <f>'Combined data'!BU179-'Combined data'!BT179</f>
        <v>0</v>
      </c>
      <c r="BV179" s="17">
        <f>'Combined data'!BV179-'Combined data'!BU179</f>
        <v>0</v>
      </c>
      <c r="BW179" s="17">
        <f>'Combined data'!BW179-'Combined data'!BV179</f>
        <v>0</v>
      </c>
      <c r="BX179" s="17">
        <f>'Combined data'!BX179-'Combined data'!BW179</f>
        <v>0</v>
      </c>
      <c r="BY179" s="17">
        <f>'Combined data'!BY179-'Combined data'!BX179</f>
        <v>0</v>
      </c>
      <c r="CB179" s="17">
        <f t="shared" si="131"/>
        <v>5</v>
      </c>
      <c r="CC179" s="17">
        <f t="shared" si="132"/>
        <v>3</v>
      </c>
      <c r="CD179" s="17">
        <f t="shared" si="133"/>
        <v>0</v>
      </c>
      <c r="CE179" s="17">
        <f t="shared" si="134"/>
        <v>8</v>
      </c>
      <c r="CF179" s="17">
        <f t="shared" si="135"/>
        <v>3</v>
      </c>
      <c r="CG179" s="17">
        <f t="shared" si="136"/>
        <v>0</v>
      </c>
      <c r="CH179" s="17">
        <f t="shared" si="137"/>
        <v>2</v>
      </c>
      <c r="CI179" s="17">
        <f t="shared" si="138"/>
        <v>0</v>
      </c>
      <c r="CJ179" s="17">
        <f t="shared" si="139"/>
        <v>2</v>
      </c>
      <c r="CK179" s="17">
        <f t="shared" si="140"/>
        <v>0</v>
      </c>
      <c r="CL179" s="17">
        <f t="shared" si="141"/>
        <v>0</v>
      </c>
      <c r="CM179" s="17">
        <f t="shared" si="142"/>
        <v>0</v>
      </c>
      <c r="CN179" s="17">
        <f t="shared" si="143"/>
        <v>3</v>
      </c>
      <c r="CO179" s="17">
        <f t="shared" si="144"/>
        <v>1</v>
      </c>
      <c r="CP179" s="17">
        <f t="shared" si="145"/>
        <v>8</v>
      </c>
      <c r="CQ179" s="17">
        <f t="shared" si="146"/>
        <v>0</v>
      </c>
      <c r="CR179" s="17">
        <f t="shared" si="147"/>
        <v>2</v>
      </c>
      <c r="CS179" s="17">
        <f t="shared" si="148"/>
        <v>1</v>
      </c>
      <c r="CT179" s="17">
        <f t="shared" si="149"/>
        <v>1</v>
      </c>
      <c r="CU179" s="17">
        <f t="shared" si="150"/>
        <v>0</v>
      </c>
      <c r="CV179" s="17">
        <f t="shared" si="151"/>
        <v>0</v>
      </c>
      <c r="CW179" s="17">
        <f t="shared" si="152"/>
        <v>0</v>
      </c>
      <c r="CX179" s="17">
        <f t="shared" si="153"/>
        <v>0</v>
      </c>
      <c r="CY179" s="17">
        <f t="shared" si="153"/>
        <v>-39</v>
      </c>
      <c r="CZ179" s="17">
        <f t="shared" si="153"/>
        <v>0</v>
      </c>
      <c r="DA179" s="17">
        <f t="shared" si="153"/>
        <v>0</v>
      </c>
      <c r="DB179" s="17">
        <f t="shared" si="153"/>
        <v>0</v>
      </c>
      <c r="DC179" s="17">
        <f t="shared" si="153"/>
        <v>0</v>
      </c>
      <c r="DD179" s="17">
        <f t="shared" si="153"/>
        <v>0</v>
      </c>
      <c r="DE179" s="17">
        <f t="shared" si="153"/>
        <v>0</v>
      </c>
      <c r="DF179" s="17">
        <f t="shared" si="153"/>
        <v>0</v>
      </c>
      <c r="DG179" s="17">
        <f t="shared" si="153"/>
        <v>0</v>
      </c>
      <c r="DH179" s="17">
        <f t="shared" si="153"/>
        <v>0</v>
      </c>
      <c r="DI179" s="17">
        <f t="shared" si="153"/>
        <v>0</v>
      </c>
    </row>
    <row r="180" spans="1:113" ht="15.75" x14ac:dyDescent="0.25">
      <c r="A180" s="4" t="s">
        <v>399</v>
      </c>
      <c r="B180" s="6" t="s">
        <v>400</v>
      </c>
      <c r="H180" s="90">
        <f>'Combined data'!H180</f>
        <v>95</v>
      </c>
      <c r="I180" s="90">
        <f>'Combined data'!I180-'Combined data'!H180</f>
        <v>8</v>
      </c>
      <c r="J180" s="90">
        <f>'Combined data'!J180-'Combined data'!I180</f>
        <v>9</v>
      </c>
      <c r="K180" s="90">
        <f>'Combined data'!K180-'Combined data'!J180</f>
        <v>11</v>
      </c>
      <c r="L180" s="90">
        <f>'Combined data'!L180-'Combined data'!K180</f>
        <v>7</v>
      </c>
      <c r="M180" s="90">
        <f>'Combined data'!M180-'Combined data'!L180</f>
        <v>1</v>
      </c>
      <c r="N180" s="90">
        <f>'Combined data'!N180-'Combined data'!M180</f>
        <v>5</v>
      </c>
      <c r="O180" s="90">
        <f>'Combined data'!O180-'Combined data'!N180</f>
        <v>1</v>
      </c>
      <c r="P180" s="90">
        <f>'Combined data'!P180-'Combined data'!O180</f>
        <v>1</v>
      </c>
      <c r="Q180" s="90">
        <f>'Combined data'!Q180-'Combined data'!P180</f>
        <v>0</v>
      </c>
      <c r="R180" s="90">
        <f>'Combined data'!R180-'Combined data'!Q180</f>
        <v>0</v>
      </c>
      <c r="S180" s="90">
        <f>'Combined data'!S180-'Combined data'!R180</f>
        <v>2</v>
      </c>
      <c r="T180" s="90">
        <f>'Combined data'!T180-'Combined data'!S180</f>
        <v>0</v>
      </c>
      <c r="U180" s="90">
        <f>'Combined data'!U180-'Combined data'!T180</f>
        <v>9</v>
      </c>
      <c r="V180" s="90">
        <f>'Combined data'!V180-'Combined data'!U180</f>
        <v>1</v>
      </c>
      <c r="W180" s="90">
        <f>'Combined data'!W180-'Combined data'!V180</f>
        <v>6</v>
      </c>
      <c r="X180" s="90">
        <f>'Combined data'!X180-'Combined data'!W180</f>
        <v>3</v>
      </c>
      <c r="Y180" s="90">
        <f>'Combined data'!Y180-'Combined data'!X180</f>
        <v>4</v>
      </c>
      <c r="Z180" s="90">
        <f>'Combined data'!Z180-'Combined data'!Y180</f>
        <v>4</v>
      </c>
      <c r="AA180" s="90">
        <f>'Combined data'!AA180-'Combined data'!Z180</f>
        <v>0</v>
      </c>
      <c r="AB180" s="90">
        <f>'Combined data'!AB180-'Combined data'!AA180</f>
        <v>0</v>
      </c>
      <c r="AC180" s="90">
        <f>'Combined data'!AC180-'Combined data'!AB180</f>
        <v>-1</v>
      </c>
      <c r="AD180" s="90">
        <f>'Combined data'!AD180-'Combined data'!AC180</f>
        <v>6</v>
      </c>
      <c r="AE180" s="90">
        <f>'Combined data'!AE180-'Combined data'!AD180</f>
        <v>-172</v>
      </c>
      <c r="AF180" s="90">
        <f>'Combined data'!AF180-'Combined data'!AE180</f>
        <v>0</v>
      </c>
      <c r="AG180" s="90">
        <f>'Combined data'!AG180-'Combined data'!AF180</f>
        <v>0</v>
      </c>
      <c r="AH180" s="90">
        <f>'Combined data'!AH180-'Combined data'!AG180</f>
        <v>0</v>
      </c>
      <c r="AI180" s="90">
        <f>'Combined data'!AI180-'Combined data'!AH180</f>
        <v>0</v>
      </c>
      <c r="AJ180" s="90">
        <f>'Combined data'!AJ180-'Combined data'!AI180</f>
        <v>0</v>
      </c>
      <c r="AK180" s="90">
        <f>'Combined data'!AK180-'Combined data'!AJ180</f>
        <v>0</v>
      </c>
      <c r="AL180" s="90">
        <f>'Combined data'!AL180-'Combined data'!AK180</f>
        <v>0</v>
      </c>
      <c r="AM180" s="90">
        <f>'Combined data'!AM180-'Combined data'!AL180</f>
        <v>0</v>
      </c>
      <c r="AN180" s="90">
        <f>'Combined data'!AN180-'Combined data'!AM180</f>
        <v>0</v>
      </c>
      <c r="AO180" s="90">
        <f>'Combined data'!AO180-'Combined data'!AN180</f>
        <v>0</v>
      </c>
      <c r="AP180" s="56">
        <f t="shared" si="121"/>
        <v>0</v>
      </c>
      <c r="AQ180" s="113"/>
      <c r="AR180" s="17">
        <f>'Combined data'!AR180</f>
        <v>45</v>
      </c>
      <c r="AS180" s="17">
        <f>'Combined data'!AS180-'Combined data'!AR180</f>
        <v>5</v>
      </c>
      <c r="AT180" s="17">
        <f>'Combined data'!AT180-'Combined data'!AS180</f>
        <v>0</v>
      </c>
      <c r="AU180" s="17">
        <f>'Combined data'!AU180-'Combined data'!AT180</f>
        <v>12</v>
      </c>
      <c r="AV180" s="17">
        <f>'Combined data'!AV180-'Combined data'!AU180</f>
        <v>9</v>
      </c>
      <c r="AW180" s="17">
        <f>'Combined data'!AW180-'Combined data'!AV180</f>
        <v>5</v>
      </c>
      <c r="AX180" s="17">
        <f>'Combined data'!AX180-'Combined data'!AW180</f>
        <v>12</v>
      </c>
      <c r="AY180" s="17">
        <f>'Combined data'!AY180-'Combined data'!AX180</f>
        <v>2</v>
      </c>
      <c r="AZ180" s="17">
        <f>'Combined data'!AZ180-'Combined data'!AY180</f>
        <v>2</v>
      </c>
      <c r="BA180" s="17">
        <f>'Combined data'!BA180-'Combined data'!AZ180</f>
        <v>2</v>
      </c>
      <c r="BB180" s="17">
        <f>'Combined data'!BB180-'Combined data'!BA180</f>
        <v>2</v>
      </c>
      <c r="BC180" s="17">
        <f>'Combined data'!BC180-'Combined data'!BB180</f>
        <v>7</v>
      </c>
      <c r="BD180" s="17">
        <f>'Combined data'!BD180-'Combined data'!BC180</f>
        <v>0</v>
      </c>
      <c r="BE180" s="17">
        <f>'Combined data'!BE180-'Combined data'!BD180</f>
        <v>0</v>
      </c>
      <c r="BF180" s="17">
        <f>'Combined data'!BF180-'Combined data'!BE180</f>
        <v>0</v>
      </c>
      <c r="BG180" s="17">
        <f>'Combined data'!BG180-'Combined data'!BF180</f>
        <v>1</v>
      </c>
      <c r="BH180" s="17">
        <f>'Combined data'!BH180-'Combined data'!BG180</f>
        <v>4</v>
      </c>
      <c r="BI180" s="17">
        <f>'Combined data'!BI180-'Combined data'!BH180</f>
        <v>1</v>
      </c>
      <c r="BJ180" s="17">
        <f>'Combined data'!BJ180-'Combined data'!BI180</f>
        <v>3</v>
      </c>
      <c r="BK180" s="17">
        <f>'Combined data'!BK180-'Combined data'!BJ180</f>
        <v>0</v>
      </c>
      <c r="BL180" s="17">
        <f>'Combined data'!BL180-'Combined data'!BK180</f>
        <v>2</v>
      </c>
      <c r="BM180" s="17">
        <f>'Combined data'!BM180-'Combined data'!BL180</f>
        <v>3</v>
      </c>
      <c r="BN180" s="17">
        <f>'Combined data'!BN180-'Combined data'!BM180</f>
        <v>7</v>
      </c>
      <c r="BO180" s="17">
        <f>'Combined data'!BO180-'Combined data'!BN180</f>
        <v>-124</v>
      </c>
      <c r="BP180" s="17">
        <f>'Combined data'!BP180-'Combined data'!BO180</f>
        <v>0</v>
      </c>
      <c r="BQ180" s="17">
        <f>'Combined data'!BQ180-'Combined data'!BP180</f>
        <v>0</v>
      </c>
      <c r="BR180" s="17">
        <f>'Combined data'!BR180-'Combined data'!BQ180</f>
        <v>0</v>
      </c>
      <c r="BS180" s="17">
        <f>'Combined data'!BS180-'Combined data'!BR180</f>
        <v>0</v>
      </c>
      <c r="BT180" s="17">
        <f>'Combined data'!BT180-'Combined data'!BS180</f>
        <v>0</v>
      </c>
      <c r="BU180" s="17">
        <f>'Combined data'!BU180-'Combined data'!BT180</f>
        <v>0</v>
      </c>
      <c r="BV180" s="17">
        <f>'Combined data'!BV180-'Combined data'!BU180</f>
        <v>0</v>
      </c>
      <c r="BW180" s="17">
        <f>'Combined data'!BW180-'Combined data'!BV180</f>
        <v>0</v>
      </c>
      <c r="BX180" s="17">
        <f>'Combined data'!BX180-'Combined data'!BW180</f>
        <v>0</v>
      </c>
      <c r="BY180" s="17">
        <f>'Combined data'!BY180-'Combined data'!BX180</f>
        <v>0</v>
      </c>
      <c r="CB180" s="17">
        <f t="shared" si="131"/>
        <v>45</v>
      </c>
      <c r="CC180" s="17">
        <f t="shared" si="132"/>
        <v>5</v>
      </c>
      <c r="CD180" s="17">
        <f t="shared" si="133"/>
        <v>0</v>
      </c>
      <c r="CE180" s="17">
        <f t="shared" si="134"/>
        <v>12</v>
      </c>
      <c r="CF180" s="17">
        <f t="shared" si="135"/>
        <v>9</v>
      </c>
      <c r="CG180" s="17">
        <f t="shared" si="136"/>
        <v>5</v>
      </c>
      <c r="CH180" s="17">
        <f t="shared" si="137"/>
        <v>12</v>
      </c>
      <c r="CI180" s="17">
        <f t="shared" si="138"/>
        <v>2</v>
      </c>
      <c r="CJ180" s="17">
        <f t="shared" si="139"/>
        <v>2</v>
      </c>
      <c r="CK180" s="17">
        <f t="shared" si="140"/>
        <v>2</v>
      </c>
      <c r="CL180" s="17">
        <f t="shared" si="141"/>
        <v>2</v>
      </c>
      <c r="CM180" s="17">
        <f t="shared" si="142"/>
        <v>7</v>
      </c>
      <c r="CN180" s="17">
        <f t="shared" si="143"/>
        <v>0</v>
      </c>
      <c r="CO180" s="17">
        <f t="shared" si="144"/>
        <v>0</v>
      </c>
      <c r="CP180" s="17">
        <f t="shared" si="145"/>
        <v>0</v>
      </c>
      <c r="CQ180" s="17">
        <f t="shared" si="146"/>
        <v>1</v>
      </c>
      <c r="CR180" s="17">
        <f t="shared" si="147"/>
        <v>4</v>
      </c>
      <c r="CS180" s="17">
        <f t="shared" si="148"/>
        <v>1</v>
      </c>
      <c r="CT180" s="17">
        <f t="shared" si="149"/>
        <v>3</v>
      </c>
      <c r="CU180" s="17">
        <f t="shared" si="150"/>
        <v>0</v>
      </c>
      <c r="CV180" s="17">
        <f t="shared" si="151"/>
        <v>2</v>
      </c>
      <c r="CW180" s="17">
        <f t="shared" si="152"/>
        <v>3</v>
      </c>
      <c r="CX180" s="17">
        <f t="shared" si="153"/>
        <v>7</v>
      </c>
      <c r="CY180" s="17">
        <f t="shared" si="153"/>
        <v>-124</v>
      </c>
      <c r="CZ180" s="17">
        <f t="shared" si="153"/>
        <v>0</v>
      </c>
      <c r="DA180" s="17">
        <f t="shared" si="153"/>
        <v>0</v>
      </c>
      <c r="DB180" s="17">
        <f t="shared" si="153"/>
        <v>0</v>
      </c>
      <c r="DC180" s="17">
        <f t="shared" si="153"/>
        <v>0</v>
      </c>
      <c r="DD180" s="17">
        <f t="shared" si="153"/>
        <v>0</v>
      </c>
      <c r="DE180" s="17">
        <f t="shared" si="153"/>
        <v>0</v>
      </c>
      <c r="DF180" s="17">
        <f t="shared" si="153"/>
        <v>0</v>
      </c>
      <c r="DG180" s="17">
        <f t="shared" si="153"/>
        <v>0</v>
      </c>
      <c r="DH180" s="17">
        <f t="shared" si="153"/>
        <v>0</v>
      </c>
      <c r="DI180" s="17">
        <f t="shared" si="153"/>
        <v>0</v>
      </c>
    </row>
    <row r="181" spans="1:113" ht="15.75" x14ac:dyDescent="0.25">
      <c r="A181" s="4" t="s">
        <v>401</v>
      </c>
      <c r="B181" s="6" t="s">
        <v>402</v>
      </c>
      <c r="H181" s="90">
        <f>'Combined data'!H181</f>
        <v>44</v>
      </c>
      <c r="I181" s="90">
        <f>'Combined data'!I181-'Combined data'!H181</f>
        <v>1</v>
      </c>
      <c r="J181" s="90">
        <f>'Combined data'!J181-'Combined data'!I181</f>
        <v>2</v>
      </c>
      <c r="K181" s="90">
        <f>'Combined data'!K181-'Combined data'!J181</f>
        <v>3</v>
      </c>
      <c r="L181" s="90">
        <f>'Combined data'!L181-'Combined data'!K181</f>
        <v>0</v>
      </c>
      <c r="M181" s="90">
        <f>'Combined data'!M181-'Combined data'!L181</f>
        <v>1</v>
      </c>
      <c r="N181" s="90">
        <f>'Combined data'!N181-'Combined data'!M181</f>
        <v>0</v>
      </c>
      <c r="O181" s="90">
        <f>'Combined data'!O181-'Combined data'!N181</f>
        <v>2</v>
      </c>
      <c r="P181" s="90">
        <f>'Combined data'!P181-'Combined data'!O181</f>
        <v>2</v>
      </c>
      <c r="Q181" s="90">
        <f>'Combined data'!Q181-'Combined data'!P181</f>
        <v>1</v>
      </c>
      <c r="R181" s="90">
        <f>'Combined data'!R181-'Combined data'!Q181</f>
        <v>0</v>
      </c>
      <c r="S181" s="90">
        <f>'Combined data'!S181-'Combined data'!R181</f>
        <v>1</v>
      </c>
      <c r="T181" s="90">
        <f>'Combined data'!T181-'Combined data'!S181</f>
        <v>0</v>
      </c>
      <c r="U181" s="90">
        <f>'Combined data'!U181-'Combined data'!T181</f>
        <v>7</v>
      </c>
      <c r="V181" s="90">
        <f>'Combined data'!V181-'Combined data'!U181</f>
        <v>0</v>
      </c>
      <c r="W181" s="90">
        <f>'Combined data'!W181-'Combined data'!V181</f>
        <v>1</v>
      </c>
      <c r="X181" s="90">
        <f>'Combined data'!X181-'Combined data'!W181</f>
        <v>1</v>
      </c>
      <c r="Y181" s="90">
        <f>'Combined data'!Y181-'Combined data'!X181</f>
        <v>1</v>
      </c>
      <c r="Z181" s="90">
        <f>'Combined data'!Z181-'Combined data'!Y181</f>
        <v>5</v>
      </c>
      <c r="AA181" s="90">
        <f>'Combined data'!AA181-'Combined data'!Z181</f>
        <v>1</v>
      </c>
      <c r="AB181" s="90">
        <f>'Combined data'!AB181-'Combined data'!AA181</f>
        <v>0</v>
      </c>
      <c r="AC181" s="90">
        <f>'Combined data'!AC181-'Combined data'!AB181</f>
        <v>-1</v>
      </c>
      <c r="AD181" s="90">
        <f>'Combined data'!AD181-'Combined data'!AC181</f>
        <v>1</v>
      </c>
      <c r="AE181" s="90">
        <f>'Combined data'!AE181-'Combined data'!AD181</f>
        <v>-73</v>
      </c>
      <c r="AF181" s="90">
        <f>'Combined data'!AF181-'Combined data'!AE181</f>
        <v>0</v>
      </c>
      <c r="AG181" s="90">
        <f>'Combined data'!AG181-'Combined data'!AF181</f>
        <v>0</v>
      </c>
      <c r="AH181" s="90">
        <f>'Combined data'!AH181-'Combined data'!AG181</f>
        <v>0</v>
      </c>
      <c r="AI181" s="90">
        <f>'Combined data'!AI181-'Combined data'!AH181</f>
        <v>0</v>
      </c>
      <c r="AJ181" s="90">
        <f>'Combined data'!AJ181-'Combined data'!AI181</f>
        <v>0</v>
      </c>
      <c r="AK181" s="90">
        <f>'Combined data'!AK181-'Combined data'!AJ181</f>
        <v>0</v>
      </c>
      <c r="AL181" s="90">
        <f>'Combined data'!AL181-'Combined data'!AK181</f>
        <v>0</v>
      </c>
      <c r="AM181" s="90">
        <f>'Combined data'!AM181-'Combined data'!AL181</f>
        <v>0</v>
      </c>
      <c r="AN181" s="90">
        <f>'Combined data'!AN181-'Combined data'!AM181</f>
        <v>0</v>
      </c>
      <c r="AO181" s="90">
        <f>'Combined data'!AO181-'Combined data'!AN181</f>
        <v>0</v>
      </c>
      <c r="AP181" s="56">
        <f t="shared" si="121"/>
        <v>0</v>
      </c>
      <c r="AQ181" s="113"/>
      <c r="AR181" s="17">
        <f>'Combined data'!AR181</f>
        <v>24</v>
      </c>
      <c r="AS181" s="17">
        <f>'Combined data'!AS181-'Combined data'!AR181</f>
        <v>7</v>
      </c>
      <c r="AT181" s="17">
        <f>'Combined data'!AT181-'Combined data'!AS181</f>
        <v>7</v>
      </c>
      <c r="AU181" s="17">
        <f>'Combined data'!AU181-'Combined data'!AT181</f>
        <v>2</v>
      </c>
      <c r="AV181" s="17">
        <f>'Combined data'!AV181-'Combined data'!AU181</f>
        <v>3</v>
      </c>
      <c r="AW181" s="17">
        <f>'Combined data'!AW181-'Combined data'!AV181</f>
        <v>1</v>
      </c>
      <c r="AX181" s="17">
        <f>'Combined data'!AX181-'Combined data'!AW181</f>
        <v>0</v>
      </c>
      <c r="AY181" s="17">
        <f>'Combined data'!AY181-'Combined data'!AX181</f>
        <v>0</v>
      </c>
      <c r="AZ181" s="17">
        <f>'Combined data'!AZ181-'Combined data'!AY181</f>
        <v>2</v>
      </c>
      <c r="BA181" s="17">
        <f>'Combined data'!BA181-'Combined data'!AZ181</f>
        <v>2</v>
      </c>
      <c r="BB181" s="17">
        <f>'Combined data'!BB181-'Combined data'!BA181</f>
        <v>0</v>
      </c>
      <c r="BC181" s="17">
        <f>'Combined data'!BC181-'Combined data'!BB181</f>
        <v>0</v>
      </c>
      <c r="BD181" s="17">
        <f>'Combined data'!BD181-'Combined data'!BC181</f>
        <v>3</v>
      </c>
      <c r="BE181" s="17">
        <f>'Combined data'!BE181-'Combined data'!BD181</f>
        <v>0</v>
      </c>
      <c r="BF181" s="17">
        <f>'Combined data'!BF181-'Combined data'!BE181</f>
        <v>0</v>
      </c>
      <c r="BG181" s="17">
        <f>'Combined data'!BG181-'Combined data'!BF181</f>
        <v>0</v>
      </c>
      <c r="BH181" s="17">
        <f>'Combined data'!BH181-'Combined data'!BG181</f>
        <v>0</v>
      </c>
      <c r="BI181" s="17">
        <f>'Combined data'!BI181-'Combined data'!BH181</f>
        <v>0</v>
      </c>
      <c r="BJ181" s="17">
        <f>'Combined data'!BJ181-'Combined data'!BI181</f>
        <v>0</v>
      </c>
      <c r="BK181" s="17">
        <f>'Combined data'!BK181-'Combined data'!BJ181</f>
        <v>4</v>
      </c>
      <c r="BL181" s="17">
        <f>'Combined data'!BL181-'Combined data'!BK181</f>
        <v>6</v>
      </c>
      <c r="BM181" s="17">
        <f>'Combined data'!BM181-'Combined data'!BL181</f>
        <v>0</v>
      </c>
      <c r="BN181" s="17">
        <f>'Combined data'!BN181-'Combined data'!BM181</f>
        <v>1</v>
      </c>
      <c r="BO181" s="17">
        <f>'Combined data'!BO181-'Combined data'!BN181</f>
        <v>-62</v>
      </c>
      <c r="BP181" s="17">
        <f>'Combined data'!BP181-'Combined data'!BO181</f>
        <v>0</v>
      </c>
      <c r="BQ181" s="17">
        <f>'Combined data'!BQ181-'Combined data'!BP181</f>
        <v>0</v>
      </c>
      <c r="BR181" s="17">
        <f>'Combined data'!BR181-'Combined data'!BQ181</f>
        <v>0</v>
      </c>
      <c r="BS181" s="17">
        <f>'Combined data'!BS181-'Combined data'!BR181</f>
        <v>0</v>
      </c>
      <c r="BT181" s="17">
        <f>'Combined data'!BT181-'Combined data'!BS181</f>
        <v>0</v>
      </c>
      <c r="BU181" s="17">
        <f>'Combined data'!BU181-'Combined data'!BT181</f>
        <v>0</v>
      </c>
      <c r="BV181" s="17">
        <f>'Combined data'!BV181-'Combined data'!BU181</f>
        <v>0</v>
      </c>
      <c r="BW181" s="17">
        <f>'Combined data'!BW181-'Combined data'!BV181</f>
        <v>0</v>
      </c>
      <c r="BX181" s="17">
        <f>'Combined data'!BX181-'Combined data'!BW181</f>
        <v>0</v>
      </c>
      <c r="BY181" s="17">
        <f>'Combined data'!BY181-'Combined data'!BX181</f>
        <v>0</v>
      </c>
      <c r="CB181" s="17">
        <f t="shared" si="131"/>
        <v>24</v>
      </c>
      <c r="CC181" s="17">
        <f t="shared" si="132"/>
        <v>7</v>
      </c>
      <c r="CD181" s="17">
        <f t="shared" si="133"/>
        <v>7</v>
      </c>
      <c r="CE181" s="17">
        <f t="shared" si="134"/>
        <v>2</v>
      </c>
      <c r="CF181" s="17">
        <f t="shared" si="135"/>
        <v>3</v>
      </c>
      <c r="CG181" s="17">
        <f t="shared" si="136"/>
        <v>1</v>
      </c>
      <c r="CH181" s="17">
        <f t="shared" si="137"/>
        <v>0</v>
      </c>
      <c r="CI181" s="17">
        <f t="shared" si="138"/>
        <v>0</v>
      </c>
      <c r="CJ181" s="17">
        <f t="shared" si="139"/>
        <v>2</v>
      </c>
      <c r="CK181" s="17">
        <f t="shared" si="140"/>
        <v>2</v>
      </c>
      <c r="CL181" s="17">
        <f t="shared" si="141"/>
        <v>0</v>
      </c>
      <c r="CM181" s="17">
        <f t="shared" si="142"/>
        <v>0</v>
      </c>
      <c r="CN181" s="17">
        <f t="shared" si="143"/>
        <v>3</v>
      </c>
      <c r="CO181" s="17">
        <f t="shared" si="144"/>
        <v>0</v>
      </c>
      <c r="CP181" s="17">
        <f t="shared" si="145"/>
        <v>0</v>
      </c>
      <c r="CQ181" s="17">
        <f t="shared" si="146"/>
        <v>0</v>
      </c>
      <c r="CR181" s="17">
        <f t="shared" si="147"/>
        <v>0</v>
      </c>
      <c r="CS181" s="17">
        <f t="shared" si="148"/>
        <v>0</v>
      </c>
      <c r="CT181" s="17">
        <f t="shared" si="149"/>
        <v>0</v>
      </c>
      <c r="CU181" s="17">
        <f t="shared" si="150"/>
        <v>4</v>
      </c>
      <c r="CV181" s="17">
        <f t="shared" si="151"/>
        <v>6</v>
      </c>
      <c r="CW181" s="17">
        <f t="shared" si="152"/>
        <v>0</v>
      </c>
      <c r="CX181" s="17">
        <f t="shared" si="153"/>
        <v>1</v>
      </c>
      <c r="CY181" s="17">
        <f t="shared" si="153"/>
        <v>-62</v>
      </c>
      <c r="CZ181" s="17">
        <f t="shared" si="153"/>
        <v>0</v>
      </c>
      <c r="DA181" s="17">
        <f t="shared" si="153"/>
        <v>0</v>
      </c>
      <c r="DB181" s="17">
        <f t="shared" si="153"/>
        <v>0</v>
      </c>
      <c r="DC181" s="17">
        <f t="shared" si="153"/>
        <v>0</v>
      </c>
      <c r="DD181" s="17">
        <f t="shared" si="153"/>
        <v>0</v>
      </c>
      <c r="DE181" s="17">
        <f t="shared" si="153"/>
        <v>0</v>
      </c>
      <c r="DF181" s="17">
        <f t="shared" si="153"/>
        <v>0</v>
      </c>
      <c r="DG181" s="17">
        <f t="shared" si="153"/>
        <v>0</v>
      </c>
      <c r="DH181" s="17">
        <f t="shared" si="153"/>
        <v>0</v>
      </c>
      <c r="DI181" s="17">
        <f t="shared" si="153"/>
        <v>0</v>
      </c>
    </row>
    <row r="182" spans="1:113" ht="15.75" x14ac:dyDescent="0.25">
      <c r="A182" s="4" t="s">
        <v>403</v>
      </c>
      <c r="B182" s="6" t="s">
        <v>404</v>
      </c>
      <c r="H182" s="90">
        <f>'Combined data'!H182</f>
        <v>44</v>
      </c>
      <c r="I182" s="90">
        <f>'Combined data'!I182-'Combined data'!H182</f>
        <v>3</v>
      </c>
      <c r="J182" s="90">
        <f>'Combined data'!J182-'Combined data'!I182</f>
        <v>2</v>
      </c>
      <c r="K182" s="90">
        <f>'Combined data'!K182-'Combined data'!J182</f>
        <v>1</v>
      </c>
      <c r="L182" s="90">
        <f>'Combined data'!L182-'Combined data'!K182</f>
        <v>1</v>
      </c>
      <c r="M182" s="90">
        <f>'Combined data'!M182-'Combined data'!L182</f>
        <v>3</v>
      </c>
      <c r="N182" s="90">
        <f>'Combined data'!N182-'Combined data'!M182</f>
        <v>0</v>
      </c>
      <c r="O182" s="90">
        <f>'Combined data'!O182-'Combined data'!N182</f>
        <v>1</v>
      </c>
      <c r="P182" s="90">
        <f>'Combined data'!P182-'Combined data'!O182</f>
        <v>2</v>
      </c>
      <c r="Q182" s="90">
        <f>'Combined data'!Q182-'Combined data'!P182</f>
        <v>0</v>
      </c>
      <c r="R182" s="90">
        <f>'Combined data'!R182-'Combined data'!Q182</f>
        <v>0</v>
      </c>
      <c r="S182" s="90">
        <f>'Combined data'!S182-'Combined data'!R182</f>
        <v>0</v>
      </c>
      <c r="T182" s="90">
        <f>'Combined data'!T182-'Combined data'!S182</f>
        <v>1</v>
      </c>
      <c r="U182" s="90">
        <f>'Combined data'!U182-'Combined data'!T182</f>
        <v>0</v>
      </c>
      <c r="V182" s="90">
        <f>'Combined data'!V182-'Combined data'!U182</f>
        <v>4</v>
      </c>
      <c r="W182" s="90">
        <f>'Combined data'!W182-'Combined data'!V182</f>
        <v>0</v>
      </c>
      <c r="X182" s="90">
        <f>'Combined data'!X182-'Combined data'!W182</f>
        <v>0</v>
      </c>
      <c r="Y182" s="90">
        <f>'Combined data'!Y182-'Combined data'!X182</f>
        <v>0</v>
      </c>
      <c r="Z182" s="90">
        <f>'Combined data'!Z182-'Combined data'!Y182</f>
        <v>3</v>
      </c>
      <c r="AA182" s="90">
        <f>'Combined data'!AA182-'Combined data'!Z182</f>
        <v>1</v>
      </c>
      <c r="AB182" s="90">
        <f>'Combined data'!AB182-'Combined data'!AA182</f>
        <v>0</v>
      </c>
      <c r="AC182" s="90">
        <f>'Combined data'!AC182-'Combined data'!AB182</f>
        <v>0</v>
      </c>
      <c r="AD182" s="90">
        <f>'Combined data'!AD182-'Combined data'!AC182</f>
        <v>2</v>
      </c>
      <c r="AE182" s="90">
        <f>'Combined data'!AE182-'Combined data'!AD182</f>
        <v>-68</v>
      </c>
      <c r="AF182" s="90">
        <f>'Combined data'!AF182-'Combined data'!AE182</f>
        <v>0</v>
      </c>
      <c r="AG182" s="90">
        <f>'Combined data'!AG182-'Combined data'!AF182</f>
        <v>0</v>
      </c>
      <c r="AH182" s="90">
        <f>'Combined data'!AH182-'Combined data'!AG182</f>
        <v>0</v>
      </c>
      <c r="AI182" s="90">
        <f>'Combined data'!AI182-'Combined data'!AH182</f>
        <v>0</v>
      </c>
      <c r="AJ182" s="90">
        <f>'Combined data'!AJ182-'Combined data'!AI182</f>
        <v>0</v>
      </c>
      <c r="AK182" s="90">
        <f>'Combined data'!AK182-'Combined data'!AJ182</f>
        <v>0</v>
      </c>
      <c r="AL182" s="90">
        <f>'Combined data'!AL182-'Combined data'!AK182</f>
        <v>0</v>
      </c>
      <c r="AM182" s="90">
        <f>'Combined data'!AM182-'Combined data'!AL182</f>
        <v>0</v>
      </c>
      <c r="AN182" s="90">
        <f>'Combined data'!AN182-'Combined data'!AM182</f>
        <v>0</v>
      </c>
      <c r="AO182" s="90">
        <f>'Combined data'!AO182-'Combined data'!AN182</f>
        <v>0</v>
      </c>
      <c r="AP182" s="56">
        <f t="shared" si="121"/>
        <v>0</v>
      </c>
      <c r="AQ182" s="113"/>
      <c r="AR182" s="17">
        <f>'Combined data'!AR182</f>
        <v>15</v>
      </c>
      <c r="AS182" s="17">
        <f>'Combined data'!AS182-'Combined data'!AR182</f>
        <v>5</v>
      </c>
      <c r="AT182" s="17">
        <f>'Combined data'!AT182-'Combined data'!AS182</f>
        <v>3</v>
      </c>
      <c r="AU182" s="17">
        <f>'Combined data'!AU182-'Combined data'!AT182</f>
        <v>6</v>
      </c>
      <c r="AV182" s="17">
        <f>'Combined data'!AV182-'Combined data'!AU182</f>
        <v>0</v>
      </c>
      <c r="AW182" s="17">
        <f>'Combined data'!AW182-'Combined data'!AV182</f>
        <v>0</v>
      </c>
      <c r="AX182" s="17">
        <f>'Combined data'!AX182-'Combined data'!AW182</f>
        <v>1</v>
      </c>
      <c r="AY182" s="17">
        <f>'Combined data'!AY182-'Combined data'!AX182</f>
        <v>2</v>
      </c>
      <c r="AZ182" s="17">
        <f>'Combined data'!AZ182-'Combined data'!AY182</f>
        <v>0</v>
      </c>
      <c r="BA182" s="17">
        <f>'Combined data'!BA182-'Combined data'!AZ182</f>
        <v>2</v>
      </c>
      <c r="BB182" s="17">
        <f>'Combined data'!BB182-'Combined data'!BA182</f>
        <v>0</v>
      </c>
      <c r="BC182" s="17">
        <f>'Combined data'!BC182-'Combined data'!BB182</f>
        <v>1</v>
      </c>
      <c r="BD182" s="17">
        <f>'Combined data'!BD182-'Combined data'!BC182</f>
        <v>2</v>
      </c>
      <c r="BE182" s="17">
        <f>'Combined data'!BE182-'Combined data'!BD182</f>
        <v>0</v>
      </c>
      <c r="BF182" s="17">
        <f>'Combined data'!BF182-'Combined data'!BE182</f>
        <v>0</v>
      </c>
      <c r="BG182" s="17">
        <f>'Combined data'!BG182-'Combined data'!BF182</f>
        <v>2</v>
      </c>
      <c r="BH182" s="17">
        <f>'Combined data'!BH182-'Combined data'!BG182</f>
        <v>3</v>
      </c>
      <c r="BI182" s="17">
        <f>'Combined data'!BI182-'Combined data'!BH182</f>
        <v>0</v>
      </c>
      <c r="BJ182" s="17">
        <f>'Combined data'!BJ182-'Combined data'!BI182</f>
        <v>0</v>
      </c>
      <c r="BK182" s="17">
        <f>'Combined data'!BK182-'Combined data'!BJ182</f>
        <v>0</v>
      </c>
      <c r="BL182" s="17">
        <f>'Combined data'!BL182-'Combined data'!BK182</f>
        <v>0</v>
      </c>
      <c r="BM182" s="17">
        <f>'Combined data'!BM182-'Combined data'!BL182</f>
        <v>0</v>
      </c>
      <c r="BN182" s="17">
        <f>'Combined data'!BN182-'Combined data'!BM182</f>
        <v>0</v>
      </c>
      <c r="BO182" s="17">
        <f>'Combined data'!BO182-'Combined data'!BN182</f>
        <v>-42</v>
      </c>
      <c r="BP182" s="17">
        <f>'Combined data'!BP182-'Combined data'!BO182</f>
        <v>0</v>
      </c>
      <c r="BQ182" s="17">
        <f>'Combined data'!BQ182-'Combined data'!BP182</f>
        <v>0</v>
      </c>
      <c r="BR182" s="17">
        <f>'Combined data'!BR182-'Combined data'!BQ182</f>
        <v>0</v>
      </c>
      <c r="BS182" s="17">
        <f>'Combined data'!BS182-'Combined data'!BR182</f>
        <v>0</v>
      </c>
      <c r="BT182" s="17">
        <f>'Combined data'!BT182-'Combined data'!BS182</f>
        <v>0</v>
      </c>
      <c r="BU182" s="17">
        <f>'Combined data'!BU182-'Combined data'!BT182</f>
        <v>0</v>
      </c>
      <c r="BV182" s="17">
        <f>'Combined data'!BV182-'Combined data'!BU182</f>
        <v>0</v>
      </c>
      <c r="BW182" s="17">
        <f>'Combined data'!BW182-'Combined data'!BV182</f>
        <v>0</v>
      </c>
      <c r="BX182" s="17">
        <f>'Combined data'!BX182-'Combined data'!BW182</f>
        <v>0</v>
      </c>
      <c r="BY182" s="17">
        <f>'Combined data'!BY182-'Combined data'!BX182</f>
        <v>0</v>
      </c>
      <c r="CB182" s="17">
        <f t="shared" si="131"/>
        <v>15</v>
      </c>
      <c r="CC182" s="17">
        <f t="shared" si="132"/>
        <v>5</v>
      </c>
      <c r="CD182" s="17">
        <f t="shared" si="133"/>
        <v>3</v>
      </c>
      <c r="CE182" s="17">
        <f t="shared" si="134"/>
        <v>6</v>
      </c>
      <c r="CF182" s="17">
        <f t="shared" si="135"/>
        <v>0</v>
      </c>
      <c r="CG182" s="17">
        <f t="shared" si="136"/>
        <v>0</v>
      </c>
      <c r="CH182" s="17">
        <f t="shared" si="137"/>
        <v>1</v>
      </c>
      <c r="CI182" s="17">
        <f t="shared" si="138"/>
        <v>2</v>
      </c>
      <c r="CJ182" s="17">
        <f t="shared" si="139"/>
        <v>0</v>
      </c>
      <c r="CK182" s="17">
        <f t="shared" si="140"/>
        <v>2</v>
      </c>
      <c r="CL182" s="17">
        <f t="shared" si="141"/>
        <v>0</v>
      </c>
      <c r="CM182" s="17">
        <f t="shared" si="142"/>
        <v>1</v>
      </c>
      <c r="CN182" s="17">
        <f t="shared" si="143"/>
        <v>2</v>
      </c>
      <c r="CO182" s="17">
        <f t="shared" si="144"/>
        <v>0</v>
      </c>
      <c r="CP182" s="17">
        <f t="shared" si="145"/>
        <v>0</v>
      </c>
      <c r="CQ182" s="17">
        <f t="shared" si="146"/>
        <v>2</v>
      </c>
      <c r="CR182" s="17">
        <f t="shared" si="147"/>
        <v>3</v>
      </c>
      <c r="CS182" s="17">
        <f t="shared" si="148"/>
        <v>0</v>
      </c>
      <c r="CT182" s="17">
        <f t="shared" si="149"/>
        <v>0</v>
      </c>
      <c r="CU182" s="17">
        <f t="shared" si="150"/>
        <v>0</v>
      </c>
      <c r="CV182" s="17">
        <f t="shared" si="151"/>
        <v>0</v>
      </c>
      <c r="CW182" s="17">
        <f t="shared" si="152"/>
        <v>0</v>
      </c>
      <c r="CX182" s="17">
        <f t="shared" si="153"/>
        <v>0</v>
      </c>
      <c r="CY182" s="17">
        <f t="shared" si="153"/>
        <v>-42</v>
      </c>
      <c r="CZ182" s="17">
        <f t="shared" si="153"/>
        <v>0</v>
      </c>
      <c r="DA182" s="17">
        <f t="shared" si="153"/>
        <v>0</v>
      </c>
      <c r="DB182" s="17">
        <f t="shared" si="153"/>
        <v>0</v>
      </c>
      <c r="DC182" s="17">
        <f t="shared" si="153"/>
        <v>0</v>
      </c>
      <c r="DD182" s="17">
        <f t="shared" si="153"/>
        <v>0</v>
      </c>
      <c r="DE182" s="17">
        <f t="shared" si="153"/>
        <v>0</v>
      </c>
      <c r="DF182" s="17">
        <f t="shared" si="153"/>
        <v>0</v>
      </c>
      <c r="DG182" s="17">
        <f t="shared" si="153"/>
        <v>0</v>
      </c>
      <c r="DH182" s="17">
        <f t="shared" si="153"/>
        <v>0</v>
      </c>
      <c r="DI182" s="17">
        <f t="shared" si="153"/>
        <v>0</v>
      </c>
    </row>
    <row r="183" spans="1:113" ht="15.75" x14ac:dyDescent="0.25">
      <c r="A183" s="4" t="s">
        <v>405</v>
      </c>
      <c r="B183" s="6" t="s">
        <v>406</v>
      </c>
      <c r="H183" s="90">
        <f>'Combined data'!H183</f>
        <v>41</v>
      </c>
      <c r="I183" s="90">
        <f>'Combined data'!I183-'Combined data'!H183</f>
        <v>2</v>
      </c>
      <c r="J183" s="90">
        <f>'Combined data'!J183-'Combined data'!I183</f>
        <v>4</v>
      </c>
      <c r="K183" s="90">
        <f>'Combined data'!K183-'Combined data'!J183</f>
        <v>3</v>
      </c>
      <c r="L183" s="90">
        <f>'Combined data'!L183-'Combined data'!K183</f>
        <v>1</v>
      </c>
      <c r="M183" s="90">
        <f>'Combined data'!M183-'Combined data'!L183</f>
        <v>0</v>
      </c>
      <c r="N183" s="90">
        <f>'Combined data'!N183-'Combined data'!M183</f>
        <v>1</v>
      </c>
      <c r="O183" s="90">
        <f>'Combined data'!O183-'Combined data'!N183</f>
        <v>3</v>
      </c>
      <c r="P183" s="90">
        <f>'Combined data'!P183-'Combined data'!O183</f>
        <v>3</v>
      </c>
      <c r="Q183" s="90">
        <f>'Combined data'!Q183-'Combined data'!P183</f>
        <v>0</v>
      </c>
      <c r="R183" s="90">
        <f>'Combined data'!R183-'Combined data'!Q183</f>
        <v>2</v>
      </c>
      <c r="S183" s="90">
        <f>'Combined data'!S183-'Combined data'!R183</f>
        <v>0</v>
      </c>
      <c r="T183" s="90">
        <f>'Combined data'!T183-'Combined data'!S183</f>
        <v>0</v>
      </c>
      <c r="U183" s="90">
        <f>'Combined data'!U183-'Combined data'!T183</f>
        <v>0</v>
      </c>
      <c r="V183" s="90">
        <f>'Combined data'!V183-'Combined data'!U183</f>
        <v>2</v>
      </c>
      <c r="W183" s="90">
        <f>'Combined data'!W183-'Combined data'!V183</f>
        <v>1</v>
      </c>
      <c r="X183" s="90">
        <f>'Combined data'!X183-'Combined data'!W183</f>
        <v>2</v>
      </c>
      <c r="Y183" s="90">
        <f>'Combined data'!Y183-'Combined data'!X183</f>
        <v>0</v>
      </c>
      <c r="Z183" s="90">
        <f>'Combined data'!Z183-'Combined data'!Y183</f>
        <v>0</v>
      </c>
      <c r="AA183" s="90">
        <f>'Combined data'!AA183-'Combined data'!Z183</f>
        <v>1</v>
      </c>
      <c r="AB183" s="90">
        <f>'Combined data'!AB183-'Combined data'!AA183</f>
        <v>2</v>
      </c>
      <c r="AC183" s="90">
        <f>'Combined data'!AC183-'Combined data'!AB183</f>
        <v>0</v>
      </c>
      <c r="AD183" s="90">
        <f>'Combined data'!AD183-'Combined data'!AC183</f>
        <v>1</v>
      </c>
      <c r="AE183" s="90">
        <f>'Combined data'!AE183-'Combined data'!AD183</f>
        <v>-69</v>
      </c>
      <c r="AF183" s="90">
        <f>'Combined data'!AF183-'Combined data'!AE183</f>
        <v>0</v>
      </c>
      <c r="AG183" s="90">
        <f>'Combined data'!AG183-'Combined data'!AF183</f>
        <v>0</v>
      </c>
      <c r="AH183" s="90">
        <f>'Combined data'!AH183-'Combined data'!AG183</f>
        <v>0</v>
      </c>
      <c r="AI183" s="90">
        <f>'Combined data'!AI183-'Combined data'!AH183</f>
        <v>0</v>
      </c>
      <c r="AJ183" s="90">
        <f>'Combined data'!AJ183-'Combined data'!AI183</f>
        <v>0</v>
      </c>
      <c r="AK183" s="90">
        <f>'Combined data'!AK183-'Combined data'!AJ183</f>
        <v>0</v>
      </c>
      <c r="AL183" s="90">
        <f>'Combined data'!AL183-'Combined data'!AK183</f>
        <v>0</v>
      </c>
      <c r="AM183" s="90">
        <f>'Combined data'!AM183-'Combined data'!AL183</f>
        <v>0</v>
      </c>
      <c r="AN183" s="90">
        <f>'Combined data'!AN183-'Combined data'!AM183</f>
        <v>0</v>
      </c>
      <c r="AO183" s="90">
        <f>'Combined data'!AO183-'Combined data'!AN183</f>
        <v>0</v>
      </c>
      <c r="AP183" s="56">
        <f t="shared" si="121"/>
        <v>0</v>
      </c>
      <c r="AQ183" s="113"/>
      <c r="AR183" s="17">
        <f>'Combined data'!AR183</f>
        <v>22</v>
      </c>
      <c r="AS183" s="17">
        <f>'Combined data'!AS183-'Combined data'!AR183</f>
        <v>4</v>
      </c>
      <c r="AT183" s="17">
        <f>'Combined data'!AT183-'Combined data'!AS183</f>
        <v>1</v>
      </c>
      <c r="AU183" s="17">
        <f>'Combined data'!AU183-'Combined data'!AT183</f>
        <v>2</v>
      </c>
      <c r="AV183" s="17">
        <f>'Combined data'!AV183-'Combined data'!AU183</f>
        <v>4</v>
      </c>
      <c r="AW183" s="17">
        <f>'Combined data'!AW183-'Combined data'!AV183</f>
        <v>0</v>
      </c>
      <c r="AX183" s="17">
        <f>'Combined data'!AX183-'Combined data'!AW183</f>
        <v>8</v>
      </c>
      <c r="AY183" s="17">
        <f>'Combined data'!AY183-'Combined data'!AX183</f>
        <v>1</v>
      </c>
      <c r="AZ183" s="17">
        <f>'Combined data'!AZ183-'Combined data'!AY183</f>
        <v>1</v>
      </c>
      <c r="BA183" s="17">
        <f>'Combined data'!BA183-'Combined data'!AZ183</f>
        <v>2</v>
      </c>
      <c r="BB183" s="17">
        <f>'Combined data'!BB183-'Combined data'!BA183</f>
        <v>0</v>
      </c>
      <c r="BC183" s="17">
        <f>'Combined data'!BC183-'Combined data'!BB183</f>
        <v>0</v>
      </c>
      <c r="BD183" s="17">
        <f>'Combined data'!BD183-'Combined data'!BC183</f>
        <v>0</v>
      </c>
      <c r="BE183" s="17">
        <f>'Combined data'!BE183-'Combined data'!BD183</f>
        <v>8</v>
      </c>
      <c r="BF183" s="17">
        <f>'Combined data'!BF183-'Combined data'!BE183</f>
        <v>0</v>
      </c>
      <c r="BG183" s="17">
        <f>'Combined data'!BG183-'Combined data'!BF183</f>
        <v>0</v>
      </c>
      <c r="BH183" s="17">
        <f>'Combined data'!BH183-'Combined data'!BG183</f>
        <v>2</v>
      </c>
      <c r="BI183" s="17">
        <f>'Combined data'!BI183-'Combined data'!BH183</f>
        <v>0</v>
      </c>
      <c r="BJ183" s="17">
        <f>'Combined data'!BJ183-'Combined data'!BI183</f>
        <v>1</v>
      </c>
      <c r="BK183" s="17">
        <f>'Combined data'!BK183-'Combined data'!BJ183</f>
        <v>0</v>
      </c>
      <c r="BL183" s="17">
        <f>'Combined data'!BL183-'Combined data'!BK183</f>
        <v>3</v>
      </c>
      <c r="BM183" s="17">
        <f>'Combined data'!BM183-'Combined data'!BL183</f>
        <v>1</v>
      </c>
      <c r="BN183" s="17">
        <f>'Combined data'!BN183-'Combined data'!BM183</f>
        <v>2</v>
      </c>
      <c r="BO183" s="17">
        <f>'Combined data'!BO183-'Combined data'!BN183</f>
        <v>-62</v>
      </c>
      <c r="BP183" s="17">
        <f>'Combined data'!BP183-'Combined data'!BO183</f>
        <v>0</v>
      </c>
      <c r="BQ183" s="17">
        <f>'Combined data'!BQ183-'Combined data'!BP183</f>
        <v>0</v>
      </c>
      <c r="BR183" s="17">
        <f>'Combined data'!BR183-'Combined data'!BQ183</f>
        <v>0</v>
      </c>
      <c r="BS183" s="17">
        <f>'Combined data'!BS183-'Combined data'!BR183</f>
        <v>0</v>
      </c>
      <c r="BT183" s="17">
        <f>'Combined data'!BT183-'Combined data'!BS183</f>
        <v>0</v>
      </c>
      <c r="BU183" s="17">
        <f>'Combined data'!BU183-'Combined data'!BT183</f>
        <v>0</v>
      </c>
      <c r="BV183" s="17">
        <f>'Combined data'!BV183-'Combined data'!BU183</f>
        <v>0</v>
      </c>
      <c r="BW183" s="17">
        <f>'Combined data'!BW183-'Combined data'!BV183</f>
        <v>0</v>
      </c>
      <c r="BX183" s="17">
        <f>'Combined data'!BX183-'Combined data'!BW183</f>
        <v>0</v>
      </c>
      <c r="BY183" s="17">
        <f>'Combined data'!BY183-'Combined data'!BX183</f>
        <v>0</v>
      </c>
      <c r="CB183" s="17">
        <f t="shared" si="131"/>
        <v>22</v>
      </c>
      <c r="CC183" s="17">
        <f t="shared" si="132"/>
        <v>4</v>
      </c>
      <c r="CD183" s="17">
        <f t="shared" si="133"/>
        <v>1</v>
      </c>
      <c r="CE183" s="17">
        <f t="shared" si="134"/>
        <v>2</v>
      </c>
      <c r="CF183" s="17">
        <f t="shared" si="135"/>
        <v>4</v>
      </c>
      <c r="CG183" s="17">
        <f t="shared" si="136"/>
        <v>0</v>
      </c>
      <c r="CH183" s="17">
        <f t="shared" si="137"/>
        <v>8</v>
      </c>
      <c r="CI183" s="17">
        <f t="shared" si="138"/>
        <v>1</v>
      </c>
      <c r="CJ183" s="17">
        <f t="shared" si="139"/>
        <v>1</v>
      </c>
      <c r="CK183" s="17">
        <f t="shared" si="140"/>
        <v>2</v>
      </c>
      <c r="CL183" s="17">
        <f t="shared" si="141"/>
        <v>0</v>
      </c>
      <c r="CM183" s="17">
        <f t="shared" si="142"/>
        <v>0</v>
      </c>
      <c r="CN183" s="17">
        <f t="shared" si="143"/>
        <v>0</v>
      </c>
      <c r="CO183" s="17">
        <f t="shared" si="144"/>
        <v>8</v>
      </c>
      <c r="CP183" s="17">
        <f t="shared" si="145"/>
        <v>0</v>
      </c>
      <c r="CQ183" s="17">
        <f t="shared" si="146"/>
        <v>0</v>
      </c>
      <c r="CR183" s="17">
        <f t="shared" si="147"/>
        <v>2</v>
      </c>
      <c r="CS183" s="17">
        <f t="shared" si="148"/>
        <v>0</v>
      </c>
      <c r="CT183" s="17">
        <f t="shared" si="149"/>
        <v>1</v>
      </c>
      <c r="CU183" s="17">
        <f t="shared" si="150"/>
        <v>0</v>
      </c>
      <c r="CV183" s="17">
        <f t="shared" si="151"/>
        <v>3</v>
      </c>
      <c r="CW183" s="17">
        <f t="shared" si="152"/>
        <v>1</v>
      </c>
      <c r="CX183" s="17">
        <f t="shared" si="153"/>
        <v>2</v>
      </c>
      <c r="CY183" s="17">
        <f t="shared" si="153"/>
        <v>-62</v>
      </c>
      <c r="CZ183" s="17">
        <f t="shared" si="153"/>
        <v>0</v>
      </c>
      <c r="DA183" s="17">
        <f t="shared" si="153"/>
        <v>0</v>
      </c>
      <c r="DB183" s="17">
        <f t="shared" si="153"/>
        <v>0</v>
      </c>
      <c r="DC183" s="17">
        <f t="shared" si="153"/>
        <v>0</v>
      </c>
      <c r="DD183" s="17">
        <f t="shared" si="153"/>
        <v>0</v>
      </c>
      <c r="DE183" s="17">
        <f t="shared" si="153"/>
        <v>0</v>
      </c>
      <c r="DF183" s="17">
        <f t="shared" si="153"/>
        <v>0</v>
      </c>
      <c r="DG183" s="17">
        <f t="shared" si="153"/>
        <v>0</v>
      </c>
      <c r="DH183" s="17">
        <f t="shared" si="153"/>
        <v>0</v>
      </c>
      <c r="DI183" s="17">
        <f t="shared" si="153"/>
        <v>0</v>
      </c>
    </row>
    <row r="184" spans="1:113" ht="15.75" x14ac:dyDescent="0.25">
      <c r="A184" s="4" t="s">
        <v>407</v>
      </c>
      <c r="B184" s="6" t="s">
        <v>408</v>
      </c>
      <c r="H184" s="90">
        <f>'Combined data'!H184</f>
        <v>67</v>
      </c>
      <c r="I184" s="90">
        <f>'Combined data'!I184-'Combined data'!H184</f>
        <v>7</v>
      </c>
      <c r="J184" s="90">
        <f>'Combined data'!J184-'Combined data'!I184</f>
        <v>0</v>
      </c>
      <c r="K184" s="90">
        <f>'Combined data'!K184-'Combined data'!J184</f>
        <v>4</v>
      </c>
      <c r="L184" s="90">
        <f>'Combined data'!L184-'Combined data'!K184</f>
        <v>1</v>
      </c>
      <c r="M184" s="90">
        <f>'Combined data'!M184-'Combined data'!L184</f>
        <v>-1</v>
      </c>
      <c r="N184" s="90">
        <f>'Combined data'!N184-'Combined data'!M184</f>
        <v>0</v>
      </c>
      <c r="O184" s="90">
        <f>'Combined data'!O184-'Combined data'!N184</f>
        <v>2</v>
      </c>
      <c r="P184" s="90">
        <f>'Combined data'!P184-'Combined data'!O184</f>
        <v>5</v>
      </c>
      <c r="Q184" s="90">
        <f>'Combined data'!Q184-'Combined data'!P184</f>
        <v>2</v>
      </c>
      <c r="R184" s="90">
        <f>'Combined data'!R184-'Combined data'!Q184</f>
        <v>0</v>
      </c>
      <c r="S184" s="90">
        <f>'Combined data'!S184-'Combined data'!R184</f>
        <v>2</v>
      </c>
      <c r="T184" s="90">
        <f>'Combined data'!T184-'Combined data'!S184</f>
        <v>0</v>
      </c>
      <c r="U184" s="90">
        <f>'Combined data'!U184-'Combined data'!T184</f>
        <v>0</v>
      </c>
      <c r="V184" s="90">
        <f>'Combined data'!V184-'Combined data'!U184</f>
        <v>5</v>
      </c>
      <c r="W184" s="90">
        <f>'Combined data'!W184-'Combined data'!V184</f>
        <v>1</v>
      </c>
      <c r="X184" s="90">
        <f>'Combined data'!X184-'Combined data'!W184</f>
        <v>0</v>
      </c>
      <c r="Y184" s="90">
        <f>'Combined data'!Y184-'Combined data'!X184</f>
        <v>0</v>
      </c>
      <c r="Z184" s="90">
        <f>'Combined data'!Z184-'Combined data'!Y184</f>
        <v>1</v>
      </c>
      <c r="AA184" s="90">
        <f>'Combined data'!AA184-'Combined data'!Z184</f>
        <v>-2</v>
      </c>
      <c r="AB184" s="90">
        <f>'Combined data'!AB184-'Combined data'!AA184</f>
        <v>3</v>
      </c>
      <c r="AC184" s="90">
        <f>'Combined data'!AC184-'Combined data'!AB184</f>
        <v>0</v>
      </c>
      <c r="AD184" s="90">
        <f>'Combined data'!AD184-'Combined data'!AC184</f>
        <v>0</v>
      </c>
      <c r="AE184" s="90">
        <f>'Combined data'!AE184-'Combined data'!AD184</f>
        <v>-97</v>
      </c>
      <c r="AF184" s="90">
        <f>'Combined data'!AF184-'Combined data'!AE184</f>
        <v>0</v>
      </c>
      <c r="AG184" s="90">
        <f>'Combined data'!AG184-'Combined data'!AF184</f>
        <v>0</v>
      </c>
      <c r="AH184" s="90">
        <f>'Combined data'!AH184-'Combined data'!AG184</f>
        <v>0</v>
      </c>
      <c r="AI184" s="90">
        <f>'Combined data'!AI184-'Combined data'!AH184</f>
        <v>0</v>
      </c>
      <c r="AJ184" s="90">
        <f>'Combined data'!AJ184-'Combined data'!AI184</f>
        <v>0</v>
      </c>
      <c r="AK184" s="90">
        <f>'Combined data'!AK184-'Combined data'!AJ184</f>
        <v>0</v>
      </c>
      <c r="AL184" s="90">
        <f>'Combined data'!AL184-'Combined data'!AK184</f>
        <v>0</v>
      </c>
      <c r="AM184" s="90">
        <f>'Combined data'!AM184-'Combined data'!AL184</f>
        <v>0</v>
      </c>
      <c r="AN184" s="90">
        <f>'Combined data'!AN184-'Combined data'!AM184</f>
        <v>0</v>
      </c>
      <c r="AO184" s="90">
        <f>'Combined data'!AO184-'Combined data'!AN184</f>
        <v>0</v>
      </c>
      <c r="AP184" s="56">
        <f t="shared" si="121"/>
        <v>0</v>
      </c>
      <c r="AQ184" s="113"/>
      <c r="AR184" s="17">
        <f>'Combined data'!AR184</f>
        <v>37</v>
      </c>
      <c r="AS184" s="17">
        <f>'Combined data'!AS184-'Combined data'!AR184</f>
        <v>2</v>
      </c>
      <c r="AT184" s="17">
        <f>'Combined data'!AT184-'Combined data'!AS184</f>
        <v>5</v>
      </c>
      <c r="AU184" s="17">
        <f>'Combined data'!AU184-'Combined data'!AT184</f>
        <v>1</v>
      </c>
      <c r="AV184" s="17">
        <f>'Combined data'!AV184-'Combined data'!AU184</f>
        <v>3</v>
      </c>
      <c r="AW184" s="17">
        <f>'Combined data'!AW184-'Combined data'!AV184</f>
        <v>1</v>
      </c>
      <c r="AX184" s="17">
        <f>'Combined data'!AX184-'Combined data'!AW184</f>
        <v>0</v>
      </c>
      <c r="AY184" s="17">
        <f>'Combined data'!AY184-'Combined data'!AX184</f>
        <v>0</v>
      </c>
      <c r="AZ184" s="17">
        <f>'Combined data'!AZ184-'Combined data'!AY184</f>
        <v>0</v>
      </c>
      <c r="BA184" s="17">
        <f>'Combined data'!BA184-'Combined data'!AZ184</f>
        <v>3</v>
      </c>
      <c r="BB184" s="17">
        <f>'Combined data'!BB184-'Combined data'!BA184</f>
        <v>4</v>
      </c>
      <c r="BC184" s="17">
        <f>'Combined data'!BC184-'Combined data'!BB184</f>
        <v>1</v>
      </c>
      <c r="BD184" s="17">
        <f>'Combined data'!BD184-'Combined data'!BC184</f>
        <v>3</v>
      </c>
      <c r="BE184" s="17">
        <f>'Combined data'!BE184-'Combined data'!BD184</f>
        <v>0</v>
      </c>
      <c r="BF184" s="17">
        <f>'Combined data'!BF184-'Combined data'!BE184</f>
        <v>0</v>
      </c>
      <c r="BG184" s="17">
        <f>'Combined data'!BG184-'Combined data'!BF184</f>
        <v>2</v>
      </c>
      <c r="BH184" s="17">
        <f>'Combined data'!BH184-'Combined data'!BG184</f>
        <v>3</v>
      </c>
      <c r="BI184" s="17">
        <f>'Combined data'!BI184-'Combined data'!BH184</f>
        <v>0</v>
      </c>
      <c r="BJ184" s="17">
        <f>'Combined data'!BJ184-'Combined data'!BI184</f>
        <v>2</v>
      </c>
      <c r="BK184" s="17">
        <f>'Combined data'!BK184-'Combined data'!BJ184</f>
        <v>0</v>
      </c>
      <c r="BL184" s="17">
        <f>'Combined data'!BL184-'Combined data'!BK184</f>
        <v>4</v>
      </c>
      <c r="BM184" s="17">
        <f>'Combined data'!BM184-'Combined data'!BL184</f>
        <v>0</v>
      </c>
      <c r="BN184" s="17">
        <f>'Combined data'!BN184-'Combined data'!BM184</f>
        <v>3</v>
      </c>
      <c r="BO184" s="17">
        <f>'Combined data'!BO184-'Combined data'!BN184</f>
        <v>-74</v>
      </c>
      <c r="BP184" s="17">
        <f>'Combined data'!BP184-'Combined data'!BO184</f>
        <v>0</v>
      </c>
      <c r="BQ184" s="17">
        <f>'Combined data'!BQ184-'Combined data'!BP184</f>
        <v>0</v>
      </c>
      <c r="BR184" s="17">
        <f>'Combined data'!BR184-'Combined data'!BQ184</f>
        <v>0</v>
      </c>
      <c r="BS184" s="17">
        <f>'Combined data'!BS184-'Combined data'!BR184</f>
        <v>0</v>
      </c>
      <c r="BT184" s="17">
        <f>'Combined data'!BT184-'Combined data'!BS184</f>
        <v>0</v>
      </c>
      <c r="BU184" s="17">
        <f>'Combined data'!BU184-'Combined data'!BT184</f>
        <v>0</v>
      </c>
      <c r="BV184" s="17">
        <f>'Combined data'!BV184-'Combined data'!BU184</f>
        <v>0</v>
      </c>
      <c r="BW184" s="17">
        <f>'Combined data'!BW184-'Combined data'!BV184</f>
        <v>0</v>
      </c>
      <c r="BX184" s="17">
        <f>'Combined data'!BX184-'Combined data'!BW184</f>
        <v>0</v>
      </c>
      <c r="BY184" s="17">
        <f>'Combined data'!BY184-'Combined data'!BX184</f>
        <v>0</v>
      </c>
      <c r="CB184" s="17">
        <f t="shared" si="131"/>
        <v>37</v>
      </c>
      <c r="CC184" s="17">
        <f t="shared" si="132"/>
        <v>2</v>
      </c>
      <c r="CD184" s="17">
        <f t="shared" si="133"/>
        <v>5</v>
      </c>
      <c r="CE184" s="17">
        <f t="shared" si="134"/>
        <v>1</v>
      </c>
      <c r="CF184" s="17">
        <f t="shared" si="135"/>
        <v>3</v>
      </c>
      <c r="CG184" s="17">
        <f t="shared" si="136"/>
        <v>1</v>
      </c>
      <c r="CH184" s="17">
        <f t="shared" si="137"/>
        <v>0</v>
      </c>
      <c r="CI184" s="17">
        <f t="shared" si="138"/>
        <v>0</v>
      </c>
      <c r="CJ184" s="17">
        <f t="shared" si="139"/>
        <v>0</v>
      </c>
      <c r="CK184" s="17">
        <f t="shared" si="140"/>
        <v>3</v>
      </c>
      <c r="CL184" s="17">
        <f t="shared" si="141"/>
        <v>4</v>
      </c>
      <c r="CM184" s="17">
        <f t="shared" si="142"/>
        <v>1</v>
      </c>
      <c r="CN184" s="17">
        <f t="shared" si="143"/>
        <v>3</v>
      </c>
      <c r="CO184" s="17">
        <f t="shared" si="144"/>
        <v>0</v>
      </c>
      <c r="CP184" s="17">
        <f t="shared" si="145"/>
        <v>0</v>
      </c>
      <c r="CQ184" s="17">
        <f t="shared" si="146"/>
        <v>2</v>
      </c>
      <c r="CR184" s="17">
        <f t="shared" si="147"/>
        <v>3</v>
      </c>
      <c r="CS184" s="17">
        <f t="shared" si="148"/>
        <v>0</v>
      </c>
      <c r="CT184" s="17">
        <f t="shared" si="149"/>
        <v>2</v>
      </c>
      <c r="CU184" s="17">
        <f t="shared" si="150"/>
        <v>0</v>
      </c>
      <c r="CV184" s="17">
        <f t="shared" si="151"/>
        <v>4</v>
      </c>
      <c r="CW184" s="17">
        <f t="shared" si="152"/>
        <v>0</v>
      </c>
      <c r="CX184" s="17">
        <f t="shared" si="153"/>
        <v>3</v>
      </c>
      <c r="CY184" s="17">
        <f t="shared" si="153"/>
        <v>-74</v>
      </c>
      <c r="CZ184" s="17">
        <f t="shared" si="153"/>
        <v>0</v>
      </c>
      <c r="DA184" s="17">
        <f t="shared" si="153"/>
        <v>0</v>
      </c>
      <c r="DB184" s="17">
        <f t="shared" si="153"/>
        <v>0</v>
      </c>
      <c r="DC184" s="17">
        <f t="shared" si="153"/>
        <v>0</v>
      </c>
      <c r="DD184" s="17">
        <f t="shared" si="153"/>
        <v>0</v>
      </c>
      <c r="DE184" s="17">
        <f t="shared" si="153"/>
        <v>0</v>
      </c>
      <c r="DF184" s="17">
        <f t="shared" si="153"/>
        <v>0</v>
      </c>
      <c r="DG184" s="17">
        <f t="shared" si="153"/>
        <v>0</v>
      </c>
      <c r="DH184" s="17">
        <f t="shared" si="153"/>
        <v>0</v>
      </c>
      <c r="DI184" s="17">
        <f t="shared" si="153"/>
        <v>0</v>
      </c>
    </row>
    <row r="185" spans="1:113" ht="15.75" x14ac:dyDescent="0.25">
      <c r="A185" s="4" t="s">
        <v>409</v>
      </c>
      <c r="B185" s="6" t="s">
        <v>410</v>
      </c>
      <c r="H185" s="90">
        <f>'Combined data'!H185</f>
        <v>39</v>
      </c>
      <c r="I185" s="90">
        <f>'Combined data'!I185-'Combined data'!H185</f>
        <v>6</v>
      </c>
      <c r="J185" s="90">
        <f>'Combined data'!J185-'Combined data'!I185</f>
        <v>2</v>
      </c>
      <c r="K185" s="90">
        <f>'Combined data'!K185-'Combined data'!J185</f>
        <v>1</v>
      </c>
      <c r="L185" s="90">
        <f>'Combined data'!L185-'Combined data'!K185</f>
        <v>0</v>
      </c>
      <c r="M185" s="90">
        <f>'Combined data'!M185-'Combined data'!L185</f>
        <v>-1</v>
      </c>
      <c r="N185" s="90">
        <f>'Combined data'!N185-'Combined data'!M185</f>
        <v>1</v>
      </c>
      <c r="O185" s="90">
        <f>'Combined data'!O185-'Combined data'!N185</f>
        <v>0</v>
      </c>
      <c r="P185" s="90">
        <f>'Combined data'!P185-'Combined data'!O185</f>
        <v>0</v>
      </c>
      <c r="Q185" s="90">
        <f>'Combined data'!Q185-'Combined data'!P185</f>
        <v>1</v>
      </c>
      <c r="R185" s="90">
        <f>'Combined data'!R185-'Combined data'!Q185</f>
        <v>0</v>
      </c>
      <c r="S185" s="90">
        <f>'Combined data'!S185-'Combined data'!R185</f>
        <v>0</v>
      </c>
      <c r="T185" s="90">
        <f>'Combined data'!T185-'Combined data'!S185</f>
        <v>0</v>
      </c>
      <c r="U185" s="90">
        <f>'Combined data'!U185-'Combined data'!T185</f>
        <v>0</v>
      </c>
      <c r="V185" s="90">
        <f>'Combined data'!V185-'Combined data'!U185</f>
        <v>1</v>
      </c>
      <c r="W185" s="90">
        <f>'Combined data'!W185-'Combined data'!V185</f>
        <v>1</v>
      </c>
      <c r="X185" s="90">
        <f>'Combined data'!X185-'Combined data'!W185</f>
        <v>0</v>
      </c>
      <c r="Y185" s="90">
        <f>'Combined data'!Y185-'Combined data'!X185</f>
        <v>0</v>
      </c>
      <c r="Z185" s="90">
        <f>'Combined data'!Z185-'Combined data'!Y185</f>
        <v>0</v>
      </c>
      <c r="AA185" s="90">
        <f>'Combined data'!AA185-'Combined data'!Z185</f>
        <v>1</v>
      </c>
      <c r="AB185" s="90">
        <f>'Combined data'!AB185-'Combined data'!AA185</f>
        <v>0</v>
      </c>
      <c r="AC185" s="90">
        <f>'Combined data'!AC185-'Combined data'!AB185</f>
        <v>0</v>
      </c>
      <c r="AD185" s="90">
        <f>'Combined data'!AD185-'Combined data'!AC185</f>
        <v>0</v>
      </c>
      <c r="AE185" s="90">
        <f>'Combined data'!AE185-'Combined data'!AD185</f>
        <v>-52</v>
      </c>
      <c r="AF185" s="90">
        <f>'Combined data'!AF185-'Combined data'!AE185</f>
        <v>0</v>
      </c>
      <c r="AG185" s="90">
        <f>'Combined data'!AG185-'Combined data'!AF185</f>
        <v>0</v>
      </c>
      <c r="AH185" s="90">
        <f>'Combined data'!AH185-'Combined data'!AG185</f>
        <v>0</v>
      </c>
      <c r="AI185" s="90">
        <f>'Combined data'!AI185-'Combined data'!AH185</f>
        <v>0</v>
      </c>
      <c r="AJ185" s="90">
        <f>'Combined data'!AJ185-'Combined data'!AI185</f>
        <v>0</v>
      </c>
      <c r="AK185" s="90">
        <f>'Combined data'!AK185-'Combined data'!AJ185</f>
        <v>0</v>
      </c>
      <c r="AL185" s="90">
        <f>'Combined data'!AL185-'Combined data'!AK185</f>
        <v>0</v>
      </c>
      <c r="AM185" s="90">
        <f>'Combined data'!AM185-'Combined data'!AL185</f>
        <v>0</v>
      </c>
      <c r="AN185" s="90">
        <f>'Combined data'!AN185-'Combined data'!AM185</f>
        <v>0</v>
      </c>
      <c r="AO185" s="90">
        <f>'Combined data'!AO185-'Combined data'!AN185</f>
        <v>0</v>
      </c>
      <c r="AP185" s="56">
        <f t="shared" si="121"/>
        <v>0</v>
      </c>
      <c r="AQ185" s="113"/>
      <c r="AR185" s="17">
        <f>'Combined data'!AR185</f>
        <v>14</v>
      </c>
      <c r="AS185" s="17">
        <f>'Combined data'!AS185-'Combined data'!AR185</f>
        <v>3</v>
      </c>
      <c r="AT185" s="17">
        <f>'Combined data'!AT185-'Combined data'!AS185</f>
        <v>5</v>
      </c>
      <c r="AU185" s="17">
        <f>'Combined data'!AU185-'Combined data'!AT185</f>
        <v>2</v>
      </c>
      <c r="AV185" s="17">
        <f>'Combined data'!AV185-'Combined data'!AU185</f>
        <v>2</v>
      </c>
      <c r="AW185" s="17">
        <f>'Combined data'!AW185-'Combined data'!AV185</f>
        <v>-1</v>
      </c>
      <c r="AX185" s="17">
        <f>'Combined data'!AX185-'Combined data'!AW185</f>
        <v>3</v>
      </c>
      <c r="AY185" s="17">
        <f>'Combined data'!AY185-'Combined data'!AX185</f>
        <v>1</v>
      </c>
      <c r="AZ185" s="17">
        <f>'Combined data'!AZ185-'Combined data'!AY185</f>
        <v>3</v>
      </c>
      <c r="BA185" s="17">
        <f>'Combined data'!BA185-'Combined data'!AZ185</f>
        <v>0</v>
      </c>
      <c r="BB185" s="17">
        <f>'Combined data'!BB185-'Combined data'!BA185</f>
        <v>2</v>
      </c>
      <c r="BC185" s="17">
        <f>'Combined data'!BC185-'Combined data'!BB185</f>
        <v>5</v>
      </c>
      <c r="BD185" s="17">
        <f>'Combined data'!BD185-'Combined data'!BC185</f>
        <v>0</v>
      </c>
      <c r="BE185" s="17">
        <f>'Combined data'!BE185-'Combined data'!BD185</f>
        <v>0</v>
      </c>
      <c r="BF185" s="17">
        <f>'Combined data'!BF185-'Combined data'!BE185</f>
        <v>0</v>
      </c>
      <c r="BG185" s="17">
        <f>'Combined data'!BG185-'Combined data'!BF185</f>
        <v>0</v>
      </c>
      <c r="BH185" s="17">
        <f>'Combined data'!BH185-'Combined data'!BG185</f>
        <v>0</v>
      </c>
      <c r="BI185" s="17">
        <f>'Combined data'!BI185-'Combined data'!BH185</f>
        <v>0</v>
      </c>
      <c r="BJ185" s="17">
        <f>'Combined data'!BJ185-'Combined data'!BI185</f>
        <v>0</v>
      </c>
      <c r="BK185" s="17">
        <f>'Combined data'!BK185-'Combined data'!BJ185</f>
        <v>0</v>
      </c>
      <c r="BL185" s="17">
        <f>'Combined data'!BL185-'Combined data'!BK185</f>
        <v>0</v>
      </c>
      <c r="BM185" s="17">
        <f>'Combined data'!BM185-'Combined data'!BL185</f>
        <v>0</v>
      </c>
      <c r="BN185" s="17">
        <f>'Combined data'!BN185-'Combined data'!BM185</f>
        <v>0</v>
      </c>
      <c r="BO185" s="17">
        <f>'Combined data'!BO185-'Combined data'!BN185</f>
        <v>-39</v>
      </c>
      <c r="BP185" s="17">
        <f>'Combined data'!BP185-'Combined data'!BO185</f>
        <v>0</v>
      </c>
      <c r="BQ185" s="17">
        <f>'Combined data'!BQ185-'Combined data'!BP185</f>
        <v>0</v>
      </c>
      <c r="BR185" s="17">
        <f>'Combined data'!BR185-'Combined data'!BQ185</f>
        <v>0</v>
      </c>
      <c r="BS185" s="17">
        <f>'Combined data'!BS185-'Combined data'!BR185</f>
        <v>0</v>
      </c>
      <c r="BT185" s="17">
        <f>'Combined data'!BT185-'Combined data'!BS185</f>
        <v>0</v>
      </c>
      <c r="BU185" s="17">
        <f>'Combined data'!BU185-'Combined data'!BT185</f>
        <v>0</v>
      </c>
      <c r="BV185" s="17">
        <f>'Combined data'!BV185-'Combined data'!BU185</f>
        <v>0</v>
      </c>
      <c r="BW185" s="17">
        <f>'Combined data'!BW185-'Combined data'!BV185</f>
        <v>0</v>
      </c>
      <c r="BX185" s="17">
        <f>'Combined data'!BX185-'Combined data'!BW185</f>
        <v>0</v>
      </c>
      <c r="BY185" s="17">
        <f>'Combined data'!BY185-'Combined data'!BX185</f>
        <v>0</v>
      </c>
      <c r="CB185" s="17">
        <f t="shared" si="131"/>
        <v>14</v>
      </c>
      <c r="CC185" s="17">
        <f t="shared" si="132"/>
        <v>3</v>
      </c>
      <c r="CD185" s="17">
        <f t="shared" si="133"/>
        <v>5</v>
      </c>
      <c r="CE185" s="17">
        <f t="shared" si="134"/>
        <v>2</v>
      </c>
      <c r="CF185" s="17">
        <f t="shared" si="135"/>
        <v>2</v>
      </c>
      <c r="CG185" s="17">
        <f t="shared" si="136"/>
        <v>-1</v>
      </c>
      <c r="CH185" s="17">
        <f t="shared" si="137"/>
        <v>3</v>
      </c>
      <c r="CI185" s="17">
        <f t="shared" si="138"/>
        <v>1</v>
      </c>
      <c r="CJ185" s="17">
        <f t="shared" si="139"/>
        <v>3</v>
      </c>
      <c r="CK185" s="17">
        <f t="shared" si="140"/>
        <v>0</v>
      </c>
      <c r="CL185" s="17">
        <f t="shared" si="141"/>
        <v>2</v>
      </c>
      <c r="CM185" s="17">
        <f t="shared" si="142"/>
        <v>5</v>
      </c>
      <c r="CN185" s="17">
        <f t="shared" si="143"/>
        <v>0</v>
      </c>
      <c r="CO185" s="17">
        <f t="shared" si="144"/>
        <v>0</v>
      </c>
      <c r="CP185" s="17">
        <f t="shared" si="145"/>
        <v>0</v>
      </c>
      <c r="CQ185" s="17">
        <f t="shared" si="146"/>
        <v>0</v>
      </c>
      <c r="CR185" s="17">
        <f t="shared" si="147"/>
        <v>0</v>
      </c>
      <c r="CS185" s="17">
        <f t="shared" si="148"/>
        <v>0</v>
      </c>
      <c r="CT185" s="17">
        <f t="shared" si="149"/>
        <v>0</v>
      </c>
      <c r="CU185" s="17">
        <f t="shared" si="150"/>
        <v>0</v>
      </c>
      <c r="CV185" s="17">
        <f t="shared" si="151"/>
        <v>0</v>
      </c>
      <c r="CW185" s="17">
        <f t="shared" si="152"/>
        <v>0</v>
      </c>
      <c r="CX185" s="17">
        <f t="shared" si="153"/>
        <v>0</v>
      </c>
      <c r="CY185" s="17">
        <f t="shared" si="153"/>
        <v>-39</v>
      </c>
      <c r="CZ185" s="17">
        <f t="shared" si="153"/>
        <v>0</v>
      </c>
      <c r="DA185" s="17">
        <f t="shared" si="153"/>
        <v>0</v>
      </c>
      <c r="DB185" s="17">
        <f t="shared" si="153"/>
        <v>0</v>
      </c>
      <c r="DC185" s="17">
        <f t="shared" si="153"/>
        <v>0</v>
      </c>
      <c r="DD185" s="17">
        <f t="shared" si="153"/>
        <v>0</v>
      </c>
      <c r="DE185" s="17">
        <f t="shared" si="153"/>
        <v>0</v>
      </c>
      <c r="DF185" s="17">
        <f t="shared" si="153"/>
        <v>0</v>
      </c>
      <c r="DG185" s="17">
        <f t="shared" si="153"/>
        <v>0</v>
      </c>
      <c r="DH185" s="17">
        <f t="shared" si="153"/>
        <v>0</v>
      </c>
      <c r="DI185" s="17">
        <f t="shared" si="153"/>
        <v>0</v>
      </c>
    </row>
    <row r="186" spans="1:113" ht="15.75" x14ac:dyDescent="0.25">
      <c r="A186" s="4" t="s">
        <v>411</v>
      </c>
      <c r="B186" s="6" t="s">
        <v>412</v>
      </c>
      <c r="H186" s="90">
        <f>'Combined data'!H186</f>
        <v>45</v>
      </c>
      <c r="I186" s="90">
        <f>'Combined data'!I186-'Combined data'!H186</f>
        <v>7</v>
      </c>
      <c r="J186" s="90">
        <f>'Combined data'!J186-'Combined data'!I186</f>
        <v>1</v>
      </c>
      <c r="K186" s="90">
        <f>'Combined data'!K186-'Combined data'!J186</f>
        <v>0</v>
      </c>
      <c r="L186" s="90">
        <f>'Combined data'!L186-'Combined data'!K186</f>
        <v>1</v>
      </c>
      <c r="M186" s="90">
        <f>'Combined data'!M186-'Combined data'!L186</f>
        <v>1</v>
      </c>
      <c r="N186" s="90">
        <f>'Combined data'!N186-'Combined data'!M186</f>
        <v>2</v>
      </c>
      <c r="O186" s="90">
        <f>'Combined data'!O186-'Combined data'!N186</f>
        <v>2</v>
      </c>
      <c r="P186" s="90">
        <f>'Combined data'!P186-'Combined data'!O186</f>
        <v>4</v>
      </c>
      <c r="Q186" s="90">
        <f>'Combined data'!Q186-'Combined data'!P186</f>
        <v>0</v>
      </c>
      <c r="R186" s="90">
        <f>'Combined data'!R186-'Combined data'!Q186</f>
        <v>0</v>
      </c>
      <c r="S186" s="90">
        <f>'Combined data'!S186-'Combined data'!R186</f>
        <v>0</v>
      </c>
      <c r="T186" s="90">
        <f>'Combined data'!T186-'Combined data'!S186</f>
        <v>2</v>
      </c>
      <c r="U186" s="90">
        <f>'Combined data'!U186-'Combined data'!T186</f>
        <v>0</v>
      </c>
      <c r="V186" s="90">
        <f>'Combined data'!V186-'Combined data'!U186</f>
        <v>0</v>
      </c>
      <c r="W186" s="90">
        <f>'Combined data'!W186-'Combined data'!V186</f>
        <v>0</v>
      </c>
      <c r="X186" s="90">
        <f>'Combined data'!X186-'Combined data'!W186</f>
        <v>0</v>
      </c>
      <c r="Y186" s="90">
        <f>'Combined data'!Y186-'Combined data'!X186</f>
        <v>1</v>
      </c>
      <c r="Z186" s="90">
        <f>'Combined data'!Z186-'Combined data'!Y186</f>
        <v>3</v>
      </c>
      <c r="AA186" s="90">
        <f>'Combined data'!AA186-'Combined data'!Z186</f>
        <v>0</v>
      </c>
      <c r="AB186" s="90">
        <f>'Combined data'!AB186-'Combined data'!AA186</f>
        <v>0</v>
      </c>
      <c r="AC186" s="90">
        <f>'Combined data'!AC186-'Combined data'!AB186</f>
        <v>0</v>
      </c>
      <c r="AD186" s="90">
        <f>'Combined data'!AD186-'Combined data'!AC186</f>
        <v>0</v>
      </c>
      <c r="AE186" s="90">
        <f>'Combined data'!AE186-'Combined data'!AD186</f>
        <v>-69</v>
      </c>
      <c r="AF186" s="90">
        <f>'Combined data'!AF186-'Combined data'!AE186</f>
        <v>0</v>
      </c>
      <c r="AG186" s="90">
        <f>'Combined data'!AG186-'Combined data'!AF186</f>
        <v>0</v>
      </c>
      <c r="AH186" s="90">
        <f>'Combined data'!AH186-'Combined data'!AG186</f>
        <v>0</v>
      </c>
      <c r="AI186" s="90">
        <f>'Combined data'!AI186-'Combined data'!AH186</f>
        <v>0</v>
      </c>
      <c r="AJ186" s="90">
        <f>'Combined data'!AJ186-'Combined data'!AI186</f>
        <v>0</v>
      </c>
      <c r="AK186" s="90">
        <f>'Combined data'!AK186-'Combined data'!AJ186</f>
        <v>0</v>
      </c>
      <c r="AL186" s="90">
        <f>'Combined data'!AL186-'Combined data'!AK186</f>
        <v>0</v>
      </c>
      <c r="AM186" s="90">
        <f>'Combined data'!AM186-'Combined data'!AL186</f>
        <v>0</v>
      </c>
      <c r="AN186" s="90">
        <f>'Combined data'!AN186-'Combined data'!AM186</f>
        <v>0</v>
      </c>
      <c r="AO186" s="90">
        <f>'Combined data'!AO186-'Combined data'!AN186</f>
        <v>0</v>
      </c>
      <c r="AP186" s="56">
        <f t="shared" si="121"/>
        <v>0</v>
      </c>
      <c r="AQ186" s="113"/>
      <c r="AR186" s="17">
        <f>'Combined data'!AR186</f>
        <v>18</v>
      </c>
      <c r="AS186" s="17">
        <f>'Combined data'!AS186-'Combined data'!AR186</f>
        <v>11</v>
      </c>
      <c r="AT186" s="17">
        <f>'Combined data'!AT186-'Combined data'!AS186</f>
        <v>3</v>
      </c>
      <c r="AU186" s="17">
        <f>'Combined data'!AU186-'Combined data'!AT186</f>
        <v>2</v>
      </c>
      <c r="AV186" s="17">
        <f>'Combined data'!AV186-'Combined data'!AU186</f>
        <v>1</v>
      </c>
      <c r="AW186" s="17">
        <f>'Combined data'!AW186-'Combined data'!AV186</f>
        <v>3</v>
      </c>
      <c r="AX186" s="17">
        <f>'Combined data'!AX186-'Combined data'!AW186</f>
        <v>4</v>
      </c>
      <c r="AY186" s="17">
        <f>'Combined data'!AY186-'Combined data'!AX186</f>
        <v>0</v>
      </c>
      <c r="AZ186" s="17">
        <f>'Combined data'!AZ186-'Combined data'!AY186</f>
        <v>4</v>
      </c>
      <c r="BA186" s="17">
        <f>'Combined data'!BA186-'Combined data'!AZ186</f>
        <v>0</v>
      </c>
      <c r="BB186" s="17">
        <f>'Combined data'!BB186-'Combined data'!BA186</f>
        <v>2</v>
      </c>
      <c r="BC186" s="17">
        <f>'Combined data'!BC186-'Combined data'!BB186</f>
        <v>4</v>
      </c>
      <c r="BD186" s="17">
        <f>'Combined data'!BD186-'Combined data'!BC186</f>
        <v>1</v>
      </c>
      <c r="BE186" s="17">
        <f>'Combined data'!BE186-'Combined data'!BD186</f>
        <v>0</v>
      </c>
      <c r="BF186" s="17">
        <f>'Combined data'!BF186-'Combined data'!BE186</f>
        <v>0</v>
      </c>
      <c r="BG186" s="17">
        <f>'Combined data'!BG186-'Combined data'!BF186</f>
        <v>1</v>
      </c>
      <c r="BH186" s="17">
        <f>'Combined data'!BH186-'Combined data'!BG186</f>
        <v>0</v>
      </c>
      <c r="BI186" s="17">
        <f>'Combined data'!BI186-'Combined data'!BH186</f>
        <v>0</v>
      </c>
      <c r="BJ186" s="17">
        <f>'Combined data'!BJ186-'Combined data'!BI186</f>
        <v>0</v>
      </c>
      <c r="BK186" s="17">
        <f>'Combined data'!BK186-'Combined data'!BJ186</f>
        <v>0</v>
      </c>
      <c r="BL186" s="17">
        <f>'Combined data'!BL186-'Combined data'!BK186</f>
        <v>3</v>
      </c>
      <c r="BM186" s="17">
        <f>'Combined data'!BM186-'Combined data'!BL186</f>
        <v>0</v>
      </c>
      <c r="BN186" s="17">
        <f>'Combined data'!BN186-'Combined data'!BM186</f>
        <v>0</v>
      </c>
      <c r="BO186" s="17">
        <f>'Combined data'!BO186-'Combined data'!BN186</f>
        <v>-57</v>
      </c>
      <c r="BP186" s="17">
        <f>'Combined data'!BP186-'Combined data'!BO186</f>
        <v>0</v>
      </c>
      <c r="BQ186" s="17">
        <f>'Combined data'!BQ186-'Combined data'!BP186</f>
        <v>0</v>
      </c>
      <c r="BR186" s="17">
        <f>'Combined data'!BR186-'Combined data'!BQ186</f>
        <v>0</v>
      </c>
      <c r="BS186" s="17">
        <f>'Combined data'!BS186-'Combined data'!BR186</f>
        <v>0</v>
      </c>
      <c r="BT186" s="17">
        <f>'Combined data'!BT186-'Combined data'!BS186</f>
        <v>0</v>
      </c>
      <c r="BU186" s="17">
        <f>'Combined data'!BU186-'Combined data'!BT186</f>
        <v>0</v>
      </c>
      <c r="BV186" s="17">
        <f>'Combined data'!BV186-'Combined data'!BU186</f>
        <v>0</v>
      </c>
      <c r="BW186" s="17">
        <f>'Combined data'!BW186-'Combined data'!BV186</f>
        <v>0</v>
      </c>
      <c r="BX186" s="17">
        <f>'Combined data'!BX186-'Combined data'!BW186</f>
        <v>0</v>
      </c>
      <c r="BY186" s="17">
        <f>'Combined data'!BY186-'Combined data'!BX186</f>
        <v>0</v>
      </c>
      <c r="CB186" s="17">
        <f t="shared" si="131"/>
        <v>18</v>
      </c>
      <c r="CC186" s="17">
        <f t="shared" si="132"/>
        <v>11</v>
      </c>
      <c r="CD186" s="17">
        <f t="shared" si="133"/>
        <v>3</v>
      </c>
      <c r="CE186" s="17">
        <f t="shared" si="134"/>
        <v>2</v>
      </c>
      <c r="CF186" s="17">
        <f t="shared" si="135"/>
        <v>1</v>
      </c>
      <c r="CG186" s="17">
        <f t="shared" si="136"/>
        <v>3</v>
      </c>
      <c r="CH186" s="17">
        <f t="shared" si="137"/>
        <v>4</v>
      </c>
      <c r="CI186" s="17">
        <f t="shared" si="138"/>
        <v>0</v>
      </c>
      <c r="CJ186" s="17">
        <f t="shared" si="139"/>
        <v>4</v>
      </c>
      <c r="CK186" s="17">
        <f t="shared" si="140"/>
        <v>0</v>
      </c>
      <c r="CL186" s="17">
        <f t="shared" si="141"/>
        <v>2</v>
      </c>
      <c r="CM186" s="17">
        <f t="shared" si="142"/>
        <v>4</v>
      </c>
      <c r="CN186" s="17">
        <f t="shared" si="143"/>
        <v>1</v>
      </c>
      <c r="CO186" s="17">
        <f t="shared" si="144"/>
        <v>0</v>
      </c>
      <c r="CP186" s="17">
        <f t="shared" si="145"/>
        <v>0</v>
      </c>
      <c r="CQ186" s="17">
        <f t="shared" si="146"/>
        <v>1</v>
      </c>
      <c r="CR186" s="17">
        <f t="shared" si="147"/>
        <v>0</v>
      </c>
      <c r="CS186" s="17">
        <f t="shared" si="148"/>
        <v>0</v>
      </c>
      <c r="CT186" s="17">
        <f t="shared" si="149"/>
        <v>0</v>
      </c>
      <c r="CU186" s="17">
        <f t="shared" si="150"/>
        <v>0</v>
      </c>
      <c r="CV186" s="17">
        <f t="shared" si="151"/>
        <v>3</v>
      </c>
      <c r="CW186" s="17">
        <f t="shared" si="152"/>
        <v>0</v>
      </c>
      <c r="CX186" s="17">
        <f t="shared" si="153"/>
        <v>0</v>
      </c>
      <c r="CY186" s="17">
        <f t="shared" si="153"/>
        <v>-57</v>
      </c>
      <c r="CZ186" s="17">
        <f t="shared" si="153"/>
        <v>0</v>
      </c>
      <c r="DA186" s="17">
        <f t="shared" si="153"/>
        <v>0</v>
      </c>
      <c r="DB186" s="17">
        <f t="shared" si="153"/>
        <v>0</v>
      </c>
      <c r="DC186" s="17">
        <f t="shared" si="153"/>
        <v>0</v>
      </c>
      <c r="DD186" s="17">
        <f t="shared" si="153"/>
        <v>0</v>
      </c>
      <c r="DE186" s="17">
        <f t="shared" si="153"/>
        <v>0</v>
      </c>
      <c r="DF186" s="17">
        <f t="shared" si="153"/>
        <v>0</v>
      </c>
      <c r="DG186" s="17">
        <f t="shared" si="153"/>
        <v>0</v>
      </c>
      <c r="DH186" s="17">
        <f t="shared" si="153"/>
        <v>0</v>
      </c>
      <c r="DI186" s="17">
        <f t="shared" si="153"/>
        <v>0</v>
      </c>
    </row>
    <row r="187" spans="1:113" ht="15.75" x14ac:dyDescent="0.25">
      <c r="A187" s="4" t="s">
        <v>413</v>
      </c>
      <c r="B187" s="6" t="s">
        <v>414</v>
      </c>
      <c r="H187" s="90">
        <f>'Combined data'!H187</f>
        <v>233</v>
      </c>
      <c r="I187" s="90">
        <f>'Combined data'!I187-'Combined data'!H187</f>
        <v>10</v>
      </c>
      <c r="J187" s="90">
        <f>'Combined data'!J187-'Combined data'!I187</f>
        <v>20</v>
      </c>
      <c r="K187" s="90">
        <f>'Combined data'!K187-'Combined data'!J187</f>
        <v>12</v>
      </c>
      <c r="L187" s="90">
        <f>'Combined data'!L187-'Combined data'!K187</f>
        <v>8</v>
      </c>
      <c r="M187" s="90">
        <f>'Combined data'!M187-'Combined data'!L187</f>
        <v>12</v>
      </c>
      <c r="N187" s="90">
        <f>'Combined data'!N187-'Combined data'!M187</f>
        <v>17</v>
      </c>
      <c r="O187" s="90">
        <f>'Combined data'!O187-'Combined data'!N187</f>
        <v>6</v>
      </c>
      <c r="P187" s="90">
        <f>'Combined data'!P187-'Combined data'!O187</f>
        <v>7</v>
      </c>
      <c r="Q187" s="90">
        <f>'Combined data'!Q187-'Combined data'!P187</f>
        <v>5</v>
      </c>
      <c r="R187" s="90">
        <f>'Combined data'!R187-'Combined data'!Q187</f>
        <v>4</v>
      </c>
      <c r="S187" s="90">
        <f>'Combined data'!S187-'Combined data'!R187</f>
        <v>14</v>
      </c>
      <c r="T187" s="90">
        <f>'Combined data'!T187-'Combined data'!S187</f>
        <v>0</v>
      </c>
      <c r="U187" s="90">
        <f>'Combined data'!U187-'Combined data'!T187</f>
        <v>8</v>
      </c>
      <c r="V187" s="90">
        <f>'Combined data'!V187-'Combined data'!U187</f>
        <v>9</v>
      </c>
      <c r="W187" s="90">
        <f>'Combined data'!W187-'Combined data'!V187</f>
        <v>1</v>
      </c>
      <c r="X187" s="90">
        <f>'Combined data'!X187-'Combined data'!W187</f>
        <v>1</v>
      </c>
      <c r="Y187" s="90">
        <f>'Combined data'!Y187-'Combined data'!X187</f>
        <v>5</v>
      </c>
      <c r="Z187" s="90">
        <f>'Combined data'!Z187-'Combined data'!Y187</f>
        <v>5</v>
      </c>
      <c r="AA187" s="90">
        <f>'Combined data'!AA187-'Combined data'!Z187</f>
        <v>3</v>
      </c>
      <c r="AB187" s="90">
        <f>'Combined data'!AB187-'Combined data'!AA187</f>
        <v>2</v>
      </c>
      <c r="AC187" s="90">
        <f>'Combined data'!AC187-'Combined data'!AB187</f>
        <v>2</v>
      </c>
      <c r="AD187" s="90">
        <f>'Combined data'!AD187-'Combined data'!AC187</f>
        <v>3</v>
      </c>
      <c r="AE187" s="90">
        <f>'Combined data'!AE187-'Combined data'!AD187</f>
        <v>-387</v>
      </c>
      <c r="AF187" s="90">
        <f>'Combined data'!AF187-'Combined data'!AE187</f>
        <v>0</v>
      </c>
      <c r="AG187" s="90">
        <f>'Combined data'!AG187-'Combined data'!AF187</f>
        <v>0</v>
      </c>
      <c r="AH187" s="90">
        <f>'Combined data'!AH187-'Combined data'!AG187</f>
        <v>0</v>
      </c>
      <c r="AI187" s="90">
        <f>'Combined data'!AI187-'Combined data'!AH187</f>
        <v>0</v>
      </c>
      <c r="AJ187" s="90">
        <f>'Combined data'!AJ187-'Combined data'!AI187</f>
        <v>0</v>
      </c>
      <c r="AK187" s="90">
        <f>'Combined data'!AK187-'Combined data'!AJ187</f>
        <v>0</v>
      </c>
      <c r="AL187" s="90">
        <f>'Combined data'!AL187-'Combined data'!AK187</f>
        <v>0</v>
      </c>
      <c r="AM187" s="90">
        <f>'Combined data'!AM187-'Combined data'!AL187</f>
        <v>0</v>
      </c>
      <c r="AN187" s="90">
        <f>'Combined data'!AN187-'Combined data'!AM187</f>
        <v>0</v>
      </c>
      <c r="AO187" s="90">
        <f>'Combined data'!AO187-'Combined data'!AN187</f>
        <v>0</v>
      </c>
      <c r="AP187" s="56">
        <f t="shared" si="121"/>
        <v>0</v>
      </c>
      <c r="AQ187" s="113"/>
      <c r="AR187" s="17">
        <f>'Combined data'!AR187</f>
        <v>118</v>
      </c>
      <c r="AS187" s="17">
        <f>'Combined data'!AS187-'Combined data'!AR187</f>
        <v>19</v>
      </c>
      <c r="AT187" s="17">
        <f>'Combined data'!AT187-'Combined data'!AS187</f>
        <v>20</v>
      </c>
      <c r="AU187" s="17">
        <f>'Combined data'!AU187-'Combined data'!AT187</f>
        <v>11</v>
      </c>
      <c r="AV187" s="17">
        <f>'Combined data'!AV187-'Combined data'!AU187</f>
        <v>10</v>
      </c>
      <c r="AW187" s="17">
        <f>'Combined data'!AW187-'Combined data'!AV187</f>
        <v>7</v>
      </c>
      <c r="AX187" s="17">
        <f>'Combined data'!AX187-'Combined data'!AW187</f>
        <v>16</v>
      </c>
      <c r="AY187" s="17">
        <f>'Combined data'!AY187-'Combined data'!AX187</f>
        <v>22</v>
      </c>
      <c r="AZ187" s="17">
        <f>'Combined data'!AZ187-'Combined data'!AY187</f>
        <v>15</v>
      </c>
      <c r="BA187" s="17">
        <f>'Combined data'!BA187-'Combined data'!AZ187</f>
        <v>17</v>
      </c>
      <c r="BB187" s="17">
        <f>'Combined data'!BB187-'Combined data'!BA187</f>
        <v>5</v>
      </c>
      <c r="BC187" s="17">
        <f>'Combined data'!BC187-'Combined data'!BB187</f>
        <v>16</v>
      </c>
      <c r="BD187" s="17">
        <f>'Combined data'!BD187-'Combined data'!BC187</f>
        <v>4</v>
      </c>
      <c r="BE187" s="17">
        <f>'Combined data'!BE187-'Combined data'!BD187</f>
        <v>7</v>
      </c>
      <c r="BF187" s="17">
        <f>'Combined data'!BF187-'Combined data'!BE187</f>
        <v>2</v>
      </c>
      <c r="BG187" s="17">
        <f>'Combined data'!BG187-'Combined data'!BF187</f>
        <v>3</v>
      </c>
      <c r="BH187" s="17">
        <f>'Combined data'!BH187-'Combined data'!BG187</f>
        <v>4</v>
      </c>
      <c r="BI187" s="17">
        <f>'Combined data'!BI187-'Combined data'!BH187</f>
        <v>11</v>
      </c>
      <c r="BJ187" s="17">
        <f>'Combined data'!BJ187-'Combined data'!BI187</f>
        <v>5</v>
      </c>
      <c r="BK187" s="17">
        <f>'Combined data'!BK187-'Combined data'!BJ187</f>
        <v>6</v>
      </c>
      <c r="BL187" s="17">
        <f>'Combined data'!BL187-'Combined data'!BK187</f>
        <v>2</v>
      </c>
      <c r="BM187" s="17">
        <f>'Combined data'!BM187-'Combined data'!BL187</f>
        <v>3</v>
      </c>
      <c r="BN187" s="17">
        <f>'Combined data'!BN187-'Combined data'!BM187</f>
        <v>6</v>
      </c>
      <c r="BO187" s="17">
        <f>'Combined data'!BO187-'Combined data'!BN187</f>
        <v>-329</v>
      </c>
      <c r="BP187" s="17">
        <f>'Combined data'!BP187-'Combined data'!BO187</f>
        <v>0</v>
      </c>
      <c r="BQ187" s="17">
        <f>'Combined data'!BQ187-'Combined data'!BP187</f>
        <v>0</v>
      </c>
      <c r="BR187" s="17">
        <f>'Combined data'!BR187-'Combined data'!BQ187</f>
        <v>0</v>
      </c>
      <c r="BS187" s="17">
        <f>'Combined data'!BS187-'Combined data'!BR187</f>
        <v>0</v>
      </c>
      <c r="BT187" s="17">
        <f>'Combined data'!BT187-'Combined data'!BS187</f>
        <v>0</v>
      </c>
      <c r="BU187" s="17">
        <f>'Combined data'!BU187-'Combined data'!BT187</f>
        <v>0</v>
      </c>
      <c r="BV187" s="17">
        <f>'Combined data'!BV187-'Combined data'!BU187</f>
        <v>0</v>
      </c>
      <c r="BW187" s="17">
        <f>'Combined data'!BW187-'Combined data'!BV187</f>
        <v>0</v>
      </c>
      <c r="BX187" s="17">
        <f>'Combined data'!BX187-'Combined data'!BW187</f>
        <v>0</v>
      </c>
      <c r="BY187" s="17">
        <f>'Combined data'!BY187-'Combined data'!BX187</f>
        <v>0</v>
      </c>
      <c r="CB187" s="17">
        <f t="shared" si="131"/>
        <v>118</v>
      </c>
      <c r="CC187" s="17">
        <f t="shared" si="132"/>
        <v>19</v>
      </c>
      <c r="CD187" s="17">
        <f t="shared" si="133"/>
        <v>20</v>
      </c>
      <c r="CE187" s="17">
        <f t="shared" si="134"/>
        <v>11</v>
      </c>
      <c r="CF187" s="17">
        <f t="shared" si="135"/>
        <v>10</v>
      </c>
      <c r="CG187" s="17">
        <f t="shared" si="136"/>
        <v>7</v>
      </c>
      <c r="CH187" s="17">
        <f t="shared" si="137"/>
        <v>16</v>
      </c>
      <c r="CI187" s="17">
        <f t="shared" si="138"/>
        <v>22</v>
      </c>
      <c r="CJ187" s="17">
        <f t="shared" si="139"/>
        <v>15</v>
      </c>
      <c r="CK187" s="17">
        <f t="shared" si="140"/>
        <v>17</v>
      </c>
      <c r="CL187" s="17">
        <f t="shared" si="141"/>
        <v>5</v>
      </c>
      <c r="CM187" s="17">
        <f t="shared" si="142"/>
        <v>16</v>
      </c>
      <c r="CN187" s="17">
        <f t="shared" si="143"/>
        <v>4</v>
      </c>
      <c r="CO187" s="17">
        <f t="shared" si="144"/>
        <v>7</v>
      </c>
      <c r="CP187" s="17">
        <f t="shared" si="145"/>
        <v>2</v>
      </c>
      <c r="CQ187" s="17">
        <f t="shared" si="146"/>
        <v>3</v>
      </c>
      <c r="CR187" s="17">
        <f t="shared" si="147"/>
        <v>4</v>
      </c>
      <c r="CS187" s="17">
        <f t="shared" si="148"/>
        <v>11</v>
      </c>
      <c r="CT187" s="17">
        <f t="shared" si="149"/>
        <v>5</v>
      </c>
      <c r="CU187" s="17">
        <f t="shared" si="150"/>
        <v>6</v>
      </c>
      <c r="CV187" s="17">
        <f t="shared" si="151"/>
        <v>2</v>
      </c>
      <c r="CW187" s="17">
        <f t="shared" si="152"/>
        <v>3</v>
      </c>
      <c r="CX187" s="17">
        <f t="shared" si="153"/>
        <v>6</v>
      </c>
      <c r="CY187" s="17">
        <f t="shared" si="153"/>
        <v>-329</v>
      </c>
      <c r="CZ187" s="17">
        <f t="shared" si="153"/>
        <v>0</v>
      </c>
      <c r="DA187" s="17">
        <f t="shared" si="153"/>
        <v>0</v>
      </c>
      <c r="DB187" s="17">
        <f t="shared" si="153"/>
        <v>0</v>
      </c>
      <c r="DC187" s="17">
        <f t="shared" si="153"/>
        <v>0</v>
      </c>
      <c r="DD187" s="17">
        <f t="shared" si="153"/>
        <v>0</v>
      </c>
      <c r="DE187" s="17">
        <f t="shared" si="153"/>
        <v>0</v>
      </c>
      <c r="DF187" s="17">
        <f t="shared" si="153"/>
        <v>0</v>
      </c>
      <c r="DG187" s="17">
        <f t="shared" si="153"/>
        <v>0</v>
      </c>
      <c r="DH187" s="17">
        <f t="shared" si="153"/>
        <v>0</v>
      </c>
      <c r="DI187" s="17">
        <f t="shared" si="153"/>
        <v>0</v>
      </c>
    </row>
    <row r="188" spans="1:113" ht="15.75" x14ac:dyDescent="0.25">
      <c r="A188" s="4" t="s">
        <v>415</v>
      </c>
      <c r="B188" s="6" t="s">
        <v>416</v>
      </c>
      <c r="H188" s="90">
        <f>'Combined data'!H188</f>
        <v>180</v>
      </c>
      <c r="I188" s="90">
        <f>'Combined data'!I188-'Combined data'!H188</f>
        <v>19</v>
      </c>
      <c r="J188" s="90">
        <f>'Combined data'!J188-'Combined data'!I188</f>
        <v>7</v>
      </c>
      <c r="K188" s="90">
        <f>'Combined data'!K188-'Combined data'!J188</f>
        <v>12</v>
      </c>
      <c r="L188" s="90">
        <f>'Combined data'!L188-'Combined data'!K188</f>
        <v>6</v>
      </c>
      <c r="M188" s="90">
        <f>'Combined data'!M188-'Combined data'!L188</f>
        <v>-1</v>
      </c>
      <c r="N188" s="90">
        <f>'Combined data'!N188-'Combined data'!M188</f>
        <v>7</v>
      </c>
      <c r="O188" s="90">
        <f>'Combined data'!O188-'Combined data'!N188</f>
        <v>17</v>
      </c>
      <c r="P188" s="90">
        <f>'Combined data'!P188-'Combined data'!O188</f>
        <v>8</v>
      </c>
      <c r="Q188" s="90">
        <f>'Combined data'!Q188-'Combined data'!P188</f>
        <v>6</v>
      </c>
      <c r="R188" s="90">
        <f>'Combined data'!R188-'Combined data'!Q188</f>
        <v>4</v>
      </c>
      <c r="S188" s="90">
        <f>'Combined data'!S188-'Combined data'!R188</f>
        <v>7</v>
      </c>
      <c r="T188" s="90">
        <f>'Combined data'!T188-'Combined data'!S188</f>
        <v>7</v>
      </c>
      <c r="U188" s="90">
        <f>'Combined data'!U188-'Combined data'!T188</f>
        <v>1</v>
      </c>
      <c r="V188" s="90">
        <f>'Combined data'!V188-'Combined data'!U188</f>
        <v>3</v>
      </c>
      <c r="W188" s="90">
        <f>'Combined data'!W188-'Combined data'!V188</f>
        <v>3</v>
      </c>
      <c r="X188" s="90">
        <f>'Combined data'!X188-'Combined data'!W188</f>
        <v>2</v>
      </c>
      <c r="Y188" s="90">
        <f>'Combined data'!Y188-'Combined data'!X188</f>
        <v>1</v>
      </c>
      <c r="Z188" s="90">
        <f>'Combined data'!Z188-'Combined data'!Y188</f>
        <v>5</v>
      </c>
      <c r="AA188" s="90">
        <f>'Combined data'!AA188-'Combined data'!Z188</f>
        <v>1</v>
      </c>
      <c r="AB188" s="90">
        <f>'Combined data'!AB188-'Combined data'!AA188</f>
        <v>2</v>
      </c>
      <c r="AC188" s="90">
        <f>'Combined data'!AC188-'Combined data'!AB188</f>
        <v>1</v>
      </c>
      <c r="AD188" s="90">
        <f>'Combined data'!AD188-'Combined data'!AC188</f>
        <v>7</v>
      </c>
      <c r="AE188" s="90">
        <f>'Combined data'!AE188-'Combined data'!AD188</f>
        <v>-305</v>
      </c>
      <c r="AF188" s="90">
        <f>'Combined data'!AF188-'Combined data'!AE188</f>
        <v>0</v>
      </c>
      <c r="AG188" s="90">
        <f>'Combined data'!AG188-'Combined data'!AF188</f>
        <v>0</v>
      </c>
      <c r="AH188" s="90">
        <f>'Combined data'!AH188-'Combined data'!AG188</f>
        <v>0</v>
      </c>
      <c r="AI188" s="90">
        <f>'Combined data'!AI188-'Combined data'!AH188</f>
        <v>0</v>
      </c>
      <c r="AJ188" s="90">
        <f>'Combined data'!AJ188-'Combined data'!AI188</f>
        <v>0</v>
      </c>
      <c r="AK188" s="90">
        <f>'Combined data'!AK188-'Combined data'!AJ188</f>
        <v>0</v>
      </c>
      <c r="AL188" s="90">
        <f>'Combined data'!AL188-'Combined data'!AK188</f>
        <v>0</v>
      </c>
      <c r="AM188" s="90">
        <f>'Combined data'!AM188-'Combined data'!AL188</f>
        <v>0</v>
      </c>
      <c r="AN188" s="90">
        <f>'Combined data'!AN188-'Combined data'!AM188</f>
        <v>0</v>
      </c>
      <c r="AO188" s="90">
        <f>'Combined data'!AO188-'Combined data'!AN188</f>
        <v>0</v>
      </c>
      <c r="AP188" s="56">
        <f t="shared" si="121"/>
        <v>0</v>
      </c>
      <c r="AQ188" s="113"/>
      <c r="AR188" s="17">
        <f>'Combined data'!AR188</f>
        <v>88</v>
      </c>
      <c r="AS188" s="17">
        <f>'Combined data'!AS188-'Combined data'!AR188</f>
        <v>6</v>
      </c>
      <c r="AT188" s="17">
        <f>'Combined data'!AT188-'Combined data'!AS188</f>
        <v>15</v>
      </c>
      <c r="AU188" s="17">
        <f>'Combined data'!AU188-'Combined data'!AT188</f>
        <v>10</v>
      </c>
      <c r="AV188" s="17">
        <f>'Combined data'!AV188-'Combined data'!AU188</f>
        <v>7</v>
      </c>
      <c r="AW188" s="17">
        <f>'Combined data'!AW188-'Combined data'!AV188</f>
        <v>9</v>
      </c>
      <c r="AX188" s="17">
        <f>'Combined data'!AX188-'Combined data'!AW188</f>
        <v>21</v>
      </c>
      <c r="AY188" s="17">
        <f>'Combined data'!AY188-'Combined data'!AX188</f>
        <v>7</v>
      </c>
      <c r="AZ188" s="17">
        <f>'Combined data'!AZ188-'Combined data'!AY188</f>
        <v>7</v>
      </c>
      <c r="BA188" s="17">
        <f>'Combined data'!BA188-'Combined data'!AZ188</f>
        <v>18</v>
      </c>
      <c r="BB188" s="17">
        <f>'Combined data'!BB188-'Combined data'!BA188</f>
        <v>4</v>
      </c>
      <c r="BC188" s="17">
        <f>'Combined data'!BC188-'Combined data'!BB188</f>
        <v>11</v>
      </c>
      <c r="BD188" s="17">
        <f>'Combined data'!BD188-'Combined data'!BC188</f>
        <v>5</v>
      </c>
      <c r="BE188" s="17">
        <f>'Combined data'!BE188-'Combined data'!BD188</f>
        <v>5</v>
      </c>
      <c r="BF188" s="17">
        <f>'Combined data'!BF188-'Combined data'!BE188</f>
        <v>1</v>
      </c>
      <c r="BG188" s="17">
        <f>'Combined data'!BG188-'Combined data'!BF188</f>
        <v>0</v>
      </c>
      <c r="BH188" s="17">
        <f>'Combined data'!BH188-'Combined data'!BG188</f>
        <v>8</v>
      </c>
      <c r="BI188" s="17">
        <f>'Combined data'!BI188-'Combined data'!BH188</f>
        <v>5</v>
      </c>
      <c r="BJ188" s="17">
        <f>'Combined data'!BJ188-'Combined data'!BI188</f>
        <v>6</v>
      </c>
      <c r="BK188" s="17">
        <f>'Combined data'!BK188-'Combined data'!BJ188</f>
        <v>7</v>
      </c>
      <c r="BL188" s="17">
        <f>'Combined data'!BL188-'Combined data'!BK188</f>
        <v>5</v>
      </c>
      <c r="BM188" s="17">
        <f>'Combined data'!BM188-'Combined data'!BL188</f>
        <v>4</v>
      </c>
      <c r="BN188" s="17">
        <f>'Combined data'!BN188-'Combined data'!BM188</f>
        <v>-2</v>
      </c>
      <c r="BO188" s="17">
        <f>'Combined data'!BO188-'Combined data'!BN188</f>
        <v>-247</v>
      </c>
      <c r="BP188" s="17">
        <f>'Combined data'!BP188-'Combined data'!BO188</f>
        <v>0</v>
      </c>
      <c r="BQ188" s="17">
        <f>'Combined data'!BQ188-'Combined data'!BP188</f>
        <v>0</v>
      </c>
      <c r="BR188" s="17">
        <f>'Combined data'!BR188-'Combined data'!BQ188</f>
        <v>0</v>
      </c>
      <c r="BS188" s="17">
        <f>'Combined data'!BS188-'Combined data'!BR188</f>
        <v>0</v>
      </c>
      <c r="BT188" s="17">
        <f>'Combined data'!BT188-'Combined data'!BS188</f>
        <v>0</v>
      </c>
      <c r="BU188" s="17">
        <f>'Combined data'!BU188-'Combined data'!BT188</f>
        <v>0</v>
      </c>
      <c r="BV188" s="17">
        <f>'Combined data'!BV188-'Combined data'!BU188</f>
        <v>0</v>
      </c>
      <c r="BW188" s="17">
        <f>'Combined data'!BW188-'Combined data'!BV188</f>
        <v>0</v>
      </c>
      <c r="BX188" s="17">
        <f>'Combined data'!BX188-'Combined data'!BW188</f>
        <v>0</v>
      </c>
      <c r="BY188" s="17">
        <f>'Combined data'!BY188-'Combined data'!BX188</f>
        <v>0</v>
      </c>
      <c r="CB188" s="17">
        <f t="shared" si="131"/>
        <v>88</v>
      </c>
      <c r="CC188" s="17">
        <f t="shared" si="132"/>
        <v>6</v>
      </c>
      <c r="CD188" s="17">
        <f t="shared" si="133"/>
        <v>15</v>
      </c>
      <c r="CE188" s="17">
        <f t="shared" si="134"/>
        <v>10</v>
      </c>
      <c r="CF188" s="17">
        <f t="shared" si="135"/>
        <v>7</v>
      </c>
      <c r="CG188" s="17">
        <f t="shared" si="136"/>
        <v>9</v>
      </c>
      <c r="CH188" s="17">
        <f t="shared" si="137"/>
        <v>21</v>
      </c>
      <c r="CI188" s="17">
        <f t="shared" si="138"/>
        <v>7</v>
      </c>
      <c r="CJ188" s="17">
        <f t="shared" si="139"/>
        <v>7</v>
      </c>
      <c r="CK188" s="17">
        <f t="shared" si="140"/>
        <v>18</v>
      </c>
      <c r="CL188" s="17">
        <f t="shared" si="141"/>
        <v>4</v>
      </c>
      <c r="CM188" s="17">
        <f t="shared" si="142"/>
        <v>11</v>
      </c>
      <c r="CN188" s="17">
        <f t="shared" si="143"/>
        <v>5</v>
      </c>
      <c r="CO188" s="17">
        <f t="shared" si="144"/>
        <v>5</v>
      </c>
      <c r="CP188" s="17">
        <f t="shared" si="145"/>
        <v>1</v>
      </c>
      <c r="CQ188" s="17">
        <f t="shared" si="146"/>
        <v>0</v>
      </c>
      <c r="CR188" s="17">
        <f t="shared" si="147"/>
        <v>8</v>
      </c>
      <c r="CS188" s="17">
        <f t="shared" si="148"/>
        <v>5</v>
      </c>
      <c r="CT188" s="17">
        <f t="shared" si="149"/>
        <v>6</v>
      </c>
      <c r="CU188" s="17">
        <f t="shared" si="150"/>
        <v>7</v>
      </c>
      <c r="CV188" s="17">
        <f t="shared" si="151"/>
        <v>5</v>
      </c>
      <c r="CW188" s="17">
        <f t="shared" si="152"/>
        <v>4</v>
      </c>
      <c r="CX188" s="17">
        <f t="shared" si="153"/>
        <v>-2</v>
      </c>
      <c r="CY188" s="17">
        <f t="shared" si="153"/>
        <v>-247</v>
      </c>
      <c r="CZ188" s="17">
        <f t="shared" si="153"/>
        <v>0</v>
      </c>
      <c r="DA188" s="17">
        <f t="shared" si="153"/>
        <v>0</v>
      </c>
      <c r="DB188" s="17">
        <f t="shared" si="153"/>
        <v>0</v>
      </c>
      <c r="DC188" s="17">
        <f t="shared" si="153"/>
        <v>0</v>
      </c>
      <c r="DD188" s="17">
        <f t="shared" si="153"/>
        <v>0</v>
      </c>
      <c r="DE188" s="17">
        <f t="shared" si="153"/>
        <v>0</v>
      </c>
      <c r="DF188" s="17">
        <f t="shared" si="153"/>
        <v>0</v>
      </c>
      <c r="DG188" s="17">
        <f t="shared" si="153"/>
        <v>0</v>
      </c>
      <c r="DH188" s="17">
        <f t="shared" si="153"/>
        <v>0</v>
      </c>
      <c r="DI188" s="17">
        <f t="shared" si="153"/>
        <v>0</v>
      </c>
    </row>
    <row r="189" spans="1:113" ht="15.75" x14ac:dyDescent="0.25">
      <c r="A189" s="4" t="s">
        <v>417</v>
      </c>
      <c r="B189" s="6" t="s">
        <v>418</v>
      </c>
      <c r="H189" s="90">
        <f>'Combined data'!H189</f>
        <v>162</v>
      </c>
      <c r="I189" s="90">
        <f>'Combined data'!I189-'Combined data'!H189</f>
        <v>7</v>
      </c>
      <c r="J189" s="90">
        <f>'Combined data'!J189-'Combined data'!I189</f>
        <v>8</v>
      </c>
      <c r="K189" s="90">
        <f>'Combined data'!K189-'Combined data'!J189</f>
        <v>6</v>
      </c>
      <c r="L189" s="90">
        <f>'Combined data'!L189-'Combined data'!K189</f>
        <v>11</v>
      </c>
      <c r="M189" s="90">
        <f>'Combined data'!M189-'Combined data'!L189</f>
        <v>6</v>
      </c>
      <c r="N189" s="90">
        <f>'Combined data'!N189-'Combined data'!M189</f>
        <v>15</v>
      </c>
      <c r="O189" s="90">
        <f>'Combined data'!O189-'Combined data'!N189</f>
        <v>7</v>
      </c>
      <c r="P189" s="90">
        <f>'Combined data'!P189-'Combined data'!O189</f>
        <v>11</v>
      </c>
      <c r="Q189" s="90">
        <f>'Combined data'!Q189-'Combined data'!P189</f>
        <v>6</v>
      </c>
      <c r="R189" s="90">
        <f>'Combined data'!R189-'Combined data'!Q189</f>
        <v>5</v>
      </c>
      <c r="S189" s="90">
        <f>'Combined data'!S189-'Combined data'!R189</f>
        <v>5</v>
      </c>
      <c r="T189" s="90">
        <f>'Combined data'!T189-'Combined data'!S189</f>
        <v>3</v>
      </c>
      <c r="U189" s="90">
        <f>'Combined data'!U189-'Combined data'!T189</f>
        <v>3</v>
      </c>
      <c r="V189" s="90">
        <f>'Combined data'!V189-'Combined data'!U189</f>
        <v>3</v>
      </c>
      <c r="W189" s="90">
        <f>'Combined data'!W189-'Combined data'!V189</f>
        <v>6</v>
      </c>
      <c r="X189" s="90">
        <f>'Combined data'!X189-'Combined data'!W189</f>
        <v>6</v>
      </c>
      <c r="Y189" s="90">
        <f>'Combined data'!Y189-'Combined data'!X189</f>
        <v>3</v>
      </c>
      <c r="Z189" s="90">
        <f>'Combined data'!Z189-'Combined data'!Y189</f>
        <v>5</v>
      </c>
      <c r="AA189" s="90">
        <f>'Combined data'!AA189-'Combined data'!Z189</f>
        <v>5</v>
      </c>
      <c r="AB189" s="90">
        <f>'Combined data'!AB189-'Combined data'!AA189</f>
        <v>2</v>
      </c>
      <c r="AC189" s="90">
        <f>'Combined data'!AC189-'Combined data'!AB189</f>
        <v>4</v>
      </c>
      <c r="AD189" s="90">
        <f>'Combined data'!AD189-'Combined data'!AC189</f>
        <v>11</v>
      </c>
      <c r="AE189" s="90">
        <f>'Combined data'!AE189-'Combined data'!AD189</f>
        <v>-300</v>
      </c>
      <c r="AF189" s="90">
        <f>'Combined data'!AF189-'Combined data'!AE189</f>
        <v>0</v>
      </c>
      <c r="AG189" s="90">
        <f>'Combined data'!AG189-'Combined data'!AF189</f>
        <v>0</v>
      </c>
      <c r="AH189" s="90">
        <f>'Combined data'!AH189-'Combined data'!AG189</f>
        <v>0</v>
      </c>
      <c r="AI189" s="90">
        <f>'Combined data'!AI189-'Combined data'!AH189</f>
        <v>0</v>
      </c>
      <c r="AJ189" s="90">
        <f>'Combined data'!AJ189-'Combined data'!AI189</f>
        <v>0</v>
      </c>
      <c r="AK189" s="90">
        <f>'Combined data'!AK189-'Combined data'!AJ189</f>
        <v>0</v>
      </c>
      <c r="AL189" s="90">
        <f>'Combined data'!AL189-'Combined data'!AK189</f>
        <v>0</v>
      </c>
      <c r="AM189" s="90">
        <f>'Combined data'!AM189-'Combined data'!AL189</f>
        <v>0</v>
      </c>
      <c r="AN189" s="90">
        <f>'Combined data'!AN189-'Combined data'!AM189</f>
        <v>0</v>
      </c>
      <c r="AO189" s="90">
        <f>'Combined data'!AO189-'Combined data'!AN189</f>
        <v>0</v>
      </c>
      <c r="AP189" s="56">
        <f t="shared" si="121"/>
        <v>0</v>
      </c>
      <c r="AQ189" s="113"/>
      <c r="AR189" s="17">
        <f>'Combined data'!AR189</f>
        <v>68</v>
      </c>
      <c r="AS189" s="17">
        <f>'Combined data'!AS189-'Combined data'!AR189</f>
        <v>11</v>
      </c>
      <c r="AT189" s="17">
        <f>'Combined data'!AT189-'Combined data'!AS189</f>
        <v>5</v>
      </c>
      <c r="AU189" s="17">
        <f>'Combined data'!AU189-'Combined data'!AT189</f>
        <v>8</v>
      </c>
      <c r="AV189" s="17">
        <f>'Combined data'!AV189-'Combined data'!AU189</f>
        <v>17</v>
      </c>
      <c r="AW189" s="17">
        <f>'Combined data'!AW189-'Combined data'!AV189</f>
        <v>14</v>
      </c>
      <c r="AX189" s="17">
        <f>'Combined data'!AX189-'Combined data'!AW189</f>
        <v>9</v>
      </c>
      <c r="AY189" s="17">
        <f>'Combined data'!AY189-'Combined data'!AX189</f>
        <v>0</v>
      </c>
      <c r="AZ189" s="17">
        <f>'Combined data'!AZ189-'Combined data'!AY189</f>
        <v>17</v>
      </c>
      <c r="BA189" s="17">
        <f>'Combined data'!BA189-'Combined data'!AZ189</f>
        <v>16</v>
      </c>
      <c r="BB189" s="17">
        <f>'Combined data'!BB189-'Combined data'!BA189</f>
        <v>13</v>
      </c>
      <c r="BC189" s="17">
        <f>'Combined data'!BC189-'Combined data'!BB189</f>
        <v>8</v>
      </c>
      <c r="BD189" s="17">
        <f>'Combined data'!BD189-'Combined data'!BC189</f>
        <v>7</v>
      </c>
      <c r="BE189" s="17">
        <f>'Combined data'!BE189-'Combined data'!BD189</f>
        <v>4</v>
      </c>
      <c r="BF189" s="17">
        <f>'Combined data'!BF189-'Combined data'!BE189</f>
        <v>2</v>
      </c>
      <c r="BG189" s="17">
        <f>'Combined data'!BG189-'Combined data'!BF189</f>
        <v>2</v>
      </c>
      <c r="BH189" s="17">
        <f>'Combined data'!BH189-'Combined data'!BG189</f>
        <v>3</v>
      </c>
      <c r="BI189" s="17">
        <f>'Combined data'!BI189-'Combined data'!BH189</f>
        <v>6</v>
      </c>
      <c r="BJ189" s="17">
        <f>'Combined data'!BJ189-'Combined data'!BI189</f>
        <v>6</v>
      </c>
      <c r="BK189" s="17">
        <f>'Combined data'!BK189-'Combined data'!BJ189</f>
        <v>6</v>
      </c>
      <c r="BL189" s="17">
        <f>'Combined data'!BL189-'Combined data'!BK189</f>
        <v>6</v>
      </c>
      <c r="BM189" s="17">
        <f>'Combined data'!BM189-'Combined data'!BL189</f>
        <v>-2</v>
      </c>
      <c r="BN189" s="17">
        <f>'Combined data'!BN189-'Combined data'!BM189</f>
        <v>1</v>
      </c>
      <c r="BO189" s="17">
        <f>'Combined data'!BO189-'Combined data'!BN189</f>
        <v>-227</v>
      </c>
      <c r="BP189" s="17">
        <f>'Combined data'!BP189-'Combined data'!BO189</f>
        <v>0</v>
      </c>
      <c r="BQ189" s="17">
        <f>'Combined data'!BQ189-'Combined data'!BP189</f>
        <v>0</v>
      </c>
      <c r="BR189" s="17">
        <f>'Combined data'!BR189-'Combined data'!BQ189</f>
        <v>0</v>
      </c>
      <c r="BS189" s="17">
        <f>'Combined data'!BS189-'Combined data'!BR189</f>
        <v>0</v>
      </c>
      <c r="BT189" s="17">
        <f>'Combined data'!BT189-'Combined data'!BS189</f>
        <v>0</v>
      </c>
      <c r="BU189" s="17">
        <f>'Combined data'!BU189-'Combined data'!BT189</f>
        <v>0</v>
      </c>
      <c r="BV189" s="17">
        <f>'Combined data'!BV189-'Combined data'!BU189</f>
        <v>0</v>
      </c>
      <c r="BW189" s="17">
        <f>'Combined data'!BW189-'Combined data'!BV189</f>
        <v>0</v>
      </c>
      <c r="BX189" s="17">
        <f>'Combined data'!BX189-'Combined data'!BW189</f>
        <v>0</v>
      </c>
      <c r="BY189" s="17">
        <f>'Combined data'!BY189-'Combined data'!BX189</f>
        <v>0</v>
      </c>
      <c r="CB189" s="17">
        <f t="shared" si="131"/>
        <v>68</v>
      </c>
      <c r="CC189" s="17">
        <f t="shared" si="132"/>
        <v>11</v>
      </c>
      <c r="CD189" s="17">
        <f t="shared" si="133"/>
        <v>5</v>
      </c>
      <c r="CE189" s="17">
        <f t="shared" si="134"/>
        <v>8</v>
      </c>
      <c r="CF189" s="17">
        <f t="shared" si="135"/>
        <v>17</v>
      </c>
      <c r="CG189" s="17">
        <f t="shared" si="136"/>
        <v>14</v>
      </c>
      <c r="CH189" s="17">
        <f t="shared" si="137"/>
        <v>9</v>
      </c>
      <c r="CI189" s="17">
        <f t="shared" si="138"/>
        <v>0</v>
      </c>
      <c r="CJ189" s="17">
        <f t="shared" si="139"/>
        <v>17</v>
      </c>
      <c r="CK189" s="17">
        <f t="shared" si="140"/>
        <v>16</v>
      </c>
      <c r="CL189" s="17">
        <f t="shared" si="141"/>
        <v>13</v>
      </c>
      <c r="CM189" s="17">
        <f t="shared" si="142"/>
        <v>8</v>
      </c>
      <c r="CN189" s="17">
        <f t="shared" si="143"/>
        <v>7</v>
      </c>
      <c r="CO189" s="17">
        <f t="shared" si="144"/>
        <v>4</v>
      </c>
      <c r="CP189" s="17">
        <f t="shared" si="145"/>
        <v>2</v>
      </c>
      <c r="CQ189" s="17">
        <f t="shared" si="146"/>
        <v>2</v>
      </c>
      <c r="CR189" s="17">
        <f t="shared" si="147"/>
        <v>3</v>
      </c>
      <c r="CS189" s="17">
        <f t="shared" si="148"/>
        <v>6</v>
      </c>
      <c r="CT189" s="17">
        <f t="shared" si="149"/>
        <v>6</v>
      </c>
      <c r="CU189" s="17">
        <f t="shared" si="150"/>
        <v>6</v>
      </c>
      <c r="CV189" s="17">
        <f t="shared" si="151"/>
        <v>6</v>
      </c>
      <c r="CW189" s="17">
        <f t="shared" si="152"/>
        <v>-2</v>
      </c>
      <c r="CX189" s="17">
        <f t="shared" si="153"/>
        <v>1</v>
      </c>
      <c r="CY189" s="17">
        <f t="shared" si="153"/>
        <v>-227</v>
      </c>
      <c r="CZ189" s="17">
        <f t="shared" si="153"/>
        <v>0</v>
      </c>
      <c r="DA189" s="17">
        <f t="shared" si="153"/>
        <v>0</v>
      </c>
      <c r="DB189" s="17">
        <f t="shared" si="153"/>
        <v>0</v>
      </c>
      <c r="DC189" s="17">
        <f t="shared" si="153"/>
        <v>0</v>
      </c>
      <c r="DD189" s="17">
        <f t="shared" si="153"/>
        <v>0</v>
      </c>
      <c r="DE189" s="17">
        <f t="shared" si="153"/>
        <v>0</v>
      </c>
      <c r="DF189" s="17">
        <f t="shared" si="153"/>
        <v>0</v>
      </c>
      <c r="DG189" s="17">
        <f t="shared" si="153"/>
        <v>0</v>
      </c>
      <c r="DH189" s="17">
        <f t="shared" si="153"/>
        <v>0</v>
      </c>
      <c r="DI189" s="17">
        <f t="shared" si="153"/>
        <v>0</v>
      </c>
    </row>
    <row r="190" spans="1:113" ht="15.75" x14ac:dyDescent="0.25">
      <c r="A190" s="4" t="s">
        <v>419</v>
      </c>
      <c r="B190" s="6" t="s">
        <v>420</v>
      </c>
      <c r="H190" s="90">
        <f>'Combined data'!H190</f>
        <v>33</v>
      </c>
      <c r="I190" s="90">
        <f>'Combined data'!I190-'Combined data'!H190</f>
        <v>2</v>
      </c>
      <c r="J190" s="90">
        <f>'Combined data'!J190-'Combined data'!I190</f>
        <v>0</v>
      </c>
      <c r="K190" s="90">
        <f>'Combined data'!K190-'Combined data'!J190</f>
        <v>2</v>
      </c>
      <c r="L190" s="90">
        <f>'Combined data'!L190-'Combined data'!K190</f>
        <v>0</v>
      </c>
      <c r="M190" s="90">
        <f>'Combined data'!M190-'Combined data'!L190</f>
        <v>0</v>
      </c>
      <c r="N190" s="90">
        <f>'Combined data'!N190-'Combined data'!M190</f>
        <v>3</v>
      </c>
      <c r="O190" s="90">
        <f>'Combined data'!O190-'Combined data'!N190</f>
        <v>0</v>
      </c>
      <c r="P190" s="90">
        <f>'Combined data'!P190-'Combined data'!O190</f>
        <v>2</v>
      </c>
      <c r="Q190" s="90">
        <f>'Combined data'!Q190-'Combined data'!P190</f>
        <v>0</v>
      </c>
      <c r="R190" s="90">
        <f>'Combined data'!R190-'Combined data'!Q190</f>
        <v>1</v>
      </c>
      <c r="S190" s="90">
        <f>'Combined data'!S190-'Combined data'!R190</f>
        <v>0</v>
      </c>
      <c r="T190" s="90">
        <f>'Combined data'!T190-'Combined data'!S190</f>
        <v>1</v>
      </c>
      <c r="U190" s="90">
        <f>'Combined data'!U190-'Combined data'!T190</f>
        <v>1</v>
      </c>
      <c r="V190" s="90">
        <f>'Combined data'!V190-'Combined data'!U190</f>
        <v>2</v>
      </c>
      <c r="W190" s="90">
        <f>'Combined data'!W190-'Combined data'!V190</f>
        <v>0</v>
      </c>
      <c r="X190" s="90">
        <f>'Combined data'!X190-'Combined data'!W190</f>
        <v>4</v>
      </c>
      <c r="Y190" s="90">
        <f>'Combined data'!Y190-'Combined data'!X190</f>
        <v>1</v>
      </c>
      <c r="Z190" s="90">
        <f>'Combined data'!Z190-'Combined data'!Y190</f>
        <v>4</v>
      </c>
      <c r="AA190" s="90">
        <f>'Combined data'!AA190-'Combined data'!Z190</f>
        <v>0</v>
      </c>
      <c r="AB190" s="90">
        <f>'Combined data'!AB190-'Combined data'!AA190</f>
        <v>0</v>
      </c>
      <c r="AC190" s="90">
        <f>'Combined data'!AC190-'Combined data'!AB190</f>
        <v>0</v>
      </c>
      <c r="AD190" s="90">
        <f>'Combined data'!AD190-'Combined data'!AC190</f>
        <v>1</v>
      </c>
      <c r="AE190" s="90">
        <f>'Combined data'!AE190-'Combined data'!AD190</f>
        <v>-57</v>
      </c>
      <c r="AF190" s="90">
        <f>'Combined data'!AF190-'Combined data'!AE190</f>
        <v>0</v>
      </c>
      <c r="AG190" s="90">
        <f>'Combined data'!AG190-'Combined data'!AF190</f>
        <v>0</v>
      </c>
      <c r="AH190" s="90">
        <f>'Combined data'!AH190-'Combined data'!AG190</f>
        <v>0</v>
      </c>
      <c r="AI190" s="90">
        <f>'Combined data'!AI190-'Combined data'!AH190</f>
        <v>0</v>
      </c>
      <c r="AJ190" s="90">
        <f>'Combined data'!AJ190-'Combined data'!AI190</f>
        <v>0</v>
      </c>
      <c r="AK190" s="90">
        <f>'Combined data'!AK190-'Combined data'!AJ190</f>
        <v>0</v>
      </c>
      <c r="AL190" s="90">
        <f>'Combined data'!AL190-'Combined data'!AK190</f>
        <v>0</v>
      </c>
      <c r="AM190" s="90">
        <f>'Combined data'!AM190-'Combined data'!AL190</f>
        <v>0</v>
      </c>
      <c r="AN190" s="90">
        <f>'Combined data'!AN190-'Combined data'!AM190</f>
        <v>0</v>
      </c>
      <c r="AO190" s="90">
        <f>'Combined data'!AO190-'Combined data'!AN190</f>
        <v>0</v>
      </c>
      <c r="AP190" s="56">
        <f t="shared" si="121"/>
        <v>0</v>
      </c>
      <c r="AQ190" s="113"/>
      <c r="AR190" s="17">
        <f>'Combined data'!AR190</f>
        <v>10</v>
      </c>
      <c r="AS190" s="17">
        <f>'Combined data'!AS190-'Combined data'!AR190</f>
        <v>4</v>
      </c>
      <c r="AT190" s="17">
        <f>'Combined data'!AT190-'Combined data'!AS190</f>
        <v>0</v>
      </c>
      <c r="AU190" s="17">
        <f>'Combined data'!AU190-'Combined data'!AT190</f>
        <v>6</v>
      </c>
      <c r="AV190" s="17">
        <f>'Combined data'!AV190-'Combined data'!AU190</f>
        <v>1</v>
      </c>
      <c r="AW190" s="17">
        <f>'Combined data'!AW190-'Combined data'!AV190</f>
        <v>1</v>
      </c>
      <c r="AX190" s="17">
        <f>'Combined data'!AX190-'Combined data'!AW190</f>
        <v>3</v>
      </c>
      <c r="AY190" s="17">
        <f>'Combined data'!AY190-'Combined data'!AX190</f>
        <v>0</v>
      </c>
      <c r="AZ190" s="17">
        <f>'Combined data'!AZ190-'Combined data'!AY190</f>
        <v>3</v>
      </c>
      <c r="BA190" s="17">
        <f>'Combined data'!BA190-'Combined data'!AZ190</f>
        <v>1</v>
      </c>
      <c r="BB190" s="17">
        <f>'Combined data'!BB190-'Combined data'!BA190</f>
        <v>1</v>
      </c>
      <c r="BC190" s="17">
        <f>'Combined data'!BC190-'Combined data'!BB190</f>
        <v>0</v>
      </c>
      <c r="BD190" s="17">
        <f>'Combined data'!BD190-'Combined data'!BC190</f>
        <v>1</v>
      </c>
      <c r="BE190" s="17">
        <f>'Combined data'!BE190-'Combined data'!BD190</f>
        <v>3</v>
      </c>
      <c r="BF190" s="17">
        <f>'Combined data'!BF190-'Combined data'!BE190</f>
        <v>0</v>
      </c>
      <c r="BG190" s="17">
        <f>'Combined data'!BG190-'Combined data'!BF190</f>
        <v>0</v>
      </c>
      <c r="BH190" s="17">
        <f>'Combined data'!BH190-'Combined data'!BG190</f>
        <v>0</v>
      </c>
      <c r="BI190" s="17">
        <f>'Combined data'!BI190-'Combined data'!BH190</f>
        <v>5</v>
      </c>
      <c r="BJ190" s="17">
        <f>'Combined data'!BJ190-'Combined data'!BI190</f>
        <v>0</v>
      </c>
      <c r="BK190" s="17">
        <f>'Combined data'!BK190-'Combined data'!BJ190</f>
        <v>0</v>
      </c>
      <c r="BL190" s="17">
        <f>'Combined data'!BL190-'Combined data'!BK190</f>
        <v>0</v>
      </c>
      <c r="BM190" s="17">
        <f>'Combined data'!BM190-'Combined data'!BL190</f>
        <v>0</v>
      </c>
      <c r="BN190" s="17">
        <f>'Combined data'!BN190-'Combined data'!BM190</f>
        <v>0</v>
      </c>
      <c r="BO190" s="17">
        <f>'Combined data'!BO190-'Combined data'!BN190</f>
        <v>-39</v>
      </c>
      <c r="BP190" s="17">
        <f>'Combined data'!BP190-'Combined data'!BO190</f>
        <v>0</v>
      </c>
      <c r="BQ190" s="17">
        <f>'Combined data'!BQ190-'Combined data'!BP190</f>
        <v>0</v>
      </c>
      <c r="BR190" s="17">
        <f>'Combined data'!BR190-'Combined data'!BQ190</f>
        <v>0</v>
      </c>
      <c r="BS190" s="17">
        <f>'Combined data'!BS190-'Combined data'!BR190</f>
        <v>0</v>
      </c>
      <c r="BT190" s="17">
        <f>'Combined data'!BT190-'Combined data'!BS190</f>
        <v>0</v>
      </c>
      <c r="BU190" s="17">
        <f>'Combined data'!BU190-'Combined data'!BT190</f>
        <v>0</v>
      </c>
      <c r="BV190" s="17">
        <f>'Combined data'!BV190-'Combined data'!BU190</f>
        <v>0</v>
      </c>
      <c r="BW190" s="17">
        <f>'Combined data'!BW190-'Combined data'!BV190</f>
        <v>0</v>
      </c>
      <c r="BX190" s="17">
        <f>'Combined data'!BX190-'Combined data'!BW190</f>
        <v>0</v>
      </c>
      <c r="BY190" s="17">
        <f>'Combined data'!BY190-'Combined data'!BX190</f>
        <v>0</v>
      </c>
      <c r="CB190" s="17">
        <f t="shared" si="131"/>
        <v>10</v>
      </c>
      <c r="CC190" s="17">
        <f t="shared" si="132"/>
        <v>4</v>
      </c>
      <c r="CD190" s="17">
        <f t="shared" si="133"/>
        <v>0</v>
      </c>
      <c r="CE190" s="17">
        <f t="shared" si="134"/>
        <v>6</v>
      </c>
      <c r="CF190" s="17">
        <f t="shared" si="135"/>
        <v>1</v>
      </c>
      <c r="CG190" s="17">
        <f t="shared" si="136"/>
        <v>1</v>
      </c>
      <c r="CH190" s="17">
        <f t="shared" si="137"/>
        <v>3</v>
      </c>
      <c r="CI190" s="17">
        <f t="shared" si="138"/>
        <v>0</v>
      </c>
      <c r="CJ190" s="17">
        <f t="shared" si="139"/>
        <v>3</v>
      </c>
      <c r="CK190" s="17">
        <f t="shared" si="140"/>
        <v>1</v>
      </c>
      <c r="CL190" s="17">
        <f t="shared" si="141"/>
        <v>1</v>
      </c>
      <c r="CM190" s="17">
        <f t="shared" si="142"/>
        <v>0</v>
      </c>
      <c r="CN190" s="17">
        <f t="shared" si="143"/>
        <v>1</v>
      </c>
      <c r="CO190" s="17">
        <f t="shared" si="144"/>
        <v>3</v>
      </c>
      <c r="CP190" s="17">
        <f t="shared" si="145"/>
        <v>0</v>
      </c>
      <c r="CQ190" s="17">
        <f t="shared" si="146"/>
        <v>0</v>
      </c>
      <c r="CR190" s="17">
        <f t="shared" si="147"/>
        <v>0</v>
      </c>
      <c r="CS190" s="17">
        <f t="shared" si="148"/>
        <v>5</v>
      </c>
      <c r="CT190" s="17">
        <f t="shared" si="149"/>
        <v>0</v>
      </c>
      <c r="CU190" s="17">
        <f t="shared" si="150"/>
        <v>0</v>
      </c>
      <c r="CV190" s="17">
        <f t="shared" si="151"/>
        <v>0</v>
      </c>
      <c r="CW190" s="17">
        <f t="shared" si="152"/>
        <v>0</v>
      </c>
      <c r="CX190" s="17">
        <f t="shared" ref="CX190:DI205" si="154">BN190</f>
        <v>0</v>
      </c>
      <c r="CY190" s="17">
        <f t="shared" si="154"/>
        <v>-39</v>
      </c>
      <c r="CZ190" s="17">
        <f t="shared" si="154"/>
        <v>0</v>
      </c>
      <c r="DA190" s="17">
        <f t="shared" si="154"/>
        <v>0</v>
      </c>
      <c r="DB190" s="17">
        <f t="shared" si="154"/>
        <v>0</v>
      </c>
      <c r="DC190" s="17">
        <f t="shared" si="154"/>
        <v>0</v>
      </c>
      <c r="DD190" s="17">
        <f t="shared" si="154"/>
        <v>0</v>
      </c>
      <c r="DE190" s="17">
        <f t="shared" si="154"/>
        <v>0</v>
      </c>
      <c r="DF190" s="17">
        <f t="shared" si="154"/>
        <v>0</v>
      </c>
      <c r="DG190" s="17">
        <f t="shared" si="154"/>
        <v>0</v>
      </c>
      <c r="DH190" s="17">
        <f t="shared" si="154"/>
        <v>0</v>
      </c>
      <c r="DI190" s="17">
        <f t="shared" si="154"/>
        <v>0</v>
      </c>
    </row>
    <row r="191" spans="1:113" ht="15.75" x14ac:dyDescent="0.25">
      <c r="A191" s="4" t="s">
        <v>421</v>
      </c>
      <c r="B191" s="6" t="s">
        <v>422</v>
      </c>
      <c r="H191" s="90">
        <f>'Combined data'!H191</f>
        <v>47</v>
      </c>
      <c r="I191" s="90">
        <f>'Combined data'!I191-'Combined data'!H191</f>
        <v>1</v>
      </c>
      <c r="J191" s="90">
        <f>'Combined data'!J191-'Combined data'!I191</f>
        <v>4</v>
      </c>
      <c r="K191" s="90">
        <f>'Combined data'!K191-'Combined data'!J191</f>
        <v>2</v>
      </c>
      <c r="L191" s="90">
        <f>'Combined data'!L191-'Combined data'!K191</f>
        <v>0</v>
      </c>
      <c r="M191" s="90">
        <f>'Combined data'!M191-'Combined data'!L191</f>
        <v>0</v>
      </c>
      <c r="N191" s="90">
        <f>'Combined data'!N191-'Combined data'!M191</f>
        <v>0</v>
      </c>
      <c r="O191" s="90">
        <f>'Combined data'!O191-'Combined data'!N191</f>
        <v>3</v>
      </c>
      <c r="P191" s="90">
        <f>'Combined data'!P191-'Combined data'!O191</f>
        <v>0</v>
      </c>
      <c r="Q191" s="90">
        <f>'Combined data'!Q191-'Combined data'!P191</f>
        <v>1</v>
      </c>
      <c r="R191" s="90">
        <f>'Combined data'!R191-'Combined data'!Q191</f>
        <v>1</v>
      </c>
      <c r="S191" s="90">
        <f>'Combined data'!S191-'Combined data'!R191</f>
        <v>0</v>
      </c>
      <c r="T191" s="90">
        <f>'Combined data'!T191-'Combined data'!S191</f>
        <v>1</v>
      </c>
      <c r="U191" s="90">
        <f>'Combined data'!U191-'Combined data'!T191</f>
        <v>2</v>
      </c>
      <c r="V191" s="90">
        <f>'Combined data'!V191-'Combined data'!U191</f>
        <v>3</v>
      </c>
      <c r="W191" s="90">
        <f>'Combined data'!W191-'Combined data'!V191</f>
        <v>1</v>
      </c>
      <c r="X191" s="90">
        <f>'Combined data'!X191-'Combined data'!W191</f>
        <v>1</v>
      </c>
      <c r="Y191" s="90">
        <f>'Combined data'!Y191-'Combined data'!X191</f>
        <v>3</v>
      </c>
      <c r="Z191" s="90">
        <f>'Combined data'!Z191-'Combined data'!Y191</f>
        <v>1</v>
      </c>
      <c r="AA191" s="90">
        <f>'Combined data'!AA191-'Combined data'!Z191</f>
        <v>1</v>
      </c>
      <c r="AB191" s="90">
        <f>'Combined data'!AB191-'Combined data'!AA191</f>
        <v>2</v>
      </c>
      <c r="AC191" s="90">
        <f>'Combined data'!AC191-'Combined data'!AB191</f>
        <v>1</v>
      </c>
      <c r="AD191" s="90">
        <f>'Combined data'!AD191-'Combined data'!AC191</f>
        <v>2</v>
      </c>
      <c r="AE191" s="90">
        <f>'Combined data'!AE191-'Combined data'!AD191</f>
        <v>-77</v>
      </c>
      <c r="AF191" s="90">
        <f>'Combined data'!AF191-'Combined data'!AE191</f>
        <v>0</v>
      </c>
      <c r="AG191" s="90">
        <f>'Combined data'!AG191-'Combined data'!AF191</f>
        <v>0</v>
      </c>
      <c r="AH191" s="90">
        <f>'Combined data'!AH191-'Combined data'!AG191</f>
        <v>0</v>
      </c>
      <c r="AI191" s="90">
        <f>'Combined data'!AI191-'Combined data'!AH191</f>
        <v>0</v>
      </c>
      <c r="AJ191" s="90">
        <f>'Combined data'!AJ191-'Combined data'!AI191</f>
        <v>0</v>
      </c>
      <c r="AK191" s="90">
        <f>'Combined data'!AK191-'Combined data'!AJ191</f>
        <v>0</v>
      </c>
      <c r="AL191" s="90">
        <f>'Combined data'!AL191-'Combined data'!AK191</f>
        <v>0</v>
      </c>
      <c r="AM191" s="90">
        <f>'Combined data'!AM191-'Combined data'!AL191</f>
        <v>0</v>
      </c>
      <c r="AN191" s="90">
        <f>'Combined data'!AN191-'Combined data'!AM191</f>
        <v>0</v>
      </c>
      <c r="AO191" s="90">
        <f>'Combined data'!AO191-'Combined data'!AN191</f>
        <v>0</v>
      </c>
      <c r="AP191" s="56">
        <f t="shared" si="121"/>
        <v>0</v>
      </c>
      <c r="AQ191" s="113"/>
      <c r="AR191" s="17">
        <f>'Combined data'!AR191</f>
        <v>21</v>
      </c>
      <c r="AS191" s="17">
        <f>'Combined data'!AS191-'Combined data'!AR191</f>
        <v>4</v>
      </c>
      <c r="AT191" s="17">
        <f>'Combined data'!AT191-'Combined data'!AS191</f>
        <v>4</v>
      </c>
      <c r="AU191" s="17">
        <f>'Combined data'!AU191-'Combined data'!AT191</f>
        <v>1</v>
      </c>
      <c r="AV191" s="17">
        <f>'Combined data'!AV191-'Combined data'!AU191</f>
        <v>2</v>
      </c>
      <c r="AW191" s="17">
        <f>'Combined data'!AW191-'Combined data'!AV191</f>
        <v>2</v>
      </c>
      <c r="AX191" s="17">
        <f>'Combined data'!AX191-'Combined data'!AW191</f>
        <v>4</v>
      </c>
      <c r="AY191" s="17">
        <f>'Combined data'!AY191-'Combined data'!AX191</f>
        <v>0</v>
      </c>
      <c r="AZ191" s="17">
        <f>'Combined data'!AZ191-'Combined data'!AY191</f>
        <v>3</v>
      </c>
      <c r="BA191" s="17">
        <f>'Combined data'!BA191-'Combined data'!AZ191</f>
        <v>2</v>
      </c>
      <c r="BB191" s="17">
        <f>'Combined data'!BB191-'Combined data'!BA191</f>
        <v>2</v>
      </c>
      <c r="BC191" s="17">
        <f>'Combined data'!BC191-'Combined data'!BB191</f>
        <v>1</v>
      </c>
      <c r="BD191" s="17">
        <f>'Combined data'!BD191-'Combined data'!BC191</f>
        <v>0</v>
      </c>
      <c r="BE191" s="17">
        <f>'Combined data'!BE191-'Combined data'!BD191</f>
        <v>0</v>
      </c>
      <c r="BF191" s="17">
        <f>'Combined data'!BF191-'Combined data'!BE191</f>
        <v>0</v>
      </c>
      <c r="BG191" s="17">
        <f>'Combined data'!BG191-'Combined data'!BF191</f>
        <v>3</v>
      </c>
      <c r="BH191" s="17">
        <f>'Combined data'!BH191-'Combined data'!BG191</f>
        <v>1</v>
      </c>
      <c r="BI191" s="17">
        <f>'Combined data'!BI191-'Combined data'!BH191</f>
        <v>1</v>
      </c>
      <c r="BJ191" s="17">
        <f>'Combined data'!BJ191-'Combined data'!BI191</f>
        <v>0</v>
      </c>
      <c r="BK191" s="17">
        <f>'Combined data'!BK191-'Combined data'!BJ191</f>
        <v>0</v>
      </c>
      <c r="BL191" s="17">
        <f>'Combined data'!BL191-'Combined data'!BK191</f>
        <v>2</v>
      </c>
      <c r="BM191" s="17">
        <f>'Combined data'!BM191-'Combined data'!BL191</f>
        <v>1</v>
      </c>
      <c r="BN191" s="17">
        <f>'Combined data'!BN191-'Combined data'!BM191</f>
        <v>1</v>
      </c>
      <c r="BO191" s="17">
        <f>'Combined data'!BO191-'Combined data'!BN191</f>
        <v>-55</v>
      </c>
      <c r="BP191" s="17">
        <f>'Combined data'!BP191-'Combined data'!BO191</f>
        <v>0</v>
      </c>
      <c r="BQ191" s="17">
        <f>'Combined data'!BQ191-'Combined data'!BP191</f>
        <v>0</v>
      </c>
      <c r="BR191" s="17">
        <f>'Combined data'!BR191-'Combined data'!BQ191</f>
        <v>0</v>
      </c>
      <c r="BS191" s="17">
        <f>'Combined data'!BS191-'Combined data'!BR191</f>
        <v>0</v>
      </c>
      <c r="BT191" s="17">
        <f>'Combined data'!BT191-'Combined data'!BS191</f>
        <v>0</v>
      </c>
      <c r="BU191" s="17">
        <f>'Combined data'!BU191-'Combined data'!BT191</f>
        <v>0</v>
      </c>
      <c r="BV191" s="17">
        <f>'Combined data'!BV191-'Combined data'!BU191</f>
        <v>0</v>
      </c>
      <c r="BW191" s="17">
        <f>'Combined data'!BW191-'Combined data'!BV191</f>
        <v>0</v>
      </c>
      <c r="BX191" s="17">
        <f>'Combined data'!BX191-'Combined data'!BW191</f>
        <v>0</v>
      </c>
      <c r="BY191" s="17">
        <f>'Combined data'!BY191-'Combined data'!BX191</f>
        <v>0</v>
      </c>
      <c r="CB191" s="17">
        <f t="shared" si="131"/>
        <v>21</v>
      </c>
      <c r="CC191" s="17">
        <f t="shared" si="132"/>
        <v>4</v>
      </c>
      <c r="CD191" s="17">
        <f t="shared" si="133"/>
        <v>4</v>
      </c>
      <c r="CE191" s="17">
        <f t="shared" si="134"/>
        <v>1</v>
      </c>
      <c r="CF191" s="17">
        <f t="shared" si="135"/>
        <v>2</v>
      </c>
      <c r="CG191" s="17">
        <f t="shared" si="136"/>
        <v>2</v>
      </c>
      <c r="CH191" s="17">
        <f t="shared" si="137"/>
        <v>4</v>
      </c>
      <c r="CI191" s="17">
        <f t="shared" si="138"/>
        <v>0</v>
      </c>
      <c r="CJ191" s="17">
        <f t="shared" si="139"/>
        <v>3</v>
      </c>
      <c r="CK191" s="17">
        <f t="shared" si="140"/>
        <v>2</v>
      </c>
      <c r="CL191" s="17">
        <f t="shared" si="141"/>
        <v>2</v>
      </c>
      <c r="CM191" s="17">
        <f t="shared" si="142"/>
        <v>1</v>
      </c>
      <c r="CN191" s="17">
        <f t="shared" si="143"/>
        <v>0</v>
      </c>
      <c r="CO191" s="17">
        <f t="shared" si="144"/>
        <v>0</v>
      </c>
      <c r="CP191" s="17">
        <f t="shared" si="145"/>
        <v>0</v>
      </c>
      <c r="CQ191" s="17">
        <f t="shared" si="146"/>
        <v>3</v>
      </c>
      <c r="CR191" s="17">
        <f t="shared" si="147"/>
        <v>1</v>
      </c>
      <c r="CS191" s="17">
        <f t="shared" si="148"/>
        <v>1</v>
      </c>
      <c r="CT191" s="17">
        <f t="shared" si="149"/>
        <v>0</v>
      </c>
      <c r="CU191" s="17">
        <f t="shared" si="150"/>
        <v>0</v>
      </c>
      <c r="CV191" s="17">
        <f t="shared" si="151"/>
        <v>2</v>
      </c>
      <c r="CW191" s="17">
        <f t="shared" si="152"/>
        <v>1</v>
      </c>
      <c r="CX191" s="17">
        <f t="shared" si="154"/>
        <v>1</v>
      </c>
      <c r="CY191" s="17">
        <f t="shared" si="154"/>
        <v>-55</v>
      </c>
      <c r="CZ191" s="17">
        <f t="shared" si="154"/>
        <v>0</v>
      </c>
      <c r="DA191" s="17">
        <f t="shared" si="154"/>
        <v>0</v>
      </c>
      <c r="DB191" s="17">
        <f t="shared" si="154"/>
        <v>0</v>
      </c>
      <c r="DC191" s="17">
        <f t="shared" si="154"/>
        <v>0</v>
      </c>
      <c r="DD191" s="17">
        <f t="shared" si="154"/>
        <v>0</v>
      </c>
      <c r="DE191" s="17">
        <f t="shared" si="154"/>
        <v>0</v>
      </c>
      <c r="DF191" s="17">
        <f t="shared" si="154"/>
        <v>0</v>
      </c>
      <c r="DG191" s="17">
        <f t="shared" si="154"/>
        <v>0</v>
      </c>
      <c r="DH191" s="17">
        <f t="shared" si="154"/>
        <v>0</v>
      </c>
      <c r="DI191" s="17">
        <f t="shared" si="154"/>
        <v>0</v>
      </c>
    </row>
    <row r="192" spans="1:113" ht="15.75" x14ac:dyDescent="0.25">
      <c r="A192" s="4" t="s">
        <v>423</v>
      </c>
      <c r="B192" s="6" t="s">
        <v>424</v>
      </c>
      <c r="H192" s="90">
        <f>'Combined data'!H192</f>
        <v>62</v>
      </c>
      <c r="I192" s="90">
        <f>'Combined data'!I192-'Combined data'!H192</f>
        <v>3</v>
      </c>
      <c r="J192" s="90">
        <f>'Combined data'!J192-'Combined data'!I192</f>
        <v>5</v>
      </c>
      <c r="K192" s="90">
        <f>'Combined data'!K192-'Combined data'!J192</f>
        <v>2</v>
      </c>
      <c r="L192" s="90">
        <f>'Combined data'!L192-'Combined data'!K192</f>
        <v>0</v>
      </c>
      <c r="M192" s="90">
        <f>'Combined data'!M192-'Combined data'!L192</f>
        <v>2</v>
      </c>
      <c r="N192" s="90">
        <f>'Combined data'!N192-'Combined data'!M192</f>
        <v>4</v>
      </c>
      <c r="O192" s="90">
        <f>'Combined data'!O192-'Combined data'!N192</f>
        <v>1</v>
      </c>
      <c r="P192" s="90">
        <f>'Combined data'!P192-'Combined data'!O192</f>
        <v>1</v>
      </c>
      <c r="Q192" s="90">
        <f>'Combined data'!Q192-'Combined data'!P192</f>
        <v>4</v>
      </c>
      <c r="R192" s="90">
        <f>'Combined data'!R192-'Combined data'!Q192</f>
        <v>5</v>
      </c>
      <c r="S192" s="90">
        <f>'Combined data'!S192-'Combined data'!R192</f>
        <v>0</v>
      </c>
      <c r="T192" s="90">
        <f>'Combined data'!T192-'Combined data'!S192</f>
        <v>0</v>
      </c>
      <c r="U192" s="90">
        <f>'Combined data'!U192-'Combined data'!T192</f>
        <v>2</v>
      </c>
      <c r="V192" s="90">
        <f>'Combined data'!V192-'Combined data'!U192</f>
        <v>1</v>
      </c>
      <c r="W192" s="90">
        <f>'Combined data'!W192-'Combined data'!V192</f>
        <v>4</v>
      </c>
      <c r="X192" s="90">
        <f>'Combined data'!X192-'Combined data'!W192</f>
        <v>3</v>
      </c>
      <c r="Y192" s="90">
        <f>'Combined data'!Y192-'Combined data'!X192</f>
        <v>0</v>
      </c>
      <c r="Z192" s="90">
        <f>'Combined data'!Z192-'Combined data'!Y192</f>
        <v>1</v>
      </c>
      <c r="AA192" s="90">
        <f>'Combined data'!AA192-'Combined data'!Z192</f>
        <v>0</v>
      </c>
      <c r="AB192" s="90">
        <f>'Combined data'!AB192-'Combined data'!AA192</f>
        <v>2</v>
      </c>
      <c r="AC192" s="90">
        <f>'Combined data'!AC192-'Combined data'!AB192</f>
        <v>1</v>
      </c>
      <c r="AD192" s="90">
        <f>'Combined data'!AD192-'Combined data'!AC192</f>
        <v>2</v>
      </c>
      <c r="AE192" s="90">
        <f>'Combined data'!AE192-'Combined data'!AD192</f>
        <v>-105</v>
      </c>
      <c r="AF192" s="90">
        <f>'Combined data'!AF192-'Combined data'!AE192</f>
        <v>0</v>
      </c>
      <c r="AG192" s="90">
        <f>'Combined data'!AG192-'Combined data'!AF192</f>
        <v>0</v>
      </c>
      <c r="AH192" s="90">
        <f>'Combined data'!AH192-'Combined data'!AG192</f>
        <v>0</v>
      </c>
      <c r="AI192" s="90">
        <f>'Combined data'!AI192-'Combined data'!AH192</f>
        <v>0</v>
      </c>
      <c r="AJ192" s="90">
        <f>'Combined data'!AJ192-'Combined data'!AI192</f>
        <v>0</v>
      </c>
      <c r="AK192" s="90">
        <f>'Combined data'!AK192-'Combined data'!AJ192</f>
        <v>0</v>
      </c>
      <c r="AL192" s="90">
        <f>'Combined data'!AL192-'Combined data'!AK192</f>
        <v>0</v>
      </c>
      <c r="AM192" s="90">
        <f>'Combined data'!AM192-'Combined data'!AL192</f>
        <v>0</v>
      </c>
      <c r="AN192" s="90">
        <f>'Combined data'!AN192-'Combined data'!AM192</f>
        <v>0</v>
      </c>
      <c r="AO192" s="90">
        <f>'Combined data'!AO192-'Combined data'!AN192</f>
        <v>0</v>
      </c>
      <c r="AP192" s="56">
        <f t="shared" si="121"/>
        <v>0</v>
      </c>
      <c r="AQ192" s="113"/>
      <c r="AR192" s="17">
        <f>'Combined data'!AR192</f>
        <v>29</v>
      </c>
      <c r="AS192" s="17">
        <f>'Combined data'!AS192-'Combined data'!AR192</f>
        <v>4</v>
      </c>
      <c r="AT192" s="17">
        <f>'Combined data'!AT192-'Combined data'!AS192</f>
        <v>3</v>
      </c>
      <c r="AU192" s="17">
        <f>'Combined data'!AU192-'Combined data'!AT192</f>
        <v>1</v>
      </c>
      <c r="AV192" s="17">
        <f>'Combined data'!AV192-'Combined data'!AU192</f>
        <v>3</v>
      </c>
      <c r="AW192" s="17">
        <f>'Combined data'!AW192-'Combined data'!AV192</f>
        <v>0</v>
      </c>
      <c r="AX192" s="17">
        <f>'Combined data'!AX192-'Combined data'!AW192</f>
        <v>-1</v>
      </c>
      <c r="AY192" s="17">
        <f>'Combined data'!AY192-'Combined data'!AX192</f>
        <v>3</v>
      </c>
      <c r="AZ192" s="17">
        <f>'Combined data'!AZ192-'Combined data'!AY192</f>
        <v>0</v>
      </c>
      <c r="BA192" s="17">
        <f>'Combined data'!BA192-'Combined data'!AZ192</f>
        <v>3</v>
      </c>
      <c r="BB192" s="17">
        <f>'Combined data'!BB192-'Combined data'!BA192</f>
        <v>2</v>
      </c>
      <c r="BC192" s="17">
        <f>'Combined data'!BC192-'Combined data'!BB192</f>
        <v>4</v>
      </c>
      <c r="BD192" s="17">
        <f>'Combined data'!BD192-'Combined data'!BC192</f>
        <v>5</v>
      </c>
      <c r="BE192" s="17">
        <f>'Combined data'!BE192-'Combined data'!BD192</f>
        <v>0</v>
      </c>
      <c r="BF192" s="17">
        <f>'Combined data'!BF192-'Combined data'!BE192</f>
        <v>2</v>
      </c>
      <c r="BG192" s="17">
        <f>'Combined data'!BG192-'Combined data'!BF192</f>
        <v>0</v>
      </c>
      <c r="BH192" s="17">
        <f>'Combined data'!BH192-'Combined data'!BG192</f>
        <v>0</v>
      </c>
      <c r="BI192" s="17">
        <f>'Combined data'!BI192-'Combined data'!BH192</f>
        <v>1</v>
      </c>
      <c r="BJ192" s="17">
        <f>'Combined data'!BJ192-'Combined data'!BI192</f>
        <v>3</v>
      </c>
      <c r="BK192" s="17">
        <f>'Combined data'!BK192-'Combined data'!BJ192</f>
        <v>5</v>
      </c>
      <c r="BL192" s="17">
        <f>'Combined data'!BL192-'Combined data'!BK192</f>
        <v>2</v>
      </c>
      <c r="BM192" s="17">
        <f>'Combined data'!BM192-'Combined data'!BL192</f>
        <v>-2</v>
      </c>
      <c r="BN192" s="17">
        <f>'Combined data'!BN192-'Combined data'!BM192</f>
        <v>0</v>
      </c>
      <c r="BO192" s="17">
        <f>'Combined data'!BO192-'Combined data'!BN192</f>
        <v>-67</v>
      </c>
      <c r="BP192" s="17">
        <f>'Combined data'!BP192-'Combined data'!BO192</f>
        <v>0</v>
      </c>
      <c r="BQ192" s="17">
        <f>'Combined data'!BQ192-'Combined data'!BP192</f>
        <v>0</v>
      </c>
      <c r="BR192" s="17">
        <f>'Combined data'!BR192-'Combined data'!BQ192</f>
        <v>0</v>
      </c>
      <c r="BS192" s="17">
        <f>'Combined data'!BS192-'Combined data'!BR192</f>
        <v>0</v>
      </c>
      <c r="BT192" s="17">
        <f>'Combined data'!BT192-'Combined data'!BS192</f>
        <v>0</v>
      </c>
      <c r="BU192" s="17">
        <f>'Combined data'!BU192-'Combined data'!BT192</f>
        <v>0</v>
      </c>
      <c r="BV192" s="17">
        <f>'Combined data'!BV192-'Combined data'!BU192</f>
        <v>0</v>
      </c>
      <c r="BW192" s="17">
        <f>'Combined data'!BW192-'Combined data'!BV192</f>
        <v>0</v>
      </c>
      <c r="BX192" s="17">
        <f>'Combined data'!BX192-'Combined data'!BW192</f>
        <v>0</v>
      </c>
      <c r="BY192" s="17">
        <f>'Combined data'!BY192-'Combined data'!BX192</f>
        <v>0</v>
      </c>
      <c r="CB192" s="17">
        <f t="shared" si="131"/>
        <v>29</v>
      </c>
      <c r="CC192" s="17">
        <f t="shared" si="132"/>
        <v>4</v>
      </c>
      <c r="CD192" s="17">
        <f t="shared" si="133"/>
        <v>3</v>
      </c>
      <c r="CE192" s="17">
        <f t="shared" si="134"/>
        <v>1</v>
      </c>
      <c r="CF192" s="17">
        <f t="shared" si="135"/>
        <v>3</v>
      </c>
      <c r="CG192" s="17">
        <f t="shared" si="136"/>
        <v>0</v>
      </c>
      <c r="CH192" s="17">
        <f t="shared" si="137"/>
        <v>-1</v>
      </c>
      <c r="CI192" s="17">
        <f t="shared" si="138"/>
        <v>3</v>
      </c>
      <c r="CJ192" s="17">
        <f t="shared" si="139"/>
        <v>0</v>
      </c>
      <c r="CK192" s="17">
        <f t="shared" si="140"/>
        <v>3</v>
      </c>
      <c r="CL192" s="17">
        <f t="shared" si="141"/>
        <v>2</v>
      </c>
      <c r="CM192" s="17">
        <f t="shared" si="142"/>
        <v>4</v>
      </c>
      <c r="CN192" s="17">
        <f t="shared" si="143"/>
        <v>5</v>
      </c>
      <c r="CO192" s="17">
        <f t="shared" si="144"/>
        <v>0</v>
      </c>
      <c r="CP192" s="17">
        <f t="shared" si="145"/>
        <v>2</v>
      </c>
      <c r="CQ192" s="17">
        <f t="shared" si="146"/>
        <v>0</v>
      </c>
      <c r="CR192" s="17">
        <f t="shared" si="147"/>
        <v>0</v>
      </c>
      <c r="CS192" s="17">
        <f t="shared" si="148"/>
        <v>1</v>
      </c>
      <c r="CT192" s="17">
        <f t="shared" si="149"/>
        <v>3</v>
      </c>
      <c r="CU192" s="17">
        <f t="shared" si="150"/>
        <v>5</v>
      </c>
      <c r="CV192" s="17">
        <f t="shared" si="151"/>
        <v>2</v>
      </c>
      <c r="CW192" s="17">
        <f t="shared" si="152"/>
        <v>-2</v>
      </c>
      <c r="CX192" s="17">
        <f t="shared" si="154"/>
        <v>0</v>
      </c>
      <c r="CY192" s="17">
        <f t="shared" si="154"/>
        <v>-67</v>
      </c>
      <c r="CZ192" s="17">
        <f t="shared" si="154"/>
        <v>0</v>
      </c>
      <c r="DA192" s="17">
        <f t="shared" si="154"/>
        <v>0</v>
      </c>
      <c r="DB192" s="17">
        <f t="shared" si="154"/>
        <v>0</v>
      </c>
      <c r="DC192" s="17">
        <f t="shared" si="154"/>
        <v>0</v>
      </c>
      <c r="DD192" s="17">
        <f t="shared" si="154"/>
        <v>0</v>
      </c>
      <c r="DE192" s="17">
        <f t="shared" si="154"/>
        <v>0</v>
      </c>
      <c r="DF192" s="17">
        <f t="shared" si="154"/>
        <v>0</v>
      </c>
      <c r="DG192" s="17">
        <f t="shared" si="154"/>
        <v>0</v>
      </c>
      <c r="DH192" s="17">
        <f t="shared" si="154"/>
        <v>0</v>
      </c>
      <c r="DI192" s="17">
        <f t="shared" si="154"/>
        <v>0</v>
      </c>
    </row>
    <row r="193" spans="1:113" ht="15.75" x14ac:dyDescent="0.25">
      <c r="A193" s="4" t="s">
        <v>425</v>
      </c>
      <c r="B193" s="6" t="s">
        <v>426</v>
      </c>
      <c r="H193" s="90">
        <f>'Combined data'!H193</f>
        <v>5</v>
      </c>
      <c r="I193" s="90">
        <f>'Combined data'!I193-'Combined data'!H193</f>
        <v>0</v>
      </c>
      <c r="J193" s="90">
        <f>'Combined data'!J193-'Combined data'!I193</f>
        <v>0</v>
      </c>
      <c r="K193" s="90">
        <f>'Combined data'!K193-'Combined data'!J193</f>
        <v>0</v>
      </c>
      <c r="L193" s="90">
        <f>'Combined data'!L193-'Combined data'!K193</f>
        <v>0</v>
      </c>
      <c r="M193" s="90">
        <f>'Combined data'!M193-'Combined data'!L193</f>
        <v>0</v>
      </c>
      <c r="N193" s="90">
        <f>'Combined data'!N193-'Combined data'!M193</f>
        <v>5</v>
      </c>
      <c r="O193" s="90">
        <f>'Combined data'!O193-'Combined data'!N193</f>
        <v>0</v>
      </c>
      <c r="P193" s="90">
        <f>'Combined data'!P193-'Combined data'!O193</f>
        <v>0</v>
      </c>
      <c r="Q193" s="90">
        <f>'Combined data'!Q193-'Combined data'!P193</f>
        <v>0</v>
      </c>
      <c r="R193" s="90">
        <f>'Combined data'!R193-'Combined data'!Q193</f>
        <v>-5</v>
      </c>
      <c r="S193" s="90">
        <f>'Combined data'!S193-'Combined data'!R193</f>
        <v>5</v>
      </c>
      <c r="T193" s="90">
        <f>'Combined data'!T193-'Combined data'!S193</f>
        <v>5</v>
      </c>
      <c r="U193" s="90">
        <f>'Combined data'!U193-'Combined data'!T193</f>
        <v>0</v>
      </c>
      <c r="V193" s="90">
        <f>'Combined data'!V193-'Combined data'!U193</f>
        <v>0</v>
      </c>
      <c r="W193" s="90">
        <f>'Combined data'!W193-'Combined data'!V193</f>
        <v>0</v>
      </c>
      <c r="X193" s="90">
        <f>'Combined data'!X193-'Combined data'!W193</f>
        <v>0</v>
      </c>
      <c r="Y193" s="90">
        <f>'Combined data'!Y193-'Combined data'!X193</f>
        <v>0</v>
      </c>
      <c r="Z193" s="90">
        <f>'Combined data'!Z193-'Combined data'!Y193</f>
        <v>-3</v>
      </c>
      <c r="AA193" s="90">
        <f>'Combined data'!AA193-'Combined data'!Z193</f>
        <v>0</v>
      </c>
      <c r="AB193" s="90">
        <f>'Combined data'!AB193-'Combined data'!AA193</f>
        <v>0</v>
      </c>
      <c r="AC193" s="90">
        <f>'Combined data'!AC193-'Combined data'!AB193</f>
        <v>3</v>
      </c>
      <c r="AD193" s="90">
        <f>'Combined data'!AD193-'Combined data'!AC193</f>
        <v>-4</v>
      </c>
      <c r="AE193" s="90">
        <f>'Combined data'!AE193-'Combined data'!AD193</f>
        <v>-11</v>
      </c>
      <c r="AF193" s="90">
        <f>'Combined data'!AF193-'Combined data'!AE193</f>
        <v>0</v>
      </c>
      <c r="AG193" s="90">
        <f>'Combined data'!AG193-'Combined data'!AF193</f>
        <v>0</v>
      </c>
      <c r="AH193" s="90">
        <f>'Combined data'!AH193-'Combined data'!AG193</f>
        <v>0</v>
      </c>
      <c r="AI193" s="90">
        <f>'Combined data'!AI193-'Combined data'!AH193</f>
        <v>0</v>
      </c>
      <c r="AJ193" s="90">
        <f>'Combined data'!AJ193-'Combined data'!AI193</f>
        <v>0</v>
      </c>
      <c r="AK193" s="90">
        <f>'Combined data'!AK193-'Combined data'!AJ193</f>
        <v>0</v>
      </c>
      <c r="AL193" s="90">
        <f>'Combined data'!AL193-'Combined data'!AK193</f>
        <v>0</v>
      </c>
      <c r="AM193" s="90">
        <f>'Combined data'!AM193-'Combined data'!AL193</f>
        <v>0</v>
      </c>
      <c r="AN193" s="90">
        <f>'Combined data'!AN193-'Combined data'!AM193</f>
        <v>0</v>
      </c>
      <c r="AO193" s="90">
        <f>'Combined data'!AO193-'Combined data'!AN193</f>
        <v>0</v>
      </c>
      <c r="AP193" s="56">
        <f t="shared" si="121"/>
        <v>0</v>
      </c>
      <c r="AQ193" s="113"/>
      <c r="AR193" s="17">
        <f>'Combined data'!AR193</f>
        <v>5</v>
      </c>
      <c r="AS193" s="17">
        <f>'Combined data'!AS193-'Combined data'!AR193</f>
        <v>0</v>
      </c>
      <c r="AT193" s="17">
        <f>'Combined data'!AT193-'Combined data'!AS193</f>
        <v>0</v>
      </c>
      <c r="AU193" s="17">
        <f>'Combined data'!AU193-'Combined data'!AT193</f>
        <v>-5</v>
      </c>
      <c r="AV193" s="17">
        <f>'Combined data'!AV193-'Combined data'!AU193</f>
        <v>5</v>
      </c>
      <c r="AW193" s="17">
        <f>'Combined data'!AW193-'Combined data'!AV193</f>
        <v>0</v>
      </c>
      <c r="AX193" s="17">
        <f>'Combined data'!AX193-'Combined data'!AW193</f>
        <v>5</v>
      </c>
      <c r="AY193" s="17">
        <f>'Combined data'!AY193-'Combined data'!AX193</f>
        <v>0</v>
      </c>
      <c r="AZ193" s="17">
        <f>'Combined data'!AZ193-'Combined data'!AY193</f>
        <v>0</v>
      </c>
      <c r="BA193" s="17">
        <f>'Combined data'!BA193-'Combined data'!AZ193</f>
        <v>0</v>
      </c>
      <c r="BB193" s="17">
        <f>'Combined data'!BB193-'Combined data'!BA193</f>
        <v>-5</v>
      </c>
      <c r="BC193" s="17">
        <f>'Combined data'!BC193-'Combined data'!BB193</f>
        <v>5</v>
      </c>
      <c r="BD193" s="17">
        <f>'Combined data'!BD193-'Combined data'!BC193</f>
        <v>5</v>
      </c>
      <c r="BE193" s="17">
        <f>'Combined data'!BE193-'Combined data'!BD193</f>
        <v>0</v>
      </c>
      <c r="BF193" s="17">
        <f>'Combined data'!BF193-'Combined data'!BE193</f>
        <v>0</v>
      </c>
      <c r="BG193" s="17">
        <f>'Combined data'!BG193-'Combined data'!BF193</f>
        <v>0</v>
      </c>
      <c r="BH193" s="17">
        <f>'Combined data'!BH193-'Combined data'!BG193</f>
        <v>0</v>
      </c>
      <c r="BI193" s="17">
        <f>'Combined data'!BI193-'Combined data'!BH193</f>
        <v>0</v>
      </c>
      <c r="BJ193" s="17">
        <f>'Combined data'!BJ193-'Combined data'!BI193</f>
        <v>-3</v>
      </c>
      <c r="BK193" s="17">
        <f>'Combined data'!BK193-'Combined data'!BJ193</f>
        <v>0</v>
      </c>
      <c r="BL193" s="17">
        <f>'Combined data'!BL193-'Combined data'!BK193</f>
        <v>0</v>
      </c>
      <c r="BM193" s="17">
        <f>'Combined data'!BM193-'Combined data'!BL193</f>
        <v>3</v>
      </c>
      <c r="BN193" s="17">
        <f>'Combined data'!BN193-'Combined data'!BM193</f>
        <v>-8</v>
      </c>
      <c r="BO193" s="17">
        <f>'Combined data'!BO193-'Combined data'!BN193</f>
        <v>-7</v>
      </c>
      <c r="BP193" s="17">
        <f>'Combined data'!BP193-'Combined data'!BO193</f>
        <v>0</v>
      </c>
      <c r="BQ193" s="17">
        <f>'Combined data'!BQ193-'Combined data'!BP193</f>
        <v>0</v>
      </c>
      <c r="BR193" s="17">
        <f>'Combined data'!BR193-'Combined data'!BQ193</f>
        <v>0</v>
      </c>
      <c r="BS193" s="17">
        <f>'Combined data'!BS193-'Combined data'!BR193</f>
        <v>0</v>
      </c>
      <c r="BT193" s="17">
        <f>'Combined data'!BT193-'Combined data'!BS193</f>
        <v>0</v>
      </c>
      <c r="BU193" s="17">
        <f>'Combined data'!BU193-'Combined data'!BT193</f>
        <v>0</v>
      </c>
      <c r="BV193" s="17">
        <f>'Combined data'!BV193-'Combined data'!BU193</f>
        <v>0</v>
      </c>
      <c r="BW193" s="17">
        <f>'Combined data'!BW193-'Combined data'!BV193</f>
        <v>0</v>
      </c>
      <c r="BX193" s="17">
        <f>'Combined data'!BX193-'Combined data'!BW193</f>
        <v>0</v>
      </c>
      <c r="BY193" s="17">
        <f>'Combined data'!BY193-'Combined data'!BX193</f>
        <v>0</v>
      </c>
      <c r="CB193" s="17">
        <f t="shared" si="131"/>
        <v>5</v>
      </c>
      <c r="CC193" s="17">
        <f t="shared" si="132"/>
        <v>0</v>
      </c>
      <c r="CD193" s="17">
        <f t="shared" si="133"/>
        <v>0</v>
      </c>
      <c r="CE193" s="17">
        <f t="shared" si="134"/>
        <v>-5</v>
      </c>
      <c r="CF193" s="17">
        <f t="shared" si="135"/>
        <v>5</v>
      </c>
      <c r="CG193" s="17">
        <f t="shared" si="136"/>
        <v>0</v>
      </c>
      <c r="CH193" s="17">
        <f t="shared" si="137"/>
        <v>5</v>
      </c>
      <c r="CI193" s="17">
        <f t="shared" si="138"/>
        <v>0</v>
      </c>
      <c r="CJ193" s="17">
        <f t="shared" si="139"/>
        <v>0</v>
      </c>
      <c r="CK193" s="17">
        <f t="shared" si="140"/>
        <v>0</v>
      </c>
      <c r="CL193" s="17">
        <f t="shared" si="141"/>
        <v>-5</v>
      </c>
      <c r="CM193" s="17">
        <f t="shared" si="142"/>
        <v>5</v>
      </c>
      <c r="CN193" s="17">
        <f t="shared" si="143"/>
        <v>5</v>
      </c>
      <c r="CO193" s="17">
        <f t="shared" si="144"/>
        <v>0</v>
      </c>
      <c r="CP193" s="17">
        <f t="shared" si="145"/>
        <v>0</v>
      </c>
      <c r="CQ193" s="17">
        <f t="shared" si="146"/>
        <v>0</v>
      </c>
      <c r="CR193" s="17">
        <f t="shared" si="147"/>
        <v>0</v>
      </c>
      <c r="CS193" s="17">
        <f t="shared" si="148"/>
        <v>0</v>
      </c>
      <c r="CT193" s="17">
        <f t="shared" si="149"/>
        <v>-3</v>
      </c>
      <c r="CU193" s="17">
        <f t="shared" si="150"/>
        <v>0</v>
      </c>
      <c r="CV193" s="17">
        <f t="shared" si="151"/>
        <v>0</v>
      </c>
      <c r="CW193" s="17">
        <f t="shared" si="152"/>
        <v>3</v>
      </c>
      <c r="CX193" s="17">
        <f t="shared" si="154"/>
        <v>-8</v>
      </c>
      <c r="CY193" s="17">
        <f t="shared" si="154"/>
        <v>-7</v>
      </c>
      <c r="CZ193" s="17">
        <f t="shared" si="154"/>
        <v>0</v>
      </c>
      <c r="DA193" s="17">
        <f t="shared" si="154"/>
        <v>0</v>
      </c>
      <c r="DB193" s="17">
        <f t="shared" si="154"/>
        <v>0</v>
      </c>
      <c r="DC193" s="17">
        <f t="shared" si="154"/>
        <v>0</v>
      </c>
      <c r="DD193" s="17">
        <f t="shared" si="154"/>
        <v>0</v>
      </c>
      <c r="DE193" s="17">
        <f t="shared" si="154"/>
        <v>0</v>
      </c>
      <c r="DF193" s="17">
        <f t="shared" si="154"/>
        <v>0</v>
      </c>
      <c r="DG193" s="17">
        <f t="shared" si="154"/>
        <v>0</v>
      </c>
      <c r="DH193" s="17">
        <f t="shared" si="154"/>
        <v>0</v>
      </c>
      <c r="DI193" s="17">
        <f t="shared" si="154"/>
        <v>0</v>
      </c>
    </row>
    <row r="194" spans="1:113" ht="15.75" x14ac:dyDescent="0.25">
      <c r="A194" s="4" t="s">
        <v>427</v>
      </c>
      <c r="B194" s="6" t="s">
        <v>428</v>
      </c>
      <c r="H194" s="90">
        <f>'Combined data'!H194</f>
        <v>39</v>
      </c>
      <c r="I194" s="90">
        <f>'Combined data'!I194-'Combined data'!H194</f>
        <v>2</v>
      </c>
      <c r="J194" s="90">
        <f>'Combined data'!J194-'Combined data'!I194</f>
        <v>3</v>
      </c>
      <c r="K194" s="90">
        <f>'Combined data'!K194-'Combined data'!J194</f>
        <v>8</v>
      </c>
      <c r="L194" s="90">
        <f>'Combined data'!L194-'Combined data'!K194</f>
        <v>3</v>
      </c>
      <c r="M194" s="90">
        <f>'Combined data'!M194-'Combined data'!L194</f>
        <v>3</v>
      </c>
      <c r="N194" s="90">
        <f>'Combined data'!N194-'Combined data'!M194</f>
        <v>6</v>
      </c>
      <c r="O194" s="90">
        <f>'Combined data'!O194-'Combined data'!N194</f>
        <v>3</v>
      </c>
      <c r="P194" s="90">
        <f>'Combined data'!P194-'Combined data'!O194</f>
        <v>6</v>
      </c>
      <c r="Q194" s="90">
        <f>'Combined data'!Q194-'Combined data'!P194</f>
        <v>0</v>
      </c>
      <c r="R194" s="90">
        <f>'Combined data'!R194-'Combined data'!Q194</f>
        <v>3</v>
      </c>
      <c r="S194" s="90">
        <f>'Combined data'!S194-'Combined data'!R194</f>
        <v>6</v>
      </c>
      <c r="T194" s="90">
        <f>'Combined data'!T194-'Combined data'!S194</f>
        <v>2</v>
      </c>
      <c r="U194" s="90">
        <f>'Combined data'!U194-'Combined data'!T194</f>
        <v>3</v>
      </c>
      <c r="V194" s="90">
        <f>'Combined data'!V194-'Combined data'!U194</f>
        <v>4</v>
      </c>
      <c r="W194" s="90">
        <f>'Combined data'!W194-'Combined data'!V194</f>
        <v>0</v>
      </c>
      <c r="X194" s="90">
        <f>'Combined data'!X194-'Combined data'!W194</f>
        <v>0</v>
      </c>
      <c r="Y194" s="90">
        <f>'Combined data'!Y194-'Combined data'!X194</f>
        <v>1</v>
      </c>
      <c r="Z194" s="90">
        <f>'Combined data'!Z194-'Combined data'!Y194</f>
        <v>0</v>
      </c>
      <c r="AA194" s="90">
        <f>'Combined data'!AA194-'Combined data'!Z194</f>
        <v>0</v>
      </c>
      <c r="AB194" s="90">
        <f>'Combined data'!AB194-'Combined data'!AA194</f>
        <v>0</v>
      </c>
      <c r="AC194" s="90">
        <f>'Combined data'!AC194-'Combined data'!AB194</f>
        <v>1</v>
      </c>
      <c r="AD194" s="90">
        <f>'Combined data'!AD194-'Combined data'!AC194</f>
        <v>1</v>
      </c>
      <c r="AE194" s="90">
        <f>'Combined data'!AE194-'Combined data'!AD194</f>
        <v>-94</v>
      </c>
      <c r="AF194" s="90">
        <f>'Combined data'!AF194-'Combined data'!AE194</f>
        <v>0</v>
      </c>
      <c r="AG194" s="90">
        <f>'Combined data'!AG194-'Combined data'!AF194</f>
        <v>0</v>
      </c>
      <c r="AH194" s="90">
        <f>'Combined data'!AH194-'Combined data'!AG194</f>
        <v>0</v>
      </c>
      <c r="AI194" s="90">
        <f>'Combined data'!AI194-'Combined data'!AH194</f>
        <v>0</v>
      </c>
      <c r="AJ194" s="90">
        <f>'Combined data'!AJ194-'Combined data'!AI194</f>
        <v>0</v>
      </c>
      <c r="AK194" s="90">
        <f>'Combined data'!AK194-'Combined data'!AJ194</f>
        <v>0</v>
      </c>
      <c r="AL194" s="90">
        <f>'Combined data'!AL194-'Combined data'!AK194</f>
        <v>0</v>
      </c>
      <c r="AM194" s="90">
        <f>'Combined data'!AM194-'Combined data'!AL194</f>
        <v>0</v>
      </c>
      <c r="AN194" s="90">
        <f>'Combined data'!AN194-'Combined data'!AM194</f>
        <v>0</v>
      </c>
      <c r="AO194" s="90">
        <f>'Combined data'!AO194-'Combined data'!AN194</f>
        <v>0</v>
      </c>
      <c r="AP194" s="56">
        <f t="shared" si="121"/>
        <v>0</v>
      </c>
      <c r="AQ194" s="113"/>
      <c r="AR194" s="17">
        <f>'Combined data'!AR194</f>
        <v>14</v>
      </c>
      <c r="AS194" s="17">
        <f>'Combined data'!AS194-'Combined data'!AR194</f>
        <v>0</v>
      </c>
      <c r="AT194" s="17">
        <f>'Combined data'!AT194-'Combined data'!AS194</f>
        <v>0</v>
      </c>
      <c r="AU194" s="17">
        <f>'Combined data'!AU194-'Combined data'!AT194</f>
        <v>10</v>
      </c>
      <c r="AV194" s="17">
        <f>'Combined data'!AV194-'Combined data'!AU194</f>
        <v>0</v>
      </c>
      <c r="AW194" s="17">
        <f>'Combined data'!AW194-'Combined data'!AV194</f>
        <v>6</v>
      </c>
      <c r="AX194" s="17">
        <f>'Combined data'!AX194-'Combined data'!AW194</f>
        <v>4</v>
      </c>
      <c r="AY194" s="17">
        <f>'Combined data'!AY194-'Combined data'!AX194</f>
        <v>2</v>
      </c>
      <c r="AZ194" s="17">
        <f>'Combined data'!AZ194-'Combined data'!AY194</f>
        <v>11</v>
      </c>
      <c r="BA194" s="17">
        <f>'Combined data'!BA194-'Combined data'!AZ194</f>
        <v>0</v>
      </c>
      <c r="BB194" s="17">
        <f>'Combined data'!BB194-'Combined data'!BA194</f>
        <v>1</v>
      </c>
      <c r="BC194" s="17">
        <f>'Combined data'!BC194-'Combined data'!BB194</f>
        <v>3</v>
      </c>
      <c r="BD194" s="17">
        <f>'Combined data'!BD194-'Combined data'!BC194</f>
        <v>10</v>
      </c>
      <c r="BE194" s="17">
        <f>'Combined data'!BE194-'Combined data'!BD194</f>
        <v>5</v>
      </c>
      <c r="BF194" s="17">
        <f>'Combined data'!BF194-'Combined data'!BE194</f>
        <v>0</v>
      </c>
      <c r="BG194" s="17">
        <f>'Combined data'!BG194-'Combined data'!BF194</f>
        <v>2</v>
      </c>
      <c r="BH194" s="17">
        <f>'Combined data'!BH194-'Combined data'!BG194</f>
        <v>2</v>
      </c>
      <c r="BI194" s="17">
        <f>'Combined data'!BI194-'Combined data'!BH194</f>
        <v>5</v>
      </c>
      <c r="BJ194" s="17">
        <f>'Combined data'!BJ194-'Combined data'!BI194</f>
        <v>0</v>
      </c>
      <c r="BK194" s="17">
        <f>'Combined data'!BK194-'Combined data'!BJ194</f>
        <v>2</v>
      </c>
      <c r="BL194" s="17">
        <f>'Combined data'!BL194-'Combined data'!BK194</f>
        <v>0</v>
      </c>
      <c r="BM194" s="17">
        <f>'Combined data'!BM194-'Combined data'!BL194</f>
        <v>1</v>
      </c>
      <c r="BN194" s="17">
        <f>'Combined data'!BN194-'Combined data'!BM194</f>
        <v>2</v>
      </c>
      <c r="BO194" s="17">
        <f>'Combined data'!BO194-'Combined data'!BN194</f>
        <v>-80</v>
      </c>
      <c r="BP194" s="17">
        <f>'Combined data'!BP194-'Combined data'!BO194</f>
        <v>0</v>
      </c>
      <c r="BQ194" s="17">
        <f>'Combined data'!BQ194-'Combined data'!BP194</f>
        <v>0</v>
      </c>
      <c r="BR194" s="17">
        <f>'Combined data'!BR194-'Combined data'!BQ194</f>
        <v>0</v>
      </c>
      <c r="BS194" s="17">
        <f>'Combined data'!BS194-'Combined data'!BR194</f>
        <v>0</v>
      </c>
      <c r="BT194" s="17">
        <f>'Combined data'!BT194-'Combined data'!BS194</f>
        <v>0</v>
      </c>
      <c r="BU194" s="17">
        <f>'Combined data'!BU194-'Combined data'!BT194</f>
        <v>0</v>
      </c>
      <c r="BV194" s="17">
        <f>'Combined data'!BV194-'Combined data'!BU194</f>
        <v>0</v>
      </c>
      <c r="BW194" s="17">
        <f>'Combined data'!BW194-'Combined data'!BV194</f>
        <v>0</v>
      </c>
      <c r="BX194" s="17">
        <f>'Combined data'!BX194-'Combined data'!BW194</f>
        <v>0</v>
      </c>
      <c r="BY194" s="17">
        <f>'Combined data'!BY194-'Combined data'!BX194</f>
        <v>0</v>
      </c>
      <c r="CB194" s="17">
        <f t="shared" si="131"/>
        <v>14</v>
      </c>
      <c r="CC194" s="17">
        <f t="shared" si="132"/>
        <v>0</v>
      </c>
      <c r="CD194" s="17">
        <f t="shared" si="133"/>
        <v>0</v>
      </c>
      <c r="CE194" s="17">
        <f t="shared" si="134"/>
        <v>10</v>
      </c>
      <c r="CF194" s="17">
        <f t="shared" si="135"/>
        <v>0</v>
      </c>
      <c r="CG194" s="17">
        <f t="shared" si="136"/>
        <v>6</v>
      </c>
      <c r="CH194" s="17">
        <f t="shared" si="137"/>
        <v>4</v>
      </c>
      <c r="CI194" s="17">
        <f t="shared" si="138"/>
        <v>2</v>
      </c>
      <c r="CJ194" s="17">
        <f t="shared" si="139"/>
        <v>11</v>
      </c>
      <c r="CK194" s="17">
        <f t="shared" si="140"/>
        <v>0</v>
      </c>
      <c r="CL194" s="17">
        <f t="shared" si="141"/>
        <v>1</v>
      </c>
      <c r="CM194" s="17">
        <f t="shared" si="142"/>
        <v>3</v>
      </c>
      <c r="CN194" s="17">
        <f t="shared" si="143"/>
        <v>10</v>
      </c>
      <c r="CO194" s="17">
        <f t="shared" si="144"/>
        <v>5</v>
      </c>
      <c r="CP194" s="17">
        <f t="shared" si="145"/>
        <v>0</v>
      </c>
      <c r="CQ194" s="17">
        <f t="shared" si="146"/>
        <v>2</v>
      </c>
      <c r="CR194" s="17">
        <f t="shared" si="147"/>
        <v>2</v>
      </c>
      <c r="CS194" s="17">
        <f t="shared" si="148"/>
        <v>5</v>
      </c>
      <c r="CT194" s="17">
        <f t="shared" si="149"/>
        <v>0</v>
      </c>
      <c r="CU194" s="17">
        <f t="shared" si="150"/>
        <v>2</v>
      </c>
      <c r="CV194" s="17">
        <f t="shared" si="151"/>
        <v>0</v>
      </c>
      <c r="CW194" s="17">
        <f t="shared" si="152"/>
        <v>1</v>
      </c>
      <c r="CX194" s="17">
        <f t="shared" si="154"/>
        <v>2</v>
      </c>
      <c r="CY194" s="17">
        <f t="shared" si="154"/>
        <v>-80</v>
      </c>
      <c r="CZ194" s="17">
        <f t="shared" si="154"/>
        <v>0</v>
      </c>
      <c r="DA194" s="17">
        <f t="shared" si="154"/>
        <v>0</v>
      </c>
      <c r="DB194" s="17">
        <f t="shared" si="154"/>
        <v>0</v>
      </c>
      <c r="DC194" s="17">
        <f t="shared" si="154"/>
        <v>0</v>
      </c>
      <c r="DD194" s="17">
        <f t="shared" si="154"/>
        <v>0</v>
      </c>
      <c r="DE194" s="17">
        <f t="shared" si="154"/>
        <v>0</v>
      </c>
      <c r="DF194" s="17">
        <f t="shared" si="154"/>
        <v>0</v>
      </c>
      <c r="DG194" s="17">
        <f t="shared" si="154"/>
        <v>0</v>
      </c>
      <c r="DH194" s="17">
        <f t="shared" si="154"/>
        <v>0</v>
      </c>
      <c r="DI194" s="17">
        <f t="shared" si="154"/>
        <v>0</v>
      </c>
    </row>
    <row r="195" spans="1:113" ht="15.75" x14ac:dyDescent="0.25">
      <c r="A195" s="4" t="s">
        <v>429</v>
      </c>
      <c r="B195" s="6" t="s">
        <v>430</v>
      </c>
      <c r="H195" s="90">
        <f>'Combined data'!H195</f>
        <v>74</v>
      </c>
      <c r="I195" s="90">
        <f>'Combined data'!I195-'Combined data'!H195</f>
        <v>2</v>
      </c>
      <c r="J195" s="90">
        <f>'Combined data'!J195-'Combined data'!I195</f>
        <v>1</v>
      </c>
      <c r="K195" s="90">
        <f>'Combined data'!K195-'Combined data'!J195</f>
        <v>2</v>
      </c>
      <c r="L195" s="90">
        <f>'Combined data'!L195-'Combined data'!K195</f>
        <v>6</v>
      </c>
      <c r="M195" s="90">
        <f>'Combined data'!M195-'Combined data'!L195</f>
        <v>1</v>
      </c>
      <c r="N195" s="90">
        <f>'Combined data'!N195-'Combined data'!M195</f>
        <v>9</v>
      </c>
      <c r="O195" s="90">
        <f>'Combined data'!O195-'Combined data'!N195</f>
        <v>1</v>
      </c>
      <c r="P195" s="90">
        <f>'Combined data'!P195-'Combined data'!O195</f>
        <v>3</v>
      </c>
      <c r="Q195" s="90">
        <f>'Combined data'!Q195-'Combined data'!P195</f>
        <v>1</v>
      </c>
      <c r="R195" s="90">
        <f>'Combined data'!R195-'Combined data'!Q195</f>
        <v>0</v>
      </c>
      <c r="S195" s="90">
        <f>'Combined data'!S195-'Combined data'!R195</f>
        <v>1</v>
      </c>
      <c r="T195" s="90">
        <f>'Combined data'!T195-'Combined data'!S195</f>
        <v>1</v>
      </c>
      <c r="U195" s="90">
        <f>'Combined data'!U195-'Combined data'!T195</f>
        <v>2</v>
      </c>
      <c r="V195" s="90">
        <f>'Combined data'!V195-'Combined data'!U195</f>
        <v>1</v>
      </c>
      <c r="W195" s="90">
        <f>'Combined data'!W195-'Combined data'!V195</f>
        <v>0</v>
      </c>
      <c r="X195" s="90">
        <f>'Combined data'!X195-'Combined data'!W195</f>
        <v>0</v>
      </c>
      <c r="Y195" s="90">
        <f>'Combined data'!Y195-'Combined data'!X195</f>
        <v>1</v>
      </c>
      <c r="Z195" s="90">
        <f>'Combined data'!Z195-'Combined data'!Y195</f>
        <v>5</v>
      </c>
      <c r="AA195" s="90">
        <f>'Combined data'!AA195-'Combined data'!Z195</f>
        <v>2</v>
      </c>
      <c r="AB195" s="90">
        <f>'Combined data'!AB195-'Combined data'!AA195</f>
        <v>0</v>
      </c>
      <c r="AC195" s="90">
        <f>'Combined data'!AC195-'Combined data'!AB195</f>
        <v>0</v>
      </c>
      <c r="AD195" s="90">
        <f>'Combined data'!AD195-'Combined data'!AC195</f>
        <v>2</v>
      </c>
      <c r="AE195" s="90">
        <f>'Combined data'!AE195-'Combined data'!AD195</f>
        <v>-115</v>
      </c>
      <c r="AF195" s="90">
        <f>'Combined data'!AF195-'Combined data'!AE195</f>
        <v>0</v>
      </c>
      <c r="AG195" s="90">
        <f>'Combined data'!AG195-'Combined data'!AF195</f>
        <v>0</v>
      </c>
      <c r="AH195" s="90">
        <f>'Combined data'!AH195-'Combined data'!AG195</f>
        <v>0</v>
      </c>
      <c r="AI195" s="90">
        <f>'Combined data'!AI195-'Combined data'!AH195</f>
        <v>0</v>
      </c>
      <c r="AJ195" s="90">
        <f>'Combined data'!AJ195-'Combined data'!AI195</f>
        <v>0</v>
      </c>
      <c r="AK195" s="90">
        <f>'Combined data'!AK195-'Combined data'!AJ195</f>
        <v>0</v>
      </c>
      <c r="AL195" s="90">
        <f>'Combined data'!AL195-'Combined data'!AK195</f>
        <v>0</v>
      </c>
      <c r="AM195" s="90">
        <f>'Combined data'!AM195-'Combined data'!AL195</f>
        <v>0</v>
      </c>
      <c r="AN195" s="90">
        <f>'Combined data'!AN195-'Combined data'!AM195</f>
        <v>0</v>
      </c>
      <c r="AO195" s="90">
        <f>'Combined data'!AO195-'Combined data'!AN195</f>
        <v>0</v>
      </c>
      <c r="AP195" s="56">
        <f t="shared" si="121"/>
        <v>0</v>
      </c>
      <c r="AQ195" s="113"/>
      <c r="AR195" s="17">
        <f>'Combined data'!AR195</f>
        <v>44</v>
      </c>
      <c r="AS195" s="17">
        <f>'Combined data'!AS195-'Combined data'!AR195</f>
        <v>9</v>
      </c>
      <c r="AT195" s="17">
        <f>'Combined data'!AT195-'Combined data'!AS195</f>
        <v>3</v>
      </c>
      <c r="AU195" s="17">
        <f>'Combined data'!AU195-'Combined data'!AT195</f>
        <v>10</v>
      </c>
      <c r="AV195" s="17">
        <f>'Combined data'!AV195-'Combined data'!AU195</f>
        <v>2</v>
      </c>
      <c r="AW195" s="17">
        <f>'Combined data'!AW195-'Combined data'!AV195</f>
        <v>1</v>
      </c>
      <c r="AX195" s="17">
        <f>'Combined data'!AX195-'Combined data'!AW195</f>
        <v>4</v>
      </c>
      <c r="AY195" s="17">
        <f>'Combined data'!AY195-'Combined data'!AX195</f>
        <v>1</v>
      </c>
      <c r="AZ195" s="17">
        <f>'Combined data'!AZ195-'Combined data'!AY195</f>
        <v>2</v>
      </c>
      <c r="BA195" s="17">
        <f>'Combined data'!BA195-'Combined data'!AZ195</f>
        <v>1</v>
      </c>
      <c r="BB195" s="17">
        <f>'Combined data'!BB195-'Combined data'!BA195</f>
        <v>2</v>
      </c>
      <c r="BC195" s="17">
        <f>'Combined data'!BC195-'Combined data'!BB195</f>
        <v>0</v>
      </c>
      <c r="BD195" s="17">
        <f>'Combined data'!BD195-'Combined data'!BC195</f>
        <v>0</v>
      </c>
      <c r="BE195" s="17">
        <f>'Combined data'!BE195-'Combined data'!BD195</f>
        <v>6</v>
      </c>
      <c r="BF195" s="17">
        <f>'Combined data'!BF195-'Combined data'!BE195</f>
        <v>0</v>
      </c>
      <c r="BG195" s="17">
        <f>'Combined data'!BG195-'Combined data'!BF195</f>
        <v>0</v>
      </c>
      <c r="BH195" s="17">
        <f>'Combined data'!BH195-'Combined data'!BG195</f>
        <v>3</v>
      </c>
      <c r="BI195" s="17">
        <f>'Combined data'!BI195-'Combined data'!BH195</f>
        <v>5</v>
      </c>
      <c r="BJ195" s="17">
        <f>'Combined data'!BJ195-'Combined data'!BI195</f>
        <v>0</v>
      </c>
      <c r="BK195" s="17">
        <f>'Combined data'!BK195-'Combined data'!BJ195</f>
        <v>0</v>
      </c>
      <c r="BL195" s="17">
        <f>'Combined data'!BL195-'Combined data'!BK195</f>
        <v>5</v>
      </c>
      <c r="BM195" s="17">
        <f>'Combined data'!BM195-'Combined data'!BL195</f>
        <v>0</v>
      </c>
      <c r="BN195" s="17">
        <f>'Combined data'!BN195-'Combined data'!BM195</f>
        <v>0</v>
      </c>
      <c r="BO195" s="17">
        <f>'Combined data'!BO195-'Combined data'!BN195</f>
        <v>-98</v>
      </c>
      <c r="BP195" s="17">
        <f>'Combined data'!BP195-'Combined data'!BO195</f>
        <v>0</v>
      </c>
      <c r="BQ195" s="17">
        <f>'Combined data'!BQ195-'Combined data'!BP195</f>
        <v>0</v>
      </c>
      <c r="BR195" s="17">
        <f>'Combined data'!BR195-'Combined data'!BQ195</f>
        <v>0</v>
      </c>
      <c r="BS195" s="17">
        <f>'Combined data'!BS195-'Combined data'!BR195</f>
        <v>0</v>
      </c>
      <c r="BT195" s="17">
        <f>'Combined data'!BT195-'Combined data'!BS195</f>
        <v>0</v>
      </c>
      <c r="BU195" s="17">
        <f>'Combined data'!BU195-'Combined data'!BT195</f>
        <v>0</v>
      </c>
      <c r="BV195" s="17">
        <f>'Combined data'!BV195-'Combined data'!BU195</f>
        <v>0</v>
      </c>
      <c r="BW195" s="17">
        <f>'Combined data'!BW195-'Combined data'!BV195</f>
        <v>0</v>
      </c>
      <c r="BX195" s="17">
        <f>'Combined data'!BX195-'Combined data'!BW195</f>
        <v>0</v>
      </c>
      <c r="BY195" s="17">
        <f>'Combined data'!BY195-'Combined data'!BX195</f>
        <v>0</v>
      </c>
      <c r="CB195" s="17">
        <f t="shared" si="131"/>
        <v>44</v>
      </c>
      <c r="CC195" s="17">
        <f t="shared" si="132"/>
        <v>9</v>
      </c>
      <c r="CD195" s="17">
        <f t="shared" si="133"/>
        <v>3</v>
      </c>
      <c r="CE195" s="17">
        <f t="shared" si="134"/>
        <v>10</v>
      </c>
      <c r="CF195" s="17">
        <f t="shared" si="135"/>
        <v>2</v>
      </c>
      <c r="CG195" s="17">
        <f t="shared" si="136"/>
        <v>1</v>
      </c>
      <c r="CH195" s="17">
        <f t="shared" si="137"/>
        <v>4</v>
      </c>
      <c r="CI195" s="17">
        <f t="shared" si="138"/>
        <v>1</v>
      </c>
      <c r="CJ195" s="17">
        <f t="shared" si="139"/>
        <v>2</v>
      </c>
      <c r="CK195" s="17">
        <f t="shared" si="140"/>
        <v>1</v>
      </c>
      <c r="CL195" s="17">
        <f t="shared" si="141"/>
        <v>2</v>
      </c>
      <c r="CM195" s="17">
        <f t="shared" si="142"/>
        <v>0</v>
      </c>
      <c r="CN195" s="17">
        <f t="shared" si="143"/>
        <v>0</v>
      </c>
      <c r="CO195" s="17">
        <f t="shared" si="144"/>
        <v>6</v>
      </c>
      <c r="CP195" s="17">
        <f t="shared" si="145"/>
        <v>0</v>
      </c>
      <c r="CQ195" s="17">
        <f t="shared" si="146"/>
        <v>0</v>
      </c>
      <c r="CR195" s="17">
        <f t="shared" si="147"/>
        <v>3</v>
      </c>
      <c r="CS195" s="17">
        <f t="shared" si="148"/>
        <v>5</v>
      </c>
      <c r="CT195" s="17">
        <f t="shared" si="149"/>
        <v>0</v>
      </c>
      <c r="CU195" s="17">
        <f t="shared" si="150"/>
        <v>0</v>
      </c>
      <c r="CV195" s="17">
        <f t="shared" si="151"/>
        <v>5</v>
      </c>
      <c r="CW195" s="17">
        <f t="shared" si="152"/>
        <v>0</v>
      </c>
      <c r="CX195" s="17">
        <f t="shared" si="154"/>
        <v>0</v>
      </c>
      <c r="CY195" s="17">
        <f t="shared" si="154"/>
        <v>-98</v>
      </c>
      <c r="CZ195" s="17">
        <f t="shared" si="154"/>
        <v>0</v>
      </c>
      <c r="DA195" s="17">
        <f t="shared" si="154"/>
        <v>0</v>
      </c>
      <c r="DB195" s="17">
        <f t="shared" si="154"/>
        <v>0</v>
      </c>
      <c r="DC195" s="17">
        <f t="shared" si="154"/>
        <v>0</v>
      </c>
      <c r="DD195" s="17">
        <f t="shared" si="154"/>
        <v>0</v>
      </c>
      <c r="DE195" s="17">
        <f t="shared" si="154"/>
        <v>0</v>
      </c>
      <c r="DF195" s="17">
        <f t="shared" si="154"/>
        <v>0</v>
      </c>
      <c r="DG195" s="17">
        <f t="shared" si="154"/>
        <v>0</v>
      </c>
      <c r="DH195" s="17">
        <f t="shared" si="154"/>
        <v>0</v>
      </c>
      <c r="DI195" s="17">
        <f t="shared" si="154"/>
        <v>0</v>
      </c>
    </row>
    <row r="196" spans="1:113" ht="15.75" x14ac:dyDescent="0.25">
      <c r="A196" s="4" t="s">
        <v>431</v>
      </c>
      <c r="B196" s="6" t="s">
        <v>432</v>
      </c>
      <c r="H196" s="90">
        <f>'Combined data'!H196</f>
        <v>5</v>
      </c>
      <c r="I196" s="90">
        <f>'Combined data'!I196-'Combined data'!H196</f>
        <v>0</v>
      </c>
      <c r="J196" s="90">
        <f>'Combined data'!J196-'Combined data'!I196</f>
        <v>0</v>
      </c>
      <c r="K196" s="90">
        <f>'Combined data'!K196-'Combined data'!J196</f>
        <v>0</v>
      </c>
      <c r="L196" s="90">
        <f>'Combined data'!L196-'Combined data'!K196</f>
        <v>0</v>
      </c>
      <c r="M196" s="90">
        <f>'Combined data'!M196-'Combined data'!L196</f>
        <v>0</v>
      </c>
      <c r="N196" s="90">
        <f>'Combined data'!N196-'Combined data'!M196</f>
        <v>5</v>
      </c>
      <c r="O196" s="90">
        <f>'Combined data'!O196-'Combined data'!N196</f>
        <v>0</v>
      </c>
      <c r="P196" s="90">
        <f>'Combined data'!P196-'Combined data'!O196</f>
        <v>0</v>
      </c>
      <c r="Q196" s="90">
        <f>'Combined data'!Q196-'Combined data'!P196</f>
        <v>0</v>
      </c>
      <c r="R196" s="90">
        <f>'Combined data'!R196-'Combined data'!Q196</f>
        <v>-4</v>
      </c>
      <c r="S196" s="90">
        <f>'Combined data'!S196-'Combined data'!R196</f>
        <v>4</v>
      </c>
      <c r="T196" s="90">
        <f>'Combined data'!T196-'Combined data'!S196</f>
        <v>5</v>
      </c>
      <c r="U196" s="90">
        <f>'Combined data'!U196-'Combined data'!T196</f>
        <v>0</v>
      </c>
      <c r="V196" s="90">
        <f>'Combined data'!V196-'Combined data'!U196</f>
        <v>0</v>
      </c>
      <c r="W196" s="90">
        <f>'Combined data'!W196-'Combined data'!V196</f>
        <v>0</v>
      </c>
      <c r="X196" s="90">
        <f>'Combined data'!X196-'Combined data'!W196</f>
        <v>0</v>
      </c>
      <c r="Y196" s="90">
        <f>'Combined data'!Y196-'Combined data'!X196</f>
        <v>0</v>
      </c>
      <c r="Z196" s="90">
        <f>'Combined data'!Z196-'Combined data'!Y196</f>
        <v>1</v>
      </c>
      <c r="AA196" s="90">
        <f>'Combined data'!AA196-'Combined data'!Z196</f>
        <v>1</v>
      </c>
      <c r="AB196" s="90">
        <f>'Combined data'!AB196-'Combined data'!AA196</f>
        <v>0</v>
      </c>
      <c r="AC196" s="90">
        <f>'Combined data'!AC196-'Combined data'!AB196</f>
        <v>0</v>
      </c>
      <c r="AD196" s="90">
        <f>'Combined data'!AD196-'Combined data'!AC196</f>
        <v>0</v>
      </c>
      <c r="AE196" s="90">
        <f>'Combined data'!AE196-'Combined data'!AD196</f>
        <v>-17</v>
      </c>
      <c r="AF196" s="90">
        <f>'Combined data'!AF196-'Combined data'!AE196</f>
        <v>0</v>
      </c>
      <c r="AG196" s="90">
        <f>'Combined data'!AG196-'Combined data'!AF196</f>
        <v>0</v>
      </c>
      <c r="AH196" s="90">
        <f>'Combined data'!AH196-'Combined data'!AG196</f>
        <v>0</v>
      </c>
      <c r="AI196" s="90">
        <f>'Combined data'!AI196-'Combined data'!AH196</f>
        <v>0</v>
      </c>
      <c r="AJ196" s="90">
        <f>'Combined data'!AJ196-'Combined data'!AI196</f>
        <v>0</v>
      </c>
      <c r="AK196" s="90">
        <f>'Combined data'!AK196-'Combined data'!AJ196</f>
        <v>0</v>
      </c>
      <c r="AL196" s="90">
        <f>'Combined data'!AL196-'Combined data'!AK196</f>
        <v>0</v>
      </c>
      <c r="AM196" s="90">
        <f>'Combined data'!AM196-'Combined data'!AL196</f>
        <v>0</v>
      </c>
      <c r="AN196" s="90">
        <f>'Combined data'!AN196-'Combined data'!AM196</f>
        <v>0</v>
      </c>
      <c r="AO196" s="90">
        <f>'Combined data'!AO196-'Combined data'!AN196</f>
        <v>0</v>
      </c>
      <c r="AP196" s="56">
        <f t="shared" si="121"/>
        <v>0</v>
      </c>
      <c r="AQ196" s="113"/>
      <c r="AR196" s="17">
        <f>'Combined data'!AR196</f>
        <v>5</v>
      </c>
      <c r="AS196" s="17">
        <f>'Combined data'!AS196-'Combined data'!AR196</f>
        <v>0</v>
      </c>
      <c r="AT196" s="17">
        <f>'Combined data'!AT196-'Combined data'!AS196</f>
        <v>0</v>
      </c>
      <c r="AU196" s="17">
        <f>'Combined data'!AU196-'Combined data'!AT196</f>
        <v>0</v>
      </c>
      <c r="AV196" s="17">
        <f>'Combined data'!AV196-'Combined data'!AU196</f>
        <v>0</v>
      </c>
      <c r="AW196" s="17">
        <f>'Combined data'!AW196-'Combined data'!AV196</f>
        <v>0</v>
      </c>
      <c r="AX196" s="17">
        <f>'Combined data'!AX196-'Combined data'!AW196</f>
        <v>5</v>
      </c>
      <c r="AY196" s="17">
        <f>'Combined data'!AY196-'Combined data'!AX196</f>
        <v>0</v>
      </c>
      <c r="AZ196" s="17">
        <f>'Combined data'!AZ196-'Combined data'!AY196</f>
        <v>0</v>
      </c>
      <c r="BA196" s="17">
        <f>'Combined data'!BA196-'Combined data'!AZ196</f>
        <v>0</v>
      </c>
      <c r="BB196" s="17">
        <f>'Combined data'!BB196-'Combined data'!BA196</f>
        <v>-4</v>
      </c>
      <c r="BC196" s="17">
        <f>'Combined data'!BC196-'Combined data'!BB196</f>
        <v>4</v>
      </c>
      <c r="BD196" s="17">
        <f>'Combined data'!BD196-'Combined data'!BC196</f>
        <v>5</v>
      </c>
      <c r="BE196" s="17">
        <f>'Combined data'!BE196-'Combined data'!BD196</f>
        <v>0</v>
      </c>
      <c r="BF196" s="17">
        <f>'Combined data'!BF196-'Combined data'!BE196</f>
        <v>0</v>
      </c>
      <c r="BG196" s="17">
        <f>'Combined data'!BG196-'Combined data'!BF196</f>
        <v>0</v>
      </c>
      <c r="BH196" s="17">
        <f>'Combined data'!BH196-'Combined data'!BG196</f>
        <v>0</v>
      </c>
      <c r="BI196" s="17">
        <f>'Combined data'!BI196-'Combined data'!BH196</f>
        <v>0</v>
      </c>
      <c r="BJ196" s="17">
        <f>'Combined data'!BJ196-'Combined data'!BI196</f>
        <v>-3</v>
      </c>
      <c r="BK196" s="17">
        <f>'Combined data'!BK196-'Combined data'!BJ196</f>
        <v>0</v>
      </c>
      <c r="BL196" s="17">
        <f>'Combined data'!BL196-'Combined data'!BK196</f>
        <v>1</v>
      </c>
      <c r="BM196" s="17">
        <f>'Combined data'!BM196-'Combined data'!BL196</f>
        <v>2</v>
      </c>
      <c r="BN196" s="17">
        <f>'Combined data'!BN196-'Combined data'!BM196</f>
        <v>0</v>
      </c>
      <c r="BO196" s="17">
        <f>'Combined data'!BO196-'Combined data'!BN196</f>
        <v>-15</v>
      </c>
      <c r="BP196" s="17">
        <f>'Combined data'!BP196-'Combined data'!BO196</f>
        <v>0</v>
      </c>
      <c r="BQ196" s="17">
        <f>'Combined data'!BQ196-'Combined data'!BP196</f>
        <v>0</v>
      </c>
      <c r="BR196" s="17">
        <f>'Combined data'!BR196-'Combined data'!BQ196</f>
        <v>0</v>
      </c>
      <c r="BS196" s="17">
        <f>'Combined data'!BS196-'Combined data'!BR196</f>
        <v>0</v>
      </c>
      <c r="BT196" s="17">
        <f>'Combined data'!BT196-'Combined data'!BS196</f>
        <v>0</v>
      </c>
      <c r="BU196" s="17">
        <f>'Combined data'!BU196-'Combined data'!BT196</f>
        <v>0</v>
      </c>
      <c r="BV196" s="17">
        <f>'Combined data'!BV196-'Combined data'!BU196</f>
        <v>0</v>
      </c>
      <c r="BW196" s="17">
        <f>'Combined data'!BW196-'Combined data'!BV196</f>
        <v>0</v>
      </c>
      <c r="BX196" s="17">
        <f>'Combined data'!BX196-'Combined data'!BW196</f>
        <v>0</v>
      </c>
      <c r="BY196" s="17">
        <f>'Combined data'!BY196-'Combined data'!BX196</f>
        <v>0</v>
      </c>
      <c r="CB196" s="17">
        <f t="shared" si="131"/>
        <v>5</v>
      </c>
      <c r="CC196" s="17">
        <f t="shared" si="132"/>
        <v>0</v>
      </c>
      <c r="CD196" s="17">
        <f t="shared" si="133"/>
        <v>0</v>
      </c>
      <c r="CE196" s="17">
        <f t="shared" si="134"/>
        <v>0</v>
      </c>
      <c r="CF196" s="17">
        <f t="shared" si="135"/>
        <v>0</v>
      </c>
      <c r="CG196" s="17">
        <f t="shared" si="136"/>
        <v>0</v>
      </c>
      <c r="CH196" s="17">
        <f t="shared" si="137"/>
        <v>5</v>
      </c>
      <c r="CI196" s="17">
        <f t="shared" si="138"/>
        <v>0</v>
      </c>
      <c r="CJ196" s="17">
        <f t="shared" si="139"/>
        <v>0</v>
      </c>
      <c r="CK196" s="17">
        <f t="shared" si="140"/>
        <v>0</v>
      </c>
      <c r="CL196" s="17">
        <f t="shared" si="141"/>
        <v>-4</v>
      </c>
      <c r="CM196" s="17">
        <f t="shared" si="142"/>
        <v>4</v>
      </c>
      <c r="CN196" s="17">
        <f t="shared" si="143"/>
        <v>5</v>
      </c>
      <c r="CO196" s="17">
        <f t="shared" si="144"/>
        <v>0</v>
      </c>
      <c r="CP196" s="17">
        <f t="shared" si="145"/>
        <v>0</v>
      </c>
      <c r="CQ196" s="17">
        <f t="shared" si="146"/>
        <v>0</v>
      </c>
      <c r="CR196" s="17">
        <f t="shared" si="147"/>
        <v>0</v>
      </c>
      <c r="CS196" s="17">
        <f t="shared" si="148"/>
        <v>0</v>
      </c>
      <c r="CT196" s="17">
        <f t="shared" si="149"/>
        <v>-3</v>
      </c>
      <c r="CU196" s="17">
        <f t="shared" si="150"/>
        <v>0</v>
      </c>
      <c r="CV196" s="17">
        <f t="shared" si="151"/>
        <v>1</v>
      </c>
      <c r="CW196" s="17">
        <f t="shared" si="152"/>
        <v>2</v>
      </c>
      <c r="CX196" s="17">
        <f t="shared" si="154"/>
        <v>0</v>
      </c>
      <c r="CY196" s="17">
        <f t="shared" si="154"/>
        <v>-15</v>
      </c>
      <c r="CZ196" s="17">
        <f t="shared" si="154"/>
        <v>0</v>
      </c>
      <c r="DA196" s="17">
        <f t="shared" si="154"/>
        <v>0</v>
      </c>
      <c r="DB196" s="17">
        <f t="shared" si="154"/>
        <v>0</v>
      </c>
      <c r="DC196" s="17">
        <f t="shared" si="154"/>
        <v>0</v>
      </c>
      <c r="DD196" s="17">
        <f t="shared" si="154"/>
        <v>0</v>
      </c>
      <c r="DE196" s="17">
        <f t="shared" si="154"/>
        <v>0</v>
      </c>
      <c r="DF196" s="17">
        <f t="shared" si="154"/>
        <v>0</v>
      </c>
      <c r="DG196" s="17">
        <f t="shared" si="154"/>
        <v>0</v>
      </c>
      <c r="DH196" s="17">
        <f t="shared" si="154"/>
        <v>0</v>
      </c>
      <c r="DI196" s="17">
        <f t="shared" si="154"/>
        <v>0</v>
      </c>
    </row>
    <row r="197" spans="1:113" ht="15.75" x14ac:dyDescent="0.25">
      <c r="A197" s="4" t="s">
        <v>433</v>
      </c>
      <c r="B197" s="6" t="s">
        <v>434</v>
      </c>
      <c r="H197" s="90">
        <f>'Combined data'!H197</f>
        <v>187</v>
      </c>
      <c r="I197" s="90">
        <f>'Combined data'!I197-'Combined data'!H197</f>
        <v>20</v>
      </c>
      <c r="J197" s="90">
        <f>'Combined data'!J197-'Combined data'!I197</f>
        <v>12</v>
      </c>
      <c r="K197" s="90">
        <f>'Combined data'!K197-'Combined data'!J197</f>
        <v>19</v>
      </c>
      <c r="L197" s="90">
        <f>'Combined data'!L197-'Combined data'!K197</f>
        <v>8</v>
      </c>
      <c r="M197" s="90">
        <f>'Combined data'!M197-'Combined data'!L197</f>
        <v>12</v>
      </c>
      <c r="N197" s="90">
        <f>'Combined data'!N197-'Combined data'!M197</f>
        <v>21</v>
      </c>
      <c r="O197" s="90">
        <f>'Combined data'!O197-'Combined data'!N197</f>
        <v>8</v>
      </c>
      <c r="P197" s="90">
        <f>'Combined data'!P197-'Combined data'!O197</f>
        <v>10</v>
      </c>
      <c r="Q197" s="90">
        <f>'Combined data'!Q197-'Combined data'!P197</f>
        <v>3</v>
      </c>
      <c r="R197" s="90">
        <f>'Combined data'!R197-'Combined data'!Q197</f>
        <v>3</v>
      </c>
      <c r="S197" s="90">
        <f>'Combined data'!S197-'Combined data'!R197</f>
        <v>8</v>
      </c>
      <c r="T197" s="90">
        <f>'Combined data'!T197-'Combined data'!S197</f>
        <v>7</v>
      </c>
      <c r="U197" s="90">
        <f>'Combined data'!U197-'Combined data'!T197</f>
        <v>10</v>
      </c>
      <c r="V197" s="90">
        <f>'Combined data'!V197-'Combined data'!U197</f>
        <v>5</v>
      </c>
      <c r="W197" s="90">
        <f>'Combined data'!W197-'Combined data'!V197</f>
        <v>9</v>
      </c>
      <c r="X197" s="90">
        <f>'Combined data'!X197-'Combined data'!W197</f>
        <v>5</v>
      </c>
      <c r="Y197" s="90">
        <f>'Combined data'!Y197-'Combined data'!X197</f>
        <v>5</v>
      </c>
      <c r="Z197" s="90">
        <f>'Combined data'!Z197-'Combined data'!Y197</f>
        <v>11</v>
      </c>
      <c r="AA197" s="90">
        <f>'Combined data'!AA197-'Combined data'!Z197</f>
        <v>4</v>
      </c>
      <c r="AB197" s="90">
        <f>'Combined data'!AB197-'Combined data'!AA197</f>
        <v>1</v>
      </c>
      <c r="AC197" s="90">
        <f>'Combined data'!AC197-'Combined data'!AB197</f>
        <v>1</v>
      </c>
      <c r="AD197" s="90">
        <f>'Combined data'!AD197-'Combined data'!AC197</f>
        <v>6</v>
      </c>
      <c r="AE197" s="90">
        <f>'Combined data'!AE197-'Combined data'!AD197</f>
        <v>-375</v>
      </c>
      <c r="AF197" s="90">
        <f>'Combined data'!AF197-'Combined data'!AE197</f>
        <v>0</v>
      </c>
      <c r="AG197" s="90">
        <f>'Combined data'!AG197-'Combined data'!AF197</f>
        <v>0</v>
      </c>
      <c r="AH197" s="90">
        <f>'Combined data'!AH197-'Combined data'!AG197</f>
        <v>0</v>
      </c>
      <c r="AI197" s="90">
        <f>'Combined data'!AI197-'Combined data'!AH197</f>
        <v>0</v>
      </c>
      <c r="AJ197" s="90">
        <f>'Combined data'!AJ197-'Combined data'!AI197</f>
        <v>0</v>
      </c>
      <c r="AK197" s="90">
        <f>'Combined data'!AK197-'Combined data'!AJ197</f>
        <v>0</v>
      </c>
      <c r="AL197" s="90">
        <f>'Combined data'!AL197-'Combined data'!AK197</f>
        <v>0</v>
      </c>
      <c r="AM197" s="90">
        <f>'Combined data'!AM197-'Combined data'!AL197</f>
        <v>0</v>
      </c>
      <c r="AN197" s="90">
        <f>'Combined data'!AN197-'Combined data'!AM197</f>
        <v>0</v>
      </c>
      <c r="AO197" s="90">
        <f>'Combined data'!AO197-'Combined data'!AN197</f>
        <v>0</v>
      </c>
      <c r="AP197" s="56">
        <f t="shared" si="121"/>
        <v>0</v>
      </c>
      <c r="AQ197" s="113"/>
      <c r="AR197" s="17">
        <f>'Combined data'!AR197</f>
        <v>66</v>
      </c>
      <c r="AS197" s="17">
        <f>'Combined data'!AS197-'Combined data'!AR197</f>
        <v>18</v>
      </c>
      <c r="AT197" s="17">
        <f>'Combined data'!AT197-'Combined data'!AS197</f>
        <v>16</v>
      </c>
      <c r="AU197" s="17">
        <f>'Combined data'!AU197-'Combined data'!AT197</f>
        <v>9</v>
      </c>
      <c r="AV197" s="17">
        <f>'Combined data'!AV197-'Combined data'!AU197</f>
        <v>25</v>
      </c>
      <c r="AW197" s="17">
        <f>'Combined data'!AW197-'Combined data'!AV197</f>
        <v>7</v>
      </c>
      <c r="AX197" s="17">
        <f>'Combined data'!AX197-'Combined data'!AW197</f>
        <v>28</v>
      </c>
      <c r="AY197" s="17">
        <f>'Combined data'!AY197-'Combined data'!AX197</f>
        <v>19</v>
      </c>
      <c r="AZ197" s="17">
        <f>'Combined data'!AZ197-'Combined data'!AY197</f>
        <v>15</v>
      </c>
      <c r="BA197" s="17">
        <f>'Combined data'!BA197-'Combined data'!AZ197</f>
        <v>15</v>
      </c>
      <c r="BB197" s="17">
        <f>'Combined data'!BB197-'Combined data'!BA197</f>
        <v>9</v>
      </c>
      <c r="BC197" s="17">
        <f>'Combined data'!BC197-'Combined data'!BB197</f>
        <v>6</v>
      </c>
      <c r="BD197" s="17">
        <f>'Combined data'!BD197-'Combined data'!BC197</f>
        <v>7</v>
      </c>
      <c r="BE197" s="17">
        <f>'Combined data'!BE197-'Combined data'!BD197</f>
        <v>4</v>
      </c>
      <c r="BF197" s="17">
        <f>'Combined data'!BF197-'Combined data'!BE197</f>
        <v>3</v>
      </c>
      <c r="BG197" s="17">
        <f>'Combined data'!BG197-'Combined data'!BF197</f>
        <v>2</v>
      </c>
      <c r="BH197" s="17">
        <f>'Combined data'!BH197-'Combined data'!BG197</f>
        <v>10</v>
      </c>
      <c r="BI197" s="17">
        <f>'Combined data'!BI197-'Combined data'!BH197</f>
        <v>8</v>
      </c>
      <c r="BJ197" s="17">
        <f>'Combined data'!BJ197-'Combined data'!BI197</f>
        <v>3</v>
      </c>
      <c r="BK197" s="17">
        <f>'Combined data'!BK197-'Combined data'!BJ197</f>
        <v>5</v>
      </c>
      <c r="BL197" s="17">
        <f>'Combined data'!BL197-'Combined data'!BK197</f>
        <v>11</v>
      </c>
      <c r="BM197" s="17">
        <f>'Combined data'!BM197-'Combined data'!BL197</f>
        <v>3</v>
      </c>
      <c r="BN197" s="17">
        <f>'Combined data'!BN197-'Combined data'!BM197</f>
        <v>6</v>
      </c>
      <c r="BO197" s="17">
        <f>'Combined data'!BO197-'Combined data'!BN197</f>
        <v>-295</v>
      </c>
      <c r="BP197" s="17">
        <f>'Combined data'!BP197-'Combined data'!BO197</f>
        <v>0</v>
      </c>
      <c r="BQ197" s="17">
        <f>'Combined data'!BQ197-'Combined data'!BP197</f>
        <v>0</v>
      </c>
      <c r="BR197" s="17">
        <f>'Combined data'!BR197-'Combined data'!BQ197</f>
        <v>0</v>
      </c>
      <c r="BS197" s="17">
        <f>'Combined data'!BS197-'Combined data'!BR197</f>
        <v>0</v>
      </c>
      <c r="BT197" s="17">
        <f>'Combined data'!BT197-'Combined data'!BS197</f>
        <v>0</v>
      </c>
      <c r="BU197" s="17">
        <f>'Combined data'!BU197-'Combined data'!BT197</f>
        <v>0</v>
      </c>
      <c r="BV197" s="17">
        <f>'Combined data'!BV197-'Combined data'!BU197</f>
        <v>0</v>
      </c>
      <c r="BW197" s="17">
        <f>'Combined data'!BW197-'Combined data'!BV197</f>
        <v>0</v>
      </c>
      <c r="BX197" s="17">
        <f>'Combined data'!BX197-'Combined data'!BW197</f>
        <v>0</v>
      </c>
      <c r="BY197" s="17">
        <f>'Combined data'!BY197-'Combined data'!BX197</f>
        <v>0</v>
      </c>
      <c r="CB197" s="17">
        <f t="shared" si="131"/>
        <v>66</v>
      </c>
      <c r="CC197" s="17">
        <f t="shared" si="132"/>
        <v>18</v>
      </c>
      <c r="CD197" s="17">
        <f t="shared" si="133"/>
        <v>16</v>
      </c>
      <c r="CE197" s="17">
        <f t="shared" si="134"/>
        <v>9</v>
      </c>
      <c r="CF197" s="17">
        <f t="shared" si="135"/>
        <v>25</v>
      </c>
      <c r="CG197" s="17">
        <f t="shared" si="136"/>
        <v>7</v>
      </c>
      <c r="CH197" s="17">
        <f t="shared" si="137"/>
        <v>28</v>
      </c>
      <c r="CI197" s="17">
        <f t="shared" si="138"/>
        <v>19</v>
      </c>
      <c r="CJ197" s="17">
        <f t="shared" si="139"/>
        <v>15</v>
      </c>
      <c r="CK197" s="17">
        <f t="shared" si="140"/>
        <v>15</v>
      </c>
      <c r="CL197" s="17">
        <f t="shared" si="141"/>
        <v>9</v>
      </c>
      <c r="CM197" s="17">
        <f t="shared" si="142"/>
        <v>6</v>
      </c>
      <c r="CN197" s="17">
        <f t="shared" si="143"/>
        <v>7</v>
      </c>
      <c r="CO197" s="17">
        <f t="shared" si="144"/>
        <v>4</v>
      </c>
      <c r="CP197" s="17">
        <f t="shared" si="145"/>
        <v>3</v>
      </c>
      <c r="CQ197" s="17">
        <f t="shared" si="146"/>
        <v>2</v>
      </c>
      <c r="CR197" s="17">
        <f t="shared" si="147"/>
        <v>10</v>
      </c>
      <c r="CS197" s="17">
        <f t="shared" si="148"/>
        <v>8</v>
      </c>
      <c r="CT197" s="17">
        <f t="shared" si="149"/>
        <v>3</v>
      </c>
      <c r="CU197" s="17">
        <f t="shared" si="150"/>
        <v>5</v>
      </c>
      <c r="CV197" s="17">
        <f t="shared" si="151"/>
        <v>11</v>
      </c>
      <c r="CW197" s="17">
        <f t="shared" si="152"/>
        <v>3</v>
      </c>
      <c r="CX197" s="17">
        <f t="shared" si="154"/>
        <v>6</v>
      </c>
      <c r="CY197" s="17">
        <f t="shared" si="154"/>
        <v>-295</v>
      </c>
      <c r="CZ197" s="17">
        <f t="shared" si="154"/>
        <v>0</v>
      </c>
      <c r="DA197" s="17">
        <f t="shared" si="154"/>
        <v>0</v>
      </c>
      <c r="DB197" s="17">
        <f t="shared" si="154"/>
        <v>0</v>
      </c>
      <c r="DC197" s="17">
        <f t="shared" si="154"/>
        <v>0</v>
      </c>
      <c r="DD197" s="17">
        <f t="shared" si="154"/>
        <v>0</v>
      </c>
      <c r="DE197" s="17">
        <f t="shared" si="154"/>
        <v>0</v>
      </c>
      <c r="DF197" s="17">
        <f t="shared" si="154"/>
        <v>0</v>
      </c>
      <c r="DG197" s="17">
        <f t="shared" si="154"/>
        <v>0</v>
      </c>
      <c r="DH197" s="17">
        <f t="shared" si="154"/>
        <v>0</v>
      </c>
      <c r="DI197" s="17">
        <f t="shared" si="154"/>
        <v>0</v>
      </c>
    </row>
    <row r="198" spans="1:113" ht="15.75" x14ac:dyDescent="0.25">
      <c r="A198" s="4" t="s">
        <v>435</v>
      </c>
      <c r="B198" s="6" t="s">
        <v>436</v>
      </c>
      <c r="H198" s="90">
        <f>'Combined data'!H198</f>
        <v>48</v>
      </c>
      <c r="I198" s="90">
        <f>'Combined data'!I198-'Combined data'!H198</f>
        <v>0</v>
      </c>
      <c r="J198" s="90">
        <f>'Combined data'!J198-'Combined data'!I198</f>
        <v>3</v>
      </c>
      <c r="K198" s="90">
        <f>'Combined data'!K198-'Combined data'!J198</f>
        <v>4</v>
      </c>
      <c r="L198" s="90">
        <f>'Combined data'!L198-'Combined data'!K198</f>
        <v>4</v>
      </c>
      <c r="M198" s="90">
        <f>'Combined data'!M198-'Combined data'!L198</f>
        <v>2</v>
      </c>
      <c r="N198" s="90">
        <f>'Combined data'!N198-'Combined data'!M198</f>
        <v>2</v>
      </c>
      <c r="O198" s="90">
        <f>'Combined data'!O198-'Combined data'!N198</f>
        <v>4</v>
      </c>
      <c r="P198" s="90">
        <f>'Combined data'!P198-'Combined data'!O198</f>
        <v>1</v>
      </c>
      <c r="Q198" s="90">
        <f>'Combined data'!Q198-'Combined data'!P198</f>
        <v>1</v>
      </c>
      <c r="R198" s="90">
        <f>'Combined data'!R198-'Combined data'!Q198</f>
        <v>2</v>
      </c>
      <c r="S198" s="90">
        <f>'Combined data'!S198-'Combined data'!R198</f>
        <v>1</v>
      </c>
      <c r="T198" s="90">
        <f>'Combined data'!T198-'Combined data'!S198</f>
        <v>3</v>
      </c>
      <c r="U198" s="90">
        <f>'Combined data'!U198-'Combined data'!T198</f>
        <v>4</v>
      </c>
      <c r="V198" s="90">
        <f>'Combined data'!V198-'Combined data'!U198</f>
        <v>2</v>
      </c>
      <c r="W198" s="90">
        <f>'Combined data'!W198-'Combined data'!V198</f>
        <v>4</v>
      </c>
      <c r="X198" s="90">
        <f>'Combined data'!X198-'Combined data'!W198</f>
        <v>0</v>
      </c>
      <c r="Y198" s="90">
        <f>'Combined data'!Y198-'Combined data'!X198</f>
        <v>4</v>
      </c>
      <c r="Z198" s="90">
        <f>'Combined data'!Z198-'Combined data'!Y198</f>
        <v>7</v>
      </c>
      <c r="AA198" s="90">
        <f>'Combined data'!AA198-'Combined data'!Z198</f>
        <v>1</v>
      </c>
      <c r="AB198" s="90">
        <f>'Combined data'!AB198-'Combined data'!AA198</f>
        <v>0</v>
      </c>
      <c r="AC198" s="90">
        <f>'Combined data'!AC198-'Combined data'!AB198</f>
        <v>-2</v>
      </c>
      <c r="AD198" s="90">
        <f>'Combined data'!AD198-'Combined data'!AC198</f>
        <v>3</v>
      </c>
      <c r="AE198" s="90">
        <f>'Combined data'!AE198-'Combined data'!AD198</f>
        <v>-98</v>
      </c>
      <c r="AF198" s="90">
        <f>'Combined data'!AF198-'Combined data'!AE198</f>
        <v>0</v>
      </c>
      <c r="AG198" s="90">
        <f>'Combined data'!AG198-'Combined data'!AF198</f>
        <v>0</v>
      </c>
      <c r="AH198" s="90">
        <f>'Combined data'!AH198-'Combined data'!AG198</f>
        <v>0</v>
      </c>
      <c r="AI198" s="90">
        <f>'Combined data'!AI198-'Combined data'!AH198</f>
        <v>0</v>
      </c>
      <c r="AJ198" s="90">
        <f>'Combined data'!AJ198-'Combined data'!AI198</f>
        <v>0</v>
      </c>
      <c r="AK198" s="90">
        <f>'Combined data'!AK198-'Combined data'!AJ198</f>
        <v>0</v>
      </c>
      <c r="AL198" s="90">
        <f>'Combined data'!AL198-'Combined data'!AK198</f>
        <v>0</v>
      </c>
      <c r="AM198" s="90">
        <f>'Combined data'!AM198-'Combined data'!AL198</f>
        <v>0</v>
      </c>
      <c r="AN198" s="90">
        <f>'Combined data'!AN198-'Combined data'!AM198</f>
        <v>0</v>
      </c>
      <c r="AO198" s="90">
        <f>'Combined data'!AO198-'Combined data'!AN198</f>
        <v>0</v>
      </c>
      <c r="AP198" s="56">
        <f t="shared" si="121"/>
        <v>0</v>
      </c>
      <c r="AQ198" s="113"/>
      <c r="AR198" s="17">
        <f>'Combined data'!AR198</f>
        <v>23</v>
      </c>
      <c r="AS198" s="17">
        <f>'Combined data'!AS198-'Combined data'!AR198</f>
        <v>1</v>
      </c>
      <c r="AT198" s="17">
        <f>'Combined data'!AT198-'Combined data'!AS198</f>
        <v>2</v>
      </c>
      <c r="AU198" s="17">
        <f>'Combined data'!AU198-'Combined data'!AT198</f>
        <v>2</v>
      </c>
      <c r="AV198" s="17">
        <f>'Combined data'!AV198-'Combined data'!AU198</f>
        <v>0</v>
      </c>
      <c r="AW198" s="17">
        <f>'Combined data'!AW198-'Combined data'!AV198</f>
        <v>2</v>
      </c>
      <c r="AX198" s="17">
        <f>'Combined data'!AX198-'Combined data'!AW198</f>
        <v>5</v>
      </c>
      <c r="AY198" s="17">
        <f>'Combined data'!AY198-'Combined data'!AX198</f>
        <v>0</v>
      </c>
      <c r="AZ198" s="17">
        <f>'Combined data'!AZ198-'Combined data'!AY198</f>
        <v>2</v>
      </c>
      <c r="BA198" s="17">
        <f>'Combined data'!BA198-'Combined data'!AZ198</f>
        <v>5</v>
      </c>
      <c r="BB198" s="17">
        <f>'Combined data'!BB198-'Combined data'!BA198</f>
        <v>3</v>
      </c>
      <c r="BC198" s="17">
        <f>'Combined data'!BC198-'Combined data'!BB198</f>
        <v>0</v>
      </c>
      <c r="BD198" s="17">
        <f>'Combined data'!BD198-'Combined data'!BC198</f>
        <v>0</v>
      </c>
      <c r="BE198" s="17">
        <f>'Combined data'!BE198-'Combined data'!BD198</f>
        <v>2</v>
      </c>
      <c r="BF198" s="17">
        <f>'Combined data'!BF198-'Combined data'!BE198</f>
        <v>0</v>
      </c>
      <c r="BG198" s="17">
        <f>'Combined data'!BG198-'Combined data'!BF198</f>
        <v>0</v>
      </c>
      <c r="BH198" s="17">
        <f>'Combined data'!BH198-'Combined data'!BG198</f>
        <v>0</v>
      </c>
      <c r="BI198" s="17">
        <f>'Combined data'!BI198-'Combined data'!BH198</f>
        <v>0</v>
      </c>
      <c r="BJ198" s="17">
        <f>'Combined data'!BJ198-'Combined data'!BI198</f>
        <v>3</v>
      </c>
      <c r="BK198" s="17">
        <f>'Combined data'!BK198-'Combined data'!BJ198</f>
        <v>2</v>
      </c>
      <c r="BL198" s="17">
        <f>'Combined data'!BL198-'Combined data'!BK198</f>
        <v>2</v>
      </c>
      <c r="BM198" s="17">
        <f>'Combined data'!BM198-'Combined data'!BL198</f>
        <v>-1</v>
      </c>
      <c r="BN198" s="17">
        <f>'Combined data'!BN198-'Combined data'!BM198</f>
        <v>7</v>
      </c>
      <c r="BO198" s="17">
        <f>'Combined data'!BO198-'Combined data'!BN198</f>
        <v>-60</v>
      </c>
      <c r="BP198" s="17">
        <f>'Combined data'!BP198-'Combined data'!BO198</f>
        <v>0</v>
      </c>
      <c r="BQ198" s="17">
        <f>'Combined data'!BQ198-'Combined data'!BP198</f>
        <v>0</v>
      </c>
      <c r="BR198" s="17">
        <f>'Combined data'!BR198-'Combined data'!BQ198</f>
        <v>0</v>
      </c>
      <c r="BS198" s="17">
        <f>'Combined data'!BS198-'Combined data'!BR198</f>
        <v>0</v>
      </c>
      <c r="BT198" s="17">
        <f>'Combined data'!BT198-'Combined data'!BS198</f>
        <v>0</v>
      </c>
      <c r="BU198" s="17">
        <f>'Combined data'!BU198-'Combined data'!BT198</f>
        <v>0</v>
      </c>
      <c r="BV198" s="17">
        <f>'Combined data'!BV198-'Combined data'!BU198</f>
        <v>0</v>
      </c>
      <c r="BW198" s="17">
        <f>'Combined data'!BW198-'Combined data'!BV198</f>
        <v>0</v>
      </c>
      <c r="BX198" s="17">
        <f>'Combined data'!BX198-'Combined data'!BW198</f>
        <v>0</v>
      </c>
      <c r="BY198" s="17">
        <f>'Combined data'!BY198-'Combined data'!BX198</f>
        <v>0</v>
      </c>
      <c r="CB198" s="17">
        <f t="shared" si="131"/>
        <v>23</v>
      </c>
      <c r="CC198" s="17">
        <f t="shared" si="132"/>
        <v>1</v>
      </c>
      <c r="CD198" s="17">
        <f t="shared" si="133"/>
        <v>2</v>
      </c>
      <c r="CE198" s="17">
        <f t="shared" si="134"/>
        <v>2</v>
      </c>
      <c r="CF198" s="17">
        <f t="shared" si="135"/>
        <v>0</v>
      </c>
      <c r="CG198" s="17">
        <f t="shared" si="136"/>
        <v>2</v>
      </c>
      <c r="CH198" s="17">
        <f t="shared" si="137"/>
        <v>5</v>
      </c>
      <c r="CI198" s="17">
        <f t="shared" si="138"/>
        <v>0</v>
      </c>
      <c r="CJ198" s="17">
        <f t="shared" si="139"/>
        <v>2</v>
      </c>
      <c r="CK198" s="17">
        <f t="shared" si="140"/>
        <v>5</v>
      </c>
      <c r="CL198" s="17">
        <f t="shared" si="141"/>
        <v>3</v>
      </c>
      <c r="CM198" s="17">
        <f t="shared" si="142"/>
        <v>0</v>
      </c>
      <c r="CN198" s="17">
        <f t="shared" si="143"/>
        <v>0</v>
      </c>
      <c r="CO198" s="17">
        <f t="shared" si="144"/>
        <v>2</v>
      </c>
      <c r="CP198" s="17">
        <f t="shared" si="145"/>
        <v>0</v>
      </c>
      <c r="CQ198" s="17">
        <f t="shared" si="146"/>
        <v>0</v>
      </c>
      <c r="CR198" s="17">
        <f t="shared" si="147"/>
        <v>0</v>
      </c>
      <c r="CS198" s="17">
        <f t="shared" si="148"/>
        <v>0</v>
      </c>
      <c r="CT198" s="17">
        <f t="shared" si="149"/>
        <v>3</v>
      </c>
      <c r="CU198" s="17">
        <f t="shared" si="150"/>
        <v>2</v>
      </c>
      <c r="CV198" s="17">
        <f t="shared" si="151"/>
        <v>2</v>
      </c>
      <c r="CW198" s="17">
        <f t="shared" si="152"/>
        <v>-1</v>
      </c>
      <c r="CX198" s="17">
        <f t="shared" si="154"/>
        <v>7</v>
      </c>
      <c r="CY198" s="17">
        <f t="shared" si="154"/>
        <v>-60</v>
      </c>
      <c r="CZ198" s="17">
        <f t="shared" si="154"/>
        <v>0</v>
      </c>
      <c r="DA198" s="17">
        <f t="shared" si="154"/>
        <v>0</v>
      </c>
      <c r="DB198" s="17">
        <f t="shared" si="154"/>
        <v>0</v>
      </c>
      <c r="DC198" s="17">
        <f t="shared" si="154"/>
        <v>0</v>
      </c>
      <c r="DD198" s="17">
        <f t="shared" si="154"/>
        <v>0</v>
      </c>
      <c r="DE198" s="17">
        <f t="shared" si="154"/>
        <v>0</v>
      </c>
      <c r="DF198" s="17">
        <f t="shared" si="154"/>
        <v>0</v>
      </c>
      <c r="DG198" s="17">
        <f t="shared" si="154"/>
        <v>0</v>
      </c>
      <c r="DH198" s="17">
        <f t="shared" si="154"/>
        <v>0</v>
      </c>
      <c r="DI198" s="17">
        <f t="shared" si="154"/>
        <v>0</v>
      </c>
    </row>
    <row r="199" spans="1:113" ht="15.75" x14ac:dyDescent="0.25">
      <c r="A199" s="6" t="s">
        <v>437</v>
      </c>
      <c r="B199" s="6" t="s">
        <v>438</v>
      </c>
      <c r="H199" s="90">
        <f>'Combined data'!H199</f>
        <v>81</v>
      </c>
      <c r="I199" s="90">
        <f>'Combined data'!I199-'Combined data'!H199</f>
        <v>5</v>
      </c>
      <c r="J199" s="90">
        <f>'Combined data'!J199-'Combined data'!I199</f>
        <v>9</v>
      </c>
      <c r="K199" s="90">
        <f>'Combined data'!K199-'Combined data'!J199</f>
        <v>4</v>
      </c>
      <c r="L199" s="90">
        <f>'Combined data'!L199-'Combined data'!K199</f>
        <v>8</v>
      </c>
      <c r="M199" s="90">
        <f>'Combined data'!M199-'Combined data'!L199</f>
        <v>1</v>
      </c>
      <c r="N199" s="90">
        <f>'Combined data'!N199-'Combined data'!M199</f>
        <v>7</v>
      </c>
      <c r="O199" s="90">
        <f>'Combined data'!O199-'Combined data'!N199</f>
        <v>0</v>
      </c>
      <c r="P199" s="90">
        <f>'Combined data'!P199-'Combined data'!O199</f>
        <v>0</v>
      </c>
      <c r="Q199" s="90">
        <f>'Combined data'!Q199-'Combined data'!P199</f>
        <v>1</v>
      </c>
      <c r="R199" s="90">
        <f>'Combined data'!R199-'Combined data'!Q199</f>
        <v>3</v>
      </c>
      <c r="S199" s="90">
        <f>'Combined data'!S199-'Combined data'!R199</f>
        <v>4</v>
      </c>
      <c r="T199" s="90">
        <f>'Combined data'!T199-'Combined data'!S199</f>
        <v>4</v>
      </c>
      <c r="U199" s="90">
        <f>'Combined data'!U199-'Combined data'!T199</f>
        <v>6</v>
      </c>
      <c r="V199" s="90">
        <f>'Combined data'!V199-'Combined data'!U199</f>
        <v>2</v>
      </c>
      <c r="W199" s="90">
        <f>'Combined data'!W199-'Combined data'!V199</f>
        <v>3</v>
      </c>
      <c r="X199" s="90">
        <f>'Combined data'!X199-'Combined data'!W199</f>
        <v>0</v>
      </c>
      <c r="Y199" s="90">
        <f>'Combined data'!Y199-'Combined data'!X199</f>
        <v>1</v>
      </c>
      <c r="Z199" s="90">
        <f>'Combined data'!Z199-'Combined data'!Y199</f>
        <v>0</v>
      </c>
      <c r="AA199" s="90">
        <f>'Combined data'!AA199-'Combined data'!Z199</f>
        <v>0</v>
      </c>
      <c r="AB199" s="90">
        <f>'Combined data'!AB199-'Combined data'!AA199</f>
        <v>0</v>
      </c>
      <c r="AC199" s="90">
        <f>'Combined data'!AC199-'Combined data'!AB199</f>
        <v>0</v>
      </c>
      <c r="AD199" s="90">
        <f>'Combined data'!AD199-'Combined data'!AC199</f>
        <v>2</v>
      </c>
      <c r="AE199" s="90">
        <f>'Combined data'!AE199-'Combined data'!AD199</f>
        <v>-141</v>
      </c>
      <c r="AF199" s="90">
        <f>'Combined data'!AF199-'Combined data'!AE199</f>
        <v>0</v>
      </c>
      <c r="AG199" s="90">
        <f>'Combined data'!AG199-'Combined data'!AF199</f>
        <v>0</v>
      </c>
      <c r="AH199" s="90">
        <f>'Combined data'!AH199-'Combined data'!AG199</f>
        <v>0</v>
      </c>
      <c r="AI199" s="90">
        <f>'Combined data'!AI199-'Combined data'!AH199</f>
        <v>0</v>
      </c>
      <c r="AJ199" s="90">
        <f>'Combined data'!AJ199-'Combined data'!AI199</f>
        <v>0</v>
      </c>
      <c r="AK199" s="90">
        <f>'Combined data'!AK199-'Combined data'!AJ199</f>
        <v>0</v>
      </c>
      <c r="AL199" s="90">
        <f>'Combined data'!AL199-'Combined data'!AK199</f>
        <v>0</v>
      </c>
      <c r="AM199" s="90">
        <f>'Combined data'!AM199-'Combined data'!AL199</f>
        <v>0</v>
      </c>
      <c r="AN199" s="90">
        <f>'Combined data'!AN199-'Combined data'!AM199</f>
        <v>0</v>
      </c>
      <c r="AO199" s="90">
        <f>'Combined data'!AO199-'Combined data'!AN199</f>
        <v>0</v>
      </c>
      <c r="AP199" s="56">
        <f t="shared" si="121"/>
        <v>0</v>
      </c>
      <c r="AQ199" s="113"/>
      <c r="AR199" s="17">
        <f>'Combined data'!AR199</f>
        <v>48</v>
      </c>
      <c r="AS199" s="17">
        <f>'Combined data'!AS199-'Combined data'!AR199</f>
        <v>7</v>
      </c>
      <c r="AT199" s="17">
        <f>'Combined data'!AT199-'Combined data'!AS199</f>
        <v>7</v>
      </c>
      <c r="AU199" s="17">
        <f>'Combined data'!AU199-'Combined data'!AT199</f>
        <v>8</v>
      </c>
      <c r="AV199" s="17">
        <f>'Combined data'!AV199-'Combined data'!AU199</f>
        <v>2</v>
      </c>
      <c r="AW199" s="17">
        <f>'Combined data'!AW199-'Combined data'!AV199</f>
        <v>5</v>
      </c>
      <c r="AX199" s="17">
        <f>'Combined data'!AX199-'Combined data'!AW199</f>
        <v>1</v>
      </c>
      <c r="AY199" s="17">
        <f>'Combined data'!AY199-'Combined data'!AX199</f>
        <v>12</v>
      </c>
      <c r="AZ199" s="17">
        <f>'Combined data'!AZ199-'Combined data'!AY199</f>
        <v>3</v>
      </c>
      <c r="BA199" s="17">
        <f>'Combined data'!BA199-'Combined data'!AZ199</f>
        <v>12</v>
      </c>
      <c r="BB199" s="17">
        <f>'Combined data'!BB199-'Combined data'!BA199</f>
        <v>0</v>
      </c>
      <c r="BC199" s="17">
        <f>'Combined data'!BC199-'Combined data'!BB199</f>
        <v>0</v>
      </c>
      <c r="BD199" s="17">
        <f>'Combined data'!BD199-'Combined data'!BC199</f>
        <v>0</v>
      </c>
      <c r="BE199" s="17">
        <f>'Combined data'!BE199-'Combined data'!BD199</f>
        <v>0</v>
      </c>
      <c r="BF199" s="17">
        <f>'Combined data'!BF199-'Combined data'!BE199</f>
        <v>4</v>
      </c>
      <c r="BG199" s="17">
        <f>'Combined data'!BG199-'Combined data'!BF199</f>
        <v>0</v>
      </c>
      <c r="BH199" s="17">
        <f>'Combined data'!BH199-'Combined data'!BG199</f>
        <v>0</v>
      </c>
      <c r="BI199" s="17">
        <f>'Combined data'!BI199-'Combined data'!BH199</f>
        <v>6</v>
      </c>
      <c r="BJ199" s="17">
        <f>'Combined data'!BJ199-'Combined data'!BI199</f>
        <v>1</v>
      </c>
      <c r="BK199" s="17">
        <f>'Combined data'!BK199-'Combined data'!BJ199</f>
        <v>2</v>
      </c>
      <c r="BL199" s="17">
        <f>'Combined data'!BL199-'Combined data'!BK199</f>
        <v>5</v>
      </c>
      <c r="BM199" s="17">
        <f>'Combined data'!BM199-'Combined data'!BL199</f>
        <v>2</v>
      </c>
      <c r="BN199" s="17">
        <f>'Combined data'!BN199-'Combined data'!BM199</f>
        <v>0</v>
      </c>
      <c r="BO199" s="17">
        <f>'Combined data'!BO199-'Combined data'!BN199</f>
        <v>-125</v>
      </c>
      <c r="BP199" s="17">
        <f>'Combined data'!BP199-'Combined data'!BO199</f>
        <v>0</v>
      </c>
      <c r="BQ199" s="17">
        <f>'Combined data'!BQ199-'Combined data'!BP199</f>
        <v>0</v>
      </c>
      <c r="BR199" s="17">
        <f>'Combined data'!BR199-'Combined data'!BQ199</f>
        <v>0</v>
      </c>
      <c r="BS199" s="17">
        <f>'Combined data'!BS199-'Combined data'!BR199</f>
        <v>0</v>
      </c>
      <c r="BT199" s="17">
        <f>'Combined data'!BT199-'Combined data'!BS199</f>
        <v>0</v>
      </c>
      <c r="BU199" s="17">
        <f>'Combined data'!BU199-'Combined data'!BT199</f>
        <v>0</v>
      </c>
      <c r="BV199" s="17">
        <f>'Combined data'!BV199-'Combined data'!BU199</f>
        <v>0</v>
      </c>
      <c r="BW199" s="17">
        <f>'Combined data'!BW199-'Combined data'!BV199</f>
        <v>0</v>
      </c>
      <c r="BX199" s="17">
        <f>'Combined data'!BX199-'Combined data'!BW199</f>
        <v>0</v>
      </c>
      <c r="BY199" s="17">
        <f>'Combined data'!BY199-'Combined data'!BX199</f>
        <v>0</v>
      </c>
      <c r="CB199" s="17">
        <f t="shared" si="131"/>
        <v>48</v>
      </c>
      <c r="CC199" s="17">
        <f t="shared" si="132"/>
        <v>7</v>
      </c>
      <c r="CD199" s="17">
        <f t="shared" si="133"/>
        <v>7</v>
      </c>
      <c r="CE199" s="17">
        <f t="shared" si="134"/>
        <v>8</v>
      </c>
      <c r="CF199" s="17">
        <f t="shared" si="135"/>
        <v>2</v>
      </c>
      <c r="CG199" s="17">
        <f t="shared" si="136"/>
        <v>5</v>
      </c>
      <c r="CH199" s="17">
        <f t="shared" si="137"/>
        <v>1</v>
      </c>
      <c r="CI199" s="17">
        <f t="shared" si="138"/>
        <v>12</v>
      </c>
      <c r="CJ199" s="17">
        <f t="shared" si="139"/>
        <v>3</v>
      </c>
      <c r="CK199" s="17">
        <f t="shared" si="140"/>
        <v>12</v>
      </c>
      <c r="CL199" s="17">
        <f t="shared" si="141"/>
        <v>0</v>
      </c>
      <c r="CM199" s="17">
        <f t="shared" si="142"/>
        <v>0</v>
      </c>
      <c r="CN199" s="17">
        <f t="shared" si="143"/>
        <v>0</v>
      </c>
      <c r="CO199" s="17">
        <f t="shared" si="144"/>
        <v>0</v>
      </c>
      <c r="CP199" s="17">
        <f t="shared" si="145"/>
        <v>4</v>
      </c>
      <c r="CQ199" s="17">
        <f t="shared" si="146"/>
        <v>0</v>
      </c>
      <c r="CR199" s="17">
        <f t="shared" si="147"/>
        <v>0</v>
      </c>
      <c r="CS199" s="17">
        <f t="shared" si="148"/>
        <v>6</v>
      </c>
      <c r="CT199" s="17">
        <f t="shared" si="149"/>
        <v>1</v>
      </c>
      <c r="CU199" s="17">
        <f t="shared" si="150"/>
        <v>2</v>
      </c>
      <c r="CV199" s="17">
        <f t="shared" si="151"/>
        <v>5</v>
      </c>
      <c r="CW199" s="17">
        <f t="shared" si="152"/>
        <v>2</v>
      </c>
      <c r="CX199" s="17">
        <f t="shared" si="154"/>
        <v>0</v>
      </c>
      <c r="CY199" s="17">
        <f t="shared" si="154"/>
        <v>-125</v>
      </c>
      <c r="CZ199" s="17">
        <f t="shared" si="154"/>
        <v>0</v>
      </c>
      <c r="DA199" s="17">
        <f t="shared" si="154"/>
        <v>0</v>
      </c>
      <c r="DB199" s="17">
        <f t="shared" si="154"/>
        <v>0</v>
      </c>
      <c r="DC199" s="17">
        <f t="shared" si="154"/>
        <v>0</v>
      </c>
      <c r="DD199" s="17">
        <f t="shared" si="154"/>
        <v>0</v>
      </c>
      <c r="DE199" s="17">
        <f t="shared" si="154"/>
        <v>0</v>
      </c>
      <c r="DF199" s="17">
        <f t="shared" si="154"/>
        <v>0</v>
      </c>
      <c r="DG199" s="17">
        <f t="shared" si="154"/>
        <v>0</v>
      </c>
      <c r="DH199" s="17">
        <f t="shared" si="154"/>
        <v>0</v>
      </c>
      <c r="DI199" s="17">
        <f t="shared" si="154"/>
        <v>0</v>
      </c>
    </row>
    <row r="200" spans="1:113" ht="15.75" x14ac:dyDescent="0.25">
      <c r="A200" s="4" t="s">
        <v>439</v>
      </c>
      <c r="B200" s="6" t="s">
        <v>440</v>
      </c>
      <c r="H200" s="90">
        <f>'Combined data'!H200</f>
        <v>5</v>
      </c>
      <c r="I200" s="90">
        <f>'Combined data'!I200-'Combined data'!H200</f>
        <v>0</v>
      </c>
      <c r="J200" s="90">
        <f>'Combined data'!J200-'Combined data'!I200</f>
        <v>0</v>
      </c>
      <c r="K200" s="90">
        <f>'Combined data'!K200-'Combined data'!J200</f>
        <v>0</v>
      </c>
      <c r="L200" s="90">
        <f>'Combined data'!L200-'Combined data'!K200</f>
        <v>0</v>
      </c>
      <c r="M200" s="90">
        <f>'Combined data'!M200-'Combined data'!L200</f>
        <v>0</v>
      </c>
      <c r="N200" s="90">
        <f>'Combined data'!N200-'Combined data'!M200</f>
        <v>5</v>
      </c>
      <c r="O200" s="90">
        <f>'Combined data'!O200-'Combined data'!N200</f>
        <v>0</v>
      </c>
      <c r="P200" s="90">
        <f>'Combined data'!P200-'Combined data'!O200</f>
        <v>0</v>
      </c>
      <c r="Q200" s="90">
        <f>'Combined data'!Q200-'Combined data'!P200</f>
        <v>0</v>
      </c>
      <c r="R200" s="90">
        <f>'Combined data'!R200-'Combined data'!Q200</f>
        <v>-5</v>
      </c>
      <c r="S200" s="90">
        <f>'Combined data'!S200-'Combined data'!R200</f>
        <v>5</v>
      </c>
      <c r="T200" s="90">
        <f>'Combined data'!T200-'Combined data'!S200</f>
        <v>5</v>
      </c>
      <c r="U200" s="90">
        <f>'Combined data'!U200-'Combined data'!T200</f>
        <v>0</v>
      </c>
      <c r="V200" s="90">
        <f>'Combined data'!V200-'Combined data'!U200</f>
        <v>0</v>
      </c>
      <c r="W200" s="90">
        <f>'Combined data'!W200-'Combined data'!V200</f>
        <v>0</v>
      </c>
      <c r="X200" s="90">
        <f>'Combined data'!X200-'Combined data'!W200</f>
        <v>0</v>
      </c>
      <c r="Y200" s="90">
        <f>'Combined data'!Y200-'Combined data'!X200</f>
        <v>0</v>
      </c>
      <c r="Z200" s="90">
        <f>'Combined data'!Z200-'Combined data'!Y200</f>
        <v>-3</v>
      </c>
      <c r="AA200" s="90">
        <f>'Combined data'!AA200-'Combined data'!Z200</f>
        <v>0</v>
      </c>
      <c r="AB200" s="90">
        <f>'Combined data'!AB200-'Combined data'!AA200</f>
        <v>0</v>
      </c>
      <c r="AC200" s="90">
        <f>'Combined data'!AC200-'Combined data'!AB200</f>
        <v>3</v>
      </c>
      <c r="AD200" s="90">
        <f>'Combined data'!AD200-'Combined data'!AC200</f>
        <v>-9</v>
      </c>
      <c r="AE200" s="90">
        <f>'Combined data'!AE200-'Combined data'!AD200</f>
        <v>-6</v>
      </c>
      <c r="AF200" s="90">
        <f>'Combined data'!AF200-'Combined data'!AE200</f>
        <v>0</v>
      </c>
      <c r="AG200" s="90">
        <f>'Combined data'!AG200-'Combined data'!AF200</f>
        <v>0</v>
      </c>
      <c r="AH200" s="90">
        <f>'Combined data'!AH200-'Combined data'!AG200</f>
        <v>0</v>
      </c>
      <c r="AI200" s="90">
        <f>'Combined data'!AI200-'Combined data'!AH200</f>
        <v>0</v>
      </c>
      <c r="AJ200" s="90">
        <f>'Combined data'!AJ200-'Combined data'!AI200</f>
        <v>0</v>
      </c>
      <c r="AK200" s="90">
        <f>'Combined data'!AK200-'Combined data'!AJ200</f>
        <v>0</v>
      </c>
      <c r="AL200" s="90">
        <f>'Combined data'!AL200-'Combined data'!AK200</f>
        <v>0</v>
      </c>
      <c r="AM200" s="90">
        <f>'Combined data'!AM200-'Combined data'!AL200</f>
        <v>0</v>
      </c>
      <c r="AN200" s="90">
        <f>'Combined data'!AN200-'Combined data'!AM200</f>
        <v>0</v>
      </c>
      <c r="AO200" s="90">
        <f>'Combined data'!AO200-'Combined data'!AN200</f>
        <v>0</v>
      </c>
      <c r="AP200" s="56">
        <f t="shared" si="121"/>
        <v>0</v>
      </c>
      <c r="AQ200" s="113"/>
      <c r="AR200" s="17">
        <f>'Combined data'!AR200</f>
        <v>5</v>
      </c>
      <c r="AS200" s="17">
        <f>'Combined data'!AS200-'Combined data'!AR200</f>
        <v>0</v>
      </c>
      <c r="AT200" s="17">
        <f>'Combined data'!AT200-'Combined data'!AS200</f>
        <v>0</v>
      </c>
      <c r="AU200" s="17">
        <f>'Combined data'!AU200-'Combined data'!AT200</f>
        <v>0</v>
      </c>
      <c r="AV200" s="17">
        <f>'Combined data'!AV200-'Combined data'!AU200</f>
        <v>0</v>
      </c>
      <c r="AW200" s="17">
        <f>'Combined data'!AW200-'Combined data'!AV200</f>
        <v>0</v>
      </c>
      <c r="AX200" s="17">
        <f>'Combined data'!AX200-'Combined data'!AW200</f>
        <v>5</v>
      </c>
      <c r="AY200" s="17">
        <f>'Combined data'!AY200-'Combined data'!AX200</f>
        <v>0</v>
      </c>
      <c r="AZ200" s="17">
        <f>'Combined data'!AZ200-'Combined data'!AY200</f>
        <v>0</v>
      </c>
      <c r="BA200" s="17">
        <f>'Combined data'!BA200-'Combined data'!AZ200</f>
        <v>0</v>
      </c>
      <c r="BB200" s="17">
        <f>'Combined data'!BB200-'Combined data'!BA200</f>
        <v>-5</v>
      </c>
      <c r="BC200" s="17">
        <f>'Combined data'!BC200-'Combined data'!BB200</f>
        <v>5</v>
      </c>
      <c r="BD200" s="17">
        <f>'Combined data'!BD200-'Combined data'!BC200</f>
        <v>5</v>
      </c>
      <c r="BE200" s="17">
        <f>'Combined data'!BE200-'Combined data'!BD200</f>
        <v>0</v>
      </c>
      <c r="BF200" s="17">
        <f>'Combined data'!BF200-'Combined data'!BE200</f>
        <v>0</v>
      </c>
      <c r="BG200" s="17">
        <f>'Combined data'!BG200-'Combined data'!BF200</f>
        <v>0</v>
      </c>
      <c r="BH200" s="17">
        <f>'Combined data'!BH200-'Combined data'!BG200</f>
        <v>0</v>
      </c>
      <c r="BI200" s="17">
        <f>'Combined data'!BI200-'Combined data'!BH200</f>
        <v>0</v>
      </c>
      <c r="BJ200" s="17">
        <f>'Combined data'!BJ200-'Combined data'!BI200</f>
        <v>-3</v>
      </c>
      <c r="BK200" s="17">
        <f>'Combined data'!BK200-'Combined data'!BJ200</f>
        <v>0</v>
      </c>
      <c r="BL200" s="17">
        <f>'Combined data'!BL200-'Combined data'!BK200</f>
        <v>0</v>
      </c>
      <c r="BM200" s="17">
        <f>'Combined data'!BM200-'Combined data'!BL200</f>
        <v>3</v>
      </c>
      <c r="BN200" s="17">
        <f>'Combined data'!BN200-'Combined data'!BM200</f>
        <v>-10</v>
      </c>
      <c r="BO200" s="17">
        <f>'Combined data'!BO200-'Combined data'!BN200</f>
        <v>-5</v>
      </c>
      <c r="BP200" s="17">
        <f>'Combined data'!BP200-'Combined data'!BO200</f>
        <v>0</v>
      </c>
      <c r="BQ200" s="17">
        <f>'Combined data'!BQ200-'Combined data'!BP200</f>
        <v>0</v>
      </c>
      <c r="BR200" s="17">
        <f>'Combined data'!BR200-'Combined data'!BQ200</f>
        <v>0</v>
      </c>
      <c r="BS200" s="17">
        <f>'Combined data'!BS200-'Combined data'!BR200</f>
        <v>0</v>
      </c>
      <c r="BT200" s="17">
        <f>'Combined data'!BT200-'Combined data'!BS200</f>
        <v>0</v>
      </c>
      <c r="BU200" s="17">
        <f>'Combined data'!BU200-'Combined data'!BT200</f>
        <v>0</v>
      </c>
      <c r="BV200" s="17">
        <f>'Combined data'!BV200-'Combined data'!BU200</f>
        <v>0</v>
      </c>
      <c r="BW200" s="17">
        <f>'Combined data'!BW200-'Combined data'!BV200</f>
        <v>0</v>
      </c>
      <c r="BX200" s="17">
        <f>'Combined data'!BX200-'Combined data'!BW200</f>
        <v>0</v>
      </c>
      <c r="BY200" s="17">
        <f>'Combined data'!BY200-'Combined data'!BX200</f>
        <v>0</v>
      </c>
      <c r="CB200" s="17">
        <f t="shared" si="131"/>
        <v>5</v>
      </c>
      <c r="CC200" s="17">
        <f t="shared" si="132"/>
        <v>0</v>
      </c>
      <c r="CD200" s="17">
        <f t="shared" si="133"/>
        <v>0</v>
      </c>
      <c r="CE200" s="17">
        <f t="shared" si="134"/>
        <v>0</v>
      </c>
      <c r="CF200" s="17">
        <f t="shared" si="135"/>
        <v>0</v>
      </c>
      <c r="CG200" s="17">
        <f t="shared" si="136"/>
        <v>0</v>
      </c>
      <c r="CH200" s="17">
        <f t="shared" si="137"/>
        <v>5</v>
      </c>
      <c r="CI200" s="17">
        <f t="shared" si="138"/>
        <v>0</v>
      </c>
      <c r="CJ200" s="17">
        <f t="shared" si="139"/>
        <v>0</v>
      </c>
      <c r="CK200" s="17">
        <f t="shared" si="140"/>
        <v>0</v>
      </c>
      <c r="CL200" s="17">
        <f t="shared" si="141"/>
        <v>-5</v>
      </c>
      <c r="CM200" s="17">
        <f t="shared" si="142"/>
        <v>5</v>
      </c>
      <c r="CN200" s="17">
        <f t="shared" si="143"/>
        <v>5</v>
      </c>
      <c r="CO200" s="17">
        <f t="shared" si="144"/>
        <v>0</v>
      </c>
      <c r="CP200" s="17">
        <f t="shared" si="145"/>
        <v>0</v>
      </c>
      <c r="CQ200" s="17">
        <f t="shared" si="146"/>
        <v>0</v>
      </c>
      <c r="CR200" s="17">
        <f t="shared" si="147"/>
        <v>0</v>
      </c>
      <c r="CS200" s="17">
        <f t="shared" si="148"/>
        <v>0</v>
      </c>
      <c r="CT200" s="17">
        <f t="shared" si="149"/>
        <v>-3</v>
      </c>
      <c r="CU200" s="17">
        <f t="shared" si="150"/>
        <v>0</v>
      </c>
      <c r="CV200" s="17">
        <f t="shared" si="151"/>
        <v>0</v>
      </c>
      <c r="CW200" s="17">
        <f t="shared" si="152"/>
        <v>3</v>
      </c>
      <c r="CX200" s="17">
        <f t="shared" si="154"/>
        <v>-10</v>
      </c>
      <c r="CY200" s="17">
        <f t="shared" si="154"/>
        <v>-5</v>
      </c>
      <c r="CZ200" s="17">
        <f t="shared" si="154"/>
        <v>0</v>
      </c>
      <c r="DA200" s="17">
        <f t="shared" si="154"/>
        <v>0</v>
      </c>
      <c r="DB200" s="17">
        <f t="shared" si="154"/>
        <v>0</v>
      </c>
      <c r="DC200" s="17">
        <f t="shared" si="154"/>
        <v>0</v>
      </c>
      <c r="DD200" s="17">
        <f t="shared" si="154"/>
        <v>0</v>
      </c>
      <c r="DE200" s="17">
        <f t="shared" si="154"/>
        <v>0</v>
      </c>
      <c r="DF200" s="17">
        <f t="shared" si="154"/>
        <v>0</v>
      </c>
      <c r="DG200" s="17">
        <f t="shared" si="154"/>
        <v>0</v>
      </c>
      <c r="DH200" s="17">
        <f t="shared" si="154"/>
        <v>0</v>
      </c>
      <c r="DI200" s="17">
        <f t="shared" si="154"/>
        <v>0</v>
      </c>
    </row>
    <row r="201" spans="1:113" ht="15.75" x14ac:dyDescent="0.25">
      <c r="A201" s="4" t="s">
        <v>441</v>
      </c>
      <c r="B201" s="6" t="s">
        <v>442</v>
      </c>
      <c r="H201" s="90">
        <f>'Combined data'!H201</f>
        <v>50</v>
      </c>
      <c r="I201" s="90">
        <f>'Combined data'!I201-'Combined data'!H201</f>
        <v>4</v>
      </c>
      <c r="J201" s="90">
        <f>'Combined data'!J201-'Combined data'!I201</f>
        <v>5</v>
      </c>
      <c r="K201" s="90">
        <f>'Combined data'!K201-'Combined data'!J201</f>
        <v>1</v>
      </c>
      <c r="L201" s="90">
        <f>'Combined data'!L201-'Combined data'!K201</f>
        <v>1</v>
      </c>
      <c r="M201" s="90">
        <f>'Combined data'!M201-'Combined data'!L201</f>
        <v>1</v>
      </c>
      <c r="N201" s="90">
        <f>'Combined data'!N201-'Combined data'!M201</f>
        <v>8</v>
      </c>
      <c r="O201" s="90">
        <f>'Combined data'!O201-'Combined data'!N201</f>
        <v>1</v>
      </c>
      <c r="P201" s="90">
        <f>'Combined data'!P201-'Combined data'!O201</f>
        <v>5</v>
      </c>
      <c r="Q201" s="90">
        <f>'Combined data'!Q201-'Combined data'!P201</f>
        <v>4</v>
      </c>
      <c r="R201" s="90">
        <f>'Combined data'!R201-'Combined data'!Q201</f>
        <v>1</v>
      </c>
      <c r="S201" s="90">
        <f>'Combined data'!S201-'Combined data'!R201</f>
        <v>1</v>
      </c>
      <c r="T201" s="90">
        <f>'Combined data'!T201-'Combined data'!S201</f>
        <v>0</v>
      </c>
      <c r="U201" s="90">
        <f>'Combined data'!U201-'Combined data'!T201</f>
        <v>1</v>
      </c>
      <c r="V201" s="90">
        <f>'Combined data'!V201-'Combined data'!U201</f>
        <v>1</v>
      </c>
      <c r="W201" s="90">
        <f>'Combined data'!W201-'Combined data'!V201</f>
        <v>1</v>
      </c>
      <c r="X201" s="90">
        <f>'Combined data'!X201-'Combined data'!W201</f>
        <v>0</v>
      </c>
      <c r="Y201" s="90">
        <f>'Combined data'!Y201-'Combined data'!X201</f>
        <v>0</v>
      </c>
      <c r="Z201" s="90">
        <f>'Combined data'!Z201-'Combined data'!Y201</f>
        <v>0</v>
      </c>
      <c r="AA201" s="90">
        <f>'Combined data'!AA201-'Combined data'!Z201</f>
        <v>0</v>
      </c>
      <c r="AB201" s="90">
        <f>'Combined data'!AB201-'Combined data'!AA201</f>
        <v>0</v>
      </c>
      <c r="AC201" s="90">
        <f>'Combined data'!AC201-'Combined data'!AB201</f>
        <v>0</v>
      </c>
      <c r="AD201" s="90">
        <f>'Combined data'!AD201-'Combined data'!AC201</f>
        <v>0</v>
      </c>
      <c r="AE201" s="90">
        <f>'Combined data'!AE201-'Combined data'!AD201</f>
        <v>-85</v>
      </c>
      <c r="AF201" s="90">
        <f>'Combined data'!AF201-'Combined data'!AE201</f>
        <v>0</v>
      </c>
      <c r="AG201" s="90">
        <f>'Combined data'!AG201-'Combined data'!AF201</f>
        <v>0</v>
      </c>
      <c r="AH201" s="90">
        <f>'Combined data'!AH201-'Combined data'!AG201</f>
        <v>0</v>
      </c>
      <c r="AI201" s="90">
        <f>'Combined data'!AI201-'Combined data'!AH201</f>
        <v>0</v>
      </c>
      <c r="AJ201" s="90">
        <f>'Combined data'!AJ201-'Combined data'!AI201</f>
        <v>0</v>
      </c>
      <c r="AK201" s="90">
        <f>'Combined data'!AK201-'Combined data'!AJ201</f>
        <v>0</v>
      </c>
      <c r="AL201" s="90">
        <f>'Combined data'!AL201-'Combined data'!AK201</f>
        <v>0</v>
      </c>
      <c r="AM201" s="90">
        <f>'Combined data'!AM201-'Combined data'!AL201</f>
        <v>0</v>
      </c>
      <c r="AN201" s="90">
        <f>'Combined data'!AN201-'Combined data'!AM201</f>
        <v>0</v>
      </c>
      <c r="AO201" s="90">
        <f>'Combined data'!AO201-'Combined data'!AN201</f>
        <v>0</v>
      </c>
      <c r="AP201" s="56">
        <f t="shared" si="121"/>
        <v>0</v>
      </c>
      <c r="AQ201" s="113"/>
      <c r="AR201" s="17">
        <f>'Combined data'!AR201</f>
        <v>34</v>
      </c>
      <c r="AS201" s="17">
        <f>'Combined data'!AS201-'Combined data'!AR201</f>
        <v>2</v>
      </c>
      <c r="AT201" s="17">
        <f>'Combined data'!AT201-'Combined data'!AS201</f>
        <v>3</v>
      </c>
      <c r="AU201" s="17">
        <f>'Combined data'!AU201-'Combined data'!AT201</f>
        <v>6</v>
      </c>
      <c r="AV201" s="17">
        <f>'Combined data'!AV201-'Combined data'!AU201</f>
        <v>1</v>
      </c>
      <c r="AW201" s="17">
        <f>'Combined data'!AW201-'Combined data'!AV201</f>
        <v>0</v>
      </c>
      <c r="AX201" s="17">
        <f>'Combined data'!AX201-'Combined data'!AW201</f>
        <v>3</v>
      </c>
      <c r="AY201" s="17">
        <f>'Combined data'!AY201-'Combined data'!AX201</f>
        <v>0</v>
      </c>
      <c r="AZ201" s="17">
        <f>'Combined data'!AZ201-'Combined data'!AY201</f>
        <v>5</v>
      </c>
      <c r="BA201" s="17">
        <f>'Combined data'!BA201-'Combined data'!AZ201</f>
        <v>4</v>
      </c>
      <c r="BB201" s="17">
        <f>'Combined data'!BB201-'Combined data'!BA201</f>
        <v>0</v>
      </c>
      <c r="BC201" s="17">
        <f>'Combined data'!BC201-'Combined data'!BB201</f>
        <v>3</v>
      </c>
      <c r="BD201" s="17">
        <f>'Combined data'!BD201-'Combined data'!BC201</f>
        <v>0</v>
      </c>
      <c r="BE201" s="17">
        <f>'Combined data'!BE201-'Combined data'!BD201</f>
        <v>10</v>
      </c>
      <c r="BF201" s="17">
        <f>'Combined data'!BF201-'Combined data'!BE201</f>
        <v>1</v>
      </c>
      <c r="BG201" s="17">
        <f>'Combined data'!BG201-'Combined data'!BF201</f>
        <v>0</v>
      </c>
      <c r="BH201" s="17">
        <f>'Combined data'!BH201-'Combined data'!BG201</f>
        <v>2</v>
      </c>
      <c r="BI201" s="17">
        <f>'Combined data'!BI201-'Combined data'!BH201</f>
        <v>1</v>
      </c>
      <c r="BJ201" s="17">
        <f>'Combined data'!BJ201-'Combined data'!BI201</f>
        <v>0</v>
      </c>
      <c r="BK201" s="17">
        <f>'Combined data'!BK201-'Combined data'!BJ201</f>
        <v>0</v>
      </c>
      <c r="BL201" s="17">
        <f>'Combined data'!BL201-'Combined data'!BK201</f>
        <v>0</v>
      </c>
      <c r="BM201" s="17">
        <f>'Combined data'!BM201-'Combined data'!BL201</f>
        <v>0</v>
      </c>
      <c r="BN201" s="17">
        <f>'Combined data'!BN201-'Combined data'!BM201</f>
        <v>1</v>
      </c>
      <c r="BO201" s="17">
        <f>'Combined data'!BO201-'Combined data'!BN201</f>
        <v>-76</v>
      </c>
      <c r="BP201" s="17">
        <f>'Combined data'!BP201-'Combined data'!BO201</f>
        <v>0</v>
      </c>
      <c r="BQ201" s="17">
        <f>'Combined data'!BQ201-'Combined data'!BP201</f>
        <v>0</v>
      </c>
      <c r="BR201" s="17">
        <f>'Combined data'!BR201-'Combined data'!BQ201</f>
        <v>0</v>
      </c>
      <c r="BS201" s="17">
        <f>'Combined data'!BS201-'Combined data'!BR201</f>
        <v>0</v>
      </c>
      <c r="BT201" s="17">
        <f>'Combined data'!BT201-'Combined data'!BS201</f>
        <v>0</v>
      </c>
      <c r="BU201" s="17">
        <f>'Combined data'!BU201-'Combined data'!BT201</f>
        <v>0</v>
      </c>
      <c r="BV201" s="17">
        <f>'Combined data'!BV201-'Combined data'!BU201</f>
        <v>0</v>
      </c>
      <c r="BW201" s="17">
        <f>'Combined data'!BW201-'Combined data'!BV201</f>
        <v>0</v>
      </c>
      <c r="BX201" s="17">
        <f>'Combined data'!BX201-'Combined data'!BW201</f>
        <v>0</v>
      </c>
      <c r="BY201" s="17">
        <f>'Combined data'!BY201-'Combined data'!BX201</f>
        <v>0</v>
      </c>
      <c r="CB201" s="17">
        <f t="shared" si="131"/>
        <v>34</v>
      </c>
      <c r="CC201" s="17">
        <f t="shared" si="132"/>
        <v>2</v>
      </c>
      <c r="CD201" s="17">
        <f t="shared" si="133"/>
        <v>3</v>
      </c>
      <c r="CE201" s="17">
        <f t="shared" si="134"/>
        <v>6</v>
      </c>
      <c r="CF201" s="17">
        <f t="shared" si="135"/>
        <v>1</v>
      </c>
      <c r="CG201" s="17">
        <f t="shared" si="136"/>
        <v>0</v>
      </c>
      <c r="CH201" s="17">
        <f t="shared" si="137"/>
        <v>3</v>
      </c>
      <c r="CI201" s="17">
        <f t="shared" si="138"/>
        <v>0</v>
      </c>
      <c r="CJ201" s="17">
        <f t="shared" si="139"/>
        <v>5</v>
      </c>
      <c r="CK201" s="17">
        <f t="shared" si="140"/>
        <v>4</v>
      </c>
      <c r="CL201" s="17">
        <f t="shared" si="141"/>
        <v>0</v>
      </c>
      <c r="CM201" s="17">
        <f t="shared" si="142"/>
        <v>3</v>
      </c>
      <c r="CN201" s="17">
        <f t="shared" si="143"/>
        <v>0</v>
      </c>
      <c r="CO201" s="17">
        <f t="shared" si="144"/>
        <v>10</v>
      </c>
      <c r="CP201" s="17">
        <f t="shared" si="145"/>
        <v>1</v>
      </c>
      <c r="CQ201" s="17">
        <f t="shared" si="146"/>
        <v>0</v>
      </c>
      <c r="CR201" s="17">
        <f t="shared" si="147"/>
        <v>2</v>
      </c>
      <c r="CS201" s="17">
        <f t="shared" si="148"/>
        <v>1</v>
      </c>
      <c r="CT201" s="17">
        <f t="shared" si="149"/>
        <v>0</v>
      </c>
      <c r="CU201" s="17">
        <f t="shared" si="150"/>
        <v>0</v>
      </c>
      <c r="CV201" s="17">
        <f t="shared" si="151"/>
        <v>0</v>
      </c>
      <c r="CW201" s="17">
        <f t="shared" si="152"/>
        <v>0</v>
      </c>
      <c r="CX201" s="17">
        <f t="shared" si="154"/>
        <v>1</v>
      </c>
      <c r="CY201" s="17">
        <f t="shared" si="154"/>
        <v>-76</v>
      </c>
      <c r="CZ201" s="17">
        <f t="shared" si="154"/>
        <v>0</v>
      </c>
      <c r="DA201" s="17">
        <f t="shared" si="154"/>
        <v>0</v>
      </c>
      <c r="DB201" s="17">
        <f t="shared" si="154"/>
        <v>0</v>
      </c>
      <c r="DC201" s="17">
        <f t="shared" si="154"/>
        <v>0</v>
      </c>
      <c r="DD201" s="17">
        <f t="shared" si="154"/>
        <v>0</v>
      </c>
      <c r="DE201" s="17">
        <f t="shared" si="154"/>
        <v>0</v>
      </c>
      <c r="DF201" s="17">
        <f t="shared" si="154"/>
        <v>0</v>
      </c>
      <c r="DG201" s="17">
        <f t="shared" si="154"/>
        <v>0</v>
      </c>
      <c r="DH201" s="17">
        <f t="shared" si="154"/>
        <v>0</v>
      </c>
      <c r="DI201" s="17">
        <f t="shared" si="154"/>
        <v>0</v>
      </c>
    </row>
    <row r="202" spans="1:113" ht="15.75" x14ac:dyDescent="0.25">
      <c r="A202" s="4" t="s">
        <v>443</v>
      </c>
      <c r="B202" s="6" t="s">
        <v>444</v>
      </c>
      <c r="H202" s="90">
        <f>'Combined data'!H202</f>
        <v>96</v>
      </c>
      <c r="I202" s="90">
        <f>'Combined data'!I202-'Combined data'!H202</f>
        <v>1</v>
      </c>
      <c r="J202" s="90">
        <f>'Combined data'!J202-'Combined data'!I202</f>
        <v>14</v>
      </c>
      <c r="K202" s="90">
        <f>'Combined data'!K202-'Combined data'!J202</f>
        <v>3</v>
      </c>
      <c r="L202" s="90">
        <f>'Combined data'!L202-'Combined data'!K202</f>
        <v>0</v>
      </c>
      <c r="M202" s="90">
        <f>'Combined data'!M202-'Combined data'!L202</f>
        <v>8</v>
      </c>
      <c r="N202" s="90">
        <f>'Combined data'!N202-'Combined data'!M202</f>
        <v>16</v>
      </c>
      <c r="O202" s="90">
        <f>'Combined data'!O202-'Combined data'!N202</f>
        <v>2</v>
      </c>
      <c r="P202" s="90">
        <f>'Combined data'!P202-'Combined data'!O202</f>
        <v>6</v>
      </c>
      <c r="Q202" s="90">
        <f>'Combined data'!Q202-'Combined data'!P202</f>
        <v>10</v>
      </c>
      <c r="R202" s="90">
        <f>'Combined data'!R202-'Combined data'!Q202</f>
        <v>0</v>
      </c>
      <c r="S202" s="90">
        <f>'Combined data'!S202-'Combined data'!R202</f>
        <v>3</v>
      </c>
      <c r="T202" s="90">
        <f>'Combined data'!T202-'Combined data'!S202</f>
        <v>2</v>
      </c>
      <c r="U202" s="90">
        <f>'Combined data'!U202-'Combined data'!T202</f>
        <v>3</v>
      </c>
      <c r="V202" s="90">
        <f>'Combined data'!V202-'Combined data'!U202</f>
        <v>5</v>
      </c>
      <c r="W202" s="90">
        <f>'Combined data'!W202-'Combined data'!V202</f>
        <v>1</v>
      </c>
      <c r="X202" s="90">
        <f>'Combined data'!X202-'Combined data'!W202</f>
        <v>1</v>
      </c>
      <c r="Y202" s="90">
        <f>'Combined data'!Y202-'Combined data'!X202</f>
        <v>4</v>
      </c>
      <c r="Z202" s="90">
        <f>'Combined data'!Z202-'Combined data'!Y202</f>
        <v>3</v>
      </c>
      <c r="AA202" s="90">
        <f>'Combined data'!AA202-'Combined data'!Z202</f>
        <v>4</v>
      </c>
      <c r="AB202" s="90">
        <f>'Combined data'!AB202-'Combined data'!AA202</f>
        <v>6</v>
      </c>
      <c r="AC202" s="90">
        <f>'Combined data'!AC202-'Combined data'!AB202</f>
        <v>1</v>
      </c>
      <c r="AD202" s="90">
        <f>'Combined data'!AD202-'Combined data'!AC202</f>
        <v>5</v>
      </c>
      <c r="AE202" s="90">
        <f>'Combined data'!AE202-'Combined data'!AD202</f>
        <v>-194</v>
      </c>
      <c r="AF202" s="90">
        <f>'Combined data'!AF202-'Combined data'!AE202</f>
        <v>0</v>
      </c>
      <c r="AG202" s="90">
        <f>'Combined data'!AG202-'Combined data'!AF202</f>
        <v>0</v>
      </c>
      <c r="AH202" s="90">
        <f>'Combined data'!AH202-'Combined data'!AG202</f>
        <v>0</v>
      </c>
      <c r="AI202" s="90">
        <f>'Combined data'!AI202-'Combined data'!AH202</f>
        <v>0</v>
      </c>
      <c r="AJ202" s="90">
        <f>'Combined data'!AJ202-'Combined data'!AI202</f>
        <v>0</v>
      </c>
      <c r="AK202" s="90">
        <f>'Combined data'!AK202-'Combined data'!AJ202</f>
        <v>0</v>
      </c>
      <c r="AL202" s="90">
        <f>'Combined data'!AL202-'Combined data'!AK202</f>
        <v>0</v>
      </c>
      <c r="AM202" s="90">
        <f>'Combined data'!AM202-'Combined data'!AL202</f>
        <v>0</v>
      </c>
      <c r="AN202" s="90">
        <f>'Combined data'!AN202-'Combined data'!AM202</f>
        <v>0</v>
      </c>
      <c r="AO202" s="90">
        <f>'Combined data'!AO202-'Combined data'!AN202</f>
        <v>0</v>
      </c>
      <c r="AP202" s="56">
        <f t="shared" ref="AP202:AP265" si="155">SUM(H202:AO202)</f>
        <v>0</v>
      </c>
      <c r="AQ202" s="113"/>
      <c r="AR202" s="17">
        <f>'Combined data'!AR202</f>
        <v>36</v>
      </c>
      <c r="AS202" s="17">
        <f>'Combined data'!AS202-'Combined data'!AR202</f>
        <v>10</v>
      </c>
      <c r="AT202" s="17">
        <f>'Combined data'!AT202-'Combined data'!AS202</f>
        <v>12</v>
      </c>
      <c r="AU202" s="17">
        <f>'Combined data'!AU202-'Combined data'!AT202</f>
        <v>1</v>
      </c>
      <c r="AV202" s="17">
        <f>'Combined data'!AV202-'Combined data'!AU202</f>
        <v>9</v>
      </c>
      <c r="AW202" s="17">
        <f>'Combined data'!AW202-'Combined data'!AV202</f>
        <v>1</v>
      </c>
      <c r="AX202" s="17">
        <f>'Combined data'!AX202-'Combined data'!AW202</f>
        <v>5</v>
      </c>
      <c r="AY202" s="17">
        <f>'Combined data'!AY202-'Combined data'!AX202</f>
        <v>9</v>
      </c>
      <c r="AZ202" s="17">
        <f>'Combined data'!AZ202-'Combined data'!AY202</f>
        <v>6</v>
      </c>
      <c r="BA202" s="17">
        <f>'Combined data'!BA202-'Combined data'!AZ202</f>
        <v>5</v>
      </c>
      <c r="BB202" s="17">
        <f>'Combined data'!BB202-'Combined data'!BA202</f>
        <v>5</v>
      </c>
      <c r="BC202" s="17">
        <f>'Combined data'!BC202-'Combined data'!BB202</f>
        <v>7</v>
      </c>
      <c r="BD202" s="17">
        <f>'Combined data'!BD202-'Combined data'!BC202</f>
        <v>6</v>
      </c>
      <c r="BE202" s="17">
        <f>'Combined data'!BE202-'Combined data'!BD202</f>
        <v>1</v>
      </c>
      <c r="BF202" s="17">
        <f>'Combined data'!BF202-'Combined data'!BE202</f>
        <v>3</v>
      </c>
      <c r="BG202" s="17">
        <f>'Combined data'!BG202-'Combined data'!BF202</f>
        <v>0</v>
      </c>
      <c r="BH202" s="17">
        <f>'Combined data'!BH202-'Combined data'!BG202</f>
        <v>1</v>
      </c>
      <c r="BI202" s="17">
        <f>'Combined data'!BI202-'Combined data'!BH202</f>
        <v>5</v>
      </c>
      <c r="BJ202" s="17">
        <f>'Combined data'!BJ202-'Combined data'!BI202</f>
        <v>5</v>
      </c>
      <c r="BK202" s="17">
        <f>'Combined data'!BK202-'Combined data'!BJ202</f>
        <v>0</v>
      </c>
      <c r="BL202" s="17">
        <f>'Combined data'!BL202-'Combined data'!BK202</f>
        <v>1</v>
      </c>
      <c r="BM202" s="17">
        <f>'Combined data'!BM202-'Combined data'!BL202</f>
        <v>2</v>
      </c>
      <c r="BN202" s="17">
        <f>'Combined data'!BN202-'Combined data'!BM202</f>
        <v>9</v>
      </c>
      <c r="BO202" s="17">
        <f>'Combined data'!BO202-'Combined data'!BN202</f>
        <v>-139</v>
      </c>
      <c r="BP202" s="17">
        <f>'Combined data'!BP202-'Combined data'!BO202</f>
        <v>0</v>
      </c>
      <c r="BQ202" s="17">
        <f>'Combined data'!BQ202-'Combined data'!BP202</f>
        <v>0</v>
      </c>
      <c r="BR202" s="17">
        <f>'Combined data'!BR202-'Combined data'!BQ202</f>
        <v>0</v>
      </c>
      <c r="BS202" s="17">
        <f>'Combined data'!BS202-'Combined data'!BR202</f>
        <v>0</v>
      </c>
      <c r="BT202" s="17">
        <f>'Combined data'!BT202-'Combined data'!BS202</f>
        <v>0</v>
      </c>
      <c r="BU202" s="17">
        <f>'Combined data'!BU202-'Combined data'!BT202</f>
        <v>0</v>
      </c>
      <c r="BV202" s="17">
        <f>'Combined data'!BV202-'Combined data'!BU202</f>
        <v>0</v>
      </c>
      <c r="BW202" s="17">
        <f>'Combined data'!BW202-'Combined data'!BV202</f>
        <v>0</v>
      </c>
      <c r="BX202" s="17">
        <f>'Combined data'!BX202-'Combined data'!BW202</f>
        <v>0</v>
      </c>
      <c r="BY202" s="17">
        <f>'Combined data'!BY202-'Combined data'!BX202</f>
        <v>0</v>
      </c>
      <c r="CB202" s="17">
        <f t="shared" si="131"/>
        <v>36</v>
      </c>
      <c r="CC202" s="17">
        <f t="shared" si="132"/>
        <v>10</v>
      </c>
      <c r="CD202" s="17">
        <f t="shared" si="133"/>
        <v>12</v>
      </c>
      <c r="CE202" s="17">
        <f t="shared" si="134"/>
        <v>1</v>
      </c>
      <c r="CF202" s="17">
        <f t="shared" si="135"/>
        <v>9</v>
      </c>
      <c r="CG202" s="17">
        <f t="shared" si="136"/>
        <v>1</v>
      </c>
      <c r="CH202" s="17">
        <f t="shared" si="137"/>
        <v>5</v>
      </c>
      <c r="CI202" s="17">
        <f t="shared" si="138"/>
        <v>9</v>
      </c>
      <c r="CJ202" s="17">
        <f t="shared" si="139"/>
        <v>6</v>
      </c>
      <c r="CK202" s="17">
        <f t="shared" si="140"/>
        <v>5</v>
      </c>
      <c r="CL202" s="17">
        <f t="shared" si="141"/>
        <v>5</v>
      </c>
      <c r="CM202" s="17">
        <f t="shared" si="142"/>
        <v>7</v>
      </c>
      <c r="CN202" s="17">
        <f t="shared" si="143"/>
        <v>6</v>
      </c>
      <c r="CO202" s="17">
        <f t="shared" si="144"/>
        <v>1</v>
      </c>
      <c r="CP202" s="17">
        <f t="shared" si="145"/>
        <v>3</v>
      </c>
      <c r="CQ202" s="17">
        <f t="shared" si="146"/>
        <v>0</v>
      </c>
      <c r="CR202" s="17">
        <f t="shared" si="147"/>
        <v>1</v>
      </c>
      <c r="CS202" s="17">
        <f t="shared" si="148"/>
        <v>5</v>
      </c>
      <c r="CT202" s="17">
        <f t="shared" si="149"/>
        <v>5</v>
      </c>
      <c r="CU202" s="17">
        <f t="shared" si="150"/>
        <v>0</v>
      </c>
      <c r="CV202" s="17">
        <f t="shared" si="151"/>
        <v>1</v>
      </c>
      <c r="CW202" s="17">
        <f t="shared" si="152"/>
        <v>2</v>
      </c>
      <c r="CX202" s="17">
        <f t="shared" si="154"/>
        <v>9</v>
      </c>
      <c r="CY202" s="17">
        <f t="shared" si="154"/>
        <v>-139</v>
      </c>
      <c r="CZ202" s="17">
        <f t="shared" si="154"/>
        <v>0</v>
      </c>
      <c r="DA202" s="17">
        <f t="shared" si="154"/>
        <v>0</v>
      </c>
      <c r="DB202" s="17">
        <f t="shared" si="154"/>
        <v>0</v>
      </c>
      <c r="DC202" s="17">
        <f t="shared" si="154"/>
        <v>0</v>
      </c>
      <c r="DD202" s="17">
        <f t="shared" si="154"/>
        <v>0</v>
      </c>
      <c r="DE202" s="17">
        <f t="shared" si="154"/>
        <v>0</v>
      </c>
      <c r="DF202" s="17">
        <f t="shared" si="154"/>
        <v>0</v>
      </c>
      <c r="DG202" s="17">
        <f t="shared" si="154"/>
        <v>0</v>
      </c>
      <c r="DH202" s="17">
        <f t="shared" si="154"/>
        <v>0</v>
      </c>
      <c r="DI202" s="17">
        <f t="shared" si="154"/>
        <v>0</v>
      </c>
    </row>
    <row r="203" spans="1:113" ht="15.75" x14ac:dyDescent="0.25">
      <c r="A203" s="4" t="s">
        <v>445</v>
      </c>
      <c r="B203" s="6" t="s">
        <v>446</v>
      </c>
      <c r="H203" s="90">
        <f>'Combined data'!H203</f>
        <v>91</v>
      </c>
      <c r="I203" s="90">
        <f>'Combined data'!I203-'Combined data'!H203</f>
        <v>6</v>
      </c>
      <c r="J203" s="90">
        <f>'Combined data'!J203-'Combined data'!I203</f>
        <v>8</v>
      </c>
      <c r="K203" s="90">
        <f>'Combined data'!K203-'Combined data'!J203</f>
        <v>6</v>
      </c>
      <c r="L203" s="90">
        <f>'Combined data'!L203-'Combined data'!K203</f>
        <v>1</v>
      </c>
      <c r="M203" s="90">
        <f>'Combined data'!M203-'Combined data'!L203</f>
        <v>-1</v>
      </c>
      <c r="N203" s="90">
        <f>'Combined data'!N203-'Combined data'!M203</f>
        <v>12</v>
      </c>
      <c r="O203" s="90">
        <f>'Combined data'!O203-'Combined data'!N203</f>
        <v>3</v>
      </c>
      <c r="P203" s="90">
        <f>'Combined data'!P203-'Combined data'!O203</f>
        <v>12</v>
      </c>
      <c r="Q203" s="90">
        <f>'Combined data'!Q203-'Combined data'!P203</f>
        <v>4</v>
      </c>
      <c r="R203" s="90">
        <f>'Combined data'!R203-'Combined data'!Q203</f>
        <v>1</v>
      </c>
      <c r="S203" s="90">
        <f>'Combined data'!S203-'Combined data'!R203</f>
        <v>9</v>
      </c>
      <c r="T203" s="90">
        <f>'Combined data'!T203-'Combined data'!S203</f>
        <v>1</v>
      </c>
      <c r="U203" s="90">
        <f>'Combined data'!U203-'Combined data'!T203</f>
        <v>2</v>
      </c>
      <c r="V203" s="90">
        <f>'Combined data'!V203-'Combined data'!U203</f>
        <v>1</v>
      </c>
      <c r="W203" s="90">
        <f>'Combined data'!W203-'Combined data'!V203</f>
        <v>0</v>
      </c>
      <c r="X203" s="90">
        <f>'Combined data'!X203-'Combined data'!W203</f>
        <v>0</v>
      </c>
      <c r="Y203" s="90">
        <f>'Combined data'!Y203-'Combined data'!X203</f>
        <v>0</v>
      </c>
      <c r="Z203" s="90">
        <f>'Combined data'!Z203-'Combined data'!Y203</f>
        <v>1</v>
      </c>
      <c r="AA203" s="90">
        <f>'Combined data'!AA203-'Combined data'!Z203</f>
        <v>0</v>
      </c>
      <c r="AB203" s="90">
        <f>'Combined data'!AB203-'Combined data'!AA203</f>
        <v>0</v>
      </c>
      <c r="AC203" s="90">
        <f>'Combined data'!AC203-'Combined data'!AB203</f>
        <v>0</v>
      </c>
      <c r="AD203" s="90">
        <f>'Combined data'!AD203-'Combined data'!AC203</f>
        <v>2</v>
      </c>
      <c r="AE203" s="90">
        <f>'Combined data'!AE203-'Combined data'!AD203</f>
        <v>-159</v>
      </c>
      <c r="AF203" s="90">
        <f>'Combined data'!AF203-'Combined data'!AE203</f>
        <v>0</v>
      </c>
      <c r="AG203" s="90">
        <f>'Combined data'!AG203-'Combined data'!AF203</f>
        <v>0</v>
      </c>
      <c r="AH203" s="90">
        <f>'Combined data'!AH203-'Combined data'!AG203</f>
        <v>0</v>
      </c>
      <c r="AI203" s="90">
        <f>'Combined data'!AI203-'Combined data'!AH203</f>
        <v>0</v>
      </c>
      <c r="AJ203" s="90">
        <f>'Combined data'!AJ203-'Combined data'!AI203</f>
        <v>0</v>
      </c>
      <c r="AK203" s="90">
        <f>'Combined data'!AK203-'Combined data'!AJ203</f>
        <v>0</v>
      </c>
      <c r="AL203" s="90">
        <f>'Combined data'!AL203-'Combined data'!AK203</f>
        <v>0</v>
      </c>
      <c r="AM203" s="90">
        <f>'Combined data'!AM203-'Combined data'!AL203</f>
        <v>0</v>
      </c>
      <c r="AN203" s="90">
        <f>'Combined data'!AN203-'Combined data'!AM203</f>
        <v>0</v>
      </c>
      <c r="AO203" s="90">
        <f>'Combined data'!AO203-'Combined data'!AN203</f>
        <v>0</v>
      </c>
      <c r="AP203" s="56">
        <f t="shared" si="155"/>
        <v>0</v>
      </c>
      <c r="AQ203" s="113"/>
      <c r="AR203" s="17">
        <f>'Combined data'!AR203</f>
        <v>53</v>
      </c>
      <c r="AS203" s="17">
        <f>'Combined data'!AS203-'Combined data'!AR203</f>
        <v>6</v>
      </c>
      <c r="AT203" s="17">
        <f>'Combined data'!AT203-'Combined data'!AS203</f>
        <v>0</v>
      </c>
      <c r="AU203" s="17">
        <f>'Combined data'!AU203-'Combined data'!AT203</f>
        <v>6</v>
      </c>
      <c r="AV203" s="17">
        <f>'Combined data'!AV203-'Combined data'!AU203</f>
        <v>6</v>
      </c>
      <c r="AW203" s="17">
        <f>'Combined data'!AW203-'Combined data'!AV203</f>
        <v>3</v>
      </c>
      <c r="AX203" s="17">
        <f>'Combined data'!AX203-'Combined data'!AW203</f>
        <v>6</v>
      </c>
      <c r="AY203" s="17">
        <f>'Combined data'!AY203-'Combined data'!AX203</f>
        <v>2</v>
      </c>
      <c r="AZ203" s="17">
        <f>'Combined data'!AZ203-'Combined data'!AY203</f>
        <v>9</v>
      </c>
      <c r="BA203" s="17">
        <f>'Combined data'!BA203-'Combined data'!AZ203</f>
        <v>7</v>
      </c>
      <c r="BB203" s="17">
        <f>'Combined data'!BB203-'Combined data'!BA203</f>
        <v>3</v>
      </c>
      <c r="BC203" s="17">
        <f>'Combined data'!BC203-'Combined data'!BB203</f>
        <v>3</v>
      </c>
      <c r="BD203" s="17">
        <f>'Combined data'!BD203-'Combined data'!BC203</f>
        <v>8</v>
      </c>
      <c r="BE203" s="17">
        <f>'Combined data'!BE203-'Combined data'!BD203</f>
        <v>2</v>
      </c>
      <c r="BF203" s="17">
        <f>'Combined data'!BF203-'Combined data'!BE203</f>
        <v>9</v>
      </c>
      <c r="BG203" s="17">
        <f>'Combined data'!BG203-'Combined data'!BF203</f>
        <v>0</v>
      </c>
      <c r="BH203" s="17">
        <f>'Combined data'!BH203-'Combined data'!BG203</f>
        <v>1</v>
      </c>
      <c r="BI203" s="17">
        <f>'Combined data'!BI203-'Combined data'!BH203</f>
        <v>1</v>
      </c>
      <c r="BJ203" s="17">
        <f>'Combined data'!BJ203-'Combined data'!BI203</f>
        <v>2</v>
      </c>
      <c r="BK203" s="17">
        <f>'Combined data'!BK203-'Combined data'!BJ203</f>
        <v>0</v>
      </c>
      <c r="BL203" s="17">
        <f>'Combined data'!BL203-'Combined data'!BK203</f>
        <v>2</v>
      </c>
      <c r="BM203" s="17">
        <f>'Combined data'!BM203-'Combined data'!BL203</f>
        <v>-1</v>
      </c>
      <c r="BN203" s="17">
        <f>'Combined data'!BN203-'Combined data'!BM203</f>
        <v>1</v>
      </c>
      <c r="BO203" s="17">
        <f>'Combined data'!BO203-'Combined data'!BN203</f>
        <v>-129</v>
      </c>
      <c r="BP203" s="17">
        <f>'Combined data'!BP203-'Combined data'!BO203</f>
        <v>0</v>
      </c>
      <c r="BQ203" s="17">
        <f>'Combined data'!BQ203-'Combined data'!BP203</f>
        <v>0</v>
      </c>
      <c r="BR203" s="17">
        <f>'Combined data'!BR203-'Combined data'!BQ203</f>
        <v>0</v>
      </c>
      <c r="BS203" s="17">
        <f>'Combined data'!BS203-'Combined data'!BR203</f>
        <v>0</v>
      </c>
      <c r="BT203" s="17">
        <f>'Combined data'!BT203-'Combined data'!BS203</f>
        <v>0</v>
      </c>
      <c r="BU203" s="17">
        <f>'Combined data'!BU203-'Combined data'!BT203</f>
        <v>0</v>
      </c>
      <c r="BV203" s="17">
        <f>'Combined data'!BV203-'Combined data'!BU203</f>
        <v>0</v>
      </c>
      <c r="BW203" s="17">
        <f>'Combined data'!BW203-'Combined data'!BV203</f>
        <v>0</v>
      </c>
      <c r="BX203" s="17">
        <f>'Combined data'!BX203-'Combined data'!BW203</f>
        <v>0</v>
      </c>
      <c r="BY203" s="17">
        <f>'Combined data'!BY203-'Combined data'!BX203</f>
        <v>0</v>
      </c>
      <c r="CB203" s="17">
        <f t="shared" si="131"/>
        <v>53</v>
      </c>
      <c r="CC203" s="17">
        <f t="shared" si="132"/>
        <v>6</v>
      </c>
      <c r="CD203" s="17">
        <f t="shared" si="133"/>
        <v>0</v>
      </c>
      <c r="CE203" s="17">
        <f t="shared" si="134"/>
        <v>6</v>
      </c>
      <c r="CF203" s="17">
        <f t="shared" si="135"/>
        <v>6</v>
      </c>
      <c r="CG203" s="17">
        <f t="shared" si="136"/>
        <v>3</v>
      </c>
      <c r="CH203" s="17">
        <f t="shared" si="137"/>
        <v>6</v>
      </c>
      <c r="CI203" s="17">
        <f t="shared" si="138"/>
        <v>2</v>
      </c>
      <c r="CJ203" s="17">
        <f t="shared" si="139"/>
        <v>9</v>
      </c>
      <c r="CK203" s="17">
        <f t="shared" si="140"/>
        <v>7</v>
      </c>
      <c r="CL203" s="17">
        <f t="shared" si="141"/>
        <v>3</v>
      </c>
      <c r="CM203" s="17">
        <f t="shared" si="142"/>
        <v>3</v>
      </c>
      <c r="CN203" s="17">
        <f t="shared" si="143"/>
        <v>8</v>
      </c>
      <c r="CO203" s="17">
        <f t="shared" si="144"/>
        <v>2</v>
      </c>
      <c r="CP203" s="17">
        <f t="shared" si="145"/>
        <v>9</v>
      </c>
      <c r="CQ203" s="17">
        <f t="shared" si="146"/>
        <v>0</v>
      </c>
      <c r="CR203" s="17">
        <f t="shared" si="147"/>
        <v>1</v>
      </c>
      <c r="CS203" s="17">
        <f t="shared" si="148"/>
        <v>1</v>
      </c>
      <c r="CT203" s="17">
        <f t="shared" si="149"/>
        <v>2</v>
      </c>
      <c r="CU203" s="17">
        <f t="shared" si="150"/>
        <v>0</v>
      </c>
      <c r="CV203" s="17">
        <f t="shared" si="151"/>
        <v>2</v>
      </c>
      <c r="CW203" s="17">
        <f t="shared" si="152"/>
        <v>-1</v>
      </c>
      <c r="CX203" s="17">
        <f t="shared" si="154"/>
        <v>1</v>
      </c>
      <c r="CY203" s="17">
        <f t="shared" si="154"/>
        <v>-129</v>
      </c>
      <c r="CZ203" s="17">
        <f t="shared" si="154"/>
        <v>0</v>
      </c>
      <c r="DA203" s="17">
        <f t="shared" si="154"/>
        <v>0</v>
      </c>
      <c r="DB203" s="17">
        <f t="shared" si="154"/>
        <v>0</v>
      </c>
      <c r="DC203" s="17">
        <f t="shared" si="154"/>
        <v>0</v>
      </c>
      <c r="DD203" s="17">
        <f t="shared" si="154"/>
        <v>0</v>
      </c>
      <c r="DE203" s="17">
        <f t="shared" si="154"/>
        <v>0</v>
      </c>
      <c r="DF203" s="17">
        <f t="shared" si="154"/>
        <v>0</v>
      </c>
      <c r="DG203" s="17">
        <f t="shared" si="154"/>
        <v>0</v>
      </c>
      <c r="DH203" s="17">
        <f t="shared" si="154"/>
        <v>0</v>
      </c>
      <c r="DI203" s="17">
        <f t="shared" si="154"/>
        <v>0</v>
      </c>
    </row>
    <row r="204" spans="1:113" ht="15.75" x14ac:dyDescent="0.25">
      <c r="A204" s="4" t="s">
        <v>447</v>
      </c>
      <c r="B204" s="6" t="s">
        <v>448</v>
      </c>
      <c r="H204" s="90">
        <f>'Combined data'!H204</f>
        <v>5</v>
      </c>
      <c r="I204" s="90">
        <f>'Combined data'!I204-'Combined data'!H204</f>
        <v>0</v>
      </c>
      <c r="J204" s="90">
        <f>'Combined data'!J204-'Combined data'!I204</f>
        <v>0</v>
      </c>
      <c r="K204" s="90">
        <f>'Combined data'!K204-'Combined data'!J204</f>
        <v>0</v>
      </c>
      <c r="L204" s="90">
        <f>'Combined data'!L204-'Combined data'!K204</f>
        <v>0</v>
      </c>
      <c r="M204" s="90">
        <f>'Combined data'!M204-'Combined data'!L204</f>
        <v>0</v>
      </c>
      <c r="N204" s="90">
        <f>'Combined data'!N204-'Combined data'!M204</f>
        <v>5</v>
      </c>
      <c r="O204" s="90">
        <f>'Combined data'!O204-'Combined data'!N204</f>
        <v>0</v>
      </c>
      <c r="P204" s="90">
        <f>'Combined data'!P204-'Combined data'!O204</f>
        <v>0</v>
      </c>
      <c r="Q204" s="90">
        <f>'Combined data'!Q204-'Combined data'!P204</f>
        <v>0</v>
      </c>
      <c r="R204" s="90">
        <f>'Combined data'!R204-'Combined data'!Q204</f>
        <v>-1</v>
      </c>
      <c r="S204" s="90">
        <f>'Combined data'!S204-'Combined data'!R204</f>
        <v>1</v>
      </c>
      <c r="T204" s="90">
        <f>'Combined data'!T204-'Combined data'!S204</f>
        <v>5</v>
      </c>
      <c r="U204" s="90">
        <f>'Combined data'!U204-'Combined data'!T204</f>
        <v>0</v>
      </c>
      <c r="V204" s="90">
        <f>'Combined data'!V204-'Combined data'!U204</f>
        <v>0</v>
      </c>
      <c r="W204" s="90">
        <f>'Combined data'!W204-'Combined data'!V204</f>
        <v>0</v>
      </c>
      <c r="X204" s="90">
        <f>'Combined data'!X204-'Combined data'!W204</f>
        <v>0</v>
      </c>
      <c r="Y204" s="90">
        <f>'Combined data'!Y204-'Combined data'!X204</f>
        <v>0</v>
      </c>
      <c r="Z204" s="90">
        <f>'Combined data'!Z204-'Combined data'!Y204</f>
        <v>-3</v>
      </c>
      <c r="AA204" s="90">
        <f>'Combined data'!AA204-'Combined data'!Z204</f>
        <v>0</v>
      </c>
      <c r="AB204" s="90">
        <f>'Combined data'!AB204-'Combined data'!AA204</f>
        <v>0</v>
      </c>
      <c r="AC204" s="90">
        <f>'Combined data'!AC204-'Combined data'!AB204</f>
        <v>3</v>
      </c>
      <c r="AD204" s="90">
        <f>'Combined data'!AD204-'Combined data'!AC204</f>
        <v>-5</v>
      </c>
      <c r="AE204" s="90">
        <f>'Combined data'!AE204-'Combined data'!AD204</f>
        <v>-10</v>
      </c>
      <c r="AF204" s="90">
        <f>'Combined data'!AF204-'Combined data'!AE204</f>
        <v>0</v>
      </c>
      <c r="AG204" s="90">
        <f>'Combined data'!AG204-'Combined data'!AF204</f>
        <v>0</v>
      </c>
      <c r="AH204" s="90">
        <f>'Combined data'!AH204-'Combined data'!AG204</f>
        <v>0</v>
      </c>
      <c r="AI204" s="90">
        <f>'Combined data'!AI204-'Combined data'!AH204</f>
        <v>0</v>
      </c>
      <c r="AJ204" s="90">
        <f>'Combined data'!AJ204-'Combined data'!AI204</f>
        <v>0</v>
      </c>
      <c r="AK204" s="90">
        <f>'Combined data'!AK204-'Combined data'!AJ204</f>
        <v>0</v>
      </c>
      <c r="AL204" s="90">
        <f>'Combined data'!AL204-'Combined data'!AK204</f>
        <v>0</v>
      </c>
      <c r="AM204" s="90">
        <f>'Combined data'!AM204-'Combined data'!AL204</f>
        <v>0</v>
      </c>
      <c r="AN204" s="90">
        <f>'Combined data'!AN204-'Combined data'!AM204</f>
        <v>0</v>
      </c>
      <c r="AO204" s="90">
        <f>'Combined data'!AO204-'Combined data'!AN204</f>
        <v>0</v>
      </c>
      <c r="AP204" s="56">
        <f t="shared" si="155"/>
        <v>0</v>
      </c>
      <c r="AQ204" s="113"/>
      <c r="AR204" s="17">
        <f>'Combined data'!AR204</f>
        <v>5</v>
      </c>
      <c r="AS204" s="17">
        <f>'Combined data'!AS204-'Combined data'!AR204</f>
        <v>0</v>
      </c>
      <c r="AT204" s="17">
        <f>'Combined data'!AT204-'Combined data'!AS204</f>
        <v>0</v>
      </c>
      <c r="AU204" s="17">
        <f>'Combined data'!AU204-'Combined data'!AT204</f>
        <v>0</v>
      </c>
      <c r="AV204" s="17">
        <f>'Combined data'!AV204-'Combined data'!AU204</f>
        <v>0</v>
      </c>
      <c r="AW204" s="17">
        <f>'Combined data'!AW204-'Combined data'!AV204</f>
        <v>0</v>
      </c>
      <c r="AX204" s="17">
        <f>'Combined data'!AX204-'Combined data'!AW204</f>
        <v>5</v>
      </c>
      <c r="AY204" s="17">
        <f>'Combined data'!AY204-'Combined data'!AX204</f>
        <v>0</v>
      </c>
      <c r="AZ204" s="17">
        <f>'Combined data'!AZ204-'Combined data'!AY204</f>
        <v>0</v>
      </c>
      <c r="BA204" s="17">
        <f>'Combined data'!BA204-'Combined data'!AZ204</f>
        <v>0</v>
      </c>
      <c r="BB204" s="17">
        <f>'Combined data'!BB204-'Combined data'!BA204</f>
        <v>-5</v>
      </c>
      <c r="BC204" s="17">
        <f>'Combined data'!BC204-'Combined data'!BB204</f>
        <v>5</v>
      </c>
      <c r="BD204" s="17">
        <f>'Combined data'!BD204-'Combined data'!BC204</f>
        <v>5</v>
      </c>
      <c r="BE204" s="17">
        <f>'Combined data'!BE204-'Combined data'!BD204</f>
        <v>0</v>
      </c>
      <c r="BF204" s="17">
        <f>'Combined data'!BF204-'Combined data'!BE204</f>
        <v>0</v>
      </c>
      <c r="BG204" s="17">
        <f>'Combined data'!BG204-'Combined data'!BF204</f>
        <v>0</v>
      </c>
      <c r="BH204" s="17">
        <f>'Combined data'!BH204-'Combined data'!BG204</f>
        <v>0</v>
      </c>
      <c r="BI204" s="17">
        <f>'Combined data'!BI204-'Combined data'!BH204</f>
        <v>0</v>
      </c>
      <c r="BJ204" s="17">
        <f>'Combined data'!BJ204-'Combined data'!BI204</f>
        <v>-3</v>
      </c>
      <c r="BK204" s="17">
        <f>'Combined data'!BK204-'Combined data'!BJ204</f>
        <v>0</v>
      </c>
      <c r="BL204" s="17">
        <f>'Combined data'!BL204-'Combined data'!BK204</f>
        <v>0</v>
      </c>
      <c r="BM204" s="17">
        <f>'Combined data'!BM204-'Combined data'!BL204</f>
        <v>3</v>
      </c>
      <c r="BN204" s="17">
        <f>'Combined data'!BN204-'Combined data'!BM204</f>
        <v>-7</v>
      </c>
      <c r="BO204" s="17">
        <f>'Combined data'!BO204-'Combined data'!BN204</f>
        <v>-8</v>
      </c>
      <c r="BP204" s="17">
        <f>'Combined data'!BP204-'Combined data'!BO204</f>
        <v>0</v>
      </c>
      <c r="BQ204" s="17">
        <f>'Combined data'!BQ204-'Combined data'!BP204</f>
        <v>0</v>
      </c>
      <c r="BR204" s="17">
        <f>'Combined data'!BR204-'Combined data'!BQ204</f>
        <v>0</v>
      </c>
      <c r="BS204" s="17">
        <f>'Combined data'!BS204-'Combined data'!BR204</f>
        <v>0</v>
      </c>
      <c r="BT204" s="17">
        <f>'Combined data'!BT204-'Combined data'!BS204</f>
        <v>0</v>
      </c>
      <c r="BU204" s="17">
        <f>'Combined data'!BU204-'Combined data'!BT204</f>
        <v>0</v>
      </c>
      <c r="BV204" s="17">
        <f>'Combined data'!BV204-'Combined data'!BU204</f>
        <v>0</v>
      </c>
      <c r="BW204" s="17">
        <f>'Combined data'!BW204-'Combined data'!BV204</f>
        <v>0</v>
      </c>
      <c r="BX204" s="17">
        <f>'Combined data'!BX204-'Combined data'!BW204</f>
        <v>0</v>
      </c>
      <c r="BY204" s="17">
        <f>'Combined data'!BY204-'Combined data'!BX204</f>
        <v>0</v>
      </c>
      <c r="CB204" s="17">
        <f t="shared" si="131"/>
        <v>5</v>
      </c>
      <c r="CC204" s="17">
        <f t="shared" si="132"/>
        <v>0</v>
      </c>
      <c r="CD204" s="17">
        <f t="shared" si="133"/>
        <v>0</v>
      </c>
      <c r="CE204" s="17">
        <f t="shared" si="134"/>
        <v>0</v>
      </c>
      <c r="CF204" s="17">
        <f t="shared" si="135"/>
        <v>0</v>
      </c>
      <c r="CG204" s="17">
        <f t="shared" si="136"/>
        <v>0</v>
      </c>
      <c r="CH204" s="17">
        <f t="shared" si="137"/>
        <v>5</v>
      </c>
      <c r="CI204" s="17">
        <f t="shared" si="138"/>
        <v>0</v>
      </c>
      <c r="CJ204" s="17">
        <f t="shared" si="139"/>
        <v>0</v>
      </c>
      <c r="CK204" s="17">
        <f t="shared" si="140"/>
        <v>0</v>
      </c>
      <c r="CL204" s="17">
        <f t="shared" si="141"/>
        <v>-5</v>
      </c>
      <c r="CM204" s="17">
        <f t="shared" si="142"/>
        <v>5</v>
      </c>
      <c r="CN204" s="17">
        <f t="shared" si="143"/>
        <v>5</v>
      </c>
      <c r="CO204" s="17">
        <f t="shared" si="144"/>
        <v>0</v>
      </c>
      <c r="CP204" s="17">
        <f t="shared" si="145"/>
        <v>0</v>
      </c>
      <c r="CQ204" s="17">
        <f t="shared" si="146"/>
        <v>0</v>
      </c>
      <c r="CR204" s="17">
        <f t="shared" si="147"/>
        <v>0</v>
      </c>
      <c r="CS204" s="17">
        <f t="shared" si="148"/>
        <v>0</v>
      </c>
      <c r="CT204" s="17">
        <f t="shared" si="149"/>
        <v>-3</v>
      </c>
      <c r="CU204" s="17">
        <f t="shared" si="150"/>
        <v>0</v>
      </c>
      <c r="CV204" s="17">
        <f t="shared" si="151"/>
        <v>0</v>
      </c>
      <c r="CW204" s="17">
        <f t="shared" si="152"/>
        <v>3</v>
      </c>
      <c r="CX204" s="17">
        <f t="shared" si="154"/>
        <v>-7</v>
      </c>
      <c r="CY204" s="17">
        <f t="shared" si="154"/>
        <v>-8</v>
      </c>
      <c r="CZ204" s="17">
        <f t="shared" si="154"/>
        <v>0</v>
      </c>
      <c r="DA204" s="17">
        <f t="shared" si="154"/>
        <v>0</v>
      </c>
      <c r="DB204" s="17">
        <f t="shared" si="154"/>
        <v>0</v>
      </c>
      <c r="DC204" s="17">
        <f t="shared" si="154"/>
        <v>0</v>
      </c>
      <c r="DD204" s="17">
        <f t="shared" si="154"/>
        <v>0</v>
      </c>
      <c r="DE204" s="17">
        <f t="shared" si="154"/>
        <v>0</v>
      </c>
      <c r="DF204" s="17">
        <f t="shared" si="154"/>
        <v>0</v>
      </c>
      <c r="DG204" s="17">
        <f t="shared" si="154"/>
        <v>0</v>
      </c>
      <c r="DH204" s="17">
        <f t="shared" si="154"/>
        <v>0</v>
      </c>
      <c r="DI204" s="17">
        <f t="shared" si="154"/>
        <v>0</v>
      </c>
    </row>
    <row r="205" spans="1:113" ht="15.75" x14ac:dyDescent="0.25">
      <c r="A205" s="4" t="s">
        <v>526</v>
      </c>
      <c r="B205" s="6" t="s">
        <v>527</v>
      </c>
      <c r="H205" s="90">
        <f>'Combined data'!H205</f>
        <v>88</v>
      </c>
      <c r="I205" s="90">
        <f>'Combined data'!I205-'Combined data'!H205</f>
        <v>2</v>
      </c>
      <c r="J205" s="90">
        <f>'Combined data'!J205-'Combined data'!I205</f>
        <v>7</v>
      </c>
      <c r="K205" s="90">
        <f>'Combined data'!K205-'Combined data'!J205</f>
        <v>3</v>
      </c>
      <c r="L205" s="90">
        <f>'Combined data'!L205-'Combined data'!K205</f>
        <v>0</v>
      </c>
      <c r="M205" s="90">
        <f>'Combined data'!M205-'Combined data'!L205</f>
        <v>2</v>
      </c>
      <c r="N205" s="90">
        <f>'Combined data'!N205-'Combined data'!M205</f>
        <v>9</v>
      </c>
      <c r="O205" s="90">
        <f>'Combined data'!O205-'Combined data'!N205</f>
        <v>0</v>
      </c>
      <c r="P205" s="90">
        <f>'Combined data'!P205-'Combined data'!O205</f>
        <v>5</v>
      </c>
      <c r="Q205" s="90">
        <f>'Combined data'!Q205-'Combined data'!P205</f>
        <v>1</v>
      </c>
      <c r="R205" s="90">
        <f>'Combined data'!R205-'Combined data'!Q205</f>
        <v>0</v>
      </c>
      <c r="S205" s="90">
        <f>'Combined data'!S205-'Combined data'!R205</f>
        <v>0</v>
      </c>
      <c r="T205" s="90">
        <f>'Combined data'!T205-'Combined data'!S205</f>
        <v>1</v>
      </c>
      <c r="U205" s="90">
        <f>'Combined data'!U205-'Combined data'!T205</f>
        <v>2</v>
      </c>
      <c r="V205" s="90">
        <f>'Combined data'!V205-'Combined data'!U205</f>
        <v>3</v>
      </c>
      <c r="W205" s="90">
        <f>'Combined data'!W205-'Combined data'!V205</f>
        <v>0</v>
      </c>
      <c r="X205" s="90">
        <f>'Combined data'!X205-'Combined data'!W205</f>
        <v>0</v>
      </c>
      <c r="Y205" s="90">
        <f>'Combined data'!Y205-'Combined data'!X205</f>
        <v>1</v>
      </c>
      <c r="Z205" s="90">
        <f>'Combined data'!Z205-'Combined data'!Y205</f>
        <v>1</v>
      </c>
      <c r="AA205" s="90">
        <f>'Combined data'!AA205-'Combined data'!Z205</f>
        <v>1</v>
      </c>
      <c r="AB205" s="90">
        <f>'Combined data'!AB205-'Combined data'!AA205</f>
        <v>1</v>
      </c>
      <c r="AC205" s="90">
        <f>'Combined data'!AC205-'Combined data'!AB205</f>
        <v>-1</v>
      </c>
      <c r="AD205" s="90">
        <f>'Combined data'!AD205-'Combined data'!AC205</f>
        <v>0</v>
      </c>
      <c r="AE205" s="90">
        <f>'Combined data'!AE205-'Combined data'!AD205</f>
        <v>-126</v>
      </c>
      <c r="AF205" s="90">
        <f>'Combined data'!AF205-'Combined data'!AE205</f>
        <v>0</v>
      </c>
      <c r="AG205" s="90">
        <f>'Combined data'!AG205-'Combined data'!AF205</f>
        <v>0</v>
      </c>
      <c r="AH205" s="90">
        <f>'Combined data'!AH205-'Combined data'!AG205</f>
        <v>0</v>
      </c>
      <c r="AI205" s="90">
        <f>'Combined data'!AI205-'Combined data'!AH205</f>
        <v>0</v>
      </c>
      <c r="AJ205" s="90">
        <f>'Combined data'!AJ205-'Combined data'!AI205</f>
        <v>0</v>
      </c>
      <c r="AK205" s="90">
        <f>'Combined data'!AK205-'Combined data'!AJ205</f>
        <v>0</v>
      </c>
      <c r="AL205" s="90">
        <f>'Combined data'!AL205-'Combined data'!AK205</f>
        <v>0</v>
      </c>
      <c r="AM205" s="90">
        <f>'Combined data'!AM205-'Combined data'!AL205</f>
        <v>0</v>
      </c>
      <c r="AN205" s="90">
        <f>'Combined data'!AN205-'Combined data'!AM205</f>
        <v>0</v>
      </c>
      <c r="AO205" s="90">
        <f>'Combined data'!AO205-'Combined data'!AN205</f>
        <v>0</v>
      </c>
      <c r="AP205" s="56">
        <f t="shared" si="155"/>
        <v>0</v>
      </c>
      <c r="AQ205" s="113"/>
      <c r="AR205" s="17">
        <f>'Combined data'!AR205</f>
        <v>56</v>
      </c>
      <c r="AS205" s="17">
        <f>'Combined data'!AS205-'Combined data'!AR205</f>
        <v>8</v>
      </c>
      <c r="AT205" s="17">
        <f>'Combined data'!AT205-'Combined data'!AS205</f>
        <v>0</v>
      </c>
      <c r="AU205" s="17">
        <f>'Combined data'!AU205-'Combined data'!AT205</f>
        <v>1</v>
      </c>
      <c r="AV205" s="17">
        <f>'Combined data'!AV205-'Combined data'!AU205</f>
        <v>5</v>
      </c>
      <c r="AW205" s="17">
        <f>'Combined data'!AW205-'Combined data'!AV205</f>
        <v>7</v>
      </c>
      <c r="AX205" s="17">
        <f>'Combined data'!AX205-'Combined data'!AW205</f>
        <v>1</v>
      </c>
      <c r="AY205" s="17">
        <f>'Combined data'!AY205-'Combined data'!AX205</f>
        <v>0</v>
      </c>
      <c r="AZ205" s="17">
        <f>'Combined data'!AZ205-'Combined data'!AY205</f>
        <v>7</v>
      </c>
      <c r="BA205" s="17">
        <f>'Combined data'!BA205-'Combined data'!AZ205</f>
        <v>1</v>
      </c>
      <c r="BB205" s="17">
        <f>'Combined data'!BB205-'Combined data'!BA205</f>
        <v>7</v>
      </c>
      <c r="BC205" s="17">
        <f>'Combined data'!BC205-'Combined data'!BB205</f>
        <v>1</v>
      </c>
      <c r="BD205" s="17">
        <f>'Combined data'!BD205-'Combined data'!BC205</f>
        <v>0</v>
      </c>
      <c r="BE205" s="17">
        <f>'Combined data'!BE205-'Combined data'!BD205</f>
        <v>3</v>
      </c>
      <c r="BF205" s="17">
        <f>'Combined data'!BF205-'Combined data'!BE205</f>
        <v>6</v>
      </c>
      <c r="BG205" s="17">
        <f>'Combined data'!BG205-'Combined data'!BF205</f>
        <v>0</v>
      </c>
      <c r="BH205" s="17">
        <f>'Combined data'!BH205-'Combined data'!BG205</f>
        <v>1</v>
      </c>
      <c r="BI205" s="17">
        <f>'Combined data'!BI205-'Combined data'!BH205</f>
        <v>0</v>
      </c>
      <c r="BJ205" s="17">
        <f>'Combined data'!BJ205-'Combined data'!BI205</f>
        <v>3</v>
      </c>
      <c r="BK205" s="17">
        <f>'Combined data'!BK205-'Combined data'!BJ205</f>
        <v>0</v>
      </c>
      <c r="BL205" s="17">
        <f>'Combined data'!BL205-'Combined data'!BK205</f>
        <v>1</v>
      </c>
      <c r="BM205" s="17">
        <f>'Combined data'!BM205-'Combined data'!BL205</f>
        <v>1</v>
      </c>
      <c r="BN205" s="17">
        <f>'Combined data'!BN205-'Combined data'!BM205</f>
        <v>-1</v>
      </c>
      <c r="BO205" s="17">
        <f>'Combined data'!BO205-'Combined data'!BN205</f>
        <v>-108</v>
      </c>
      <c r="BP205" s="17">
        <f>'Combined data'!BP205-'Combined data'!BO205</f>
        <v>0</v>
      </c>
      <c r="BQ205" s="17">
        <f>'Combined data'!BQ205-'Combined data'!BP205</f>
        <v>0</v>
      </c>
      <c r="BR205" s="17">
        <f>'Combined data'!BR205-'Combined data'!BQ205</f>
        <v>0</v>
      </c>
      <c r="BS205" s="17">
        <f>'Combined data'!BS205-'Combined data'!BR205</f>
        <v>0</v>
      </c>
      <c r="BT205" s="17">
        <f>'Combined data'!BT205-'Combined data'!BS205</f>
        <v>0</v>
      </c>
      <c r="BU205" s="17">
        <f>'Combined data'!BU205-'Combined data'!BT205</f>
        <v>0</v>
      </c>
      <c r="BV205" s="17">
        <f>'Combined data'!BV205-'Combined data'!BU205</f>
        <v>0</v>
      </c>
      <c r="BW205" s="17">
        <f>'Combined data'!BW205-'Combined data'!BV205</f>
        <v>0</v>
      </c>
      <c r="BX205" s="17">
        <f>'Combined data'!BX205-'Combined data'!BW205</f>
        <v>0</v>
      </c>
      <c r="BY205" s="17">
        <f>'Combined data'!BY205-'Combined data'!BX205</f>
        <v>0</v>
      </c>
      <c r="CB205" s="17">
        <f t="shared" si="131"/>
        <v>56</v>
      </c>
      <c r="CC205" s="17">
        <f t="shared" si="132"/>
        <v>8</v>
      </c>
      <c r="CD205" s="17">
        <f t="shared" si="133"/>
        <v>0</v>
      </c>
      <c r="CE205" s="17">
        <f t="shared" si="134"/>
        <v>1</v>
      </c>
      <c r="CF205" s="17">
        <f t="shared" si="135"/>
        <v>5</v>
      </c>
      <c r="CG205" s="17">
        <f t="shared" si="136"/>
        <v>7</v>
      </c>
      <c r="CH205" s="17">
        <f t="shared" si="137"/>
        <v>1</v>
      </c>
      <c r="CI205" s="17">
        <f t="shared" si="138"/>
        <v>0</v>
      </c>
      <c r="CJ205" s="17">
        <f t="shared" si="139"/>
        <v>7</v>
      </c>
      <c r="CK205" s="17">
        <f t="shared" si="140"/>
        <v>1</v>
      </c>
      <c r="CL205" s="17">
        <f t="shared" si="141"/>
        <v>7</v>
      </c>
      <c r="CM205" s="17">
        <f t="shared" si="142"/>
        <v>1</v>
      </c>
      <c r="CN205" s="17">
        <f t="shared" si="143"/>
        <v>0</v>
      </c>
      <c r="CO205" s="17">
        <f t="shared" si="144"/>
        <v>3</v>
      </c>
      <c r="CP205" s="17">
        <f t="shared" si="145"/>
        <v>6</v>
      </c>
      <c r="CQ205" s="17">
        <f t="shared" si="146"/>
        <v>0</v>
      </c>
      <c r="CR205" s="17">
        <f t="shared" si="147"/>
        <v>1</v>
      </c>
      <c r="CS205" s="17">
        <f t="shared" si="148"/>
        <v>0</v>
      </c>
      <c r="CT205" s="17">
        <f t="shared" si="149"/>
        <v>3</v>
      </c>
      <c r="CU205" s="17">
        <f t="shared" si="150"/>
        <v>0</v>
      </c>
      <c r="CV205" s="17">
        <f t="shared" si="151"/>
        <v>1</v>
      </c>
      <c r="CW205" s="17">
        <f t="shared" si="152"/>
        <v>1</v>
      </c>
      <c r="CX205" s="17">
        <f t="shared" si="154"/>
        <v>-1</v>
      </c>
      <c r="CY205" s="17">
        <f t="shared" si="154"/>
        <v>-108</v>
      </c>
      <c r="CZ205" s="17">
        <f t="shared" si="154"/>
        <v>0</v>
      </c>
      <c r="DA205" s="17">
        <f t="shared" si="154"/>
        <v>0</v>
      </c>
      <c r="DB205" s="17">
        <f t="shared" si="154"/>
        <v>0</v>
      </c>
      <c r="DC205" s="17">
        <f t="shared" si="154"/>
        <v>0</v>
      </c>
      <c r="DD205" s="17">
        <f t="shared" si="154"/>
        <v>0</v>
      </c>
      <c r="DE205" s="17">
        <f t="shared" si="154"/>
        <v>0</v>
      </c>
      <c r="DF205" s="17">
        <f t="shared" si="154"/>
        <v>0</v>
      </c>
      <c r="DG205" s="17">
        <f t="shared" si="154"/>
        <v>0</v>
      </c>
      <c r="DH205" s="17">
        <f t="shared" si="154"/>
        <v>0</v>
      </c>
      <c r="DI205" s="17">
        <f t="shared" si="154"/>
        <v>0</v>
      </c>
    </row>
    <row r="206" spans="1:113" ht="15.75" x14ac:dyDescent="0.25">
      <c r="A206" s="4"/>
      <c r="B206" s="6"/>
      <c r="H206" s="93" t="s">
        <v>529</v>
      </c>
      <c r="I206" s="106"/>
      <c r="J206" s="106"/>
      <c r="K206" s="106"/>
      <c r="L206" s="106"/>
      <c r="M206" s="106"/>
      <c r="N206" s="106"/>
      <c r="O206" s="106"/>
      <c r="P206" s="91"/>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56">
        <f t="shared" si="155"/>
        <v>0</v>
      </c>
      <c r="AQ206" s="112"/>
      <c r="AR206" s="26"/>
      <c r="AS206" s="4" t="s">
        <v>529</v>
      </c>
      <c r="AT206" s="4"/>
      <c r="AU206" s="4"/>
      <c r="AV206" s="4"/>
      <c r="AW206" s="4"/>
      <c r="AX206" s="4"/>
      <c r="AY206" s="4"/>
      <c r="AZ206" s="24" t="s">
        <v>529</v>
      </c>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CB206" s="26">
        <f t="shared" si="131"/>
        <v>0</v>
      </c>
      <c r="CC206" s="4" t="str">
        <f t="shared" si="132"/>
        <v xml:space="preserve"> </v>
      </c>
      <c r="CD206" s="4">
        <f t="shared" si="133"/>
        <v>0</v>
      </c>
      <c r="CE206" s="4">
        <f t="shared" si="134"/>
        <v>0</v>
      </c>
      <c r="CF206" s="4">
        <f t="shared" si="135"/>
        <v>0</v>
      </c>
      <c r="CG206" s="4">
        <f t="shared" si="136"/>
        <v>0</v>
      </c>
      <c r="CH206" s="4">
        <f t="shared" si="137"/>
        <v>0</v>
      </c>
      <c r="CI206" s="4">
        <f t="shared" si="138"/>
        <v>0</v>
      </c>
      <c r="CJ206" s="24" t="str">
        <f t="shared" si="139"/>
        <v xml:space="preserve"> </v>
      </c>
      <c r="CK206" s="4">
        <f t="shared" si="140"/>
        <v>0</v>
      </c>
      <c r="CL206" s="4">
        <f t="shared" si="141"/>
        <v>0</v>
      </c>
      <c r="CM206" s="4">
        <f t="shared" si="142"/>
        <v>0</v>
      </c>
      <c r="CN206" s="4">
        <f t="shared" si="143"/>
        <v>0</v>
      </c>
      <c r="CO206" s="4">
        <f t="shared" si="144"/>
        <v>0</v>
      </c>
      <c r="CP206" s="4">
        <f t="shared" si="145"/>
        <v>0</v>
      </c>
      <c r="CQ206" s="4">
        <f t="shared" si="146"/>
        <v>0</v>
      </c>
      <c r="CR206" s="4">
        <f t="shared" si="147"/>
        <v>0</v>
      </c>
      <c r="CS206" s="4">
        <f t="shared" si="148"/>
        <v>0</v>
      </c>
      <c r="CT206" s="4">
        <f t="shared" si="149"/>
        <v>0</v>
      </c>
      <c r="CU206" s="4">
        <f t="shared" si="150"/>
        <v>0</v>
      </c>
      <c r="CV206" s="4">
        <f t="shared" si="151"/>
        <v>0</v>
      </c>
      <c r="CW206" s="4">
        <f t="shared" si="152"/>
        <v>0</v>
      </c>
      <c r="CX206" s="4">
        <f t="shared" ref="CX206:DI207" si="156">BN206</f>
        <v>0</v>
      </c>
      <c r="CY206" s="4">
        <f t="shared" si="156"/>
        <v>0</v>
      </c>
      <c r="CZ206" s="4">
        <f t="shared" si="156"/>
        <v>0</v>
      </c>
      <c r="DA206" s="4">
        <f t="shared" si="156"/>
        <v>0</v>
      </c>
      <c r="DB206" s="4">
        <f t="shared" si="156"/>
        <v>0</v>
      </c>
      <c r="DC206" s="4">
        <f t="shared" si="156"/>
        <v>0</v>
      </c>
      <c r="DD206" s="4">
        <f t="shared" si="156"/>
        <v>0</v>
      </c>
      <c r="DE206" s="4">
        <f t="shared" si="156"/>
        <v>0</v>
      </c>
      <c r="DF206" s="4">
        <f t="shared" si="156"/>
        <v>0</v>
      </c>
      <c r="DG206" s="4">
        <f t="shared" si="156"/>
        <v>0</v>
      </c>
      <c r="DH206" s="4">
        <f t="shared" si="156"/>
        <v>0</v>
      </c>
      <c r="DI206" s="4">
        <f t="shared" si="156"/>
        <v>0</v>
      </c>
    </row>
    <row r="207" spans="1:113" ht="15.75" x14ac:dyDescent="0.25">
      <c r="A207" s="8" t="s">
        <v>5</v>
      </c>
      <c r="B207" s="11"/>
      <c r="H207" s="92">
        <f>SUM(H174:H206)</f>
        <v>2722</v>
      </c>
      <c r="I207" s="92">
        <f t="shared" ref="I207:AC207" si="157">SUM(I174:I206)</f>
        <v>176</v>
      </c>
      <c r="J207" s="92">
        <f t="shared" si="157"/>
        <v>184</v>
      </c>
      <c r="K207" s="92">
        <f t="shared" si="157"/>
        <v>183</v>
      </c>
      <c r="L207" s="92">
        <f t="shared" si="157"/>
        <v>89</v>
      </c>
      <c r="M207" s="92">
        <f t="shared" si="157"/>
        <v>77</v>
      </c>
      <c r="N207" s="92">
        <f t="shared" si="157"/>
        <v>237</v>
      </c>
      <c r="O207" s="92">
        <f t="shared" si="157"/>
        <v>98</v>
      </c>
      <c r="P207" s="92">
        <f t="shared" si="157"/>
        <v>130</v>
      </c>
      <c r="Q207" s="92">
        <f t="shared" si="157"/>
        <v>80</v>
      </c>
      <c r="R207" s="92">
        <f t="shared" si="157"/>
        <v>39</v>
      </c>
      <c r="S207" s="92">
        <f t="shared" si="157"/>
        <v>102</v>
      </c>
      <c r="T207" s="92">
        <f t="shared" si="157"/>
        <v>72</v>
      </c>
      <c r="U207" s="92">
        <f t="shared" si="157"/>
        <v>116</v>
      </c>
      <c r="V207" s="92">
        <f t="shared" si="157"/>
        <v>77</v>
      </c>
      <c r="W207" s="92">
        <f t="shared" si="157"/>
        <v>57</v>
      </c>
      <c r="X207" s="92">
        <f t="shared" si="157"/>
        <v>38</v>
      </c>
      <c r="Y207" s="92">
        <f t="shared" si="157"/>
        <v>56</v>
      </c>
      <c r="Z207" s="92">
        <f t="shared" si="157"/>
        <v>74</v>
      </c>
      <c r="AA207" s="92">
        <f t="shared" si="157"/>
        <v>33</v>
      </c>
      <c r="AB207" s="92">
        <f t="shared" si="157"/>
        <v>32</v>
      </c>
      <c r="AC207" s="92">
        <f t="shared" si="157"/>
        <v>20</v>
      </c>
      <c r="AD207" s="92">
        <f t="shared" ref="AD207" si="158">SUM(AD174:AD206)</f>
        <v>68</v>
      </c>
      <c r="AE207" s="92">
        <f t="shared" ref="AE207:AN207" si="159">SUM(AE174:AE206)</f>
        <v>-4760</v>
      </c>
      <c r="AF207" s="92">
        <f t="shared" si="159"/>
        <v>0</v>
      </c>
      <c r="AG207" s="92">
        <f t="shared" si="159"/>
        <v>0</v>
      </c>
      <c r="AH207" s="92">
        <f t="shared" si="159"/>
        <v>0</v>
      </c>
      <c r="AI207" s="92">
        <f t="shared" si="159"/>
        <v>0</v>
      </c>
      <c r="AJ207" s="92">
        <f t="shared" si="159"/>
        <v>0</v>
      </c>
      <c r="AK207" s="92">
        <f t="shared" si="159"/>
        <v>0</v>
      </c>
      <c r="AL207" s="92">
        <f t="shared" si="159"/>
        <v>0</v>
      </c>
      <c r="AM207" s="92">
        <f t="shared" si="159"/>
        <v>0</v>
      </c>
      <c r="AN207" s="92">
        <f t="shared" si="159"/>
        <v>0</v>
      </c>
      <c r="AO207" s="92">
        <f t="shared" ref="AO207" si="160">SUM(AO174:AO206)</f>
        <v>0</v>
      </c>
      <c r="AP207" s="56">
        <f t="shared" si="155"/>
        <v>0</v>
      </c>
      <c r="AQ207" s="113"/>
      <c r="AR207" s="18">
        <f>SUM(AR174:AR205)</f>
        <v>1291</v>
      </c>
      <c r="AS207" s="18">
        <f t="shared" ref="AS207:BM207" si="161">SUM(AS174:AS205)</f>
        <v>211</v>
      </c>
      <c r="AT207" s="18">
        <f t="shared" si="161"/>
        <v>171</v>
      </c>
      <c r="AU207" s="18">
        <f t="shared" si="161"/>
        <v>194</v>
      </c>
      <c r="AV207" s="18">
        <f t="shared" si="161"/>
        <v>179</v>
      </c>
      <c r="AW207" s="18">
        <f t="shared" si="161"/>
        <v>106</v>
      </c>
      <c r="AX207" s="18">
        <f t="shared" si="161"/>
        <v>220</v>
      </c>
      <c r="AY207" s="18">
        <f t="shared" si="161"/>
        <v>128</v>
      </c>
      <c r="AZ207" s="18">
        <f t="shared" si="161"/>
        <v>147</v>
      </c>
      <c r="BA207" s="18">
        <f t="shared" si="161"/>
        <v>157</v>
      </c>
      <c r="BB207" s="18">
        <f t="shared" si="161"/>
        <v>78</v>
      </c>
      <c r="BC207" s="18">
        <f t="shared" si="161"/>
        <v>152</v>
      </c>
      <c r="BD207" s="18">
        <f t="shared" si="161"/>
        <v>117</v>
      </c>
      <c r="BE207" s="18">
        <f t="shared" si="161"/>
        <v>91</v>
      </c>
      <c r="BF207" s="18">
        <f t="shared" si="161"/>
        <v>71</v>
      </c>
      <c r="BG207" s="18">
        <f t="shared" si="161"/>
        <v>26</v>
      </c>
      <c r="BH207" s="18">
        <f t="shared" si="161"/>
        <v>67</v>
      </c>
      <c r="BI207" s="18">
        <f t="shared" si="161"/>
        <v>70</v>
      </c>
      <c r="BJ207" s="18">
        <f t="shared" si="161"/>
        <v>45</v>
      </c>
      <c r="BK207" s="18">
        <f t="shared" si="161"/>
        <v>59</v>
      </c>
      <c r="BL207" s="18">
        <f t="shared" si="161"/>
        <v>86</v>
      </c>
      <c r="BM207" s="18">
        <f t="shared" si="161"/>
        <v>35</v>
      </c>
      <c r="BN207" s="18">
        <f t="shared" ref="BN207:BY207" si="162">SUM(BN174:BN205)</f>
        <v>22</v>
      </c>
      <c r="BO207" s="18">
        <f t="shared" si="162"/>
        <v>-3723</v>
      </c>
      <c r="BP207" s="18">
        <f t="shared" si="162"/>
        <v>0</v>
      </c>
      <c r="BQ207" s="18">
        <f t="shared" si="162"/>
        <v>0</v>
      </c>
      <c r="BR207" s="18">
        <f t="shared" si="162"/>
        <v>0</v>
      </c>
      <c r="BS207" s="18">
        <f t="shared" si="162"/>
        <v>0</v>
      </c>
      <c r="BT207" s="18">
        <f t="shared" si="162"/>
        <v>0</v>
      </c>
      <c r="BU207" s="18">
        <f t="shared" si="162"/>
        <v>0</v>
      </c>
      <c r="BV207" s="18">
        <f t="shared" si="162"/>
        <v>0</v>
      </c>
      <c r="BW207" s="18">
        <f t="shared" si="162"/>
        <v>0</v>
      </c>
      <c r="BX207" s="18">
        <f t="shared" si="162"/>
        <v>0</v>
      </c>
      <c r="BY207" s="18">
        <f t="shared" si="162"/>
        <v>0</v>
      </c>
      <c r="CB207" s="18">
        <f t="shared" si="131"/>
        <v>1291</v>
      </c>
      <c r="CC207" s="18">
        <f t="shared" si="132"/>
        <v>211</v>
      </c>
      <c r="CD207" s="18">
        <f t="shared" si="133"/>
        <v>171</v>
      </c>
      <c r="CE207" s="18">
        <f t="shared" si="134"/>
        <v>194</v>
      </c>
      <c r="CF207" s="18">
        <f t="shared" si="135"/>
        <v>179</v>
      </c>
      <c r="CG207" s="18">
        <f t="shared" si="136"/>
        <v>106</v>
      </c>
      <c r="CH207" s="18">
        <f t="shared" si="137"/>
        <v>220</v>
      </c>
      <c r="CI207" s="18">
        <f t="shared" si="138"/>
        <v>128</v>
      </c>
      <c r="CJ207" s="18">
        <f t="shared" si="139"/>
        <v>147</v>
      </c>
      <c r="CK207" s="18">
        <f t="shared" si="140"/>
        <v>157</v>
      </c>
      <c r="CL207" s="18">
        <f t="shared" si="141"/>
        <v>78</v>
      </c>
      <c r="CM207" s="18">
        <f t="shared" si="142"/>
        <v>152</v>
      </c>
      <c r="CN207" s="18">
        <f t="shared" si="143"/>
        <v>117</v>
      </c>
      <c r="CO207" s="18">
        <f t="shared" si="144"/>
        <v>91</v>
      </c>
      <c r="CP207" s="18">
        <f t="shared" si="145"/>
        <v>71</v>
      </c>
      <c r="CQ207" s="18">
        <f t="shared" si="146"/>
        <v>26</v>
      </c>
      <c r="CR207" s="18">
        <f t="shared" si="147"/>
        <v>67</v>
      </c>
      <c r="CS207" s="18">
        <f t="shared" si="148"/>
        <v>70</v>
      </c>
      <c r="CT207" s="18">
        <f t="shared" si="149"/>
        <v>45</v>
      </c>
      <c r="CU207" s="18">
        <f t="shared" si="150"/>
        <v>59</v>
      </c>
      <c r="CV207" s="18">
        <f t="shared" si="151"/>
        <v>86</v>
      </c>
      <c r="CW207" s="18">
        <f t="shared" si="152"/>
        <v>35</v>
      </c>
      <c r="CX207" s="18">
        <f t="shared" si="156"/>
        <v>22</v>
      </c>
      <c r="CY207" s="18">
        <f t="shared" si="156"/>
        <v>-3723</v>
      </c>
      <c r="CZ207" s="18">
        <f t="shared" si="156"/>
        <v>0</v>
      </c>
      <c r="DA207" s="18">
        <f t="shared" si="156"/>
        <v>0</v>
      </c>
      <c r="DB207" s="18">
        <f t="shared" si="156"/>
        <v>0</v>
      </c>
      <c r="DC207" s="18">
        <f t="shared" si="156"/>
        <v>0</v>
      </c>
      <c r="DD207" s="18">
        <f t="shared" si="156"/>
        <v>0</v>
      </c>
      <c r="DE207" s="18">
        <f t="shared" si="156"/>
        <v>0</v>
      </c>
      <c r="DF207" s="18">
        <f t="shared" si="156"/>
        <v>0</v>
      </c>
      <c r="DG207" s="18">
        <f t="shared" si="156"/>
        <v>0</v>
      </c>
      <c r="DH207" s="18">
        <f t="shared" si="156"/>
        <v>0</v>
      </c>
      <c r="DI207" s="18">
        <f t="shared" si="156"/>
        <v>0</v>
      </c>
    </row>
    <row r="208" spans="1:113" ht="15.75" x14ac:dyDescent="0.25">
      <c r="A208" s="4"/>
      <c r="B208" s="6"/>
      <c r="H208" s="93"/>
      <c r="I208" s="106"/>
      <c r="J208" s="106"/>
      <c r="K208" s="106"/>
      <c r="L208" s="106"/>
      <c r="M208" s="106"/>
      <c r="N208" s="106"/>
      <c r="O208" s="106"/>
      <c r="P208" s="91"/>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56">
        <f t="shared" si="155"/>
        <v>0</v>
      </c>
      <c r="AQ208" s="112"/>
      <c r="AR208" s="26"/>
      <c r="AS208" s="4"/>
      <c r="AT208" s="4"/>
      <c r="AU208" s="4"/>
      <c r="AV208" s="4"/>
      <c r="AW208" s="4"/>
      <c r="AX208" s="4"/>
      <c r="AY208" s="4"/>
      <c r="AZ208" s="2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CB208" s="26"/>
      <c r="CC208" s="4"/>
      <c r="CD208" s="4"/>
      <c r="CE208" s="4"/>
      <c r="CF208" s="4"/>
      <c r="CG208" s="4"/>
      <c r="CH208" s="4"/>
      <c r="CI208" s="4"/>
      <c r="CJ208" s="2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row>
    <row r="209" spans="1:113" ht="15.75" x14ac:dyDescent="0.25">
      <c r="A209" s="33"/>
      <c r="B209" s="33"/>
      <c r="H209" s="101"/>
      <c r="I209" s="101"/>
      <c r="J209" s="101"/>
      <c r="K209" s="101"/>
      <c r="L209" s="101"/>
      <c r="M209" s="101"/>
      <c r="N209" s="101"/>
      <c r="O209" s="101"/>
      <c r="P209" s="92"/>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56">
        <f t="shared" si="155"/>
        <v>0</v>
      </c>
      <c r="AQ209" s="112"/>
      <c r="AR209" s="39"/>
      <c r="AS209" s="32"/>
      <c r="AT209" s="32"/>
      <c r="AU209" s="32"/>
      <c r="AV209" s="32"/>
      <c r="AW209" s="32"/>
      <c r="AX209" s="32"/>
      <c r="AY209" s="32"/>
      <c r="AZ209" s="18"/>
      <c r="BA209" s="32"/>
      <c r="BB209" s="32"/>
      <c r="BC209" s="32"/>
      <c r="BD209" s="32"/>
      <c r="BE209" s="32"/>
      <c r="BF209" s="32"/>
      <c r="BG209" s="32"/>
      <c r="BH209" s="32"/>
      <c r="BI209" s="32"/>
      <c r="BJ209" s="32"/>
      <c r="BK209" s="32"/>
      <c r="BL209" s="32"/>
      <c r="BM209" s="32"/>
      <c r="BN209" s="32"/>
      <c r="BO209" s="32"/>
      <c r="BP209" s="32"/>
      <c r="BQ209" s="32"/>
      <c r="BR209" s="32"/>
      <c r="BS209" s="32"/>
      <c r="BT209" s="32"/>
      <c r="BU209" s="32"/>
      <c r="BV209" s="32"/>
      <c r="BW209" s="32"/>
      <c r="BX209" s="32"/>
      <c r="BY209" s="32"/>
      <c r="CB209" s="39"/>
      <c r="CC209" s="32"/>
      <c r="CD209" s="32"/>
      <c r="CE209" s="32"/>
      <c r="CF209" s="32"/>
      <c r="CG209" s="32"/>
      <c r="CH209" s="32"/>
      <c r="CI209" s="32"/>
      <c r="CJ209" s="18"/>
      <c r="CK209" s="32"/>
      <c r="CL209" s="32"/>
      <c r="CM209" s="32"/>
      <c r="CN209" s="32"/>
      <c r="CO209" s="32"/>
      <c r="CP209" s="32"/>
      <c r="CQ209" s="32"/>
      <c r="CR209" s="32"/>
      <c r="CS209" s="32"/>
      <c r="CT209" s="32"/>
      <c r="CU209" s="32"/>
      <c r="CV209" s="32"/>
      <c r="CW209" s="32"/>
      <c r="CX209" s="32"/>
      <c r="CY209" s="32"/>
      <c r="CZ209" s="32"/>
      <c r="DA209" s="32"/>
      <c r="DB209" s="32"/>
      <c r="DC209" s="32"/>
      <c r="DD209" s="32"/>
      <c r="DE209" s="32"/>
      <c r="DF209" s="32"/>
      <c r="DG209" s="32"/>
      <c r="DH209" s="32"/>
      <c r="DI209" s="32"/>
    </row>
    <row r="210" spans="1:113" ht="15.75" x14ac:dyDescent="0.25">
      <c r="A210" s="4"/>
      <c r="B210" s="6"/>
      <c r="H210" s="93"/>
      <c r="I210" s="106"/>
      <c r="J210" s="106"/>
      <c r="K210" s="106"/>
      <c r="L210" s="106"/>
      <c r="M210" s="106"/>
      <c r="N210" s="106"/>
      <c r="O210" s="106"/>
      <c r="P210" s="91"/>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56">
        <f t="shared" si="155"/>
        <v>0</v>
      </c>
      <c r="AQ210" s="112"/>
      <c r="AR210" s="26"/>
      <c r="AS210" s="4"/>
      <c r="AT210" s="4"/>
      <c r="AU210" s="4"/>
      <c r="AV210" s="4"/>
      <c r="AW210" s="4"/>
      <c r="AX210" s="4"/>
      <c r="AY210" s="4"/>
      <c r="AZ210" s="2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CB210" s="26"/>
      <c r="CC210" s="4"/>
      <c r="CD210" s="4"/>
      <c r="CE210" s="4"/>
      <c r="CF210" s="4"/>
      <c r="CG210" s="4"/>
      <c r="CH210" s="4"/>
      <c r="CI210" s="4"/>
      <c r="CJ210" s="2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row>
    <row r="211" spans="1:113" ht="15.75" x14ac:dyDescent="0.25">
      <c r="A211" s="8" t="s">
        <v>528</v>
      </c>
      <c r="B211" s="11"/>
      <c r="H211" s="99">
        <v>4982</v>
      </c>
      <c r="I211" s="90">
        <f>'Combined data'!I211-'Combined data'!H211</f>
        <v>584</v>
      </c>
      <c r="J211" s="90">
        <f>'Combined data'!J211-'Combined data'!I211</f>
        <v>950</v>
      </c>
      <c r="K211" s="90">
        <f>'Combined data'!K211-'Combined data'!J211</f>
        <v>1126</v>
      </c>
      <c r="L211" s="90">
        <f>'Combined data'!L211-'Combined data'!K211</f>
        <v>541</v>
      </c>
      <c r="M211" s="90">
        <f>'Combined data'!M211-'Combined data'!L211</f>
        <v>464</v>
      </c>
      <c r="N211" s="90">
        <f>'Combined data'!N211-'Combined data'!M211</f>
        <v>3063</v>
      </c>
      <c r="O211" s="90">
        <f>'Combined data'!O211-'Combined data'!N211</f>
        <v>1972</v>
      </c>
      <c r="P211" s="90">
        <f>'Combined data'!P211-'Combined data'!O211</f>
        <v>3695</v>
      </c>
      <c r="Q211" s="90">
        <f>'Combined data'!Q211-'Combined data'!P211</f>
        <v>3228</v>
      </c>
      <c r="R211" s="90">
        <f>'Combined data'!R211-'Combined data'!Q211</f>
        <v>3206</v>
      </c>
      <c r="S211" s="90">
        <f>'Combined data'!S211-'Combined data'!R211</f>
        <v>2776</v>
      </c>
      <c r="T211" s="90">
        <f>'Combined data'!T211-'Combined data'!S211</f>
        <v>2253</v>
      </c>
      <c r="U211" s="90">
        <f>'Combined data'!U211-'Combined data'!T211</f>
        <v>780</v>
      </c>
      <c r="V211" s="90">
        <f>'Combined data'!V211-'Combined data'!U211</f>
        <v>183</v>
      </c>
      <c r="W211" s="90">
        <f>'Combined data'!W211-'Combined data'!V211</f>
        <v>27</v>
      </c>
      <c r="X211" s="90">
        <f>'Combined data'!X211-'Combined data'!W211</f>
        <v>162</v>
      </c>
      <c r="Y211" s="90">
        <f>'Combined data'!Y211-'Combined data'!X211</f>
        <v>297</v>
      </c>
      <c r="Z211" s="90">
        <f>'Combined data'!Z211-'Combined data'!Y211</f>
        <v>159</v>
      </c>
      <c r="AA211" s="90">
        <f>'Combined data'!AA211-'Combined data'!Z211</f>
        <v>44</v>
      </c>
      <c r="AB211" s="90">
        <f>'Combined data'!AB211-'Combined data'!AA211</f>
        <v>64</v>
      </c>
      <c r="AC211" s="90">
        <f>'Combined data'!AC211-'Combined data'!AB211</f>
        <v>-36</v>
      </c>
      <c r="AD211" s="90">
        <f>'Combined data'!AD211-'Combined data'!AC211</f>
        <v>77</v>
      </c>
      <c r="AE211" s="90">
        <f>'Combined data'!AE211-'Combined data'!AD211</f>
        <v>-30597</v>
      </c>
      <c r="AF211" s="90">
        <f>'Combined data'!AF211-'Combined data'!AE211</f>
        <v>0</v>
      </c>
      <c r="AG211" s="90">
        <f>'Combined data'!AG211-'Combined data'!AF211</f>
        <v>0</v>
      </c>
      <c r="AH211" s="90">
        <f>'Combined data'!AH211-'Combined data'!AG211</f>
        <v>0</v>
      </c>
      <c r="AI211" s="90">
        <f>'Combined data'!AI211-'Combined data'!AH211</f>
        <v>0</v>
      </c>
      <c r="AJ211" s="90">
        <f>'Combined data'!AJ211-'Combined data'!AI211</f>
        <v>0</v>
      </c>
      <c r="AK211" s="90">
        <f>'Combined data'!AK211-'Combined data'!AJ211</f>
        <v>0</v>
      </c>
      <c r="AL211" s="90">
        <f>'Combined data'!AL211-'Combined data'!AK211</f>
        <v>0</v>
      </c>
      <c r="AM211" s="90">
        <f>'Combined data'!AM211-'Combined data'!AL211</f>
        <v>0</v>
      </c>
      <c r="AN211" s="90">
        <f>'Combined data'!AN211-'Combined data'!AM211</f>
        <v>0</v>
      </c>
      <c r="AO211" s="90">
        <f>'Combined data'!AO211-'Combined data'!AN211</f>
        <v>0</v>
      </c>
      <c r="AP211" s="56">
        <f t="shared" si="155"/>
        <v>0</v>
      </c>
      <c r="AQ211" s="113"/>
      <c r="AR211" s="18">
        <v>855</v>
      </c>
      <c r="AS211" s="17">
        <f>'Combined data'!AS211-'Combined data'!AR211</f>
        <v>287</v>
      </c>
      <c r="AT211" s="17">
        <f>'Combined data'!AT211-'Combined data'!AS211</f>
        <v>304</v>
      </c>
      <c r="AU211" s="17">
        <f>'Combined data'!AU211-'Combined data'!AT211</f>
        <v>441</v>
      </c>
      <c r="AV211" s="17">
        <f>'Combined data'!AV211-'Combined data'!AU211</f>
        <v>349</v>
      </c>
      <c r="AW211" s="17">
        <f>'Combined data'!AW211-'Combined data'!AV211</f>
        <v>395</v>
      </c>
      <c r="AX211" s="17">
        <f>'Combined data'!AX211-'Combined data'!AW211</f>
        <v>727</v>
      </c>
      <c r="AY211" s="17">
        <f>'Combined data'!AY211-'Combined data'!AX211</f>
        <v>520</v>
      </c>
      <c r="AZ211" s="17">
        <f>'Combined data'!AZ211-'Combined data'!AY211</f>
        <v>788</v>
      </c>
      <c r="BA211" s="17">
        <f>'Combined data'!BA211-'Combined data'!AZ211</f>
        <v>791</v>
      </c>
      <c r="BB211" s="17">
        <f>'Combined data'!BB211-'Combined data'!BA211</f>
        <v>706</v>
      </c>
      <c r="BC211" s="17">
        <f>'Combined data'!BC211-'Combined data'!BB211</f>
        <v>1391</v>
      </c>
      <c r="BD211" s="17">
        <f>'Combined data'!BD211-'Combined data'!BC211</f>
        <v>1326</v>
      </c>
      <c r="BE211" s="17">
        <f>'Combined data'!BE211-'Combined data'!BD211</f>
        <v>1176</v>
      </c>
      <c r="BF211" s="17">
        <f>'Combined data'!BF211-'Combined data'!BE211</f>
        <v>919</v>
      </c>
      <c r="BG211" s="17">
        <f>'Combined data'!BG211-'Combined data'!BF211</f>
        <v>663</v>
      </c>
      <c r="BH211" s="17">
        <f>'Combined data'!BH211-'Combined data'!BG211</f>
        <v>752</v>
      </c>
      <c r="BI211" s="17">
        <f>'Combined data'!BI211-'Combined data'!BH211</f>
        <v>808</v>
      </c>
      <c r="BJ211" s="17">
        <f>'Combined data'!BJ211-'Combined data'!BI211</f>
        <v>886</v>
      </c>
      <c r="BK211" s="17">
        <f>'Combined data'!BK211-'Combined data'!BJ211</f>
        <v>768</v>
      </c>
      <c r="BL211" s="17">
        <f>'Combined data'!BL211-'Combined data'!BK211</f>
        <v>957</v>
      </c>
      <c r="BM211" s="17">
        <f>'Combined data'!BM211-'Combined data'!BL211</f>
        <v>560</v>
      </c>
      <c r="BN211" s="17">
        <f>'Combined data'!BN211-'Combined data'!BM211</f>
        <v>499</v>
      </c>
      <c r="BO211" s="17">
        <f>'Combined data'!BO211-'Combined data'!BN211</f>
        <v>-16868</v>
      </c>
      <c r="BP211" s="17">
        <f>'Combined data'!BP211-'Combined data'!BO211</f>
        <v>0</v>
      </c>
      <c r="BQ211" s="17">
        <f>'Combined data'!BQ211-'Combined data'!BP211</f>
        <v>0</v>
      </c>
      <c r="BR211" s="17">
        <f>'Combined data'!BR211-'Combined data'!BQ211</f>
        <v>0</v>
      </c>
      <c r="BS211" s="17">
        <f>'Combined data'!BS211-'Combined data'!BR211</f>
        <v>0</v>
      </c>
      <c r="BT211" s="17">
        <f>'Combined data'!BT211-'Combined data'!BS211</f>
        <v>0</v>
      </c>
      <c r="BU211" s="17">
        <f>'Combined data'!BU211-'Combined data'!BT211</f>
        <v>0</v>
      </c>
      <c r="BV211" s="17">
        <f>'Combined data'!BV211-'Combined data'!BU211</f>
        <v>0</v>
      </c>
      <c r="BW211" s="17">
        <f>'Combined data'!BW211-'Combined data'!BV211</f>
        <v>0</v>
      </c>
      <c r="BX211" s="17">
        <f>'Combined data'!BX211-'Combined data'!BW211</f>
        <v>0</v>
      </c>
      <c r="BY211" s="17">
        <f>'Combined data'!BY211-'Combined data'!BX211</f>
        <v>0</v>
      </c>
      <c r="CB211" s="18">
        <f t="shared" ref="CB211:CW211" si="163">AR211</f>
        <v>855</v>
      </c>
      <c r="CC211" s="17">
        <f t="shared" si="163"/>
        <v>287</v>
      </c>
      <c r="CD211" s="17">
        <f t="shared" si="163"/>
        <v>304</v>
      </c>
      <c r="CE211" s="17">
        <f t="shared" si="163"/>
        <v>441</v>
      </c>
      <c r="CF211" s="17">
        <f t="shared" si="163"/>
        <v>349</v>
      </c>
      <c r="CG211" s="17">
        <f t="shared" si="163"/>
        <v>395</v>
      </c>
      <c r="CH211" s="17">
        <f t="shared" si="163"/>
        <v>727</v>
      </c>
      <c r="CI211" s="17">
        <f t="shared" si="163"/>
        <v>520</v>
      </c>
      <c r="CJ211" s="17">
        <f t="shared" si="163"/>
        <v>788</v>
      </c>
      <c r="CK211" s="17">
        <f t="shared" si="163"/>
        <v>791</v>
      </c>
      <c r="CL211" s="17">
        <f t="shared" si="163"/>
        <v>706</v>
      </c>
      <c r="CM211" s="17">
        <f t="shared" si="163"/>
        <v>1391</v>
      </c>
      <c r="CN211" s="17">
        <f t="shared" si="163"/>
        <v>1326</v>
      </c>
      <c r="CO211" s="17">
        <f t="shared" si="163"/>
        <v>1176</v>
      </c>
      <c r="CP211" s="17">
        <f t="shared" si="163"/>
        <v>919</v>
      </c>
      <c r="CQ211" s="17">
        <f t="shared" si="163"/>
        <v>663</v>
      </c>
      <c r="CR211" s="17">
        <f t="shared" si="163"/>
        <v>752</v>
      </c>
      <c r="CS211" s="17">
        <f t="shared" si="163"/>
        <v>808</v>
      </c>
      <c r="CT211" s="17">
        <f t="shared" si="163"/>
        <v>886</v>
      </c>
      <c r="CU211" s="17">
        <f t="shared" si="163"/>
        <v>768</v>
      </c>
      <c r="CV211" s="17">
        <f t="shared" si="163"/>
        <v>957</v>
      </c>
      <c r="CW211" s="17">
        <f t="shared" si="163"/>
        <v>560</v>
      </c>
      <c r="CX211" s="17">
        <f t="shared" ref="CX211:DI211" si="164">BN211</f>
        <v>499</v>
      </c>
      <c r="CY211" s="17">
        <f t="shared" si="164"/>
        <v>-16868</v>
      </c>
      <c r="CZ211" s="17">
        <f t="shared" si="164"/>
        <v>0</v>
      </c>
      <c r="DA211" s="17">
        <f t="shared" si="164"/>
        <v>0</v>
      </c>
      <c r="DB211" s="17">
        <f t="shared" si="164"/>
        <v>0</v>
      </c>
      <c r="DC211" s="17">
        <f t="shared" si="164"/>
        <v>0</v>
      </c>
      <c r="DD211" s="17">
        <f t="shared" si="164"/>
        <v>0</v>
      </c>
      <c r="DE211" s="17">
        <f t="shared" si="164"/>
        <v>0</v>
      </c>
      <c r="DF211" s="17">
        <f t="shared" si="164"/>
        <v>0</v>
      </c>
      <c r="DG211" s="17">
        <f t="shared" si="164"/>
        <v>0</v>
      </c>
      <c r="DH211" s="17">
        <f t="shared" si="164"/>
        <v>0</v>
      </c>
      <c r="DI211" s="17">
        <f t="shared" si="164"/>
        <v>0</v>
      </c>
    </row>
    <row r="212" spans="1:113" ht="15.75" x14ac:dyDescent="0.25">
      <c r="A212" s="4"/>
      <c r="B212" s="6"/>
      <c r="H212" s="98"/>
      <c r="I212" s="106"/>
      <c r="J212" s="106"/>
      <c r="K212" s="106"/>
      <c r="L212" s="106"/>
      <c r="M212" s="106"/>
      <c r="N212" s="106"/>
      <c r="O212" s="106"/>
      <c r="P212" s="100"/>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56">
        <f t="shared" si="155"/>
        <v>0</v>
      </c>
      <c r="AQ212" s="112"/>
      <c r="AR212" s="26"/>
      <c r="AS212" s="34"/>
      <c r="AT212" s="34"/>
      <c r="AU212" s="34"/>
      <c r="AV212" s="34"/>
      <c r="AW212" s="34"/>
      <c r="AX212" s="34"/>
      <c r="AY212" s="34"/>
      <c r="AZ212" s="36"/>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CB212" s="26"/>
      <c r="CC212" s="34"/>
      <c r="CD212" s="34"/>
      <c r="CE212" s="34"/>
      <c r="CF212" s="34"/>
      <c r="CG212" s="34"/>
      <c r="CH212" s="34"/>
      <c r="CI212" s="34"/>
      <c r="CJ212" s="36"/>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row>
    <row r="213" spans="1:113" ht="15.75" x14ac:dyDescent="0.25">
      <c r="A213" s="8" t="s">
        <v>501</v>
      </c>
      <c r="B213" s="11"/>
      <c r="H213" s="92">
        <f>H211+H207</f>
        <v>7704</v>
      </c>
      <c r="I213" s="92">
        <f t="shared" ref="I213:AC213" si="165">I211+I207</f>
        <v>760</v>
      </c>
      <c r="J213" s="92">
        <f t="shared" si="165"/>
        <v>1134</v>
      </c>
      <c r="K213" s="92">
        <f t="shared" si="165"/>
        <v>1309</v>
      </c>
      <c r="L213" s="92">
        <f t="shared" si="165"/>
        <v>630</v>
      </c>
      <c r="M213" s="92">
        <f t="shared" si="165"/>
        <v>541</v>
      </c>
      <c r="N213" s="92">
        <f t="shared" si="165"/>
        <v>3300</v>
      </c>
      <c r="O213" s="92">
        <f t="shared" si="165"/>
        <v>2070</v>
      </c>
      <c r="P213" s="92">
        <f t="shared" si="165"/>
        <v>3825</v>
      </c>
      <c r="Q213" s="92">
        <f t="shared" si="165"/>
        <v>3308</v>
      </c>
      <c r="R213" s="92">
        <f t="shared" si="165"/>
        <v>3245</v>
      </c>
      <c r="S213" s="92">
        <f t="shared" si="165"/>
        <v>2878</v>
      </c>
      <c r="T213" s="92">
        <f t="shared" si="165"/>
        <v>2325</v>
      </c>
      <c r="U213" s="92">
        <f t="shared" si="165"/>
        <v>896</v>
      </c>
      <c r="V213" s="92">
        <f t="shared" si="165"/>
        <v>260</v>
      </c>
      <c r="W213" s="92">
        <f t="shared" si="165"/>
        <v>84</v>
      </c>
      <c r="X213" s="92">
        <f t="shared" si="165"/>
        <v>200</v>
      </c>
      <c r="Y213" s="92">
        <f t="shared" si="165"/>
        <v>353</v>
      </c>
      <c r="Z213" s="92">
        <f t="shared" si="165"/>
        <v>233</v>
      </c>
      <c r="AA213" s="92">
        <f t="shared" si="165"/>
        <v>77</v>
      </c>
      <c r="AB213" s="92">
        <f t="shared" si="165"/>
        <v>96</v>
      </c>
      <c r="AC213" s="92">
        <f t="shared" si="165"/>
        <v>-16</v>
      </c>
      <c r="AD213" s="92">
        <f t="shared" ref="AD213" si="166">AD211+AD207</f>
        <v>145</v>
      </c>
      <c r="AE213" s="92">
        <f t="shared" ref="AE213:AN213" si="167">AE211+AE207</f>
        <v>-35357</v>
      </c>
      <c r="AF213" s="92">
        <f t="shared" si="167"/>
        <v>0</v>
      </c>
      <c r="AG213" s="92">
        <f t="shared" si="167"/>
        <v>0</v>
      </c>
      <c r="AH213" s="92">
        <f t="shared" si="167"/>
        <v>0</v>
      </c>
      <c r="AI213" s="92">
        <f t="shared" si="167"/>
        <v>0</v>
      </c>
      <c r="AJ213" s="92">
        <f t="shared" si="167"/>
        <v>0</v>
      </c>
      <c r="AK213" s="92">
        <f t="shared" si="167"/>
        <v>0</v>
      </c>
      <c r="AL213" s="92">
        <f t="shared" si="167"/>
        <v>0</v>
      </c>
      <c r="AM213" s="92">
        <f t="shared" si="167"/>
        <v>0</v>
      </c>
      <c r="AN213" s="92">
        <f t="shared" si="167"/>
        <v>0</v>
      </c>
      <c r="AO213" s="92">
        <f t="shared" ref="AO213" si="168">AO211+AO207</f>
        <v>0</v>
      </c>
      <c r="AP213" s="56">
        <f t="shared" si="155"/>
        <v>0</v>
      </c>
      <c r="AQ213" s="113"/>
      <c r="AR213" s="18">
        <f>AR211+AR207</f>
        <v>2146</v>
      </c>
      <c r="AS213" s="18">
        <f t="shared" ref="AS213:BM213" si="169">AS211+AS207</f>
        <v>498</v>
      </c>
      <c r="AT213" s="18">
        <f t="shared" si="169"/>
        <v>475</v>
      </c>
      <c r="AU213" s="18">
        <f t="shared" si="169"/>
        <v>635</v>
      </c>
      <c r="AV213" s="18">
        <f t="shared" si="169"/>
        <v>528</v>
      </c>
      <c r="AW213" s="18">
        <f t="shared" si="169"/>
        <v>501</v>
      </c>
      <c r="AX213" s="18">
        <f t="shared" si="169"/>
        <v>947</v>
      </c>
      <c r="AY213" s="18">
        <f t="shared" si="169"/>
        <v>648</v>
      </c>
      <c r="AZ213" s="18">
        <f t="shared" si="169"/>
        <v>935</v>
      </c>
      <c r="BA213" s="18">
        <f t="shared" si="169"/>
        <v>948</v>
      </c>
      <c r="BB213" s="18">
        <f t="shared" si="169"/>
        <v>784</v>
      </c>
      <c r="BC213" s="18">
        <f t="shared" si="169"/>
        <v>1543</v>
      </c>
      <c r="BD213" s="18">
        <f t="shared" si="169"/>
        <v>1443</v>
      </c>
      <c r="BE213" s="18">
        <f t="shared" si="169"/>
        <v>1267</v>
      </c>
      <c r="BF213" s="18">
        <f t="shared" si="169"/>
        <v>990</v>
      </c>
      <c r="BG213" s="18">
        <f t="shared" si="169"/>
        <v>689</v>
      </c>
      <c r="BH213" s="18">
        <f t="shared" si="169"/>
        <v>819</v>
      </c>
      <c r="BI213" s="18">
        <f t="shared" si="169"/>
        <v>878</v>
      </c>
      <c r="BJ213" s="18">
        <f t="shared" si="169"/>
        <v>931</v>
      </c>
      <c r="BK213" s="18">
        <f t="shared" si="169"/>
        <v>827</v>
      </c>
      <c r="BL213" s="18">
        <f t="shared" si="169"/>
        <v>1043</v>
      </c>
      <c r="BM213" s="18">
        <f t="shared" si="169"/>
        <v>595</v>
      </c>
      <c r="BN213" s="18">
        <f t="shared" ref="BN213:BY213" si="170">BN211+BN207</f>
        <v>521</v>
      </c>
      <c r="BO213" s="18">
        <f t="shared" si="170"/>
        <v>-20591</v>
      </c>
      <c r="BP213" s="18">
        <f t="shared" si="170"/>
        <v>0</v>
      </c>
      <c r="BQ213" s="18">
        <f t="shared" si="170"/>
        <v>0</v>
      </c>
      <c r="BR213" s="18">
        <f t="shared" si="170"/>
        <v>0</v>
      </c>
      <c r="BS213" s="18">
        <f t="shared" si="170"/>
        <v>0</v>
      </c>
      <c r="BT213" s="18">
        <f t="shared" si="170"/>
        <v>0</v>
      </c>
      <c r="BU213" s="18">
        <f t="shared" si="170"/>
        <v>0</v>
      </c>
      <c r="BV213" s="18">
        <f t="shared" si="170"/>
        <v>0</v>
      </c>
      <c r="BW213" s="18">
        <f t="shared" si="170"/>
        <v>0</v>
      </c>
      <c r="BX213" s="18">
        <f t="shared" si="170"/>
        <v>0</v>
      </c>
      <c r="BY213" s="18">
        <f t="shared" si="170"/>
        <v>0</v>
      </c>
      <c r="CB213" s="18">
        <f t="shared" ref="CB213:CW213" si="171">AR213</f>
        <v>2146</v>
      </c>
      <c r="CC213" s="18">
        <f t="shared" si="171"/>
        <v>498</v>
      </c>
      <c r="CD213" s="18">
        <f t="shared" si="171"/>
        <v>475</v>
      </c>
      <c r="CE213" s="18">
        <f t="shared" si="171"/>
        <v>635</v>
      </c>
      <c r="CF213" s="18">
        <f t="shared" si="171"/>
        <v>528</v>
      </c>
      <c r="CG213" s="18">
        <f t="shared" si="171"/>
        <v>501</v>
      </c>
      <c r="CH213" s="18">
        <f t="shared" si="171"/>
        <v>947</v>
      </c>
      <c r="CI213" s="18">
        <f t="shared" si="171"/>
        <v>648</v>
      </c>
      <c r="CJ213" s="18">
        <f t="shared" si="171"/>
        <v>935</v>
      </c>
      <c r="CK213" s="18">
        <f t="shared" si="171"/>
        <v>948</v>
      </c>
      <c r="CL213" s="18">
        <f t="shared" si="171"/>
        <v>784</v>
      </c>
      <c r="CM213" s="18">
        <f t="shared" si="171"/>
        <v>1543</v>
      </c>
      <c r="CN213" s="18">
        <f t="shared" si="171"/>
        <v>1443</v>
      </c>
      <c r="CO213" s="18">
        <f t="shared" si="171"/>
        <v>1267</v>
      </c>
      <c r="CP213" s="18">
        <f t="shared" si="171"/>
        <v>990</v>
      </c>
      <c r="CQ213" s="18">
        <f t="shared" si="171"/>
        <v>689</v>
      </c>
      <c r="CR213" s="18">
        <f t="shared" si="171"/>
        <v>819</v>
      </c>
      <c r="CS213" s="18">
        <f t="shared" si="171"/>
        <v>878</v>
      </c>
      <c r="CT213" s="18">
        <f t="shared" si="171"/>
        <v>931</v>
      </c>
      <c r="CU213" s="18">
        <f t="shared" si="171"/>
        <v>827</v>
      </c>
      <c r="CV213" s="18">
        <f t="shared" si="171"/>
        <v>1043</v>
      </c>
      <c r="CW213" s="18">
        <f t="shared" si="171"/>
        <v>595</v>
      </c>
      <c r="CX213" s="18">
        <f t="shared" ref="CX213:DI213" si="172">BN213</f>
        <v>521</v>
      </c>
      <c r="CY213" s="18">
        <f t="shared" si="172"/>
        <v>-20591</v>
      </c>
      <c r="CZ213" s="18">
        <f t="shared" si="172"/>
        <v>0</v>
      </c>
      <c r="DA213" s="18">
        <f t="shared" si="172"/>
        <v>0</v>
      </c>
      <c r="DB213" s="18">
        <f t="shared" si="172"/>
        <v>0</v>
      </c>
      <c r="DC213" s="18">
        <f t="shared" si="172"/>
        <v>0</v>
      </c>
      <c r="DD213" s="18">
        <f t="shared" si="172"/>
        <v>0</v>
      </c>
      <c r="DE213" s="18">
        <f t="shared" si="172"/>
        <v>0</v>
      </c>
      <c r="DF213" s="18">
        <f t="shared" si="172"/>
        <v>0</v>
      </c>
      <c r="DG213" s="18">
        <f t="shared" si="172"/>
        <v>0</v>
      </c>
      <c r="DH213" s="18">
        <f t="shared" si="172"/>
        <v>0</v>
      </c>
      <c r="DI213" s="18">
        <f t="shared" si="172"/>
        <v>0</v>
      </c>
    </row>
    <row r="214" spans="1:113" ht="16.5" thickBot="1" x14ac:dyDescent="0.3">
      <c r="A214" s="12"/>
      <c r="B214" s="13"/>
      <c r="H214" s="102"/>
      <c r="I214" s="107"/>
      <c r="J214" s="107"/>
      <c r="K214" s="107"/>
      <c r="L214" s="107"/>
      <c r="M214" s="107"/>
      <c r="N214" s="107"/>
      <c r="O214" s="107"/>
      <c r="P214" s="103"/>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56">
        <f t="shared" si="155"/>
        <v>0</v>
      </c>
      <c r="AQ214" s="112"/>
      <c r="AR214" s="40"/>
      <c r="AS214" s="12"/>
      <c r="AT214" s="12"/>
      <c r="AU214" s="12"/>
      <c r="AV214" s="12"/>
      <c r="AW214" s="12"/>
      <c r="AX214" s="12"/>
      <c r="AY214" s="12"/>
      <c r="AZ214" s="37"/>
      <c r="BA214" s="12"/>
      <c r="BB214" s="12"/>
      <c r="BC214" s="12"/>
      <c r="BD214" s="12"/>
      <c r="BE214" s="12"/>
      <c r="BF214" s="12"/>
      <c r="BG214" s="12"/>
      <c r="BH214" s="12"/>
      <c r="BI214" s="12"/>
      <c r="BJ214" s="12"/>
      <c r="BK214" s="12"/>
      <c r="BL214" s="12"/>
      <c r="BM214" s="12"/>
      <c r="BN214" s="12"/>
      <c r="BO214" s="12"/>
      <c r="BP214" s="12"/>
      <c r="BQ214" s="12"/>
      <c r="BR214" s="12"/>
      <c r="BS214" s="12"/>
      <c r="BT214" s="12"/>
      <c r="BU214" s="12"/>
      <c r="BV214" s="12"/>
      <c r="BW214" s="12"/>
      <c r="BX214" s="12"/>
      <c r="BY214" s="12"/>
      <c r="CB214" s="40"/>
      <c r="CC214" s="12"/>
      <c r="CD214" s="12"/>
      <c r="CE214" s="12"/>
      <c r="CF214" s="12"/>
      <c r="CG214" s="12"/>
      <c r="CH214" s="12"/>
      <c r="CI214" s="12"/>
      <c r="CJ214" s="37"/>
      <c r="CK214" s="12"/>
      <c r="CL214" s="12"/>
      <c r="CM214" s="12"/>
      <c r="CN214" s="12"/>
      <c r="CO214" s="12"/>
      <c r="CP214" s="12"/>
      <c r="CQ214" s="12"/>
      <c r="CR214" s="12"/>
      <c r="CS214" s="12"/>
      <c r="CT214" s="12"/>
      <c r="CU214" s="12"/>
      <c r="CV214" s="12"/>
      <c r="CW214" s="12"/>
      <c r="CX214" s="12"/>
      <c r="CY214" s="12"/>
      <c r="CZ214" s="12"/>
      <c r="DA214" s="12"/>
      <c r="DB214" s="12"/>
      <c r="DC214" s="12"/>
      <c r="DD214" s="12"/>
      <c r="DE214" s="12"/>
      <c r="DF214" s="12"/>
      <c r="DG214" s="12"/>
      <c r="DH214" s="12"/>
      <c r="DI214" s="12"/>
    </row>
    <row r="215" spans="1:113" ht="15.75" x14ac:dyDescent="0.25">
      <c r="AP215" s="56">
        <f t="shared" si="155"/>
        <v>0</v>
      </c>
      <c r="AQ215" s="112"/>
    </row>
    <row r="216" spans="1:113" ht="20.25" x14ac:dyDescent="0.3">
      <c r="A216" s="1" t="s">
        <v>0</v>
      </c>
      <c r="B216" s="2"/>
      <c r="AP216" s="56">
        <f t="shared" si="155"/>
        <v>0</v>
      </c>
      <c r="AQ216" s="112"/>
    </row>
    <row r="217" spans="1:113" ht="15.75" x14ac:dyDescent="0.25">
      <c r="A217" s="3" t="s">
        <v>1</v>
      </c>
      <c r="B217" s="2"/>
      <c r="AP217" s="56">
        <f t="shared" si="155"/>
        <v>0</v>
      </c>
      <c r="AQ217" s="112"/>
    </row>
    <row r="218" spans="1:113" ht="15.75" x14ac:dyDescent="0.25">
      <c r="A218" s="4" t="s">
        <v>2</v>
      </c>
      <c r="B218" s="2"/>
      <c r="AP218" s="56">
        <f t="shared" si="155"/>
        <v>0</v>
      </c>
      <c r="AQ218" s="112"/>
    </row>
    <row r="219" spans="1:113" ht="15.75" x14ac:dyDescent="0.25">
      <c r="A219" s="5" t="s">
        <v>454</v>
      </c>
      <c r="B219" s="6"/>
      <c r="AP219" s="56">
        <f t="shared" si="155"/>
        <v>0</v>
      </c>
      <c r="AQ219" s="112"/>
    </row>
    <row r="220" spans="1:113" ht="15.75" x14ac:dyDescent="0.25">
      <c r="A220" s="7"/>
      <c r="B220" s="6"/>
      <c r="AP220" s="56">
        <f t="shared" si="155"/>
        <v>0</v>
      </c>
      <c r="AQ220" s="112"/>
    </row>
    <row r="221" spans="1:113" ht="15.75" x14ac:dyDescent="0.25">
      <c r="A221" s="8" t="s">
        <v>455</v>
      </c>
      <c r="B221" s="30"/>
      <c r="AP221" s="56">
        <f t="shared" si="155"/>
        <v>0</v>
      </c>
      <c r="AQ221" s="112"/>
    </row>
    <row r="222" spans="1:113" ht="15.75" x14ac:dyDescent="0.25">
      <c r="A222" s="9"/>
      <c r="B222" s="2"/>
      <c r="AP222" s="56">
        <f t="shared" si="155"/>
        <v>0</v>
      </c>
      <c r="AQ222" s="112"/>
    </row>
    <row r="223" spans="1:113" ht="15.75" x14ac:dyDescent="0.25">
      <c r="A223" s="10" t="s">
        <v>3</v>
      </c>
      <c r="B223" s="31" t="s">
        <v>4</v>
      </c>
      <c r="AP223" s="56">
        <f t="shared" si="155"/>
        <v>0</v>
      </c>
      <c r="AQ223" s="112"/>
    </row>
    <row r="224" spans="1:113" ht="15.75" x14ac:dyDescent="0.25">
      <c r="A224" s="4"/>
      <c r="B224" s="6"/>
      <c r="AP224" s="56">
        <f t="shared" si="155"/>
        <v>0</v>
      </c>
      <c r="AQ224" s="112"/>
    </row>
    <row r="225" spans="1:113" ht="15.75" x14ac:dyDescent="0.25">
      <c r="A225" s="4" t="s">
        <v>456</v>
      </c>
      <c r="B225" s="6" t="s">
        <v>457</v>
      </c>
      <c r="H225" s="90">
        <f>'Combined data'!H225</f>
        <v>5</v>
      </c>
      <c r="I225" s="90">
        <f>'Combined data'!I225-'Combined data'!H225</f>
        <v>6</v>
      </c>
      <c r="J225" s="90">
        <f>'Combined data'!J225-'Combined data'!I225</f>
        <v>1</v>
      </c>
      <c r="K225" s="90">
        <f>'Combined data'!K225-'Combined data'!J225</f>
        <v>2</v>
      </c>
      <c r="L225" s="90">
        <f>'Combined data'!L225-'Combined data'!K225</f>
        <v>1</v>
      </c>
      <c r="M225" s="90">
        <f>'Combined data'!M225-'Combined data'!L225</f>
        <v>0</v>
      </c>
      <c r="N225" s="90">
        <f>'Combined data'!N225-'Combined data'!M225</f>
        <v>0</v>
      </c>
      <c r="O225" s="90">
        <f>'Combined data'!O225-'Combined data'!N225</f>
        <v>0</v>
      </c>
      <c r="P225" s="90">
        <f>'Combined data'!P225-'Combined data'!O225</f>
        <v>0</v>
      </c>
      <c r="Q225" s="90">
        <f>'Combined data'!Q225-'Combined data'!P225</f>
        <v>0</v>
      </c>
      <c r="R225" s="90">
        <f>'Combined data'!R225-'Combined data'!Q225</f>
        <v>0</v>
      </c>
      <c r="S225" s="90">
        <f>'Combined data'!S225-'Combined data'!R225</f>
        <v>0</v>
      </c>
      <c r="T225" s="90">
        <f>'Combined data'!T225-'Combined data'!S225</f>
        <v>0</v>
      </c>
      <c r="U225" s="90">
        <f>'Combined data'!U225-'Combined data'!T225</f>
        <v>1</v>
      </c>
      <c r="V225" s="90">
        <f>'Combined data'!V225-'Combined data'!U225</f>
        <v>2</v>
      </c>
      <c r="W225" s="90">
        <f>'Combined data'!W225-'Combined data'!V225</f>
        <v>0</v>
      </c>
      <c r="X225" s="90">
        <f>'Combined data'!X225-'Combined data'!W225</f>
        <v>0</v>
      </c>
      <c r="Y225" s="90">
        <f>'Combined data'!Y225-'Combined data'!X225</f>
        <v>0</v>
      </c>
      <c r="Z225" s="90">
        <f>'Combined data'!Z225-'Combined data'!Y225</f>
        <v>6</v>
      </c>
      <c r="AA225" s="90">
        <f>'Combined data'!AA225-'Combined data'!Z225</f>
        <v>0</v>
      </c>
      <c r="AB225" s="90">
        <f>'Combined data'!AB225-'Combined data'!AA225</f>
        <v>0</v>
      </c>
      <c r="AC225" s="90">
        <f>'Combined data'!AC225-'Combined data'!AB225</f>
        <v>0</v>
      </c>
      <c r="AD225" s="90">
        <f>'Combined data'!AD225-'Combined data'!AC225</f>
        <v>6</v>
      </c>
      <c r="AE225" s="90">
        <f>'Combined data'!AE225-'Combined data'!AD225</f>
        <v>-30</v>
      </c>
      <c r="AF225" s="90">
        <f>'Combined data'!AF225-'Combined data'!AE225</f>
        <v>0</v>
      </c>
      <c r="AG225" s="90">
        <f>'Combined data'!AG225-'Combined data'!AF225</f>
        <v>0</v>
      </c>
      <c r="AH225" s="90">
        <f>'Combined data'!AH225-'Combined data'!AG225</f>
        <v>0</v>
      </c>
      <c r="AI225" s="90">
        <f>'Combined data'!AI225-'Combined data'!AH225</f>
        <v>0</v>
      </c>
      <c r="AJ225" s="90">
        <f>'Combined data'!AJ225-'Combined data'!AI225</f>
        <v>0</v>
      </c>
      <c r="AK225" s="90">
        <f>'Combined data'!AK225-'Combined data'!AJ225</f>
        <v>0</v>
      </c>
      <c r="AL225" s="90">
        <f>'Combined data'!AL225-'Combined data'!AK225</f>
        <v>0</v>
      </c>
      <c r="AM225" s="90">
        <f>'Combined data'!AM225-'Combined data'!AL225</f>
        <v>0</v>
      </c>
      <c r="AN225" s="90">
        <f>'Combined data'!AN225-'Combined data'!AM225</f>
        <v>0</v>
      </c>
      <c r="AO225" s="90">
        <f>'Combined data'!AO225-'Combined data'!AN225</f>
        <v>0</v>
      </c>
      <c r="AP225" s="56">
        <f t="shared" si="155"/>
        <v>0</v>
      </c>
      <c r="AQ225" s="113"/>
      <c r="AR225" s="17">
        <f>'Combined data'!AR225</f>
        <v>5</v>
      </c>
      <c r="AS225" s="17">
        <f>'Combined data'!AS225-'Combined data'!AR225</f>
        <v>0</v>
      </c>
      <c r="AT225" s="17">
        <f>'Combined data'!AT225-'Combined data'!AS225</f>
        <v>0</v>
      </c>
      <c r="AU225" s="17">
        <f>'Combined data'!AU225-'Combined data'!AT225</f>
        <v>0</v>
      </c>
      <c r="AV225" s="17">
        <f>'Combined data'!AV225-'Combined data'!AU225</f>
        <v>3</v>
      </c>
      <c r="AW225" s="17">
        <f>'Combined data'!AW225-'Combined data'!AV225</f>
        <v>0</v>
      </c>
      <c r="AX225" s="17">
        <f>'Combined data'!AX225-'Combined data'!AW225</f>
        <v>2</v>
      </c>
      <c r="AY225" s="17">
        <f>'Combined data'!AY225-'Combined data'!AX225</f>
        <v>5</v>
      </c>
      <c r="AZ225" s="17">
        <f>'Combined data'!AZ225-'Combined data'!AY225</f>
        <v>0</v>
      </c>
      <c r="BA225" s="17">
        <f>'Combined data'!BA225-'Combined data'!AZ225</f>
        <v>0</v>
      </c>
      <c r="BB225" s="17">
        <f>'Combined data'!BB225-'Combined data'!BA225</f>
        <v>0</v>
      </c>
      <c r="BC225" s="17">
        <f>'Combined data'!BC225-'Combined data'!BB225</f>
        <v>0</v>
      </c>
      <c r="BD225" s="17">
        <f>'Combined data'!BD225-'Combined data'!BC225</f>
        <v>0</v>
      </c>
      <c r="BE225" s="17">
        <f>'Combined data'!BE225-'Combined data'!BD225</f>
        <v>0</v>
      </c>
      <c r="BF225" s="17">
        <f>'Combined data'!BF225-'Combined data'!BE225</f>
        <v>1</v>
      </c>
      <c r="BG225" s="17">
        <f>'Combined data'!BG225-'Combined data'!BF225</f>
        <v>0</v>
      </c>
      <c r="BH225" s="17">
        <f>'Combined data'!BH225-'Combined data'!BG225</f>
        <v>0</v>
      </c>
      <c r="BI225" s="17">
        <f>'Combined data'!BI225-'Combined data'!BH225</f>
        <v>0</v>
      </c>
      <c r="BJ225" s="17">
        <f>'Combined data'!BJ225-'Combined data'!BI225</f>
        <v>0</v>
      </c>
      <c r="BK225" s="17">
        <f>'Combined data'!BK225-'Combined data'!BJ225</f>
        <v>1</v>
      </c>
      <c r="BL225" s="17">
        <f>'Combined data'!BL225-'Combined data'!BK225</f>
        <v>7</v>
      </c>
      <c r="BM225" s="17">
        <f>'Combined data'!BM225-'Combined data'!BL225</f>
        <v>0</v>
      </c>
      <c r="BN225" s="17">
        <f>'Combined data'!BN225-'Combined data'!BM225</f>
        <v>0</v>
      </c>
      <c r="BO225" s="17">
        <f>'Combined data'!BO225-'Combined data'!BN225</f>
        <v>-24</v>
      </c>
      <c r="BP225" s="17">
        <f>'Combined data'!BP225-'Combined data'!BO225</f>
        <v>0</v>
      </c>
      <c r="BQ225" s="17">
        <f>'Combined data'!BQ225-'Combined data'!BP225</f>
        <v>0</v>
      </c>
      <c r="BR225" s="17">
        <f>'Combined data'!BR225-'Combined data'!BQ225</f>
        <v>0</v>
      </c>
      <c r="BS225" s="17">
        <f>'Combined data'!BS225-'Combined data'!BR225</f>
        <v>0</v>
      </c>
      <c r="BT225" s="17">
        <f>'Combined data'!BT225-'Combined data'!BS225</f>
        <v>0</v>
      </c>
      <c r="BU225" s="17">
        <f>'Combined data'!BU225-'Combined data'!BT225</f>
        <v>0</v>
      </c>
      <c r="BV225" s="17">
        <f>'Combined data'!BV225-'Combined data'!BU225</f>
        <v>0</v>
      </c>
      <c r="BW225" s="17">
        <f>'Combined data'!BW225-'Combined data'!BV225</f>
        <v>0</v>
      </c>
      <c r="BX225" s="17">
        <f>'Combined data'!BX225-'Combined data'!BW225</f>
        <v>0</v>
      </c>
      <c r="BY225" s="17">
        <f>'Combined data'!BY225-'Combined data'!BX225</f>
        <v>0</v>
      </c>
      <c r="CB225" s="17">
        <f t="shared" ref="CB225:CB246" si="173">AR225</f>
        <v>5</v>
      </c>
      <c r="CC225" s="17">
        <f t="shared" ref="CC225:CC246" si="174">AS225</f>
        <v>0</v>
      </c>
      <c r="CD225" s="17">
        <f t="shared" ref="CD225:CD246" si="175">AT225</f>
        <v>0</v>
      </c>
      <c r="CE225" s="17">
        <f t="shared" ref="CE225:CE246" si="176">AU225</f>
        <v>0</v>
      </c>
      <c r="CF225" s="17">
        <f t="shared" ref="CF225:CF246" si="177">AV225</f>
        <v>3</v>
      </c>
      <c r="CG225" s="17">
        <f t="shared" ref="CG225:CG246" si="178">AW225</f>
        <v>0</v>
      </c>
      <c r="CH225" s="17">
        <f t="shared" ref="CH225:CH246" si="179">AX225</f>
        <v>2</v>
      </c>
      <c r="CI225" s="17">
        <f t="shared" ref="CI225:CI246" si="180">AY225</f>
        <v>5</v>
      </c>
      <c r="CJ225" s="17">
        <f t="shared" ref="CJ225:CJ246" si="181">AZ225</f>
        <v>0</v>
      </c>
      <c r="CK225" s="17">
        <f t="shared" ref="CK225:CK246" si="182">BA225</f>
        <v>0</v>
      </c>
      <c r="CL225" s="17">
        <f t="shared" ref="CL225:CL246" si="183">BB225</f>
        <v>0</v>
      </c>
      <c r="CM225" s="17">
        <f t="shared" ref="CM225:CM246" si="184">BC225</f>
        <v>0</v>
      </c>
      <c r="CN225" s="17">
        <f t="shared" ref="CN225:CN246" si="185">BD225</f>
        <v>0</v>
      </c>
      <c r="CO225" s="17">
        <f t="shared" ref="CO225:CO246" si="186">BE225</f>
        <v>0</v>
      </c>
      <c r="CP225" s="17">
        <f t="shared" ref="CP225:CP246" si="187">BF225</f>
        <v>1</v>
      </c>
      <c r="CQ225" s="17">
        <f t="shared" ref="CQ225:CQ246" si="188">BG225</f>
        <v>0</v>
      </c>
      <c r="CR225" s="17">
        <f t="shared" ref="CR225:CR246" si="189">BH225</f>
        <v>0</v>
      </c>
      <c r="CS225" s="17">
        <f t="shared" ref="CS225:CS246" si="190">BI225</f>
        <v>0</v>
      </c>
      <c r="CT225" s="17">
        <f t="shared" ref="CT225:CT246" si="191">BJ225</f>
        <v>0</v>
      </c>
      <c r="CU225" s="17">
        <f t="shared" ref="CU225:CU246" si="192">BK225</f>
        <v>1</v>
      </c>
      <c r="CV225" s="17">
        <f t="shared" ref="CV225:CV246" si="193">BL225</f>
        <v>7</v>
      </c>
      <c r="CW225" s="17">
        <f t="shared" ref="CW225:CW246" si="194">BM225</f>
        <v>0</v>
      </c>
      <c r="CX225" s="17">
        <f t="shared" ref="CX225:DI240" si="195">BN225</f>
        <v>0</v>
      </c>
      <c r="CY225" s="17">
        <f t="shared" si="195"/>
        <v>-24</v>
      </c>
      <c r="CZ225" s="17">
        <f t="shared" si="195"/>
        <v>0</v>
      </c>
      <c r="DA225" s="17">
        <f t="shared" si="195"/>
        <v>0</v>
      </c>
      <c r="DB225" s="17">
        <f t="shared" si="195"/>
        <v>0</v>
      </c>
      <c r="DC225" s="17">
        <f t="shared" si="195"/>
        <v>0</v>
      </c>
      <c r="DD225" s="17">
        <f t="shared" si="195"/>
        <v>0</v>
      </c>
      <c r="DE225" s="17">
        <f t="shared" si="195"/>
        <v>0</v>
      </c>
      <c r="DF225" s="17">
        <f t="shared" si="195"/>
        <v>0</v>
      </c>
      <c r="DG225" s="17">
        <f t="shared" si="195"/>
        <v>0</v>
      </c>
      <c r="DH225" s="17">
        <f t="shared" si="195"/>
        <v>0</v>
      </c>
      <c r="DI225" s="17">
        <f t="shared" si="195"/>
        <v>0</v>
      </c>
    </row>
    <row r="226" spans="1:113" ht="15.75" x14ac:dyDescent="0.25">
      <c r="A226" s="4" t="s">
        <v>458</v>
      </c>
      <c r="B226" s="6" t="s">
        <v>459</v>
      </c>
      <c r="H226" s="90">
        <f>'Combined data'!H226</f>
        <v>99</v>
      </c>
      <c r="I226" s="90">
        <f>'Combined data'!I226-'Combined data'!H226</f>
        <v>2</v>
      </c>
      <c r="J226" s="90">
        <f>'Combined data'!J226-'Combined data'!I226</f>
        <v>12</v>
      </c>
      <c r="K226" s="90">
        <f>'Combined data'!K226-'Combined data'!J226</f>
        <v>7</v>
      </c>
      <c r="L226" s="90">
        <f>'Combined data'!L226-'Combined data'!K226</f>
        <v>3</v>
      </c>
      <c r="M226" s="90">
        <f>'Combined data'!M226-'Combined data'!L226</f>
        <v>6</v>
      </c>
      <c r="N226" s="90">
        <f>'Combined data'!N226-'Combined data'!M226</f>
        <v>14</v>
      </c>
      <c r="O226" s="90">
        <f>'Combined data'!O226-'Combined data'!N226</f>
        <v>9</v>
      </c>
      <c r="P226" s="90">
        <f>'Combined data'!P226-'Combined data'!O226</f>
        <v>6</v>
      </c>
      <c r="Q226" s="90">
        <f>'Combined data'!Q226-'Combined data'!P226</f>
        <v>4</v>
      </c>
      <c r="R226" s="90">
        <f>'Combined data'!R226-'Combined data'!Q226</f>
        <v>4</v>
      </c>
      <c r="S226" s="90">
        <f>'Combined data'!S226-'Combined data'!R226</f>
        <v>1</v>
      </c>
      <c r="T226" s="90">
        <f>'Combined data'!T226-'Combined data'!S226</f>
        <v>1</v>
      </c>
      <c r="U226" s="90">
        <f>'Combined data'!U226-'Combined data'!T226</f>
        <v>9</v>
      </c>
      <c r="V226" s="90">
        <f>'Combined data'!V226-'Combined data'!U226</f>
        <v>13</v>
      </c>
      <c r="W226" s="90">
        <f>'Combined data'!W226-'Combined data'!V226</f>
        <v>2</v>
      </c>
      <c r="X226" s="90">
        <f>'Combined data'!X226-'Combined data'!W226</f>
        <v>2</v>
      </c>
      <c r="Y226" s="90">
        <f>'Combined data'!Y226-'Combined data'!X226</f>
        <v>3</v>
      </c>
      <c r="Z226" s="90">
        <f>'Combined data'!Z226-'Combined data'!Y226</f>
        <v>5</v>
      </c>
      <c r="AA226" s="90">
        <f>'Combined data'!AA226-'Combined data'!Z226</f>
        <v>2</v>
      </c>
      <c r="AB226" s="90">
        <f>'Combined data'!AB226-'Combined data'!AA226</f>
        <v>1</v>
      </c>
      <c r="AC226" s="90">
        <f>'Combined data'!AC226-'Combined data'!AB226</f>
        <v>0</v>
      </c>
      <c r="AD226" s="90">
        <f>'Combined data'!AD226-'Combined data'!AC226</f>
        <v>5</v>
      </c>
      <c r="AE226" s="90">
        <f>'Combined data'!AE226-'Combined data'!AD226</f>
        <v>-210</v>
      </c>
      <c r="AF226" s="90">
        <f>'Combined data'!AF226-'Combined data'!AE226</f>
        <v>0</v>
      </c>
      <c r="AG226" s="90">
        <f>'Combined data'!AG226-'Combined data'!AF226</f>
        <v>0</v>
      </c>
      <c r="AH226" s="90">
        <f>'Combined data'!AH226-'Combined data'!AG226</f>
        <v>0</v>
      </c>
      <c r="AI226" s="90">
        <f>'Combined data'!AI226-'Combined data'!AH226</f>
        <v>0</v>
      </c>
      <c r="AJ226" s="90">
        <f>'Combined data'!AJ226-'Combined data'!AI226</f>
        <v>0</v>
      </c>
      <c r="AK226" s="90">
        <f>'Combined data'!AK226-'Combined data'!AJ226</f>
        <v>0</v>
      </c>
      <c r="AL226" s="90">
        <f>'Combined data'!AL226-'Combined data'!AK226</f>
        <v>0</v>
      </c>
      <c r="AM226" s="90">
        <f>'Combined data'!AM226-'Combined data'!AL226</f>
        <v>0</v>
      </c>
      <c r="AN226" s="90">
        <f>'Combined data'!AN226-'Combined data'!AM226</f>
        <v>0</v>
      </c>
      <c r="AO226" s="90">
        <f>'Combined data'!AO226-'Combined data'!AN226</f>
        <v>0</v>
      </c>
      <c r="AP226" s="56">
        <f t="shared" si="155"/>
        <v>0</v>
      </c>
      <c r="AQ226" s="113"/>
      <c r="AR226" s="17">
        <f>'Combined data'!AR226</f>
        <v>51</v>
      </c>
      <c r="AS226" s="17">
        <f>'Combined data'!AS226-'Combined data'!AR226</f>
        <v>0</v>
      </c>
      <c r="AT226" s="17">
        <f>'Combined data'!AT226-'Combined data'!AS226</f>
        <v>5</v>
      </c>
      <c r="AU226" s="17">
        <f>'Combined data'!AU226-'Combined data'!AT226</f>
        <v>2</v>
      </c>
      <c r="AV226" s="17">
        <f>'Combined data'!AV226-'Combined data'!AU226</f>
        <v>10</v>
      </c>
      <c r="AW226" s="17">
        <f>'Combined data'!AW226-'Combined data'!AV226</f>
        <v>8</v>
      </c>
      <c r="AX226" s="17">
        <f>'Combined data'!AX226-'Combined data'!AW226</f>
        <v>5</v>
      </c>
      <c r="AY226" s="17">
        <f>'Combined data'!AY226-'Combined data'!AX226</f>
        <v>10</v>
      </c>
      <c r="AZ226" s="17">
        <f>'Combined data'!AZ226-'Combined data'!AY226</f>
        <v>14</v>
      </c>
      <c r="BA226" s="17">
        <f>'Combined data'!BA226-'Combined data'!AZ226</f>
        <v>7</v>
      </c>
      <c r="BB226" s="17">
        <f>'Combined data'!BB226-'Combined data'!BA226</f>
        <v>3</v>
      </c>
      <c r="BC226" s="17">
        <f>'Combined data'!BC226-'Combined data'!BB226</f>
        <v>11</v>
      </c>
      <c r="BD226" s="17">
        <f>'Combined data'!BD226-'Combined data'!BC226</f>
        <v>2</v>
      </c>
      <c r="BE226" s="17">
        <f>'Combined data'!BE226-'Combined data'!BD226</f>
        <v>2</v>
      </c>
      <c r="BF226" s="17">
        <f>'Combined data'!BF226-'Combined data'!BE226</f>
        <v>6</v>
      </c>
      <c r="BG226" s="17">
        <f>'Combined data'!BG226-'Combined data'!BF226</f>
        <v>1</v>
      </c>
      <c r="BH226" s="17">
        <f>'Combined data'!BH226-'Combined data'!BG226</f>
        <v>5</v>
      </c>
      <c r="BI226" s="17">
        <f>'Combined data'!BI226-'Combined data'!BH226</f>
        <v>2</v>
      </c>
      <c r="BJ226" s="17">
        <f>'Combined data'!BJ226-'Combined data'!BI226</f>
        <v>1</v>
      </c>
      <c r="BK226" s="17">
        <f>'Combined data'!BK226-'Combined data'!BJ226</f>
        <v>7</v>
      </c>
      <c r="BL226" s="17">
        <f>'Combined data'!BL226-'Combined data'!BK226</f>
        <v>2</v>
      </c>
      <c r="BM226" s="17">
        <f>'Combined data'!BM226-'Combined data'!BL226</f>
        <v>5</v>
      </c>
      <c r="BN226" s="17">
        <f>'Combined data'!BN226-'Combined data'!BM226</f>
        <v>1</v>
      </c>
      <c r="BO226" s="17">
        <f>'Combined data'!BO226-'Combined data'!BN226</f>
        <v>-160</v>
      </c>
      <c r="BP226" s="17">
        <f>'Combined data'!BP226-'Combined data'!BO226</f>
        <v>0</v>
      </c>
      <c r="BQ226" s="17">
        <f>'Combined data'!BQ226-'Combined data'!BP226</f>
        <v>0</v>
      </c>
      <c r="BR226" s="17">
        <f>'Combined data'!BR226-'Combined data'!BQ226</f>
        <v>0</v>
      </c>
      <c r="BS226" s="17">
        <f>'Combined data'!BS226-'Combined data'!BR226</f>
        <v>0</v>
      </c>
      <c r="BT226" s="17">
        <f>'Combined data'!BT226-'Combined data'!BS226</f>
        <v>0</v>
      </c>
      <c r="BU226" s="17">
        <f>'Combined data'!BU226-'Combined data'!BT226</f>
        <v>0</v>
      </c>
      <c r="BV226" s="17">
        <f>'Combined data'!BV226-'Combined data'!BU226</f>
        <v>0</v>
      </c>
      <c r="BW226" s="17">
        <f>'Combined data'!BW226-'Combined data'!BV226</f>
        <v>0</v>
      </c>
      <c r="BX226" s="17">
        <f>'Combined data'!BX226-'Combined data'!BW226</f>
        <v>0</v>
      </c>
      <c r="BY226" s="17">
        <f>'Combined data'!BY226-'Combined data'!BX226</f>
        <v>0</v>
      </c>
      <c r="CB226" s="17">
        <f t="shared" si="173"/>
        <v>51</v>
      </c>
      <c r="CC226" s="17">
        <f t="shared" si="174"/>
        <v>0</v>
      </c>
      <c r="CD226" s="17">
        <f t="shared" si="175"/>
        <v>5</v>
      </c>
      <c r="CE226" s="17">
        <f t="shared" si="176"/>
        <v>2</v>
      </c>
      <c r="CF226" s="17">
        <f t="shared" si="177"/>
        <v>10</v>
      </c>
      <c r="CG226" s="17">
        <f t="shared" si="178"/>
        <v>8</v>
      </c>
      <c r="CH226" s="17">
        <f t="shared" si="179"/>
        <v>5</v>
      </c>
      <c r="CI226" s="17">
        <f t="shared" si="180"/>
        <v>10</v>
      </c>
      <c r="CJ226" s="17">
        <f t="shared" si="181"/>
        <v>14</v>
      </c>
      <c r="CK226" s="17">
        <f t="shared" si="182"/>
        <v>7</v>
      </c>
      <c r="CL226" s="17">
        <f t="shared" si="183"/>
        <v>3</v>
      </c>
      <c r="CM226" s="17">
        <f t="shared" si="184"/>
        <v>11</v>
      </c>
      <c r="CN226" s="17">
        <f t="shared" si="185"/>
        <v>2</v>
      </c>
      <c r="CO226" s="17">
        <f t="shared" si="186"/>
        <v>2</v>
      </c>
      <c r="CP226" s="17">
        <f t="shared" si="187"/>
        <v>6</v>
      </c>
      <c r="CQ226" s="17">
        <f t="shared" si="188"/>
        <v>1</v>
      </c>
      <c r="CR226" s="17">
        <f t="shared" si="189"/>
        <v>5</v>
      </c>
      <c r="CS226" s="17">
        <f t="shared" si="190"/>
        <v>2</v>
      </c>
      <c r="CT226" s="17">
        <f t="shared" si="191"/>
        <v>1</v>
      </c>
      <c r="CU226" s="17">
        <f t="shared" si="192"/>
        <v>7</v>
      </c>
      <c r="CV226" s="17">
        <f t="shared" si="193"/>
        <v>2</v>
      </c>
      <c r="CW226" s="17">
        <f t="shared" si="194"/>
        <v>5</v>
      </c>
      <c r="CX226" s="17">
        <f t="shared" si="195"/>
        <v>1</v>
      </c>
      <c r="CY226" s="17">
        <f t="shared" si="195"/>
        <v>-160</v>
      </c>
      <c r="CZ226" s="17">
        <f t="shared" si="195"/>
        <v>0</v>
      </c>
      <c r="DA226" s="17">
        <f t="shared" si="195"/>
        <v>0</v>
      </c>
      <c r="DB226" s="17">
        <f t="shared" si="195"/>
        <v>0</v>
      </c>
      <c r="DC226" s="17">
        <f t="shared" si="195"/>
        <v>0</v>
      </c>
      <c r="DD226" s="17">
        <f t="shared" si="195"/>
        <v>0</v>
      </c>
      <c r="DE226" s="17">
        <f t="shared" si="195"/>
        <v>0</v>
      </c>
      <c r="DF226" s="17">
        <f t="shared" si="195"/>
        <v>0</v>
      </c>
      <c r="DG226" s="17">
        <f t="shared" si="195"/>
        <v>0</v>
      </c>
      <c r="DH226" s="17">
        <f t="shared" si="195"/>
        <v>0</v>
      </c>
      <c r="DI226" s="17">
        <f t="shared" si="195"/>
        <v>0</v>
      </c>
    </row>
    <row r="227" spans="1:113" ht="15.75" x14ac:dyDescent="0.25">
      <c r="A227" s="4" t="s">
        <v>460</v>
      </c>
      <c r="B227" s="6" t="s">
        <v>461</v>
      </c>
      <c r="H227" s="90">
        <f>'Combined data'!H227</f>
        <v>48</v>
      </c>
      <c r="I227" s="90">
        <f>'Combined data'!I227-'Combined data'!H227</f>
        <v>2</v>
      </c>
      <c r="J227" s="90">
        <f>'Combined data'!J227-'Combined data'!I227</f>
        <v>3</v>
      </c>
      <c r="K227" s="90">
        <f>'Combined data'!K227-'Combined data'!J227</f>
        <v>6</v>
      </c>
      <c r="L227" s="90">
        <f>'Combined data'!L227-'Combined data'!K227</f>
        <v>1</v>
      </c>
      <c r="M227" s="90">
        <f>'Combined data'!M227-'Combined data'!L227</f>
        <v>2</v>
      </c>
      <c r="N227" s="90">
        <f>'Combined data'!N227-'Combined data'!M227</f>
        <v>1</v>
      </c>
      <c r="O227" s="90">
        <f>'Combined data'!O227-'Combined data'!N227</f>
        <v>0</v>
      </c>
      <c r="P227" s="90">
        <f>'Combined data'!P227-'Combined data'!O227</f>
        <v>3</v>
      </c>
      <c r="Q227" s="90">
        <f>'Combined data'!Q227-'Combined data'!P227</f>
        <v>5</v>
      </c>
      <c r="R227" s="90">
        <f>'Combined data'!R227-'Combined data'!Q227</f>
        <v>5</v>
      </c>
      <c r="S227" s="90">
        <f>'Combined data'!S227-'Combined data'!R227</f>
        <v>2</v>
      </c>
      <c r="T227" s="90">
        <f>'Combined data'!T227-'Combined data'!S227</f>
        <v>2</v>
      </c>
      <c r="U227" s="90">
        <f>'Combined data'!U227-'Combined data'!T227</f>
        <v>2</v>
      </c>
      <c r="V227" s="90">
        <f>'Combined data'!V227-'Combined data'!U227</f>
        <v>3</v>
      </c>
      <c r="W227" s="90">
        <f>'Combined data'!W227-'Combined data'!V227</f>
        <v>1</v>
      </c>
      <c r="X227" s="90">
        <f>'Combined data'!X227-'Combined data'!W227</f>
        <v>0</v>
      </c>
      <c r="Y227" s="90">
        <f>'Combined data'!Y227-'Combined data'!X227</f>
        <v>2</v>
      </c>
      <c r="Z227" s="90">
        <f>'Combined data'!Z227-'Combined data'!Y227</f>
        <v>4</v>
      </c>
      <c r="AA227" s="90">
        <f>'Combined data'!AA227-'Combined data'!Z227</f>
        <v>0</v>
      </c>
      <c r="AB227" s="90">
        <f>'Combined data'!AB227-'Combined data'!AA227</f>
        <v>0</v>
      </c>
      <c r="AC227" s="90">
        <f>'Combined data'!AC227-'Combined data'!AB227</f>
        <v>1</v>
      </c>
      <c r="AD227" s="90">
        <f>'Combined data'!AD227-'Combined data'!AC227</f>
        <v>4</v>
      </c>
      <c r="AE227" s="90">
        <f>'Combined data'!AE227-'Combined data'!AD227</f>
        <v>-97</v>
      </c>
      <c r="AF227" s="90">
        <f>'Combined data'!AF227-'Combined data'!AE227</f>
        <v>0</v>
      </c>
      <c r="AG227" s="90">
        <f>'Combined data'!AG227-'Combined data'!AF227</f>
        <v>0</v>
      </c>
      <c r="AH227" s="90">
        <f>'Combined data'!AH227-'Combined data'!AG227</f>
        <v>0</v>
      </c>
      <c r="AI227" s="90">
        <f>'Combined data'!AI227-'Combined data'!AH227</f>
        <v>0</v>
      </c>
      <c r="AJ227" s="90">
        <f>'Combined data'!AJ227-'Combined data'!AI227</f>
        <v>0</v>
      </c>
      <c r="AK227" s="90">
        <f>'Combined data'!AK227-'Combined data'!AJ227</f>
        <v>0</v>
      </c>
      <c r="AL227" s="90">
        <f>'Combined data'!AL227-'Combined data'!AK227</f>
        <v>0</v>
      </c>
      <c r="AM227" s="90">
        <f>'Combined data'!AM227-'Combined data'!AL227</f>
        <v>0</v>
      </c>
      <c r="AN227" s="90">
        <f>'Combined data'!AN227-'Combined data'!AM227</f>
        <v>0</v>
      </c>
      <c r="AO227" s="90">
        <f>'Combined data'!AO227-'Combined data'!AN227</f>
        <v>0</v>
      </c>
      <c r="AP227" s="56">
        <f t="shared" si="155"/>
        <v>0</v>
      </c>
      <c r="AQ227" s="113"/>
      <c r="AR227" s="17">
        <f>'Combined data'!AR227</f>
        <v>27</v>
      </c>
      <c r="AS227" s="17">
        <f>'Combined data'!AS227-'Combined data'!AR227</f>
        <v>4</v>
      </c>
      <c r="AT227" s="17">
        <f>'Combined data'!AT227-'Combined data'!AS227</f>
        <v>0</v>
      </c>
      <c r="AU227" s="17">
        <f>'Combined data'!AU227-'Combined data'!AT227</f>
        <v>2</v>
      </c>
      <c r="AV227" s="17">
        <f>'Combined data'!AV227-'Combined data'!AU227</f>
        <v>0</v>
      </c>
      <c r="AW227" s="17">
        <f>'Combined data'!AW227-'Combined data'!AV227</f>
        <v>0</v>
      </c>
      <c r="AX227" s="17">
        <f>'Combined data'!AX227-'Combined data'!AW227</f>
        <v>5</v>
      </c>
      <c r="AY227" s="17">
        <f>'Combined data'!AY227-'Combined data'!AX227</f>
        <v>0</v>
      </c>
      <c r="AZ227" s="17">
        <f>'Combined data'!AZ227-'Combined data'!AY227</f>
        <v>3</v>
      </c>
      <c r="BA227" s="17">
        <f>'Combined data'!BA227-'Combined data'!AZ227</f>
        <v>1</v>
      </c>
      <c r="BB227" s="17">
        <f>'Combined data'!BB227-'Combined data'!BA227</f>
        <v>0</v>
      </c>
      <c r="BC227" s="17">
        <f>'Combined data'!BC227-'Combined data'!BB227</f>
        <v>2</v>
      </c>
      <c r="BD227" s="17">
        <f>'Combined data'!BD227-'Combined data'!BC227</f>
        <v>3</v>
      </c>
      <c r="BE227" s="17">
        <f>'Combined data'!BE227-'Combined data'!BD227</f>
        <v>5</v>
      </c>
      <c r="BF227" s="17">
        <f>'Combined data'!BF227-'Combined data'!BE227</f>
        <v>4</v>
      </c>
      <c r="BG227" s="17">
        <f>'Combined data'!BG227-'Combined data'!BF227</f>
        <v>0</v>
      </c>
      <c r="BH227" s="17">
        <f>'Combined data'!BH227-'Combined data'!BG227</f>
        <v>0</v>
      </c>
      <c r="BI227" s="17">
        <f>'Combined data'!BI227-'Combined data'!BH227</f>
        <v>2</v>
      </c>
      <c r="BJ227" s="17">
        <f>'Combined data'!BJ227-'Combined data'!BI227</f>
        <v>0</v>
      </c>
      <c r="BK227" s="17">
        <f>'Combined data'!BK227-'Combined data'!BJ227</f>
        <v>0</v>
      </c>
      <c r="BL227" s="17">
        <f>'Combined data'!BL227-'Combined data'!BK227</f>
        <v>2</v>
      </c>
      <c r="BM227" s="17">
        <f>'Combined data'!BM227-'Combined data'!BL227</f>
        <v>7</v>
      </c>
      <c r="BN227" s="17">
        <f>'Combined data'!BN227-'Combined data'!BM227</f>
        <v>3</v>
      </c>
      <c r="BO227" s="17">
        <f>'Combined data'!BO227-'Combined data'!BN227</f>
        <v>-70</v>
      </c>
      <c r="BP227" s="17">
        <f>'Combined data'!BP227-'Combined data'!BO227</f>
        <v>0</v>
      </c>
      <c r="BQ227" s="17">
        <f>'Combined data'!BQ227-'Combined data'!BP227</f>
        <v>0</v>
      </c>
      <c r="BR227" s="17">
        <f>'Combined data'!BR227-'Combined data'!BQ227</f>
        <v>0</v>
      </c>
      <c r="BS227" s="17">
        <f>'Combined data'!BS227-'Combined data'!BR227</f>
        <v>0</v>
      </c>
      <c r="BT227" s="17">
        <f>'Combined data'!BT227-'Combined data'!BS227</f>
        <v>0</v>
      </c>
      <c r="BU227" s="17">
        <f>'Combined data'!BU227-'Combined data'!BT227</f>
        <v>0</v>
      </c>
      <c r="BV227" s="17">
        <f>'Combined data'!BV227-'Combined data'!BU227</f>
        <v>0</v>
      </c>
      <c r="BW227" s="17">
        <f>'Combined data'!BW227-'Combined data'!BV227</f>
        <v>0</v>
      </c>
      <c r="BX227" s="17">
        <f>'Combined data'!BX227-'Combined data'!BW227</f>
        <v>0</v>
      </c>
      <c r="BY227" s="17">
        <f>'Combined data'!BY227-'Combined data'!BX227</f>
        <v>0</v>
      </c>
      <c r="CB227" s="17">
        <f t="shared" si="173"/>
        <v>27</v>
      </c>
      <c r="CC227" s="17">
        <f t="shared" si="174"/>
        <v>4</v>
      </c>
      <c r="CD227" s="17">
        <f t="shared" si="175"/>
        <v>0</v>
      </c>
      <c r="CE227" s="17">
        <f t="shared" si="176"/>
        <v>2</v>
      </c>
      <c r="CF227" s="17">
        <f t="shared" si="177"/>
        <v>0</v>
      </c>
      <c r="CG227" s="17">
        <f t="shared" si="178"/>
        <v>0</v>
      </c>
      <c r="CH227" s="17">
        <f t="shared" si="179"/>
        <v>5</v>
      </c>
      <c r="CI227" s="17">
        <f t="shared" si="180"/>
        <v>0</v>
      </c>
      <c r="CJ227" s="17">
        <f t="shared" si="181"/>
        <v>3</v>
      </c>
      <c r="CK227" s="17">
        <f t="shared" si="182"/>
        <v>1</v>
      </c>
      <c r="CL227" s="17">
        <f t="shared" si="183"/>
        <v>0</v>
      </c>
      <c r="CM227" s="17">
        <f t="shared" si="184"/>
        <v>2</v>
      </c>
      <c r="CN227" s="17">
        <f t="shared" si="185"/>
        <v>3</v>
      </c>
      <c r="CO227" s="17">
        <f t="shared" si="186"/>
        <v>5</v>
      </c>
      <c r="CP227" s="17">
        <f t="shared" si="187"/>
        <v>4</v>
      </c>
      <c r="CQ227" s="17">
        <f t="shared" si="188"/>
        <v>0</v>
      </c>
      <c r="CR227" s="17">
        <f t="shared" si="189"/>
        <v>0</v>
      </c>
      <c r="CS227" s="17">
        <f t="shared" si="190"/>
        <v>2</v>
      </c>
      <c r="CT227" s="17">
        <f t="shared" si="191"/>
        <v>0</v>
      </c>
      <c r="CU227" s="17">
        <f t="shared" si="192"/>
        <v>0</v>
      </c>
      <c r="CV227" s="17">
        <f t="shared" si="193"/>
        <v>2</v>
      </c>
      <c r="CW227" s="17">
        <f t="shared" si="194"/>
        <v>7</v>
      </c>
      <c r="CX227" s="17">
        <f t="shared" si="195"/>
        <v>3</v>
      </c>
      <c r="CY227" s="17">
        <f t="shared" si="195"/>
        <v>-70</v>
      </c>
      <c r="CZ227" s="17">
        <f t="shared" si="195"/>
        <v>0</v>
      </c>
      <c r="DA227" s="17">
        <f t="shared" si="195"/>
        <v>0</v>
      </c>
      <c r="DB227" s="17">
        <f t="shared" si="195"/>
        <v>0</v>
      </c>
      <c r="DC227" s="17">
        <f t="shared" si="195"/>
        <v>0</v>
      </c>
      <c r="DD227" s="17">
        <f t="shared" si="195"/>
        <v>0</v>
      </c>
      <c r="DE227" s="17">
        <f t="shared" si="195"/>
        <v>0</v>
      </c>
      <c r="DF227" s="17">
        <f t="shared" si="195"/>
        <v>0</v>
      </c>
      <c r="DG227" s="17">
        <f t="shared" si="195"/>
        <v>0</v>
      </c>
      <c r="DH227" s="17">
        <f t="shared" si="195"/>
        <v>0</v>
      </c>
      <c r="DI227" s="17">
        <f t="shared" si="195"/>
        <v>0</v>
      </c>
    </row>
    <row r="228" spans="1:113" ht="15.75" x14ac:dyDescent="0.25">
      <c r="A228" s="4" t="s">
        <v>462</v>
      </c>
      <c r="B228" s="6" t="s">
        <v>463</v>
      </c>
      <c r="H228" s="90">
        <f>'Combined data'!H228</f>
        <v>198</v>
      </c>
      <c r="I228" s="90">
        <f>'Combined data'!I228-'Combined data'!H228</f>
        <v>10</v>
      </c>
      <c r="J228" s="90">
        <f>'Combined data'!J228-'Combined data'!I228</f>
        <v>12</v>
      </c>
      <c r="K228" s="90">
        <f>'Combined data'!K228-'Combined data'!J228</f>
        <v>20</v>
      </c>
      <c r="L228" s="90">
        <f>'Combined data'!L228-'Combined data'!K228</f>
        <v>3</v>
      </c>
      <c r="M228" s="90">
        <f>'Combined data'!M228-'Combined data'!L228</f>
        <v>5</v>
      </c>
      <c r="N228" s="90">
        <f>'Combined data'!N228-'Combined data'!M228</f>
        <v>19</v>
      </c>
      <c r="O228" s="90">
        <f>'Combined data'!O228-'Combined data'!N228</f>
        <v>6</v>
      </c>
      <c r="P228" s="90">
        <f>'Combined data'!P228-'Combined data'!O228</f>
        <v>11</v>
      </c>
      <c r="Q228" s="90">
        <f>'Combined data'!Q228-'Combined data'!P228</f>
        <v>12</v>
      </c>
      <c r="R228" s="90">
        <f>'Combined data'!R228-'Combined data'!Q228</f>
        <v>3</v>
      </c>
      <c r="S228" s="90">
        <f>'Combined data'!S228-'Combined data'!R228</f>
        <v>9</v>
      </c>
      <c r="T228" s="90">
        <f>'Combined data'!T228-'Combined data'!S228</f>
        <v>4</v>
      </c>
      <c r="U228" s="90">
        <f>'Combined data'!U228-'Combined data'!T228</f>
        <v>5</v>
      </c>
      <c r="V228" s="90">
        <f>'Combined data'!V228-'Combined data'!U228</f>
        <v>7</v>
      </c>
      <c r="W228" s="90">
        <f>'Combined data'!W228-'Combined data'!V228</f>
        <v>1</v>
      </c>
      <c r="X228" s="90">
        <f>'Combined data'!X228-'Combined data'!W228</f>
        <v>4</v>
      </c>
      <c r="Y228" s="90">
        <f>'Combined data'!Y228-'Combined data'!X228</f>
        <v>5</v>
      </c>
      <c r="Z228" s="90">
        <f>'Combined data'!Z228-'Combined data'!Y228</f>
        <v>3</v>
      </c>
      <c r="AA228" s="90">
        <f>'Combined data'!AA228-'Combined data'!Z228</f>
        <v>1</v>
      </c>
      <c r="AB228" s="90">
        <f>'Combined data'!AB228-'Combined data'!AA228</f>
        <v>0</v>
      </c>
      <c r="AC228" s="90">
        <f>'Combined data'!AC228-'Combined data'!AB228</f>
        <v>0</v>
      </c>
      <c r="AD228" s="90">
        <f>'Combined data'!AD228-'Combined data'!AC228</f>
        <v>4</v>
      </c>
      <c r="AE228" s="90">
        <f>'Combined data'!AE228-'Combined data'!AD228</f>
        <v>-342</v>
      </c>
      <c r="AF228" s="90">
        <f>'Combined data'!AF228-'Combined data'!AE228</f>
        <v>0</v>
      </c>
      <c r="AG228" s="90">
        <f>'Combined data'!AG228-'Combined data'!AF228</f>
        <v>0</v>
      </c>
      <c r="AH228" s="90">
        <f>'Combined data'!AH228-'Combined data'!AG228</f>
        <v>0</v>
      </c>
      <c r="AI228" s="90">
        <f>'Combined data'!AI228-'Combined data'!AH228</f>
        <v>0</v>
      </c>
      <c r="AJ228" s="90">
        <f>'Combined data'!AJ228-'Combined data'!AI228</f>
        <v>0</v>
      </c>
      <c r="AK228" s="90">
        <f>'Combined data'!AK228-'Combined data'!AJ228</f>
        <v>0</v>
      </c>
      <c r="AL228" s="90">
        <f>'Combined data'!AL228-'Combined data'!AK228</f>
        <v>0</v>
      </c>
      <c r="AM228" s="90">
        <f>'Combined data'!AM228-'Combined data'!AL228</f>
        <v>0</v>
      </c>
      <c r="AN228" s="90">
        <f>'Combined data'!AN228-'Combined data'!AM228</f>
        <v>0</v>
      </c>
      <c r="AO228" s="90">
        <f>'Combined data'!AO228-'Combined data'!AN228</f>
        <v>0</v>
      </c>
      <c r="AP228" s="56">
        <f t="shared" si="155"/>
        <v>0</v>
      </c>
      <c r="AQ228" s="113"/>
      <c r="AR228" s="17">
        <f>'Combined data'!AR228</f>
        <v>107</v>
      </c>
      <c r="AS228" s="17">
        <f>'Combined data'!AS228-'Combined data'!AR228</f>
        <v>17</v>
      </c>
      <c r="AT228" s="17">
        <f>'Combined data'!AT228-'Combined data'!AS228</f>
        <v>12</v>
      </c>
      <c r="AU228" s="17">
        <f>'Combined data'!AU228-'Combined data'!AT228</f>
        <v>22</v>
      </c>
      <c r="AV228" s="17">
        <f>'Combined data'!AV228-'Combined data'!AU228</f>
        <v>4</v>
      </c>
      <c r="AW228" s="17">
        <f>'Combined data'!AW228-'Combined data'!AV228</f>
        <v>5</v>
      </c>
      <c r="AX228" s="17">
        <f>'Combined data'!AX228-'Combined data'!AW228</f>
        <v>24</v>
      </c>
      <c r="AY228" s="17">
        <f>'Combined data'!AY228-'Combined data'!AX228</f>
        <v>8</v>
      </c>
      <c r="AZ228" s="17">
        <f>'Combined data'!AZ228-'Combined data'!AY228</f>
        <v>10</v>
      </c>
      <c r="BA228" s="17">
        <f>'Combined data'!BA228-'Combined data'!AZ228</f>
        <v>3</v>
      </c>
      <c r="BB228" s="17">
        <f>'Combined data'!BB228-'Combined data'!BA228</f>
        <v>5</v>
      </c>
      <c r="BC228" s="17">
        <f>'Combined data'!BC228-'Combined data'!BB228</f>
        <v>7</v>
      </c>
      <c r="BD228" s="17">
        <f>'Combined data'!BD228-'Combined data'!BC228</f>
        <v>10</v>
      </c>
      <c r="BE228" s="17">
        <f>'Combined data'!BE228-'Combined data'!BD228</f>
        <v>3</v>
      </c>
      <c r="BF228" s="17">
        <f>'Combined data'!BF228-'Combined data'!BE228</f>
        <v>9</v>
      </c>
      <c r="BG228" s="17">
        <f>'Combined data'!BG228-'Combined data'!BF228</f>
        <v>5</v>
      </c>
      <c r="BH228" s="17">
        <f>'Combined data'!BH228-'Combined data'!BG228</f>
        <v>3</v>
      </c>
      <c r="BI228" s="17">
        <f>'Combined data'!BI228-'Combined data'!BH228</f>
        <v>3</v>
      </c>
      <c r="BJ228" s="17">
        <f>'Combined data'!BJ228-'Combined data'!BI228</f>
        <v>6</v>
      </c>
      <c r="BK228" s="17">
        <f>'Combined data'!BK228-'Combined data'!BJ228</f>
        <v>9</v>
      </c>
      <c r="BL228" s="17">
        <f>'Combined data'!BL228-'Combined data'!BK228</f>
        <v>9</v>
      </c>
      <c r="BM228" s="17">
        <f>'Combined data'!BM228-'Combined data'!BL228</f>
        <v>0</v>
      </c>
      <c r="BN228" s="17">
        <f>'Combined data'!BN228-'Combined data'!BM228</f>
        <v>3</v>
      </c>
      <c r="BO228" s="17">
        <f>'Combined data'!BO228-'Combined data'!BN228</f>
        <v>-284</v>
      </c>
      <c r="BP228" s="17">
        <f>'Combined data'!BP228-'Combined data'!BO228</f>
        <v>0</v>
      </c>
      <c r="BQ228" s="17">
        <f>'Combined data'!BQ228-'Combined data'!BP228</f>
        <v>0</v>
      </c>
      <c r="BR228" s="17">
        <f>'Combined data'!BR228-'Combined data'!BQ228</f>
        <v>0</v>
      </c>
      <c r="BS228" s="17">
        <f>'Combined data'!BS228-'Combined data'!BR228</f>
        <v>0</v>
      </c>
      <c r="BT228" s="17">
        <f>'Combined data'!BT228-'Combined data'!BS228</f>
        <v>0</v>
      </c>
      <c r="BU228" s="17">
        <f>'Combined data'!BU228-'Combined data'!BT228</f>
        <v>0</v>
      </c>
      <c r="BV228" s="17">
        <f>'Combined data'!BV228-'Combined data'!BU228</f>
        <v>0</v>
      </c>
      <c r="BW228" s="17">
        <f>'Combined data'!BW228-'Combined data'!BV228</f>
        <v>0</v>
      </c>
      <c r="BX228" s="17">
        <f>'Combined data'!BX228-'Combined data'!BW228</f>
        <v>0</v>
      </c>
      <c r="BY228" s="17">
        <f>'Combined data'!BY228-'Combined data'!BX228</f>
        <v>0</v>
      </c>
      <c r="CB228" s="17">
        <f t="shared" si="173"/>
        <v>107</v>
      </c>
      <c r="CC228" s="17">
        <f t="shared" si="174"/>
        <v>17</v>
      </c>
      <c r="CD228" s="17">
        <f t="shared" si="175"/>
        <v>12</v>
      </c>
      <c r="CE228" s="17">
        <f t="shared" si="176"/>
        <v>22</v>
      </c>
      <c r="CF228" s="17">
        <f t="shared" si="177"/>
        <v>4</v>
      </c>
      <c r="CG228" s="17">
        <f t="shared" si="178"/>
        <v>5</v>
      </c>
      <c r="CH228" s="17">
        <f t="shared" si="179"/>
        <v>24</v>
      </c>
      <c r="CI228" s="17">
        <f t="shared" si="180"/>
        <v>8</v>
      </c>
      <c r="CJ228" s="17">
        <f t="shared" si="181"/>
        <v>10</v>
      </c>
      <c r="CK228" s="17">
        <f t="shared" si="182"/>
        <v>3</v>
      </c>
      <c r="CL228" s="17">
        <f t="shared" si="183"/>
        <v>5</v>
      </c>
      <c r="CM228" s="17">
        <f t="shared" si="184"/>
        <v>7</v>
      </c>
      <c r="CN228" s="17">
        <f t="shared" si="185"/>
        <v>10</v>
      </c>
      <c r="CO228" s="17">
        <f t="shared" si="186"/>
        <v>3</v>
      </c>
      <c r="CP228" s="17">
        <f t="shared" si="187"/>
        <v>9</v>
      </c>
      <c r="CQ228" s="17">
        <f t="shared" si="188"/>
        <v>5</v>
      </c>
      <c r="CR228" s="17">
        <f t="shared" si="189"/>
        <v>3</v>
      </c>
      <c r="CS228" s="17">
        <f t="shared" si="190"/>
        <v>3</v>
      </c>
      <c r="CT228" s="17">
        <f t="shared" si="191"/>
        <v>6</v>
      </c>
      <c r="CU228" s="17">
        <f t="shared" si="192"/>
        <v>9</v>
      </c>
      <c r="CV228" s="17">
        <f t="shared" si="193"/>
        <v>9</v>
      </c>
      <c r="CW228" s="17">
        <f t="shared" si="194"/>
        <v>0</v>
      </c>
      <c r="CX228" s="17">
        <f t="shared" si="195"/>
        <v>3</v>
      </c>
      <c r="CY228" s="17">
        <f t="shared" si="195"/>
        <v>-284</v>
      </c>
      <c r="CZ228" s="17">
        <f t="shared" si="195"/>
        <v>0</v>
      </c>
      <c r="DA228" s="17">
        <f t="shared" si="195"/>
        <v>0</v>
      </c>
      <c r="DB228" s="17">
        <f t="shared" si="195"/>
        <v>0</v>
      </c>
      <c r="DC228" s="17">
        <f t="shared" si="195"/>
        <v>0</v>
      </c>
      <c r="DD228" s="17">
        <f t="shared" si="195"/>
        <v>0</v>
      </c>
      <c r="DE228" s="17">
        <f t="shared" si="195"/>
        <v>0</v>
      </c>
      <c r="DF228" s="17">
        <f t="shared" si="195"/>
        <v>0</v>
      </c>
      <c r="DG228" s="17">
        <f t="shared" si="195"/>
        <v>0</v>
      </c>
      <c r="DH228" s="17">
        <f t="shared" si="195"/>
        <v>0</v>
      </c>
      <c r="DI228" s="17">
        <f t="shared" si="195"/>
        <v>0</v>
      </c>
    </row>
    <row r="229" spans="1:113" ht="15.75" x14ac:dyDescent="0.25">
      <c r="A229" s="4" t="s">
        <v>464</v>
      </c>
      <c r="B229" s="6" t="s">
        <v>465</v>
      </c>
      <c r="H229" s="90">
        <f>'Combined data'!H229</f>
        <v>139</v>
      </c>
      <c r="I229" s="90">
        <f>'Combined data'!I229-'Combined data'!H229</f>
        <v>8</v>
      </c>
      <c r="J229" s="90">
        <f>'Combined data'!J229-'Combined data'!I229</f>
        <v>11</v>
      </c>
      <c r="K229" s="90">
        <f>'Combined data'!K229-'Combined data'!J229</f>
        <v>7</v>
      </c>
      <c r="L229" s="90">
        <f>'Combined data'!L229-'Combined data'!K229</f>
        <v>10</v>
      </c>
      <c r="M229" s="90">
        <f>'Combined data'!M229-'Combined data'!L229</f>
        <v>13</v>
      </c>
      <c r="N229" s="90">
        <f>'Combined data'!N229-'Combined data'!M229</f>
        <v>15</v>
      </c>
      <c r="O229" s="90">
        <f>'Combined data'!O229-'Combined data'!N229</f>
        <v>2</v>
      </c>
      <c r="P229" s="90">
        <f>'Combined data'!P229-'Combined data'!O229</f>
        <v>7</v>
      </c>
      <c r="Q229" s="90">
        <f>'Combined data'!Q229-'Combined data'!P229</f>
        <v>11</v>
      </c>
      <c r="R229" s="90">
        <f>'Combined data'!R229-'Combined data'!Q229</f>
        <v>5</v>
      </c>
      <c r="S229" s="90">
        <f>'Combined data'!S229-'Combined data'!R229</f>
        <v>4</v>
      </c>
      <c r="T229" s="90">
        <f>'Combined data'!T229-'Combined data'!S229</f>
        <v>5</v>
      </c>
      <c r="U229" s="90">
        <f>'Combined data'!U229-'Combined data'!T229</f>
        <v>6</v>
      </c>
      <c r="V229" s="90">
        <f>'Combined data'!V229-'Combined data'!U229</f>
        <v>8</v>
      </c>
      <c r="W229" s="90">
        <f>'Combined data'!W229-'Combined data'!V229</f>
        <v>6</v>
      </c>
      <c r="X229" s="90">
        <f>'Combined data'!X229-'Combined data'!W229</f>
        <v>3</v>
      </c>
      <c r="Y229" s="90">
        <f>'Combined data'!Y229-'Combined data'!X229</f>
        <v>9</v>
      </c>
      <c r="Z229" s="90">
        <f>'Combined data'!Z229-'Combined data'!Y229</f>
        <v>3</v>
      </c>
      <c r="AA229" s="90">
        <f>'Combined data'!AA229-'Combined data'!Z229</f>
        <v>2</v>
      </c>
      <c r="AB229" s="90">
        <f>'Combined data'!AB229-'Combined data'!AA229</f>
        <v>2</v>
      </c>
      <c r="AC229" s="90">
        <f>'Combined data'!AC229-'Combined data'!AB229</f>
        <v>-1</v>
      </c>
      <c r="AD229" s="90">
        <f>'Combined data'!AD229-'Combined data'!AC229</f>
        <v>4</v>
      </c>
      <c r="AE229" s="90">
        <f>'Combined data'!AE229-'Combined data'!AD229</f>
        <v>-279</v>
      </c>
      <c r="AF229" s="90">
        <f>'Combined data'!AF229-'Combined data'!AE229</f>
        <v>0</v>
      </c>
      <c r="AG229" s="90">
        <f>'Combined data'!AG229-'Combined data'!AF229</f>
        <v>0</v>
      </c>
      <c r="AH229" s="90">
        <f>'Combined data'!AH229-'Combined data'!AG229</f>
        <v>0</v>
      </c>
      <c r="AI229" s="90">
        <f>'Combined data'!AI229-'Combined data'!AH229</f>
        <v>0</v>
      </c>
      <c r="AJ229" s="90">
        <f>'Combined data'!AJ229-'Combined data'!AI229</f>
        <v>0</v>
      </c>
      <c r="AK229" s="90">
        <f>'Combined data'!AK229-'Combined data'!AJ229</f>
        <v>0</v>
      </c>
      <c r="AL229" s="90">
        <f>'Combined data'!AL229-'Combined data'!AK229</f>
        <v>0</v>
      </c>
      <c r="AM229" s="90">
        <f>'Combined data'!AM229-'Combined data'!AL229</f>
        <v>0</v>
      </c>
      <c r="AN229" s="90">
        <f>'Combined data'!AN229-'Combined data'!AM229</f>
        <v>0</v>
      </c>
      <c r="AO229" s="90">
        <f>'Combined data'!AO229-'Combined data'!AN229</f>
        <v>0</v>
      </c>
      <c r="AP229" s="56">
        <f t="shared" si="155"/>
        <v>0</v>
      </c>
      <c r="AQ229" s="113"/>
      <c r="AR229" s="17">
        <f>'Combined data'!AR229</f>
        <v>63</v>
      </c>
      <c r="AS229" s="17">
        <f>'Combined data'!AS229-'Combined data'!AR229</f>
        <v>8</v>
      </c>
      <c r="AT229" s="17">
        <f>'Combined data'!AT229-'Combined data'!AS229</f>
        <v>22</v>
      </c>
      <c r="AU229" s="17">
        <f>'Combined data'!AU229-'Combined data'!AT229</f>
        <v>7</v>
      </c>
      <c r="AV229" s="17">
        <f>'Combined data'!AV229-'Combined data'!AU229</f>
        <v>5</v>
      </c>
      <c r="AW229" s="17">
        <f>'Combined data'!AW229-'Combined data'!AV229</f>
        <v>18</v>
      </c>
      <c r="AX229" s="17">
        <f>'Combined data'!AX229-'Combined data'!AW229</f>
        <v>11</v>
      </c>
      <c r="AY229" s="17">
        <f>'Combined data'!AY229-'Combined data'!AX229</f>
        <v>12</v>
      </c>
      <c r="AZ229" s="17">
        <f>'Combined data'!AZ229-'Combined data'!AY229</f>
        <v>9</v>
      </c>
      <c r="BA229" s="17">
        <f>'Combined data'!BA229-'Combined data'!AZ229</f>
        <v>13</v>
      </c>
      <c r="BB229" s="17">
        <f>'Combined data'!BB229-'Combined data'!BA229</f>
        <v>5</v>
      </c>
      <c r="BC229" s="17">
        <f>'Combined data'!BC229-'Combined data'!BB229</f>
        <v>8</v>
      </c>
      <c r="BD229" s="17">
        <f>'Combined data'!BD229-'Combined data'!BC229</f>
        <v>4</v>
      </c>
      <c r="BE229" s="17">
        <f>'Combined data'!BE229-'Combined data'!BD229</f>
        <v>7</v>
      </c>
      <c r="BF229" s="17">
        <f>'Combined data'!BF229-'Combined data'!BE229</f>
        <v>3</v>
      </c>
      <c r="BG229" s="17">
        <f>'Combined data'!BG229-'Combined data'!BF229</f>
        <v>5</v>
      </c>
      <c r="BH229" s="17">
        <f>'Combined data'!BH229-'Combined data'!BG229</f>
        <v>3</v>
      </c>
      <c r="BI229" s="17">
        <f>'Combined data'!BI229-'Combined data'!BH229</f>
        <v>4</v>
      </c>
      <c r="BJ229" s="17">
        <f>'Combined data'!BJ229-'Combined data'!BI229</f>
        <v>8</v>
      </c>
      <c r="BK229" s="17">
        <f>'Combined data'!BK229-'Combined data'!BJ229</f>
        <v>6</v>
      </c>
      <c r="BL229" s="17">
        <f>'Combined data'!BL229-'Combined data'!BK229</f>
        <v>7</v>
      </c>
      <c r="BM229" s="17">
        <f>'Combined data'!BM229-'Combined data'!BL229</f>
        <v>1</v>
      </c>
      <c r="BN229" s="17">
        <f>'Combined data'!BN229-'Combined data'!BM229</f>
        <v>0</v>
      </c>
      <c r="BO229" s="17">
        <f>'Combined data'!BO229-'Combined data'!BN229</f>
        <v>-229</v>
      </c>
      <c r="BP229" s="17">
        <f>'Combined data'!BP229-'Combined data'!BO229</f>
        <v>0</v>
      </c>
      <c r="BQ229" s="17">
        <f>'Combined data'!BQ229-'Combined data'!BP229</f>
        <v>0</v>
      </c>
      <c r="BR229" s="17">
        <f>'Combined data'!BR229-'Combined data'!BQ229</f>
        <v>0</v>
      </c>
      <c r="BS229" s="17">
        <f>'Combined data'!BS229-'Combined data'!BR229</f>
        <v>0</v>
      </c>
      <c r="BT229" s="17">
        <f>'Combined data'!BT229-'Combined data'!BS229</f>
        <v>0</v>
      </c>
      <c r="BU229" s="17">
        <f>'Combined data'!BU229-'Combined data'!BT229</f>
        <v>0</v>
      </c>
      <c r="BV229" s="17">
        <f>'Combined data'!BV229-'Combined data'!BU229</f>
        <v>0</v>
      </c>
      <c r="BW229" s="17">
        <f>'Combined data'!BW229-'Combined data'!BV229</f>
        <v>0</v>
      </c>
      <c r="BX229" s="17">
        <f>'Combined data'!BX229-'Combined data'!BW229</f>
        <v>0</v>
      </c>
      <c r="BY229" s="17">
        <f>'Combined data'!BY229-'Combined data'!BX229</f>
        <v>0</v>
      </c>
      <c r="CB229" s="17">
        <f t="shared" si="173"/>
        <v>63</v>
      </c>
      <c r="CC229" s="17">
        <f t="shared" si="174"/>
        <v>8</v>
      </c>
      <c r="CD229" s="17">
        <f t="shared" si="175"/>
        <v>22</v>
      </c>
      <c r="CE229" s="17">
        <f t="shared" si="176"/>
        <v>7</v>
      </c>
      <c r="CF229" s="17">
        <f t="shared" si="177"/>
        <v>5</v>
      </c>
      <c r="CG229" s="17">
        <f t="shared" si="178"/>
        <v>18</v>
      </c>
      <c r="CH229" s="17">
        <f t="shared" si="179"/>
        <v>11</v>
      </c>
      <c r="CI229" s="17">
        <f t="shared" si="180"/>
        <v>12</v>
      </c>
      <c r="CJ229" s="17">
        <f t="shared" si="181"/>
        <v>9</v>
      </c>
      <c r="CK229" s="17">
        <f t="shared" si="182"/>
        <v>13</v>
      </c>
      <c r="CL229" s="17">
        <f t="shared" si="183"/>
        <v>5</v>
      </c>
      <c r="CM229" s="17">
        <f t="shared" si="184"/>
        <v>8</v>
      </c>
      <c r="CN229" s="17">
        <f t="shared" si="185"/>
        <v>4</v>
      </c>
      <c r="CO229" s="17">
        <f t="shared" si="186"/>
        <v>7</v>
      </c>
      <c r="CP229" s="17">
        <f t="shared" si="187"/>
        <v>3</v>
      </c>
      <c r="CQ229" s="17">
        <f t="shared" si="188"/>
        <v>5</v>
      </c>
      <c r="CR229" s="17">
        <f t="shared" si="189"/>
        <v>3</v>
      </c>
      <c r="CS229" s="17">
        <f t="shared" si="190"/>
        <v>4</v>
      </c>
      <c r="CT229" s="17">
        <f t="shared" si="191"/>
        <v>8</v>
      </c>
      <c r="CU229" s="17">
        <f t="shared" si="192"/>
        <v>6</v>
      </c>
      <c r="CV229" s="17">
        <f t="shared" si="193"/>
        <v>7</v>
      </c>
      <c r="CW229" s="17">
        <f t="shared" si="194"/>
        <v>1</v>
      </c>
      <c r="CX229" s="17">
        <f t="shared" si="195"/>
        <v>0</v>
      </c>
      <c r="CY229" s="17">
        <f t="shared" si="195"/>
        <v>-229</v>
      </c>
      <c r="CZ229" s="17">
        <f t="shared" si="195"/>
        <v>0</v>
      </c>
      <c r="DA229" s="17">
        <f t="shared" si="195"/>
        <v>0</v>
      </c>
      <c r="DB229" s="17">
        <f t="shared" si="195"/>
        <v>0</v>
      </c>
      <c r="DC229" s="17">
        <f t="shared" si="195"/>
        <v>0</v>
      </c>
      <c r="DD229" s="17">
        <f t="shared" si="195"/>
        <v>0</v>
      </c>
      <c r="DE229" s="17">
        <f t="shared" si="195"/>
        <v>0</v>
      </c>
      <c r="DF229" s="17">
        <f t="shared" si="195"/>
        <v>0</v>
      </c>
      <c r="DG229" s="17">
        <f t="shared" si="195"/>
        <v>0</v>
      </c>
      <c r="DH229" s="17">
        <f t="shared" si="195"/>
        <v>0</v>
      </c>
      <c r="DI229" s="17">
        <f t="shared" si="195"/>
        <v>0</v>
      </c>
    </row>
    <row r="230" spans="1:113" ht="15.75" x14ac:dyDescent="0.25">
      <c r="A230" s="4" t="s">
        <v>466</v>
      </c>
      <c r="B230" s="6" t="s">
        <v>467</v>
      </c>
      <c r="H230" s="90">
        <f>'Combined data'!H230</f>
        <v>66</v>
      </c>
      <c r="I230" s="90">
        <f>'Combined data'!I230-'Combined data'!H230</f>
        <v>5</v>
      </c>
      <c r="J230" s="90">
        <f>'Combined data'!J230-'Combined data'!I230</f>
        <v>4</v>
      </c>
      <c r="K230" s="90">
        <f>'Combined data'!K230-'Combined data'!J230</f>
        <v>13</v>
      </c>
      <c r="L230" s="90">
        <f>'Combined data'!L230-'Combined data'!K230</f>
        <v>6</v>
      </c>
      <c r="M230" s="90">
        <f>'Combined data'!M230-'Combined data'!L230</f>
        <v>3</v>
      </c>
      <c r="N230" s="90">
        <f>'Combined data'!N230-'Combined data'!M230</f>
        <v>5</v>
      </c>
      <c r="O230" s="90">
        <f>'Combined data'!O230-'Combined data'!N230</f>
        <v>4</v>
      </c>
      <c r="P230" s="90">
        <f>'Combined data'!P230-'Combined data'!O230</f>
        <v>4</v>
      </c>
      <c r="Q230" s="90">
        <f>'Combined data'!Q230-'Combined data'!P230</f>
        <v>5</v>
      </c>
      <c r="R230" s="90">
        <f>'Combined data'!R230-'Combined data'!Q230</f>
        <v>0</v>
      </c>
      <c r="S230" s="90">
        <f>'Combined data'!S230-'Combined data'!R230</f>
        <v>1</v>
      </c>
      <c r="T230" s="90">
        <f>'Combined data'!T230-'Combined data'!S230</f>
        <v>2</v>
      </c>
      <c r="U230" s="90">
        <f>'Combined data'!U230-'Combined data'!T230</f>
        <v>0</v>
      </c>
      <c r="V230" s="90">
        <f>'Combined data'!V230-'Combined data'!U230</f>
        <v>0</v>
      </c>
      <c r="W230" s="90">
        <f>'Combined data'!W230-'Combined data'!V230</f>
        <v>1</v>
      </c>
      <c r="X230" s="90">
        <f>'Combined data'!X230-'Combined data'!W230</f>
        <v>0</v>
      </c>
      <c r="Y230" s="90">
        <f>'Combined data'!Y230-'Combined data'!X230</f>
        <v>2</v>
      </c>
      <c r="Z230" s="90">
        <f>'Combined data'!Z230-'Combined data'!Y230</f>
        <v>1</v>
      </c>
      <c r="AA230" s="90">
        <f>'Combined data'!AA230-'Combined data'!Z230</f>
        <v>2</v>
      </c>
      <c r="AB230" s="90">
        <f>'Combined data'!AB230-'Combined data'!AA230</f>
        <v>4</v>
      </c>
      <c r="AC230" s="90">
        <f>'Combined data'!AC230-'Combined data'!AB230</f>
        <v>0</v>
      </c>
      <c r="AD230" s="90">
        <f>'Combined data'!AD230-'Combined data'!AC230</f>
        <v>2</v>
      </c>
      <c r="AE230" s="90">
        <f>'Combined data'!AE230-'Combined data'!AD230</f>
        <v>-130</v>
      </c>
      <c r="AF230" s="90">
        <f>'Combined data'!AF230-'Combined data'!AE230</f>
        <v>0</v>
      </c>
      <c r="AG230" s="90">
        <f>'Combined data'!AG230-'Combined data'!AF230</f>
        <v>0</v>
      </c>
      <c r="AH230" s="90">
        <f>'Combined data'!AH230-'Combined data'!AG230</f>
        <v>0</v>
      </c>
      <c r="AI230" s="90">
        <f>'Combined data'!AI230-'Combined data'!AH230</f>
        <v>0</v>
      </c>
      <c r="AJ230" s="90">
        <f>'Combined data'!AJ230-'Combined data'!AI230</f>
        <v>0</v>
      </c>
      <c r="AK230" s="90">
        <f>'Combined data'!AK230-'Combined data'!AJ230</f>
        <v>0</v>
      </c>
      <c r="AL230" s="90">
        <f>'Combined data'!AL230-'Combined data'!AK230</f>
        <v>0</v>
      </c>
      <c r="AM230" s="90">
        <f>'Combined data'!AM230-'Combined data'!AL230</f>
        <v>0</v>
      </c>
      <c r="AN230" s="90">
        <f>'Combined data'!AN230-'Combined data'!AM230</f>
        <v>0</v>
      </c>
      <c r="AO230" s="90">
        <f>'Combined data'!AO230-'Combined data'!AN230</f>
        <v>0</v>
      </c>
      <c r="AP230" s="56">
        <f t="shared" si="155"/>
        <v>0</v>
      </c>
      <c r="AQ230" s="113"/>
      <c r="AR230" s="17">
        <f>'Combined data'!AR230</f>
        <v>30</v>
      </c>
      <c r="AS230" s="17">
        <f>'Combined data'!AS230-'Combined data'!AR230</f>
        <v>12</v>
      </c>
      <c r="AT230" s="17">
        <f>'Combined data'!AT230-'Combined data'!AS230</f>
        <v>0</v>
      </c>
      <c r="AU230" s="17">
        <f>'Combined data'!AU230-'Combined data'!AT230</f>
        <v>15</v>
      </c>
      <c r="AV230" s="17">
        <f>'Combined data'!AV230-'Combined data'!AU230</f>
        <v>0</v>
      </c>
      <c r="AW230" s="17">
        <f>'Combined data'!AW230-'Combined data'!AV230</f>
        <v>2</v>
      </c>
      <c r="AX230" s="17">
        <f>'Combined data'!AX230-'Combined data'!AW230</f>
        <v>9</v>
      </c>
      <c r="AY230" s="17">
        <f>'Combined data'!AY230-'Combined data'!AX230</f>
        <v>3</v>
      </c>
      <c r="AZ230" s="17">
        <f>'Combined data'!AZ230-'Combined data'!AY230</f>
        <v>8</v>
      </c>
      <c r="BA230" s="17">
        <f>'Combined data'!BA230-'Combined data'!AZ230</f>
        <v>1</v>
      </c>
      <c r="BB230" s="17">
        <f>'Combined data'!BB230-'Combined data'!BA230</f>
        <v>0</v>
      </c>
      <c r="BC230" s="17">
        <f>'Combined data'!BC230-'Combined data'!BB230</f>
        <v>1</v>
      </c>
      <c r="BD230" s="17">
        <f>'Combined data'!BD230-'Combined data'!BC230</f>
        <v>3</v>
      </c>
      <c r="BE230" s="17">
        <f>'Combined data'!BE230-'Combined data'!BD230</f>
        <v>0</v>
      </c>
      <c r="BF230" s="17">
        <f>'Combined data'!BF230-'Combined data'!BE230</f>
        <v>0</v>
      </c>
      <c r="BG230" s="17">
        <f>'Combined data'!BG230-'Combined data'!BF230</f>
        <v>1</v>
      </c>
      <c r="BH230" s="17">
        <f>'Combined data'!BH230-'Combined data'!BG230</f>
        <v>0</v>
      </c>
      <c r="BI230" s="17">
        <f>'Combined data'!BI230-'Combined data'!BH230</f>
        <v>4</v>
      </c>
      <c r="BJ230" s="17">
        <f>'Combined data'!BJ230-'Combined data'!BI230</f>
        <v>4</v>
      </c>
      <c r="BK230" s="17">
        <f>'Combined data'!BK230-'Combined data'!BJ230</f>
        <v>0</v>
      </c>
      <c r="BL230" s="17">
        <f>'Combined data'!BL230-'Combined data'!BK230</f>
        <v>4</v>
      </c>
      <c r="BM230" s="17">
        <f>'Combined data'!BM230-'Combined data'!BL230</f>
        <v>-2</v>
      </c>
      <c r="BN230" s="17">
        <f>'Combined data'!BN230-'Combined data'!BM230</f>
        <v>2</v>
      </c>
      <c r="BO230" s="17">
        <f>'Combined data'!BO230-'Combined data'!BN230</f>
        <v>-97</v>
      </c>
      <c r="BP230" s="17">
        <f>'Combined data'!BP230-'Combined data'!BO230</f>
        <v>0</v>
      </c>
      <c r="BQ230" s="17">
        <f>'Combined data'!BQ230-'Combined data'!BP230</f>
        <v>0</v>
      </c>
      <c r="BR230" s="17">
        <f>'Combined data'!BR230-'Combined data'!BQ230</f>
        <v>0</v>
      </c>
      <c r="BS230" s="17">
        <f>'Combined data'!BS230-'Combined data'!BR230</f>
        <v>0</v>
      </c>
      <c r="BT230" s="17">
        <f>'Combined data'!BT230-'Combined data'!BS230</f>
        <v>0</v>
      </c>
      <c r="BU230" s="17">
        <f>'Combined data'!BU230-'Combined data'!BT230</f>
        <v>0</v>
      </c>
      <c r="BV230" s="17">
        <f>'Combined data'!BV230-'Combined data'!BU230</f>
        <v>0</v>
      </c>
      <c r="BW230" s="17">
        <f>'Combined data'!BW230-'Combined data'!BV230</f>
        <v>0</v>
      </c>
      <c r="BX230" s="17">
        <f>'Combined data'!BX230-'Combined data'!BW230</f>
        <v>0</v>
      </c>
      <c r="BY230" s="17">
        <f>'Combined data'!BY230-'Combined data'!BX230</f>
        <v>0</v>
      </c>
      <c r="CB230" s="17">
        <f t="shared" si="173"/>
        <v>30</v>
      </c>
      <c r="CC230" s="17">
        <f t="shared" si="174"/>
        <v>12</v>
      </c>
      <c r="CD230" s="17">
        <f t="shared" si="175"/>
        <v>0</v>
      </c>
      <c r="CE230" s="17">
        <f t="shared" si="176"/>
        <v>15</v>
      </c>
      <c r="CF230" s="17">
        <f t="shared" si="177"/>
        <v>0</v>
      </c>
      <c r="CG230" s="17">
        <f t="shared" si="178"/>
        <v>2</v>
      </c>
      <c r="CH230" s="17">
        <f t="shared" si="179"/>
        <v>9</v>
      </c>
      <c r="CI230" s="17">
        <f t="shared" si="180"/>
        <v>3</v>
      </c>
      <c r="CJ230" s="17">
        <f t="shared" si="181"/>
        <v>8</v>
      </c>
      <c r="CK230" s="17">
        <f t="shared" si="182"/>
        <v>1</v>
      </c>
      <c r="CL230" s="17">
        <f t="shared" si="183"/>
        <v>0</v>
      </c>
      <c r="CM230" s="17">
        <f t="shared" si="184"/>
        <v>1</v>
      </c>
      <c r="CN230" s="17">
        <f t="shared" si="185"/>
        <v>3</v>
      </c>
      <c r="CO230" s="17">
        <f t="shared" si="186"/>
        <v>0</v>
      </c>
      <c r="CP230" s="17">
        <f t="shared" si="187"/>
        <v>0</v>
      </c>
      <c r="CQ230" s="17">
        <f t="shared" si="188"/>
        <v>1</v>
      </c>
      <c r="CR230" s="17">
        <f t="shared" si="189"/>
        <v>0</v>
      </c>
      <c r="CS230" s="17">
        <f t="shared" si="190"/>
        <v>4</v>
      </c>
      <c r="CT230" s="17">
        <f t="shared" si="191"/>
        <v>4</v>
      </c>
      <c r="CU230" s="17">
        <f t="shared" si="192"/>
        <v>0</v>
      </c>
      <c r="CV230" s="17">
        <f t="shared" si="193"/>
        <v>4</v>
      </c>
      <c r="CW230" s="17">
        <f t="shared" si="194"/>
        <v>-2</v>
      </c>
      <c r="CX230" s="17">
        <f t="shared" si="195"/>
        <v>2</v>
      </c>
      <c r="CY230" s="17">
        <f t="shared" si="195"/>
        <v>-97</v>
      </c>
      <c r="CZ230" s="17">
        <f t="shared" si="195"/>
        <v>0</v>
      </c>
      <c r="DA230" s="17">
        <f t="shared" si="195"/>
        <v>0</v>
      </c>
      <c r="DB230" s="17">
        <f t="shared" si="195"/>
        <v>0</v>
      </c>
      <c r="DC230" s="17">
        <f t="shared" si="195"/>
        <v>0</v>
      </c>
      <c r="DD230" s="17">
        <f t="shared" si="195"/>
        <v>0</v>
      </c>
      <c r="DE230" s="17">
        <f t="shared" si="195"/>
        <v>0</v>
      </c>
      <c r="DF230" s="17">
        <f t="shared" si="195"/>
        <v>0</v>
      </c>
      <c r="DG230" s="17">
        <f t="shared" si="195"/>
        <v>0</v>
      </c>
      <c r="DH230" s="17">
        <f t="shared" si="195"/>
        <v>0</v>
      </c>
      <c r="DI230" s="17">
        <f t="shared" si="195"/>
        <v>0</v>
      </c>
    </row>
    <row r="231" spans="1:113" ht="15.75" x14ac:dyDescent="0.25">
      <c r="A231" s="4" t="s">
        <v>468</v>
      </c>
      <c r="B231" s="6" t="s">
        <v>469</v>
      </c>
      <c r="H231" s="90">
        <f>'Combined data'!H231</f>
        <v>77</v>
      </c>
      <c r="I231" s="90">
        <f>'Combined data'!I231-'Combined data'!H231</f>
        <v>4</v>
      </c>
      <c r="J231" s="90">
        <f>'Combined data'!J231-'Combined data'!I231</f>
        <v>9</v>
      </c>
      <c r="K231" s="90">
        <f>'Combined data'!K231-'Combined data'!J231</f>
        <v>2</v>
      </c>
      <c r="L231" s="90">
        <f>'Combined data'!L231-'Combined data'!K231</f>
        <v>3</v>
      </c>
      <c r="M231" s="90">
        <f>'Combined data'!M231-'Combined data'!L231</f>
        <v>0</v>
      </c>
      <c r="N231" s="90">
        <f>'Combined data'!N231-'Combined data'!M231</f>
        <v>6</v>
      </c>
      <c r="O231" s="90">
        <f>'Combined data'!O231-'Combined data'!N231</f>
        <v>1</v>
      </c>
      <c r="P231" s="90">
        <f>'Combined data'!P231-'Combined data'!O231</f>
        <v>2</v>
      </c>
      <c r="Q231" s="90">
        <f>'Combined data'!Q231-'Combined data'!P231</f>
        <v>2</v>
      </c>
      <c r="R231" s="90">
        <f>'Combined data'!R231-'Combined data'!Q231</f>
        <v>1</v>
      </c>
      <c r="S231" s="90">
        <f>'Combined data'!S231-'Combined data'!R231</f>
        <v>6</v>
      </c>
      <c r="T231" s="90">
        <f>'Combined data'!T231-'Combined data'!S231</f>
        <v>6</v>
      </c>
      <c r="U231" s="90">
        <f>'Combined data'!U231-'Combined data'!T231</f>
        <v>0</v>
      </c>
      <c r="V231" s="90">
        <f>'Combined data'!V231-'Combined data'!U231</f>
        <v>0</v>
      </c>
      <c r="W231" s="90">
        <f>'Combined data'!W231-'Combined data'!V231</f>
        <v>1</v>
      </c>
      <c r="X231" s="90">
        <f>'Combined data'!X231-'Combined data'!W231</f>
        <v>0</v>
      </c>
      <c r="Y231" s="90">
        <f>'Combined data'!Y231-'Combined data'!X231</f>
        <v>0</v>
      </c>
      <c r="Z231" s="90">
        <f>'Combined data'!Z231-'Combined data'!Y231</f>
        <v>7</v>
      </c>
      <c r="AA231" s="90">
        <f>'Combined data'!AA231-'Combined data'!Z231</f>
        <v>0</v>
      </c>
      <c r="AB231" s="90">
        <f>'Combined data'!AB231-'Combined data'!AA231</f>
        <v>0</v>
      </c>
      <c r="AC231" s="90">
        <f>'Combined data'!AC231-'Combined data'!AB231</f>
        <v>0</v>
      </c>
      <c r="AD231" s="90">
        <f>'Combined data'!AD231-'Combined data'!AC231</f>
        <v>1</v>
      </c>
      <c r="AE231" s="90">
        <f>'Combined data'!AE231-'Combined data'!AD231</f>
        <v>-128</v>
      </c>
      <c r="AF231" s="90">
        <f>'Combined data'!AF231-'Combined data'!AE231</f>
        <v>0</v>
      </c>
      <c r="AG231" s="90">
        <f>'Combined data'!AG231-'Combined data'!AF231</f>
        <v>0</v>
      </c>
      <c r="AH231" s="90">
        <f>'Combined data'!AH231-'Combined data'!AG231</f>
        <v>0</v>
      </c>
      <c r="AI231" s="90">
        <f>'Combined data'!AI231-'Combined data'!AH231</f>
        <v>0</v>
      </c>
      <c r="AJ231" s="90">
        <f>'Combined data'!AJ231-'Combined data'!AI231</f>
        <v>0</v>
      </c>
      <c r="AK231" s="90">
        <f>'Combined data'!AK231-'Combined data'!AJ231</f>
        <v>0</v>
      </c>
      <c r="AL231" s="90">
        <f>'Combined data'!AL231-'Combined data'!AK231</f>
        <v>0</v>
      </c>
      <c r="AM231" s="90">
        <f>'Combined data'!AM231-'Combined data'!AL231</f>
        <v>0</v>
      </c>
      <c r="AN231" s="90">
        <f>'Combined data'!AN231-'Combined data'!AM231</f>
        <v>0</v>
      </c>
      <c r="AO231" s="90">
        <f>'Combined data'!AO231-'Combined data'!AN231</f>
        <v>0</v>
      </c>
      <c r="AP231" s="56">
        <f t="shared" si="155"/>
        <v>0</v>
      </c>
      <c r="AQ231" s="113"/>
      <c r="AR231" s="17">
        <f>'Combined data'!AR231</f>
        <v>47</v>
      </c>
      <c r="AS231" s="17">
        <f>'Combined data'!AS231-'Combined data'!AR231</f>
        <v>3</v>
      </c>
      <c r="AT231" s="17">
        <f>'Combined data'!AT231-'Combined data'!AS231</f>
        <v>10</v>
      </c>
      <c r="AU231" s="17">
        <f>'Combined data'!AU231-'Combined data'!AT231</f>
        <v>5</v>
      </c>
      <c r="AV231" s="17">
        <f>'Combined data'!AV231-'Combined data'!AU231</f>
        <v>1</v>
      </c>
      <c r="AW231" s="17">
        <f>'Combined data'!AW231-'Combined data'!AV231</f>
        <v>4</v>
      </c>
      <c r="AX231" s="17">
        <f>'Combined data'!AX231-'Combined data'!AW231</f>
        <v>6</v>
      </c>
      <c r="AY231" s="17">
        <f>'Combined data'!AY231-'Combined data'!AX231</f>
        <v>3</v>
      </c>
      <c r="AZ231" s="17">
        <f>'Combined data'!AZ231-'Combined data'!AY231</f>
        <v>1</v>
      </c>
      <c r="BA231" s="17">
        <f>'Combined data'!BA231-'Combined data'!AZ231</f>
        <v>3</v>
      </c>
      <c r="BB231" s="17">
        <f>'Combined data'!BB231-'Combined data'!BA231</f>
        <v>2</v>
      </c>
      <c r="BC231" s="17">
        <f>'Combined data'!BC231-'Combined data'!BB231</f>
        <v>3</v>
      </c>
      <c r="BD231" s="17">
        <f>'Combined data'!BD231-'Combined data'!BC231</f>
        <v>4</v>
      </c>
      <c r="BE231" s="17">
        <f>'Combined data'!BE231-'Combined data'!BD231</f>
        <v>4</v>
      </c>
      <c r="BF231" s="17">
        <f>'Combined data'!BF231-'Combined data'!BE231</f>
        <v>4</v>
      </c>
      <c r="BG231" s="17">
        <f>'Combined data'!BG231-'Combined data'!BF231</f>
        <v>0</v>
      </c>
      <c r="BH231" s="17">
        <f>'Combined data'!BH231-'Combined data'!BG231</f>
        <v>0</v>
      </c>
      <c r="BI231" s="17">
        <f>'Combined data'!BI231-'Combined data'!BH231</f>
        <v>4</v>
      </c>
      <c r="BJ231" s="17">
        <f>'Combined data'!BJ231-'Combined data'!BI231</f>
        <v>0</v>
      </c>
      <c r="BK231" s="17">
        <f>'Combined data'!BK231-'Combined data'!BJ231</f>
        <v>3</v>
      </c>
      <c r="BL231" s="17">
        <f>'Combined data'!BL231-'Combined data'!BK231</f>
        <v>1</v>
      </c>
      <c r="BM231" s="17">
        <f>'Combined data'!BM231-'Combined data'!BL231</f>
        <v>0</v>
      </c>
      <c r="BN231" s="17">
        <f>'Combined data'!BN231-'Combined data'!BM231</f>
        <v>0</v>
      </c>
      <c r="BO231" s="17">
        <f>'Combined data'!BO231-'Combined data'!BN231</f>
        <v>-108</v>
      </c>
      <c r="BP231" s="17">
        <f>'Combined data'!BP231-'Combined data'!BO231</f>
        <v>0</v>
      </c>
      <c r="BQ231" s="17">
        <f>'Combined data'!BQ231-'Combined data'!BP231</f>
        <v>0</v>
      </c>
      <c r="BR231" s="17">
        <f>'Combined data'!BR231-'Combined data'!BQ231</f>
        <v>0</v>
      </c>
      <c r="BS231" s="17">
        <f>'Combined data'!BS231-'Combined data'!BR231</f>
        <v>0</v>
      </c>
      <c r="BT231" s="17">
        <f>'Combined data'!BT231-'Combined data'!BS231</f>
        <v>0</v>
      </c>
      <c r="BU231" s="17">
        <f>'Combined data'!BU231-'Combined data'!BT231</f>
        <v>0</v>
      </c>
      <c r="BV231" s="17">
        <f>'Combined data'!BV231-'Combined data'!BU231</f>
        <v>0</v>
      </c>
      <c r="BW231" s="17">
        <f>'Combined data'!BW231-'Combined data'!BV231</f>
        <v>0</v>
      </c>
      <c r="BX231" s="17">
        <f>'Combined data'!BX231-'Combined data'!BW231</f>
        <v>0</v>
      </c>
      <c r="BY231" s="17">
        <f>'Combined data'!BY231-'Combined data'!BX231</f>
        <v>0</v>
      </c>
      <c r="CB231" s="17">
        <f t="shared" si="173"/>
        <v>47</v>
      </c>
      <c r="CC231" s="17">
        <f t="shared" si="174"/>
        <v>3</v>
      </c>
      <c r="CD231" s="17">
        <f t="shared" si="175"/>
        <v>10</v>
      </c>
      <c r="CE231" s="17">
        <f t="shared" si="176"/>
        <v>5</v>
      </c>
      <c r="CF231" s="17">
        <f t="shared" si="177"/>
        <v>1</v>
      </c>
      <c r="CG231" s="17">
        <f t="shared" si="178"/>
        <v>4</v>
      </c>
      <c r="CH231" s="17">
        <f t="shared" si="179"/>
        <v>6</v>
      </c>
      <c r="CI231" s="17">
        <f t="shared" si="180"/>
        <v>3</v>
      </c>
      <c r="CJ231" s="17">
        <f t="shared" si="181"/>
        <v>1</v>
      </c>
      <c r="CK231" s="17">
        <f t="shared" si="182"/>
        <v>3</v>
      </c>
      <c r="CL231" s="17">
        <f t="shared" si="183"/>
        <v>2</v>
      </c>
      <c r="CM231" s="17">
        <f t="shared" si="184"/>
        <v>3</v>
      </c>
      <c r="CN231" s="17">
        <f t="shared" si="185"/>
        <v>4</v>
      </c>
      <c r="CO231" s="17">
        <f t="shared" si="186"/>
        <v>4</v>
      </c>
      <c r="CP231" s="17">
        <f t="shared" si="187"/>
        <v>4</v>
      </c>
      <c r="CQ231" s="17">
        <f t="shared" si="188"/>
        <v>0</v>
      </c>
      <c r="CR231" s="17">
        <f t="shared" si="189"/>
        <v>0</v>
      </c>
      <c r="CS231" s="17">
        <f t="shared" si="190"/>
        <v>4</v>
      </c>
      <c r="CT231" s="17">
        <f t="shared" si="191"/>
        <v>0</v>
      </c>
      <c r="CU231" s="17">
        <f t="shared" si="192"/>
        <v>3</v>
      </c>
      <c r="CV231" s="17">
        <f t="shared" si="193"/>
        <v>1</v>
      </c>
      <c r="CW231" s="17">
        <f t="shared" si="194"/>
        <v>0</v>
      </c>
      <c r="CX231" s="17">
        <f t="shared" si="195"/>
        <v>0</v>
      </c>
      <c r="CY231" s="17">
        <f t="shared" si="195"/>
        <v>-108</v>
      </c>
      <c r="CZ231" s="17">
        <f t="shared" si="195"/>
        <v>0</v>
      </c>
      <c r="DA231" s="17">
        <f t="shared" si="195"/>
        <v>0</v>
      </c>
      <c r="DB231" s="17">
        <f t="shared" si="195"/>
        <v>0</v>
      </c>
      <c r="DC231" s="17">
        <f t="shared" si="195"/>
        <v>0</v>
      </c>
      <c r="DD231" s="17">
        <f t="shared" si="195"/>
        <v>0</v>
      </c>
      <c r="DE231" s="17">
        <f t="shared" si="195"/>
        <v>0</v>
      </c>
      <c r="DF231" s="17">
        <f t="shared" si="195"/>
        <v>0</v>
      </c>
      <c r="DG231" s="17">
        <f t="shared" si="195"/>
        <v>0</v>
      </c>
      <c r="DH231" s="17">
        <f t="shared" si="195"/>
        <v>0</v>
      </c>
      <c r="DI231" s="17">
        <f t="shared" si="195"/>
        <v>0</v>
      </c>
    </row>
    <row r="232" spans="1:113" ht="15.75" x14ac:dyDescent="0.25">
      <c r="A232" s="4" t="s">
        <v>470</v>
      </c>
      <c r="B232" s="6" t="s">
        <v>471</v>
      </c>
      <c r="H232" s="90">
        <f>'Combined data'!H232</f>
        <v>64</v>
      </c>
      <c r="I232" s="90">
        <f>'Combined data'!I232-'Combined data'!H232</f>
        <v>0</v>
      </c>
      <c r="J232" s="90">
        <f>'Combined data'!J232-'Combined data'!I232</f>
        <v>8</v>
      </c>
      <c r="K232" s="90">
        <f>'Combined data'!K232-'Combined data'!J232</f>
        <v>7</v>
      </c>
      <c r="L232" s="90">
        <f>'Combined data'!L232-'Combined data'!K232</f>
        <v>0</v>
      </c>
      <c r="M232" s="90">
        <f>'Combined data'!M232-'Combined data'!L232</f>
        <v>0</v>
      </c>
      <c r="N232" s="90">
        <f>'Combined data'!N232-'Combined data'!M232</f>
        <v>6</v>
      </c>
      <c r="O232" s="90">
        <f>'Combined data'!O232-'Combined data'!N232</f>
        <v>2</v>
      </c>
      <c r="P232" s="90">
        <f>'Combined data'!P232-'Combined data'!O232</f>
        <v>5</v>
      </c>
      <c r="Q232" s="90">
        <f>'Combined data'!Q232-'Combined data'!P232</f>
        <v>0</v>
      </c>
      <c r="R232" s="90">
        <f>'Combined data'!R232-'Combined data'!Q232</f>
        <v>0</v>
      </c>
      <c r="S232" s="90">
        <f>'Combined data'!S232-'Combined data'!R232</f>
        <v>0</v>
      </c>
      <c r="T232" s="90">
        <f>'Combined data'!T232-'Combined data'!S232</f>
        <v>7</v>
      </c>
      <c r="U232" s="90">
        <f>'Combined data'!U232-'Combined data'!T232</f>
        <v>0</v>
      </c>
      <c r="V232" s="90">
        <f>'Combined data'!V232-'Combined data'!U232</f>
        <v>0</v>
      </c>
      <c r="W232" s="90">
        <f>'Combined data'!W232-'Combined data'!V232</f>
        <v>0</v>
      </c>
      <c r="X232" s="90">
        <f>'Combined data'!X232-'Combined data'!W232</f>
        <v>2</v>
      </c>
      <c r="Y232" s="90">
        <f>'Combined data'!Y232-'Combined data'!X232</f>
        <v>8</v>
      </c>
      <c r="Z232" s="90">
        <f>'Combined data'!Z232-'Combined data'!Y232</f>
        <v>2</v>
      </c>
      <c r="AA232" s="90">
        <f>'Combined data'!AA232-'Combined data'!Z232</f>
        <v>4</v>
      </c>
      <c r="AB232" s="90">
        <f>'Combined data'!AB232-'Combined data'!AA232</f>
        <v>0</v>
      </c>
      <c r="AC232" s="90">
        <f>'Combined data'!AC232-'Combined data'!AB232</f>
        <v>0</v>
      </c>
      <c r="AD232" s="90">
        <f>'Combined data'!AD232-'Combined data'!AC232</f>
        <v>0</v>
      </c>
      <c r="AE232" s="90">
        <f>'Combined data'!AE232-'Combined data'!AD232</f>
        <v>-115</v>
      </c>
      <c r="AF232" s="90">
        <f>'Combined data'!AF232-'Combined data'!AE232</f>
        <v>0</v>
      </c>
      <c r="AG232" s="90">
        <f>'Combined data'!AG232-'Combined data'!AF232</f>
        <v>0</v>
      </c>
      <c r="AH232" s="90">
        <f>'Combined data'!AH232-'Combined data'!AG232</f>
        <v>0</v>
      </c>
      <c r="AI232" s="90">
        <f>'Combined data'!AI232-'Combined data'!AH232</f>
        <v>0</v>
      </c>
      <c r="AJ232" s="90">
        <f>'Combined data'!AJ232-'Combined data'!AI232</f>
        <v>0</v>
      </c>
      <c r="AK232" s="90">
        <f>'Combined data'!AK232-'Combined data'!AJ232</f>
        <v>0</v>
      </c>
      <c r="AL232" s="90">
        <f>'Combined data'!AL232-'Combined data'!AK232</f>
        <v>0</v>
      </c>
      <c r="AM232" s="90">
        <f>'Combined data'!AM232-'Combined data'!AL232</f>
        <v>0</v>
      </c>
      <c r="AN232" s="90">
        <f>'Combined data'!AN232-'Combined data'!AM232</f>
        <v>0</v>
      </c>
      <c r="AO232" s="90">
        <f>'Combined data'!AO232-'Combined data'!AN232</f>
        <v>0</v>
      </c>
      <c r="AP232" s="56">
        <f t="shared" si="155"/>
        <v>0</v>
      </c>
      <c r="AQ232" s="113"/>
      <c r="AR232" s="17">
        <f>'Combined data'!AR232</f>
        <v>37</v>
      </c>
      <c r="AS232" s="17">
        <f>'Combined data'!AS232-'Combined data'!AR232</f>
        <v>8</v>
      </c>
      <c r="AT232" s="17">
        <f>'Combined data'!AT232-'Combined data'!AS232</f>
        <v>1</v>
      </c>
      <c r="AU232" s="17">
        <f>'Combined data'!AU232-'Combined data'!AT232</f>
        <v>7</v>
      </c>
      <c r="AV232" s="17">
        <f>'Combined data'!AV232-'Combined data'!AU232</f>
        <v>9</v>
      </c>
      <c r="AW232" s="17">
        <f>'Combined data'!AW232-'Combined data'!AV232</f>
        <v>4</v>
      </c>
      <c r="AX232" s="17">
        <f>'Combined data'!AX232-'Combined data'!AW232</f>
        <v>1</v>
      </c>
      <c r="AY232" s="17">
        <f>'Combined data'!AY232-'Combined data'!AX232</f>
        <v>2</v>
      </c>
      <c r="AZ232" s="17">
        <f>'Combined data'!AZ232-'Combined data'!AY232</f>
        <v>2</v>
      </c>
      <c r="BA232" s="17">
        <f>'Combined data'!BA232-'Combined data'!AZ232</f>
        <v>2</v>
      </c>
      <c r="BB232" s="17">
        <f>'Combined data'!BB232-'Combined data'!BA232</f>
        <v>4</v>
      </c>
      <c r="BC232" s="17">
        <f>'Combined data'!BC232-'Combined data'!BB232</f>
        <v>2</v>
      </c>
      <c r="BD232" s="17">
        <f>'Combined data'!BD232-'Combined data'!BC232</f>
        <v>1</v>
      </c>
      <c r="BE232" s="17">
        <f>'Combined data'!BE232-'Combined data'!BD232</f>
        <v>0</v>
      </c>
      <c r="BF232" s="17">
        <f>'Combined data'!BF232-'Combined data'!BE232</f>
        <v>3</v>
      </c>
      <c r="BG232" s="17">
        <f>'Combined data'!BG232-'Combined data'!BF232</f>
        <v>1</v>
      </c>
      <c r="BH232" s="17">
        <f>'Combined data'!BH232-'Combined data'!BG232</f>
        <v>4</v>
      </c>
      <c r="BI232" s="17">
        <f>'Combined data'!BI232-'Combined data'!BH232</f>
        <v>0</v>
      </c>
      <c r="BJ232" s="17">
        <f>'Combined data'!BJ232-'Combined data'!BI232</f>
        <v>3</v>
      </c>
      <c r="BK232" s="17">
        <f>'Combined data'!BK232-'Combined data'!BJ232</f>
        <v>1</v>
      </c>
      <c r="BL232" s="17">
        <f>'Combined data'!BL232-'Combined data'!BK232</f>
        <v>0</v>
      </c>
      <c r="BM232" s="17">
        <f>'Combined data'!BM232-'Combined data'!BL232</f>
        <v>0</v>
      </c>
      <c r="BN232" s="17">
        <f>'Combined data'!BN232-'Combined data'!BM232</f>
        <v>-1</v>
      </c>
      <c r="BO232" s="17">
        <f>'Combined data'!BO232-'Combined data'!BN232</f>
        <v>-91</v>
      </c>
      <c r="BP232" s="17">
        <f>'Combined data'!BP232-'Combined data'!BO232</f>
        <v>0</v>
      </c>
      <c r="BQ232" s="17">
        <f>'Combined data'!BQ232-'Combined data'!BP232</f>
        <v>0</v>
      </c>
      <c r="BR232" s="17">
        <f>'Combined data'!BR232-'Combined data'!BQ232</f>
        <v>0</v>
      </c>
      <c r="BS232" s="17">
        <f>'Combined data'!BS232-'Combined data'!BR232</f>
        <v>0</v>
      </c>
      <c r="BT232" s="17">
        <f>'Combined data'!BT232-'Combined data'!BS232</f>
        <v>0</v>
      </c>
      <c r="BU232" s="17">
        <f>'Combined data'!BU232-'Combined data'!BT232</f>
        <v>0</v>
      </c>
      <c r="BV232" s="17">
        <f>'Combined data'!BV232-'Combined data'!BU232</f>
        <v>0</v>
      </c>
      <c r="BW232" s="17">
        <f>'Combined data'!BW232-'Combined data'!BV232</f>
        <v>0</v>
      </c>
      <c r="BX232" s="17">
        <f>'Combined data'!BX232-'Combined data'!BW232</f>
        <v>0</v>
      </c>
      <c r="BY232" s="17">
        <f>'Combined data'!BY232-'Combined data'!BX232</f>
        <v>0</v>
      </c>
      <c r="CB232" s="17">
        <f t="shared" si="173"/>
        <v>37</v>
      </c>
      <c r="CC232" s="17">
        <f t="shared" si="174"/>
        <v>8</v>
      </c>
      <c r="CD232" s="17">
        <f t="shared" si="175"/>
        <v>1</v>
      </c>
      <c r="CE232" s="17">
        <f t="shared" si="176"/>
        <v>7</v>
      </c>
      <c r="CF232" s="17">
        <f t="shared" si="177"/>
        <v>9</v>
      </c>
      <c r="CG232" s="17">
        <f t="shared" si="178"/>
        <v>4</v>
      </c>
      <c r="CH232" s="17">
        <f t="shared" si="179"/>
        <v>1</v>
      </c>
      <c r="CI232" s="17">
        <f t="shared" si="180"/>
        <v>2</v>
      </c>
      <c r="CJ232" s="17">
        <f t="shared" si="181"/>
        <v>2</v>
      </c>
      <c r="CK232" s="17">
        <f t="shared" si="182"/>
        <v>2</v>
      </c>
      <c r="CL232" s="17">
        <f t="shared" si="183"/>
        <v>4</v>
      </c>
      <c r="CM232" s="17">
        <f t="shared" si="184"/>
        <v>2</v>
      </c>
      <c r="CN232" s="17">
        <f t="shared" si="185"/>
        <v>1</v>
      </c>
      <c r="CO232" s="17">
        <f t="shared" si="186"/>
        <v>0</v>
      </c>
      <c r="CP232" s="17">
        <f t="shared" si="187"/>
        <v>3</v>
      </c>
      <c r="CQ232" s="17">
        <f t="shared" si="188"/>
        <v>1</v>
      </c>
      <c r="CR232" s="17">
        <f t="shared" si="189"/>
        <v>4</v>
      </c>
      <c r="CS232" s="17">
        <f t="shared" si="190"/>
        <v>0</v>
      </c>
      <c r="CT232" s="17">
        <f t="shared" si="191"/>
        <v>3</v>
      </c>
      <c r="CU232" s="17">
        <f t="shared" si="192"/>
        <v>1</v>
      </c>
      <c r="CV232" s="17">
        <f t="shared" si="193"/>
        <v>0</v>
      </c>
      <c r="CW232" s="17">
        <f t="shared" si="194"/>
        <v>0</v>
      </c>
      <c r="CX232" s="17">
        <f t="shared" si="195"/>
        <v>-1</v>
      </c>
      <c r="CY232" s="17">
        <f t="shared" si="195"/>
        <v>-91</v>
      </c>
      <c r="CZ232" s="17">
        <f t="shared" si="195"/>
        <v>0</v>
      </c>
      <c r="DA232" s="17">
        <f t="shared" si="195"/>
        <v>0</v>
      </c>
      <c r="DB232" s="17">
        <f t="shared" si="195"/>
        <v>0</v>
      </c>
      <c r="DC232" s="17">
        <f t="shared" si="195"/>
        <v>0</v>
      </c>
      <c r="DD232" s="17">
        <f t="shared" si="195"/>
        <v>0</v>
      </c>
      <c r="DE232" s="17">
        <f t="shared" si="195"/>
        <v>0</v>
      </c>
      <c r="DF232" s="17">
        <f t="shared" si="195"/>
        <v>0</v>
      </c>
      <c r="DG232" s="17">
        <f t="shared" si="195"/>
        <v>0</v>
      </c>
      <c r="DH232" s="17">
        <f t="shared" si="195"/>
        <v>0</v>
      </c>
      <c r="DI232" s="17">
        <f t="shared" si="195"/>
        <v>0</v>
      </c>
    </row>
    <row r="233" spans="1:113" ht="15.75" x14ac:dyDescent="0.25">
      <c r="A233" s="4" t="s">
        <v>472</v>
      </c>
      <c r="B233" s="6" t="s">
        <v>473</v>
      </c>
      <c r="H233" s="90">
        <f>'Combined data'!H233</f>
        <v>76</v>
      </c>
      <c r="I233" s="90">
        <f>'Combined data'!I233-'Combined data'!H233</f>
        <v>1</v>
      </c>
      <c r="J233" s="90">
        <f>'Combined data'!J233-'Combined data'!I233</f>
        <v>0</v>
      </c>
      <c r="K233" s="90">
        <f>'Combined data'!K233-'Combined data'!J233</f>
        <v>0</v>
      </c>
      <c r="L233" s="90">
        <f>'Combined data'!L233-'Combined data'!K233</f>
        <v>1</v>
      </c>
      <c r="M233" s="90">
        <f>'Combined data'!M233-'Combined data'!L233</f>
        <v>5</v>
      </c>
      <c r="N233" s="90">
        <f>'Combined data'!N233-'Combined data'!M233</f>
        <v>8</v>
      </c>
      <c r="O233" s="90">
        <f>'Combined data'!O233-'Combined data'!N233</f>
        <v>7</v>
      </c>
      <c r="P233" s="90">
        <f>'Combined data'!P233-'Combined data'!O233</f>
        <v>4</v>
      </c>
      <c r="Q233" s="90">
        <f>'Combined data'!Q233-'Combined data'!P233</f>
        <v>4</v>
      </c>
      <c r="R233" s="90">
        <f>'Combined data'!R233-'Combined data'!Q233</f>
        <v>1</v>
      </c>
      <c r="S233" s="90">
        <f>'Combined data'!S233-'Combined data'!R233</f>
        <v>3</v>
      </c>
      <c r="T233" s="90">
        <f>'Combined data'!T233-'Combined data'!S233</f>
        <v>2</v>
      </c>
      <c r="U233" s="90">
        <f>'Combined data'!U233-'Combined data'!T233</f>
        <v>3</v>
      </c>
      <c r="V233" s="90">
        <f>'Combined data'!V233-'Combined data'!U233</f>
        <v>3</v>
      </c>
      <c r="W233" s="90">
        <f>'Combined data'!W233-'Combined data'!V233</f>
        <v>0</v>
      </c>
      <c r="X233" s="90">
        <f>'Combined data'!X233-'Combined data'!W233</f>
        <v>1</v>
      </c>
      <c r="Y233" s="90">
        <f>'Combined data'!Y233-'Combined data'!X233</f>
        <v>3</v>
      </c>
      <c r="Z233" s="90">
        <f>'Combined data'!Z233-'Combined data'!Y233</f>
        <v>1</v>
      </c>
      <c r="AA233" s="90">
        <f>'Combined data'!AA233-'Combined data'!Z233</f>
        <v>2</v>
      </c>
      <c r="AB233" s="90">
        <f>'Combined data'!AB233-'Combined data'!AA233</f>
        <v>0</v>
      </c>
      <c r="AC233" s="90">
        <f>'Combined data'!AC233-'Combined data'!AB233</f>
        <v>0</v>
      </c>
      <c r="AD233" s="90">
        <f>'Combined data'!AD233-'Combined data'!AC233</f>
        <v>2</v>
      </c>
      <c r="AE233" s="90">
        <f>'Combined data'!AE233-'Combined data'!AD233</f>
        <v>-127</v>
      </c>
      <c r="AF233" s="90">
        <f>'Combined data'!AF233-'Combined data'!AE233</f>
        <v>0</v>
      </c>
      <c r="AG233" s="90">
        <f>'Combined data'!AG233-'Combined data'!AF233</f>
        <v>0</v>
      </c>
      <c r="AH233" s="90">
        <f>'Combined data'!AH233-'Combined data'!AG233</f>
        <v>0</v>
      </c>
      <c r="AI233" s="90">
        <f>'Combined data'!AI233-'Combined data'!AH233</f>
        <v>0</v>
      </c>
      <c r="AJ233" s="90">
        <f>'Combined data'!AJ233-'Combined data'!AI233</f>
        <v>0</v>
      </c>
      <c r="AK233" s="90">
        <f>'Combined data'!AK233-'Combined data'!AJ233</f>
        <v>0</v>
      </c>
      <c r="AL233" s="90">
        <f>'Combined data'!AL233-'Combined data'!AK233</f>
        <v>0</v>
      </c>
      <c r="AM233" s="90">
        <f>'Combined data'!AM233-'Combined data'!AL233</f>
        <v>0</v>
      </c>
      <c r="AN233" s="90">
        <f>'Combined data'!AN233-'Combined data'!AM233</f>
        <v>0</v>
      </c>
      <c r="AO233" s="90">
        <f>'Combined data'!AO233-'Combined data'!AN233</f>
        <v>0</v>
      </c>
      <c r="AP233" s="56">
        <f t="shared" si="155"/>
        <v>0</v>
      </c>
      <c r="AQ233" s="113"/>
      <c r="AR233" s="17">
        <f>'Combined data'!AR233</f>
        <v>35</v>
      </c>
      <c r="AS233" s="17">
        <f>'Combined data'!AS233-'Combined data'!AR233</f>
        <v>5</v>
      </c>
      <c r="AT233" s="17">
        <f>'Combined data'!AT233-'Combined data'!AS233</f>
        <v>6</v>
      </c>
      <c r="AU233" s="17">
        <f>'Combined data'!AU233-'Combined data'!AT233</f>
        <v>2</v>
      </c>
      <c r="AV233" s="17">
        <f>'Combined data'!AV233-'Combined data'!AU233</f>
        <v>3</v>
      </c>
      <c r="AW233" s="17">
        <f>'Combined data'!AW233-'Combined data'!AV233</f>
        <v>0</v>
      </c>
      <c r="AX233" s="17">
        <f>'Combined data'!AX233-'Combined data'!AW233</f>
        <v>0</v>
      </c>
      <c r="AY233" s="17">
        <f>'Combined data'!AY233-'Combined data'!AX233</f>
        <v>9</v>
      </c>
      <c r="AZ233" s="17">
        <f>'Combined data'!AZ233-'Combined data'!AY233</f>
        <v>0</v>
      </c>
      <c r="BA233" s="17">
        <f>'Combined data'!BA233-'Combined data'!AZ233</f>
        <v>6</v>
      </c>
      <c r="BB233" s="17">
        <f>'Combined data'!BB233-'Combined data'!BA233</f>
        <v>5</v>
      </c>
      <c r="BC233" s="17">
        <f>'Combined data'!BC233-'Combined data'!BB233</f>
        <v>2</v>
      </c>
      <c r="BD233" s="17">
        <f>'Combined data'!BD233-'Combined data'!BC233</f>
        <v>1</v>
      </c>
      <c r="BE233" s="17">
        <f>'Combined data'!BE233-'Combined data'!BD233</f>
        <v>4</v>
      </c>
      <c r="BF233" s="17">
        <f>'Combined data'!BF233-'Combined data'!BE233</f>
        <v>3</v>
      </c>
      <c r="BG233" s="17">
        <f>'Combined data'!BG233-'Combined data'!BF233</f>
        <v>4</v>
      </c>
      <c r="BH233" s="17">
        <f>'Combined data'!BH233-'Combined data'!BG233</f>
        <v>0</v>
      </c>
      <c r="BI233" s="17">
        <f>'Combined data'!BI233-'Combined data'!BH233</f>
        <v>3</v>
      </c>
      <c r="BJ233" s="17">
        <f>'Combined data'!BJ233-'Combined data'!BI233</f>
        <v>1</v>
      </c>
      <c r="BK233" s="17">
        <f>'Combined data'!BK233-'Combined data'!BJ233</f>
        <v>1</v>
      </c>
      <c r="BL233" s="17">
        <f>'Combined data'!BL233-'Combined data'!BK233</f>
        <v>1</v>
      </c>
      <c r="BM233" s="17">
        <f>'Combined data'!BM233-'Combined data'!BL233</f>
        <v>0</v>
      </c>
      <c r="BN233" s="17">
        <f>'Combined data'!BN233-'Combined data'!BM233</f>
        <v>6</v>
      </c>
      <c r="BO233" s="17">
        <f>'Combined data'!BO233-'Combined data'!BN233</f>
        <v>-97</v>
      </c>
      <c r="BP233" s="17">
        <f>'Combined data'!BP233-'Combined data'!BO233</f>
        <v>0</v>
      </c>
      <c r="BQ233" s="17">
        <f>'Combined data'!BQ233-'Combined data'!BP233</f>
        <v>0</v>
      </c>
      <c r="BR233" s="17">
        <f>'Combined data'!BR233-'Combined data'!BQ233</f>
        <v>0</v>
      </c>
      <c r="BS233" s="17">
        <f>'Combined data'!BS233-'Combined data'!BR233</f>
        <v>0</v>
      </c>
      <c r="BT233" s="17">
        <f>'Combined data'!BT233-'Combined data'!BS233</f>
        <v>0</v>
      </c>
      <c r="BU233" s="17">
        <f>'Combined data'!BU233-'Combined data'!BT233</f>
        <v>0</v>
      </c>
      <c r="BV233" s="17">
        <f>'Combined data'!BV233-'Combined data'!BU233</f>
        <v>0</v>
      </c>
      <c r="BW233" s="17">
        <f>'Combined data'!BW233-'Combined data'!BV233</f>
        <v>0</v>
      </c>
      <c r="BX233" s="17">
        <f>'Combined data'!BX233-'Combined data'!BW233</f>
        <v>0</v>
      </c>
      <c r="BY233" s="17">
        <f>'Combined data'!BY233-'Combined data'!BX233</f>
        <v>0</v>
      </c>
      <c r="CB233" s="17">
        <f t="shared" si="173"/>
        <v>35</v>
      </c>
      <c r="CC233" s="17">
        <f t="shared" si="174"/>
        <v>5</v>
      </c>
      <c r="CD233" s="17">
        <f t="shared" si="175"/>
        <v>6</v>
      </c>
      <c r="CE233" s="17">
        <f t="shared" si="176"/>
        <v>2</v>
      </c>
      <c r="CF233" s="17">
        <f t="shared" si="177"/>
        <v>3</v>
      </c>
      <c r="CG233" s="17">
        <f t="shared" si="178"/>
        <v>0</v>
      </c>
      <c r="CH233" s="17">
        <f t="shared" si="179"/>
        <v>0</v>
      </c>
      <c r="CI233" s="17">
        <f t="shared" si="180"/>
        <v>9</v>
      </c>
      <c r="CJ233" s="17">
        <f t="shared" si="181"/>
        <v>0</v>
      </c>
      <c r="CK233" s="17">
        <f t="shared" si="182"/>
        <v>6</v>
      </c>
      <c r="CL233" s="17">
        <f t="shared" si="183"/>
        <v>5</v>
      </c>
      <c r="CM233" s="17">
        <f t="shared" si="184"/>
        <v>2</v>
      </c>
      <c r="CN233" s="17">
        <f t="shared" si="185"/>
        <v>1</v>
      </c>
      <c r="CO233" s="17">
        <f t="shared" si="186"/>
        <v>4</v>
      </c>
      <c r="CP233" s="17">
        <f t="shared" si="187"/>
        <v>3</v>
      </c>
      <c r="CQ233" s="17">
        <f t="shared" si="188"/>
        <v>4</v>
      </c>
      <c r="CR233" s="17">
        <f t="shared" si="189"/>
        <v>0</v>
      </c>
      <c r="CS233" s="17">
        <f t="shared" si="190"/>
        <v>3</v>
      </c>
      <c r="CT233" s="17">
        <f t="shared" si="191"/>
        <v>1</v>
      </c>
      <c r="CU233" s="17">
        <f t="shared" si="192"/>
        <v>1</v>
      </c>
      <c r="CV233" s="17">
        <f t="shared" si="193"/>
        <v>1</v>
      </c>
      <c r="CW233" s="17">
        <f t="shared" si="194"/>
        <v>0</v>
      </c>
      <c r="CX233" s="17">
        <f t="shared" si="195"/>
        <v>6</v>
      </c>
      <c r="CY233" s="17">
        <f t="shared" si="195"/>
        <v>-97</v>
      </c>
      <c r="CZ233" s="17">
        <f t="shared" si="195"/>
        <v>0</v>
      </c>
      <c r="DA233" s="17">
        <f t="shared" si="195"/>
        <v>0</v>
      </c>
      <c r="DB233" s="17">
        <f t="shared" si="195"/>
        <v>0</v>
      </c>
      <c r="DC233" s="17">
        <f t="shared" si="195"/>
        <v>0</v>
      </c>
      <c r="DD233" s="17">
        <f t="shared" si="195"/>
        <v>0</v>
      </c>
      <c r="DE233" s="17">
        <f t="shared" si="195"/>
        <v>0</v>
      </c>
      <c r="DF233" s="17">
        <f t="shared" si="195"/>
        <v>0</v>
      </c>
      <c r="DG233" s="17">
        <f t="shared" si="195"/>
        <v>0</v>
      </c>
      <c r="DH233" s="17">
        <f t="shared" si="195"/>
        <v>0</v>
      </c>
      <c r="DI233" s="17">
        <f t="shared" si="195"/>
        <v>0</v>
      </c>
    </row>
    <row r="234" spans="1:113" ht="15.75" x14ac:dyDescent="0.25">
      <c r="A234" s="4" t="s">
        <v>474</v>
      </c>
      <c r="B234" s="6" t="s">
        <v>475</v>
      </c>
      <c r="H234" s="90">
        <f>'Combined data'!H234</f>
        <v>114</v>
      </c>
      <c r="I234" s="90">
        <f>'Combined data'!I234-'Combined data'!H234</f>
        <v>7</v>
      </c>
      <c r="J234" s="90">
        <f>'Combined data'!J234-'Combined data'!I234</f>
        <v>12</v>
      </c>
      <c r="K234" s="90">
        <f>'Combined data'!K234-'Combined data'!J234</f>
        <v>9</v>
      </c>
      <c r="L234" s="90">
        <f>'Combined data'!L234-'Combined data'!K234</f>
        <v>4</v>
      </c>
      <c r="M234" s="90">
        <f>'Combined data'!M234-'Combined data'!L234</f>
        <v>5</v>
      </c>
      <c r="N234" s="90">
        <f>'Combined data'!N234-'Combined data'!M234</f>
        <v>6</v>
      </c>
      <c r="O234" s="90">
        <f>'Combined data'!O234-'Combined data'!N234</f>
        <v>7</v>
      </c>
      <c r="P234" s="90">
        <f>'Combined data'!P234-'Combined data'!O234</f>
        <v>5</v>
      </c>
      <c r="Q234" s="90">
        <f>'Combined data'!Q234-'Combined data'!P234</f>
        <v>11</v>
      </c>
      <c r="R234" s="90">
        <f>'Combined data'!R234-'Combined data'!Q234</f>
        <v>0</v>
      </c>
      <c r="S234" s="90">
        <f>'Combined data'!S234-'Combined data'!R234</f>
        <v>0</v>
      </c>
      <c r="T234" s="90">
        <f>'Combined data'!T234-'Combined data'!S234</f>
        <v>4</v>
      </c>
      <c r="U234" s="90">
        <f>'Combined data'!U234-'Combined data'!T234</f>
        <v>6</v>
      </c>
      <c r="V234" s="90">
        <f>'Combined data'!V234-'Combined data'!U234</f>
        <v>9</v>
      </c>
      <c r="W234" s="90">
        <f>'Combined data'!W234-'Combined data'!V234</f>
        <v>1</v>
      </c>
      <c r="X234" s="90">
        <f>'Combined data'!X234-'Combined data'!W234</f>
        <v>2</v>
      </c>
      <c r="Y234" s="90">
        <f>'Combined data'!Y234-'Combined data'!X234</f>
        <v>1</v>
      </c>
      <c r="Z234" s="90">
        <f>'Combined data'!Z234-'Combined data'!Y234</f>
        <v>7</v>
      </c>
      <c r="AA234" s="90">
        <f>'Combined data'!AA234-'Combined data'!Z234</f>
        <v>0</v>
      </c>
      <c r="AB234" s="90">
        <f>'Combined data'!AB234-'Combined data'!AA234</f>
        <v>0</v>
      </c>
      <c r="AC234" s="90">
        <f>'Combined data'!AC234-'Combined data'!AB234</f>
        <v>0</v>
      </c>
      <c r="AD234" s="90">
        <f>'Combined data'!AD234-'Combined data'!AC234</f>
        <v>4</v>
      </c>
      <c r="AE234" s="90">
        <f>'Combined data'!AE234-'Combined data'!AD234</f>
        <v>-214</v>
      </c>
      <c r="AF234" s="90">
        <f>'Combined data'!AF234-'Combined data'!AE234</f>
        <v>0</v>
      </c>
      <c r="AG234" s="90">
        <f>'Combined data'!AG234-'Combined data'!AF234</f>
        <v>0</v>
      </c>
      <c r="AH234" s="90">
        <f>'Combined data'!AH234-'Combined data'!AG234</f>
        <v>0</v>
      </c>
      <c r="AI234" s="90">
        <f>'Combined data'!AI234-'Combined data'!AH234</f>
        <v>0</v>
      </c>
      <c r="AJ234" s="90">
        <f>'Combined data'!AJ234-'Combined data'!AI234</f>
        <v>0</v>
      </c>
      <c r="AK234" s="90">
        <f>'Combined data'!AK234-'Combined data'!AJ234</f>
        <v>0</v>
      </c>
      <c r="AL234" s="90">
        <f>'Combined data'!AL234-'Combined data'!AK234</f>
        <v>0</v>
      </c>
      <c r="AM234" s="90">
        <f>'Combined data'!AM234-'Combined data'!AL234</f>
        <v>0</v>
      </c>
      <c r="AN234" s="90">
        <f>'Combined data'!AN234-'Combined data'!AM234</f>
        <v>0</v>
      </c>
      <c r="AO234" s="90">
        <f>'Combined data'!AO234-'Combined data'!AN234</f>
        <v>0</v>
      </c>
      <c r="AP234" s="56">
        <f t="shared" si="155"/>
        <v>0</v>
      </c>
      <c r="AQ234" s="113"/>
      <c r="AR234" s="17">
        <f>'Combined data'!AR234</f>
        <v>52</v>
      </c>
      <c r="AS234" s="17">
        <f>'Combined data'!AS234-'Combined data'!AR234</f>
        <v>11</v>
      </c>
      <c r="AT234" s="17">
        <f>'Combined data'!AT234-'Combined data'!AS234</f>
        <v>10</v>
      </c>
      <c r="AU234" s="17">
        <f>'Combined data'!AU234-'Combined data'!AT234</f>
        <v>24</v>
      </c>
      <c r="AV234" s="17">
        <f>'Combined data'!AV234-'Combined data'!AU234</f>
        <v>2</v>
      </c>
      <c r="AW234" s="17">
        <f>'Combined data'!AW234-'Combined data'!AV234</f>
        <v>5</v>
      </c>
      <c r="AX234" s="17">
        <f>'Combined data'!AX234-'Combined data'!AW234</f>
        <v>5</v>
      </c>
      <c r="AY234" s="17">
        <f>'Combined data'!AY234-'Combined data'!AX234</f>
        <v>6</v>
      </c>
      <c r="AZ234" s="17">
        <f>'Combined data'!AZ234-'Combined data'!AY234</f>
        <v>5</v>
      </c>
      <c r="BA234" s="17">
        <f>'Combined data'!BA234-'Combined data'!AZ234</f>
        <v>3</v>
      </c>
      <c r="BB234" s="17">
        <f>'Combined data'!BB234-'Combined data'!BA234</f>
        <v>2</v>
      </c>
      <c r="BC234" s="17">
        <f>'Combined data'!BC234-'Combined data'!BB234</f>
        <v>14</v>
      </c>
      <c r="BD234" s="17">
        <f>'Combined data'!BD234-'Combined data'!BC234</f>
        <v>4</v>
      </c>
      <c r="BE234" s="17">
        <f>'Combined data'!BE234-'Combined data'!BD234</f>
        <v>2</v>
      </c>
      <c r="BF234" s="17">
        <f>'Combined data'!BF234-'Combined data'!BE234</f>
        <v>7</v>
      </c>
      <c r="BG234" s="17">
        <f>'Combined data'!BG234-'Combined data'!BF234</f>
        <v>3</v>
      </c>
      <c r="BH234" s="17">
        <f>'Combined data'!BH234-'Combined data'!BG234</f>
        <v>2</v>
      </c>
      <c r="BI234" s="17">
        <f>'Combined data'!BI234-'Combined data'!BH234</f>
        <v>0</v>
      </c>
      <c r="BJ234" s="17">
        <f>'Combined data'!BJ234-'Combined data'!BI234</f>
        <v>6</v>
      </c>
      <c r="BK234" s="17">
        <f>'Combined data'!BK234-'Combined data'!BJ234</f>
        <v>0</v>
      </c>
      <c r="BL234" s="17">
        <f>'Combined data'!BL234-'Combined data'!BK234</f>
        <v>10</v>
      </c>
      <c r="BM234" s="17">
        <f>'Combined data'!BM234-'Combined data'!BL234</f>
        <v>-3</v>
      </c>
      <c r="BN234" s="17">
        <f>'Combined data'!BN234-'Combined data'!BM234</f>
        <v>0</v>
      </c>
      <c r="BO234" s="17">
        <f>'Combined data'!BO234-'Combined data'!BN234</f>
        <v>-170</v>
      </c>
      <c r="BP234" s="17">
        <f>'Combined data'!BP234-'Combined data'!BO234</f>
        <v>0</v>
      </c>
      <c r="BQ234" s="17">
        <f>'Combined data'!BQ234-'Combined data'!BP234</f>
        <v>0</v>
      </c>
      <c r="BR234" s="17">
        <f>'Combined data'!BR234-'Combined data'!BQ234</f>
        <v>0</v>
      </c>
      <c r="BS234" s="17">
        <f>'Combined data'!BS234-'Combined data'!BR234</f>
        <v>0</v>
      </c>
      <c r="BT234" s="17">
        <f>'Combined data'!BT234-'Combined data'!BS234</f>
        <v>0</v>
      </c>
      <c r="BU234" s="17">
        <f>'Combined data'!BU234-'Combined data'!BT234</f>
        <v>0</v>
      </c>
      <c r="BV234" s="17">
        <f>'Combined data'!BV234-'Combined data'!BU234</f>
        <v>0</v>
      </c>
      <c r="BW234" s="17">
        <f>'Combined data'!BW234-'Combined data'!BV234</f>
        <v>0</v>
      </c>
      <c r="BX234" s="17">
        <f>'Combined data'!BX234-'Combined data'!BW234</f>
        <v>0</v>
      </c>
      <c r="BY234" s="17">
        <f>'Combined data'!BY234-'Combined data'!BX234</f>
        <v>0</v>
      </c>
      <c r="CB234" s="17">
        <f t="shared" si="173"/>
        <v>52</v>
      </c>
      <c r="CC234" s="17">
        <f t="shared" si="174"/>
        <v>11</v>
      </c>
      <c r="CD234" s="17">
        <f t="shared" si="175"/>
        <v>10</v>
      </c>
      <c r="CE234" s="17">
        <f t="shared" si="176"/>
        <v>24</v>
      </c>
      <c r="CF234" s="17">
        <f t="shared" si="177"/>
        <v>2</v>
      </c>
      <c r="CG234" s="17">
        <f t="shared" si="178"/>
        <v>5</v>
      </c>
      <c r="CH234" s="17">
        <f t="shared" si="179"/>
        <v>5</v>
      </c>
      <c r="CI234" s="17">
        <f t="shared" si="180"/>
        <v>6</v>
      </c>
      <c r="CJ234" s="17">
        <f t="shared" si="181"/>
        <v>5</v>
      </c>
      <c r="CK234" s="17">
        <f t="shared" si="182"/>
        <v>3</v>
      </c>
      <c r="CL234" s="17">
        <f t="shared" si="183"/>
        <v>2</v>
      </c>
      <c r="CM234" s="17">
        <f t="shared" si="184"/>
        <v>14</v>
      </c>
      <c r="CN234" s="17">
        <f t="shared" si="185"/>
        <v>4</v>
      </c>
      <c r="CO234" s="17">
        <f t="shared" si="186"/>
        <v>2</v>
      </c>
      <c r="CP234" s="17">
        <f t="shared" si="187"/>
        <v>7</v>
      </c>
      <c r="CQ234" s="17">
        <f t="shared" si="188"/>
        <v>3</v>
      </c>
      <c r="CR234" s="17">
        <f t="shared" si="189"/>
        <v>2</v>
      </c>
      <c r="CS234" s="17">
        <f t="shared" si="190"/>
        <v>0</v>
      </c>
      <c r="CT234" s="17">
        <f t="shared" si="191"/>
        <v>6</v>
      </c>
      <c r="CU234" s="17">
        <f t="shared" si="192"/>
        <v>0</v>
      </c>
      <c r="CV234" s="17">
        <f t="shared" si="193"/>
        <v>10</v>
      </c>
      <c r="CW234" s="17">
        <f t="shared" si="194"/>
        <v>-3</v>
      </c>
      <c r="CX234" s="17">
        <f t="shared" si="195"/>
        <v>0</v>
      </c>
      <c r="CY234" s="17">
        <f t="shared" si="195"/>
        <v>-170</v>
      </c>
      <c r="CZ234" s="17">
        <f t="shared" si="195"/>
        <v>0</v>
      </c>
      <c r="DA234" s="17">
        <f t="shared" si="195"/>
        <v>0</v>
      </c>
      <c r="DB234" s="17">
        <f t="shared" si="195"/>
        <v>0</v>
      </c>
      <c r="DC234" s="17">
        <f t="shared" si="195"/>
        <v>0</v>
      </c>
      <c r="DD234" s="17">
        <f t="shared" si="195"/>
        <v>0</v>
      </c>
      <c r="DE234" s="17">
        <f t="shared" si="195"/>
        <v>0</v>
      </c>
      <c r="DF234" s="17">
        <f t="shared" si="195"/>
        <v>0</v>
      </c>
      <c r="DG234" s="17">
        <f t="shared" si="195"/>
        <v>0</v>
      </c>
      <c r="DH234" s="17">
        <f t="shared" si="195"/>
        <v>0</v>
      </c>
      <c r="DI234" s="17">
        <f t="shared" si="195"/>
        <v>0</v>
      </c>
    </row>
    <row r="235" spans="1:113" ht="15.75" x14ac:dyDescent="0.25">
      <c r="A235" s="4" t="s">
        <v>476</v>
      </c>
      <c r="B235" s="6" t="s">
        <v>477</v>
      </c>
      <c r="H235" s="90">
        <f>'Combined data'!H235</f>
        <v>42</v>
      </c>
      <c r="I235" s="90">
        <f>'Combined data'!I235-'Combined data'!H235</f>
        <v>2</v>
      </c>
      <c r="J235" s="90">
        <f>'Combined data'!J235-'Combined data'!I235</f>
        <v>7</v>
      </c>
      <c r="K235" s="90">
        <f>'Combined data'!K235-'Combined data'!J235</f>
        <v>7</v>
      </c>
      <c r="L235" s="90">
        <f>'Combined data'!L235-'Combined data'!K235</f>
        <v>3</v>
      </c>
      <c r="M235" s="90">
        <f>'Combined data'!M235-'Combined data'!L235</f>
        <v>3</v>
      </c>
      <c r="N235" s="90">
        <f>'Combined data'!N235-'Combined data'!M235</f>
        <v>0</v>
      </c>
      <c r="O235" s="90">
        <f>'Combined data'!O235-'Combined data'!N235</f>
        <v>0</v>
      </c>
      <c r="P235" s="90">
        <f>'Combined data'!P235-'Combined data'!O235</f>
        <v>3</v>
      </c>
      <c r="Q235" s="90">
        <f>'Combined data'!Q235-'Combined data'!P235</f>
        <v>1</v>
      </c>
      <c r="R235" s="90">
        <f>'Combined data'!R235-'Combined data'!Q235</f>
        <v>0</v>
      </c>
      <c r="S235" s="90">
        <f>'Combined data'!S235-'Combined data'!R235</f>
        <v>2</v>
      </c>
      <c r="T235" s="90">
        <f>'Combined data'!T235-'Combined data'!S235</f>
        <v>3</v>
      </c>
      <c r="U235" s="90">
        <f>'Combined data'!U235-'Combined data'!T235</f>
        <v>0</v>
      </c>
      <c r="V235" s="90">
        <f>'Combined data'!V235-'Combined data'!U235</f>
        <v>0</v>
      </c>
      <c r="W235" s="90">
        <f>'Combined data'!W235-'Combined data'!V235</f>
        <v>5</v>
      </c>
      <c r="X235" s="90">
        <f>'Combined data'!X235-'Combined data'!W235</f>
        <v>0</v>
      </c>
      <c r="Y235" s="90">
        <f>'Combined data'!Y235-'Combined data'!X235</f>
        <v>0</v>
      </c>
      <c r="Z235" s="90">
        <f>'Combined data'!Z235-'Combined data'!Y235</f>
        <v>2</v>
      </c>
      <c r="AA235" s="90">
        <f>'Combined data'!AA235-'Combined data'!Z235</f>
        <v>0</v>
      </c>
      <c r="AB235" s="90">
        <f>'Combined data'!AB235-'Combined data'!AA235</f>
        <v>0</v>
      </c>
      <c r="AC235" s="90">
        <f>'Combined data'!AC235-'Combined data'!AB235</f>
        <v>0</v>
      </c>
      <c r="AD235" s="90">
        <f>'Combined data'!AD235-'Combined data'!AC235</f>
        <v>1</v>
      </c>
      <c r="AE235" s="90">
        <f>'Combined data'!AE235-'Combined data'!AD235</f>
        <v>-81</v>
      </c>
      <c r="AF235" s="90">
        <f>'Combined data'!AF235-'Combined data'!AE235</f>
        <v>0</v>
      </c>
      <c r="AG235" s="90">
        <f>'Combined data'!AG235-'Combined data'!AF235</f>
        <v>0</v>
      </c>
      <c r="AH235" s="90">
        <f>'Combined data'!AH235-'Combined data'!AG235</f>
        <v>0</v>
      </c>
      <c r="AI235" s="90">
        <f>'Combined data'!AI235-'Combined data'!AH235</f>
        <v>0</v>
      </c>
      <c r="AJ235" s="90">
        <f>'Combined data'!AJ235-'Combined data'!AI235</f>
        <v>0</v>
      </c>
      <c r="AK235" s="90">
        <f>'Combined data'!AK235-'Combined data'!AJ235</f>
        <v>0</v>
      </c>
      <c r="AL235" s="90">
        <f>'Combined data'!AL235-'Combined data'!AK235</f>
        <v>0</v>
      </c>
      <c r="AM235" s="90">
        <f>'Combined data'!AM235-'Combined data'!AL235</f>
        <v>0</v>
      </c>
      <c r="AN235" s="90">
        <f>'Combined data'!AN235-'Combined data'!AM235</f>
        <v>0</v>
      </c>
      <c r="AO235" s="90">
        <f>'Combined data'!AO235-'Combined data'!AN235</f>
        <v>0</v>
      </c>
      <c r="AP235" s="56">
        <f t="shared" si="155"/>
        <v>0</v>
      </c>
      <c r="AQ235" s="113"/>
      <c r="AR235" s="17">
        <f>'Combined data'!AR235</f>
        <v>21</v>
      </c>
      <c r="AS235" s="17">
        <f>'Combined data'!AS235-'Combined data'!AR235</f>
        <v>8</v>
      </c>
      <c r="AT235" s="17">
        <f>'Combined data'!AT235-'Combined data'!AS235</f>
        <v>0</v>
      </c>
      <c r="AU235" s="17">
        <f>'Combined data'!AU235-'Combined data'!AT235</f>
        <v>4</v>
      </c>
      <c r="AV235" s="17">
        <f>'Combined data'!AV235-'Combined data'!AU235</f>
        <v>5</v>
      </c>
      <c r="AW235" s="17">
        <f>'Combined data'!AW235-'Combined data'!AV235</f>
        <v>5</v>
      </c>
      <c r="AX235" s="17">
        <f>'Combined data'!AX235-'Combined data'!AW235</f>
        <v>6</v>
      </c>
      <c r="AY235" s="17">
        <f>'Combined data'!AY235-'Combined data'!AX235</f>
        <v>8</v>
      </c>
      <c r="AZ235" s="17">
        <f>'Combined data'!AZ235-'Combined data'!AY235</f>
        <v>0</v>
      </c>
      <c r="BA235" s="17">
        <f>'Combined data'!BA235-'Combined data'!AZ235</f>
        <v>0</v>
      </c>
      <c r="BB235" s="17">
        <f>'Combined data'!BB235-'Combined data'!BA235</f>
        <v>0</v>
      </c>
      <c r="BC235" s="17">
        <f>'Combined data'!BC235-'Combined data'!BB235</f>
        <v>0</v>
      </c>
      <c r="BD235" s="17">
        <f>'Combined data'!BD235-'Combined data'!BC235</f>
        <v>0</v>
      </c>
      <c r="BE235" s="17">
        <f>'Combined data'!BE235-'Combined data'!BD235</f>
        <v>1</v>
      </c>
      <c r="BF235" s="17">
        <f>'Combined data'!BF235-'Combined data'!BE235</f>
        <v>5</v>
      </c>
      <c r="BG235" s="17">
        <f>'Combined data'!BG235-'Combined data'!BF235</f>
        <v>1</v>
      </c>
      <c r="BH235" s="17">
        <f>'Combined data'!BH235-'Combined data'!BG235</f>
        <v>3</v>
      </c>
      <c r="BI235" s="17">
        <f>'Combined data'!BI235-'Combined data'!BH235</f>
        <v>0</v>
      </c>
      <c r="BJ235" s="17">
        <f>'Combined data'!BJ235-'Combined data'!BI235</f>
        <v>2</v>
      </c>
      <c r="BK235" s="17">
        <f>'Combined data'!BK235-'Combined data'!BJ235</f>
        <v>2</v>
      </c>
      <c r="BL235" s="17">
        <f>'Combined data'!BL235-'Combined data'!BK235</f>
        <v>0</v>
      </c>
      <c r="BM235" s="17">
        <f>'Combined data'!BM235-'Combined data'!BL235</f>
        <v>0</v>
      </c>
      <c r="BN235" s="17">
        <f>'Combined data'!BN235-'Combined data'!BM235</f>
        <v>0</v>
      </c>
      <c r="BO235" s="17">
        <f>'Combined data'!BO235-'Combined data'!BN235</f>
        <v>-71</v>
      </c>
      <c r="BP235" s="17">
        <f>'Combined data'!BP235-'Combined data'!BO235</f>
        <v>0</v>
      </c>
      <c r="BQ235" s="17">
        <f>'Combined data'!BQ235-'Combined data'!BP235</f>
        <v>0</v>
      </c>
      <c r="BR235" s="17">
        <f>'Combined data'!BR235-'Combined data'!BQ235</f>
        <v>0</v>
      </c>
      <c r="BS235" s="17">
        <f>'Combined data'!BS235-'Combined data'!BR235</f>
        <v>0</v>
      </c>
      <c r="BT235" s="17">
        <f>'Combined data'!BT235-'Combined data'!BS235</f>
        <v>0</v>
      </c>
      <c r="BU235" s="17">
        <f>'Combined data'!BU235-'Combined data'!BT235</f>
        <v>0</v>
      </c>
      <c r="BV235" s="17">
        <f>'Combined data'!BV235-'Combined data'!BU235</f>
        <v>0</v>
      </c>
      <c r="BW235" s="17">
        <f>'Combined data'!BW235-'Combined data'!BV235</f>
        <v>0</v>
      </c>
      <c r="BX235" s="17">
        <f>'Combined data'!BX235-'Combined data'!BW235</f>
        <v>0</v>
      </c>
      <c r="BY235" s="17">
        <f>'Combined data'!BY235-'Combined data'!BX235</f>
        <v>0</v>
      </c>
      <c r="CB235" s="17">
        <f t="shared" si="173"/>
        <v>21</v>
      </c>
      <c r="CC235" s="17">
        <f t="shared" si="174"/>
        <v>8</v>
      </c>
      <c r="CD235" s="17">
        <f t="shared" si="175"/>
        <v>0</v>
      </c>
      <c r="CE235" s="17">
        <f t="shared" si="176"/>
        <v>4</v>
      </c>
      <c r="CF235" s="17">
        <f t="shared" si="177"/>
        <v>5</v>
      </c>
      <c r="CG235" s="17">
        <f t="shared" si="178"/>
        <v>5</v>
      </c>
      <c r="CH235" s="17">
        <f t="shared" si="179"/>
        <v>6</v>
      </c>
      <c r="CI235" s="17">
        <f t="shared" si="180"/>
        <v>8</v>
      </c>
      <c r="CJ235" s="17">
        <f t="shared" si="181"/>
        <v>0</v>
      </c>
      <c r="CK235" s="17">
        <f t="shared" si="182"/>
        <v>0</v>
      </c>
      <c r="CL235" s="17">
        <f t="shared" si="183"/>
        <v>0</v>
      </c>
      <c r="CM235" s="17">
        <f t="shared" si="184"/>
        <v>0</v>
      </c>
      <c r="CN235" s="17">
        <f t="shared" si="185"/>
        <v>0</v>
      </c>
      <c r="CO235" s="17">
        <f t="shared" si="186"/>
        <v>1</v>
      </c>
      <c r="CP235" s="17">
        <f t="shared" si="187"/>
        <v>5</v>
      </c>
      <c r="CQ235" s="17">
        <f t="shared" si="188"/>
        <v>1</v>
      </c>
      <c r="CR235" s="17">
        <f t="shared" si="189"/>
        <v>3</v>
      </c>
      <c r="CS235" s="17">
        <f t="shared" si="190"/>
        <v>0</v>
      </c>
      <c r="CT235" s="17">
        <f t="shared" si="191"/>
        <v>2</v>
      </c>
      <c r="CU235" s="17">
        <f t="shared" si="192"/>
        <v>2</v>
      </c>
      <c r="CV235" s="17">
        <f t="shared" si="193"/>
        <v>0</v>
      </c>
      <c r="CW235" s="17">
        <f t="shared" si="194"/>
        <v>0</v>
      </c>
      <c r="CX235" s="17">
        <f t="shared" si="195"/>
        <v>0</v>
      </c>
      <c r="CY235" s="17">
        <f t="shared" si="195"/>
        <v>-71</v>
      </c>
      <c r="CZ235" s="17">
        <f t="shared" si="195"/>
        <v>0</v>
      </c>
      <c r="DA235" s="17">
        <f t="shared" si="195"/>
        <v>0</v>
      </c>
      <c r="DB235" s="17">
        <f t="shared" si="195"/>
        <v>0</v>
      </c>
      <c r="DC235" s="17">
        <f t="shared" si="195"/>
        <v>0</v>
      </c>
      <c r="DD235" s="17">
        <f t="shared" si="195"/>
        <v>0</v>
      </c>
      <c r="DE235" s="17">
        <f t="shared" si="195"/>
        <v>0</v>
      </c>
      <c r="DF235" s="17">
        <f t="shared" si="195"/>
        <v>0</v>
      </c>
      <c r="DG235" s="17">
        <f t="shared" si="195"/>
        <v>0</v>
      </c>
      <c r="DH235" s="17">
        <f t="shared" si="195"/>
        <v>0</v>
      </c>
      <c r="DI235" s="17">
        <f t="shared" si="195"/>
        <v>0</v>
      </c>
    </row>
    <row r="236" spans="1:113" ht="15.75" x14ac:dyDescent="0.25">
      <c r="A236" s="4" t="s">
        <v>478</v>
      </c>
      <c r="B236" s="6" t="s">
        <v>479</v>
      </c>
      <c r="H236" s="90">
        <f>'Combined data'!H236</f>
        <v>20</v>
      </c>
      <c r="I236" s="90">
        <f>'Combined data'!I236-'Combined data'!H236</f>
        <v>2</v>
      </c>
      <c r="J236" s="90">
        <f>'Combined data'!J236-'Combined data'!I236</f>
        <v>0</v>
      </c>
      <c r="K236" s="90">
        <f>'Combined data'!K236-'Combined data'!J236</f>
        <v>0</v>
      </c>
      <c r="L236" s="90">
        <f>'Combined data'!L236-'Combined data'!K236</f>
        <v>0</v>
      </c>
      <c r="M236" s="90">
        <f>'Combined data'!M236-'Combined data'!L236</f>
        <v>0</v>
      </c>
      <c r="N236" s="90">
        <f>'Combined data'!N236-'Combined data'!M236</f>
        <v>4</v>
      </c>
      <c r="O236" s="90">
        <f>'Combined data'!O236-'Combined data'!N236</f>
        <v>2</v>
      </c>
      <c r="P236" s="90">
        <f>'Combined data'!P236-'Combined data'!O236</f>
        <v>5</v>
      </c>
      <c r="Q236" s="90">
        <f>'Combined data'!Q236-'Combined data'!P236</f>
        <v>1</v>
      </c>
      <c r="R236" s="90">
        <f>'Combined data'!R236-'Combined data'!Q236</f>
        <v>2</v>
      </c>
      <c r="S236" s="90">
        <f>'Combined data'!S236-'Combined data'!R236</f>
        <v>0</v>
      </c>
      <c r="T236" s="90">
        <f>'Combined data'!T236-'Combined data'!S236</f>
        <v>4</v>
      </c>
      <c r="U236" s="90">
        <f>'Combined data'!U236-'Combined data'!T236</f>
        <v>1</v>
      </c>
      <c r="V236" s="90">
        <f>'Combined data'!V236-'Combined data'!U236</f>
        <v>0</v>
      </c>
      <c r="W236" s="90">
        <f>'Combined data'!W236-'Combined data'!V236</f>
        <v>0</v>
      </c>
      <c r="X236" s="90">
        <f>'Combined data'!X236-'Combined data'!W236</f>
        <v>0</v>
      </c>
      <c r="Y236" s="90">
        <f>'Combined data'!Y236-'Combined data'!X236</f>
        <v>1</v>
      </c>
      <c r="Z236" s="90">
        <f>'Combined data'!Z236-'Combined data'!Y236</f>
        <v>0</v>
      </c>
      <c r="AA236" s="90">
        <f>'Combined data'!AA236-'Combined data'!Z236</f>
        <v>0</v>
      </c>
      <c r="AB236" s="90">
        <f>'Combined data'!AB236-'Combined data'!AA236</f>
        <v>0</v>
      </c>
      <c r="AC236" s="90">
        <f>'Combined data'!AC236-'Combined data'!AB236</f>
        <v>0</v>
      </c>
      <c r="AD236" s="90">
        <f>'Combined data'!AD236-'Combined data'!AC236</f>
        <v>0</v>
      </c>
      <c r="AE236" s="90">
        <f>'Combined data'!AE236-'Combined data'!AD236</f>
        <v>-42</v>
      </c>
      <c r="AF236" s="90">
        <f>'Combined data'!AF236-'Combined data'!AE236</f>
        <v>0</v>
      </c>
      <c r="AG236" s="90">
        <f>'Combined data'!AG236-'Combined data'!AF236</f>
        <v>0</v>
      </c>
      <c r="AH236" s="90">
        <f>'Combined data'!AH236-'Combined data'!AG236</f>
        <v>0</v>
      </c>
      <c r="AI236" s="90">
        <f>'Combined data'!AI236-'Combined data'!AH236</f>
        <v>0</v>
      </c>
      <c r="AJ236" s="90">
        <f>'Combined data'!AJ236-'Combined data'!AI236</f>
        <v>0</v>
      </c>
      <c r="AK236" s="90">
        <f>'Combined data'!AK236-'Combined data'!AJ236</f>
        <v>0</v>
      </c>
      <c r="AL236" s="90">
        <f>'Combined data'!AL236-'Combined data'!AK236</f>
        <v>0</v>
      </c>
      <c r="AM236" s="90">
        <f>'Combined data'!AM236-'Combined data'!AL236</f>
        <v>0</v>
      </c>
      <c r="AN236" s="90">
        <f>'Combined data'!AN236-'Combined data'!AM236</f>
        <v>0</v>
      </c>
      <c r="AO236" s="90">
        <f>'Combined data'!AO236-'Combined data'!AN236</f>
        <v>0</v>
      </c>
      <c r="AP236" s="56">
        <f t="shared" si="155"/>
        <v>0</v>
      </c>
      <c r="AQ236" s="113"/>
      <c r="AR236" s="17">
        <f>'Combined data'!AR236</f>
        <v>11</v>
      </c>
      <c r="AS236" s="17">
        <f>'Combined data'!AS236-'Combined data'!AR236</f>
        <v>4</v>
      </c>
      <c r="AT236" s="17">
        <f>'Combined data'!AT236-'Combined data'!AS236</f>
        <v>2</v>
      </c>
      <c r="AU236" s="17">
        <f>'Combined data'!AU236-'Combined data'!AT236</f>
        <v>0</v>
      </c>
      <c r="AV236" s="17">
        <f>'Combined data'!AV236-'Combined data'!AU236</f>
        <v>2</v>
      </c>
      <c r="AW236" s="17">
        <f>'Combined data'!AW236-'Combined data'!AV236</f>
        <v>0</v>
      </c>
      <c r="AX236" s="17">
        <f>'Combined data'!AX236-'Combined data'!AW236</f>
        <v>0</v>
      </c>
      <c r="AY236" s="17">
        <f>'Combined data'!AY236-'Combined data'!AX236</f>
        <v>0</v>
      </c>
      <c r="AZ236" s="17">
        <f>'Combined data'!AZ236-'Combined data'!AY236</f>
        <v>0</v>
      </c>
      <c r="BA236" s="17">
        <f>'Combined data'!BA236-'Combined data'!AZ236</f>
        <v>0</v>
      </c>
      <c r="BB236" s="17">
        <f>'Combined data'!BB236-'Combined data'!BA236</f>
        <v>4</v>
      </c>
      <c r="BC236" s="17">
        <f>'Combined data'!BC236-'Combined data'!BB236</f>
        <v>0</v>
      </c>
      <c r="BD236" s="17">
        <f>'Combined data'!BD236-'Combined data'!BC236</f>
        <v>5</v>
      </c>
      <c r="BE236" s="17">
        <f>'Combined data'!BE236-'Combined data'!BD236</f>
        <v>10</v>
      </c>
      <c r="BF236" s="17">
        <f>'Combined data'!BF236-'Combined data'!BE236</f>
        <v>0</v>
      </c>
      <c r="BG236" s="17">
        <f>'Combined data'!BG236-'Combined data'!BF236</f>
        <v>0</v>
      </c>
      <c r="BH236" s="17">
        <f>'Combined data'!BH236-'Combined data'!BG236</f>
        <v>0</v>
      </c>
      <c r="BI236" s="17">
        <f>'Combined data'!BI236-'Combined data'!BH236</f>
        <v>0</v>
      </c>
      <c r="BJ236" s="17">
        <f>'Combined data'!BJ236-'Combined data'!BI236</f>
        <v>1</v>
      </c>
      <c r="BK236" s="17">
        <f>'Combined data'!BK236-'Combined data'!BJ236</f>
        <v>1</v>
      </c>
      <c r="BL236" s="17">
        <f>'Combined data'!BL236-'Combined data'!BK236</f>
        <v>0</v>
      </c>
      <c r="BM236" s="17">
        <f>'Combined data'!BM236-'Combined data'!BL236</f>
        <v>0</v>
      </c>
      <c r="BN236" s="17">
        <f>'Combined data'!BN236-'Combined data'!BM236</f>
        <v>0</v>
      </c>
      <c r="BO236" s="17">
        <f>'Combined data'!BO236-'Combined data'!BN236</f>
        <v>-40</v>
      </c>
      <c r="BP236" s="17">
        <f>'Combined data'!BP236-'Combined data'!BO236</f>
        <v>0</v>
      </c>
      <c r="BQ236" s="17">
        <f>'Combined data'!BQ236-'Combined data'!BP236</f>
        <v>0</v>
      </c>
      <c r="BR236" s="17">
        <f>'Combined data'!BR236-'Combined data'!BQ236</f>
        <v>0</v>
      </c>
      <c r="BS236" s="17">
        <f>'Combined data'!BS236-'Combined data'!BR236</f>
        <v>0</v>
      </c>
      <c r="BT236" s="17">
        <f>'Combined data'!BT236-'Combined data'!BS236</f>
        <v>0</v>
      </c>
      <c r="BU236" s="17">
        <f>'Combined data'!BU236-'Combined data'!BT236</f>
        <v>0</v>
      </c>
      <c r="BV236" s="17">
        <f>'Combined data'!BV236-'Combined data'!BU236</f>
        <v>0</v>
      </c>
      <c r="BW236" s="17">
        <f>'Combined data'!BW236-'Combined data'!BV236</f>
        <v>0</v>
      </c>
      <c r="BX236" s="17">
        <f>'Combined data'!BX236-'Combined data'!BW236</f>
        <v>0</v>
      </c>
      <c r="BY236" s="17">
        <f>'Combined data'!BY236-'Combined data'!BX236</f>
        <v>0</v>
      </c>
      <c r="CB236" s="17">
        <f t="shared" si="173"/>
        <v>11</v>
      </c>
      <c r="CC236" s="17">
        <f t="shared" si="174"/>
        <v>4</v>
      </c>
      <c r="CD236" s="17">
        <f t="shared" si="175"/>
        <v>2</v>
      </c>
      <c r="CE236" s="17">
        <f t="shared" si="176"/>
        <v>0</v>
      </c>
      <c r="CF236" s="17">
        <f t="shared" si="177"/>
        <v>2</v>
      </c>
      <c r="CG236" s="17">
        <f t="shared" si="178"/>
        <v>0</v>
      </c>
      <c r="CH236" s="17">
        <f t="shared" si="179"/>
        <v>0</v>
      </c>
      <c r="CI236" s="17">
        <f t="shared" si="180"/>
        <v>0</v>
      </c>
      <c r="CJ236" s="17">
        <f t="shared" si="181"/>
        <v>0</v>
      </c>
      <c r="CK236" s="17">
        <f t="shared" si="182"/>
        <v>0</v>
      </c>
      <c r="CL236" s="17">
        <f t="shared" si="183"/>
        <v>4</v>
      </c>
      <c r="CM236" s="17">
        <f t="shared" si="184"/>
        <v>0</v>
      </c>
      <c r="CN236" s="17">
        <f t="shared" si="185"/>
        <v>5</v>
      </c>
      <c r="CO236" s="17">
        <f t="shared" si="186"/>
        <v>10</v>
      </c>
      <c r="CP236" s="17">
        <f t="shared" si="187"/>
        <v>0</v>
      </c>
      <c r="CQ236" s="17">
        <f t="shared" si="188"/>
        <v>0</v>
      </c>
      <c r="CR236" s="17">
        <f t="shared" si="189"/>
        <v>0</v>
      </c>
      <c r="CS236" s="17">
        <f t="shared" si="190"/>
        <v>0</v>
      </c>
      <c r="CT236" s="17">
        <f t="shared" si="191"/>
        <v>1</v>
      </c>
      <c r="CU236" s="17">
        <f t="shared" si="192"/>
        <v>1</v>
      </c>
      <c r="CV236" s="17">
        <f t="shared" si="193"/>
        <v>0</v>
      </c>
      <c r="CW236" s="17">
        <f t="shared" si="194"/>
        <v>0</v>
      </c>
      <c r="CX236" s="17">
        <f t="shared" si="195"/>
        <v>0</v>
      </c>
      <c r="CY236" s="17">
        <f t="shared" si="195"/>
        <v>-40</v>
      </c>
      <c r="CZ236" s="17">
        <f t="shared" si="195"/>
        <v>0</v>
      </c>
      <c r="DA236" s="17">
        <f t="shared" si="195"/>
        <v>0</v>
      </c>
      <c r="DB236" s="17">
        <f t="shared" si="195"/>
        <v>0</v>
      </c>
      <c r="DC236" s="17">
        <f t="shared" si="195"/>
        <v>0</v>
      </c>
      <c r="DD236" s="17">
        <f t="shared" si="195"/>
        <v>0</v>
      </c>
      <c r="DE236" s="17">
        <f t="shared" si="195"/>
        <v>0</v>
      </c>
      <c r="DF236" s="17">
        <f t="shared" si="195"/>
        <v>0</v>
      </c>
      <c r="DG236" s="17">
        <f t="shared" si="195"/>
        <v>0</v>
      </c>
      <c r="DH236" s="17">
        <f t="shared" si="195"/>
        <v>0</v>
      </c>
      <c r="DI236" s="17">
        <f t="shared" si="195"/>
        <v>0</v>
      </c>
    </row>
    <row r="237" spans="1:113" ht="15.75" x14ac:dyDescent="0.25">
      <c r="A237" s="4" t="s">
        <v>480</v>
      </c>
      <c r="B237" s="6" t="s">
        <v>481</v>
      </c>
      <c r="H237" s="90">
        <f>'Combined data'!H237</f>
        <v>42</v>
      </c>
      <c r="I237" s="90">
        <f>'Combined data'!I237-'Combined data'!H237</f>
        <v>2</v>
      </c>
      <c r="J237" s="90">
        <f>'Combined data'!J237-'Combined data'!I237</f>
        <v>7</v>
      </c>
      <c r="K237" s="90">
        <f>'Combined data'!K237-'Combined data'!J237</f>
        <v>7</v>
      </c>
      <c r="L237" s="90">
        <f>'Combined data'!L237-'Combined data'!K237</f>
        <v>3</v>
      </c>
      <c r="M237" s="90">
        <f>'Combined data'!M237-'Combined data'!L237</f>
        <v>3</v>
      </c>
      <c r="N237" s="90">
        <f>'Combined data'!N237-'Combined data'!M237</f>
        <v>0</v>
      </c>
      <c r="O237" s="90">
        <f>'Combined data'!O237-'Combined data'!N237</f>
        <v>0</v>
      </c>
      <c r="P237" s="90">
        <f>'Combined data'!P237-'Combined data'!O237</f>
        <v>3</v>
      </c>
      <c r="Q237" s="90">
        <f>'Combined data'!Q237-'Combined data'!P237</f>
        <v>1</v>
      </c>
      <c r="R237" s="90">
        <f>'Combined data'!R237-'Combined data'!Q237</f>
        <v>0</v>
      </c>
      <c r="S237" s="90">
        <f>'Combined data'!S237-'Combined data'!R237</f>
        <v>2</v>
      </c>
      <c r="T237" s="90">
        <f>'Combined data'!T237-'Combined data'!S237</f>
        <v>3</v>
      </c>
      <c r="U237" s="90">
        <f>'Combined data'!U237-'Combined data'!T237</f>
        <v>0</v>
      </c>
      <c r="V237" s="90">
        <f>'Combined data'!V237-'Combined data'!U237</f>
        <v>0</v>
      </c>
      <c r="W237" s="90">
        <f>'Combined data'!W237-'Combined data'!V237</f>
        <v>5</v>
      </c>
      <c r="X237" s="90">
        <f>'Combined data'!X237-'Combined data'!W237</f>
        <v>0</v>
      </c>
      <c r="Y237" s="90">
        <f>'Combined data'!Y237-'Combined data'!X237</f>
        <v>0</v>
      </c>
      <c r="Z237" s="90">
        <f>'Combined data'!Z237-'Combined data'!Y237</f>
        <v>2</v>
      </c>
      <c r="AA237" s="90">
        <f>'Combined data'!AA237-'Combined data'!Z237</f>
        <v>0</v>
      </c>
      <c r="AB237" s="90">
        <f>'Combined data'!AB237-'Combined data'!AA237</f>
        <v>0</v>
      </c>
      <c r="AC237" s="90">
        <f>'Combined data'!AC237-'Combined data'!AB237</f>
        <v>0</v>
      </c>
      <c r="AD237" s="90">
        <f>'Combined data'!AD237-'Combined data'!AC237</f>
        <v>223</v>
      </c>
      <c r="AE237" s="90">
        <f>'Combined data'!AE237-'Combined data'!AD237</f>
        <v>-303</v>
      </c>
      <c r="AF237" s="90">
        <f>'Combined data'!AF237-'Combined data'!AE237</f>
        <v>0</v>
      </c>
      <c r="AG237" s="90">
        <f>'Combined data'!AG237-'Combined data'!AF237</f>
        <v>0</v>
      </c>
      <c r="AH237" s="90">
        <f>'Combined data'!AH237-'Combined data'!AG237</f>
        <v>0</v>
      </c>
      <c r="AI237" s="90">
        <f>'Combined data'!AI237-'Combined data'!AH237</f>
        <v>0</v>
      </c>
      <c r="AJ237" s="90">
        <f>'Combined data'!AJ237-'Combined data'!AI237</f>
        <v>0</v>
      </c>
      <c r="AK237" s="90">
        <f>'Combined data'!AK237-'Combined data'!AJ237</f>
        <v>0</v>
      </c>
      <c r="AL237" s="90">
        <f>'Combined data'!AL237-'Combined data'!AK237</f>
        <v>0</v>
      </c>
      <c r="AM237" s="90">
        <f>'Combined data'!AM237-'Combined data'!AL237</f>
        <v>0</v>
      </c>
      <c r="AN237" s="90">
        <f>'Combined data'!AN237-'Combined data'!AM237</f>
        <v>0</v>
      </c>
      <c r="AO237" s="90">
        <f>'Combined data'!AO237-'Combined data'!AN237</f>
        <v>0</v>
      </c>
      <c r="AP237" s="56">
        <f t="shared" si="155"/>
        <v>0</v>
      </c>
      <c r="AQ237" s="113"/>
      <c r="AR237" s="17">
        <f>'Combined data'!AR237</f>
        <v>98</v>
      </c>
      <c r="AS237" s="17">
        <f>'Combined data'!AS237-'Combined data'!AR237</f>
        <v>16</v>
      </c>
      <c r="AT237" s="17">
        <f>'Combined data'!AT237-'Combined data'!AS237</f>
        <v>22</v>
      </c>
      <c r="AU237" s="17">
        <f>'Combined data'!AU237-'Combined data'!AT237</f>
        <v>12</v>
      </c>
      <c r="AV237" s="17">
        <f>'Combined data'!AV237-'Combined data'!AU237</f>
        <v>14</v>
      </c>
      <c r="AW237" s="17">
        <f>'Combined data'!AW237-'Combined data'!AV237</f>
        <v>10</v>
      </c>
      <c r="AX237" s="17">
        <f>'Combined data'!AX237-'Combined data'!AW237</f>
        <v>12</v>
      </c>
      <c r="AY237" s="17">
        <f>'Combined data'!AY237-'Combined data'!AX237</f>
        <v>5</v>
      </c>
      <c r="AZ237" s="17">
        <f>'Combined data'!AZ237-'Combined data'!AY237</f>
        <v>9</v>
      </c>
      <c r="BA237" s="17">
        <f>'Combined data'!BA237-'Combined data'!AZ237</f>
        <v>6</v>
      </c>
      <c r="BB237" s="17">
        <f>'Combined data'!BB237-'Combined data'!BA237</f>
        <v>6</v>
      </c>
      <c r="BC237" s="17">
        <f>'Combined data'!BC237-'Combined data'!BB237</f>
        <v>2</v>
      </c>
      <c r="BD237" s="17">
        <f>'Combined data'!BD237-'Combined data'!BC237</f>
        <v>0</v>
      </c>
      <c r="BE237" s="17">
        <f>'Combined data'!BE237-'Combined data'!BD237</f>
        <v>5</v>
      </c>
      <c r="BF237" s="17">
        <f>'Combined data'!BF237-'Combined data'!BE237</f>
        <v>10</v>
      </c>
      <c r="BG237" s="17">
        <f>'Combined data'!BG237-'Combined data'!BF237</f>
        <v>3</v>
      </c>
      <c r="BH237" s="17">
        <f>'Combined data'!BH237-'Combined data'!BG237</f>
        <v>7</v>
      </c>
      <c r="BI237" s="17">
        <f>'Combined data'!BI237-'Combined data'!BH237</f>
        <v>6</v>
      </c>
      <c r="BJ237" s="17">
        <f>'Combined data'!BJ237-'Combined data'!BI237</f>
        <v>4</v>
      </c>
      <c r="BK237" s="17">
        <f>'Combined data'!BK237-'Combined data'!BJ237</f>
        <v>0</v>
      </c>
      <c r="BL237" s="17">
        <f>'Combined data'!BL237-'Combined data'!BK237</f>
        <v>9</v>
      </c>
      <c r="BM237" s="17">
        <f>'Combined data'!BM237-'Combined data'!BL237</f>
        <v>-1</v>
      </c>
      <c r="BN237" s="17">
        <f>'Combined data'!BN237-'Combined data'!BM237</f>
        <v>7</v>
      </c>
      <c r="BO237" s="17">
        <f>'Combined data'!BO237-'Combined data'!BN237</f>
        <v>-262</v>
      </c>
      <c r="BP237" s="17">
        <f>'Combined data'!BP237-'Combined data'!BO237</f>
        <v>0</v>
      </c>
      <c r="BQ237" s="17">
        <f>'Combined data'!BQ237-'Combined data'!BP237</f>
        <v>0</v>
      </c>
      <c r="BR237" s="17">
        <f>'Combined data'!BR237-'Combined data'!BQ237</f>
        <v>0</v>
      </c>
      <c r="BS237" s="17">
        <f>'Combined data'!BS237-'Combined data'!BR237</f>
        <v>0</v>
      </c>
      <c r="BT237" s="17">
        <f>'Combined data'!BT237-'Combined data'!BS237</f>
        <v>0</v>
      </c>
      <c r="BU237" s="17">
        <f>'Combined data'!BU237-'Combined data'!BT237</f>
        <v>0</v>
      </c>
      <c r="BV237" s="17">
        <f>'Combined data'!BV237-'Combined data'!BU237</f>
        <v>0</v>
      </c>
      <c r="BW237" s="17">
        <f>'Combined data'!BW237-'Combined data'!BV237</f>
        <v>0</v>
      </c>
      <c r="BX237" s="17">
        <f>'Combined data'!BX237-'Combined data'!BW237</f>
        <v>0</v>
      </c>
      <c r="BY237" s="17">
        <f>'Combined data'!BY237-'Combined data'!BX237</f>
        <v>0</v>
      </c>
      <c r="CB237" s="17">
        <f t="shared" si="173"/>
        <v>98</v>
      </c>
      <c r="CC237" s="17">
        <f t="shared" si="174"/>
        <v>16</v>
      </c>
      <c r="CD237" s="17">
        <f t="shared" si="175"/>
        <v>22</v>
      </c>
      <c r="CE237" s="17">
        <f t="shared" si="176"/>
        <v>12</v>
      </c>
      <c r="CF237" s="17">
        <f t="shared" si="177"/>
        <v>14</v>
      </c>
      <c r="CG237" s="17">
        <f t="shared" si="178"/>
        <v>10</v>
      </c>
      <c r="CH237" s="17">
        <f t="shared" si="179"/>
        <v>12</v>
      </c>
      <c r="CI237" s="17">
        <f t="shared" si="180"/>
        <v>5</v>
      </c>
      <c r="CJ237" s="17">
        <f t="shared" si="181"/>
        <v>9</v>
      </c>
      <c r="CK237" s="17">
        <f t="shared" si="182"/>
        <v>6</v>
      </c>
      <c r="CL237" s="17">
        <f t="shared" si="183"/>
        <v>6</v>
      </c>
      <c r="CM237" s="17">
        <f t="shared" si="184"/>
        <v>2</v>
      </c>
      <c r="CN237" s="17">
        <f t="shared" si="185"/>
        <v>0</v>
      </c>
      <c r="CO237" s="17">
        <f t="shared" si="186"/>
        <v>5</v>
      </c>
      <c r="CP237" s="17">
        <f t="shared" si="187"/>
        <v>10</v>
      </c>
      <c r="CQ237" s="17">
        <f t="shared" si="188"/>
        <v>3</v>
      </c>
      <c r="CR237" s="17">
        <f t="shared" si="189"/>
        <v>7</v>
      </c>
      <c r="CS237" s="17">
        <f t="shared" si="190"/>
        <v>6</v>
      </c>
      <c r="CT237" s="17">
        <f t="shared" si="191"/>
        <v>4</v>
      </c>
      <c r="CU237" s="17">
        <f t="shared" si="192"/>
        <v>0</v>
      </c>
      <c r="CV237" s="17">
        <f t="shared" si="193"/>
        <v>9</v>
      </c>
      <c r="CW237" s="17">
        <f t="shared" si="194"/>
        <v>-1</v>
      </c>
      <c r="CX237" s="17">
        <f t="shared" si="195"/>
        <v>7</v>
      </c>
      <c r="CY237" s="17">
        <f t="shared" si="195"/>
        <v>-262</v>
      </c>
      <c r="CZ237" s="17">
        <f t="shared" si="195"/>
        <v>0</v>
      </c>
      <c r="DA237" s="17">
        <f t="shared" si="195"/>
        <v>0</v>
      </c>
      <c r="DB237" s="17">
        <f t="shared" si="195"/>
        <v>0</v>
      </c>
      <c r="DC237" s="17">
        <f t="shared" si="195"/>
        <v>0</v>
      </c>
      <c r="DD237" s="17">
        <f t="shared" si="195"/>
        <v>0</v>
      </c>
      <c r="DE237" s="17">
        <f t="shared" si="195"/>
        <v>0</v>
      </c>
      <c r="DF237" s="17">
        <f t="shared" si="195"/>
        <v>0</v>
      </c>
      <c r="DG237" s="17">
        <f t="shared" si="195"/>
        <v>0</v>
      </c>
      <c r="DH237" s="17">
        <f t="shared" si="195"/>
        <v>0</v>
      </c>
      <c r="DI237" s="17">
        <f t="shared" si="195"/>
        <v>0</v>
      </c>
    </row>
    <row r="238" spans="1:113" ht="15.75" x14ac:dyDescent="0.25">
      <c r="A238" s="4" t="s">
        <v>482</v>
      </c>
      <c r="B238" s="6" t="s">
        <v>483</v>
      </c>
      <c r="H238" s="90">
        <f>'Combined data'!H238</f>
        <v>20</v>
      </c>
      <c r="I238" s="90">
        <f>'Combined data'!I238-'Combined data'!H238</f>
        <v>2</v>
      </c>
      <c r="J238" s="90">
        <f>'Combined data'!J238-'Combined data'!I238</f>
        <v>0</v>
      </c>
      <c r="K238" s="90">
        <f>'Combined data'!K238-'Combined data'!J238</f>
        <v>0</v>
      </c>
      <c r="L238" s="90">
        <f>'Combined data'!L238-'Combined data'!K238</f>
        <v>0</v>
      </c>
      <c r="M238" s="90">
        <f>'Combined data'!M238-'Combined data'!L238</f>
        <v>0</v>
      </c>
      <c r="N238" s="90">
        <f>'Combined data'!N238-'Combined data'!M238</f>
        <v>4</v>
      </c>
      <c r="O238" s="90">
        <f>'Combined data'!O238-'Combined data'!N238</f>
        <v>2</v>
      </c>
      <c r="P238" s="90">
        <f>'Combined data'!P238-'Combined data'!O238</f>
        <v>5</v>
      </c>
      <c r="Q238" s="90">
        <f>'Combined data'!Q238-'Combined data'!P238</f>
        <v>1</v>
      </c>
      <c r="R238" s="90">
        <f>'Combined data'!R238-'Combined data'!Q238</f>
        <v>2</v>
      </c>
      <c r="S238" s="90">
        <f>'Combined data'!S238-'Combined data'!R238</f>
        <v>0</v>
      </c>
      <c r="T238" s="90">
        <f>'Combined data'!T238-'Combined data'!S238</f>
        <v>4</v>
      </c>
      <c r="U238" s="90">
        <f>'Combined data'!U238-'Combined data'!T238</f>
        <v>1</v>
      </c>
      <c r="V238" s="90">
        <f>'Combined data'!V238-'Combined data'!U238</f>
        <v>0</v>
      </c>
      <c r="W238" s="90">
        <f>'Combined data'!W238-'Combined data'!V238</f>
        <v>0</v>
      </c>
      <c r="X238" s="90">
        <f>'Combined data'!X238-'Combined data'!W238</f>
        <v>0</v>
      </c>
      <c r="Y238" s="90">
        <f>'Combined data'!Y238-'Combined data'!X238</f>
        <v>1</v>
      </c>
      <c r="Z238" s="90">
        <f>'Combined data'!Z238-'Combined data'!Y238</f>
        <v>0</v>
      </c>
      <c r="AA238" s="90">
        <f>'Combined data'!AA238-'Combined data'!Z238</f>
        <v>0</v>
      </c>
      <c r="AB238" s="90">
        <f>'Combined data'!AB238-'Combined data'!AA238</f>
        <v>0</v>
      </c>
      <c r="AC238" s="90">
        <f>'Combined data'!AC238-'Combined data'!AB238</f>
        <v>0</v>
      </c>
      <c r="AD238" s="90">
        <f>'Combined data'!AD238-'Combined data'!AC238</f>
        <v>30</v>
      </c>
      <c r="AE238" s="90">
        <f>'Combined data'!AE238-'Combined data'!AD238</f>
        <v>-72</v>
      </c>
      <c r="AF238" s="90">
        <f>'Combined data'!AF238-'Combined data'!AE238</f>
        <v>0</v>
      </c>
      <c r="AG238" s="90">
        <f>'Combined data'!AG238-'Combined data'!AF238</f>
        <v>0</v>
      </c>
      <c r="AH238" s="90">
        <f>'Combined data'!AH238-'Combined data'!AG238</f>
        <v>0</v>
      </c>
      <c r="AI238" s="90">
        <f>'Combined data'!AI238-'Combined data'!AH238</f>
        <v>0</v>
      </c>
      <c r="AJ238" s="90">
        <f>'Combined data'!AJ238-'Combined data'!AI238</f>
        <v>0</v>
      </c>
      <c r="AK238" s="90">
        <f>'Combined data'!AK238-'Combined data'!AJ238</f>
        <v>0</v>
      </c>
      <c r="AL238" s="90">
        <f>'Combined data'!AL238-'Combined data'!AK238</f>
        <v>0</v>
      </c>
      <c r="AM238" s="90">
        <f>'Combined data'!AM238-'Combined data'!AL238</f>
        <v>0</v>
      </c>
      <c r="AN238" s="90">
        <f>'Combined data'!AN238-'Combined data'!AM238</f>
        <v>0</v>
      </c>
      <c r="AO238" s="90">
        <f>'Combined data'!AO238-'Combined data'!AN238</f>
        <v>0</v>
      </c>
      <c r="AP238" s="56">
        <f t="shared" si="155"/>
        <v>0</v>
      </c>
      <c r="AQ238" s="113"/>
      <c r="AR238" s="17">
        <f>'Combined data'!AR238</f>
        <v>29</v>
      </c>
      <c r="AS238" s="17">
        <f>'Combined data'!AS238-'Combined data'!AR238</f>
        <v>0</v>
      </c>
      <c r="AT238" s="17">
        <f>'Combined data'!AT238-'Combined data'!AS238</f>
        <v>8</v>
      </c>
      <c r="AU238" s="17">
        <f>'Combined data'!AU238-'Combined data'!AT238</f>
        <v>2</v>
      </c>
      <c r="AV238" s="17">
        <f>'Combined data'!AV238-'Combined data'!AU238</f>
        <v>3</v>
      </c>
      <c r="AW238" s="17">
        <f>'Combined data'!AW238-'Combined data'!AV238</f>
        <v>2</v>
      </c>
      <c r="AX238" s="17">
        <f>'Combined data'!AX238-'Combined data'!AW238</f>
        <v>0</v>
      </c>
      <c r="AY238" s="17">
        <f>'Combined data'!AY238-'Combined data'!AX238</f>
        <v>1</v>
      </c>
      <c r="AZ238" s="17">
        <f>'Combined data'!AZ238-'Combined data'!AY238</f>
        <v>2</v>
      </c>
      <c r="BA238" s="17">
        <f>'Combined data'!BA238-'Combined data'!AZ238</f>
        <v>2</v>
      </c>
      <c r="BB238" s="17">
        <f>'Combined data'!BB238-'Combined data'!BA238</f>
        <v>0</v>
      </c>
      <c r="BC238" s="17">
        <f>'Combined data'!BC238-'Combined data'!BB238</f>
        <v>0</v>
      </c>
      <c r="BD238" s="17">
        <f>'Combined data'!BD238-'Combined data'!BC238</f>
        <v>4</v>
      </c>
      <c r="BE238" s="17">
        <f>'Combined data'!BE238-'Combined data'!BD238</f>
        <v>0</v>
      </c>
      <c r="BF238" s="17">
        <f>'Combined data'!BF238-'Combined data'!BE238</f>
        <v>0</v>
      </c>
      <c r="BG238" s="17">
        <f>'Combined data'!BG238-'Combined data'!BF238</f>
        <v>0</v>
      </c>
      <c r="BH238" s="17">
        <f>'Combined data'!BH238-'Combined data'!BG238</f>
        <v>0</v>
      </c>
      <c r="BI238" s="17">
        <f>'Combined data'!BI238-'Combined data'!BH238</f>
        <v>0</v>
      </c>
      <c r="BJ238" s="17">
        <f>'Combined data'!BJ238-'Combined data'!BI238</f>
        <v>0</v>
      </c>
      <c r="BK238" s="17">
        <f>'Combined data'!BK238-'Combined data'!BJ238</f>
        <v>0</v>
      </c>
      <c r="BL238" s="17">
        <f>'Combined data'!BL238-'Combined data'!BK238</f>
        <v>1</v>
      </c>
      <c r="BM238" s="17">
        <f>'Combined data'!BM238-'Combined data'!BL238</f>
        <v>-1</v>
      </c>
      <c r="BN238" s="17">
        <f>'Combined data'!BN238-'Combined data'!BM238</f>
        <v>0</v>
      </c>
      <c r="BO238" s="17">
        <f>'Combined data'!BO238-'Combined data'!BN238</f>
        <v>-53</v>
      </c>
      <c r="BP238" s="17">
        <f>'Combined data'!BP238-'Combined data'!BO238</f>
        <v>0</v>
      </c>
      <c r="BQ238" s="17">
        <f>'Combined data'!BQ238-'Combined data'!BP238</f>
        <v>0</v>
      </c>
      <c r="BR238" s="17">
        <f>'Combined data'!BR238-'Combined data'!BQ238</f>
        <v>0</v>
      </c>
      <c r="BS238" s="17">
        <f>'Combined data'!BS238-'Combined data'!BR238</f>
        <v>0</v>
      </c>
      <c r="BT238" s="17">
        <f>'Combined data'!BT238-'Combined data'!BS238</f>
        <v>0</v>
      </c>
      <c r="BU238" s="17">
        <f>'Combined data'!BU238-'Combined data'!BT238</f>
        <v>0</v>
      </c>
      <c r="BV238" s="17">
        <f>'Combined data'!BV238-'Combined data'!BU238</f>
        <v>0</v>
      </c>
      <c r="BW238" s="17">
        <f>'Combined data'!BW238-'Combined data'!BV238</f>
        <v>0</v>
      </c>
      <c r="BX238" s="17">
        <f>'Combined data'!BX238-'Combined data'!BW238</f>
        <v>0</v>
      </c>
      <c r="BY238" s="17">
        <f>'Combined data'!BY238-'Combined data'!BX238</f>
        <v>0</v>
      </c>
      <c r="CB238" s="17">
        <f t="shared" si="173"/>
        <v>29</v>
      </c>
      <c r="CC238" s="17">
        <f t="shared" si="174"/>
        <v>0</v>
      </c>
      <c r="CD238" s="17">
        <f t="shared" si="175"/>
        <v>8</v>
      </c>
      <c r="CE238" s="17">
        <f t="shared" si="176"/>
        <v>2</v>
      </c>
      <c r="CF238" s="17">
        <f t="shared" si="177"/>
        <v>3</v>
      </c>
      <c r="CG238" s="17">
        <f t="shared" si="178"/>
        <v>2</v>
      </c>
      <c r="CH238" s="17">
        <f t="shared" si="179"/>
        <v>0</v>
      </c>
      <c r="CI238" s="17">
        <f t="shared" si="180"/>
        <v>1</v>
      </c>
      <c r="CJ238" s="17">
        <f t="shared" si="181"/>
        <v>2</v>
      </c>
      <c r="CK238" s="17">
        <f t="shared" si="182"/>
        <v>2</v>
      </c>
      <c r="CL238" s="17">
        <f t="shared" si="183"/>
        <v>0</v>
      </c>
      <c r="CM238" s="17">
        <f t="shared" si="184"/>
        <v>0</v>
      </c>
      <c r="CN238" s="17">
        <f t="shared" si="185"/>
        <v>4</v>
      </c>
      <c r="CO238" s="17">
        <f t="shared" si="186"/>
        <v>0</v>
      </c>
      <c r="CP238" s="17">
        <f t="shared" si="187"/>
        <v>0</v>
      </c>
      <c r="CQ238" s="17">
        <f t="shared" si="188"/>
        <v>0</v>
      </c>
      <c r="CR238" s="17">
        <f t="shared" si="189"/>
        <v>0</v>
      </c>
      <c r="CS238" s="17">
        <f t="shared" si="190"/>
        <v>0</v>
      </c>
      <c r="CT238" s="17">
        <f t="shared" si="191"/>
        <v>0</v>
      </c>
      <c r="CU238" s="17">
        <f t="shared" si="192"/>
        <v>0</v>
      </c>
      <c r="CV238" s="17">
        <f t="shared" si="193"/>
        <v>1</v>
      </c>
      <c r="CW238" s="17">
        <f t="shared" si="194"/>
        <v>-1</v>
      </c>
      <c r="CX238" s="17">
        <f t="shared" si="195"/>
        <v>0</v>
      </c>
      <c r="CY238" s="17">
        <f t="shared" si="195"/>
        <v>-53</v>
      </c>
      <c r="CZ238" s="17">
        <f t="shared" si="195"/>
        <v>0</v>
      </c>
      <c r="DA238" s="17">
        <f t="shared" si="195"/>
        <v>0</v>
      </c>
      <c r="DB238" s="17">
        <f t="shared" si="195"/>
        <v>0</v>
      </c>
      <c r="DC238" s="17">
        <f t="shared" si="195"/>
        <v>0</v>
      </c>
      <c r="DD238" s="17">
        <f t="shared" si="195"/>
        <v>0</v>
      </c>
      <c r="DE238" s="17">
        <f t="shared" si="195"/>
        <v>0</v>
      </c>
      <c r="DF238" s="17">
        <f t="shared" si="195"/>
        <v>0</v>
      </c>
      <c r="DG238" s="17">
        <f t="shared" si="195"/>
        <v>0</v>
      </c>
      <c r="DH238" s="17">
        <f t="shared" si="195"/>
        <v>0</v>
      </c>
      <c r="DI238" s="17">
        <f t="shared" si="195"/>
        <v>0</v>
      </c>
    </row>
    <row r="239" spans="1:113" ht="15.75" x14ac:dyDescent="0.25">
      <c r="A239" s="4" t="s">
        <v>484</v>
      </c>
      <c r="B239" s="6" t="s">
        <v>485</v>
      </c>
      <c r="H239" s="90">
        <f>'Combined data'!H239</f>
        <v>58</v>
      </c>
      <c r="I239" s="90">
        <f>'Combined data'!I239-'Combined data'!H239</f>
        <v>16</v>
      </c>
      <c r="J239" s="90">
        <f>'Combined data'!J239-'Combined data'!I239</f>
        <v>19</v>
      </c>
      <c r="K239" s="90">
        <f>'Combined data'!K239-'Combined data'!J239</f>
        <v>-2</v>
      </c>
      <c r="L239" s="90">
        <f>'Combined data'!L239-'Combined data'!K239</f>
        <v>2</v>
      </c>
      <c r="M239" s="90">
        <f>'Combined data'!M239-'Combined data'!L239</f>
        <v>6</v>
      </c>
      <c r="N239" s="90">
        <f>'Combined data'!N239-'Combined data'!M239</f>
        <v>6</v>
      </c>
      <c r="O239" s="90">
        <f>'Combined data'!O239-'Combined data'!N239</f>
        <v>4</v>
      </c>
      <c r="P239" s="90">
        <f>'Combined data'!P239-'Combined data'!O239</f>
        <v>6</v>
      </c>
      <c r="Q239" s="90">
        <f>'Combined data'!Q239-'Combined data'!P239</f>
        <v>1</v>
      </c>
      <c r="R239" s="90">
        <f>'Combined data'!R239-'Combined data'!Q239</f>
        <v>-1</v>
      </c>
      <c r="S239" s="90">
        <f>'Combined data'!S239-'Combined data'!R239</f>
        <v>1</v>
      </c>
      <c r="T239" s="90">
        <f>'Combined data'!T239-'Combined data'!S239</f>
        <v>7</v>
      </c>
      <c r="U239" s="90">
        <f>'Combined data'!U239-'Combined data'!T239</f>
        <v>1</v>
      </c>
      <c r="V239" s="90">
        <f>'Combined data'!V239-'Combined data'!U239</f>
        <v>2</v>
      </c>
      <c r="W239" s="90">
        <f>'Combined data'!W239-'Combined data'!V239</f>
        <v>1</v>
      </c>
      <c r="X239" s="90">
        <f>'Combined data'!X239-'Combined data'!W239</f>
        <v>0</v>
      </c>
      <c r="Y239" s="90">
        <f>'Combined data'!Y239-'Combined data'!X239</f>
        <v>6</v>
      </c>
      <c r="Z239" s="90">
        <f>'Combined data'!Z239-'Combined data'!Y239</f>
        <v>4</v>
      </c>
      <c r="AA239" s="90">
        <f>'Combined data'!AA239-'Combined data'!Z239</f>
        <v>2</v>
      </c>
      <c r="AB239" s="90">
        <f>'Combined data'!AB239-'Combined data'!AA239</f>
        <v>1</v>
      </c>
      <c r="AC239" s="90">
        <f>'Combined data'!AC239-'Combined data'!AB239</f>
        <v>2</v>
      </c>
      <c r="AD239" s="90">
        <f>'Combined data'!AD239-'Combined data'!AC239</f>
        <v>-14</v>
      </c>
      <c r="AE239" s="90">
        <f>'Combined data'!AE239-'Combined data'!AD239</f>
        <v>-128</v>
      </c>
      <c r="AF239" s="90">
        <f>'Combined data'!AF239-'Combined data'!AE239</f>
        <v>0</v>
      </c>
      <c r="AG239" s="90">
        <f>'Combined data'!AG239-'Combined data'!AF239</f>
        <v>0</v>
      </c>
      <c r="AH239" s="90">
        <f>'Combined data'!AH239-'Combined data'!AG239</f>
        <v>0</v>
      </c>
      <c r="AI239" s="90">
        <f>'Combined data'!AI239-'Combined data'!AH239</f>
        <v>0</v>
      </c>
      <c r="AJ239" s="90">
        <f>'Combined data'!AJ239-'Combined data'!AI239</f>
        <v>0</v>
      </c>
      <c r="AK239" s="90">
        <f>'Combined data'!AK239-'Combined data'!AJ239</f>
        <v>0</v>
      </c>
      <c r="AL239" s="90">
        <f>'Combined data'!AL239-'Combined data'!AK239</f>
        <v>0</v>
      </c>
      <c r="AM239" s="90">
        <f>'Combined data'!AM239-'Combined data'!AL239</f>
        <v>0</v>
      </c>
      <c r="AN239" s="90">
        <f>'Combined data'!AN239-'Combined data'!AM239</f>
        <v>0</v>
      </c>
      <c r="AO239" s="90">
        <f>'Combined data'!AO239-'Combined data'!AN239</f>
        <v>0</v>
      </c>
      <c r="AP239" s="56">
        <f t="shared" si="155"/>
        <v>0</v>
      </c>
      <c r="AQ239" s="113"/>
      <c r="AR239" s="17">
        <f>'Combined data'!AR239</f>
        <v>21</v>
      </c>
      <c r="AS239" s="17">
        <f>'Combined data'!AS239-'Combined data'!AR239</f>
        <v>10</v>
      </c>
      <c r="AT239" s="17">
        <f>'Combined data'!AT239-'Combined data'!AS239</f>
        <v>12</v>
      </c>
      <c r="AU239" s="17">
        <f>'Combined data'!AU239-'Combined data'!AT239</f>
        <v>7</v>
      </c>
      <c r="AV239" s="17">
        <f>'Combined data'!AV239-'Combined data'!AU239</f>
        <v>5</v>
      </c>
      <c r="AW239" s="17">
        <f>'Combined data'!AW239-'Combined data'!AV239</f>
        <v>3</v>
      </c>
      <c r="AX239" s="17">
        <f>'Combined data'!AX239-'Combined data'!AW239</f>
        <v>5</v>
      </c>
      <c r="AY239" s="17">
        <f>'Combined data'!AY239-'Combined data'!AX239</f>
        <v>3</v>
      </c>
      <c r="AZ239" s="17">
        <f>'Combined data'!AZ239-'Combined data'!AY239</f>
        <v>8</v>
      </c>
      <c r="BA239" s="17">
        <f>'Combined data'!BA239-'Combined data'!AZ239</f>
        <v>5</v>
      </c>
      <c r="BB239" s="17">
        <f>'Combined data'!BB239-'Combined data'!BA239</f>
        <v>0</v>
      </c>
      <c r="BC239" s="17">
        <f>'Combined data'!BC239-'Combined data'!BB239</f>
        <v>3</v>
      </c>
      <c r="BD239" s="17">
        <f>'Combined data'!BD239-'Combined data'!BC239</f>
        <v>0</v>
      </c>
      <c r="BE239" s="17">
        <f>'Combined data'!BE239-'Combined data'!BD239</f>
        <v>4</v>
      </c>
      <c r="BF239" s="17">
        <f>'Combined data'!BF239-'Combined data'!BE239</f>
        <v>1</v>
      </c>
      <c r="BG239" s="17">
        <f>'Combined data'!BG239-'Combined data'!BF239</f>
        <v>4</v>
      </c>
      <c r="BH239" s="17">
        <f>'Combined data'!BH239-'Combined data'!BG239</f>
        <v>0</v>
      </c>
      <c r="BI239" s="17">
        <f>'Combined data'!BI239-'Combined data'!BH239</f>
        <v>0</v>
      </c>
      <c r="BJ239" s="17">
        <f>'Combined data'!BJ239-'Combined data'!BI239</f>
        <v>0</v>
      </c>
      <c r="BK239" s="17">
        <f>'Combined data'!BK239-'Combined data'!BJ239</f>
        <v>5</v>
      </c>
      <c r="BL239" s="17">
        <f>'Combined data'!BL239-'Combined data'!BK239</f>
        <v>0</v>
      </c>
      <c r="BM239" s="17">
        <f>'Combined data'!BM239-'Combined data'!BL239</f>
        <v>2</v>
      </c>
      <c r="BN239" s="17">
        <f>'Combined data'!BN239-'Combined data'!BM239</f>
        <v>0</v>
      </c>
      <c r="BO239" s="17">
        <f>'Combined data'!BO239-'Combined data'!BN239</f>
        <v>-98</v>
      </c>
      <c r="BP239" s="17">
        <f>'Combined data'!BP239-'Combined data'!BO239</f>
        <v>0</v>
      </c>
      <c r="BQ239" s="17">
        <f>'Combined data'!BQ239-'Combined data'!BP239</f>
        <v>0</v>
      </c>
      <c r="BR239" s="17">
        <f>'Combined data'!BR239-'Combined data'!BQ239</f>
        <v>0</v>
      </c>
      <c r="BS239" s="17">
        <f>'Combined data'!BS239-'Combined data'!BR239</f>
        <v>0</v>
      </c>
      <c r="BT239" s="17">
        <f>'Combined data'!BT239-'Combined data'!BS239</f>
        <v>0</v>
      </c>
      <c r="BU239" s="17">
        <f>'Combined data'!BU239-'Combined data'!BT239</f>
        <v>0</v>
      </c>
      <c r="BV239" s="17">
        <f>'Combined data'!BV239-'Combined data'!BU239</f>
        <v>0</v>
      </c>
      <c r="BW239" s="17">
        <f>'Combined data'!BW239-'Combined data'!BV239</f>
        <v>0</v>
      </c>
      <c r="BX239" s="17">
        <f>'Combined data'!BX239-'Combined data'!BW239</f>
        <v>0</v>
      </c>
      <c r="BY239" s="17">
        <f>'Combined data'!BY239-'Combined data'!BX239</f>
        <v>0</v>
      </c>
      <c r="CB239" s="17">
        <f t="shared" si="173"/>
        <v>21</v>
      </c>
      <c r="CC239" s="17">
        <f t="shared" si="174"/>
        <v>10</v>
      </c>
      <c r="CD239" s="17">
        <f t="shared" si="175"/>
        <v>12</v>
      </c>
      <c r="CE239" s="17">
        <f t="shared" si="176"/>
        <v>7</v>
      </c>
      <c r="CF239" s="17">
        <f t="shared" si="177"/>
        <v>5</v>
      </c>
      <c r="CG239" s="17">
        <f t="shared" si="178"/>
        <v>3</v>
      </c>
      <c r="CH239" s="17">
        <f t="shared" si="179"/>
        <v>5</v>
      </c>
      <c r="CI239" s="17">
        <f t="shared" si="180"/>
        <v>3</v>
      </c>
      <c r="CJ239" s="17">
        <f t="shared" si="181"/>
        <v>8</v>
      </c>
      <c r="CK239" s="17">
        <f t="shared" si="182"/>
        <v>5</v>
      </c>
      <c r="CL239" s="17">
        <f t="shared" si="183"/>
        <v>0</v>
      </c>
      <c r="CM239" s="17">
        <f t="shared" si="184"/>
        <v>3</v>
      </c>
      <c r="CN239" s="17">
        <f t="shared" si="185"/>
        <v>0</v>
      </c>
      <c r="CO239" s="17">
        <f t="shared" si="186"/>
        <v>4</v>
      </c>
      <c r="CP239" s="17">
        <f t="shared" si="187"/>
        <v>1</v>
      </c>
      <c r="CQ239" s="17">
        <f t="shared" si="188"/>
        <v>4</v>
      </c>
      <c r="CR239" s="17">
        <f t="shared" si="189"/>
        <v>0</v>
      </c>
      <c r="CS239" s="17">
        <f t="shared" si="190"/>
        <v>0</v>
      </c>
      <c r="CT239" s="17">
        <f t="shared" si="191"/>
        <v>0</v>
      </c>
      <c r="CU239" s="17">
        <f t="shared" si="192"/>
        <v>5</v>
      </c>
      <c r="CV239" s="17">
        <f t="shared" si="193"/>
        <v>0</v>
      </c>
      <c r="CW239" s="17">
        <f t="shared" si="194"/>
        <v>2</v>
      </c>
      <c r="CX239" s="17">
        <f t="shared" si="195"/>
        <v>0</v>
      </c>
      <c r="CY239" s="17">
        <f t="shared" si="195"/>
        <v>-98</v>
      </c>
      <c r="CZ239" s="17">
        <f t="shared" si="195"/>
        <v>0</v>
      </c>
      <c r="DA239" s="17">
        <f t="shared" si="195"/>
        <v>0</v>
      </c>
      <c r="DB239" s="17">
        <f t="shared" si="195"/>
        <v>0</v>
      </c>
      <c r="DC239" s="17">
        <f t="shared" si="195"/>
        <v>0</v>
      </c>
      <c r="DD239" s="17">
        <f t="shared" si="195"/>
        <v>0</v>
      </c>
      <c r="DE239" s="17">
        <f t="shared" si="195"/>
        <v>0</v>
      </c>
      <c r="DF239" s="17">
        <f t="shared" si="195"/>
        <v>0</v>
      </c>
      <c r="DG239" s="17">
        <f t="shared" si="195"/>
        <v>0</v>
      </c>
      <c r="DH239" s="17">
        <f t="shared" si="195"/>
        <v>0</v>
      </c>
      <c r="DI239" s="17">
        <f t="shared" si="195"/>
        <v>0</v>
      </c>
    </row>
    <row r="240" spans="1:113" ht="15.75" x14ac:dyDescent="0.25">
      <c r="A240" s="4" t="s">
        <v>486</v>
      </c>
      <c r="B240" s="6" t="s">
        <v>487</v>
      </c>
      <c r="H240" s="90">
        <f>'Combined data'!H240</f>
        <v>156</v>
      </c>
      <c r="I240" s="90">
        <f>'Combined data'!I240-'Combined data'!H240</f>
        <v>35</v>
      </c>
      <c r="J240" s="90">
        <f>'Combined data'!J240-'Combined data'!I240</f>
        <v>5</v>
      </c>
      <c r="K240" s="90">
        <f>'Combined data'!K240-'Combined data'!J240</f>
        <v>4</v>
      </c>
      <c r="L240" s="90">
        <f>'Combined data'!L240-'Combined data'!K240</f>
        <v>2</v>
      </c>
      <c r="M240" s="90">
        <f>'Combined data'!M240-'Combined data'!L240</f>
        <v>10</v>
      </c>
      <c r="N240" s="90">
        <f>'Combined data'!N240-'Combined data'!M240</f>
        <v>34</v>
      </c>
      <c r="O240" s="90">
        <f>'Combined data'!O240-'Combined data'!N240</f>
        <v>5</v>
      </c>
      <c r="P240" s="90">
        <f>'Combined data'!P240-'Combined data'!O240</f>
        <v>0</v>
      </c>
      <c r="Q240" s="90">
        <f>'Combined data'!Q240-'Combined data'!P240</f>
        <v>7</v>
      </c>
      <c r="R240" s="90">
        <f>'Combined data'!R240-'Combined data'!Q240</f>
        <v>6</v>
      </c>
      <c r="S240" s="90">
        <f>'Combined data'!S240-'Combined data'!R240</f>
        <v>3</v>
      </c>
      <c r="T240" s="90">
        <f>'Combined data'!T240-'Combined data'!S240</f>
        <v>6</v>
      </c>
      <c r="U240" s="90">
        <f>'Combined data'!U240-'Combined data'!T240</f>
        <v>3</v>
      </c>
      <c r="V240" s="90">
        <f>'Combined data'!V240-'Combined data'!U240</f>
        <v>2</v>
      </c>
      <c r="W240" s="90">
        <f>'Combined data'!W240-'Combined data'!V240</f>
        <v>0</v>
      </c>
      <c r="X240" s="90">
        <f>'Combined data'!X240-'Combined data'!W240</f>
        <v>2</v>
      </c>
      <c r="Y240" s="90">
        <f>'Combined data'!Y240-'Combined data'!X240</f>
        <v>1</v>
      </c>
      <c r="Z240" s="90">
        <f>'Combined data'!Z240-'Combined data'!Y240</f>
        <v>2</v>
      </c>
      <c r="AA240" s="90">
        <f>'Combined data'!AA240-'Combined data'!Z240</f>
        <v>0</v>
      </c>
      <c r="AB240" s="90">
        <f>'Combined data'!AB240-'Combined data'!AA240</f>
        <v>1</v>
      </c>
      <c r="AC240" s="90">
        <f>'Combined data'!AC240-'Combined data'!AB240</f>
        <v>7</v>
      </c>
      <c r="AD240" s="90">
        <f>'Combined data'!AD240-'Combined data'!AC240</f>
        <v>-12</v>
      </c>
      <c r="AE240" s="90">
        <f>'Combined data'!AE240-'Combined data'!AD240</f>
        <v>-279</v>
      </c>
      <c r="AF240" s="90">
        <f>'Combined data'!AF240-'Combined data'!AE240</f>
        <v>0</v>
      </c>
      <c r="AG240" s="90">
        <f>'Combined data'!AG240-'Combined data'!AF240</f>
        <v>0</v>
      </c>
      <c r="AH240" s="90">
        <f>'Combined data'!AH240-'Combined data'!AG240</f>
        <v>0</v>
      </c>
      <c r="AI240" s="90">
        <f>'Combined data'!AI240-'Combined data'!AH240</f>
        <v>0</v>
      </c>
      <c r="AJ240" s="90">
        <f>'Combined data'!AJ240-'Combined data'!AI240</f>
        <v>0</v>
      </c>
      <c r="AK240" s="90">
        <f>'Combined data'!AK240-'Combined data'!AJ240</f>
        <v>0</v>
      </c>
      <c r="AL240" s="90">
        <f>'Combined data'!AL240-'Combined data'!AK240</f>
        <v>0</v>
      </c>
      <c r="AM240" s="90">
        <f>'Combined data'!AM240-'Combined data'!AL240</f>
        <v>0</v>
      </c>
      <c r="AN240" s="90">
        <f>'Combined data'!AN240-'Combined data'!AM240</f>
        <v>0</v>
      </c>
      <c r="AO240" s="90">
        <f>'Combined data'!AO240-'Combined data'!AN240</f>
        <v>0</v>
      </c>
      <c r="AP240" s="56">
        <f t="shared" si="155"/>
        <v>0</v>
      </c>
      <c r="AQ240" s="113"/>
      <c r="AR240" s="17">
        <f>'Combined data'!AR240</f>
        <v>60</v>
      </c>
      <c r="AS240" s="17">
        <f>'Combined data'!AS240-'Combined data'!AR240</f>
        <v>23</v>
      </c>
      <c r="AT240" s="17">
        <f>'Combined data'!AT240-'Combined data'!AS240</f>
        <v>10</v>
      </c>
      <c r="AU240" s="17">
        <f>'Combined data'!AU240-'Combined data'!AT240</f>
        <v>11</v>
      </c>
      <c r="AV240" s="17">
        <f>'Combined data'!AV240-'Combined data'!AU240</f>
        <v>11</v>
      </c>
      <c r="AW240" s="17">
        <f>'Combined data'!AW240-'Combined data'!AV240</f>
        <v>6</v>
      </c>
      <c r="AX240" s="17">
        <f>'Combined data'!AX240-'Combined data'!AW240</f>
        <v>22</v>
      </c>
      <c r="AY240" s="17">
        <f>'Combined data'!AY240-'Combined data'!AX240</f>
        <v>8</v>
      </c>
      <c r="AZ240" s="17">
        <f>'Combined data'!AZ240-'Combined data'!AY240</f>
        <v>13</v>
      </c>
      <c r="BA240" s="17">
        <f>'Combined data'!BA240-'Combined data'!AZ240</f>
        <v>12</v>
      </c>
      <c r="BB240" s="17">
        <f>'Combined data'!BB240-'Combined data'!BA240</f>
        <v>6</v>
      </c>
      <c r="BC240" s="17">
        <f>'Combined data'!BC240-'Combined data'!BB240</f>
        <v>7</v>
      </c>
      <c r="BD240" s="17">
        <f>'Combined data'!BD240-'Combined data'!BC240</f>
        <v>9</v>
      </c>
      <c r="BE240" s="17">
        <f>'Combined data'!BE240-'Combined data'!BD240</f>
        <v>1</v>
      </c>
      <c r="BF240" s="17">
        <f>'Combined data'!BF240-'Combined data'!BE240</f>
        <v>7</v>
      </c>
      <c r="BG240" s="17">
        <f>'Combined data'!BG240-'Combined data'!BF240</f>
        <v>0</v>
      </c>
      <c r="BH240" s="17">
        <f>'Combined data'!BH240-'Combined data'!BG240</f>
        <v>9</v>
      </c>
      <c r="BI240" s="17">
        <f>'Combined data'!BI240-'Combined data'!BH240</f>
        <v>0</v>
      </c>
      <c r="BJ240" s="17">
        <f>'Combined data'!BJ240-'Combined data'!BI240</f>
        <v>0</v>
      </c>
      <c r="BK240" s="17">
        <f>'Combined data'!BK240-'Combined data'!BJ240</f>
        <v>0</v>
      </c>
      <c r="BL240" s="17">
        <f>'Combined data'!BL240-'Combined data'!BK240</f>
        <v>1</v>
      </c>
      <c r="BM240" s="17">
        <f>'Combined data'!BM240-'Combined data'!BL240</f>
        <v>2</v>
      </c>
      <c r="BN240" s="17">
        <f>'Combined data'!BN240-'Combined data'!BM240</f>
        <v>2</v>
      </c>
      <c r="BO240" s="17">
        <f>'Combined data'!BO240-'Combined data'!BN240</f>
        <v>-220</v>
      </c>
      <c r="BP240" s="17">
        <f>'Combined data'!BP240-'Combined data'!BO240</f>
        <v>0</v>
      </c>
      <c r="BQ240" s="17">
        <f>'Combined data'!BQ240-'Combined data'!BP240</f>
        <v>0</v>
      </c>
      <c r="BR240" s="17">
        <f>'Combined data'!BR240-'Combined data'!BQ240</f>
        <v>0</v>
      </c>
      <c r="BS240" s="17">
        <f>'Combined data'!BS240-'Combined data'!BR240</f>
        <v>0</v>
      </c>
      <c r="BT240" s="17">
        <f>'Combined data'!BT240-'Combined data'!BS240</f>
        <v>0</v>
      </c>
      <c r="BU240" s="17">
        <f>'Combined data'!BU240-'Combined data'!BT240</f>
        <v>0</v>
      </c>
      <c r="BV240" s="17">
        <f>'Combined data'!BV240-'Combined data'!BU240</f>
        <v>0</v>
      </c>
      <c r="BW240" s="17">
        <f>'Combined data'!BW240-'Combined data'!BV240</f>
        <v>0</v>
      </c>
      <c r="BX240" s="17">
        <f>'Combined data'!BX240-'Combined data'!BW240</f>
        <v>0</v>
      </c>
      <c r="BY240" s="17">
        <f>'Combined data'!BY240-'Combined data'!BX240</f>
        <v>0</v>
      </c>
      <c r="CB240" s="17">
        <f t="shared" si="173"/>
        <v>60</v>
      </c>
      <c r="CC240" s="17">
        <f t="shared" si="174"/>
        <v>23</v>
      </c>
      <c r="CD240" s="17">
        <f t="shared" si="175"/>
        <v>10</v>
      </c>
      <c r="CE240" s="17">
        <f t="shared" si="176"/>
        <v>11</v>
      </c>
      <c r="CF240" s="17">
        <f t="shared" si="177"/>
        <v>11</v>
      </c>
      <c r="CG240" s="17">
        <f t="shared" si="178"/>
        <v>6</v>
      </c>
      <c r="CH240" s="17">
        <f t="shared" si="179"/>
        <v>22</v>
      </c>
      <c r="CI240" s="17">
        <f t="shared" si="180"/>
        <v>8</v>
      </c>
      <c r="CJ240" s="17">
        <f t="shared" si="181"/>
        <v>13</v>
      </c>
      <c r="CK240" s="17">
        <f t="shared" si="182"/>
        <v>12</v>
      </c>
      <c r="CL240" s="17">
        <f t="shared" si="183"/>
        <v>6</v>
      </c>
      <c r="CM240" s="17">
        <f t="shared" si="184"/>
        <v>7</v>
      </c>
      <c r="CN240" s="17">
        <f t="shared" si="185"/>
        <v>9</v>
      </c>
      <c r="CO240" s="17">
        <f t="shared" si="186"/>
        <v>1</v>
      </c>
      <c r="CP240" s="17">
        <f t="shared" si="187"/>
        <v>7</v>
      </c>
      <c r="CQ240" s="17">
        <f t="shared" si="188"/>
        <v>0</v>
      </c>
      <c r="CR240" s="17">
        <f t="shared" si="189"/>
        <v>9</v>
      </c>
      <c r="CS240" s="17">
        <f t="shared" si="190"/>
        <v>0</v>
      </c>
      <c r="CT240" s="17">
        <f t="shared" si="191"/>
        <v>0</v>
      </c>
      <c r="CU240" s="17">
        <f t="shared" si="192"/>
        <v>0</v>
      </c>
      <c r="CV240" s="17">
        <f t="shared" si="193"/>
        <v>1</v>
      </c>
      <c r="CW240" s="17">
        <f t="shared" si="194"/>
        <v>2</v>
      </c>
      <c r="CX240" s="17">
        <f t="shared" si="195"/>
        <v>2</v>
      </c>
      <c r="CY240" s="17">
        <f t="shared" si="195"/>
        <v>-220</v>
      </c>
      <c r="CZ240" s="17">
        <f t="shared" si="195"/>
        <v>0</v>
      </c>
      <c r="DA240" s="17">
        <f t="shared" si="195"/>
        <v>0</v>
      </c>
      <c r="DB240" s="17">
        <f t="shared" si="195"/>
        <v>0</v>
      </c>
      <c r="DC240" s="17">
        <f t="shared" si="195"/>
        <v>0</v>
      </c>
      <c r="DD240" s="17">
        <f t="shared" si="195"/>
        <v>0</v>
      </c>
      <c r="DE240" s="17">
        <f t="shared" si="195"/>
        <v>0</v>
      </c>
      <c r="DF240" s="17">
        <f t="shared" si="195"/>
        <v>0</v>
      </c>
      <c r="DG240" s="17">
        <f t="shared" si="195"/>
        <v>0</v>
      </c>
      <c r="DH240" s="17">
        <f t="shared" si="195"/>
        <v>0</v>
      </c>
      <c r="DI240" s="17">
        <f t="shared" si="195"/>
        <v>0</v>
      </c>
    </row>
    <row r="241" spans="1:113" ht="15.75" x14ac:dyDescent="0.25">
      <c r="A241" s="4" t="s">
        <v>488</v>
      </c>
      <c r="B241" s="6" t="s">
        <v>489</v>
      </c>
      <c r="H241" s="90">
        <f>'Combined data'!H241</f>
        <v>144</v>
      </c>
      <c r="I241" s="90">
        <f>'Combined data'!I241-'Combined data'!H241</f>
        <v>37</v>
      </c>
      <c r="J241" s="90">
        <f>'Combined data'!J241-'Combined data'!I241</f>
        <v>7</v>
      </c>
      <c r="K241" s="90">
        <f>'Combined data'!K241-'Combined data'!J241</f>
        <v>4</v>
      </c>
      <c r="L241" s="90">
        <f>'Combined data'!L241-'Combined data'!K241</f>
        <v>3</v>
      </c>
      <c r="M241" s="90">
        <f>'Combined data'!M241-'Combined data'!L241</f>
        <v>12</v>
      </c>
      <c r="N241" s="90">
        <f>'Combined data'!N241-'Combined data'!M241</f>
        <v>24</v>
      </c>
      <c r="O241" s="90">
        <f>'Combined data'!O241-'Combined data'!N241</f>
        <v>3</v>
      </c>
      <c r="P241" s="90">
        <f>'Combined data'!P241-'Combined data'!O241</f>
        <v>4</v>
      </c>
      <c r="Q241" s="90">
        <f>'Combined data'!Q241-'Combined data'!P241</f>
        <v>7</v>
      </c>
      <c r="R241" s="90">
        <f>'Combined data'!R241-'Combined data'!Q241</f>
        <v>3</v>
      </c>
      <c r="S241" s="90">
        <f>'Combined data'!S241-'Combined data'!R241</f>
        <v>5</v>
      </c>
      <c r="T241" s="90">
        <f>'Combined data'!T241-'Combined data'!S241</f>
        <v>5</v>
      </c>
      <c r="U241" s="90">
        <f>'Combined data'!U241-'Combined data'!T241</f>
        <v>2</v>
      </c>
      <c r="V241" s="90">
        <f>'Combined data'!V241-'Combined data'!U241</f>
        <v>7</v>
      </c>
      <c r="W241" s="90">
        <f>'Combined data'!W241-'Combined data'!V241</f>
        <v>-2</v>
      </c>
      <c r="X241" s="90">
        <f>'Combined data'!X241-'Combined data'!W241</f>
        <v>13</v>
      </c>
      <c r="Y241" s="90">
        <f>'Combined data'!Y241-'Combined data'!X241</f>
        <v>3</v>
      </c>
      <c r="Z241" s="90">
        <f>'Combined data'!Z241-'Combined data'!Y241</f>
        <v>9</v>
      </c>
      <c r="AA241" s="90">
        <f>'Combined data'!AA241-'Combined data'!Z241</f>
        <v>-1</v>
      </c>
      <c r="AB241" s="90">
        <f>'Combined data'!AB241-'Combined data'!AA241</f>
        <v>3</v>
      </c>
      <c r="AC241" s="90">
        <f>'Combined data'!AC241-'Combined data'!AB241</f>
        <v>5</v>
      </c>
      <c r="AD241" s="90">
        <f>'Combined data'!AD241-'Combined data'!AC241</f>
        <v>-25</v>
      </c>
      <c r="AE241" s="90">
        <f>'Combined data'!AE241-'Combined data'!AD241</f>
        <v>-272</v>
      </c>
      <c r="AF241" s="90">
        <f>'Combined data'!AF241-'Combined data'!AE241</f>
        <v>0</v>
      </c>
      <c r="AG241" s="90">
        <f>'Combined data'!AG241-'Combined data'!AF241</f>
        <v>0</v>
      </c>
      <c r="AH241" s="90">
        <f>'Combined data'!AH241-'Combined data'!AG241</f>
        <v>0</v>
      </c>
      <c r="AI241" s="90">
        <f>'Combined data'!AI241-'Combined data'!AH241</f>
        <v>0</v>
      </c>
      <c r="AJ241" s="90">
        <f>'Combined data'!AJ241-'Combined data'!AI241</f>
        <v>0</v>
      </c>
      <c r="AK241" s="90">
        <f>'Combined data'!AK241-'Combined data'!AJ241</f>
        <v>0</v>
      </c>
      <c r="AL241" s="90">
        <f>'Combined data'!AL241-'Combined data'!AK241</f>
        <v>0</v>
      </c>
      <c r="AM241" s="90">
        <f>'Combined data'!AM241-'Combined data'!AL241</f>
        <v>0</v>
      </c>
      <c r="AN241" s="90">
        <f>'Combined data'!AN241-'Combined data'!AM241</f>
        <v>0</v>
      </c>
      <c r="AO241" s="90">
        <f>'Combined data'!AO241-'Combined data'!AN241</f>
        <v>0</v>
      </c>
      <c r="AP241" s="56">
        <f t="shared" si="155"/>
        <v>0</v>
      </c>
      <c r="AQ241" s="113"/>
      <c r="AR241" s="17">
        <f>'Combined data'!AR241</f>
        <v>42</v>
      </c>
      <c r="AS241" s="17">
        <f>'Combined data'!AS241-'Combined data'!AR241</f>
        <v>18</v>
      </c>
      <c r="AT241" s="17">
        <f>'Combined data'!AT241-'Combined data'!AS241</f>
        <v>14</v>
      </c>
      <c r="AU241" s="17">
        <f>'Combined data'!AU241-'Combined data'!AT241</f>
        <v>12</v>
      </c>
      <c r="AV241" s="17">
        <f>'Combined data'!AV241-'Combined data'!AU241</f>
        <v>13</v>
      </c>
      <c r="AW241" s="17">
        <f>'Combined data'!AW241-'Combined data'!AV241</f>
        <v>9</v>
      </c>
      <c r="AX241" s="17">
        <f>'Combined data'!AX241-'Combined data'!AW241</f>
        <v>9</v>
      </c>
      <c r="AY241" s="17">
        <f>'Combined data'!AY241-'Combined data'!AX241</f>
        <v>3</v>
      </c>
      <c r="AZ241" s="17">
        <f>'Combined data'!AZ241-'Combined data'!AY241</f>
        <v>15</v>
      </c>
      <c r="BA241" s="17">
        <f>'Combined data'!BA241-'Combined data'!AZ241</f>
        <v>10</v>
      </c>
      <c r="BB241" s="17">
        <f>'Combined data'!BB241-'Combined data'!BA241</f>
        <v>1</v>
      </c>
      <c r="BC241" s="17">
        <f>'Combined data'!BC241-'Combined data'!BB241</f>
        <v>6</v>
      </c>
      <c r="BD241" s="17">
        <f>'Combined data'!BD241-'Combined data'!BC241</f>
        <v>13</v>
      </c>
      <c r="BE241" s="17">
        <f>'Combined data'!BE241-'Combined data'!BD241</f>
        <v>6</v>
      </c>
      <c r="BF241" s="17">
        <f>'Combined data'!BF241-'Combined data'!BE241</f>
        <v>7</v>
      </c>
      <c r="BG241" s="17">
        <f>'Combined data'!BG241-'Combined data'!BF241</f>
        <v>2</v>
      </c>
      <c r="BH241" s="17">
        <f>'Combined data'!BH241-'Combined data'!BG241</f>
        <v>9</v>
      </c>
      <c r="BI241" s="17">
        <f>'Combined data'!BI241-'Combined data'!BH241</f>
        <v>8</v>
      </c>
      <c r="BJ241" s="17">
        <f>'Combined data'!BJ241-'Combined data'!BI241</f>
        <v>4</v>
      </c>
      <c r="BK241" s="17">
        <f>'Combined data'!BK241-'Combined data'!BJ241</f>
        <v>3</v>
      </c>
      <c r="BL241" s="17">
        <f>'Combined data'!BL241-'Combined data'!BK241</f>
        <v>6</v>
      </c>
      <c r="BM241" s="17">
        <f>'Combined data'!BM241-'Combined data'!BL241</f>
        <v>-1</v>
      </c>
      <c r="BN241" s="17">
        <f>'Combined data'!BN241-'Combined data'!BM241</f>
        <v>10</v>
      </c>
      <c r="BO241" s="17">
        <f>'Combined data'!BO241-'Combined data'!BN241</f>
        <v>-219</v>
      </c>
      <c r="BP241" s="17">
        <f>'Combined data'!BP241-'Combined data'!BO241</f>
        <v>0</v>
      </c>
      <c r="BQ241" s="17">
        <f>'Combined data'!BQ241-'Combined data'!BP241</f>
        <v>0</v>
      </c>
      <c r="BR241" s="17">
        <f>'Combined data'!BR241-'Combined data'!BQ241</f>
        <v>0</v>
      </c>
      <c r="BS241" s="17">
        <f>'Combined data'!BS241-'Combined data'!BR241</f>
        <v>0</v>
      </c>
      <c r="BT241" s="17">
        <f>'Combined data'!BT241-'Combined data'!BS241</f>
        <v>0</v>
      </c>
      <c r="BU241" s="17">
        <f>'Combined data'!BU241-'Combined data'!BT241</f>
        <v>0</v>
      </c>
      <c r="BV241" s="17">
        <f>'Combined data'!BV241-'Combined data'!BU241</f>
        <v>0</v>
      </c>
      <c r="BW241" s="17">
        <f>'Combined data'!BW241-'Combined data'!BV241</f>
        <v>0</v>
      </c>
      <c r="BX241" s="17">
        <f>'Combined data'!BX241-'Combined data'!BW241</f>
        <v>0</v>
      </c>
      <c r="BY241" s="17">
        <f>'Combined data'!BY241-'Combined data'!BX241</f>
        <v>0</v>
      </c>
      <c r="CB241" s="17">
        <f t="shared" si="173"/>
        <v>42</v>
      </c>
      <c r="CC241" s="17">
        <f t="shared" si="174"/>
        <v>18</v>
      </c>
      <c r="CD241" s="17">
        <f t="shared" si="175"/>
        <v>14</v>
      </c>
      <c r="CE241" s="17">
        <f t="shared" si="176"/>
        <v>12</v>
      </c>
      <c r="CF241" s="17">
        <f t="shared" si="177"/>
        <v>13</v>
      </c>
      <c r="CG241" s="17">
        <f t="shared" si="178"/>
        <v>9</v>
      </c>
      <c r="CH241" s="17">
        <f t="shared" si="179"/>
        <v>9</v>
      </c>
      <c r="CI241" s="17">
        <f t="shared" si="180"/>
        <v>3</v>
      </c>
      <c r="CJ241" s="17">
        <f t="shared" si="181"/>
        <v>15</v>
      </c>
      <c r="CK241" s="17">
        <f t="shared" si="182"/>
        <v>10</v>
      </c>
      <c r="CL241" s="17">
        <f t="shared" si="183"/>
        <v>1</v>
      </c>
      <c r="CM241" s="17">
        <f t="shared" si="184"/>
        <v>6</v>
      </c>
      <c r="CN241" s="17">
        <f t="shared" si="185"/>
        <v>13</v>
      </c>
      <c r="CO241" s="17">
        <f t="shared" si="186"/>
        <v>6</v>
      </c>
      <c r="CP241" s="17">
        <f t="shared" si="187"/>
        <v>7</v>
      </c>
      <c r="CQ241" s="17">
        <f t="shared" si="188"/>
        <v>2</v>
      </c>
      <c r="CR241" s="17">
        <f t="shared" si="189"/>
        <v>9</v>
      </c>
      <c r="CS241" s="17">
        <f t="shared" si="190"/>
        <v>8</v>
      </c>
      <c r="CT241" s="17">
        <f t="shared" si="191"/>
        <v>4</v>
      </c>
      <c r="CU241" s="17">
        <f t="shared" si="192"/>
        <v>3</v>
      </c>
      <c r="CV241" s="17">
        <f t="shared" si="193"/>
        <v>6</v>
      </c>
      <c r="CW241" s="17">
        <f t="shared" si="194"/>
        <v>-1</v>
      </c>
      <c r="CX241" s="17">
        <f t="shared" ref="CX241:DI246" si="196">BN241</f>
        <v>10</v>
      </c>
      <c r="CY241" s="17">
        <f t="shared" si="196"/>
        <v>-219</v>
      </c>
      <c r="CZ241" s="17">
        <f t="shared" si="196"/>
        <v>0</v>
      </c>
      <c r="DA241" s="17">
        <f t="shared" si="196"/>
        <v>0</v>
      </c>
      <c r="DB241" s="17">
        <f t="shared" si="196"/>
        <v>0</v>
      </c>
      <c r="DC241" s="17">
        <f t="shared" si="196"/>
        <v>0</v>
      </c>
      <c r="DD241" s="17">
        <f t="shared" si="196"/>
        <v>0</v>
      </c>
      <c r="DE241" s="17">
        <f t="shared" si="196"/>
        <v>0</v>
      </c>
      <c r="DF241" s="17">
        <f t="shared" si="196"/>
        <v>0</v>
      </c>
      <c r="DG241" s="17">
        <f t="shared" si="196"/>
        <v>0</v>
      </c>
      <c r="DH241" s="17">
        <f t="shared" si="196"/>
        <v>0</v>
      </c>
      <c r="DI241" s="17">
        <f t="shared" si="196"/>
        <v>0</v>
      </c>
    </row>
    <row r="242" spans="1:113" ht="15.75" x14ac:dyDescent="0.25">
      <c r="A242" s="4" t="s">
        <v>490</v>
      </c>
      <c r="B242" s="6" t="s">
        <v>491</v>
      </c>
      <c r="H242" s="90">
        <f>'Combined data'!H242</f>
        <v>59</v>
      </c>
      <c r="I242" s="90">
        <f>'Combined data'!I242-'Combined data'!H242</f>
        <v>17</v>
      </c>
      <c r="J242" s="90">
        <f>'Combined data'!J242-'Combined data'!I242</f>
        <v>11</v>
      </c>
      <c r="K242" s="90">
        <f>'Combined data'!K242-'Combined data'!J242</f>
        <v>7</v>
      </c>
      <c r="L242" s="90">
        <f>'Combined data'!L242-'Combined data'!K242</f>
        <v>2</v>
      </c>
      <c r="M242" s="90">
        <f>'Combined data'!M242-'Combined data'!L242</f>
        <v>7</v>
      </c>
      <c r="N242" s="90">
        <f>'Combined data'!N242-'Combined data'!M242</f>
        <v>27</v>
      </c>
      <c r="O242" s="90">
        <f>'Combined data'!O242-'Combined data'!N242</f>
        <v>6</v>
      </c>
      <c r="P242" s="90">
        <f>'Combined data'!P242-'Combined data'!O242</f>
        <v>8</v>
      </c>
      <c r="Q242" s="90">
        <f>'Combined data'!Q242-'Combined data'!P242</f>
        <v>2</v>
      </c>
      <c r="R242" s="90">
        <f>'Combined data'!R242-'Combined data'!Q242</f>
        <v>2</v>
      </c>
      <c r="S242" s="90">
        <f>'Combined data'!S242-'Combined data'!R242</f>
        <v>1</v>
      </c>
      <c r="T242" s="90">
        <f>'Combined data'!T242-'Combined data'!S242</f>
        <v>3</v>
      </c>
      <c r="U242" s="90">
        <f>'Combined data'!U242-'Combined data'!T242</f>
        <v>2</v>
      </c>
      <c r="V242" s="90">
        <f>'Combined data'!V242-'Combined data'!U242</f>
        <v>1</v>
      </c>
      <c r="W242" s="90">
        <f>'Combined data'!W242-'Combined data'!V242</f>
        <v>1</v>
      </c>
      <c r="X242" s="90">
        <f>'Combined data'!X242-'Combined data'!W242</f>
        <v>5</v>
      </c>
      <c r="Y242" s="90">
        <f>'Combined data'!Y242-'Combined data'!X242</f>
        <v>2</v>
      </c>
      <c r="Z242" s="90">
        <f>'Combined data'!Z242-'Combined data'!Y242</f>
        <v>2</v>
      </c>
      <c r="AA242" s="90">
        <f>'Combined data'!AA242-'Combined data'!Z242</f>
        <v>1</v>
      </c>
      <c r="AB242" s="90">
        <f>'Combined data'!AB242-'Combined data'!AA242</f>
        <v>1</v>
      </c>
      <c r="AC242" s="90">
        <f>'Combined data'!AC242-'Combined data'!AB242</f>
        <v>2</v>
      </c>
      <c r="AD242" s="90">
        <f>'Combined data'!AD242-'Combined data'!AC242</f>
        <v>-8</v>
      </c>
      <c r="AE242" s="90">
        <f>'Combined data'!AE242-'Combined data'!AD242</f>
        <v>-161</v>
      </c>
      <c r="AF242" s="90">
        <f>'Combined data'!AF242-'Combined data'!AE242</f>
        <v>0</v>
      </c>
      <c r="AG242" s="90">
        <f>'Combined data'!AG242-'Combined data'!AF242</f>
        <v>0</v>
      </c>
      <c r="AH242" s="90">
        <f>'Combined data'!AH242-'Combined data'!AG242</f>
        <v>0</v>
      </c>
      <c r="AI242" s="90">
        <f>'Combined data'!AI242-'Combined data'!AH242</f>
        <v>0</v>
      </c>
      <c r="AJ242" s="90">
        <f>'Combined data'!AJ242-'Combined data'!AI242</f>
        <v>0</v>
      </c>
      <c r="AK242" s="90">
        <f>'Combined data'!AK242-'Combined data'!AJ242</f>
        <v>0</v>
      </c>
      <c r="AL242" s="90">
        <f>'Combined data'!AL242-'Combined data'!AK242</f>
        <v>0</v>
      </c>
      <c r="AM242" s="90">
        <f>'Combined data'!AM242-'Combined data'!AL242</f>
        <v>0</v>
      </c>
      <c r="AN242" s="90">
        <f>'Combined data'!AN242-'Combined data'!AM242</f>
        <v>0</v>
      </c>
      <c r="AO242" s="90">
        <f>'Combined data'!AO242-'Combined data'!AN242</f>
        <v>0</v>
      </c>
      <c r="AP242" s="56">
        <f t="shared" si="155"/>
        <v>0</v>
      </c>
      <c r="AQ242" s="113"/>
      <c r="AR242" s="17">
        <f>'Combined data'!AR242</f>
        <v>37</v>
      </c>
      <c r="AS242" s="17">
        <f>'Combined data'!AS242-'Combined data'!AR242</f>
        <v>1</v>
      </c>
      <c r="AT242" s="17">
        <f>'Combined data'!AT242-'Combined data'!AS242</f>
        <v>1</v>
      </c>
      <c r="AU242" s="17">
        <f>'Combined data'!AU242-'Combined data'!AT242</f>
        <v>5</v>
      </c>
      <c r="AV242" s="17">
        <f>'Combined data'!AV242-'Combined data'!AU242</f>
        <v>5</v>
      </c>
      <c r="AW242" s="17">
        <f>'Combined data'!AW242-'Combined data'!AV242</f>
        <v>2</v>
      </c>
      <c r="AX242" s="17">
        <f>'Combined data'!AX242-'Combined data'!AW242</f>
        <v>7</v>
      </c>
      <c r="AY242" s="17">
        <f>'Combined data'!AY242-'Combined data'!AX242</f>
        <v>4</v>
      </c>
      <c r="AZ242" s="17">
        <f>'Combined data'!AZ242-'Combined data'!AY242</f>
        <v>3</v>
      </c>
      <c r="BA242" s="17">
        <f>'Combined data'!BA242-'Combined data'!AZ242</f>
        <v>10</v>
      </c>
      <c r="BB242" s="17">
        <f>'Combined data'!BB242-'Combined data'!BA242</f>
        <v>2</v>
      </c>
      <c r="BC242" s="17">
        <f>'Combined data'!BC242-'Combined data'!BB242</f>
        <v>6</v>
      </c>
      <c r="BD242" s="17">
        <f>'Combined data'!BD242-'Combined data'!BC242</f>
        <v>8</v>
      </c>
      <c r="BE242" s="17">
        <f>'Combined data'!BE242-'Combined data'!BD242</f>
        <v>6</v>
      </c>
      <c r="BF242" s="17">
        <f>'Combined data'!BF242-'Combined data'!BE242</f>
        <v>0</v>
      </c>
      <c r="BG242" s="17">
        <f>'Combined data'!BG242-'Combined data'!BF242</f>
        <v>3</v>
      </c>
      <c r="BH242" s="17">
        <f>'Combined data'!BH242-'Combined data'!BG242</f>
        <v>6</v>
      </c>
      <c r="BI242" s="17">
        <f>'Combined data'!BI242-'Combined data'!BH242</f>
        <v>3</v>
      </c>
      <c r="BJ242" s="17">
        <f>'Combined data'!BJ242-'Combined data'!BI242</f>
        <v>2</v>
      </c>
      <c r="BK242" s="17">
        <f>'Combined data'!BK242-'Combined data'!BJ242</f>
        <v>0</v>
      </c>
      <c r="BL242" s="17">
        <f>'Combined data'!BL242-'Combined data'!BK242</f>
        <v>2</v>
      </c>
      <c r="BM242" s="17">
        <f>'Combined data'!BM242-'Combined data'!BL242</f>
        <v>5</v>
      </c>
      <c r="BN242" s="17">
        <f>'Combined data'!BN242-'Combined data'!BM242</f>
        <v>1</v>
      </c>
      <c r="BO242" s="17">
        <f>'Combined data'!BO242-'Combined data'!BN242</f>
        <v>-119</v>
      </c>
      <c r="BP242" s="17">
        <f>'Combined data'!BP242-'Combined data'!BO242</f>
        <v>0</v>
      </c>
      <c r="BQ242" s="17">
        <f>'Combined data'!BQ242-'Combined data'!BP242</f>
        <v>0</v>
      </c>
      <c r="BR242" s="17">
        <f>'Combined data'!BR242-'Combined data'!BQ242</f>
        <v>0</v>
      </c>
      <c r="BS242" s="17">
        <f>'Combined data'!BS242-'Combined data'!BR242</f>
        <v>0</v>
      </c>
      <c r="BT242" s="17">
        <f>'Combined data'!BT242-'Combined data'!BS242</f>
        <v>0</v>
      </c>
      <c r="BU242" s="17">
        <f>'Combined data'!BU242-'Combined data'!BT242</f>
        <v>0</v>
      </c>
      <c r="BV242" s="17">
        <f>'Combined data'!BV242-'Combined data'!BU242</f>
        <v>0</v>
      </c>
      <c r="BW242" s="17">
        <f>'Combined data'!BW242-'Combined data'!BV242</f>
        <v>0</v>
      </c>
      <c r="BX242" s="17">
        <f>'Combined data'!BX242-'Combined data'!BW242</f>
        <v>0</v>
      </c>
      <c r="BY242" s="17">
        <f>'Combined data'!BY242-'Combined data'!BX242</f>
        <v>0</v>
      </c>
      <c r="CB242" s="17">
        <f t="shared" si="173"/>
        <v>37</v>
      </c>
      <c r="CC242" s="17">
        <f t="shared" si="174"/>
        <v>1</v>
      </c>
      <c r="CD242" s="17">
        <f t="shared" si="175"/>
        <v>1</v>
      </c>
      <c r="CE242" s="17">
        <f t="shared" si="176"/>
        <v>5</v>
      </c>
      <c r="CF242" s="17">
        <f t="shared" si="177"/>
        <v>5</v>
      </c>
      <c r="CG242" s="17">
        <f t="shared" si="178"/>
        <v>2</v>
      </c>
      <c r="CH242" s="17">
        <f t="shared" si="179"/>
        <v>7</v>
      </c>
      <c r="CI242" s="17">
        <f t="shared" si="180"/>
        <v>4</v>
      </c>
      <c r="CJ242" s="17">
        <f t="shared" si="181"/>
        <v>3</v>
      </c>
      <c r="CK242" s="17">
        <f t="shared" si="182"/>
        <v>10</v>
      </c>
      <c r="CL242" s="17">
        <f t="shared" si="183"/>
        <v>2</v>
      </c>
      <c r="CM242" s="17">
        <f t="shared" si="184"/>
        <v>6</v>
      </c>
      <c r="CN242" s="17">
        <f t="shared" si="185"/>
        <v>8</v>
      </c>
      <c r="CO242" s="17">
        <f t="shared" si="186"/>
        <v>6</v>
      </c>
      <c r="CP242" s="17">
        <f t="shared" si="187"/>
        <v>0</v>
      </c>
      <c r="CQ242" s="17">
        <f t="shared" si="188"/>
        <v>3</v>
      </c>
      <c r="CR242" s="17">
        <f t="shared" si="189"/>
        <v>6</v>
      </c>
      <c r="CS242" s="17">
        <f t="shared" si="190"/>
        <v>3</v>
      </c>
      <c r="CT242" s="17">
        <f t="shared" si="191"/>
        <v>2</v>
      </c>
      <c r="CU242" s="17">
        <f t="shared" si="192"/>
        <v>0</v>
      </c>
      <c r="CV242" s="17">
        <f t="shared" si="193"/>
        <v>2</v>
      </c>
      <c r="CW242" s="17">
        <f t="shared" si="194"/>
        <v>5</v>
      </c>
      <c r="CX242" s="17">
        <f t="shared" si="196"/>
        <v>1</v>
      </c>
      <c r="CY242" s="17">
        <f t="shared" si="196"/>
        <v>-119</v>
      </c>
      <c r="CZ242" s="17">
        <f t="shared" si="196"/>
        <v>0</v>
      </c>
      <c r="DA242" s="17">
        <f t="shared" si="196"/>
        <v>0</v>
      </c>
      <c r="DB242" s="17">
        <f t="shared" si="196"/>
        <v>0</v>
      </c>
      <c r="DC242" s="17">
        <f t="shared" si="196"/>
        <v>0</v>
      </c>
      <c r="DD242" s="17">
        <f t="shared" si="196"/>
        <v>0</v>
      </c>
      <c r="DE242" s="17">
        <f t="shared" si="196"/>
        <v>0</v>
      </c>
      <c r="DF242" s="17">
        <f t="shared" si="196"/>
        <v>0</v>
      </c>
      <c r="DG242" s="17">
        <f t="shared" si="196"/>
        <v>0</v>
      </c>
      <c r="DH242" s="17">
        <f t="shared" si="196"/>
        <v>0</v>
      </c>
      <c r="DI242" s="17">
        <f t="shared" si="196"/>
        <v>0</v>
      </c>
    </row>
    <row r="243" spans="1:113" ht="15.75" x14ac:dyDescent="0.25">
      <c r="A243" s="4" t="s">
        <v>492</v>
      </c>
      <c r="B243" s="6" t="s">
        <v>493</v>
      </c>
      <c r="H243" s="90">
        <f>'Combined data'!H243</f>
        <v>137</v>
      </c>
      <c r="I243" s="90">
        <f>'Combined data'!I243-'Combined data'!H243</f>
        <v>44</v>
      </c>
      <c r="J243" s="90">
        <f>'Combined data'!J243-'Combined data'!I243</f>
        <v>13</v>
      </c>
      <c r="K243" s="90">
        <f>'Combined data'!K243-'Combined data'!J243</f>
        <v>5</v>
      </c>
      <c r="L243" s="90">
        <f>'Combined data'!L243-'Combined data'!K243</f>
        <v>-4</v>
      </c>
      <c r="M243" s="90">
        <f>'Combined data'!M243-'Combined data'!L243</f>
        <v>24</v>
      </c>
      <c r="N243" s="90">
        <f>'Combined data'!N243-'Combined data'!M243</f>
        <v>20</v>
      </c>
      <c r="O243" s="90">
        <f>'Combined data'!O243-'Combined data'!N243</f>
        <v>1</v>
      </c>
      <c r="P243" s="90">
        <f>'Combined data'!P243-'Combined data'!O243</f>
        <v>-1</v>
      </c>
      <c r="Q243" s="90">
        <f>'Combined data'!Q243-'Combined data'!P243</f>
        <v>8</v>
      </c>
      <c r="R243" s="90">
        <f>'Combined data'!R243-'Combined data'!Q243</f>
        <v>3</v>
      </c>
      <c r="S243" s="90">
        <f>'Combined data'!S243-'Combined data'!R243</f>
        <v>4</v>
      </c>
      <c r="T243" s="90">
        <f>'Combined data'!T243-'Combined data'!S243</f>
        <v>11</v>
      </c>
      <c r="U243" s="90">
        <f>'Combined data'!U243-'Combined data'!T243</f>
        <v>5</v>
      </c>
      <c r="V243" s="90">
        <f>'Combined data'!V243-'Combined data'!U243</f>
        <v>2</v>
      </c>
      <c r="W243" s="90">
        <f>'Combined data'!W243-'Combined data'!V243</f>
        <v>0</v>
      </c>
      <c r="X243" s="90">
        <f>'Combined data'!X243-'Combined data'!W243</f>
        <v>-1</v>
      </c>
      <c r="Y243" s="90">
        <f>'Combined data'!Y243-'Combined data'!X243</f>
        <v>6</v>
      </c>
      <c r="Z243" s="90">
        <f>'Combined data'!Z243-'Combined data'!Y243</f>
        <v>1</v>
      </c>
      <c r="AA243" s="90">
        <f>'Combined data'!AA243-'Combined data'!Z243</f>
        <v>-2</v>
      </c>
      <c r="AB243" s="90">
        <f>'Combined data'!AB243-'Combined data'!AA243</f>
        <v>3</v>
      </c>
      <c r="AC243" s="90">
        <f>'Combined data'!AC243-'Combined data'!AB243</f>
        <v>0</v>
      </c>
      <c r="AD243" s="90">
        <f>'Combined data'!AD243-'Combined data'!AC243</f>
        <v>-14</v>
      </c>
      <c r="AE243" s="90">
        <f>'Combined data'!AE243-'Combined data'!AD243</f>
        <v>-265</v>
      </c>
      <c r="AF243" s="90">
        <f>'Combined data'!AF243-'Combined data'!AE243</f>
        <v>0</v>
      </c>
      <c r="AG243" s="90">
        <f>'Combined data'!AG243-'Combined data'!AF243</f>
        <v>0</v>
      </c>
      <c r="AH243" s="90">
        <f>'Combined data'!AH243-'Combined data'!AG243</f>
        <v>0</v>
      </c>
      <c r="AI243" s="90">
        <f>'Combined data'!AI243-'Combined data'!AH243</f>
        <v>0</v>
      </c>
      <c r="AJ243" s="90">
        <f>'Combined data'!AJ243-'Combined data'!AI243</f>
        <v>0</v>
      </c>
      <c r="AK243" s="90">
        <f>'Combined data'!AK243-'Combined data'!AJ243</f>
        <v>0</v>
      </c>
      <c r="AL243" s="90">
        <f>'Combined data'!AL243-'Combined data'!AK243</f>
        <v>0</v>
      </c>
      <c r="AM243" s="90">
        <f>'Combined data'!AM243-'Combined data'!AL243</f>
        <v>0</v>
      </c>
      <c r="AN243" s="90">
        <f>'Combined data'!AN243-'Combined data'!AM243</f>
        <v>0</v>
      </c>
      <c r="AO243" s="90">
        <f>'Combined data'!AO243-'Combined data'!AN243</f>
        <v>0</v>
      </c>
      <c r="AP243" s="56">
        <f t="shared" si="155"/>
        <v>0</v>
      </c>
      <c r="AQ243" s="113"/>
      <c r="AR243" s="17">
        <f>'Combined data'!AR243</f>
        <v>65</v>
      </c>
      <c r="AS243" s="17">
        <f>'Combined data'!AS243-'Combined data'!AR243</f>
        <v>12</v>
      </c>
      <c r="AT243" s="17">
        <f>'Combined data'!AT243-'Combined data'!AS243</f>
        <v>6</v>
      </c>
      <c r="AU243" s="17">
        <f>'Combined data'!AU243-'Combined data'!AT243</f>
        <v>9</v>
      </c>
      <c r="AV243" s="17">
        <f>'Combined data'!AV243-'Combined data'!AU243</f>
        <v>7</v>
      </c>
      <c r="AW243" s="17">
        <f>'Combined data'!AW243-'Combined data'!AV243</f>
        <v>13</v>
      </c>
      <c r="AX243" s="17">
        <f>'Combined data'!AX243-'Combined data'!AW243</f>
        <v>10</v>
      </c>
      <c r="AY243" s="17">
        <f>'Combined data'!AY243-'Combined data'!AX243</f>
        <v>4</v>
      </c>
      <c r="AZ243" s="17">
        <f>'Combined data'!AZ243-'Combined data'!AY243</f>
        <v>10</v>
      </c>
      <c r="BA243" s="17">
        <f>'Combined data'!BA243-'Combined data'!AZ243</f>
        <v>8</v>
      </c>
      <c r="BB243" s="17">
        <f>'Combined data'!BB243-'Combined data'!BA243</f>
        <v>6</v>
      </c>
      <c r="BC243" s="17">
        <f>'Combined data'!BC243-'Combined data'!BB243</f>
        <v>6</v>
      </c>
      <c r="BD243" s="17">
        <f>'Combined data'!BD243-'Combined data'!BC243</f>
        <v>4</v>
      </c>
      <c r="BE243" s="17">
        <f>'Combined data'!BE243-'Combined data'!BD243</f>
        <v>9</v>
      </c>
      <c r="BF243" s="17">
        <f>'Combined data'!BF243-'Combined data'!BE243</f>
        <v>1</v>
      </c>
      <c r="BG243" s="17">
        <f>'Combined data'!BG243-'Combined data'!BF243</f>
        <v>13</v>
      </c>
      <c r="BH243" s="17">
        <f>'Combined data'!BH243-'Combined data'!BG243</f>
        <v>3</v>
      </c>
      <c r="BI243" s="17">
        <f>'Combined data'!BI243-'Combined data'!BH243</f>
        <v>4</v>
      </c>
      <c r="BJ243" s="17">
        <f>'Combined data'!BJ243-'Combined data'!BI243</f>
        <v>0</v>
      </c>
      <c r="BK243" s="17">
        <f>'Combined data'!BK243-'Combined data'!BJ243</f>
        <v>3</v>
      </c>
      <c r="BL243" s="17">
        <f>'Combined data'!BL243-'Combined data'!BK243</f>
        <v>2</v>
      </c>
      <c r="BM243" s="17">
        <f>'Combined data'!BM243-'Combined data'!BL243</f>
        <v>6</v>
      </c>
      <c r="BN243" s="17">
        <f>'Combined data'!BN243-'Combined data'!BM243</f>
        <v>0</v>
      </c>
      <c r="BO243" s="17">
        <f>'Combined data'!BO243-'Combined data'!BN243</f>
        <v>-201</v>
      </c>
      <c r="BP243" s="17">
        <f>'Combined data'!BP243-'Combined data'!BO243</f>
        <v>0</v>
      </c>
      <c r="BQ243" s="17">
        <f>'Combined data'!BQ243-'Combined data'!BP243</f>
        <v>0</v>
      </c>
      <c r="BR243" s="17">
        <f>'Combined data'!BR243-'Combined data'!BQ243</f>
        <v>0</v>
      </c>
      <c r="BS243" s="17">
        <f>'Combined data'!BS243-'Combined data'!BR243</f>
        <v>0</v>
      </c>
      <c r="BT243" s="17">
        <f>'Combined data'!BT243-'Combined data'!BS243</f>
        <v>0</v>
      </c>
      <c r="BU243" s="17">
        <f>'Combined data'!BU243-'Combined data'!BT243</f>
        <v>0</v>
      </c>
      <c r="BV243" s="17">
        <f>'Combined data'!BV243-'Combined data'!BU243</f>
        <v>0</v>
      </c>
      <c r="BW243" s="17">
        <f>'Combined data'!BW243-'Combined data'!BV243</f>
        <v>0</v>
      </c>
      <c r="BX243" s="17">
        <f>'Combined data'!BX243-'Combined data'!BW243</f>
        <v>0</v>
      </c>
      <c r="BY243" s="17">
        <f>'Combined data'!BY243-'Combined data'!BX243</f>
        <v>0</v>
      </c>
      <c r="CB243" s="17">
        <f t="shared" si="173"/>
        <v>65</v>
      </c>
      <c r="CC243" s="17">
        <f t="shared" si="174"/>
        <v>12</v>
      </c>
      <c r="CD243" s="17">
        <f t="shared" si="175"/>
        <v>6</v>
      </c>
      <c r="CE243" s="17">
        <f t="shared" si="176"/>
        <v>9</v>
      </c>
      <c r="CF243" s="17">
        <f t="shared" si="177"/>
        <v>7</v>
      </c>
      <c r="CG243" s="17">
        <f t="shared" si="178"/>
        <v>13</v>
      </c>
      <c r="CH243" s="17">
        <f t="shared" si="179"/>
        <v>10</v>
      </c>
      <c r="CI243" s="17">
        <f t="shared" si="180"/>
        <v>4</v>
      </c>
      <c r="CJ243" s="17">
        <f t="shared" si="181"/>
        <v>10</v>
      </c>
      <c r="CK243" s="17">
        <f t="shared" si="182"/>
        <v>8</v>
      </c>
      <c r="CL243" s="17">
        <f t="shared" si="183"/>
        <v>6</v>
      </c>
      <c r="CM243" s="17">
        <f t="shared" si="184"/>
        <v>6</v>
      </c>
      <c r="CN243" s="17">
        <f t="shared" si="185"/>
        <v>4</v>
      </c>
      <c r="CO243" s="17">
        <f t="shared" si="186"/>
        <v>9</v>
      </c>
      <c r="CP243" s="17">
        <f t="shared" si="187"/>
        <v>1</v>
      </c>
      <c r="CQ243" s="17">
        <f t="shared" si="188"/>
        <v>13</v>
      </c>
      <c r="CR243" s="17">
        <f t="shared" si="189"/>
        <v>3</v>
      </c>
      <c r="CS243" s="17">
        <f t="shared" si="190"/>
        <v>4</v>
      </c>
      <c r="CT243" s="17">
        <f t="shared" si="191"/>
        <v>0</v>
      </c>
      <c r="CU243" s="17">
        <f t="shared" si="192"/>
        <v>3</v>
      </c>
      <c r="CV243" s="17">
        <f t="shared" si="193"/>
        <v>2</v>
      </c>
      <c r="CW243" s="17">
        <f t="shared" si="194"/>
        <v>6</v>
      </c>
      <c r="CX243" s="17">
        <f t="shared" si="196"/>
        <v>0</v>
      </c>
      <c r="CY243" s="17">
        <f t="shared" si="196"/>
        <v>-201</v>
      </c>
      <c r="CZ243" s="17">
        <f t="shared" si="196"/>
        <v>0</v>
      </c>
      <c r="DA243" s="17">
        <f t="shared" si="196"/>
        <v>0</v>
      </c>
      <c r="DB243" s="17">
        <f t="shared" si="196"/>
        <v>0</v>
      </c>
      <c r="DC243" s="17">
        <f t="shared" si="196"/>
        <v>0</v>
      </c>
      <c r="DD243" s="17">
        <f t="shared" si="196"/>
        <v>0</v>
      </c>
      <c r="DE243" s="17">
        <f t="shared" si="196"/>
        <v>0</v>
      </c>
      <c r="DF243" s="17">
        <f t="shared" si="196"/>
        <v>0</v>
      </c>
      <c r="DG243" s="17">
        <f t="shared" si="196"/>
        <v>0</v>
      </c>
      <c r="DH243" s="17">
        <f t="shared" si="196"/>
        <v>0</v>
      </c>
      <c r="DI243" s="17">
        <f t="shared" si="196"/>
        <v>0</v>
      </c>
    </row>
    <row r="244" spans="1:113" ht="15.75" x14ac:dyDescent="0.25">
      <c r="A244" s="4" t="s">
        <v>494</v>
      </c>
      <c r="B244" s="6" t="s">
        <v>495</v>
      </c>
      <c r="H244" s="90">
        <f>'Combined data'!H244</f>
        <v>58</v>
      </c>
      <c r="I244" s="90">
        <f>'Combined data'!I244-'Combined data'!H244</f>
        <v>13</v>
      </c>
      <c r="J244" s="90">
        <f>'Combined data'!J244-'Combined data'!I244</f>
        <v>2</v>
      </c>
      <c r="K244" s="90">
        <f>'Combined data'!K244-'Combined data'!J244</f>
        <v>10</v>
      </c>
      <c r="L244" s="90">
        <f>'Combined data'!L244-'Combined data'!K244</f>
        <v>3</v>
      </c>
      <c r="M244" s="90">
        <f>'Combined data'!M244-'Combined data'!L244</f>
        <v>0</v>
      </c>
      <c r="N244" s="90">
        <f>'Combined data'!N244-'Combined data'!M244</f>
        <v>2</v>
      </c>
      <c r="O244" s="90">
        <f>'Combined data'!O244-'Combined data'!N244</f>
        <v>3</v>
      </c>
      <c r="P244" s="90">
        <f>'Combined data'!P244-'Combined data'!O244</f>
        <v>1</v>
      </c>
      <c r="Q244" s="90">
        <f>'Combined data'!Q244-'Combined data'!P244</f>
        <v>3</v>
      </c>
      <c r="R244" s="90">
        <f>'Combined data'!R244-'Combined data'!Q244</f>
        <v>0</v>
      </c>
      <c r="S244" s="90">
        <f>'Combined data'!S244-'Combined data'!R244</f>
        <v>-1</v>
      </c>
      <c r="T244" s="90">
        <f>'Combined data'!T244-'Combined data'!S244</f>
        <v>2</v>
      </c>
      <c r="U244" s="90">
        <f>'Combined data'!U244-'Combined data'!T244</f>
        <v>2</v>
      </c>
      <c r="V244" s="90">
        <f>'Combined data'!V244-'Combined data'!U244</f>
        <v>-3</v>
      </c>
      <c r="W244" s="90">
        <f>'Combined data'!W244-'Combined data'!V244</f>
        <v>2</v>
      </c>
      <c r="X244" s="90">
        <f>'Combined data'!X244-'Combined data'!W244</f>
        <v>0</v>
      </c>
      <c r="Y244" s="90">
        <f>'Combined data'!Y244-'Combined data'!X244</f>
        <v>3</v>
      </c>
      <c r="Z244" s="90">
        <f>'Combined data'!Z244-'Combined data'!Y244</f>
        <v>2</v>
      </c>
      <c r="AA244" s="90">
        <f>'Combined data'!AA244-'Combined data'!Z244</f>
        <v>-3</v>
      </c>
      <c r="AB244" s="90">
        <f>'Combined data'!AB244-'Combined data'!AA244</f>
        <v>-1</v>
      </c>
      <c r="AC244" s="90">
        <f>'Combined data'!AC244-'Combined data'!AB244</f>
        <v>0</v>
      </c>
      <c r="AD244" s="90">
        <f>'Combined data'!AD244-'Combined data'!AC244</f>
        <v>-2</v>
      </c>
      <c r="AE244" s="90">
        <f>'Combined data'!AE244-'Combined data'!AD244</f>
        <v>-96</v>
      </c>
      <c r="AF244" s="90">
        <f>'Combined data'!AF244-'Combined data'!AE244</f>
        <v>0</v>
      </c>
      <c r="AG244" s="90">
        <f>'Combined data'!AG244-'Combined data'!AF244</f>
        <v>0</v>
      </c>
      <c r="AH244" s="90">
        <f>'Combined data'!AH244-'Combined data'!AG244</f>
        <v>0</v>
      </c>
      <c r="AI244" s="90">
        <f>'Combined data'!AI244-'Combined data'!AH244</f>
        <v>0</v>
      </c>
      <c r="AJ244" s="90">
        <f>'Combined data'!AJ244-'Combined data'!AI244</f>
        <v>0</v>
      </c>
      <c r="AK244" s="90">
        <f>'Combined data'!AK244-'Combined data'!AJ244</f>
        <v>0</v>
      </c>
      <c r="AL244" s="90">
        <f>'Combined data'!AL244-'Combined data'!AK244</f>
        <v>0</v>
      </c>
      <c r="AM244" s="90">
        <f>'Combined data'!AM244-'Combined data'!AL244</f>
        <v>0</v>
      </c>
      <c r="AN244" s="90">
        <f>'Combined data'!AN244-'Combined data'!AM244</f>
        <v>0</v>
      </c>
      <c r="AO244" s="90">
        <f>'Combined data'!AO244-'Combined data'!AN244</f>
        <v>0</v>
      </c>
      <c r="AP244" s="56">
        <f t="shared" si="155"/>
        <v>0</v>
      </c>
      <c r="AQ244" s="113"/>
      <c r="AR244" s="17">
        <f>'Combined data'!AR244</f>
        <v>26</v>
      </c>
      <c r="AS244" s="17">
        <f>'Combined data'!AS244-'Combined data'!AR244</f>
        <v>8</v>
      </c>
      <c r="AT244" s="17">
        <f>'Combined data'!AT244-'Combined data'!AS244</f>
        <v>2</v>
      </c>
      <c r="AU244" s="17">
        <f>'Combined data'!AU244-'Combined data'!AT244</f>
        <v>0</v>
      </c>
      <c r="AV244" s="17">
        <f>'Combined data'!AV244-'Combined data'!AU244</f>
        <v>4</v>
      </c>
      <c r="AW244" s="17">
        <f>'Combined data'!AW244-'Combined data'!AV244</f>
        <v>5</v>
      </c>
      <c r="AX244" s="17">
        <f>'Combined data'!AX244-'Combined data'!AW244</f>
        <v>0</v>
      </c>
      <c r="AY244" s="17">
        <f>'Combined data'!AY244-'Combined data'!AX244</f>
        <v>4</v>
      </c>
      <c r="AZ244" s="17">
        <f>'Combined data'!AZ244-'Combined data'!AY244</f>
        <v>0</v>
      </c>
      <c r="BA244" s="17">
        <f>'Combined data'!BA244-'Combined data'!AZ244</f>
        <v>3</v>
      </c>
      <c r="BB244" s="17">
        <f>'Combined data'!BB244-'Combined data'!BA244</f>
        <v>0</v>
      </c>
      <c r="BC244" s="17">
        <f>'Combined data'!BC244-'Combined data'!BB244</f>
        <v>0</v>
      </c>
      <c r="BD244" s="17">
        <f>'Combined data'!BD244-'Combined data'!BC244</f>
        <v>6</v>
      </c>
      <c r="BE244" s="17">
        <f>'Combined data'!BE244-'Combined data'!BD244</f>
        <v>2</v>
      </c>
      <c r="BF244" s="17">
        <f>'Combined data'!BF244-'Combined data'!BE244</f>
        <v>2</v>
      </c>
      <c r="BG244" s="17">
        <f>'Combined data'!BG244-'Combined data'!BF244</f>
        <v>0</v>
      </c>
      <c r="BH244" s="17">
        <f>'Combined data'!BH244-'Combined data'!BG244</f>
        <v>0</v>
      </c>
      <c r="BI244" s="17">
        <f>'Combined data'!BI244-'Combined data'!BH244</f>
        <v>0</v>
      </c>
      <c r="BJ244" s="17">
        <f>'Combined data'!BJ244-'Combined data'!BI244</f>
        <v>0</v>
      </c>
      <c r="BK244" s="17">
        <f>'Combined data'!BK244-'Combined data'!BJ244</f>
        <v>0</v>
      </c>
      <c r="BL244" s="17">
        <f>'Combined data'!BL244-'Combined data'!BK244</f>
        <v>7</v>
      </c>
      <c r="BM244" s="17">
        <f>'Combined data'!BM244-'Combined data'!BL244</f>
        <v>0</v>
      </c>
      <c r="BN244" s="17">
        <f>'Combined data'!BN244-'Combined data'!BM244</f>
        <v>3</v>
      </c>
      <c r="BO244" s="17">
        <f>'Combined data'!BO244-'Combined data'!BN244</f>
        <v>-72</v>
      </c>
      <c r="BP244" s="17">
        <f>'Combined data'!BP244-'Combined data'!BO244</f>
        <v>0</v>
      </c>
      <c r="BQ244" s="17">
        <f>'Combined data'!BQ244-'Combined data'!BP244</f>
        <v>0</v>
      </c>
      <c r="BR244" s="17">
        <f>'Combined data'!BR244-'Combined data'!BQ244</f>
        <v>0</v>
      </c>
      <c r="BS244" s="17">
        <f>'Combined data'!BS244-'Combined data'!BR244</f>
        <v>0</v>
      </c>
      <c r="BT244" s="17">
        <f>'Combined data'!BT244-'Combined data'!BS244</f>
        <v>0</v>
      </c>
      <c r="BU244" s="17">
        <f>'Combined data'!BU244-'Combined data'!BT244</f>
        <v>0</v>
      </c>
      <c r="BV244" s="17">
        <f>'Combined data'!BV244-'Combined data'!BU244</f>
        <v>0</v>
      </c>
      <c r="BW244" s="17">
        <f>'Combined data'!BW244-'Combined data'!BV244</f>
        <v>0</v>
      </c>
      <c r="BX244" s="17">
        <f>'Combined data'!BX244-'Combined data'!BW244</f>
        <v>0</v>
      </c>
      <c r="BY244" s="17">
        <f>'Combined data'!BY244-'Combined data'!BX244</f>
        <v>0</v>
      </c>
      <c r="CB244" s="17">
        <f t="shared" si="173"/>
        <v>26</v>
      </c>
      <c r="CC244" s="17">
        <f t="shared" si="174"/>
        <v>8</v>
      </c>
      <c r="CD244" s="17">
        <f t="shared" si="175"/>
        <v>2</v>
      </c>
      <c r="CE244" s="17">
        <f t="shared" si="176"/>
        <v>0</v>
      </c>
      <c r="CF244" s="17">
        <f t="shared" si="177"/>
        <v>4</v>
      </c>
      <c r="CG244" s="17">
        <f t="shared" si="178"/>
        <v>5</v>
      </c>
      <c r="CH244" s="17">
        <f t="shared" si="179"/>
        <v>0</v>
      </c>
      <c r="CI244" s="17">
        <f t="shared" si="180"/>
        <v>4</v>
      </c>
      <c r="CJ244" s="17">
        <f t="shared" si="181"/>
        <v>0</v>
      </c>
      <c r="CK244" s="17">
        <f t="shared" si="182"/>
        <v>3</v>
      </c>
      <c r="CL244" s="17">
        <f t="shared" si="183"/>
        <v>0</v>
      </c>
      <c r="CM244" s="17">
        <f t="shared" si="184"/>
        <v>0</v>
      </c>
      <c r="CN244" s="17">
        <f t="shared" si="185"/>
        <v>6</v>
      </c>
      <c r="CO244" s="17">
        <f t="shared" si="186"/>
        <v>2</v>
      </c>
      <c r="CP244" s="17">
        <f t="shared" si="187"/>
        <v>2</v>
      </c>
      <c r="CQ244" s="17">
        <f t="shared" si="188"/>
        <v>0</v>
      </c>
      <c r="CR244" s="17">
        <f t="shared" si="189"/>
        <v>0</v>
      </c>
      <c r="CS244" s="17">
        <f t="shared" si="190"/>
        <v>0</v>
      </c>
      <c r="CT244" s="17">
        <f t="shared" si="191"/>
        <v>0</v>
      </c>
      <c r="CU244" s="17">
        <f t="shared" si="192"/>
        <v>0</v>
      </c>
      <c r="CV244" s="17">
        <f t="shared" si="193"/>
        <v>7</v>
      </c>
      <c r="CW244" s="17">
        <f t="shared" si="194"/>
        <v>0</v>
      </c>
      <c r="CX244" s="17">
        <f t="shared" si="196"/>
        <v>3</v>
      </c>
      <c r="CY244" s="17">
        <f t="shared" si="196"/>
        <v>-72</v>
      </c>
      <c r="CZ244" s="17">
        <f t="shared" si="196"/>
        <v>0</v>
      </c>
      <c r="DA244" s="17">
        <f t="shared" si="196"/>
        <v>0</v>
      </c>
      <c r="DB244" s="17">
        <f t="shared" si="196"/>
        <v>0</v>
      </c>
      <c r="DC244" s="17">
        <f t="shared" si="196"/>
        <v>0</v>
      </c>
      <c r="DD244" s="17">
        <f t="shared" si="196"/>
        <v>0</v>
      </c>
      <c r="DE244" s="17">
        <f t="shared" si="196"/>
        <v>0</v>
      </c>
      <c r="DF244" s="17">
        <f t="shared" si="196"/>
        <v>0</v>
      </c>
      <c r="DG244" s="17">
        <f t="shared" si="196"/>
        <v>0</v>
      </c>
      <c r="DH244" s="17">
        <f t="shared" si="196"/>
        <v>0</v>
      </c>
      <c r="DI244" s="17">
        <f t="shared" si="196"/>
        <v>0</v>
      </c>
    </row>
    <row r="245" spans="1:113" ht="15.75" x14ac:dyDescent="0.25">
      <c r="A245" s="4" t="s">
        <v>496</v>
      </c>
      <c r="B245" s="6" t="s">
        <v>497</v>
      </c>
      <c r="H245" s="90">
        <f>'Combined data'!H245</f>
        <v>140</v>
      </c>
      <c r="I245" s="90">
        <f>'Combined data'!I245-'Combined data'!H245</f>
        <v>34</v>
      </c>
      <c r="J245" s="90">
        <f>'Combined data'!J245-'Combined data'!I245</f>
        <v>5</v>
      </c>
      <c r="K245" s="90">
        <f>'Combined data'!K245-'Combined data'!J245</f>
        <v>3</v>
      </c>
      <c r="L245" s="90">
        <f>'Combined data'!L245-'Combined data'!K245</f>
        <v>8</v>
      </c>
      <c r="M245" s="90">
        <f>'Combined data'!M245-'Combined data'!L245</f>
        <v>6</v>
      </c>
      <c r="N245" s="90">
        <f>'Combined data'!N245-'Combined data'!M245</f>
        <v>18</v>
      </c>
      <c r="O245" s="90">
        <f>'Combined data'!O245-'Combined data'!N245</f>
        <v>4</v>
      </c>
      <c r="P245" s="90">
        <f>'Combined data'!P245-'Combined data'!O245</f>
        <v>6</v>
      </c>
      <c r="Q245" s="90">
        <f>'Combined data'!Q245-'Combined data'!P245</f>
        <v>4</v>
      </c>
      <c r="R245" s="90">
        <f>'Combined data'!R245-'Combined data'!Q245</f>
        <v>7</v>
      </c>
      <c r="S245" s="90">
        <f>'Combined data'!S245-'Combined data'!R245</f>
        <v>3</v>
      </c>
      <c r="T245" s="90">
        <f>'Combined data'!T245-'Combined data'!S245</f>
        <v>4</v>
      </c>
      <c r="U245" s="90">
        <f>'Combined data'!U245-'Combined data'!T245</f>
        <v>-2</v>
      </c>
      <c r="V245" s="90">
        <f>'Combined data'!V245-'Combined data'!U245</f>
        <v>2</v>
      </c>
      <c r="W245" s="90">
        <f>'Combined data'!W245-'Combined data'!V245</f>
        <v>3</v>
      </c>
      <c r="X245" s="90">
        <f>'Combined data'!X245-'Combined data'!W245</f>
        <v>1</v>
      </c>
      <c r="Y245" s="90">
        <f>'Combined data'!Y245-'Combined data'!X245</f>
        <v>7</v>
      </c>
      <c r="Z245" s="90">
        <f>'Combined data'!Z245-'Combined data'!Y245</f>
        <v>0</v>
      </c>
      <c r="AA245" s="90">
        <f>'Combined data'!AA245-'Combined data'!Z245</f>
        <v>0</v>
      </c>
      <c r="AB245" s="90">
        <f>'Combined data'!AB245-'Combined data'!AA245</f>
        <v>1</v>
      </c>
      <c r="AC245" s="90">
        <f>'Combined data'!AC245-'Combined data'!AB245</f>
        <v>4</v>
      </c>
      <c r="AD245" s="90">
        <f>'Combined data'!AD245-'Combined data'!AC245</f>
        <v>-21</v>
      </c>
      <c r="AE245" s="90">
        <f>'Combined data'!AE245-'Combined data'!AD245</f>
        <v>-237</v>
      </c>
      <c r="AF245" s="90">
        <f>'Combined data'!AF245-'Combined data'!AE245</f>
        <v>0</v>
      </c>
      <c r="AG245" s="90">
        <f>'Combined data'!AG245-'Combined data'!AF245</f>
        <v>0</v>
      </c>
      <c r="AH245" s="90">
        <f>'Combined data'!AH245-'Combined data'!AG245</f>
        <v>0</v>
      </c>
      <c r="AI245" s="90">
        <f>'Combined data'!AI245-'Combined data'!AH245</f>
        <v>0</v>
      </c>
      <c r="AJ245" s="90">
        <f>'Combined data'!AJ245-'Combined data'!AI245</f>
        <v>0</v>
      </c>
      <c r="AK245" s="90">
        <f>'Combined data'!AK245-'Combined data'!AJ245</f>
        <v>0</v>
      </c>
      <c r="AL245" s="90">
        <f>'Combined data'!AL245-'Combined data'!AK245</f>
        <v>0</v>
      </c>
      <c r="AM245" s="90">
        <f>'Combined data'!AM245-'Combined data'!AL245</f>
        <v>0</v>
      </c>
      <c r="AN245" s="90">
        <f>'Combined data'!AN245-'Combined data'!AM245</f>
        <v>0</v>
      </c>
      <c r="AO245" s="90">
        <f>'Combined data'!AO245-'Combined data'!AN245</f>
        <v>0</v>
      </c>
      <c r="AP245" s="56">
        <f t="shared" si="155"/>
        <v>0</v>
      </c>
      <c r="AQ245" s="113"/>
      <c r="AR245" s="17">
        <f>'Combined data'!AR245</f>
        <v>41</v>
      </c>
      <c r="AS245" s="17">
        <f>'Combined data'!AS245-'Combined data'!AR245</f>
        <v>21</v>
      </c>
      <c r="AT245" s="17">
        <f>'Combined data'!AT245-'Combined data'!AS245</f>
        <v>6</v>
      </c>
      <c r="AU245" s="17">
        <f>'Combined data'!AU245-'Combined data'!AT245</f>
        <v>14</v>
      </c>
      <c r="AV245" s="17">
        <f>'Combined data'!AV245-'Combined data'!AU245</f>
        <v>19</v>
      </c>
      <c r="AW245" s="17">
        <f>'Combined data'!AW245-'Combined data'!AV245</f>
        <v>9</v>
      </c>
      <c r="AX245" s="17">
        <f>'Combined data'!AX245-'Combined data'!AW245</f>
        <v>18</v>
      </c>
      <c r="AY245" s="17">
        <f>'Combined data'!AY245-'Combined data'!AX245</f>
        <v>9</v>
      </c>
      <c r="AZ245" s="17">
        <f>'Combined data'!AZ245-'Combined data'!AY245</f>
        <v>4</v>
      </c>
      <c r="BA245" s="17">
        <f>'Combined data'!BA245-'Combined data'!AZ245</f>
        <v>9</v>
      </c>
      <c r="BB245" s="17">
        <f>'Combined data'!BB245-'Combined data'!BA245</f>
        <v>2</v>
      </c>
      <c r="BC245" s="17">
        <f>'Combined data'!BC245-'Combined data'!BB245</f>
        <v>9</v>
      </c>
      <c r="BD245" s="17">
        <f>'Combined data'!BD245-'Combined data'!BC245</f>
        <v>3</v>
      </c>
      <c r="BE245" s="17">
        <f>'Combined data'!BE245-'Combined data'!BD245</f>
        <v>7</v>
      </c>
      <c r="BF245" s="17">
        <f>'Combined data'!BF245-'Combined data'!BE245</f>
        <v>7</v>
      </c>
      <c r="BG245" s="17">
        <f>'Combined data'!BG245-'Combined data'!BF245</f>
        <v>2</v>
      </c>
      <c r="BH245" s="17">
        <f>'Combined data'!BH245-'Combined data'!BG245</f>
        <v>3</v>
      </c>
      <c r="BI245" s="17">
        <f>'Combined data'!BI245-'Combined data'!BH245</f>
        <v>5</v>
      </c>
      <c r="BJ245" s="17">
        <f>'Combined data'!BJ245-'Combined data'!BI245</f>
        <v>0</v>
      </c>
      <c r="BK245" s="17">
        <f>'Combined data'!BK245-'Combined data'!BJ245</f>
        <v>5</v>
      </c>
      <c r="BL245" s="17">
        <f>'Combined data'!BL245-'Combined data'!BK245</f>
        <v>7</v>
      </c>
      <c r="BM245" s="17">
        <f>'Combined data'!BM245-'Combined data'!BL245</f>
        <v>3</v>
      </c>
      <c r="BN245" s="17">
        <f>'Combined data'!BN245-'Combined data'!BM245</f>
        <v>-1</v>
      </c>
      <c r="BO245" s="17">
        <f>'Combined data'!BO245-'Combined data'!BN245</f>
        <v>-202</v>
      </c>
      <c r="BP245" s="17">
        <f>'Combined data'!BP245-'Combined data'!BO245</f>
        <v>0</v>
      </c>
      <c r="BQ245" s="17">
        <f>'Combined data'!BQ245-'Combined data'!BP245</f>
        <v>0</v>
      </c>
      <c r="BR245" s="17">
        <f>'Combined data'!BR245-'Combined data'!BQ245</f>
        <v>0</v>
      </c>
      <c r="BS245" s="17">
        <f>'Combined data'!BS245-'Combined data'!BR245</f>
        <v>0</v>
      </c>
      <c r="BT245" s="17">
        <f>'Combined data'!BT245-'Combined data'!BS245</f>
        <v>0</v>
      </c>
      <c r="BU245" s="17">
        <f>'Combined data'!BU245-'Combined data'!BT245</f>
        <v>0</v>
      </c>
      <c r="BV245" s="17">
        <f>'Combined data'!BV245-'Combined data'!BU245</f>
        <v>0</v>
      </c>
      <c r="BW245" s="17">
        <f>'Combined data'!BW245-'Combined data'!BV245</f>
        <v>0</v>
      </c>
      <c r="BX245" s="17">
        <f>'Combined data'!BX245-'Combined data'!BW245</f>
        <v>0</v>
      </c>
      <c r="BY245" s="17">
        <f>'Combined data'!BY245-'Combined data'!BX245</f>
        <v>0</v>
      </c>
      <c r="CB245" s="17">
        <f t="shared" si="173"/>
        <v>41</v>
      </c>
      <c r="CC245" s="17">
        <f t="shared" si="174"/>
        <v>21</v>
      </c>
      <c r="CD245" s="17">
        <f t="shared" si="175"/>
        <v>6</v>
      </c>
      <c r="CE245" s="17">
        <f t="shared" si="176"/>
        <v>14</v>
      </c>
      <c r="CF245" s="17">
        <f t="shared" si="177"/>
        <v>19</v>
      </c>
      <c r="CG245" s="17">
        <f t="shared" si="178"/>
        <v>9</v>
      </c>
      <c r="CH245" s="17">
        <f t="shared" si="179"/>
        <v>18</v>
      </c>
      <c r="CI245" s="17">
        <f t="shared" si="180"/>
        <v>9</v>
      </c>
      <c r="CJ245" s="17">
        <f t="shared" si="181"/>
        <v>4</v>
      </c>
      <c r="CK245" s="17">
        <f t="shared" si="182"/>
        <v>9</v>
      </c>
      <c r="CL245" s="17">
        <f t="shared" si="183"/>
        <v>2</v>
      </c>
      <c r="CM245" s="17">
        <f t="shared" si="184"/>
        <v>9</v>
      </c>
      <c r="CN245" s="17">
        <f t="shared" si="185"/>
        <v>3</v>
      </c>
      <c r="CO245" s="17">
        <f t="shared" si="186"/>
        <v>7</v>
      </c>
      <c r="CP245" s="17">
        <f t="shared" si="187"/>
        <v>7</v>
      </c>
      <c r="CQ245" s="17">
        <f t="shared" si="188"/>
        <v>2</v>
      </c>
      <c r="CR245" s="17">
        <f t="shared" si="189"/>
        <v>3</v>
      </c>
      <c r="CS245" s="17">
        <f t="shared" si="190"/>
        <v>5</v>
      </c>
      <c r="CT245" s="17">
        <f t="shared" si="191"/>
        <v>0</v>
      </c>
      <c r="CU245" s="17">
        <f t="shared" si="192"/>
        <v>5</v>
      </c>
      <c r="CV245" s="17">
        <f t="shared" si="193"/>
        <v>7</v>
      </c>
      <c r="CW245" s="17">
        <f t="shared" si="194"/>
        <v>3</v>
      </c>
      <c r="CX245" s="17">
        <f t="shared" si="196"/>
        <v>-1</v>
      </c>
      <c r="CY245" s="17">
        <f t="shared" si="196"/>
        <v>-202</v>
      </c>
      <c r="CZ245" s="17">
        <f t="shared" si="196"/>
        <v>0</v>
      </c>
      <c r="DA245" s="17">
        <f t="shared" si="196"/>
        <v>0</v>
      </c>
      <c r="DB245" s="17">
        <f t="shared" si="196"/>
        <v>0</v>
      </c>
      <c r="DC245" s="17">
        <f t="shared" si="196"/>
        <v>0</v>
      </c>
      <c r="DD245" s="17">
        <f t="shared" si="196"/>
        <v>0</v>
      </c>
      <c r="DE245" s="17">
        <f t="shared" si="196"/>
        <v>0</v>
      </c>
      <c r="DF245" s="17">
        <f t="shared" si="196"/>
        <v>0</v>
      </c>
      <c r="DG245" s="17">
        <f t="shared" si="196"/>
        <v>0</v>
      </c>
      <c r="DH245" s="17">
        <f t="shared" si="196"/>
        <v>0</v>
      </c>
      <c r="DI245" s="17">
        <f t="shared" si="196"/>
        <v>0</v>
      </c>
    </row>
    <row r="246" spans="1:113" ht="15.75" x14ac:dyDescent="0.25">
      <c r="A246" s="4" t="s">
        <v>498</v>
      </c>
      <c r="B246" s="6" t="s">
        <v>499</v>
      </c>
      <c r="H246" s="90">
        <f>'Combined data'!H246</f>
        <v>85</v>
      </c>
      <c r="I246" s="90">
        <f>'Combined data'!I246-'Combined data'!H246</f>
        <v>34</v>
      </c>
      <c r="J246" s="90">
        <f>'Combined data'!J246-'Combined data'!I246</f>
        <v>2</v>
      </c>
      <c r="K246" s="90">
        <f>'Combined data'!K246-'Combined data'!J246</f>
        <v>1</v>
      </c>
      <c r="L246" s="90">
        <f>'Combined data'!L246-'Combined data'!K246</f>
        <v>0</v>
      </c>
      <c r="M246" s="90">
        <f>'Combined data'!M246-'Combined data'!L246</f>
        <v>1</v>
      </c>
      <c r="N246" s="90">
        <f>'Combined data'!N246-'Combined data'!M246</f>
        <v>6</v>
      </c>
      <c r="O246" s="90">
        <f>'Combined data'!O246-'Combined data'!N246</f>
        <v>0</v>
      </c>
      <c r="P246" s="90">
        <f>'Combined data'!P246-'Combined data'!O246</f>
        <v>3</v>
      </c>
      <c r="Q246" s="90">
        <f>'Combined data'!Q246-'Combined data'!P246</f>
        <v>2</v>
      </c>
      <c r="R246" s="90">
        <f>'Combined data'!R246-'Combined data'!Q246</f>
        <v>2</v>
      </c>
      <c r="S246" s="90">
        <f>'Combined data'!S246-'Combined data'!R246</f>
        <v>0</v>
      </c>
      <c r="T246" s="90">
        <f>'Combined data'!T246-'Combined data'!S246</f>
        <v>1</v>
      </c>
      <c r="U246" s="90">
        <f>'Combined data'!U246-'Combined data'!T246</f>
        <v>2</v>
      </c>
      <c r="V246" s="90">
        <f>'Combined data'!V246-'Combined data'!U246</f>
        <v>2</v>
      </c>
      <c r="W246" s="90">
        <f>'Combined data'!W246-'Combined data'!V246</f>
        <v>3</v>
      </c>
      <c r="X246" s="90">
        <f>'Combined data'!X246-'Combined data'!W246</f>
        <v>1</v>
      </c>
      <c r="Y246" s="90">
        <f>'Combined data'!Y246-'Combined data'!X246</f>
        <v>-1</v>
      </c>
      <c r="Z246" s="90">
        <f>'Combined data'!Z246-'Combined data'!Y246</f>
        <v>1</v>
      </c>
      <c r="AA246" s="90">
        <f>'Combined data'!AA246-'Combined data'!Z246</f>
        <v>3</v>
      </c>
      <c r="AB246" s="90">
        <f>'Combined data'!AB246-'Combined data'!AA246</f>
        <v>0</v>
      </c>
      <c r="AC246" s="90">
        <f>'Combined data'!AC246-'Combined data'!AB246</f>
        <v>2</v>
      </c>
      <c r="AD246" s="90">
        <f>'Combined data'!AD246-'Combined data'!AC246</f>
        <v>-16</v>
      </c>
      <c r="AE246" s="90">
        <f>'Combined data'!AE246-'Combined data'!AD246</f>
        <v>-134</v>
      </c>
      <c r="AF246" s="90">
        <f>'Combined data'!AF246-'Combined data'!AE246</f>
        <v>0</v>
      </c>
      <c r="AG246" s="90">
        <f>'Combined data'!AG246-'Combined data'!AF246</f>
        <v>0</v>
      </c>
      <c r="AH246" s="90">
        <f>'Combined data'!AH246-'Combined data'!AG246</f>
        <v>0</v>
      </c>
      <c r="AI246" s="90">
        <f>'Combined data'!AI246-'Combined data'!AH246</f>
        <v>0</v>
      </c>
      <c r="AJ246" s="90">
        <f>'Combined data'!AJ246-'Combined data'!AI246</f>
        <v>0</v>
      </c>
      <c r="AK246" s="90">
        <f>'Combined data'!AK246-'Combined data'!AJ246</f>
        <v>0</v>
      </c>
      <c r="AL246" s="90">
        <f>'Combined data'!AL246-'Combined data'!AK246</f>
        <v>0</v>
      </c>
      <c r="AM246" s="90">
        <f>'Combined data'!AM246-'Combined data'!AL246</f>
        <v>0</v>
      </c>
      <c r="AN246" s="90">
        <f>'Combined data'!AN246-'Combined data'!AM246</f>
        <v>0</v>
      </c>
      <c r="AO246" s="90">
        <f>'Combined data'!AO246-'Combined data'!AN246</f>
        <v>0</v>
      </c>
      <c r="AP246" s="56">
        <f t="shared" si="155"/>
        <v>0</v>
      </c>
      <c r="AQ246" s="113"/>
      <c r="AR246" s="17">
        <f>'Combined data'!AR246</f>
        <v>37</v>
      </c>
      <c r="AS246" s="17">
        <f>'Combined data'!AS246-'Combined data'!AR246</f>
        <v>12</v>
      </c>
      <c r="AT246" s="17">
        <f>'Combined data'!AT246-'Combined data'!AS246</f>
        <v>18</v>
      </c>
      <c r="AU246" s="17">
        <f>'Combined data'!AU246-'Combined data'!AT246</f>
        <v>9</v>
      </c>
      <c r="AV246" s="17">
        <f>'Combined data'!AV246-'Combined data'!AU246</f>
        <v>3</v>
      </c>
      <c r="AW246" s="17">
        <f>'Combined data'!AW246-'Combined data'!AV246</f>
        <v>6</v>
      </c>
      <c r="AX246" s="17">
        <f>'Combined data'!AX246-'Combined data'!AW246</f>
        <v>10</v>
      </c>
      <c r="AY246" s="17">
        <f>'Combined data'!AY246-'Combined data'!AX246</f>
        <v>0</v>
      </c>
      <c r="AZ246" s="17">
        <f>'Combined data'!AZ246-'Combined data'!AY246</f>
        <v>6</v>
      </c>
      <c r="BA246" s="17">
        <f>'Combined data'!BA246-'Combined data'!AZ246</f>
        <v>1</v>
      </c>
      <c r="BB246" s="17">
        <f>'Combined data'!BB246-'Combined data'!BA246</f>
        <v>0</v>
      </c>
      <c r="BC246" s="17">
        <f>'Combined data'!BC246-'Combined data'!BB246</f>
        <v>0</v>
      </c>
      <c r="BD246" s="17">
        <f>'Combined data'!BD246-'Combined data'!BC246</f>
        <v>4</v>
      </c>
      <c r="BE246" s="17">
        <f>'Combined data'!BE246-'Combined data'!BD246</f>
        <v>0</v>
      </c>
      <c r="BF246" s="17">
        <f>'Combined data'!BF246-'Combined data'!BE246</f>
        <v>1</v>
      </c>
      <c r="BG246" s="17">
        <f>'Combined data'!BG246-'Combined data'!BF246</f>
        <v>0</v>
      </c>
      <c r="BH246" s="17">
        <f>'Combined data'!BH246-'Combined data'!BG246</f>
        <v>0</v>
      </c>
      <c r="BI246" s="17">
        <f>'Combined data'!BI246-'Combined data'!BH246</f>
        <v>1</v>
      </c>
      <c r="BJ246" s="17">
        <f>'Combined data'!BJ246-'Combined data'!BI246</f>
        <v>0</v>
      </c>
      <c r="BK246" s="17">
        <f>'Combined data'!BK246-'Combined data'!BJ246</f>
        <v>2</v>
      </c>
      <c r="BL246" s="17">
        <f>'Combined data'!BL246-'Combined data'!BK246</f>
        <v>3</v>
      </c>
      <c r="BM246" s="17">
        <f>'Combined data'!BM246-'Combined data'!BL246</f>
        <v>1</v>
      </c>
      <c r="BN246" s="17">
        <f>'Combined data'!BN246-'Combined data'!BM246</f>
        <v>1</v>
      </c>
      <c r="BO246" s="17">
        <f>'Combined data'!BO246-'Combined data'!BN246</f>
        <v>-115</v>
      </c>
      <c r="BP246" s="17">
        <f>'Combined data'!BP246-'Combined data'!BO246</f>
        <v>0</v>
      </c>
      <c r="BQ246" s="17">
        <f>'Combined data'!BQ246-'Combined data'!BP246</f>
        <v>0</v>
      </c>
      <c r="BR246" s="17">
        <f>'Combined data'!BR246-'Combined data'!BQ246</f>
        <v>0</v>
      </c>
      <c r="BS246" s="17">
        <f>'Combined data'!BS246-'Combined data'!BR246</f>
        <v>0</v>
      </c>
      <c r="BT246" s="17">
        <f>'Combined data'!BT246-'Combined data'!BS246</f>
        <v>0</v>
      </c>
      <c r="BU246" s="17">
        <f>'Combined data'!BU246-'Combined data'!BT246</f>
        <v>0</v>
      </c>
      <c r="BV246" s="17">
        <f>'Combined data'!BV246-'Combined data'!BU246</f>
        <v>0</v>
      </c>
      <c r="BW246" s="17">
        <f>'Combined data'!BW246-'Combined data'!BV246</f>
        <v>0</v>
      </c>
      <c r="BX246" s="17">
        <f>'Combined data'!BX246-'Combined data'!BW246</f>
        <v>0</v>
      </c>
      <c r="BY246" s="17">
        <f>'Combined data'!BY246-'Combined data'!BX246</f>
        <v>0</v>
      </c>
      <c r="CB246" s="17">
        <f t="shared" si="173"/>
        <v>37</v>
      </c>
      <c r="CC246" s="17">
        <f t="shared" si="174"/>
        <v>12</v>
      </c>
      <c r="CD246" s="17">
        <f t="shared" si="175"/>
        <v>18</v>
      </c>
      <c r="CE246" s="17">
        <f t="shared" si="176"/>
        <v>9</v>
      </c>
      <c r="CF246" s="17">
        <f t="shared" si="177"/>
        <v>3</v>
      </c>
      <c r="CG246" s="17">
        <f t="shared" si="178"/>
        <v>6</v>
      </c>
      <c r="CH246" s="17">
        <f t="shared" si="179"/>
        <v>10</v>
      </c>
      <c r="CI246" s="17">
        <f t="shared" si="180"/>
        <v>0</v>
      </c>
      <c r="CJ246" s="17">
        <f t="shared" si="181"/>
        <v>6</v>
      </c>
      <c r="CK246" s="17">
        <f t="shared" si="182"/>
        <v>1</v>
      </c>
      <c r="CL246" s="17">
        <f t="shared" si="183"/>
        <v>0</v>
      </c>
      <c r="CM246" s="17">
        <f t="shared" si="184"/>
        <v>0</v>
      </c>
      <c r="CN246" s="17">
        <f t="shared" si="185"/>
        <v>4</v>
      </c>
      <c r="CO246" s="17">
        <f t="shared" si="186"/>
        <v>0</v>
      </c>
      <c r="CP246" s="17">
        <f t="shared" si="187"/>
        <v>1</v>
      </c>
      <c r="CQ246" s="17">
        <f t="shared" si="188"/>
        <v>0</v>
      </c>
      <c r="CR246" s="17">
        <f t="shared" si="189"/>
        <v>0</v>
      </c>
      <c r="CS246" s="17">
        <f t="shared" si="190"/>
        <v>1</v>
      </c>
      <c r="CT246" s="17">
        <f t="shared" si="191"/>
        <v>0</v>
      </c>
      <c r="CU246" s="17">
        <f t="shared" si="192"/>
        <v>2</v>
      </c>
      <c r="CV246" s="17">
        <f t="shared" si="193"/>
        <v>3</v>
      </c>
      <c r="CW246" s="17">
        <f t="shared" si="194"/>
        <v>1</v>
      </c>
      <c r="CX246" s="17">
        <f t="shared" si="196"/>
        <v>1</v>
      </c>
      <c r="CY246" s="17">
        <f t="shared" si="196"/>
        <v>-115</v>
      </c>
      <c r="CZ246" s="17">
        <f t="shared" si="196"/>
        <v>0</v>
      </c>
      <c r="DA246" s="17">
        <f t="shared" si="196"/>
        <v>0</v>
      </c>
      <c r="DB246" s="17">
        <f t="shared" si="196"/>
        <v>0</v>
      </c>
      <c r="DC246" s="17">
        <f t="shared" si="196"/>
        <v>0</v>
      </c>
      <c r="DD246" s="17">
        <f t="shared" si="196"/>
        <v>0</v>
      </c>
      <c r="DE246" s="17">
        <f t="shared" si="196"/>
        <v>0</v>
      </c>
      <c r="DF246" s="17">
        <f t="shared" si="196"/>
        <v>0</v>
      </c>
      <c r="DG246" s="17">
        <f t="shared" si="196"/>
        <v>0</v>
      </c>
      <c r="DH246" s="17">
        <f t="shared" si="196"/>
        <v>0</v>
      </c>
      <c r="DI246" s="17">
        <f t="shared" si="196"/>
        <v>0</v>
      </c>
    </row>
    <row r="247" spans="1:113" ht="15.75" x14ac:dyDescent="0.25">
      <c r="A247" s="4"/>
      <c r="B247" s="6"/>
      <c r="H247" s="98"/>
      <c r="I247" s="106"/>
      <c r="J247" s="106"/>
      <c r="K247" s="106"/>
      <c r="L247" s="106"/>
      <c r="M247" s="106"/>
      <c r="N247" s="106"/>
      <c r="O247" s="106"/>
      <c r="P247" s="100"/>
      <c r="Q247" s="106"/>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56">
        <f t="shared" si="155"/>
        <v>0</v>
      </c>
      <c r="AQ247" s="112"/>
      <c r="AR247" s="4"/>
      <c r="AS247" s="34"/>
      <c r="AT247" s="34"/>
      <c r="AU247" s="34"/>
      <c r="AV247" s="34"/>
      <c r="AW247" s="34"/>
      <c r="AX247" s="34"/>
      <c r="AY247" s="34"/>
      <c r="AZ247" s="36"/>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CB247" s="4"/>
      <c r="CC247" s="34"/>
      <c r="CD247" s="34"/>
      <c r="CE247" s="34"/>
      <c r="CF247" s="34"/>
      <c r="CG247" s="34"/>
      <c r="CH247" s="34"/>
      <c r="CI247" s="34"/>
      <c r="CJ247" s="36"/>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row>
    <row r="248" spans="1:113" ht="15.75" x14ac:dyDescent="0.25">
      <c r="A248" s="8" t="s">
        <v>5</v>
      </c>
      <c r="B248" s="11"/>
      <c r="H248" s="92">
        <f>SUM(H225:H246)</f>
        <v>1847</v>
      </c>
      <c r="I248" s="92">
        <f t="shared" ref="I248:AC248" si="197">SUM(I225:I246)</f>
        <v>283</v>
      </c>
      <c r="J248" s="92">
        <f t="shared" si="197"/>
        <v>150</v>
      </c>
      <c r="K248" s="92">
        <f t="shared" si="197"/>
        <v>119</v>
      </c>
      <c r="L248" s="92">
        <f t="shared" si="197"/>
        <v>54</v>
      </c>
      <c r="M248" s="92">
        <f t="shared" si="197"/>
        <v>111</v>
      </c>
      <c r="N248" s="92">
        <f t="shared" si="197"/>
        <v>225</v>
      </c>
      <c r="O248" s="92">
        <f t="shared" si="197"/>
        <v>68</v>
      </c>
      <c r="P248" s="92">
        <f t="shared" si="197"/>
        <v>90</v>
      </c>
      <c r="Q248" s="92">
        <f t="shared" si="197"/>
        <v>92</v>
      </c>
      <c r="R248" s="92">
        <f t="shared" si="197"/>
        <v>45</v>
      </c>
      <c r="S248" s="92">
        <f t="shared" si="197"/>
        <v>46</v>
      </c>
      <c r="T248" s="92">
        <f t="shared" si="197"/>
        <v>86</v>
      </c>
      <c r="U248" s="92">
        <f t="shared" si="197"/>
        <v>49</v>
      </c>
      <c r="V248" s="92">
        <f t="shared" si="197"/>
        <v>60</v>
      </c>
      <c r="W248" s="92">
        <f t="shared" si="197"/>
        <v>31</v>
      </c>
      <c r="X248" s="92">
        <f t="shared" si="197"/>
        <v>35</v>
      </c>
      <c r="Y248" s="92">
        <f t="shared" si="197"/>
        <v>62</v>
      </c>
      <c r="Z248" s="92">
        <f t="shared" si="197"/>
        <v>64</v>
      </c>
      <c r="AA248" s="92">
        <f t="shared" si="197"/>
        <v>13</v>
      </c>
      <c r="AB248" s="92">
        <f t="shared" si="197"/>
        <v>16</v>
      </c>
      <c r="AC248" s="92">
        <f t="shared" si="197"/>
        <v>22</v>
      </c>
      <c r="AD248" s="92">
        <f t="shared" ref="AD248" si="198">SUM(AD225:AD246)</f>
        <v>174</v>
      </c>
      <c r="AE248" s="92">
        <f t="shared" ref="AE248:AN248" si="199">SUM(AE225:AE246)</f>
        <v>-3742</v>
      </c>
      <c r="AF248" s="92">
        <f t="shared" si="199"/>
        <v>0</v>
      </c>
      <c r="AG248" s="92">
        <f t="shared" si="199"/>
        <v>0</v>
      </c>
      <c r="AH248" s="92">
        <f t="shared" si="199"/>
        <v>0</v>
      </c>
      <c r="AI248" s="92">
        <f t="shared" si="199"/>
        <v>0</v>
      </c>
      <c r="AJ248" s="92">
        <f t="shared" si="199"/>
        <v>0</v>
      </c>
      <c r="AK248" s="92">
        <f t="shared" si="199"/>
        <v>0</v>
      </c>
      <c r="AL248" s="92">
        <f t="shared" si="199"/>
        <v>0</v>
      </c>
      <c r="AM248" s="92">
        <f t="shared" si="199"/>
        <v>0</v>
      </c>
      <c r="AN248" s="92">
        <f t="shared" si="199"/>
        <v>0</v>
      </c>
      <c r="AO248" s="92">
        <f t="shared" ref="AO248" si="200">SUM(AO225:AO246)</f>
        <v>0</v>
      </c>
      <c r="AP248" s="56">
        <f t="shared" si="155"/>
        <v>0</v>
      </c>
      <c r="AQ248" s="113"/>
      <c r="AR248" s="18">
        <f>SUM(AR225:AR246)</f>
        <v>942</v>
      </c>
      <c r="AS248" s="18">
        <f t="shared" ref="AS248:BM248" si="201">SUM(AS225:AS246)</f>
        <v>201</v>
      </c>
      <c r="AT248" s="18">
        <f t="shared" si="201"/>
        <v>167</v>
      </c>
      <c r="AU248" s="18">
        <f t="shared" si="201"/>
        <v>171</v>
      </c>
      <c r="AV248" s="18">
        <f t="shared" si="201"/>
        <v>128</v>
      </c>
      <c r="AW248" s="18">
        <f t="shared" si="201"/>
        <v>116</v>
      </c>
      <c r="AX248" s="18">
        <f t="shared" si="201"/>
        <v>167</v>
      </c>
      <c r="AY248" s="18">
        <f t="shared" si="201"/>
        <v>107</v>
      </c>
      <c r="AZ248" s="18">
        <f t="shared" si="201"/>
        <v>122</v>
      </c>
      <c r="BA248" s="18">
        <f t="shared" si="201"/>
        <v>105</v>
      </c>
      <c r="BB248" s="18">
        <f t="shared" si="201"/>
        <v>53</v>
      </c>
      <c r="BC248" s="18">
        <f t="shared" si="201"/>
        <v>89</v>
      </c>
      <c r="BD248" s="18">
        <f t="shared" si="201"/>
        <v>88</v>
      </c>
      <c r="BE248" s="18">
        <f t="shared" si="201"/>
        <v>78</v>
      </c>
      <c r="BF248" s="18">
        <f t="shared" si="201"/>
        <v>81</v>
      </c>
      <c r="BG248" s="18">
        <f t="shared" si="201"/>
        <v>48</v>
      </c>
      <c r="BH248" s="18">
        <f t="shared" si="201"/>
        <v>57</v>
      </c>
      <c r="BI248" s="18">
        <f t="shared" si="201"/>
        <v>49</v>
      </c>
      <c r="BJ248" s="18">
        <f t="shared" si="201"/>
        <v>42</v>
      </c>
      <c r="BK248" s="18">
        <f t="shared" si="201"/>
        <v>49</v>
      </c>
      <c r="BL248" s="18">
        <f t="shared" si="201"/>
        <v>81</v>
      </c>
      <c r="BM248" s="18">
        <f t="shared" si="201"/>
        <v>24</v>
      </c>
      <c r="BN248" s="18">
        <f t="shared" ref="BN248:BY248" si="202">SUM(BN225:BN246)</f>
        <v>37</v>
      </c>
      <c r="BO248" s="18">
        <f t="shared" si="202"/>
        <v>-3002</v>
      </c>
      <c r="BP248" s="18">
        <f t="shared" si="202"/>
        <v>0</v>
      </c>
      <c r="BQ248" s="18">
        <f t="shared" si="202"/>
        <v>0</v>
      </c>
      <c r="BR248" s="18">
        <f t="shared" si="202"/>
        <v>0</v>
      </c>
      <c r="BS248" s="18">
        <f t="shared" si="202"/>
        <v>0</v>
      </c>
      <c r="BT248" s="18">
        <f t="shared" si="202"/>
        <v>0</v>
      </c>
      <c r="BU248" s="18">
        <f t="shared" si="202"/>
        <v>0</v>
      </c>
      <c r="BV248" s="18">
        <f t="shared" si="202"/>
        <v>0</v>
      </c>
      <c r="BW248" s="18">
        <f t="shared" si="202"/>
        <v>0</v>
      </c>
      <c r="BX248" s="18">
        <f t="shared" si="202"/>
        <v>0</v>
      </c>
      <c r="BY248" s="18">
        <f t="shared" si="202"/>
        <v>0</v>
      </c>
      <c r="CB248" s="18">
        <f t="shared" ref="CB248:CW248" si="203">AR248</f>
        <v>942</v>
      </c>
      <c r="CC248" s="18">
        <f t="shared" si="203"/>
        <v>201</v>
      </c>
      <c r="CD248" s="18">
        <f t="shared" si="203"/>
        <v>167</v>
      </c>
      <c r="CE248" s="18">
        <f t="shared" si="203"/>
        <v>171</v>
      </c>
      <c r="CF248" s="18">
        <f t="shared" si="203"/>
        <v>128</v>
      </c>
      <c r="CG248" s="18">
        <f t="shared" si="203"/>
        <v>116</v>
      </c>
      <c r="CH248" s="18">
        <f t="shared" si="203"/>
        <v>167</v>
      </c>
      <c r="CI248" s="18">
        <f t="shared" si="203"/>
        <v>107</v>
      </c>
      <c r="CJ248" s="18">
        <f t="shared" si="203"/>
        <v>122</v>
      </c>
      <c r="CK248" s="18">
        <f t="shared" si="203"/>
        <v>105</v>
      </c>
      <c r="CL248" s="18">
        <f t="shared" si="203"/>
        <v>53</v>
      </c>
      <c r="CM248" s="18">
        <f t="shared" si="203"/>
        <v>89</v>
      </c>
      <c r="CN248" s="18">
        <f t="shared" si="203"/>
        <v>88</v>
      </c>
      <c r="CO248" s="18">
        <f t="shared" si="203"/>
        <v>78</v>
      </c>
      <c r="CP248" s="18">
        <f t="shared" si="203"/>
        <v>81</v>
      </c>
      <c r="CQ248" s="18">
        <f t="shared" si="203"/>
        <v>48</v>
      </c>
      <c r="CR248" s="18">
        <f t="shared" si="203"/>
        <v>57</v>
      </c>
      <c r="CS248" s="18">
        <f t="shared" si="203"/>
        <v>49</v>
      </c>
      <c r="CT248" s="18">
        <f t="shared" si="203"/>
        <v>42</v>
      </c>
      <c r="CU248" s="18">
        <f t="shared" si="203"/>
        <v>49</v>
      </c>
      <c r="CV248" s="18">
        <f t="shared" si="203"/>
        <v>81</v>
      </c>
      <c r="CW248" s="18">
        <f t="shared" si="203"/>
        <v>24</v>
      </c>
      <c r="CX248" s="18">
        <f t="shared" ref="CX248:DI248" si="204">BN248</f>
        <v>37</v>
      </c>
      <c r="CY248" s="18">
        <f t="shared" si="204"/>
        <v>-3002</v>
      </c>
      <c r="CZ248" s="18">
        <f t="shared" si="204"/>
        <v>0</v>
      </c>
      <c r="DA248" s="18">
        <f t="shared" si="204"/>
        <v>0</v>
      </c>
      <c r="DB248" s="18">
        <f t="shared" si="204"/>
        <v>0</v>
      </c>
      <c r="DC248" s="18">
        <f t="shared" si="204"/>
        <v>0</v>
      </c>
      <c r="DD248" s="18">
        <f t="shared" si="204"/>
        <v>0</v>
      </c>
      <c r="DE248" s="18">
        <f t="shared" si="204"/>
        <v>0</v>
      </c>
      <c r="DF248" s="18">
        <f t="shared" si="204"/>
        <v>0</v>
      </c>
      <c r="DG248" s="18">
        <f t="shared" si="204"/>
        <v>0</v>
      </c>
      <c r="DH248" s="18">
        <f t="shared" si="204"/>
        <v>0</v>
      </c>
      <c r="DI248" s="18">
        <f t="shared" si="204"/>
        <v>0</v>
      </c>
    </row>
    <row r="249" spans="1:113" ht="15.75" x14ac:dyDescent="0.25">
      <c r="A249" s="4"/>
      <c r="B249" s="6"/>
      <c r="H249" s="93"/>
      <c r="I249" s="106"/>
      <c r="J249" s="106"/>
      <c r="K249" s="106"/>
      <c r="L249" s="106"/>
      <c r="M249" s="106"/>
      <c r="N249" s="106"/>
      <c r="O249" s="106"/>
      <c r="P249" s="91"/>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56">
        <f t="shared" si="155"/>
        <v>0</v>
      </c>
      <c r="AQ249" s="112"/>
      <c r="AR249" s="4"/>
      <c r="AS249" s="4"/>
      <c r="AT249" s="4"/>
      <c r="AU249" s="4"/>
      <c r="AV249" s="4"/>
      <c r="AW249" s="4"/>
      <c r="AX249" s="4"/>
      <c r="AY249" s="4"/>
      <c r="AZ249" s="2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CB249" s="4"/>
      <c r="CC249" s="4"/>
      <c r="CD249" s="4"/>
      <c r="CE249" s="4"/>
      <c r="CF249" s="4"/>
      <c r="CG249" s="4"/>
      <c r="CH249" s="4"/>
      <c r="CI249" s="4"/>
      <c r="CJ249" s="24"/>
      <c r="CK249" s="4"/>
      <c r="CL249" s="4"/>
      <c r="CM249" s="4"/>
      <c r="CN249" s="4"/>
      <c r="CO249" s="4"/>
      <c r="CP249" s="4"/>
      <c r="CQ249" s="4"/>
      <c r="CR249" s="4"/>
      <c r="CS249" s="4"/>
      <c r="CT249" s="4"/>
      <c r="CU249" s="4"/>
      <c r="CV249" s="4"/>
      <c r="CW249" s="4"/>
      <c r="CX249" s="4"/>
      <c r="CY249" s="4"/>
      <c r="CZ249" s="4"/>
      <c r="DA249" s="4"/>
      <c r="DB249" s="4"/>
      <c r="DC249" s="4"/>
      <c r="DD249" s="4"/>
      <c r="DE249" s="4"/>
      <c r="DF249" s="4"/>
      <c r="DG249" s="4"/>
      <c r="DH249" s="4"/>
      <c r="DI249" s="4"/>
    </row>
    <row r="250" spans="1:113" ht="15.75" x14ac:dyDescent="0.25">
      <c r="A250" s="33"/>
      <c r="B250" s="33"/>
      <c r="H250" s="101"/>
      <c r="I250" s="105"/>
      <c r="J250" s="105"/>
      <c r="K250" s="105"/>
      <c r="L250" s="105"/>
      <c r="M250" s="105"/>
      <c r="N250" s="105"/>
      <c r="O250" s="105"/>
      <c r="P250" s="92"/>
      <c r="Q250" s="105"/>
      <c r="R250" s="105"/>
      <c r="S250" s="101"/>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56">
        <f t="shared" si="155"/>
        <v>0</v>
      </c>
      <c r="AQ250" s="112"/>
      <c r="AR250" s="39"/>
      <c r="AS250" s="32"/>
      <c r="AT250" s="32"/>
      <c r="AU250" s="32"/>
      <c r="AV250" s="32"/>
      <c r="AW250" s="32"/>
      <c r="AX250" s="32"/>
      <c r="AY250" s="32"/>
      <c r="AZ250" s="18"/>
      <c r="BA250" s="32"/>
      <c r="BB250" s="32"/>
      <c r="BC250" s="32"/>
      <c r="BD250" s="32"/>
      <c r="BE250" s="32"/>
      <c r="BF250" s="32"/>
      <c r="BG250" s="32"/>
      <c r="BH250" s="32"/>
      <c r="BI250" s="32"/>
      <c r="BJ250" s="32"/>
      <c r="BK250" s="32"/>
      <c r="BL250" s="32"/>
      <c r="BM250" s="32"/>
      <c r="BN250" s="32"/>
      <c r="BO250" s="32"/>
      <c r="BP250" s="32"/>
      <c r="BQ250" s="32"/>
      <c r="BR250" s="32"/>
      <c r="BS250" s="32"/>
      <c r="BT250" s="32"/>
      <c r="BU250" s="32"/>
      <c r="BV250" s="32"/>
      <c r="BW250" s="32"/>
      <c r="BX250" s="32"/>
      <c r="BY250" s="32"/>
      <c r="CB250" s="39"/>
      <c r="CC250" s="32"/>
      <c r="CD250" s="32"/>
      <c r="CE250" s="32"/>
      <c r="CF250" s="32"/>
      <c r="CG250" s="32"/>
      <c r="CH250" s="32"/>
      <c r="CI250" s="32"/>
      <c r="CJ250" s="18"/>
      <c r="CK250" s="32"/>
      <c r="CL250" s="32"/>
      <c r="CM250" s="32"/>
      <c r="CN250" s="32"/>
      <c r="CO250" s="32"/>
      <c r="CP250" s="32"/>
      <c r="CQ250" s="32"/>
      <c r="CR250" s="32"/>
      <c r="CS250" s="32"/>
      <c r="CT250" s="32"/>
      <c r="CU250" s="32"/>
      <c r="CV250" s="32"/>
      <c r="CW250" s="32"/>
      <c r="CX250" s="32"/>
      <c r="CY250" s="32"/>
      <c r="CZ250" s="32"/>
      <c r="DA250" s="32"/>
      <c r="DB250" s="32"/>
      <c r="DC250" s="32"/>
      <c r="DD250" s="32"/>
      <c r="DE250" s="32"/>
      <c r="DF250" s="32"/>
      <c r="DG250" s="32"/>
      <c r="DH250" s="32"/>
      <c r="DI250" s="32"/>
    </row>
    <row r="251" spans="1:113" ht="15.75" x14ac:dyDescent="0.25">
      <c r="A251" s="4"/>
      <c r="B251" s="6"/>
      <c r="H251" s="93"/>
      <c r="I251" s="106"/>
      <c r="J251" s="106"/>
      <c r="K251" s="106"/>
      <c r="L251" s="106"/>
      <c r="M251" s="106"/>
      <c r="N251" s="106"/>
      <c r="O251" s="106"/>
      <c r="P251" s="91"/>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56">
        <f t="shared" si="155"/>
        <v>0</v>
      </c>
      <c r="AQ251" s="112"/>
      <c r="AR251" s="4"/>
      <c r="AS251" s="4"/>
      <c r="AT251" s="4"/>
      <c r="AU251" s="4"/>
      <c r="AV251" s="4"/>
      <c r="AW251" s="4"/>
      <c r="AX251" s="4"/>
      <c r="AY251" s="4"/>
      <c r="AZ251" s="24"/>
      <c r="BA251" s="4"/>
      <c r="BB251" s="4"/>
      <c r="BC251" s="4"/>
      <c r="BD251" s="4"/>
      <c r="BE251" s="4"/>
      <c r="BF251" s="4"/>
      <c r="BG251" s="4"/>
      <c r="BH251" s="4"/>
      <c r="BI251" s="4"/>
      <c r="BJ251" s="4"/>
      <c r="BK251" s="4"/>
      <c r="BL251" s="6"/>
      <c r="BM251" s="4"/>
      <c r="BN251" s="4"/>
      <c r="BO251" s="4"/>
      <c r="BP251" s="4"/>
      <c r="BQ251" s="4"/>
      <c r="BR251" s="4"/>
      <c r="BS251" s="4"/>
      <c r="BT251" s="4"/>
      <c r="BU251" s="4"/>
      <c r="BV251" s="4"/>
      <c r="BW251" s="4"/>
      <c r="BX251" s="4"/>
      <c r="BY251" s="4"/>
      <c r="CB251" s="4"/>
      <c r="CC251" s="4"/>
      <c r="CD251" s="4"/>
      <c r="CE251" s="4"/>
      <c r="CF251" s="4"/>
      <c r="CG251" s="4"/>
      <c r="CH251" s="4"/>
      <c r="CI251" s="4"/>
      <c r="CJ251" s="24"/>
      <c r="CK251" s="4"/>
      <c r="CL251" s="4"/>
      <c r="CM251" s="4"/>
      <c r="CN251" s="4"/>
      <c r="CO251" s="4"/>
      <c r="CP251" s="4"/>
      <c r="CQ251" s="4"/>
      <c r="CR251" s="4"/>
      <c r="CS251" s="4"/>
      <c r="CT251" s="4"/>
      <c r="CU251" s="4"/>
      <c r="CV251" s="6"/>
      <c r="CW251" s="4"/>
      <c r="CX251" s="4"/>
      <c r="CY251" s="4"/>
      <c r="CZ251" s="4"/>
      <c r="DA251" s="4"/>
      <c r="DB251" s="4"/>
      <c r="DC251" s="4"/>
      <c r="DD251" s="4"/>
      <c r="DE251" s="4"/>
      <c r="DF251" s="4"/>
      <c r="DG251" s="4"/>
      <c r="DH251" s="4"/>
      <c r="DI251" s="4"/>
    </row>
    <row r="252" spans="1:113" ht="15.75" x14ac:dyDescent="0.25">
      <c r="A252" s="8" t="s">
        <v>500</v>
      </c>
      <c r="B252" s="11"/>
      <c r="H252" s="99">
        <v>1317</v>
      </c>
      <c r="I252" s="90">
        <f>'Combined data'!I252-'Combined data'!H252</f>
        <v>622</v>
      </c>
      <c r="J252" s="90">
        <f>'Combined data'!J252-'Combined data'!I252</f>
        <v>479</v>
      </c>
      <c r="K252" s="90">
        <f>'Combined data'!K252-'Combined data'!J252</f>
        <v>448</v>
      </c>
      <c r="L252" s="90">
        <f>'Combined data'!L252-'Combined data'!K252</f>
        <v>250</v>
      </c>
      <c r="M252" s="90">
        <f>'Combined data'!M252-'Combined data'!L252</f>
        <v>497</v>
      </c>
      <c r="N252" s="90">
        <f>'Combined data'!N252-'Combined data'!M252</f>
        <v>1265</v>
      </c>
      <c r="O252" s="90">
        <f>'Combined data'!O252-'Combined data'!N252</f>
        <v>20</v>
      </c>
      <c r="P252" s="90">
        <f>'Combined data'!P252-'Combined data'!O252</f>
        <v>2</v>
      </c>
      <c r="Q252" s="90">
        <f>'Combined data'!Q252-'Combined data'!P252</f>
        <v>81</v>
      </c>
      <c r="R252" s="90">
        <f>'Combined data'!R252-'Combined data'!Q252</f>
        <v>-16</v>
      </c>
      <c r="S252" s="90">
        <f>'Combined data'!S252-'Combined data'!R252</f>
        <v>-10</v>
      </c>
      <c r="T252" s="90">
        <f>'Combined data'!T252-'Combined data'!S252</f>
        <v>-5</v>
      </c>
      <c r="U252" s="90">
        <f>'Combined data'!U252-'Combined data'!T252</f>
        <v>-10</v>
      </c>
      <c r="V252" s="90">
        <f>'Combined data'!V252-'Combined data'!U252</f>
        <v>-1</v>
      </c>
      <c r="W252" s="90">
        <f>'Combined data'!W252-'Combined data'!V252</f>
        <v>-16</v>
      </c>
      <c r="X252" s="90">
        <f>'Combined data'!X252-'Combined data'!W252</f>
        <v>-11</v>
      </c>
      <c r="Y252" s="90">
        <f>'Combined data'!Y252-'Combined data'!X252</f>
        <v>-8</v>
      </c>
      <c r="Z252" s="90">
        <f>'Combined data'!Z252-'Combined data'!Y252</f>
        <v>-16</v>
      </c>
      <c r="AA252" s="90">
        <f>'Combined data'!AA252-'Combined data'!Z252</f>
        <v>-4</v>
      </c>
      <c r="AB252" s="90">
        <f>'Combined data'!AB252-'Combined data'!AA252</f>
        <v>-26</v>
      </c>
      <c r="AC252" s="90">
        <f>'Combined data'!AC252-'Combined data'!AB252</f>
        <v>-9</v>
      </c>
      <c r="AD252" s="90">
        <f>'Combined data'!AD252-'Combined data'!AC252</f>
        <v>-285</v>
      </c>
      <c r="AE252" s="90">
        <f>'Combined data'!AE252-'Combined data'!AD252</f>
        <v>-4564</v>
      </c>
      <c r="AF252" s="90">
        <f>'Combined data'!AF252-'Combined data'!AE252</f>
        <v>0</v>
      </c>
      <c r="AG252" s="90">
        <f>'Combined data'!AG252-'Combined data'!AF252</f>
        <v>0</v>
      </c>
      <c r="AH252" s="90">
        <f>'Combined data'!AH252-'Combined data'!AG252</f>
        <v>0</v>
      </c>
      <c r="AI252" s="90">
        <f>'Combined data'!AI252-'Combined data'!AH252</f>
        <v>0</v>
      </c>
      <c r="AJ252" s="90">
        <f>'Combined data'!AJ252-'Combined data'!AI252</f>
        <v>0</v>
      </c>
      <c r="AK252" s="90">
        <f>'Combined data'!AK252-'Combined data'!AJ252</f>
        <v>0</v>
      </c>
      <c r="AL252" s="90">
        <f>'Combined data'!AL252-'Combined data'!AK252</f>
        <v>0</v>
      </c>
      <c r="AM252" s="90">
        <f>'Combined data'!AM252-'Combined data'!AL252</f>
        <v>0</v>
      </c>
      <c r="AN252" s="90">
        <f>'Combined data'!AN252-'Combined data'!AM252</f>
        <v>0</v>
      </c>
      <c r="AO252" s="90">
        <f>'Combined data'!AO252-'Combined data'!AN252</f>
        <v>0</v>
      </c>
      <c r="AP252" s="56">
        <f t="shared" si="155"/>
        <v>0</v>
      </c>
      <c r="AQ252" s="113"/>
      <c r="AR252" s="8">
        <v>184</v>
      </c>
      <c r="AS252" s="17">
        <f>'Combined data'!AS252-'Combined data'!AR252</f>
        <v>101</v>
      </c>
      <c r="AT252" s="17">
        <f>'Combined data'!AT252-'Combined data'!AS252</f>
        <v>94</v>
      </c>
      <c r="AU252" s="17">
        <f>'Combined data'!AU252-'Combined data'!AT252</f>
        <v>101</v>
      </c>
      <c r="AV252" s="17">
        <f>'Combined data'!AV252-'Combined data'!AU252</f>
        <v>110</v>
      </c>
      <c r="AW252" s="17">
        <f>'Combined data'!AW252-'Combined data'!AV252</f>
        <v>186</v>
      </c>
      <c r="AX252" s="17">
        <f>'Combined data'!AX252-'Combined data'!AW252</f>
        <v>311</v>
      </c>
      <c r="AY252" s="17">
        <f>'Combined data'!AY252-'Combined data'!AX252</f>
        <v>188</v>
      </c>
      <c r="AZ252" s="17">
        <f>'Combined data'!AZ252-'Combined data'!AY252</f>
        <v>298</v>
      </c>
      <c r="BA252" s="17">
        <f>'Combined data'!BA252-'Combined data'!AZ252</f>
        <v>177</v>
      </c>
      <c r="BB252" s="17">
        <f>'Combined data'!BB252-'Combined data'!BA252</f>
        <v>163</v>
      </c>
      <c r="BC252" s="17">
        <f>'Combined data'!BC252-'Combined data'!BB252</f>
        <v>166</v>
      </c>
      <c r="BD252" s="17">
        <f>'Combined data'!BD252-'Combined data'!BC252</f>
        <v>178</v>
      </c>
      <c r="BE252" s="17">
        <f>'Combined data'!BE252-'Combined data'!BD252</f>
        <v>108</v>
      </c>
      <c r="BF252" s="17">
        <f>'Combined data'!BF252-'Combined data'!BE252</f>
        <v>107</v>
      </c>
      <c r="BG252" s="17">
        <f>'Combined data'!BG252-'Combined data'!BF252</f>
        <v>91</v>
      </c>
      <c r="BH252" s="17">
        <f>'Combined data'!BH252-'Combined data'!BG252</f>
        <v>57</v>
      </c>
      <c r="BI252" s="17">
        <f>'Combined data'!BI252-'Combined data'!BH252</f>
        <v>43</v>
      </c>
      <c r="BJ252" s="17">
        <f>'Combined data'!BJ252-'Combined data'!BI252</f>
        <v>60</v>
      </c>
      <c r="BK252" s="17">
        <f>'Combined data'!BK252-'Combined data'!BJ252</f>
        <v>81</v>
      </c>
      <c r="BL252" s="17">
        <f>'Combined data'!BL252-'Combined data'!BK252</f>
        <v>65</v>
      </c>
      <c r="BM252" s="17">
        <f>'Combined data'!BM252-'Combined data'!BL252</f>
        <v>15</v>
      </c>
      <c r="BN252" s="17">
        <f>'Combined data'!BN252-'Combined data'!BM252</f>
        <v>20</v>
      </c>
      <c r="BO252" s="17">
        <f>'Combined data'!BO252-'Combined data'!BN252</f>
        <v>-2904</v>
      </c>
      <c r="BP252" s="17">
        <f>'Combined data'!BP252-'Combined data'!BO252</f>
        <v>0</v>
      </c>
      <c r="BQ252" s="17">
        <f>'Combined data'!BQ252-'Combined data'!BP252</f>
        <v>0</v>
      </c>
      <c r="BR252" s="17">
        <f>'Combined data'!BR252-'Combined data'!BQ252</f>
        <v>0</v>
      </c>
      <c r="BS252" s="17">
        <f>'Combined data'!BS252-'Combined data'!BR252</f>
        <v>0</v>
      </c>
      <c r="BT252" s="17">
        <f>'Combined data'!BT252-'Combined data'!BS252</f>
        <v>0</v>
      </c>
      <c r="BU252" s="17">
        <f>'Combined data'!BU252-'Combined data'!BT252</f>
        <v>0</v>
      </c>
      <c r="BV252" s="17">
        <f>'Combined data'!BV252-'Combined data'!BU252</f>
        <v>0</v>
      </c>
      <c r="BW252" s="17">
        <f>'Combined data'!BW252-'Combined data'!BV252</f>
        <v>0</v>
      </c>
      <c r="BX252" s="17">
        <f>'Combined data'!BX252-'Combined data'!BW252</f>
        <v>0</v>
      </c>
      <c r="BY252" s="17">
        <f>'Combined data'!BY252-'Combined data'!BX252</f>
        <v>0</v>
      </c>
      <c r="CB252" s="8">
        <f t="shared" ref="CB252:CW252" si="205">AR252</f>
        <v>184</v>
      </c>
      <c r="CC252" s="17">
        <f t="shared" si="205"/>
        <v>101</v>
      </c>
      <c r="CD252" s="17">
        <f t="shared" si="205"/>
        <v>94</v>
      </c>
      <c r="CE252" s="17">
        <f t="shared" si="205"/>
        <v>101</v>
      </c>
      <c r="CF252" s="17">
        <f t="shared" si="205"/>
        <v>110</v>
      </c>
      <c r="CG252" s="17">
        <f t="shared" si="205"/>
        <v>186</v>
      </c>
      <c r="CH252" s="17">
        <f t="shared" si="205"/>
        <v>311</v>
      </c>
      <c r="CI252" s="17">
        <f t="shared" si="205"/>
        <v>188</v>
      </c>
      <c r="CJ252" s="17">
        <f t="shared" si="205"/>
        <v>298</v>
      </c>
      <c r="CK252" s="17">
        <f t="shared" si="205"/>
        <v>177</v>
      </c>
      <c r="CL252" s="17">
        <f t="shared" si="205"/>
        <v>163</v>
      </c>
      <c r="CM252" s="17">
        <f t="shared" si="205"/>
        <v>166</v>
      </c>
      <c r="CN252" s="17">
        <f t="shared" si="205"/>
        <v>178</v>
      </c>
      <c r="CO252" s="17">
        <f t="shared" si="205"/>
        <v>108</v>
      </c>
      <c r="CP252" s="17">
        <f t="shared" si="205"/>
        <v>107</v>
      </c>
      <c r="CQ252" s="17">
        <f t="shared" si="205"/>
        <v>91</v>
      </c>
      <c r="CR252" s="17">
        <f t="shared" si="205"/>
        <v>57</v>
      </c>
      <c r="CS252" s="17">
        <f t="shared" si="205"/>
        <v>43</v>
      </c>
      <c r="CT252" s="17">
        <f t="shared" si="205"/>
        <v>60</v>
      </c>
      <c r="CU252" s="17">
        <f t="shared" si="205"/>
        <v>81</v>
      </c>
      <c r="CV252" s="17">
        <f t="shared" si="205"/>
        <v>65</v>
      </c>
      <c r="CW252" s="17">
        <f t="shared" si="205"/>
        <v>15</v>
      </c>
      <c r="CX252" s="17">
        <f t="shared" ref="CX252:DI252" si="206">BN252</f>
        <v>20</v>
      </c>
      <c r="CY252" s="17">
        <f t="shared" si="206"/>
        <v>-2904</v>
      </c>
      <c r="CZ252" s="17">
        <f t="shared" si="206"/>
        <v>0</v>
      </c>
      <c r="DA252" s="17">
        <f t="shared" si="206"/>
        <v>0</v>
      </c>
      <c r="DB252" s="17">
        <f t="shared" si="206"/>
        <v>0</v>
      </c>
      <c r="DC252" s="17">
        <f t="shared" si="206"/>
        <v>0</v>
      </c>
      <c r="DD252" s="17">
        <f t="shared" si="206"/>
        <v>0</v>
      </c>
      <c r="DE252" s="17">
        <f t="shared" si="206"/>
        <v>0</v>
      </c>
      <c r="DF252" s="17">
        <f t="shared" si="206"/>
        <v>0</v>
      </c>
      <c r="DG252" s="17">
        <f t="shared" si="206"/>
        <v>0</v>
      </c>
      <c r="DH252" s="17">
        <f t="shared" si="206"/>
        <v>0</v>
      </c>
      <c r="DI252" s="17">
        <f t="shared" si="206"/>
        <v>0</v>
      </c>
    </row>
    <row r="253" spans="1:113" ht="15.75" x14ac:dyDescent="0.25">
      <c r="A253" s="4"/>
      <c r="B253" s="6"/>
      <c r="H253" s="98"/>
      <c r="I253" s="106"/>
      <c r="J253" s="106"/>
      <c r="K253" s="106"/>
      <c r="L253" s="106"/>
      <c r="M253" s="106"/>
      <c r="N253" s="106"/>
      <c r="O253" s="106"/>
      <c r="P253" s="100"/>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56">
        <f t="shared" si="155"/>
        <v>0</v>
      </c>
      <c r="AQ253" s="112"/>
      <c r="AR253" s="4"/>
      <c r="AS253" s="34"/>
      <c r="AT253" s="34"/>
      <c r="AU253" s="34"/>
      <c r="AV253" s="34"/>
      <c r="AW253" s="34"/>
      <c r="AX253" s="34"/>
      <c r="AY253" s="34"/>
      <c r="AZ253" s="36"/>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CB253" s="4"/>
      <c r="CC253" s="34"/>
      <c r="CD253" s="34"/>
      <c r="CE253" s="34"/>
      <c r="CF253" s="34"/>
      <c r="CG253" s="34"/>
      <c r="CH253" s="34"/>
      <c r="CI253" s="34"/>
      <c r="CJ253" s="36"/>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row>
    <row r="254" spans="1:113" ht="15.75" x14ac:dyDescent="0.25">
      <c r="A254" s="8" t="s">
        <v>501</v>
      </c>
      <c r="B254" s="11"/>
      <c r="H254" s="92">
        <f>H252+H248</f>
        <v>3164</v>
      </c>
      <c r="I254" s="92">
        <f t="shared" ref="I254:AC254" si="207">I252+I248</f>
        <v>905</v>
      </c>
      <c r="J254" s="92">
        <f t="shared" si="207"/>
        <v>629</v>
      </c>
      <c r="K254" s="92">
        <f t="shared" si="207"/>
        <v>567</v>
      </c>
      <c r="L254" s="92">
        <f t="shared" si="207"/>
        <v>304</v>
      </c>
      <c r="M254" s="92">
        <f t="shared" si="207"/>
        <v>608</v>
      </c>
      <c r="N254" s="92">
        <f t="shared" si="207"/>
        <v>1490</v>
      </c>
      <c r="O254" s="92">
        <f t="shared" si="207"/>
        <v>88</v>
      </c>
      <c r="P254" s="92">
        <f t="shared" si="207"/>
        <v>92</v>
      </c>
      <c r="Q254" s="92">
        <f t="shared" si="207"/>
        <v>173</v>
      </c>
      <c r="R254" s="92">
        <f t="shared" si="207"/>
        <v>29</v>
      </c>
      <c r="S254" s="92">
        <f t="shared" si="207"/>
        <v>36</v>
      </c>
      <c r="T254" s="92">
        <f t="shared" si="207"/>
        <v>81</v>
      </c>
      <c r="U254" s="92">
        <f t="shared" si="207"/>
        <v>39</v>
      </c>
      <c r="V254" s="92">
        <f t="shared" si="207"/>
        <v>59</v>
      </c>
      <c r="W254" s="92">
        <f t="shared" si="207"/>
        <v>15</v>
      </c>
      <c r="X254" s="92">
        <f t="shared" si="207"/>
        <v>24</v>
      </c>
      <c r="Y254" s="92">
        <f t="shared" si="207"/>
        <v>54</v>
      </c>
      <c r="Z254" s="92">
        <f t="shared" si="207"/>
        <v>48</v>
      </c>
      <c r="AA254" s="92">
        <f t="shared" si="207"/>
        <v>9</v>
      </c>
      <c r="AB254" s="92">
        <f t="shared" si="207"/>
        <v>-10</v>
      </c>
      <c r="AC254" s="92">
        <f t="shared" si="207"/>
        <v>13</v>
      </c>
      <c r="AD254" s="92">
        <f t="shared" ref="AD254" si="208">AD252+AD248</f>
        <v>-111</v>
      </c>
      <c r="AE254" s="92">
        <f t="shared" ref="AE254:AN254" si="209">AE252+AE248</f>
        <v>-8306</v>
      </c>
      <c r="AF254" s="92">
        <f t="shared" si="209"/>
        <v>0</v>
      </c>
      <c r="AG254" s="92">
        <f t="shared" si="209"/>
        <v>0</v>
      </c>
      <c r="AH254" s="92">
        <f t="shared" si="209"/>
        <v>0</v>
      </c>
      <c r="AI254" s="92">
        <f t="shared" si="209"/>
        <v>0</v>
      </c>
      <c r="AJ254" s="92">
        <f t="shared" si="209"/>
        <v>0</v>
      </c>
      <c r="AK254" s="92">
        <f t="shared" si="209"/>
        <v>0</v>
      </c>
      <c r="AL254" s="92">
        <f t="shared" si="209"/>
        <v>0</v>
      </c>
      <c r="AM254" s="92">
        <f t="shared" si="209"/>
        <v>0</v>
      </c>
      <c r="AN254" s="92">
        <f t="shared" si="209"/>
        <v>0</v>
      </c>
      <c r="AO254" s="92">
        <f t="shared" ref="AO254" si="210">AO252+AO248</f>
        <v>0</v>
      </c>
      <c r="AP254" s="56">
        <f t="shared" si="155"/>
        <v>0</v>
      </c>
      <c r="AQ254" s="113"/>
      <c r="AR254" s="18">
        <f>AR252+AR248</f>
        <v>1126</v>
      </c>
      <c r="AS254" s="18">
        <f t="shared" ref="AS254:BM254" si="211">AS252+AS248</f>
        <v>302</v>
      </c>
      <c r="AT254" s="18">
        <f t="shared" si="211"/>
        <v>261</v>
      </c>
      <c r="AU254" s="18">
        <f t="shared" si="211"/>
        <v>272</v>
      </c>
      <c r="AV254" s="18">
        <f t="shared" si="211"/>
        <v>238</v>
      </c>
      <c r="AW254" s="18">
        <f t="shared" si="211"/>
        <v>302</v>
      </c>
      <c r="AX254" s="18">
        <f t="shared" si="211"/>
        <v>478</v>
      </c>
      <c r="AY254" s="18">
        <f t="shared" si="211"/>
        <v>295</v>
      </c>
      <c r="AZ254" s="18">
        <f t="shared" si="211"/>
        <v>420</v>
      </c>
      <c r="BA254" s="18">
        <f t="shared" si="211"/>
        <v>282</v>
      </c>
      <c r="BB254" s="18">
        <f t="shared" si="211"/>
        <v>216</v>
      </c>
      <c r="BC254" s="18">
        <f t="shared" si="211"/>
        <v>255</v>
      </c>
      <c r="BD254" s="18">
        <f t="shared" si="211"/>
        <v>266</v>
      </c>
      <c r="BE254" s="18">
        <f t="shared" si="211"/>
        <v>186</v>
      </c>
      <c r="BF254" s="18">
        <f t="shared" si="211"/>
        <v>188</v>
      </c>
      <c r="BG254" s="18">
        <f t="shared" si="211"/>
        <v>139</v>
      </c>
      <c r="BH254" s="18">
        <f t="shared" si="211"/>
        <v>114</v>
      </c>
      <c r="BI254" s="18">
        <f t="shared" si="211"/>
        <v>92</v>
      </c>
      <c r="BJ254" s="18">
        <f t="shared" si="211"/>
        <v>102</v>
      </c>
      <c r="BK254" s="18">
        <f t="shared" si="211"/>
        <v>130</v>
      </c>
      <c r="BL254" s="18">
        <f t="shared" si="211"/>
        <v>146</v>
      </c>
      <c r="BM254" s="18">
        <f t="shared" si="211"/>
        <v>39</v>
      </c>
      <c r="BN254" s="18">
        <f t="shared" ref="BN254:BY254" si="212">BN252+BN248</f>
        <v>57</v>
      </c>
      <c r="BO254" s="18">
        <f t="shared" si="212"/>
        <v>-5906</v>
      </c>
      <c r="BP254" s="18">
        <f t="shared" si="212"/>
        <v>0</v>
      </c>
      <c r="BQ254" s="18">
        <f t="shared" si="212"/>
        <v>0</v>
      </c>
      <c r="BR254" s="18">
        <f t="shared" si="212"/>
        <v>0</v>
      </c>
      <c r="BS254" s="18">
        <f t="shared" si="212"/>
        <v>0</v>
      </c>
      <c r="BT254" s="18">
        <f t="shared" si="212"/>
        <v>0</v>
      </c>
      <c r="BU254" s="18">
        <f t="shared" si="212"/>
        <v>0</v>
      </c>
      <c r="BV254" s="18">
        <f t="shared" si="212"/>
        <v>0</v>
      </c>
      <c r="BW254" s="18">
        <f t="shared" si="212"/>
        <v>0</v>
      </c>
      <c r="BX254" s="18">
        <f t="shared" si="212"/>
        <v>0</v>
      </c>
      <c r="BY254" s="18">
        <f t="shared" si="212"/>
        <v>0</v>
      </c>
      <c r="CB254" s="18">
        <f t="shared" ref="CB254:CW254" si="213">AR254</f>
        <v>1126</v>
      </c>
      <c r="CC254" s="18">
        <f t="shared" si="213"/>
        <v>302</v>
      </c>
      <c r="CD254" s="18">
        <f t="shared" si="213"/>
        <v>261</v>
      </c>
      <c r="CE254" s="18">
        <f t="shared" si="213"/>
        <v>272</v>
      </c>
      <c r="CF254" s="18">
        <f t="shared" si="213"/>
        <v>238</v>
      </c>
      <c r="CG254" s="18">
        <f t="shared" si="213"/>
        <v>302</v>
      </c>
      <c r="CH254" s="18">
        <f t="shared" si="213"/>
        <v>478</v>
      </c>
      <c r="CI254" s="18">
        <f t="shared" si="213"/>
        <v>295</v>
      </c>
      <c r="CJ254" s="18">
        <f t="shared" si="213"/>
        <v>420</v>
      </c>
      <c r="CK254" s="18">
        <f t="shared" si="213"/>
        <v>282</v>
      </c>
      <c r="CL254" s="18">
        <f t="shared" si="213"/>
        <v>216</v>
      </c>
      <c r="CM254" s="18">
        <f t="shared" si="213"/>
        <v>255</v>
      </c>
      <c r="CN254" s="18">
        <f t="shared" si="213"/>
        <v>266</v>
      </c>
      <c r="CO254" s="18">
        <f t="shared" si="213"/>
        <v>186</v>
      </c>
      <c r="CP254" s="18">
        <f t="shared" si="213"/>
        <v>188</v>
      </c>
      <c r="CQ254" s="18">
        <f t="shared" si="213"/>
        <v>139</v>
      </c>
      <c r="CR254" s="18">
        <f t="shared" si="213"/>
        <v>114</v>
      </c>
      <c r="CS254" s="18">
        <f t="shared" si="213"/>
        <v>92</v>
      </c>
      <c r="CT254" s="18">
        <f t="shared" si="213"/>
        <v>102</v>
      </c>
      <c r="CU254" s="18">
        <f t="shared" si="213"/>
        <v>130</v>
      </c>
      <c r="CV254" s="18">
        <f t="shared" si="213"/>
        <v>146</v>
      </c>
      <c r="CW254" s="18">
        <f t="shared" si="213"/>
        <v>39</v>
      </c>
      <c r="CX254" s="18">
        <f t="shared" ref="CX254:DI254" si="214">BN254</f>
        <v>57</v>
      </c>
      <c r="CY254" s="18">
        <f t="shared" si="214"/>
        <v>-5906</v>
      </c>
      <c r="CZ254" s="18">
        <f t="shared" si="214"/>
        <v>0</v>
      </c>
      <c r="DA254" s="18">
        <f t="shared" si="214"/>
        <v>0</v>
      </c>
      <c r="DB254" s="18">
        <f t="shared" si="214"/>
        <v>0</v>
      </c>
      <c r="DC254" s="18">
        <f t="shared" si="214"/>
        <v>0</v>
      </c>
      <c r="DD254" s="18">
        <f t="shared" si="214"/>
        <v>0</v>
      </c>
      <c r="DE254" s="18">
        <f t="shared" si="214"/>
        <v>0</v>
      </c>
      <c r="DF254" s="18">
        <f t="shared" si="214"/>
        <v>0</v>
      </c>
      <c r="DG254" s="18">
        <f t="shared" si="214"/>
        <v>0</v>
      </c>
      <c r="DH254" s="18">
        <f t="shared" si="214"/>
        <v>0</v>
      </c>
      <c r="DI254" s="18">
        <f t="shared" si="214"/>
        <v>0</v>
      </c>
    </row>
    <row r="255" spans="1:113" ht="15.75" thickBot="1" x14ac:dyDescent="0.3">
      <c r="A255" s="12"/>
      <c r="B255" s="13"/>
      <c r="H255" s="102"/>
      <c r="I255" s="107"/>
      <c r="J255" s="107"/>
      <c r="K255" s="107"/>
      <c r="L255" s="107"/>
      <c r="M255" s="107"/>
      <c r="N255" s="107"/>
      <c r="O255" s="107"/>
      <c r="P255" s="103"/>
      <c r="Q255" s="107"/>
      <c r="R255" s="107"/>
      <c r="S255" s="107"/>
      <c r="T255" s="107"/>
      <c r="U255" s="107"/>
      <c r="V255" s="107"/>
      <c r="W255" s="107"/>
      <c r="X255" s="107"/>
      <c r="Y255" s="107"/>
      <c r="Z255" s="107"/>
      <c r="AA255" s="107"/>
      <c r="AB255" s="108"/>
      <c r="AC255" s="107"/>
      <c r="AD255" s="107"/>
      <c r="AE255" s="107"/>
      <c r="AF255" s="107"/>
      <c r="AG255" s="107"/>
      <c r="AH255" s="107"/>
      <c r="AI255" s="107"/>
      <c r="AJ255" s="107"/>
      <c r="AK255" s="107"/>
      <c r="AL255" s="107"/>
      <c r="AM255" s="107"/>
      <c r="AN255" s="107"/>
      <c r="AO255" s="107"/>
      <c r="AP255" s="56">
        <f t="shared" si="155"/>
        <v>0</v>
      </c>
      <c r="AR255" s="12"/>
      <c r="AS255" s="12"/>
      <c r="AT255" s="12"/>
      <c r="AU255" s="12"/>
      <c r="AV255" s="12"/>
      <c r="AW255" s="12"/>
      <c r="AX255" s="12"/>
      <c r="AY255" s="12"/>
      <c r="AZ255" s="37"/>
      <c r="BA255" s="12"/>
      <c r="BB255" s="12"/>
      <c r="BC255" s="12"/>
      <c r="BD255" s="12"/>
      <c r="BE255" s="12"/>
      <c r="BF255" s="12"/>
      <c r="BG255" s="12"/>
      <c r="BH255" s="12"/>
      <c r="BI255" s="12"/>
      <c r="BJ255" s="12"/>
      <c r="BK255" s="12"/>
      <c r="BL255" s="38"/>
      <c r="BM255" s="12"/>
      <c r="BN255" s="12"/>
      <c r="BO255" s="12"/>
      <c r="BP255" s="12"/>
      <c r="BQ255" s="12"/>
      <c r="BR255" s="12"/>
      <c r="BS255" s="12"/>
      <c r="BT255" s="12"/>
      <c r="BU255" s="12"/>
      <c r="BV255" s="12"/>
      <c r="BW255" s="12"/>
      <c r="BX255" s="12"/>
      <c r="BY255" s="12"/>
      <c r="CB255" s="12"/>
      <c r="CC255" s="12"/>
      <c r="CD255" s="12"/>
      <c r="CE255" s="12"/>
      <c r="CF255" s="12"/>
      <c r="CG255" s="12"/>
      <c r="CH255" s="12"/>
      <c r="CI255" s="12"/>
      <c r="CJ255" s="37"/>
      <c r="CK255" s="12"/>
      <c r="CL255" s="12"/>
      <c r="CM255" s="12"/>
      <c r="CN255" s="12"/>
      <c r="CO255" s="12"/>
      <c r="CP255" s="12"/>
      <c r="CQ255" s="12"/>
      <c r="CR255" s="12"/>
      <c r="CS255" s="12"/>
      <c r="CT255" s="12"/>
      <c r="CU255" s="12"/>
      <c r="CV255" s="38"/>
      <c r="CW255" s="12"/>
      <c r="CX255" s="12"/>
      <c r="CY255" s="12"/>
      <c r="CZ255" s="12"/>
      <c r="DA255" s="12"/>
      <c r="DB255" s="12"/>
      <c r="DC255" s="12"/>
      <c r="DD255" s="12"/>
      <c r="DE255" s="12"/>
      <c r="DF255" s="12"/>
      <c r="DG255" s="12"/>
      <c r="DH255" s="12"/>
      <c r="DI255" s="12"/>
    </row>
    <row r="256" spans="1:113" x14ac:dyDescent="0.25">
      <c r="AP256" s="56">
        <f t="shared" si="155"/>
        <v>0</v>
      </c>
    </row>
    <row r="257" spans="1:113" ht="20.25" x14ac:dyDescent="0.3">
      <c r="A257" s="1" t="s">
        <v>0</v>
      </c>
      <c r="B257" s="2"/>
      <c r="AP257" s="56">
        <f t="shared" si="155"/>
        <v>0</v>
      </c>
    </row>
    <row r="258" spans="1:113" x14ac:dyDescent="0.25">
      <c r="A258" s="3" t="s">
        <v>1</v>
      </c>
      <c r="B258" s="2"/>
      <c r="AP258" s="56">
        <f t="shared" si="155"/>
        <v>0</v>
      </c>
    </row>
    <row r="259" spans="1:113" x14ac:dyDescent="0.25">
      <c r="A259" s="4" t="s">
        <v>2</v>
      </c>
      <c r="B259" s="2"/>
      <c r="AP259" s="56">
        <f t="shared" si="155"/>
        <v>0</v>
      </c>
    </row>
    <row r="260" spans="1:113" x14ac:dyDescent="0.25">
      <c r="A260" s="5" t="s">
        <v>558</v>
      </c>
      <c r="B260" s="6"/>
      <c r="AP260" s="56">
        <f t="shared" si="155"/>
        <v>0</v>
      </c>
    </row>
    <row r="261" spans="1:113" x14ac:dyDescent="0.25">
      <c r="A261" s="7"/>
      <c r="B261" s="41"/>
      <c r="AP261" s="56">
        <f t="shared" si="155"/>
        <v>0</v>
      </c>
    </row>
    <row r="262" spans="1:113" x14ac:dyDescent="0.25">
      <c r="A262" s="42" t="s">
        <v>559</v>
      </c>
      <c r="B262" s="16" t="s">
        <v>4</v>
      </c>
      <c r="AP262" s="56">
        <f t="shared" si="155"/>
        <v>0</v>
      </c>
    </row>
    <row r="263" spans="1:113" x14ac:dyDescent="0.25">
      <c r="A263" s="9"/>
      <c r="B263" s="2"/>
      <c r="AP263" s="56">
        <f t="shared" si="155"/>
        <v>0</v>
      </c>
      <c r="CB263">
        <f t="shared" ref="CB263:CB274" si="215">AR263</f>
        <v>0</v>
      </c>
      <c r="CC263">
        <f t="shared" ref="CC263:CC274" si="216">AS263</f>
        <v>0</v>
      </c>
      <c r="CD263">
        <f t="shared" ref="CD263:CD274" si="217">AT263</f>
        <v>0</v>
      </c>
      <c r="CE263">
        <f t="shared" ref="CE263:CE274" si="218">AU263</f>
        <v>0</v>
      </c>
      <c r="CF263">
        <f t="shared" ref="CF263:CF274" si="219">AV263</f>
        <v>0</v>
      </c>
      <c r="CG263">
        <f t="shared" ref="CG263:CG274" si="220">AW263</f>
        <v>0</v>
      </c>
      <c r="CH263">
        <f t="shared" ref="CH263:CH274" si="221">AX263</f>
        <v>0</v>
      </c>
      <c r="CI263">
        <f t="shared" ref="CI263:CI274" si="222">AY263</f>
        <v>0</v>
      </c>
      <c r="CJ263">
        <f t="shared" ref="CJ263:CJ274" si="223">AZ263</f>
        <v>0</v>
      </c>
      <c r="CK263">
        <f t="shared" ref="CK263:CK274" si="224">BA263</f>
        <v>0</v>
      </c>
      <c r="CL263">
        <f t="shared" ref="CL263:CL274" si="225">BB263</f>
        <v>0</v>
      </c>
      <c r="CM263">
        <f t="shared" ref="CM263:CM274" si="226">BC263</f>
        <v>0</v>
      </c>
      <c r="CN263">
        <f t="shared" ref="CN263:CN274" si="227">BD263</f>
        <v>0</v>
      </c>
      <c r="CO263">
        <f t="shared" ref="CO263:CO274" si="228">BE263</f>
        <v>0</v>
      </c>
      <c r="CP263">
        <f t="shared" ref="CP263:CP274" si="229">BF263</f>
        <v>0</v>
      </c>
      <c r="CQ263">
        <f t="shared" ref="CQ263:CQ274" si="230">BG263</f>
        <v>0</v>
      </c>
      <c r="CR263">
        <f t="shared" ref="CR263:CR274" si="231">BH263</f>
        <v>0</v>
      </c>
      <c r="CS263">
        <f t="shared" ref="CS263:CS274" si="232">BI263</f>
        <v>0</v>
      </c>
      <c r="CT263">
        <f t="shared" ref="CT263:CT274" si="233">BJ263</f>
        <v>0</v>
      </c>
      <c r="CU263">
        <f t="shared" ref="CU263:CU274" si="234">BK263</f>
        <v>0</v>
      </c>
      <c r="CV263">
        <f t="shared" ref="CV263:CV274" si="235">BL263</f>
        <v>0</v>
      </c>
      <c r="CW263">
        <f t="shared" ref="CW263:CW274" si="236">BM263</f>
        <v>0</v>
      </c>
      <c r="CX263">
        <f t="shared" ref="CX263:DI274" si="237">BN263</f>
        <v>0</v>
      </c>
      <c r="CY263">
        <f t="shared" si="237"/>
        <v>0</v>
      </c>
      <c r="CZ263">
        <f t="shared" si="237"/>
        <v>0</v>
      </c>
      <c r="DA263">
        <f t="shared" si="237"/>
        <v>0</v>
      </c>
      <c r="DB263">
        <f t="shared" si="237"/>
        <v>0</v>
      </c>
      <c r="DC263">
        <f t="shared" si="237"/>
        <v>0</v>
      </c>
      <c r="DD263">
        <f t="shared" si="237"/>
        <v>0</v>
      </c>
      <c r="DE263">
        <f t="shared" si="237"/>
        <v>0</v>
      </c>
      <c r="DF263">
        <f t="shared" si="237"/>
        <v>0</v>
      </c>
      <c r="DG263">
        <f t="shared" si="237"/>
        <v>0</v>
      </c>
      <c r="DH263">
        <f t="shared" si="237"/>
        <v>0</v>
      </c>
      <c r="DI263">
        <f t="shared" si="237"/>
        <v>0</v>
      </c>
    </row>
    <row r="264" spans="1:113" ht="15.75" x14ac:dyDescent="0.25">
      <c r="A264" s="4" t="s">
        <v>560</v>
      </c>
      <c r="B264" s="6" t="s">
        <v>561</v>
      </c>
      <c r="H264" s="90">
        <f>'Combined data'!H264</f>
        <v>37</v>
      </c>
      <c r="I264" s="90">
        <f>'Combined data'!I264-'Combined data'!H264</f>
        <v>13</v>
      </c>
      <c r="J264" s="90">
        <f>'Combined data'!J264-'Combined data'!I264</f>
        <v>0</v>
      </c>
      <c r="K264" s="90">
        <f>'Combined data'!K264-'Combined data'!J264</f>
        <v>4</v>
      </c>
      <c r="L264" s="90">
        <f>'Combined data'!L264-'Combined data'!K264</f>
        <v>3</v>
      </c>
      <c r="M264" s="90">
        <f>'Combined data'!M264-'Combined data'!L264</f>
        <v>0</v>
      </c>
      <c r="N264" s="90">
        <f>'Combined data'!N264-'Combined data'!M264</f>
        <v>3</v>
      </c>
      <c r="O264" s="90">
        <f>'Combined data'!O264-'Combined data'!N264</f>
        <v>2</v>
      </c>
      <c r="P264" s="90">
        <f>'Combined data'!P264-'Combined data'!O264</f>
        <v>8</v>
      </c>
      <c r="Q264" s="90">
        <f>'Combined data'!Q264-'Combined data'!P264</f>
        <v>1</v>
      </c>
      <c r="R264" s="90">
        <f>'Combined data'!R264-'Combined data'!Q264</f>
        <v>0</v>
      </c>
      <c r="S264" s="90">
        <f>'Combined data'!S264-'Combined data'!R264</f>
        <v>4</v>
      </c>
      <c r="T264" s="90">
        <f>'Combined data'!T264-'Combined data'!S264</f>
        <v>3</v>
      </c>
      <c r="U264" s="90">
        <f>'Combined data'!U264-'Combined data'!T264</f>
        <v>1</v>
      </c>
      <c r="V264" s="90">
        <f>'Combined data'!V264-'Combined data'!U264</f>
        <v>5</v>
      </c>
      <c r="W264" s="90">
        <f>'Combined data'!W264-'Combined data'!V264</f>
        <v>2</v>
      </c>
      <c r="X264" s="90">
        <f>'Combined data'!X264-'Combined data'!W264</f>
        <v>1</v>
      </c>
      <c r="Y264" s="90">
        <f>'Combined data'!Y264-'Combined data'!X264</f>
        <v>4</v>
      </c>
      <c r="Z264" s="90">
        <f>'Combined data'!Z264-'Combined data'!Y264</f>
        <v>8</v>
      </c>
      <c r="AA264" s="90">
        <f>'Combined data'!AA264-'Combined data'!Z264</f>
        <v>0</v>
      </c>
      <c r="AB264" s="90">
        <f>'Combined data'!AB264-'Combined data'!AA264</f>
        <v>4</v>
      </c>
      <c r="AC264" s="90">
        <f>'Combined data'!AC264-'Combined data'!AB264</f>
        <v>0</v>
      </c>
      <c r="AD264" s="90">
        <f>'Combined data'!AD264-'Combined data'!AC264</f>
        <v>1</v>
      </c>
      <c r="AE264" s="90">
        <f>'Combined data'!AE264-'Combined data'!AD264</f>
        <v>-104</v>
      </c>
      <c r="AF264" s="90">
        <f>'Combined data'!AF264-'Combined data'!AE264</f>
        <v>0</v>
      </c>
      <c r="AG264" s="90">
        <f>'Combined data'!AG264-'Combined data'!AF264</f>
        <v>0</v>
      </c>
      <c r="AH264" s="90">
        <f>'Combined data'!AH264-'Combined data'!AG264</f>
        <v>0</v>
      </c>
      <c r="AI264" s="90">
        <f>'Combined data'!AI264-'Combined data'!AH264</f>
        <v>0</v>
      </c>
      <c r="AJ264" s="90">
        <f>'Combined data'!AJ264-'Combined data'!AI264</f>
        <v>0</v>
      </c>
      <c r="AK264" s="90">
        <f>'Combined data'!AK264-'Combined data'!AJ264</f>
        <v>0</v>
      </c>
      <c r="AL264" s="90">
        <f>'Combined data'!AL264-'Combined data'!AK264</f>
        <v>0</v>
      </c>
      <c r="AM264" s="90">
        <f>'Combined data'!AM264-'Combined data'!AL264</f>
        <v>0</v>
      </c>
      <c r="AN264" s="90">
        <f>'Combined data'!AN264-'Combined data'!AM264</f>
        <v>0</v>
      </c>
      <c r="AO264" s="90">
        <f>'Combined data'!AO264-'Combined data'!AN264</f>
        <v>0</v>
      </c>
      <c r="AP264" s="56">
        <f t="shared" si="155"/>
        <v>0</v>
      </c>
      <c r="AQ264" s="113"/>
      <c r="AR264" s="17">
        <f>'Combined data'!AR264</f>
        <v>7</v>
      </c>
      <c r="AS264" s="17">
        <f>'Combined data'!AS264-'Combined data'!AR264</f>
        <v>5</v>
      </c>
      <c r="AT264" s="17">
        <f>'Combined data'!AT264-'Combined data'!AS264</f>
        <v>6</v>
      </c>
      <c r="AU264" s="17">
        <f>'Combined data'!AU264-'Combined data'!AT264</f>
        <v>1</v>
      </c>
      <c r="AV264" s="17">
        <f>'Combined data'!AV264-'Combined data'!AU264</f>
        <v>0</v>
      </c>
      <c r="AW264" s="17">
        <f>'Combined data'!AW264-'Combined data'!AV264</f>
        <v>6</v>
      </c>
      <c r="AX264" s="17">
        <f>'Combined data'!AX264-'Combined data'!AW264</f>
        <v>2</v>
      </c>
      <c r="AY264" s="17">
        <f>'Combined data'!AY264-'Combined data'!AX264</f>
        <v>1</v>
      </c>
      <c r="AZ264" s="17">
        <f>'Combined data'!AZ264-'Combined data'!AY264</f>
        <v>0</v>
      </c>
      <c r="BA264" s="17">
        <f>'Combined data'!BA264-'Combined data'!AZ264</f>
        <v>2</v>
      </c>
      <c r="BB264" s="17">
        <f>'Combined data'!BB264-'Combined data'!BA264</f>
        <v>0</v>
      </c>
      <c r="BC264" s="17">
        <f>'Combined data'!BC264-'Combined data'!BB264</f>
        <v>3</v>
      </c>
      <c r="BD264" s="17">
        <f>'Combined data'!BD264-'Combined data'!BC264</f>
        <v>4</v>
      </c>
      <c r="BE264" s="17">
        <f>'Combined data'!BE264-'Combined data'!BD264</f>
        <v>1</v>
      </c>
      <c r="BF264" s="17">
        <f>'Combined data'!BF264-'Combined data'!BE264</f>
        <v>0</v>
      </c>
      <c r="BG264" s="17">
        <f>'Combined data'!BG264-'Combined data'!BF264</f>
        <v>0</v>
      </c>
      <c r="BH264" s="17">
        <f>'Combined data'!BH264-'Combined data'!BG264</f>
        <v>1</v>
      </c>
      <c r="BI264" s="17">
        <f>'Combined data'!BI264-'Combined data'!BH264</f>
        <v>0</v>
      </c>
      <c r="BJ264" s="17">
        <f>'Combined data'!BJ264-'Combined data'!BI264</f>
        <v>0</v>
      </c>
      <c r="BK264" s="17">
        <f>'Combined data'!BK264-'Combined data'!BJ264</f>
        <v>4</v>
      </c>
      <c r="BL264" s="17">
        <f>'Combined data'!BL264-'Combined data'!BK264</f>
        <v>0</v>
      </c>
      <c r="BM264" s="17">
        <f>'Combined data'!BM264-'Combined data'!BL264</f>
        <v>1</v>
      </c>
      <c r="BN264" s="17">
        <f>'Combined data'!BN264-'Combined data'!BM264</f>
        <v>0</v>
      </c>
      <c r="BO264" s="17">
        <f>'Combined data'!BO264-'Combined data'!BN264</f>
        <v>-44</v>
      </c>
      <c r="BP264" s="17">
        <f>'Combined data'!BP264-'Combined data'!BO264</f>
        <v>0</v>
      </c>
      <c r="BQ264" s="17">
        <f>'Combined data'!BQ264-'Combined data'!BP264</f>
        <v>0</v>
      </c>
      <c r="BR264" s="17">
        <f>'Combined data'!BR264-'Combined data'!BQ264</f>
        <v>0</v>
      </c>
      <c r="BS264" s="17">
        <f>'Combined data'!BS264-'Combined data'!BR264</f>
        <v>0</v>
      </c>
      <c r="BT264" s="17">
        <f>'Combined data'!BT264-'Combined data'!BS264</f>
        <v>0</v>
      </c>
      <c r="BU264" s="17">
        <f>'Combined data'!BU264-'Combined data'!BT264</f>
        <v>0</v>
      </c>
      <c r="BV264" s="17">
        <f>'Combined data'!BV264-'Combined data'!BU264</f>
        <v>0</v>
      </c>
      <c r="BW264" s="17">
        <f>'Combined data'!BW264-'Combined data'!BV264</f>
        <v>0</v>
      </c>
      <c r="BX264" s="17">
        <f>'Combined data'!BX264-'Combined data'!BW264</f>
        <v>0</v>
      </c>
      <c r="BY264" s="17">
        <f>'Combined data'!BY264-'Combined data'!BX264</f>
        <v>0</v>
      </c>
      <c r="CB264" s="17">
        <f t="shared" si="215"/>
        <v>7</v>
      </c>
      <c r="CC264" s="17">
        <f t="shared" si="216"/>
        <v>5</v>
      </c>
      <c r="CD264" s="17">
        <f t="shared" si="217"/>
        <v>6</v>
      </c>
      <c r="CE264" s="17">
        <f t="shared" si="218"/>
        <v>1</v>
      </c>
      <c r="CF264" s="17">
        <f t="shared" si="219"/>
        <v>0</v>
      </c>
      <c r="CG264" s="17">
        <f t="shared" si="220"/>
        <v>6</v>
      </c>
      <c r="CH264" s="17">
        <f t="shared" si="221"/>
        <v>2</v>
      </c>
      <c r="CI264" s="17">
        <f t="shared" si="222"/>
        <v>1</v>
      </c>
      <c r="CJ264" s="17">
        <f t="shared" si="223"/>
        <v>0</v>
      </c>
      <c r="CK264" s="17">
        <f t="shared" si="224"/>
        <v>2</v>
      </c>
      <c r="CL264" s="17">
        <f t="shared" si="225"/>
        <v>0</v>
      </c>
      <c r="CM264" s="17">
        <f t="shared" si="226"/>
        <v>3</v>
      </c>
      <c r="CN264" s="17">
        <f t="shared" si="227"/>
        <v>4</v>
      </c>
      <c r="CO264" s="17">
        <f t="shared" si="228"/>
        <v>1</v>
      </c>
      <c r="CP264" s="17">
        <f t="shared" si="229"/>
        <v>0</v>
      </c>
      <c r="CQ264" s="17">
        <f t="shared" si="230"/>
        <v>0</v>
      </c>
      <c r="CR264" s="17">
        <f t="shared" si="231"/>
        <v>1</v>
      </c>
      <c r="CS264" s="17">
        <f t="shared" si="232"/>
        <v>0</v>
      </c>
      <c r="CT264" s="17">
        <f t="shared" si="233"/>
        <v>0</v>
      </c>
      <c r="CU264" s="17">
        <f t="shared" si="234"/>
        <v>4</v>
      </c>
      <c r="CV264" s="17">
        <f t="shared" si="235"/>
        <v>0</v>
      </c>
      <c r="CW264" s="17">
        <f t="shared" si="236"/>
        <v>1</v>
      </c>
      <c r="CX264" s="17">
        <f t="shared" si="237"/>
        <v>0</v>
      </c>
      <c r="CY264" s="17">
        <f t="shared" si="237"/>
        <v>-44</v>
      </c>
      <c r="CZ264" s="17">
        <f t="shared" si="237"/>
        <v>0</v>
      </c>
      <c r="DA264" s="17">
        <f t="shared" si="237"/>
        <v>0</v>
      </c>
      <c r="DB264" s="17">
        <f t="shared" si="237"/>
        <v>0</v>
      </c>
      <c r="DC264" s="17">
        <f t="shared" si="237"/>
        <v>0</v>
      </c>
      <c r="DD264" s="17">
        <f t="shared" si="237"/>
        <v>0</v>
      </c>
      <c r="DE264" s="17">
        <f t="shared" si="237"/>
        <v>0</v>
      </c>
      <c r="DF264" s="17">
        <f t="shared" si="237"/>
        <v>0</v>
      </c>
      <c r="DG264" s="17">
        <f t="shared" si="237"/>
        <v>0</v>
      </c>
      <c r="DH264" s="17">
        <f t="shared" si="237"/>
        <v>0</v>
      </c>
      <c r="DI264" s="17">
        <f t="shared" si="237"/>
        <v>0</v>
      </c>
    </row>
    <row r="265" spans="1:113" ht="15.75" x14ac:dyDescent="0.25">
      <c r="A265" s="4" t="s">
        <v>562</v>
      </c>
      <c r="B265" s="6" t="s">
        <v>563</v>
      </c>
      <c r="H265" s="90">
        <f>'Combined data'!H265</f>
        <v>71</v>
      </c>
      <c r="I265" s="90">
        <f>'Combined data'!I265-'Combined data'!H265</f>
        <v>5</v>
      </c>
      <c r="J265" s="90">
        <f>'Combined data'!J265-'Combined data'!I265</f>
        <v>7</v>
      </c>
      <c r="K265" s="90">
        <f>'Combined data'!K265-'Combined data'!J265</f>
        <v>7</v>
      </c>
      <c r="L265" s="90">
        <f>'Combined data'!L265-'Combined data'!K265</f>
        <v>3</v>
      </c>
      <c r="M265" s="90">
        <f>'Combined data'!M265-'Combined data'!L265</f>
        <v>11</v>
      </c>
      <c r="N265" s="90">
        <f>'Combined data'!N265-'Combined data'!M265</f>
        <v>6</v>
      </c>
      <c r="O265" s="90">
        <f>'Combined data'!O265-'Combined data'!N265</f>
        <v>8</v>
      </c>
      <c r="P265" s="90">
        <f>'Combined data'!P265-'Combined data'!O265</f>
        <v>5</v>
      </c>
      <c r="Q265" s="90">
        <f>'Combined data'!Q265-'Combined data'!P265</f>
        <v>19</v>
      </c>
      <c r="R265" s="90">
        <f>'Combined data'!R265-'Combined data'!Q265</f>
        <v>6</v>
      </c>
      <c r="S265" s="90">
        <f>'Combined data'!S265-'Combined data'!R265</f>
        <v>1</v>
      </c>
      <c r="T265" s="90">
        <f>'Combined data'!T265-'Combined data'!S265</f>
        <v>5</v>
      </c>
      <c r="U265" s="90">
        <f>'Combined data'!U265-'Combined data'!T265</f>
        <v>2</v>
      </c>
      <c r="V265" s="90">
        <f>'Combined data'!V265-'Combined data'!U265</f>
        <v>10</v>
      </c>
      <c r="W265" s="90">
        <f>'Combined data'!W265-'Combined data'!V265</f>
        <v>3</v>
      </c>
      <c r="X265" s="90">
        <f>'Combined data'!X265-'Combined data'!W265</f>
        <v>1</v>
      </c>
      <c r="Y265" s="90">
        <f>'Combined data'!Y265-'Combined data'!X265</f>
        <v>7</v>
      </c>
      <c r="Z265" s="90">
        <f>'Combined data'!Z265-'Combined data'!Y265</f>
        <v>3</v>
      </c>
      <c r="AA265" s="90">
        <f>'Combined data'!AA265-'Combined data'!Z265</f>
        <v>3</v>
      </c>
      <c r="AB265" s="90">
        <f>'Combined data'!AB265-'Combined data'!AA265</f>
        <v>4</v>
      </c>
      <c r="AC265" s="90">
        <f>'Combined data'!AC265-'Combined data'!AB265</f>
        <v>4</v>
      </c>
      <c r="AD265" s="90">
        <f>'Combined data'!AD265-'Combined data'!AC265</f>
        <v>7</v>
      </c>
      <c r="AE265" s="90">
        <f>'Combined data'!AE265-'Combined data'!AD265</f>
        <v>-198</v>
      </c>
      <c r="AF265" s="90">
        <f>'Combined data'!AF265-'Combined data'!AE265</f>
        <v>0</v>
      </c>
      <c r="AG265" s="90">
        <f>'Combined data'!AG265-'Combined data'!AF265</f>
        <v>0</v>
      </c>
      <c r="AH265" s="90">
        <f>'Combined data'!AH265-'Combined data'!AG265</f>
        <v>0</v>
      </c>
      <c r="AI265" s="90">
        <f>'Combined data'!AI265-'Combined data'!AH265</f>
        <v>0</v>
      </c>
      <c r="AJ265" s="90">
        <f>'Combined data'!AJ265-'Combined data'!AI265</f>
        <v>0</v>
      </c>
      <c r="AK265" s="90">
        <f>'Combined data'!AK265-'Combined data'!AJ265</f>
        <v>0</v>
      </c>
      <c r="AL265" s="90">
        <f>'Combined data'!AL265-'Combined data'!AK265</f>
        <v>0</v>
      </c>
      <c r="AM265" s="90">
        <f>'Combined data'!AM265-'Combined data'!AL265</f>
        <v>0</v>
      </c>
      <c r="AN265" s="90">
        <f>'Combined data'!AN265-'Combined data'!AM265</f>
        <v>0</v>
      </c>
      <c r="AO265" s="90">
        <f>'Combined data'!AO265-'Combined data'!AN265</f>
        <v>0</v>
      </c>
      <c r="AP265" s="56">
        <f t="shared" si="155"/>
        <v>0</v>
      </c>
      <c r="AQ265" s="113"/>
      <c r="AR265" s="17">
        <f>'Combined data'!AR265</f>
        <v>12</v>
      </c>
      <c r="AS265" s="17">
        <f>'Combined data'!AS265-'Combined data'!AR265</f>
        <v>0</v>
      </c>
      <c r="AT265" s="17">
        <f>'Combined data'!AT265-'Combined data'!AS265</f>
        <v>3</v>
      </c>
      <c r="AU265" s="17">
        <f>'Combined data'!AU265-'Combined data'!AT265</f>
        <v>3</v>
      </c>
      <c r="AV265" s="17">
        <f>'Combined data'!AV265-'Combined data'!AU265</f>
        <v>0</v>
      </c>
      <c r="AW265" s="17">
        <f>'Combined data'!AW265-'Combined data'!AV265</f>
        <v>3</v>
      </c>
      <c r="AX265" s="17">
        <f>'Combined data'!AX265-'Combined data'!AW265</f>
        <v>2</v>
      </c>
      <c r="AY265" s="17">
        <f>'Combined data'!AY265-'Combined data'!AX265</f>
        <v>4</v>
      </c>
      <c r="AZ265" s="17">
        <f>'Combined data'!AZ265-'Combined data'!AY265</f>
        <v>2</v>
      </c>
      <c r="BA265" s="17">
        <f>'Combined data'!BA265-'Combined data'!AZ265</f>
        <v>4</v>
      </c>
      <c r="BB265" s="17">
        <f>'Combined data'!BB265-'Combined data'!BA265</f>
        <v>0</v>
      </c>
      <c r="BC265" s="17">
        <f>'Combined data'!BC265-'Combined data'!BB265</f>
        <v>5</v>
      </c>
      <c r="BD265" s="17">
        <f>'Combined data'!BD265-'Combined data'!BC265</f>
        <v>7</v>
      </c>
      <c r="BE265" s="17">
        <f>'Combined data'!BE265-'Combined data'!BD265</f>
        <v>0</v>
      </c>
      <c r="BF265" s="17">
        <f>'Combined data'!BF265-'Combined data'!BE265</f>
        <v>2</v>
      </c>
      <c r="BG265" s="17">
        <f>'Combined data'!BG265-'Combined data'!BF265</f>
        <v>1</v>
      </c>
      <c r="BH265" s="17">
        <f>'Combined data'!BH265-'Combined data'!BG265</f>
        <v>11</v>
      </c>
      <c r="BI265" s="17">
        <f>'Combined data'!BI265-'Combined data'!BH265</f>
        <v>6</v>
      </c>
      <c r="BJ265" s="17">
        <f>'Combined data'!BJ265-'Combined data'!BI265</f>
        <v>1</v>
      </c>
      <c r="BK265" s="17">
        <f>'Combined data'!BK265-'Combined data'!BJ265</f>
        <v>0</v>
      </c>
      <c r="BL265" s="17">
        <f>'Combined data'!BL265-'Combined data'!BK265</f>
        <v>4</v>
      </c>
      <c r="BM265" s="17">
        <f>'Combined data'!BM265-'Combined data'!BL265</f>
        <v>1</v>
      </c>
      <c r="BN265" s="17">
        <f>'Combined data'!BN265-'Combined data'!BM265</f>
        <v>7</v>
      </c>
      <c r="BO265" s="17">
        <f>'Combined data'!BO265-'Combined data'!BN265</f>
        <v>-78</v>
      </c>
      <c r="BP265" s="17">
        <f>'Combined data'!BP265-'Combined data'!BO265</f>
        <v>0</v>
      </c>
      <c r="BQ265" s="17">
        <f>'Combined data'!BQ265-'Combined data'!BP265</f>
        <v>0</v>
      </c>
      <c r="BR265" s="17">
        <f>'Combined data'!BR265-'Combined data'!BQ265</f>
        <v>0</v>
      </c>
      <c r="BS265" s="17">
        <f>'Combined data'!BS265-'Combined data'!BR265</f>
        <v>0</v>
      </c>
      <c r="BT265" s="17">
        <f>'Combined data'!BT265-'Combined data'!BS265</f>
        <v>0</v>
      </c>
      <c r="BU265" s="17">
        <f>'Combined data'!BU265-'Combined data'!BT265</f>
        <v>0</v>
      </c>
      <c r="BV265" s="17">
        <f>'Combined data'!BV265-'Combined data'!BU265</f>
        <v>0</v>
      </c>
      <c r="BW265" s="17">
        <f>'Combined data'!BW265-'Combined data'!BV265</f>
        <v>0</v>
      </c>
      <c r="BX265" s="17">
        <f>'Combined data'!BX265-'Combined data'!BW265</f>
        <v>0</v>
      </c>
      <c r="BY265" s="17">
        <f>'Combined data'!BY265-'Combined data'!BX265</f>
        <v>0</v>
      </c>
      <c r="CB265" s="17">
        <f t="shared" si="215"/>
        <v>12</v>
      </c>
      <c r="CC265" s="17">
        <f t="shared" si="216"/>
        <v>0</v>
      </c>
      <c r="CD265" s="17">
        <f t="shared" si="217"/>
        <v>3</v>
      </c>
      <c r="CE265" s="17">
        <f t="shared" si="218"/>
        <v>3</v>
      </c>
      <c r="CF265" s="17">
        <f t="shared" si="219"/>
        <v>0</v>
      </c>
      <c r="CG265" s="17">
        <f t="shared" si="220"/>
        <v>3</v>
      </c>
      <c r="CH265" s="17">
        <f t="shared" si="221"/>
        <v>2</v>
      </c>
      <c r="CI265" s="17">
        <f t="shared" si="222"/>
        <v>4</v>
      </c>
      <c r="CJ265" s="17">
        <f t="shared" si="223"/>
        <v>2</v>
      </c>
      <c r="CK265" s="17">
        <f t="shared" si="224"/>
        <v>4</v>
      </c>
      <c r="CL265" s="17">
        <f t="shared" si="225"/>
        <v>0</v>
      </c>
      <c r="CM265" s="17">
        <f t="shared" si="226"/>
        <v>5</v>
      </c>
      <c r="CN265" s="17">
        <f t="shared" si="227"/>
        <v>7</v>
      </c>
      <c r="CO265" s="17">
        <f t="shared" si="228"/>
        <v>0</v>
      </c>
      <c r="CP265" s="17">
        <f t="shared" si="229"/>
        <v>2</v>
      </c>
      <c r="CQ265" s="17">
        <f t="shared" si="230"/>
        <v>1</v>
      </c>
      <c r="CR265" s="17">
        <f t="shared" si="231"/>
        <v>11</v>
      </c>
      <c r="CS265" s="17">
        <f t="shared" si="232"/>
        <v>6</v>
      </c>
      <c r="CT265" s="17">
        <f t="shared" si="233"/>
        <v>1</v>
      </c>
      <c r="CU265" s="17">
        <f t="shared" si="234"/>
        <v>0</v>
      </c>
      <c r="CV265" s="17">
        <f t="shared" si="235"/>
        <v>4</v>
      </c>
      <c r="CW265" s="17">
        <f t="shared" si="236"/>
        <v>1</v>
      </c>
      <c r="CX265" s="17">
        <f t="shared" si="237"/>
        <v>7</v>
      </c>
      <c r="CY265" s="17">
        <f t="shared" si="237"/>
        <v>-78</v>
      </c>
      <c r="CZ265" s="17">
        <f t="shared" si="237"/>
        <v>0</v>
      </c>
      <c r="DA265" s="17">
        <f t="shared" si="237"/>
        <v>0</v>
      </c>
      <c r="DB265" s="17">
        <f t="shared" si="237"/>
        <v>0</v>
      </c>
      <c r="DC265" s="17">
        <f t="shared" si="237"/>
        <v>0</v>
      </c>
      <c r="DD265" s="17">
        <f t="shared" si="237"/>
        <v>0</v>
      </c>
      <c r="DE265" s="17">
        <f t="shared" si="237"/>
        <v>0</v>
      </c>
      <c r="DF265" s="17">
        <f t="shared" si="237"/>
        <v>0</v>
      </c>
      <c r="DG265" s="17">
        <f t="shared" si="237"/>
        <v>0</v>
      </c>
      <c r="DH265" s="17">
        <f t="shared" si="237"/>
        <v>0</v>
      </c>
      <c r="DI265" s="17">
        <f t="shared" si="237"/>
        <v>0</v>
      </c>
    </row>
    <row r="266" spans="1:113" ht="15.75" x14ac:dyDescent="0.25">
      <c r="A266" s="4" t="s">
        <v>564</v>
      </c>
      <c r="B266" s="6" t="s">
        <v>565</v>
      </c>
      <c r="H266" s="90">
        <f>'Combined data'!H266</f>
        <v>112</v>
      </c>
      <c r="I266" s="90">
        <f>'Combined data'!I266-'Combined data'!H266</f>
        <v>7</v>
      </c>
      <c r="J266" s="90">
        <f>'Combined data'!J266-'Combined data'!I266</f>
        <v>8</v>
      </c>
      <c r="K266" s="90">
        <f>'Combined data'!K266-'Combined data'!J266</f>
        <v>9</v>
      </c>
      <c r="L266" s="90">
        <f>'Combined data'!L266-'Combined data'!K266</f>
        <v>4</v>
      </c>
      <c r="M266" s="90">
        <f>'Combined data'!M266-'Combined data'!L266</f>
        <v>11</v>
      </c>
      <c r="N266" s="90">
        <f>'Combined data'!N266-'Combined data'!M266</f>
        <v>17</v>
      </c>
      <c r="O266" s="90">
        <f>'Combined data'!O266-'Combined data'!N266</f>
        <v>8</v>
      </c>
      <c r="P266" s="90">
        <f>'Combined data'!P266-'Combined data'!O266</f>
        <v>6</v>
      </c>
      <c r="Q266" s="90">
        <f>'Combined data'!Q266-'Combined data'!P266</f>
        <v>7</v>
      </c>
      <c r="R266" s="90">
        <f>'Combined data'!R266-'Combined data'!Q266</f>
        <v>1</v>
      </c>
      <c r="S266" s="90">
        <f>'Combined data'!S266-'Combined data'!R266</f>
        <v>8</v>
      </c>
      <c r="T266" s="90">
        <f>'Combined data'!T266-'Combined data'!S266</f>
        <v>8</v>
      </c>
      <c r="U266" s="90">
        <f>'Combined data'!U266-'Combined data'!T266</f>
        <v>3</v>
      </c>
      <c r="V266" s="90">
        <f>'Combined data'!V266-'Combined data'!U266</f>
        <v>3</v>
      </c>
      <c r="W266" s="90">
        <f>'Combined data'!W266-'Combined data'!V266</f>
        <v>4</v>
      </c>
      <c r="X266" s="90">
        <f>'Combined data'!X266-'Combined data'!W266</f>
        <v>1</v>
      </c>
      <c r="Y266" s="90">
        <f>'Combined data'!Y266-'Combined data'!X266</f>
        <v>6</v>
      </c>
      <c r="Z266" s="90">
        <f>'Combined data'!Z266-'Combined data'!Y266</f>
        <v>6</v>
      </c>
      <c r="AA266" s="90">
        <f>'Combined data'!AA266-'Combined data'!Z266</f>
        <v>5</v>
      </c>
      <c r="AB266" s="90">
        <f>'Combined data'!AB266-'Combined data'!AA266</f>
        <v>4</v>
      </c>
      <c r="AC266" s="90">
        <f>'Combined data'!AC266-'Combined data'!AB266</f>
        <v>-1</v>
      </c>
      <c r="AD266" s="90">
        <f>'Combined data'!AD266-'Combined data'!AC266</f>
        <v>0</v>
      </c>
      <c r="AE266" s="90">
        <f>'Combined data'!AE266-'Combined data'!AD266</f>
        <v>-237</v>
      </c>
      <c r="AF266" s="90">
        <f>'Combined data'!AF266-'Combined data'!AE266</f>
        <v>0</v>
      </c>
      <c r="AG266" s="90">
        <f>'Combined data'!AG266-'Combined data'!AF266</f>
        <v>0</v>
      </c>
      <c r="AH266" s="90">
        <f>'Combined data'!AH266-'Combined data'!AG266</f>
        <v>0</v>
      </c>
      <c r="AI266" s="90">
        <f>'Combined data'!AI266-'Combined data'!AH266</f>
        <v>0</v>
      </c>
      <c r="AJ266" s="90">
        <f>'Combined data'!AJ266-'Combined data'!AI266</f>
        <v>0</v>
      </c>
      <c r="AK266" s="90">
        <f>'Combined data'!AK266-'Combined data'!AJ266</f>
        <v>0</v>
      </c>
      <c r="AL266" s="90">
        <f>'Combined data'!AL266-'Combined data'!AK266</f>
        <v>0</v>
      </c>
      <c r="AM266" s="90">
        <f>'Combined data'!AM266-'Combined data'!AL266</f>
        <v>0</v>
      </c>
      <c r="AN266" s="90">
        <f>'Combined data'!AN266-'Combined data'!AM266</f>
        <v>0</v>
      </c>
      <c r="AO266" s="90">
        <f>'Combined data'!AO266-'Combined data'!AN266</f>
        <v>0</v>
      </c>
      <c r="AP266" s="56">
        <f t="shared" ref="AP266:AP279" si="238">SUM(H266:AO266)</f>
        <v>0</v>
      </c>
      <c r="AQ266" s="113"/>
      <c r="AR266" s="17">
        <f>'Combined data'!AR266</f>
        <v>16</v>
      </c>
      <c r="AS266" s="17">
        <f>'Combined data'!AS266-'Combined data'!AR266</f>
        <v>3</v>
      </c>
      <c r="AT266" s="17">
        <f>'Combined data'!AT266-'Combined data'!AS266</f>
        <v>1</v>
      </c>
      <c r="AU266" s="17">
        <f>'Combined data'!AU266-'Combined data'!AT266</f>
        <v>5</v>
      </c>
      <c r="AV266" s="17">
        <f>'Combined data'!AV266-'Combined data'!AU266</f>
        <v>8</v>
      </c>
      <c r="AW266" s="17">
        <f>'Combined data'!AW266-'Combined data'!AV266</f>
        <v>0</v>
      </c>
      <c r="AX266" s="17">
        <f>'Combined data'!AX266-'Combined data'!AW266</f>
        <v>0</v>
      </c>
      <c r="AY266" s="17">
        <f>'Combined data'!AY266-'Combined data'!AX266</f>
        <v>8</v>
      </c>
      <c r="AZ266" s="17">
        <f>'Combined data'!AZ266-'Combined data'!AY266</f>
        <v>0</v>
      </c>
      <c r="BA266" s="17">
        <f>'Combined data'!BA266-'Combined data'!AZ266</f>
        <v>2</v>
      </c>
      <c r="BB266" s="17">
        <f>'Combined data'!BB266-'Combined data'!BA266</f>
        <v>0</v>
      </c>
      <c r="BC266" s="17">
        <f>'Combined data'!BC266-'Combined data'!BB266</f>
        <v>5</v>
      </c>
      <c r="BD266" s="17">
        <f>'Combined data'!BD266-'Combined data'!BC266</f>
        <v>16</v>
      </c>
      <c r="BE266" s="17">
        <f>'Combined data'!BE266-'Combined data'!BD266</f>
        <v>0</v>
      </c>
      <c r="BF266" s="17">
        <f>'Combined data'!BF266-'Combined data'!BE266</f>
        <v>4</v>
      </c>
      <c r="BG266" s="17">
        <f>'Combined data'!BG266-'Combined data'!BF266</f>
        <v>2</v>
      </c>
      <c r="BH266" s="17">
        <f>'Combined data'!BH266-'Combined data'!BG266</f>
        <v>2</v>
      </c>
      <c r="BI266" s="17">
        <f>'Combined data'!BI266-'Combined data'!BH266</f>
        <v>2</v>
      </c>
      <c r="BJ266" s="17">
        <f>'Combined data'!BJ266-'Combined data'!BI266</f>
        <v>0</v>
      </c>
      <c r="BK266" s="17">
        <f>'Combined data'!BK266-'Combined data'!BJ266</f>
        <v>0</v>
      </c>
      <c r="BL266" s="17">
        <f>'Combined data'!BL266-'Combined data'!BK266</f>
        <v>3</v>
      </c>
      <c r="BM266" s="17">
        <f>'Combined data'!BM266-'Combined data'!BL266</f>
        <v>1</v>
      </c>
      <c r="BN266" s="17">
        <f>'Combined data'!BN266-'Combined data'!BM266</f>
        <v>0</v>
      </c>
      <c r="BO266" s="17">
        <f>'Combined data'!BO266-'Combined data'!BN266</f>
        <v>-78</v>
      </c>
      <c r="BP266" s="17">
        <f>'Combined data'!BP266-'Combined data'!BO266</f>
        <v>0</v>
      </c>
      <c r="BQ266" s="17">
        <f>'Combined data'!BQ266-'Combined data'!BP266</f>
        <v>0</v>
      </c>
      <c r="BR266" s="17">
        <f>'Combined data'!BR266-'Combined data'!BQ266</f>
        <v>0</v>
      </c>
      <c r="BS266" s="17">
        <f>'Combined data'!BS266-'Combined data'!BR266</f>
        <v>0</v>
      </c>
      <c r="BT266" s="17">
        <f>'Combined data'!BT266-'Combined data'!BS266</f>
        <v>0</v>
      </c>
      <c r="BU266" s="17">
        <f>'Combined data'!BU266-'Combined data'!BT266</f>
        <v>0</v>
      </c>
      <c r="BV266" s="17">
        <f>'Combined data'!BV266-'Combined data'!BU266</f>
        <v>0</v>
      </c>
      <c r="BW266" s="17">
        <f>'Combined data'!BW266-'Combined data'!BV266</f>
        <v>0</v>
      </c>
      <c r="BX266" s="17">
        <f>'Combined data'!BX266-'Combined data'!BW266</f>
        <v>0</v>
      </c>
      <c r="BY266" s="17">
        <f>'Combined data'!BY266-'Combined data'!BX266</f>
        <v>0</v>
      </c>
      <c r="CB266" s="17">
        <f t="shared" si="215"/>
        <v>16</v>
      </c>
      <c r="CC266" s="17">
        <f t="shared" si="216"/>
        <v>3</v>
      </c>
      <c r="CD266" s="17">
        <f t="shared" si="217"/>
        <v>1</v>
      </c>
      <c r="CE266" s="17">
        <f t="shared" si="218"/>
        <v>5</v>
      </c>
      <c r="CF266" s="17">
        <f t="shared" si="219"/>
        <v>8</v>
      </c>
      <c r="CG266" s="17">
        <f t="shared" si="220"/>
        <v>0</v>
      </c>
      <c r="CH266" s="17">
        <f t="shared" si="221"/>
        <v>0</v>
      </c>
      <c r="CI266" s="17">
        <f t="shared" si="222"/>
        <v>8</v>
      </c>
      <c r="CJ266" s="17">
        <f t="shared" si="223"/>
        <v>0</v>
      </c>
      <c r="CK266" s="17">
        <f t="shared" si="224"/>
        <v>2</v>
      </c>
      <c r="CL266" s="17">
        <f t="shared" si="225"/>
        <v>0</v>
      </c>
      <c r="CM266" s="17">
        <f t="shared" si="226"/>
        <v>5</v>
      </c>
      <c r="CN266" s="17">
        <f t="shared" si="227"/>
        <v>16</v>
      </c>
      <c r="CO266" s="17">
        <f t="shared" si="228"/>
        <v>0</v>
      </c>
      <c r="CP266" s="17">
        <f t="shared" si="229"/>
        <v>4</v>
      </c>
      <c r="CQ266" s="17">
        <f t="shared" si="230"/>
        <v>2</v>
      </c>
      <c r="CR266" s="17">
        <f t="shared" si="231"/>
        <v>2</v>
      </c>
      <c r="CS266" s="17">
        <f t="shared" si="232"/>
        <v>2</v>
      </c>
      <c r="CT266" s="17">
        <f t="shared" si="233"/>
        <v>0</v>
      </c>
      <c r="CU266" s="17">
        <f t="shared" si="234"/>
        <v>0</v>
      </c>
      <c r="CV266" s="17">
        <f t="shared" si="235"/>
        <v>3</v>
      </c>
      <c r="CW266" s="17">
        <f t="shared" si="236"/>
        <v>1</v>
      </c>
      <c r="CX266" s="17">
        <f t="shared" si="237"/>
        <v>0</v>
      </c>
      <c r="CY266" s="17">
        <f t="shared" si="237"/>
        <v>-78</v>
      </c>
      <c r="CZ266" s="17">
        <f t="shared" si="237"/>
        <v>0</v>
      </c>
      <c r="DA266" s="17">
        <f t="shared" si="237"/>
        <v>0</v>
      </c>
      <c r="DB266" s="17">
        <f t="shared" si="237"/>
        <v>0</v>
      </c>
      <c r="DC266" s="17">
        <f t="shared" si="237"/>
        <v>0</v>
      </c>
      <c r="DD266" s="17">
        <f t="shared" si="237"/>
        <v>0</v>
      </c>
      <c r="DE266" s="17">
        <f t="shared" si="237"/>
        <v>0</v>
      </c>
      <c r="DF266" s="17">
        <f t="shared" si="237"/>
        <v>0</v>
      </c>
      <c r="DG266" s="17">
        <f t="shared" si="237"/>
        <v>0</v>
      </c>
      <c r="DH266" s="17">
        <f t="shared" si="237"/>
        <v>0</v>
      </c>
      <c r="DI266" s="17">
        <f t="shared" si="237"/>
        <v>0</v>
      </c>
    </row>
    <row r="267" spans="1:113" ht="15.75" x14ac:dyDescent="0.25">
      <c r="A267" s="4" t="s">
        <v>566</v>
      </c>
      <c r="B267" s="6" t="s">
        <v>567</v>
      </c>
      <c r="H267" s="90">
        <f>'Combined data'!H267</f>
        <v>119</v>
      </c>
      <c r="I267" s="90">
        <f>'Combined data'!I267-'Combined data'!H267</f>
        <v>12</v>
      </c>
      <c r="J267" s="90">
        <f>'Combined data'!J267-'Combined data'!I267</f>
        <v>5</v>
      </c>
      <c r="K267" s="90">
        <f>'Combined data'!K267-'Combined data'!J267</f>
        <v>13</v>
      </c>
      <c r="L267" s="90">
        <f>'Combined data'!L267-'Combined data'!K267</f>
        <v>12</v>
      </c>
      <c r="M267" s="90">
        <f>'Combined data'!M267-'Combined data'!L267</f>
        <v>9</v>
      </c>
      <c r="N267" s="90">
        <f>'Combined data'!N267-'Combined data'!M267</f>
        <v>7</v>
      </c>
      <c r="O267" s="90">
        <f>'Combined data'!O267-'Combined data'!N267</f>
        <v>6</v>
      </c>
      <c r="P267" s="90">
        <f>'Combined data'!P267-'Combined data'!O267</f>
        <v>19</v>
      </c>
      <c r="Q267" s="90">
        <f>'Combined data'!Q267-'Combined data'!P267</f>
        <v>4</v>
      </c>
      <c r="R267" s="90">
        <f>'Combined data'!R267-'Combined data'!Q267</f>
        <v>0</v>
      </c>
      <c r="S267" s="90">
        <f>'Combined data'!S267-'Combined data'!R267</f>
        <v>-1</v>
      </c>
      <c r="T267" s="90">
        <f>'Combined data'!T267-'Combined data'!S267</f>
        <v>4</v>
      </c>
      <c r="U267" s="90">
        <f>'Combined data'!U267-'Combined data'!T267</f>
        <v>7</v>
      </c>
      <c r="V267" s="90">
        <f>'Combined data'!V267-'Combined data'!U267</f>
        <v>3</v>
      </c>
      <c r="W267" s="90">
        <f>'Combined data'!W267-'Combined data'!V267</f>
        <v>8</v>
      </c>
      <c r="X267" s="90">
        <f>'Combined data'!X267-'Combined data'!W267</f>
        <v>4</v>
      </c>
      <c r="Y267" s="90">
        <f>'Combined data'!Y267-'Combined data'!X267</f>
        <v>2</v>
      </c>
      <c r="Z267" s="90">
        <f>'Combined data'!Z267-'Combined data'!Y267</f>
        <v>0</v>
      </c>
      <c r="AA267" s="90">
        <f>'Combined data'!AA267-'Combined data'!Z267</f>
        <v>7</v>
      </c>
      <c r="AB267" s="90">
        <f>'Combined data'!AB267-'Combined data'!AA267</f>
        <v>4</v>
      </c>
      <c r="AC267" s="90">
        <f>'Combined data'!AC267-'Combined data'!AB267</f>
        <v>0</v>
      </c>
      <c r="AD267" s="90">
        <f>'Combined data'!AD267-'Combined data'!AC267</f>
        <v>4</v>
      </c>
      <c r="AE267" s="90">
        <f>'Combined data'!AE267-'Combined data'!AD267</f>
        <v>-248</v>
      </c>
      <c r="AF267" s="90">
        <f>'Combined data'!AF267-'Combined data'!AE267</f>
        <v>0</v>
      </c>
      <c r="AG267" s="90">
        <f>'Combined data'!AG267-'Combined data'!AF267</f>
        <v>0</v>
      </c>
      <c r="AH267" s="90">
        <f>'Combined data'!AH267-'Combined data'!AG267</f>
        <v>0</v>
      </c>
      <c r="AI267" s="90">
        <f>'Combined data'!AI267-'Combined data'!AH267</f>
        <v>0</v>
      </c>
      <c r="AJ267" s="90">
        <f>'Combined data'!AJ267-'Combined data'!AI267</f>
        <v>0</v>
      </c>
      <c r="AK267" s="90">
        <f>'Combined data'!AK267-'Combined data'!AJ267</f>
        <v>0</v>
      </c>
      <c r="AL267" s="90">
        <f>'Combined data'!AL267-'Combined data'!AK267</f>
        <v>0</v>
      </c>
      <c r="AM267" s="90">
        <f>'Combined data'!AM267-'Combined data'!AL267</f>
        <v>0</v>
      </c>
      <c r="AN267" s="90">
        <f>'Combined data'!AN267-'Combined data'!AM267</f>
        <v>0</v>
      </c>
      <c r="AO267" s="90">
        <f>'Combined data'!AO267-'Combined data'!AN267</f>
        <v>0</v>
      </c>
      <c r="AP267" s="56">
        <f t="shared" si="238"/>
        <v>0</v>
      </c>
      <c r="AQ267" s="113"/>
      <c r="AR267" s="17">
        <f>'Combined data'!AR267</f>
        <v>19</v>
      </c>
      <c r="AS267" s="17">
        <f>'Combined data'!AS267-'Combined data'!AR267</f>
        <v>15</v>
      </c>
      <c r="AT267" s="17">
        <f>'Combined data'!AT267-'Combined data'!AS267</f>
        <v>11</v>
      </c>
      <c r="AU267" s="17">
        <f>'Combined data'!AU267-'Combined data'!AT267</f>
        <v>3</v>
      </c>
      <c r="AV267" s="17">
        <f>'Combined data'!AV267-'Combined data'!AU267</f>
        <v>1</v>
      </c>
      <c r="AW267" s="17">
        <f>'Combined data'!AW267-'Combined data'!AV267</f>
        <v>2</v>
      </c>
      <c r="AX267" s="17">
        <f>'Combined data'!AX267-'Combined data'!AW267</f>
        <v>0</v>
      </c>
      <c r="AY267" s="17">
        <f>'Combined data'!AY267-'Combined data'!AX267</f>
        <v>0</v>
      </c>
      <c r="AZ267" s="17">
        <f>'Combined data'!AZ267-'Combined data'!AY267</f>
        <v>1</v>
      </c>
      <c r="BA267" s="17">
        <f>'Combined data'!BA267-'Combined data'!AZ267</f>
        <v>12</v>
      </c>
      <c r="BB267" s="17">
        <f>'Combined data'!BB267-'Combined data'!BA267</f>
        <v>0</v>
      </c>
      <c r="BC267" s="17">
        <f>'Combined data'!BC267-'Combined data'!BB267</f>
        <v>6</v>
      </c>
      <c r="BD267" s="17">
        <f>'Combined data'!BD267-'Combined data'!BC267</f>
        <v>12</v>
      </c>
      <c r="BE267" s="17">
        <f>'Combined data'!BE267-'Combined data'!BD267</f>
        <v>7</v>
      </c>
      <c r="BF267" s="17">
        <f>'Combined data'!BF267-'Combined data'!BE267</f>
        <v>1</v>
      </c>
      <c r="BG267" s="17">
        <f>'Combined data'!BG267-'Combined data'!BF267</f>
        <v>2</v>
      </c>
      <c r="BH267" s="17">
        <f>'Combined data'!BH267-'Combined data'!BG267</f>
        <v>3</v>
      </c>
      <c r="BI267" s="17">
        <f>'Combined data'!BI267-'Combined data'!BH267</f>
        <v>3</v>
      </c>
      <c r="BJ267" s="17">
        <f>'Combined data'!BJ267-'Combined data'!BI267</f>
        <v>2</v>
      </c>
      <c r="BK267" s="17">
        <f>'Combined data'!BK267-'Combined data'!BJ267</f>
        <v>0</v>
      </c>
      <c r="BL267" s="17">
        <f>'Combined data'!BL267-'Combined data'!BK267</f>
        <v>4</v>
      </c>
      <c r="BM267" s="17">
        <f>'Combined data'!BM267-'Combined data'!BL267</f>
        <v>-1</v>
      </c>
      <c r="BN267" s="17">
        <f>'Combined data'!BN267-'Combined data'!BM267</f>
        <v>3</v>
      </c>
      <c r="BO267" s="17">
        <f>'Combined data'!BO267-'Combined data'!BN267</f>
        <v>-106</v>
      </c>
      <c r="BP267" s="17">
        <f>'Combined data'!BP267-'Combined data'!BO267</f>
        <v>0</v>
      </c>
      <c r="BQ267" s="17">
        <f>'Combined data'!BQ267-'Combined data'!BP267</f>
        <v>0</v>
      </c>
      <c r="BR267" s="17">
        <f>'Combined data'!BR267-'Combined data'!BQ267</f>
        <v>0</v>
      </c>
      <c r="BS267" s="17">
        <f>'Combined data'!BS267-'Combined data'!BR267</f>
        <v>0</v>
      </c>
      <c r="BT267" s="17">
        <f>'Combined data'!BT267-'Combined data'!BS267</f>
        <v>0</v>
      </c>
      <c r="BU267" s="17">
        <f>'Combined data'!BU267-'Combined data'!BT267</f>
        <v>0</v>
      </c>
      <c r="BV267" s="17">
        <f>'Combined data'!BV267-'Combined data'!BU267</f>
        <v>0</v>
      </c>
      <c r="BW267" s="17">
        <f>'Combined data'!BW267-'Combined data'!BV267</f>
        <v>0</v>
      </c>
      <c r="BX267" s="17">
        <f>'Combined data'!BX267-'Combined data'!BW267</f>
        <v>0</v>
      </c>
      <c r="BY267" s="17">
        <f>'Combined data'!BY267-'Combined data'!BX267</f>
        <v>0</v>
      </c>
      <c r="CB267" s="17">
        <f t="shared" si="215"/>
        <v>19</v>
      </c>
      <c r="CC267" s="17">
        <f t="shared" si="216"/>
        <v>15</v>
      </c>
      <c r="CD267" s="17">
        <f t="shared" si="217"/>
        <v>11</v>
      </c>
      <c r="CE267" s="17">
        <f t="shared" si="218"/>
        <v>3</v>
      </c>
      <c r="CF267" s="17">
        <f t="shared" si="219"/>
        <v>1</v>
      </c>
      <c r="CG267" s="17">
        <f t="shared" si="220"/>
        <v>2</v>
      </c>
      <c r="CH267" s="17">
        <f t="shared" si="221"/>
        <v>0</v>
      </c>
      <c r="CI267" s="17">
        <f t="shared" si="222"/>
        <v>0</v>
      </c>
      <c r="CJ267" s="17">
        <f t="shared" si="223"/>
        <v>1</v>
      </c>
      <c r="CK267" s="17">
        <f t="shared" si="224"/>
        <v>12</v>
      </c>
      <c r="CL267" s="17">
        <f t="shared" si="225"/>
        <v>0</v>
      </c>
      <c r="CM267" s="17">
        <f t="shared" si="226"/>
        <v>6</v>
      </c>
      <c r="CN267" s="17">
        <f t="shared" si="227"/>
        <v>12</v>
      </c>
      <c r="CO267" s="17">
        <f t="shared" si="228"/>
        <v>7</v>
      </c>
      <c r="CP267" s="17">
        <f t="shared" si="229"/>
        <v>1</v>
      </c>
      <c r="CQ267" s="17">
        <f t="shared" si="230"/>
        <v>2</v>
      </c>
      <c r="CR267" s="17">
        <f t="shared" si="231"/>
        <v>3</v>
      </c>
      <c r="CS267" s="17">
        <f t="shared" si="232"/>
        <v>3</v>
      </c>
      <c r="CT267" s="17">
        <f t="shared" si="233"/>
        <v>2</v>
      </c>
      <c r="CU267" s="17">
        <f t="shared" si="234"/>
        <v>0</v>
      </c>
      <c r="CV267" s="17">
        <f t="shared" si="235"/>
        <v>4</v>
      </c>
      <c r="CW267" s="17">
        <f t="shared" si="236"/>
        <v>-1</v>
      </c>
      <c r="CX267" s="17">
        <f t="shared" si="237"/>
        <v>3</v>
      </c>
      <c r="CY267" s="17">
        <f t="shared" si="237"/>
        <v>-106</v>
      </c>
      <c r="CZ267" s="17">
        <f t="shared" si="237"/>
        <v>0</v>
      </c>
      <c r="DA267" s="17">
        <f t="shared" si="237"/>
        <v>0</v>
      </c>
      <c r="DB267" s="17">
        <f t="shared" si="237"/>
        <v>0</v>
      </c>
      <c r="DC267" s="17">
        <f t="shared" si="237"/>
        <v>0</v>
      </c>
      <c r="DD267" s="17">
        <f t="shared" si="237"/>
        <v>0</v>
      </c>
      <c r="DE267" s="17">
        <f t="shared" si="237"/>
        <v>0</v>
      </c>
      <c r="DF267" s="17">
        <f t="shared" si="237"/>
        <v>0</v>
      </c>
      <c r="DG267" s="17">
        <f t="shared" si="237"/>
        <v>0</v>
      </c>
      <c r="DH267" s="17">
        <f t="shared" si="237"/>
        <v>0</v>
      </c>
      <c r="DI267" s="17">
        <f t="shared" si="237"/>
        <v>0</v>
      </c>
    </row>
    <row r="268" spans="1:113" ht="15.75" x14ac:dyDescent="0.25">
      <c r="A268" s="4" t="s">
        <v>568</v>
      </c>
      <c r="B268" s="6" t="s">
        <v>569</v>
      </c>
      <c r="H268" s="90">
        <f>'Combined data'!H268</f>
        <v>45</v>
      </c>
      <c r="I268" s="90">
        <f>'Combined data'!I268-'Combined data'!H268</f>
        <v>1</v>
      </c>
      <c r="J268" s="90">
        <f>'Combined data'!J268-'Combined data'!I268</f>
        <v>0</v>
      </c>
      <c r="K268" s="90">
        <f>'Combined data'!K268-'Combined data'!J268</f>
        <v>5</v>
      </c>
      <c r="L268" s="90">
        <f>'Combined data'!L268-'Combined data'!K268</f>
        <v>2</v>
      </c>
      <c r="M268" s="90">
        <f>'Combined data'!M268-'Combined data'!L268</f>
        <v>0</v>
      </c>
      <c r="N268" s="90">
        <f>'Combined data'!N268-'Combined data'!M268</f>
        <v>9</v>
      </c>
      <c r="O268" s="90">
        <f>'Combined data'!O268-'Combined data'!N268</f>
        <v>1</v>
      </c>
      <c r="P268" s="90">
        <f>'Combined data'!P268-'Combined data'!O268</f>
        <v>11</v>
      </c>
      <c r="Q268" s="90">
        <f>'Combined data'!Q268-'Combined data'!P268</f>
        <v>0</v>
      </c>
      <c r="R268" s="90">
        <f>'Combined data'!R268-'Combined data'!Q268</f>
        <v>0</v>
      </c>
      <c r="S268" s="90">
        <f>'Combined data'!S268-'Combined data'!R268</f>
        <v>3</v>
      </c>
      <c r="T268" s="90">
        <f>'Combined data'!T268-'Combined data'!S268</f>
        <v>0</v>
      </c>
      <c r="U268" s="90">
        <f>'Combined data'!U268-'Combined data'!T268</f>
        <v>3</v>
      </c>
      <c r="V268" s="90">
        <f>'Combined data'!V268-'Combined data'!U268</f>
        <v>4</v>
      </c>
      <c r="W268" s="90">
        <f>'Combined data'!W268-'Combined data'!V268</f>
        <v>4</v>
      </c>
      <c r="X268" s="90">
        <f>'Combined data'!X268-'Combined data'!W268</f>
        <v>0</v>
      </c>
      <c r="Y268" s="90">
        <f>'Combined data'!Y268-'Combined data'!X268</f>
        <v>2</v>
      </c>
      <c r="Z268" s="90">
        <f>'Combined data'!Z268-'Combined data'!Y268</f>
        <v>4</v>
      </c>
      <c r="AA268" s="90">
        <f>'Combined data'!AA268-'Combined data'!Z268</f>
        <v>1</v>
      </c>
      <c r="AB268" s="90">
        <f>'Combined data'!AB268-'Combined data'!AA268</f>
        <v>0</v>
      </c>
      <c r="AC268" s="90">
        <f>'Combined data'!AC268-'Combined data'!AB268</f>
        <v>0</v>
      </c>
      <c r="AD268" s="90">
        <f>'Combined data'!AD268-'Combined data'!AC268</f>
        <v>1</v>
      </c>
      <c r="AE268" s="90">
        <f>'Combined data'!AE268-'Combined data'!AD268</f>
        <v>-96</v>
      </c>
      <c r="AF268" s="90">
        <f>'Combined data'!AF268-'Combined data'!AE268</f>
        <v>0</v>
      </c>
      <c r="AG268" s="90">
        <f>'Combined data'!AG268-'Combined data'!AF268</f>
        <v>0</v>
      </c>
      <c r="AH268" s="90">
        <f>'Combined data'!AH268-'Combined data'!AG268</f>
        <v>0</v>
      </c>
      <c r="AI268" s="90">
        <f>'Combined data'!AI268-'Combined data'!AH268</f>
        <v>0</v>
      </c>
      <c r="AJ268" s="90">
        <f>'Combined data'!AJ268-'Combined data'!AI268</f>
        <v>0</v>
      </c>
      <c r="AK268" s="90">
        <f>'Combined data'!AK268-'Combined data'!AJ268</f>
        <v>0</v>
      </c>
      <c r="AL268" s="90">
        <f>'Combined data'!AL268-'Combined data'!AK268</f>
        <v>0</v>
      </c>
      <c r="AM268" s="90">
        <f>'Combined data'!AM268-'Combined data'!AL268</f>
        <v>0</v>
      </c>
      <c r="AN268" s="90">
        <f>'Combined data'!AN268-'Combined data'!AM268</f>
        <v>0</v>
      </c>
      <c r="AO268" s="90">
        <f>'Combined data'!AO268-'Combined data'!AN268</f>
        <v>0</v>
      </c>
      <c r="AP268" s="56">
        <f t="shared" si="238"/>
        <v>0</v>
      </c>
      <c r="AQ268" s="113"/>
      <c r="AR268" s="17">
        <f>'Combined data'!AR268</f>
        <v>7</v>
      </c>
      <c r="AS268" s="17">
        <f>'Combined data'!AS268-'Combined data'!AR268</f>
        <v>0</v>
      </c>
      <c r="AT268" s="17">
        <f>'Combined data'!AT268-'Combined data'!AS268</f>
        <v>0</v>
      </c>
      <c r="AU268" s="17">
        <f>'Combined data'!AU268-'Combined data'!AT268</f>
        <v>2</v>
      </c>
      <c r="AV268" s="17">
        <f>'Combined data'!AV268-'Combined data'!AU268</f>
        <v>0</v>
      </c>
      <c r="AW268" s="17">
        <f>'Combined data'!AW268-'Combined data'!AV268</f>
        <v>0</v>
      </c>
      <c r="AX268" s="17">
        <f>'Combined data'!AX268-'Combined data'!AW268</f>
        <v>0</v>
      </c>
      <c r="AY268" s="17">
        <f>'Combined data'!AY268-'Combined data'!AX268</f>
        <v>0</v>
      </c>
      <c r="AZ268" s="17">
        <f>'Combined data'!AZ268-'Combined data'!AY268</f>
        <v>5</v>
      </c>
      <c r="BA268" s="17">
        <f>'Combined data'!BA268-'Combined data'!AZ268</f>
        <v>3</v>
      </c>
      <c r="BB268" s="17">
        <f>'Combined data'!BB268-'Combined data'!BA268</f>
        <v>7</v>
      </c>
      <c r="BC268" s="17">
        <f>'Combined data'!BC268-'Combined data'!BB268</f>
        <v>0</v>
      </c>
      <c r="BD268" s="17">
        <f>'Combined data'!BD268-'Combined data'!BC268</f>
        <v>2</v>
      </c>
      <c r="BE268" s="17">
        <f>'Combined data'!BE268-'Combined data'!BD268</f>
        <v>1</v>
      </c>
      <c r="BF268" s="17">
        <f>'Combined data'!BF268-'Combined data'!BE268</f>
        <v>1</v>
      </c>
      <c r="BG268" s="17">
        <f>'Combined data'!BG268-'Combined data'!BF268</f>
        <v>2</v>
      </c>
      <c r="BH268" s="17">
        <f>'Combined data'!BH268-'Combined data'!BG268</f>
        <v>3</v>
      </c>
      <c r="BI268" s="17">
        <f>'Combined data'!BI268-'Combined data'!BH268</f>
        <v>2</v>
      </c>
      <c r="BJ268" s="17">
        <f>'Combined data'!BJ268-'Combined data'!BI268</f>
        <v>0</v>
      </c>
      <c r="BK268" s="17">
        <f>'Combined data'!BK268-'Combined data'!BJ268</f>
        <v>0</v>
      </c>
      <c r="BL268" s="17">
        <f>'Combined data'!BL268-'Combined data'!BK268</f>
        <v>3</v>
      </c>
      <c r="BM268" s="17">
        <f>'Combined data'!BM268-'Combined data'!BL268</f>
        <v>0</v>
      </c>
      <c r="BN268" s="17">
        <f>'Combined data'!BN268-'Combined data'!BM268</f>
        <v>0</v>
      </c>
      <c r="BO268" s="17">
        <f>'Combined data'!BO268-'Combined data'!BN268</f>
        <v>-38</v>
      </c>
      <c r="BP268" s="17">
        <f>'Combined data'!BP268-'Combined data'!BO268</f>
        <v>0</v>
      </c>
      <c r="BQ268" s="17">
        <f>'Combined data'!BQ268-'Combined data'!BP268</f>
        <v>0</v>
      </c>
      <c r="BR268" s="17">
        <f>'Combined data'!BR268-'Combined data'!BQ268</f>
        <v>0</v>
      </c>
      <c r="BS268" s="17">
        <f>'Combined data'!BS268-'Combined data'!BR268</f>
        <v>0</v>
      </c>
      <c r="BT268" s="17">
        <f>'Combined data'!BT268-'Combined data'!BS268</f>
        <v>0</v>
      </c>
      <c r="BU268" s="17">
        <f>'Combined data'!BU268-'Combined data'!BT268</f>
        <v>0</v>
      </c>
      <c r="BV268" s="17">
        <f>'Combined data'!BV268-'Combined data'!BU268</f>
        <v>0</v>
      </c>
      <c r="BW268" s="17">
        <f>'Combined data'!BW268-'Combined data'!BV268</f>
        <v>0</v>
      </c>
      <c r="BX268" s="17">
        <f>'Combined data'!BX268-'Combined data'!BW268</f>
        <v>0</v>
      </c>
      <c r="BY268" s="17">
        <f>'Combined data'!BY268-'Combined data'!BX268</f>
        <v>0</v>
      </c>
      <c r="CB268" s="17">
        <f t="shared" si="215"/>
        <v>7</v>
      </c>
      <c r="CC268" s="17">
        <f t="shared" si="216"/>
        <v>0</v>
      </c>
      <c r="CD268" s="17">
        <f t="shared" si="217"/>
        <v>0</v>
      </c>
      <c r="CE268" s="17">
        <f t="shared" si="218"/>
        <v>2</v>
      </c>
      <c r="CF268" s="17">
        <f t="shared" si="219"/>
        <v>0</v>
      </c>
      <c r="CG268" s="17">
        <f t="shared" si="220"/>
        <v>0</v>
      </c>
      <c r="CH268" s="17">
        <f t="shared" si="221"/>
        <v>0</v>
      </c>
      <c r="CI268" s="17">
        <f t="shared" si="222"/>
        <v>0</v>
      </c>
      <c r="CJ268" s="17">
        <f t="shared" si="223"/>
        <v>5</v>
      </c>
      <c r="CK268" s="17">
        <f t="shared" si="224"/>
        <v>3</v>
      </c>
      <c r="CL268" s="17">
        <f t="shared" si="225"/>
        <v>7</v>
      </c>
      <c r="CM268" s="17">
        <f t="shared" si="226"/>
        <v>0</v>
      </c>
      <c r="CN268" s="17">
        <f t="shared" si="227"/>
        <v>2</v>
      </c>
      <c r="CO268" s="17">
        <f t="shared" si="228"/>
        <v>1</v>
      </c>
      <c r="CP268" s="17">
        <f t="shared" si="229"/>
        <v>1</v>
      </c>
      <c r="CQ268" s="17">
        <f t="shared" si="230"/>
        <v>2</v>
      </c>
      <c r="CR268" s="17">
        <f t="shared" si="231"/>
        <v>3</v>
      </c>
      <c r="CS268" s="17">
        <f t="shared" si="232"/>
        <v>2</v>
      </c>
      <c r="CT268" s="17">
        <f t="shared" si="233"/>
        <v>0</v>
      </c>
      <c r="CU268" s="17">
        <f t="shared" si="234"/>
        <v>0</v>
      </c>
      <c r="CV268" s="17">
        <f t="shared" si="235"/>
        <v>3</v>
      </c>
      <c r="CW268" s="17">
        <f t="shared" si="236"/>
        <v>0</v>
      </c>
      <c r="CX268" s="17">
        <f t="shared" si="237"/>
        <v>0</v>
      </c>
      <c r="CY268" s="17">
        <f t="shared" si="237"/>
        <v>-38</v>
      </c>
      <c r="CZ268" s="17">
        <f t="shared" si="237"/>
        <v>0</v>
      </c>
      <c r="DA268" s="17">
        <f t="shared" si="237"/>
        <v>0</v>
      </c>
      <c r="DB268" s="17">
        <f t="shared" si="237"/>
        <v>0</v>
      </c>
      <c r="DC268" s="17">
        <f t="shared" si="237"/>
        <v>0</v>
      </c>
      <c r="DD268" s="17">
        <f t="shared" si="237"/>
        <v>0</v>
      </c>
      <c r="DE268" s="17">
        <f t="shared" si="237"/>
        <v>0</v>
      </c>
      <c r="DF268" s="17">
        <f t="shared" si="237"/>
        <v>0</v>
      </c>
      <c r="DG268" s="17">
        <f t="shared" si="237"/>
        <v>0</v>
      </c>
      <c r="DH268" s="17">
        <f t="shared" si="237"/>
        <v>0</v>
      </c>
      <c r="DI268" s="17">
        <f t="shared" si="237"/>
        <v>0</v>
      </c>
    </row>
    <row r="269" spans="1:113" ht="15.75" x14ac:dyDescent="0.25">
      <c r="A269" s="4" t="s">
        <v>570</v>
      </c>
      <c r="B269" s="6" t="s">
        <v>571</v>
      </c>
      <c r="H269" s="90">
        <f>'Combined data'!H269</f>
        <v>30</v>
      </c>
      <c r="I269" s="90">
        <f>'Combined data'!I269-'Combined data'!H269</f>
        <v>3</v>
      </c>
      <c r="J269" s="90">
        <f>'Combined data'!J269-'Combined data'!I269</f>
        <v>0</v>
      </c>
      <c r="K269" s="90">
        <f>'Combined data'!K269-'Combined data'!J269</f>
        <v>1</v>
      </c>
      <c r="L269" s="90">
        <f>'Combined data'!L269-'Combined data'!K269</f>
        <v>0</v>
      </c>
      <c r="M269" s="90">
        <f>'Combined data'!M269-'Combined data'!L269</f>
        <v>1</v>
      </c>
      <c r="N269" s="90">
        <f>'Combined data'!N269-'Combined data'!M269</f>
        <v>0</v>
      </c>
      <c r="O269" s="90">
        <f>'Combined data'!O269-'Combined data'!N269</f>
        <v>4</v>
      </c>
      <c r="P269" s="90">
        <f>'Combined data'!P269-'Combined data'!O269</f>
        <v>8</v>
      </c>
      <c r="Q269" s="90">
        <f>'Combined data'!Q269-'Combined data'!P269</f>
        <v>0</v>
      </c>
      <c r="R269" s="90">
        <f>'Combined data'!R269-'Combined data'!Q269</f>
        <v>1</v>
      </c>
      <c r="S269" s="90">
        <f>'Combined data'!S269-'Combined data'!R269</f>
        <v>1</v>
      </c>
      <c r="T269" s="90">
        <f>'Combined data'!T269-'Combined data'!S269</f>
        <v>2</v>
      </c>
      <c r="U269" s="90">
        <f>'Combined data'!U269-'Combined data'!T269</f>
        <v>1</v>
      </c>
      <c r="V269" s="90">
        <f>'Combined data'!V269-'Combined data'!U269</f>
        <v>11</v>
      </c>
      <c r="W269" s="90">
        <f>'Combined data'!W269-'Combined data'!V269</f>
        <v>0</v>
      </c>
      <c r="X269" s="90">
        <f>'Combined data'!X269-'Combined data'!W269</f>
        <v>0</v>
      </c>
      <c r="Y269" s="90">
        <f>'Combined data'!Y269-'Combined data'!X269</f>
        <v>4</v>
      </c>
      <c r="Z269" s="90">
        <f>'Combined data'!Z269-'Combined data'!Y269</f>
        <v>5</v>
      </c>
      <c r="AA269" s="90">
        <f>'Combined data'!AA269-'Combined data'!Z269</f>
        <v>0</v>
      </c>
      <c r="AB269" s="90">
        <f>'Combined data'!AB269-'Combined data'!AA269</f>
        <v>0</v>
      </c>
      <c r="AC269" s="90">
        <f>'Combined data'!AC269-'Combined data'!AB269</f>
        <v>1</v>
      </c>
      <c r="AD269" s="90">
        <f>'Combined data'!AD269-'Combined data'!AC269</f>
        <v>0</v>
      </c>
      <c r="AE269" s="90">
        <f>'Combined data'!AE269-'Combined data'!AD269</f>
        <v>-73</v>
      </c>
      <c r="AF269" s="90">
        <f>'Combined data'!AF269-'Combined data'!AE269</f>
        <v>0</v>
      </c>
      <c r="AG269" s="90">
        <f>'Combined data'!AG269-'Combined data'!AF269</f>
        <v>0</v>
      </c>
      <c r="AH269" s="90">
        <f>'Combined data'!AH269-'Combined data'!AG269</f>
        <v>0</v>
      </c>
      <c r="AI269" s="90">
        <f>'Combined data'!AI269-'Combined data'!AH269</f>
        <v>0</v>
      </c>
      <c r="AJ269" s="90">
        <f>'Combined data'!AJ269-'Combined data'!AI269</f>
        <v>0</v>
      </c>
      <c r="AK269" s="90">
        <f>'Combined data'!AK269-'Combined data'!AJ269</f>
        <v>0</v>
      </c>
      <c r="AL269" s="90">
        <f>'Combined data'!AL269-'Combined data'!AK269</f>
        <v>0</v>
      </c>
      <c r="AM269" s="90">
        <f>'Combined data'!AM269-'Combined data'!AL269</f>
        <v>0</v>
      </c>
      <c r="AN269" s="90">
        <f>'Combined data'!AN269-'Combined data'!AM269</f>
        <v>0</v>
      </c>
      <c r="AO269" s="90">
        <f>'Combined data'!AO269-'Combined data'!AN269</f>
        <v>0</v>
      </c>
      <c r="AP269" s="56">
        <f t="shared" si="238"/>
        <v>0</v>
      </c>
      <c r="AQ269" s="113"/>
      <c r="AR269" s="17">
        <f>'Combined data'!AR269</f>
        <v>5</v>
      </c>
      <c r="AS269" s="17">
        <f>'Combined data'!AS269-'Combined data'!AR269</f>
        <v>0</v>
      </c>
      <c r="AT269" s="17">
        <f>'Combined data'!AT269-'Combined data'!AS269</f>
        <v>0</v>
      </c>
      <c r="AU269" s="17">
        <f>'Combined data'!AU269-'Combined data'!AT269</f>
        <v>1</v>
      </c>
      <c r="AV269" s="17">
        <f>'Combined data'!AV269-'Combined data'!AU269</f>
        <v>0</v>
      </c>
      <c r="AW269" s="17">
        <f>'Combined data'!AW269-'Combined data'!AV269</f>
        <v>3</v>
      </c>
      <c r="AX269" s="17">
        <f>'Combined data'!AX269-'Combined data'!AW269</f>
        <v>1</v>
      </c>
      <c r="AY269" s="17">
        <f>'Combined data'!AY269-'Combined data'!AX269</f>
        <v>0</v>
      </c>
      <c r="AZ269" s="17">
        <f>'Combined data'!AZ269-'Combined data'!AY269</f>
        <v>0</v>
      </c>
      <c r="BA269" s="17">
        <f>'Combined data'!BA269-'Combined data'!AZ269</f>
        <v>0</v>
      </c>
      <c r="BB269" s="17">
        <f>'Combined data'!BB269-'Combined data'!BA269</f>
        <v>0</v>
      </c>
      <c r="BC269" s="17">
        <f>'Combined data'!BC269-'Combined data'!BB269</f>
        <v>1</v>
      </c>
      <c r="BD269" s="17">
        <f>'Combined data'!BD269-'Combined data'!BC269</f>
        <v>2</v>
      </c>
      <c r="BE269" s="17">
        <f>'Combined data'!BE269-'Combined data'!BD269</f>
        <v>0</v>
      </c>
      <c r="BF269" s="17">
        <f>'Combined data'!BF269-'Combined data'!BE269</f>
        <v>1</v>
      </c>
      <c r="BG269" s="17">
        <f>'Combined data'!BG269-'Combined data'!BF269</f>
        <v>2</v>
      </c>
      <c r="BH269" s="17">
        <f>'Combined data'!BH269-'Combined data'!BG269</f>
        <v>3</v>
      </c>
      <c r="BI269" s="17">
        <f>'Combined data'!BI269-'Combined data'!BH269</f>
        <v>0</v>
      </c>
      <c r="BJ269" s="17">
        <f>'Combined data'!BJ269-'Combined data'!BI269</f>
        <v>0</v>
      </c>
      <c r="BK269" s="17">
        <f>'Combined data'!BK269-'Combined data'!BJ269</f>
        <v>10</v>
      </c>
      <c r="BL269" s="17">
        <f>'Combined data'!BL269-'Combined data'!BK269</f>
        <v>0</v>
      </c>
      <c r="BM269" s="17">
        <f>'Combined data'!BM269-'Combined data'!BL269</f>
        <v>2</v>
      </c>
      <c r="BN269" s="17">
        <f>'Combined data'!BN269-'Combined data'!BM269</f>
        <v>0</v>
      </c>
      <c r="BO269" s="17">
        <f>'Combined data'!BO269-'Combined data'!BN269</f>
        <v>-31</v>
      </c>
      <c r="BP269" s="17">
        <f>'Combined data'!BP269-'Combined data'!BO269</f>
        <v>0</v>
      </c>
      <c r="BQ269" s="17">
        <f>'Combined data'!BQ269-'Combined data'!BP269</f>
        <v>0</v>
      </c>
      <c r="BR269" s="17">
        <f>'Combined data'!BR269-'Combined data'!BQ269</f>
        <v>0</v>
      </c>
      <c r="BS269" s="17">
        <f>'Combined data'!BS269-'Combined data'!BR269</f>
        <v>0</v>
      </c>
      <c r="BT269" s="17">
        <f>'Combined data'!BT269-'Combined data'!BS269</f>
        <v>0</v>
      </c>
      <c r="BU269" s="17">
        <f>'Combined data'!BU269-'Combined data'!BT269</f>
        <v>0</v>
      </c>
      <c r="BV269" s="17">
        <f>'Combined data'!BV269-'Combined data'!BU269</f>
        <v>0</v>
      </c>
      <c r="BW269" s="17">
        <f>'Combined data'!BW269-'Combined data'!BV269</f>
        <v>0</v>
      </c>
      <c r="BX269" s="17">
        <f>'Combined data'!BX269-'Combined data'!BW269</f>
        <v>0</v>
      </c>
      <c r="BY269" s="17">
        <f>'Combined data'!BY269-'Combined data'!BX269</f>
        <v>0</v>
      </c>
      <c r="CB269" s="17">
        <f t="shared" si="215"/>
        <v>5</v>
      </c>
      <c r="CC269" s="17">
        <f t="shared" si="216"/>
        <v>0</v>
      </c>
      <c r="CD269" s="17">
        <f t="shared" si="217"/>
        <v>0</v>
      </c>
      <c r="CE269" s="17">
        <f t="shared" si="218"/>
        <v>1</v>
      </c>
      <c r="CF269" s="17">
        <f t="shared" si="219"/>
        <v>0</v>
      </c>
      <c r="CG269" s="17">
        <f t="shared" si="220"/>
        <v>3</v>
      </c>
      <c r="CH269" s="17">
        <f t="shared" si="221"/>
        <v>1</v>
      </c>
      <c r="CI269" s="17">
        <f t="shared" si="222"/>
        <v>0</v>
      </c>
      <c r="CJ269" s="17">
        <f t="shared" si="223"/>
        <v>0</v>
      </c>
      <c r="CK269" s="17">
        <f t="shared" si="224"/>
        <v>0</v>
      </c>
      <c r="CL269" s="17">
        <f t="shared" si="225"/>
        <v>0</v>
      </c>
      <c r="CM269" s="17">
        <f t="shared" si="226"/>
        <v>1</v>
      </c>
      <c r="CN269" s="17">
        <f t="shared" si="227"/>
        <v>2</v>
      </c>
      <c r="CO269" s="17">
        <f t="shared" si="228"/>
        <v>0</v>
      </c>
      <c r="CP269" s="17">
        <f t="shared" si="229"/>
        <v>1</v>
      </c>
      <c r="CQ269" s="17">
        <f t="shared" si="230"/>
        <v>2</v>
      </c>
      <c r="CR269" s="17">
        <f t="shared" si="231"/>
        <v>3</v>
      </c>
      <c r="CS269" s="17">
        <f t="shared" si="232"/>
        <v>0</v>
      </c>
      <c r="CT269" s="17">
        <f t="shared" si="233"/>
        <v>0</v>
      </c>
      <c r="CU269" s="17">
        <f t="shared" si="234"/>
        <v>10</v>
      </c>
      <c r="CV269" s="17">
        <f t="shared" si="235"/>
        <v>0</v>
      </c>
      <c r="CW269" s="17">
        <f t="shared" si="236"/>
        <v>2</v>
      </c>
      <c r="CX269" s="17">
        <f t="shared" si="237"/>
        <v>0</v>
      </c>
      <c r="CY269" s="17">
        <f t="shared" si="237"/>
        <v>-31</v>
      </c>
      <c r="CZ269" s="17">
        <f t="shared" si="237"/>
        <v>0</v>
      </c>
      <c r="DA269" s="17">
        <f t="shared" si="237"/>
        <v>0</v>
      </c>
      <c r="DB269" s="17">
        <f t="shared" si="237"/>
        <v>0</v>
      </c>
      <c r="DC269" s="17">
        <f t="shared" si="237"/>
        <v>0</v>
      </c>
      <c r="DD269" s="17">
        <f t="shared" si="237"/>
        <v>0</v>
      </c>
      <c r="DE269" s="17">
        <f t="shared" si="237"/>
        <v>0</v>
      </c>
      <c r="DF269" s="17">
        <f t="shared" si="237"/>
        <v>0</v>
      </c>
      <c r="DG269" s="17">
        <f t="shared" si="237"/>
        <v>0</v>
      </c>
      <c r="DH269" s="17">
        <f t="shared" si="237"/>
        <v>0</v>
      </c>
      <c r="DI269" s="17">
        <f t="shared" si="237"/>
        <v>0</v>
      </c>
    </row>
    <row r="270" spans="1:113" ht="15.75" x14ac:dyDescent="0.25">
      <c r="A270" s="4" t="s">
        <v>572</v>
      </c>
      <c r="B270" s="6" t="s">
        <v>573</v>
      </c>
      <c r="H270" s="90">
        <f>'Combined data'!H270</f>
        <v>28</v>
      </c>
      <c r="I270" s="90">
        <f>'Combined data'!I270-'Combined data'!H270</f>
        <v>1</v>
      </c>
      <c r="J270" s="90">
        <f>'Combined data'!J270-'Combined data'!I270</f>
        <v>2</v>
      </c>
      <c r="K270" s="90">
        <f>'Combined data'!K270-'Combined data'!J270</f>
        <v>4</v>
      </c>
      <c r="L270" s="90">
        <f>'Combined data'!L270-'Combined data'!K270</f>
        <v>0</v>
      </c>
      <c r="M270" s="90">
        <f>'Combined data'!M270-'Combined data'!L270</f>
        <v>-1</v>
      </c>
      <c r="N270" s="90">
        <f>'Combined data'!N270-'Combined data'!M270</f>
        <v>4</v>
      </c>
      <c r="O270" s="90">
        <f>'Combined data'!O270-'Combined data'!N270</f>
        <v>0</v>
      </c>
      <c r="P270" s="90">
        <f>'Combined data'!P270-'Combined data'!O270</f>
        <v>2</v>
      </c>
      <c r="Q270" s="90">
        <f>'Combined data'!Q270-'Combined data'!P270</f>
        <v>1</v>
      </c>
      <c r="R270" s="90">
        <f>'Combined data'!R270-'Combined data'!Q270</f>
        <v>1</v>
      </c>
      <c r="S270" s="90">
        <f>'Combined data'!S270-'Combined data'!R270</f>
        <v>3</v>
      </c>
      <c r="T270" s="90">
        <f>'Combined data'!T270-'Combined data'!S270</f>
        <v>2</v>
      </c>
      <c r="U270" s="90">
        <f>'Combined data'!U270-'Combined data'!T270</f>
        <v>0</v>
      </c>
      <c r="V270" s="90">
        <f>'Combined data'!V270-'Combined data'!U270</f>
        <v>0</v>
      </c>
      <c r="W270" s="90">
        <f>'Combined data'!W270-'Combined data'!V270</f>
        <v>3</v>
      </c>
      <c r="X270" s="90">
        <f>'Combined data'!X270-'Combined data'!W270</f>
        <v>1</v>
      </c>
      <c r="Y270" s="90">
        <f>'Combined data'!Y270-'Combined data'!X270</f>
        <v>4</v>
      </c>
      <c r="Z270" s="90">
        <f>'Combined data'!Z270-'Combined data'!Y270</f>
        <v>3</v>
      </c>
      <c r="AA270" s="90">
        <f>'Combined data'!AA270-'Combined data'!Z270</f>
        <v>2</v>
      </c>
      <c r="AB270" s="90">
        <f>'Combined data'!AB270-'Combined data'!AA270</f>
        <v>0</v>
      </c>
      <c r="AC270" s="90">
        <f>'Combined data'!AC270-'Combined data'!AB270</f>
        <v>0</v>
      </c>
      <c r="AD270" s="90">
        <f>'Combined data'!AD270-'Combined data'!AC270</f>
        <v>6</v>
      </c>
      <c r="AE270" s="90">
        <f>'Combined data'!AE270-'Combined data'!AD270</f>
        <v>-66</v>
      </c>
      <c r="AF270" s="90">
        <f>'Combined data'!AF270-'Combined data'!AE270</f>
        <v>0</v>
      </c>
      <c r="AG270" s="90">
        <f>'Combined data'!AG270-'Combined data'!AF270</f>
        <v>0</v>
      </c>
      <c r="AH270" s="90">
        <f>'Combined data'!AH270-'Combined data'!AG270</f>
        <v>0</v>
      </c>
      <c r="AI270" s="90">
        <f>'Combined data'!AI270-'Combined data'!AH270</f>
        <v>0</v>
      </c>
      <c r="AJ270" s="90">
        <f>'Combined data'!AJ270-'Combined data'!AI270</f>
        <v>0</v>
      </c>
      <c r="AK270" s="90">
        <f>'Combined data'!AK270-'Combined data'!AJ270</f>
        <v>0</v>
      </c>
      <c r="AL270" s="90">
        <f>'Combined data'!AL270-'Combined data'!AK270</f>
        <v>0</v>
      </c>
      <c r="AM270" s="90">
        <f>'Combined data'!AM270-'Combined data'!AL270</f>
        <v>0</v>
      </c>
      <c r="AN270" s="90">
        <f>'Combined data'!AN270-'Combined data'!AM270</f>
        <v>0</v>
      </c>
      <c r="AO270" s="90">
        <f>'Combined data'!AO270-'Combined data'!AN270</f>
        <v>0</v>
      </c>
      <c r="AP270" s="56">
        <f t="shared" si="238"/>
        <v>0</v>
      </c>
      <c r="AQ270" s="113"/>
      <c r="AR270" s="17">
        <f>'Combined data'!AR270</f>
        <v>6</v>
      </c>
      <c r="AS270" s="17">
        <f>'Combined data'!AS270-'Combined data'!AR270</f>
        <v>0</v>
      </c>
      <c r="AT270" s="17">
        <f>'Combined data'!AT270-'Combined data'!AS270</f>
        <v>0</v>
      </c>
      <c r="AU270" s="17">
        <f>'Combined data'!AU270-'Combined data'!AT270</f>
        <v>0</v>
      </c>
      <c r="AV270" s="17">
        <f>'Combined data'!AV270-'Combined data'!AU270</f>
        <v>0</v>
      </c>
      <c r="AW270" s="17">
        <f>'Combined data'!AW270-'Combined data'!AV270</f>
        <v>0</v>
      </c>
      <c r="AX270" s="17">
        <f>'Combined data'!AX270-'Combined data'!AW270</f>
        <v>0</v>
      </c>
      <c r="AY270" s="17">
        <f>'Combined data'!AY270-'Combined data'!AX270</f>
        <v>5</v>
      </c>
      <c r="AZ270" s="17">
        <f>'Combined data'!AZ270-'Combined data'!AY270</f>
        <v>0</v>
      </c>
      <c r="BA270" s="17">
        <f>'Combined data'!BA270-'Combined data'!AZ270</f>
        <v>1</v>
      </c>
      <c r="BB270" s="17">
        <f>'Combined data'!BB270-'Combined data'!BA270</f>
        <v>0</v>
      </c>
      <c r="BC270" s="17">
        <f>'Combined data'!BC270-'Combined data'!BB270</f>
        <v>2</v>
      </c>
      <c r="BD270" s="17">
        <f>'Combined data'!BD270-'Combined data'!BC270</f>
        <v>0</v>
      </c>
      <c r="BE270" s="17">
        <f>'Combined data'!BE270-'Combined data'!BD270</f>
        <v>1</v>
      </c>
      <c r="BF270" s="17">
        <f>'Combined data'!BF270-'Combined data'!BE270</f>
        <v>0</v>
      </c>
      <c r="BG270" s="17">
        <f>'Combined data'!BG270-'Combined data'!BF270</f>
        <v>0</v>
      </c>
      <c r="BH270" s="17">
        <f>'Combined data'!BH270-'Combined data'!BG270</f>
        <v>4</v>
      </c>
      <c r="BI270" s="17">
        <f>'Combined data'!BI270-'Combined data'!BH270</f>
        <v>0</v>
      </c>
      <c r="BJ270" s="17">
        <f>'Combined data'!BJ270-'Combined data'!BI270</f>
        <v>0</v>
      </c>
      <c r="BK270" s="17">
        <f>'Combined data'!BK270-'Combined data'!BJ270</f>
        <v>2</v>
      </c>
      <c r="BL270" s="17">
        <f>'Combined data'!BL270-'Combined data'!BK270</f>
        <v>0</v>
      </c>
      <c r="BM270" s="17">
        <f>'Combined data'!BM270-'Combined data'!BL270</f>
        <v>0</v>
      </c>
      <c r="BN270" s="17">
        <f>'Combined data'!BN270-'Combined data'!BM270</f>
        <v>0</v>
      </c>
      <c r="BO270" s="17">
        <f>'Combined data'!BO270-'Combined data'!BN270</f>
        <v>-21</v>
      </c>
      <c r="BP270" s="17">
        <f>'Combined data'!BP270-'Combined data'!BO270</f>
        <v>0</v>
      </c>
      <c r="BQ270" s="17">
        <f>'Combined data'!BQ270-'Combined data'!BP270</f>
        <v>0</v>
      </c>
      <c r="BR270" s="17">
        <f>'Combined data'!BR270-'Combined data'!BQ270</f>
        <v>0</v>
      </c>
      <c r="BS270" s="17">
        <f>'Combined data'!BS270-'Combined data'!BR270</f>
        <v>0</v>
      </c>
      <c r="BT270" s="17">
        <f>'Combined data'!BT270-'Combined data'!BS270</f>
        <v>0</v>
      </c>
      <c r="BU270" s="17">
        <f>'Combined data'!BU270-'Combined data'!BT270</f>
        <v>0</v>
      </c>
      <c r="BV270" s="17">
        <f>'Combined data'!BV270-'Combined data'!BU270</f>
        <v>0</v>
      </c>
      <c r="BW270" s="17">
        <f>'Combined data'!BW270-'Combined data'!BV270</f>
        <v>0</v>
      </c>
      <c r="BX270" s="17">
        <f>'Combined data'!BX270-'Combined data'!BW270</f>
        <v>0</v>
      </c>
      <c r="BY270" s="17">
        <f>'Combined data'!BY270-'Combined data'!BX270</f>
        <v>0</v>
      </c>
      <c r="CB270" s="17">
        <f t="shared" si="215"/>
        <v>6</v>
      </c>
      <c r="CC270" s="17">
        <f t="shared" si="216"/>
        <v>0</v>
      </c>
      <c r="CD270" s="17">
        <f t="shared" si="217"/>
        <v>0</v>
      </c>
      <c r="CE270" s="17">
        <f t="shared" si="218"/>
        <v>0</v>
      </c>
      <c r="CF270" s="17">
        <f t="shared" si="219"/>
        <v>0</v>
      </c>
      <c r="CG270" s="17">
        <f t="shared" si="220"/>
        <v>0</v>
      </c>
      <c r="CH270" s="17">
        <f t="shared" si="221"/>
        <v>0</v>
      </c>
      <c r="CI270" s="17">
        <f t="shared" si="222"/>
        <v>5</v>
      </c>
      <c r="CJ270" s="17">
        <f t="shared" si="223"/>
        <v>0</v>
      </c>
      <c r="CK270" s="17">
        <f t="shared" si="224"/>
        <v>1</v>
      </c>
      <c r="CL270" s="17">
        <f t="shared" si="225"/>
        <v>0</v>
      </c>
      <c r="CM270" s="17">
        <f t="shared" si="226"/>
        <v>2</v>
      </c>
      <c r="CN270" s="17">
        <f t="shared" si="227"/>
        <v>0</v>
      </c>
      <c r="CO270" s="17">
        <f t="shared" si="228"/>
        <v>1</v>
      </c>
      <c r="CP270" s="17">
        <f t="shared" si="229"/>
        <v>0</v>
      </c>
      <c r="CQ270" s="17">
        <f t="shared" si="230"/>
        <v>0</v>
      </c>
      <c r="CR270" s="17">
        <f t="shared" si="231"/>
        <v>4</v>
      </c>
      <c r="CS270" s="17">
        <f t="shared" si="232"/>
        <v>0</v>
      </c>
      <c r="CT270" s="17">
        <f t="shared" si="233"/>
        <v>0</v>
      </c>
      <c r="CU270" s="17">
        <f t="shared" si="234"/>
        <v>2</v>
      </c>
      <c r="CV270" s="17">
        <f t="shared" si="235"/>
        <v>0</v>
      </c>
      <c r="CW270" s="17">
        <f t="shared" si="236"/>
        <v>0</v>
      </c>
      <c r="CX270" s="17">
        <f t="shared" si="237"/>
        <v>0</v>
      </c>
      <c r="CY270" s="17">
        <f t="shared" si="237"/>
        <v>-21</v>
      </c>
      <c r="CZ270" s="17">
        <f t="shared" si="237"/>
        <v>0</v>
      </c>
      <c r="DA270" s="17">
        <f t="shared" si="237"/>
        <v>0</v>
      </c>
      <c r="DB270" s="17">
        <f t="shared" si="237"/>
        <v>0</v>
      </c>
      <c r="DC270" s="17">
        <f t="shared" si="237"/>
        <v>0</v>
      </c>
      <c r="DD270" s="17">
        <f t="shared" si="237"/>
        <v>0</v>
      </c>
      <c r="DE270" s="17">
        <f t="shared" si="237"/>
        <v>0</v>
      </c>
      <c r="DF270" s="17">
        <f t="shared" si="237"/>
        <v>0</v>
      </c>
      <c r="DG270" s="17">
        <f t="shared" si="237"/>
        <v>0</v>
      </c>
      <c r="DH270" s="17">
        <f t="shared" si="237"/>
        <v>0</v>
      </c>
      <c r="DI270" s="17">
        <f t="shared" si="237"/>
        <v>0</v>
      </c>
    </row>
    <row r="271" spans="1:113" ht="15.75" x14ac:dyDescent="0.25">
      <c r="A271" s="4" t="s">
        <v>574</v>
      </c>
      <c r="B271" s="6" t="s">
        <v>575</v>
      </c>
      <c r="H271" s="90">
        <f>'Combined data'!H271</f>
        <v>47</v>
      </c>
      <c r="I271" s="90">
        <f>'Combined data'!I271-'Combined data'!H271</f>
        <v>8</v>
      </c>
      <c r="J271" s="90">
        <f>'Combined data'!J271-'Combined data'!I271</f>
        <v>1</v>
      </c>
      <c r="K271" s="90">
        <f>'Combined data'!K271-'Combined data'!J271</f>
        <v>17</v>
      </c>
      <c r="L271" s="90">
        <f>'Combined data'!L271-'Combined data'!K271</f>
        <v>7</v>
      </c>
      <c r="M271" s="90">
        <f>'Combined data'!M271-'Combined data'!L271</f>
        <v>2</v>
      </c>
      <c r="N271" s="90">
        <f>'Combined data'!N271-'Combined data'!M271</f>
        <v>5</v>
      </c>
      <c r="O271" s="90">
        <f>'Combined data'!O271-'Combined data'!N271</f>
        <v>2</v>
      </c>
      <c r="P271" s="90">
        <f>'Combined data'!P271-'Combined data'!O271</f>
        <v>0</v>
      </c>
      <c r="Q271" s="90">
        <f>'Combined data'!Q271-'Combined data'!P271</f>
        <v>7</v>
      </c>
      <c r="R271" s="90">
        <f>'Combined data'!R271-'Combined data'!Q271</f>
        <v>3</v>
      </c>
      <c r="S271" s="90">
        <f>'Combined data'!S271-'Combined data'!R271</f>
        <v>0</v>
      </c>
      <c r="T271" s="90">
        <f>'Combined data'!T271-'Combined data'!S271</f>
        <v>6</v>
      </c>
      <c r="U271" s="90">
        <f>'Combined data'!U271-'Combined data'!T271</f>
        <v>3</v>
      </c>
      <c r="V271" s="90">
        <f>'Combined data'!V271-'Combined data'!U271</f>
        <v>0</v>
      </c>
      <c r="W271" s="90">
        <f>'Combined data'!W271-'Combined data'!V271</f>
        <v>8</v>
      </c>
      <c r="X271" s="90">
        <f>'Combined data'!X271-'Combined data'!W271</f>
        <v>1</v>
      </c>
      <c r="Y271" s="90">
        <f>'Combined data'!Y271-'Combined data'!X271</f>
        <v>4</v>
      </c>
      <c r="Z271" s="90">
        <f>'Combined data'!Z271-'Combined data'!Y271</f>
        <v>3</v>
      </c>
      <c r="AA271" s="90">
        <f>'Combined data'!AA271-'Combined data'!Z271</f>
        <v>1</v>
      </c>
      <c r="AB271" s="90">
        <f>'Combined data'!AB271-'Combined data'!AA271</f>
        <v>1</v>
      </c>
      <c r="AC271" s="90">
        <f>'Combined data'!AC271-'Combined data'!AB271</f>
        <v>1</v>
      </c>
      <c r="AD271" s="90">
        <f>'Combined data'!AD271-'Combined data'!AC271</f>
        <v>1</v>
      </c>
      <c r="AE271" s="90">
        <f>'Combined data'!AE271-'Combined data'!AD271</f>
        <v>-128</v>
      </c>
      <c r="AF271" s="90">
        <f>'Combined data'!AF271-'Combined data'!AE271</f>
        <v>0</v>
      </c>
      <c r="AG271" s="90">
        <f>'Combined data'!AG271-'Combined data'!AF271</f>
        <v>0</v>
      </c>
      <c r="AH271" s="90">
        <f>'Combined data'!AH271-'Combined data'!AG271</f>
        <v>0</v>
      </c>
      <c r="AI271" s="90">
        <f>'Combined data'!AI271-'Combined data'!AH271</f>
        <v>0</v>
      </c>
      <c r="AJ271" s="90">
        <f>'Combined data'!AJ271-'Combined data'!AI271</f>
        <v>0</v>
      </c>
      <c r="AK271" s="90">
        <f>'Combined data'!AK271-'Combined data'!AJ271</f>
        <v>0</v>
      </c>
      <c r="AL271" s="90">
        <f>'Combined data'!AL271-'Combined data'!AK271</f>
        <v>0</v>
      </c>
      <c r="AM271" s="90">
        <f>'Combined data'!AM271-'Combined data'!AL271</f>
        <v>0</v>
      </c>
      <c r="AN271" s="90">
        <f>'Combined data'!AN271-'Combined data'!AM271</f>
        <v>0</v>
      </c>
      <c r="AO271" s="90">
        <f>'Combined data'!AO271-'Combined data'!AN271</f>
        <v>0</v>
      </c>
      <c r="AP271" s="56">
        <f t="shared" si="238"/>
        <v>0</v>
      </c>
      <c r="AQ271" s="113"/>
      <c r="AR271" s="17">
        <f>'Combined data'!AR271</f>
        <v>6</v>
      </c>
      <c r="AS271" s="17">
        <f>'Combined data'!AS271-'Combined data'!AR271</f>
        <v>0</v>
      </c>
      <c r="AT271" s="17">
        <f>'Combined data'!AT271-'Combined data'!AS271</f>
        <v>0</v>
      </c>
      <c r="AU271" s="17">
        <f>'Combined data'!AU271-'Combined data'!AT271</f>
        <v>0</v>
      </c>
      <c r="AV271" s="17">
        <f>'Combined data'!AV271-'Combined data'!AU271</f>
        <v>6</v>
      </c>
      <c r="AW271" s="17">
        <f>'Combined data'!AW271-'Combined data'!AV271</f>
        <v>4</v>
      </c>
      <c r="AX271" s="17">
        <f>'Combined data'!AX271-'Combined data'!AW271</f>
        <v>2</v>
      </c>
      <c r="AY271" s="17">
        <f>'Combined data'!AY271-'Combined data'!AX271</f>
        <v>5</v>
      </c>
      <c r="AZ271" s="17">
        <f>'Combined data'!AZ271-'Combined data'!AY271</f>
        <v>0</v>
      </c>
      <c r="BA271" s="17">
        <f>'Combined data'!BA271-'Combined data'!AZ271</f>
        <v>3</v>
      </c>
      <c r="BB271" s="17">
        <f>'Combined data'!BB271-'Combined data'!BA271</f>
        <v>0</v>
      </c>
      <c r="BC271" s="17">
        <f>'Combined data'!BC271-'Combined data'!BB271</f>
        <v>0</v>
      </c>
      <c r="BD271" s="17">
        <f>'Combined data'!BD271-'Combined data'!BC271</f>
        <v>1</v>
      </c>
      <c r="BE271" s="17">
        <f>'Combined data'!BE271-'Combined data'!BD271</f>
        <v>4</v>
      </c>
      <c r="BF271" s="17">
        <f>'Combined data'!BF271-'Combined data'!BE271</f>
        <v>1</v>
      </c>
      <c r="BG271" s="17">
        <f>'Combined data'!BG271-'Combined data'!BF271</f>
        <v>0</v>
      </c>
      <c r="BH271" s="17">
        <f>'Combined data'!BH271-'Combined data'!BG271</f>
        <v>5</v>
      </c>
      <c r="BI271" s="17">
        <f>'Combined data'!BI271-'Combined data'!BH271</f>
        <v>3</v>
      </c>
      <c r="BJ271" s="17">
        <f>'Combined data'!BJ271-'Combined data'!BI271</f>
        <v>1</v>
      </c>
      <c r="BK271" s="17">
        <f>'Combined data'!BK271-'Combined data'!BJ271</f>
        <v>0</v>
      </c>
      <c r="BL271" s="17">
        <f>'Combined data'!BL271-'Combined data'!BK271</f>
        <v>0</v>
      </c>
      <c r="BM271" s="17">
        <f>'Combined data'!BM271-'Combined data'!BL271</f>
        <v>8</v>
      </c>
      <c r="BN271" s="17">
        <f>'Combined data'!BN271-'Combined data'!BM271</f>
        <v>2</v>
      </c>
      <c r="BO271" s="17">
        <f>'Combined data'!BO271-'Combined data'!BN271</f>
        <v>-51</v>
      </c>
      <c r="BP271" s="17">
        <f>'Combined data'!BP271-'Combined data'!BO271</f>
        <v>0</v>
      </c>
      <c r="BQ271" s="17">
        <f>'Combined data'!BQ271-'Combined data'!BP271</f>
        <v>0</v>
      </c>
      <c r="BR271" s="17">
        <f>'Combined data'!BR271-'Combined data'!BQ271</f>
        <v>0</v>
      </c>
      <c r="BS271" s="17">
        <f>'Combined data'!BS271-'Combined data'!BR271</f>
        <v>0</v>
      </c>
      <c r="BT271" s="17">
        <f>'Combined data'!BT271-'Combined data'!BS271</f>
        <v>0</v>
      </c>
      <c r="BU271" s="17">
        <f>'Combined data'!BU271-'Combined data'!BT271</f>
        <v>0</v>
      </c>
      <c r="BV271" s="17">
        <f>'Combined data'!BV271-'Combined data'!BU271</f>
        <v>0</v>
      </c>
      <c r="BW271" s="17">
        <f>'Combined data'!BW271-'Combined data'!BV271</f>
        <v>0</v>
      </c>
      <c r="BX271" s="17">
        <f>'Combined data'!BX271-'Combined data'!BW271</f>
        <v>0</v>
      </c>
      <c r="BY271" s="17">
        <f>'Combined data'!BY271-'Combined data'!BX271</f>
        <v>0</v>
      </c>
      <c r="CB271" s="17">
        <f t="shared" si="215"/>
        <v>6</v>
      </c>
      <c r="CC271" s="17">
        <f t="shared" si="216"/>
        <v>0</v>
      </c>
      <c r="CD271" s="17">
        <f t="shared" si="217"/>
        <v>0</v>
      </c>
      <c r="CE271" s="17">
        <f t="shared" si="218"/>
        <v>0</v>
      </c>
      <c r="CF271" s="17">
        <f t="shared" si="219"/>
        <v>6</v>
      </c>
      <c r="CG271" s="17">
        <f t="shared" si="220"/>
        <v>4</v>
      </c>
      <c r="CH271" s="17">
        <f t="shared" si="221"/>
        <v>2</v>
      </c>
      <c r="CI271" s="17">
        <f t="shared" si="222"/>
        <v>5</v>
      </c>
      <c r="CJ271" s="17">
        <f t="shared" si="223"/>
        <v>0</v>
      </c>
      <c r="CK271" s="17">
        <f t="shared" si="224"/>
        <v>3</v>
      </c>
      <c r="CL271" s="17">
        <f t="shared" si="225"/>
        <v>0</v>
      </c>
      <c r="CM271" s="17">
        <f t="shared" si="226"/>
        <v>0</v>
      </c>
      <c r="CN271" s="17">
        <f t="shared" si="227"/>
        <v>1</v>
      </c>
      <c r="CO271" s="17">
        <f t="shared" si="228"/>
        <v>4</v>
      </c>
      <c r="CP271" s="17">
        <f t="shared" si="229"/>
        <v>1</v>
      </c>
      <c r="CQ271" s="17">
        <f t="shared" si="230"/>
        <v>0</v>
      </c>
      <c r="CR271" s="17">
        <f t="shared" si="231"/>
        <v>5</v>
      </c>
      <c r="CS271" s="17">
        <f t="shared" si="232"/>
        <v>3</v>
      </c>
      <c r="CT271" s="17">
        <f t="shared" si="233"/>
        <v>1</v>
      </c>
      <c r="CU271" s="17">
        <f t="shared" si="234"/>
        <v>0</v>
      </c>
      <c r="CV271" s="17">
        <f t="shared" si="235"/>
        <v>0</v>
      </c>
      <c r="CW271" s="17">
        <f t="shared" si="236"/>
        <v>8</v>
      </c>
      <c r="CX271" s="17">
        <f t="shared" si="237"/>
        <v>2</v>
      </c>
      <c r="CY271" s="17">
        <f t="shared" si="237"/>
        <v>-51</v>
      </c>
      <c r="CZ271" s="17">
        <f t="shared" si="237"/>
        <v>0</v>
      </c>
      <c r="DA271" s="17">
        <f t="shared" si="237"/>
        <v>0</v>
      </c>
      <c r="DB271" s="17">
        <f t="shared" si="237"/>
        <v>0</v>
      </c>
      <c r="DC271" s="17">
        <f t="shared" si="237"/>
        <v>0</v>
      </c>
      <c r="DD271" s="17">
        <f t="shared" si="237"/>
        <v>0</v>
      </c>
      <c r="DE271" s="17">
        <f t="shared" si="237"/>
        <v>0</v>
      </c>
      <c r="DF271" s="17">
        <f t="shared" si="237"/>
        <v>0</v>
      </c>
      <c r="DG271" s="17">
        <f t="shared" si="237"/>
        <v>0</v>
      </c>
      <c r="DH271" s="17">
        <f t="shared" si="237"/>
        <v>0</v>
      </c>
      <c r="DI271" s="17">
        <f t="shared" si="237"/>
        <v>0</v>
      </c>
    </row>
    <row r="272" spans="1:113" ht="15.75" x14ac:dyDescent="0.25">
      <c r="A272" s="4" t="s">
        <v>576</v>
      </c>
      <c r="B272" s="6" t="s">
        <v>577</v>
      </c>
      <c r="H272" s="90">
        <f>'Combined data'!H272</f>
        <v>75</v>
      </c>
      <c r="I272" s="90">
        <f>'Combined data'!I272-'Combined data'!H272</f>
        <v>6</v>
      </c>
      <c r="J272" s="90">
        <f>'Combined data'!J272-'Combined data'!I272</f>
        <v>2</v>
      </c>
      <c r="K272" s="90">
        <f>'Combined data'!K272-'Combined data'!J272</f>
        <v>10</v>
      </c>
      <c r="L272" s="90">
        <f>'Combined data'!L272-'Combined data'!K272</f>
        <v>2</v>
      </c>
      <c r="M272" s="90">
        <f>'Combined data'!M272-'Combined data'!L272</f>
        <v>3</v>
      </c>
      <c r="N272" s="90">
        <f>'Combined data'!N272-'Combined data'!M272</f>
        <v>10</v>
      </c>
      <c r="O272" s="90">
        <f>'Combined data'!O272-'Combined data'!N272</f>
        <v>3</v>
      </c>
      <c r="P272" s="90">
        <f>'Combined data'!P272-'Combined data'!O272</f>
        <v>4</v>
      </c>
      <c r="Q272" s="90">
        <f>'Combined data'!Q272-'Combined data'!P272</f>
        <v>3</v>
      </c>
      <c r="R272" s="90">
        <f>'Combined data'!R272-'Combined data'!Q272</f>
        <v>1</v>
      </c>
      <c r="S272" s="90">
        <f>'Combined data'!S272-'Combined data'!R272</f>
        <v>4</v>
      </c>
      <c r="T272" s="90">
        <f>'Combined data'!T272-'Combined data'!S272</f>
        <v>6</v>
      </c>
      <c r="U272" s="90">
        <f>'Combined data'!U272-'Combined data'!T272</f>
        <v>7</v>
      </c>
      <c r="V272" s="90">
        <f>'Combined data'!V272-'Combined data'!U272</f>
        <v>2</v>
      </c>
      <c r="W272" s="90">
        <f>'Combined data'!W272-'Combined data'!V272</f>
        <v>3</v>
      </c>
      <c r="X272" s="90">
        <f>'Combined data'!X272-'Combined data'!W272</f>
        <v>2</v>
      </c>
      <c r="Y272" s="90">
        <f>'Combined data'!Y272-'Combined data'!X272</f>
        <v>5</v>
      </c>
      <c r="Z272" s="90">
        <f>'Combined data'!Z272-'Combined data'!Y272</f>
        <v>5</v>
      </c>
      <c r="AA272" s="90">
        <f>'Combined data'!AA272-'Combined data'!Z272</f>
        <v>3</v>
      </c>
      <c r="AB272" s="90">
        <f>'Combined data'!AB272-'Combined data'!AA272</f>
        <v>2</v>
      </c>
      <c r="AC272" s="90">
        <f>'Combined data'!AC272-'Combined data'!AB272</f>
        <v>1</v>
      </c>
      <c r="AD272" s="90">
        <f>'Combined data'!AD272-'Combined data'!AC272</f>
        <v>4</v>
      </c>
      <c r="AE272" s="90">
        <f>'Combined data'!AE272-'Combined data'!AD272</f>
        <v>-163</v>
      </c>
      <c r="AF272" s="90">
        <f>'Combined data'!AF272-'Combined data'!AE272</f>
        <v>0</v>
      </c>
      <c r="AG272" s="90">
        <f>'Combined data'!AG272-'Combined data'!AF272</f>
        <v>0</v>
      </c>
      <c r="AH272" s="90">
        <f>'Combined data'!AH272-'Combined data'!AG272</f>
        <v>0</v>
      </c>
      <c r="AI272" s="90">
        <f>'Combined data'!AI272-'Combined data'!AH272</f>
        <v>0</v>
      </c>
      <c r="AJ272" s="90">
        <f>'Combined data'!AJ272-'Combined data'!AI272</f>
        <v>0</v>
      </c>
      <c r="AK272" s="90">
        <f>'Combined data'!AK272-'Combined data'!AJ272</f>
        <v>0</v>
      </c>
      <c r="AL272" s="90">
        <f>'Combined data'!AL272-'Combined data'!AK272</f>
        <v>0</v>
      </c>
      <c r="AM272" s="90">
        <f>'Combined data'!AM272-'Combined data'!AL272</f>
        <v>0</v>
      </c>
      <c r="AN272" s="90">
        <f>'Combined data'!AN272-'Combined data'!AM272</f>
        <v>0</v>
      </c>
      <c r="AO272" s="90">
        <f>'Combined data'!AO272-'Combined data'!AN272</f>
        <v>0</v>
      </c>
      <c r="AP272" s="56">
        <f t="shared" si="238"/>
        <v>0</v>
      </c>
      <c r="AQ272" s="113"/>
      <c r="AR272" s="17">
        <f>'Combined data'!AR272</f>
        <v>17</v>
      </c>
      <c r="AS272" s="17">
        <f>'Combined data'!AS272-'Combined data'!AR272</f>
        <v>5</v>
      </c>
      <c r="AT272" s="17">
        <f>'Combined data'!AT272-'Combined data'!AS272</f>
        <v>1</v>
      </c>
      <c r="AU272" s="17">
        <f>'Combined data'!AU272-'Combined data'!AT272</f>
        <v>2</v>
      </c>
      <c r="AV272" s="17">
        <f>'Combined data'!AV272-'Combined data'!AU272</f>
        <v>1</v>
      </c>
      <c r="AW272" s="17">
        <f>'Combined data'!AW272-'Combined data'!AV272</f>
        <v>1</v>
      </c>
      <c r="AX272" s="17">
        <f>'Combined data'!AX272-'Combined data'!AW272</f>
        <v>1</v>
      </c>
      <c r="AY272" s="17">
        <f>'Combined data'!AY272-'Combined data'!AX272</f>
        <v>3</v>
      </c>
      <c r="AZ272" s="17">
        <f>'Combined data'!AZ272-'Combined data'!AY272</f>
        <v>1</v>
      </c>
      <c r="BA272" s="17">
        <f>'Combined data'!BA272-'Combined data'!AZ272</f>
        <v>0</v>
      </c>
      <c r="BB272" s="17">
        <f>'Combined data'!BB272-'Combined data'!BA272</f>
        <v>4</v>
      </c>
      <c r="BC272" s="17">
        <f>'Combined data'!BC272-'Combined data'!BB272</f>
        <v>3</v>
      </c>
      <c r="BD272" s="17">
        <f>'Combined data'!BD272-'Combined data'!BC272</f>
        <v>6</v>
      </c>
      <c r="BE272" s="17">
        <f>'Combined data'!BE272-'Combined data'!BD272</f>
        <v>3</v>
      </c>
      <c r="BF272" s="17">
        <f>'Combined data'!BF272-'Combined data'!BE272</f>
        <v>7</v>
      </c>
      <c r="BG272" s="17">
        <f>'Combined data'!BG272-'Combined data'!BF272</f>
        <v>2</v>
      </c>
      <c r="BH272" s="17">
        <f>'Combined data'!BH272-'Combined data'!BG272</f>
        <v>3</v>
      </c>
      <c r="BI272" s="17">
        <f>'Combined data'!BI272-'Combined data'!BH272</f>
        <v>7</v>
      </c>
      <c r="BJ272" s="17">
        <f>'Combined data'!BJ272-'Combined data'!BI272</f>
        <v>0</v>
      </c>
      <c r="BK272" s="17">
        <f>'Combined data'!BK272-'Combined data'!BJ272</f>
        <v>0</v>
      </c>
      <c r="BL272" s="17">
        <f>'Combined data'!BL272-'Combined data'!BK272</f>
        <v>1</v>
      </c>
      <c r="BM272" s="17">
        <f>'Combined data'!BM272-'Combined data'!BL272</f>
        <v>-1</v>
      </c>
      <c r="BN272" s="17">
        <f>'Combined data'!BN272-'Combined data'!BM272</f>
        <v>5</v>
      </c>
      <c r="BO272" s="17">
        <f>'Combined data'!BO272-'Combined data'!BN272</f>
        <v>-72</v>
      </c>
      <c r="BP272" s="17">
        <f>'Combined data'!BP272-'Combined data'!BO272</f>
        <v>0</v>
      </c>
      <c r="BQ272" s="17">
        <f>'Combined data'!BQ272-'Combined data'!BP272</f>
        <v>0</v>
      </c>
      <c r="BR272" s="17">
        <f>'Combined data'!BR272-'Combined data'!BQ272</f>
        <v>0</v>
      </c>
      <c r="BS272" s="17">
        <f>'Combined data'!BS272-'Combined data'!BR272</f>
        <v>0</v>
      </c>
      <c r="BT272" s="17">
        <f>'Combined data'!BT272-'Combined data'!BS272</f>
        <v>0</v>
      </c>
      <c r="BU272" s="17">
        <f>'Combined data'!BU272-'Combined data'!BT272</f>
        <v>0</v>
      </c>
      <c r="BV272" s="17">
        <f>'Combined data'!BV272-'Combined data'!BU272</f>
        <v>0</v>
      </c>
      <c r="BW272" s="17">
        <f>'Combined data'!BW272-'Combined data'!BV272</f>
        <v>0</v>
      </c>
      <c r="BX272" s="17">
        <f>'Combined data'!BX272-'Combined data'!BW272</f>
        <v>0</v>
      </c>
      <c r="BY272" s="17">
        <f>'Combined data'!BY272-'Combined data'!BX272</f>
        <v>0</v>
      </c>
      <c r="CB272" s="17">
        <f t="shared" si="215"/>
        <v>17</v>
      </c>
      <c r="CC272" s="17">
        <f t="shared" si="216"/>
        <v>5</v>
      </c>
      <c r="CD272" s="17">
        <f t="shared" si="217"/>
        <v>1</v>
      </c>
      <c r="CE272" s="17">
        <f t="shared" si="218"/>
        <v>2</v>
      </c>
      <c r="CF272" s="17">
        <f t="shared" si="219"/>
        <v>1</v>
      </c>
      <c r="CG272" s="17">
        <f t="shared" si="220"/>
        <v>1</v>
      </c>
      <c r="CH272" s="17">
        <f t="shared" si="221"/>
        <v>1</v>
      </c>
      <c r="CI272" s="17">
        <f t="shared" si="222"/>
        <v>3</v>
      </c>
      <c r="CJ272" s="17">
        <f t="shared" si="223"/>
        <v>1</v>
      </c>
      <c r="CK272" s="17">
        <f t="shared" si="224"/>
        <v>0</v>
      </c>
      <c r="CL272" s="17">
        <f t="shared" si="225"/>
        <v>4</v>
      </c>
      <c r="CM272" s="17">
        <f t="shared" si="226"/>
        <v>3</v>
      </c>
      <c r="CN272" s="17">
        <f t="shared" si="227"/>
        <v>6</v>
      </c>
      <c r="CO272" s="17">
        <f t="shared" si="228"/>
        <v>3</v>
      </c>
      <c r="CP272" s="17">
        <f t="shared" si="229"/>
        <v>7</v>
      </c>
      <c r="CQ272" s="17">
        <f t="shared" si="230"/>
        <v>2</v>
      </c>
      <c r="CR272" s="17">
        <f t="shared" si="231"/>
        <v>3</v>
      </c>
      <c r="CS272" s="17">
        <f t="shared" si="232"/>
        <v>7</v>
      </c>
      <c r="CT272" s="17">
        <f t="shared" si="233"/>
        <v>0</v>
      </c>
      <c r="CU272" s="17">
        <f t="shared" si="234"/>
        <v>0</v>
      </c>
      <c r="CV272" s="17">
        <f t="shared" si="235"/>
        <v>1</v>
      </c>
      <c r="CW272" s="17">
        <f t="shared" si="236"/>
        <v>-1</v>
      </c>
      <c r="CX272" s="17">
        <f t="shared" si="237"/>
        <v>5</v>
      </c>
      <c r="CY272" s="17">
        <f t="shared" si="237"/>
        <v>-72</v>
      </c>
      <c r="CZ272" s="17">
        <f t="shared" si="237"/>
        <v>0</v>
      </c>
      <c r="DA272" s="17">
        <f t="shared" si="237"/>
        <v>0</v>
      </c>
      <c r="DB272" s="17">
        <f t="shared" si="237"/>
        <v>0</v>
      </c>
      <c r="DC272" s="17">
        <f t="shared" si="237"/>
        <v>0</v>
      </c>
      <c r="DD272" s="17">
        <f t="shared" si="237"/>
        <v>0</v>
      </c>
      <c r="DE272" s="17">
        <f t="shared" si="237"/>
        <v>0</v>
      </c>
      <c r="DF272" s="17">
        <f t="shared" si="237"/>
        <v>0</v>
      </c>
      <c r="DG272" s="17">
        <f t="shared" si="237"/>
        <v>0</v>
      </c>
      <c r="DH272" s="17">
        <f t="shared" si="237"/>
        <v>0</v>
      </c>
      <c r="DI272" s="17">
        <f t="shared" si="237"/>
        <v>0</v>
      </c>
    </row>
    <row r="273" spans="1:113" ht="15.75" x14ac:dyDescent="0.25">
      <c r="A273" s="4" t="s">
        <v>578</v>
      </c>
      <c r="B273" s="6" t="s">
        <v>579</v>
      </c>
      <c r="H273" s="90">
        <f>'Combined data'!H273</f>
        <v>86</v>
      </c>
      <c r="I273" s="90">
        <f>'Combined data'!I273-'Combined data'!H273</f>
        <v>10</v>
      </c>
      <c r="J273" s="90">
        <f>'Combined data'!J273-'Combined data'!I273</f>
        <v>4</v>
      </c>
      <c r="K273" s="90">
        <f>'Combined data'!K273-'Combined data'!J273</f>
        <v>12</v>
      </c>
      <c r="L273" s="90">
        <f>'Combined data'!L273-'Combined data'!K273</f>
        <v>7</v>
      </c>
      <c r="M273" s="90">
        <f>'Combined data'!M273-'Combined data'!L273</f>
        <v>10</v>
      </c>
      <c r="N273" s="90">
        <f>'Combined data'!N273-'Combined data'!M273</f>
        <v>6</v>
      </c>
      <c r="O273" s="90">
        <f>'Combined data'!O273-'Combined data'!N273</f>
        <v>5</v>
      </c>
      <c r="P273" s="90">
        <f>'Combined data'!P273-'Combined data'!O273</f>
        <v>10</v>
      </c>
      <c r="Q273" s="90">
        <f>'Combined data'!Q273-'Combined data'!P273</f>
        <v>1</v>
      </c>
      <c r="R273" s="90">
        <f>'Combined data'!R273-'Combined data'!Q273</f>
        <v>1</v>
      </c>
      <c r="S273" s="90">
        <f>'Combined data'!S273-'Combined data'!R273</f>
        <v>4</v>
      </c>
      <c r="T273" s="90">
        <f>'Combined data'!T273-'Combined data'!S273</f>
        <v>6</v>
      </c>
      <c r="U273" s="90">
        <f>'Combined data'!U273-'Combined data'!T273</f>
        <v>5</v>
      </c>
      <c r="V273" s="90">
        <f>'Combined data'!V273-'Combined data'!U273</f>
        <v>6</v>
      </c>
      <c r="W273" s="90">
        <f>'Combined data'!W273-'Combined data'!V273</f>
        <v>1</v>
      </c>
      <c r="X273" s="90">
        <f>'Combined data'!X273-'Combined data'!W273</f>
        <v>2</v>
      </c>
      <c r="Y273" s="90">
        <f>'Combined data'!Y273-'Combined data'!X273</f>
        <v>4</v>
      </c>
      <c r="Z273" s="90">
        <f>'Combined data'!Z273-'Combined data'!Y273</f>
        <v>8</v>
      </c>
      <c r="AA273" s="90">
        <f>'Combined data'!AA273-'Combined data'!Z273</f>
        <v>2</v>
      </c>
      <c r="AB273" s="90">
        <f>'Combined data'!AB273-'Combined data'!AA273</f>
        <v>3</v>
      </c>
      <c r="AC273" s="90">
        <f>'Combined data'!AC273-'Combined data'!AB273</f>
        <v>1</v>
      </c>
      <c r="AD273" s="90">
        <f>'Combined data'!AD273-'Combined data'!AC273</f>
        <v>3</v>
      </c>
      <c r="AE273" s="90">
        <f>'Combined data'!AE273-'Combined data'!AD273</f>
        <v>-197</v>
      </c>
      <c r="AF273" s="90">
        <f>'Combined data'!AF273-'Combined data'!AE273</f>
        <v>0</v>
      </c>
      <c r="AG273" s="90">
        <f>'Combined data'!AG273-'Combined data'!AF273</f>
        <v>0</v>
      </c>
      <c r="AH273" s="90">
        <f>'Combined data'!AH273-'Combined data'!AG273</f>
        <v>0</v>
      </c>
      <c r="AI273" s="90">
        <f>'Combined data'!AI273-'Combined data'!AH273</f>
        <v>0</v>
      </c>
      <c r="AJ273" s="90">
        <f>'Combined data'!AJ273-'Combined data'!AI273</f>
        <v>0</v>
      </c>
      <c r="AK273" s="90">
        <f>'Combined data'!AK273-'Combined data'!AJ273</f>
        <v>0</v>
      </c>
      <c r="AL273" s="90">
        <f>'Combined data'!AL273-'Combined data'!AK273</f>
        <v>0</v>
      </c>
      <c r="AM273" s="90">
        <f>'Combined data'!AM273-'Combined data'!AL273</f>
        <v>0</v>
      </c>
      <c r="AN273" s="90">
        <f>'Combined data'!AN273-'Combined data'!AM273</f>
        <v>0</v>
      </c>
      <c r="AO273" s="90">
        <f>'Combined data'!AO273-'Combined data'!AN273</f>
        <v>0</v>
      </c>
      <c r="AP273" s="56">
        <f t="shared" si="238"/>
        <v>0</v>
      </c>
      <c r="AQ273" s="113"/>
      <c r="AR273" s="17">
        <f>'Combined data'!AR273</f>
        <v>12</v>
      </c>
      <c r="AS273" s="17">
        <f>'Combined data'!AS273-'Combined data'!AR273</f>
        <v>7</v>
      </c>
      <c r="AT273" s="17">
        <f>'Combined data'!AT273-'Combined data'!AS273</f>
        <v>2</v>
      </c>
      <c r="AU273" s="17">
        <f>'Combined data'!AU273-'Combined data'!AT273</f>
        <v>0</v>
      </c>
      <c r="AV273" s="17">
        <f>'Combined data'!AV273-'Combined data'!AU273</f>
        <v>4</v>
      </c>
      <c r="AW273" s="17">
        <f>'Combined data'!AW273-'Combined data'!AV273</f>
        <v>0</v>
      </c>
      <c r="AX273" s="17">
        <f>'Combined data'!AX273-'Combined data'!AW273</f>
        <v>2</v>
      </c>
      <c r="AY273" s="17">
        <f>'Combined data'!AY273-'Combined data'!AX273</f>
        <v>3</v>
      </c>
      <c r="AZ273" s="17">
        <f>'Combined data'!AZ273-'Combined data'!AY273</f>
        <v>0</v>
      </c>
      <c r="BA273" s="17">
        <f>'Combined data'!BA273-'Combined data'!AZ273</f>
        <v>3</v>
      </c>
      <c r="BB273" s="17">
        <f>'Combined data'!BB273-'Combined data'!BA273</f>
        <v>1</v>
      </c>
      <c r="BC273" s="17">
        <f>'Combined data'!BC273-'Combined data'!BB273</f>
        <v>5</v>
      </c>
      <c r="BD273" s="17">
        <f>'Combined data'!BD273-'Combined data'!BC273</f>
        <v>7</v>
      </c>
      <c r="BE273" s="17">
        <f>'Combined data'!BE273-'Combined data'!BD273</f>
        <v>5</v>
      </c>
      <c r="BF273" s="17">
        <f>'Combined data'!BF273-'Combined data'!BE273</f>
        <v>0</v>
      </c>
      <c r="BG273" s="17">
        <f>'Combined data'!BG273-'Combined data'!BF273</f>
        <v>0</v>
      </c>
      <c r="BH273" s="17">
        <f>'Combined data'!BH273-'Combined data'!BG273</f>
        <v>0</v>
      </c>
      <c r="BI273" s="17">
        <f>'Combined data'!BI273-'Combined data'!BH273</f>
        <v>2</v>
      </c>
      <c r="BJ273" s="17">
        <f>'Combined data'!BJ273-'Combined data'!BI273</f>
        <v>4</v>
      </c>
      <c r="BK273" s="17">
        <f>'Combined data'!BK273-'Combined data'!BJ273</f>
        <v>7</v>
      </c>
      <c r="BL273" s="17">
        <f>'Combined data'!BL273-'Combined data'!BK273</f>
        <v>3</v>
      </c>
      <c r="BM273" s="17">
        <f>'Combined data'!BM273-'Combined data'!BL273</f>
        <v>6</v>
      </c>
      <c r="BN273" s="17">
        <f>'Combined data'!BN273-'Combined data'!BM273</f>
        <v>3</v>
      </c>
      <c r="BO273" s="17">
        <f>'Combined data'!BO273-'Combined data'!BN273</f>
        <v>-76</v>
      </c>
      <c r="BP273" s="17">
        <f>'Combined data'!BP273-'Combined data'!BO273</f>
        <v>0</v>
      </c>
      <c r="BQ273" s="17">
        <f>'Combined data'!BQ273-'Combined data'!BP273</f>
        <v>0</v>
      </c>
      <c r="BR273" s="17">
        <f>'Combined data'!BR273-'Combined data'!BQ273</f>
        <v>0</v>
      </c>
      <c r="BS273" s="17">
        <f>'Combined data'!BS273-'Combined data'!BR273</f>
        <v>0</v>
      </c>
      <c r="BT273" s="17">
        <f>'Combined data'!BT273-'Combined data'!BS273</f>
        <v>0</v>
      </c>
      <c r="BU273" s="17">
        <f>'Combined data'!BU273-'Combined data'!BT273</f>
        <v>0</v>
      </c>
      <c r="BV273" s="17">
        <f>'Combined data'!BV273-'Combined data'!BU273</f>
        <v>0</v>
      </c>
      <c r="BW273" s="17">
        <f>'Combined data'!BW273-'Combined data'!BV273</f>
        <v>0</v>
      </c>
      <c r="BX273" s="17">
        <f>'Combined data'!BX273-'Combined data'!BW273</f>
        <v>0</v>
      </c>
      <c r="BY273" s="17">
        <f>'Combined data'!BY273-'Combined data'!BX273</f>
        <v>0</v>
      </c>
      <c r="CB273" s="17">
        <f t="shared" si="215"/>
        <v>12</v>
      </c>
      <c r="CC273" s="17">
        <f t="shared" si="216"/>
        <v>7</v>
      </c>
      <c r="CD273" s="17">
        <f t="shared" si="217"/>
        <v>2</v>
      </c>
      <c r="CE273" s="17">
        <f t="shared" si="218"/>
        <v>0</v>
      </c>
      <c r="CF273" s="17">
        <f t="shared" si="219"/>
        <v>4</v>
      </c>
      <c r="CG273" s="17">
        <f t="shared" si="220"/>
        <v>0</v>
      </c>
      <c r="CH273" s="17">
        <f t="shared" si="221"/>
        <v>2</v>
      </c>
      <c r="CI273" s="17">
        <f t="shared" si="222"/>
        <v>3</v>
      </c>
      <c r="CJ273" s="17">
        <f t="shared" si="223"/>
        <v>0</v>
      </c>
      <c r="CK273" s="17">
        <f t="shared" si="224"/>
        <v>3</v>
      </c>
      <c r="CL273" s="17">
        <f t="shared" si="225"/>
        <v>1</v>
      </c>
      <c r="CM273" s="17">
        <f t="shared" si="226"/>
        <v>5</v>
      </c>
      <c r="CN273" s="17">
        <f t="shared" si="227"/>
        <v>7</v>
      </c>
      <c r="CO273" s="17">
        <f t="shared" si="228"/>
        <v>5</v>
      </c>
      <c r="CP273" s="17">
        <f t="shared" si="229"/>
        <v>0</v>
      </c>
      <c r="CQ273" s="17">
        <f t="shared" si="230"/>
        <v>0</v>
      </c>
      <c r="CR273" s="17">
        <f t="shared" si="231"/>
        <v>0</v>
      </c>
      <c r="CS273" s="17">
        <f t="shared" si="232"/>
        <v>2</v>
      </c>
      <c r="CT273" s="17">
        <f t="shared" si="233"/>
        <v>4</v>
      </c>
      <c r="CU273" s="17">
        <f t="shared" si="234"/>
        <v>7</v>
      </c>
      <c r="CV273" s="17">
        <f t="shared" si="235"/>
        <v>3</v>
      </c>
      <c r="CW273" s="17">
        <f t="shared" si="236"/>
        <v>6</v>
      </c>
      <c r="CX273" s="17">
        <f t="shared" si="237"/>
        <v>3</v>
      </c>
      <c r="CY273" s="17">
        <f t="shared" si="237"/>
        <v>-76</v>
      </c>
      <c r="CZ273" s="17">
        <f t="shared" si="237"/>
        <v>0</v>
      </c>
      <c r="DA273" s="17">
        <f t="shared" si="237"/>
        <v>0</v>
      </c>
      <c r="DB273" s="17">
        <f t="shared" si="237"/>
        <v>0</v>
      </c>
      <c r="DC273" s="17">
        <f t="shared" si="237"/>
        <v>0</v>
      </c>
      <c r="DD273" s="17">
        <f t="shared" si="237"/>
        <v>0</v>
      </c>
      <c r="DE273" s="17">
        <f t="shared" si="237"/>
        <v>0</v>
      </c>
      <c r="DF273" s="17">
        <f t="shared" si="237"/>
        <v>0</v>
      </c>
      <c r="DG273" s="17">
        <f t="shared" si="237"/>
        <v>0</v>
      </c>
      <c r="DH273" s="17">
        <f t="shared" si="237"/>
        <v>0</v>
      </c>
      <c r="DI273" s="17">
        <f t="shared" si="237"/>
        <v>0</v>
      </c>
    </row>
    <row r="274" spans="1:113" ht="15.75" x14ac:dyDescent="0.25">
      <c r="A274" s="4" t="s">
        <v>580</v>
      </c>
      <c r="B274" s="6" t="s">
        <v>581</v>
      </c>
      <c r="H274" s="90">
        <f>'Combined data'!H274</f>
        <v>97</v>
      </c>
      <c r="I274" s="90">
        <f>'Combined data'!I274-'Combined data'!H274</f>
        <v>8</v>
      </c>
      <c r="J274" s="90">
        <f>'Combined data'!J274-'Combined data'!I274</f>
        <v>4</v>
      </c>
      <c r="K274" s="90">
        <f>'Combined data'!K274-'Combined data'!J274</f>
        <v>11</v>
      </c>
      <c r="L274" s="90">
        <f>'Combined data'!L274-'Combined data'!K274</f>
        <v>6</v>
      </c>
      <c r="M274" s="90">
        <f>'Combined data'!M274-'Combined data'!L274</f>
        <v>0</v>
      </c>
      <c r="N274" s="90">
        <f>'Combined data'!N274-'Combined data'!M274</f>
        <v>12</v>
      </c>
      <c r="O274" s="90">
        <f>'Combined data'!O274-'Combined data'!N274</f>
        <v>6</v>
      </c>
      <c r="P274" s="90">
        <f>'Combined data'!P274-'Combined data'!O274</f>
        <v>10</v>
      </c>
      <c r="Q274" s="90">
        <f>'Combined data'!Q274-'Combined data'!P274</f>
        <v>11</v>
      </c>
      <c r="R274" s="90">
        <f>'Combined data'!R274-'Combined data'!Q274</f>
        <v>0</v>
      </c>
      <c r="S274" s="90">
        <f>'Combined data'!S274-'Combined data'!R274</f>
        <v>0</v>
      </c>
      <c r="T274" s="90">
        <f>'Combined data'!T274-'Combined data'!S274</f>
        <v>2</v>
      </c>
      <c r="U274" s="90">
        <f>'Combined data'!U274-'Combined data'!T274</f>
        <v>8</v>
      </c>
      <c r="V274" s="90">
        <f>'Combined data'!V274-'Combined data'!U274</f>
        <v>9</v>
      </c>
      <c r="W274" s="90">
        <f>'Combined data'!W274-'Combined data'!V274</f>
        <v>3</v>
      </c>
      <c r="X274" s="90">
        <f>'Combined data'!X274-'Combined data'!W274</f>
        <v>1</v>
      </c>
      <c r="Y274" s="90">
        <f>'Combined data'!Y274-'Combined data'!X274</f>
        <v>6</v>
      </c>
      <c r="Z274" s="90">
        <f>'Combined data'!Z274-'Combined data'!Y274</f>
        <v>6</v>
      </c>
      <c r="AA274" s="90">
        <f>'Combined data'!AA274-'Combined data'!Z274</f>
        <v>1</v>
      </c>
      <c r="AB274" s="90">
        <f>'Combined data'!AB274-'Combined data'!AA274</f>
        <v>4</v>
      </c>
      <c r="AC274" s="90">
        <f>'Combined data'!AC274-'Combined data'!AB274</f>
        <v>4</v>
      </c>
      <c r="AD274" s="90">
        <f>'Combined data'!AD274-'Combined data'!AC274</f>
        <v>3</v>
      </c>
      <c r="AE274" s="90">
        <f>'Combined data'!AE274-'Combined data'!AD274</f>
        <v>-212</v>
      </c>
      <c r="AF274" s="90">
        <f>'Combined data'!AF274-'Combined data'!AE274</f>
        <v>0</v>
      </c>
      <c r="AG274" s="90">
        <f>'Combined data'!AG274-'Combined data'!AF274</f>
        <v>0</v>
      </c>
      <c r="AH274" s="90">
        <f>'Combined data'!AH274-'Combined data'!AG274</f>
        <v>0</v>
      </c>
      <c r="AI274" s="90">
        <f>'Combined data'!AI274-'Combined data'!AH274</f>
        <v>0</v>
      </c>
      <c r="AJ274" s="90">
        <f>'Combined data'!AJ274-'Combined data'!AI274</f>
        <v>0</v>
      </c>
      <c r="AK274" s="90">
        <f>'Combined data'!AK274-'Combined data'!AJ274</f>
        <v>0</v>
      </c>
      <c r="AL274" s="90">
        <f>'Combined data'!AL274-'Combined data'!AK274</f>
        <v>0</v>
      </c>
      <c r="AM274" s="90">
        <f>'Combined data'!AM274-'Combined data'!AL274</f>
        <v>0</v>
      </c>
      <c r="AN274" s="90">
        <f>'Combined data'!AN274-'Combined data'!AM274</f>
        <v>0</v>
      </c>
      <c r="AO274" s="90">
        <f>'Combined data'!AO274-'Combined data'!AN274</f>
        <v>0</v>
      </c>
      <c r="AP274" s="56">
        <f t="shared" si="238"/>
        <v>0</v>
      </c>
      <c r="AQ274" s="113"/>
      <c r="AR274" s="17">
        <f>'Combined data'!AR274</f>
        <v>13</v>
      </c>
      <c r="AS274" s="17">
        <f>'Combined data'!AS274-'Combined data'!AR274</f>
        <v>11</v>
      </c>
      <c r="AT274" s="17">
        <f>'Combined data'!AT274-'Combined data'!AS274</f>
        <v>4</v>
      </c>
      <c r="AU274" s="17">
        <f>'Combined data'!AU274-'Combined data'!AT274</f>
        <v>0</v>
      </c>
      <c r="AV274" s="17">
        <f>'Combined data'!AV274-'Combined data'!AU274</f>
        <v>0</v>
      </c>
      <c r="AW274" s="17">
        <f>'Combined data'!AW274-'Combined data'!AV274</f>
        <v>0</v>
      </c>
      <c r="AX274" s="17">
        <f>'Combined data'!AX274-'Combined data'!AW274</f>
        <v>2</v>
      </c>
      <c r="AY274" s="17">
        <f>'Combined data'!AY274-'Combined data'!AX274</f>
        <v>3</v>
      </c>
      <c r="AZ274" s="17">
        <f>'Combined data'!AZ274-'Combined data'!AY274</f>
        <v>2</v>
      </c>
      <c r="BA274" s="17">
        <f>'Combined data'!BA274-'Combined data'!AZ274</f>
        <v>0</v>
      </c>
      <c r="BB274" s="17">
        <f>'Combined data'!BB274-'Combined data'!BA274</f>
        <v>0</v>
      </c>
      <c r="BC274" s="17">
        <f>'Combined data'!BC274-'Combined data'!BB274</f>
        <v>0</v>
      </c>
      <c r="BD274" s="17">
        <f>'Combined data'!BD274-'Combined data'!BC274</f>
        <v>7</v>
      </c>
      <c r="BE274" s="17">
        <f>'Combined data'!BE274-'Combined data'!BD274</f>
        <v>0</v>
      </c>
      <c r="BF274" s="17">
        <f>'Combined data'!BF274-'Combined data'!BE274</f>
        <v>0</v>
      </c>
      <c r="BG274" s="17">
        <f>'Combined data'!BG274-'Combined data'!BF274</f>
        <v>0</v>
      </c>
      <c r="BH274" s="17">
        <f>'Combined data'!BH274-'Combined data'!BG274</f>
        <v>0</v>
      </c>
      <c r="BI274" s="17">
        <f>'Combined data'!BI274-'Combined data'!BH274</f>
        <v>0</v>
      </c>
      <c r="BJ274" s="17">
        <f>'Combined data'!BJ274-'Combined data'!BI274</f>
        <v>3</v>
      </c>
      <c r="BK274" s="17">
        <f>'Combined data'!BK274-'Combined data'!BJ274</f>
        <v>0</v>
      </c>
      <c r="BL274" s="17">
        <f>'Combined data'!BL274-'Combined data'!BK274</f>
        <v>1</v>
      </c>
      <c r="BM274" s="17">
        <f>'Combined data'!BM274-'Combined data'!BL274</f>
        <v>1</v>
      </c>
      <c r="BN274" s="17">
        <f>'Combined data'!BN274-'Combined data'!BM274</f>
        <v>1</v>
      </c>
      <c r="BO274" s="17">
        <f>'Combined data'!BO274-'Combined data'!BN274</f>
        <v>-48</v>
      </c>
      <c r="BP274" s="17">
        <f>'Combined data'!BP274-'Combined data'!BO274</f>
        <v>0</v>
      </c>
      <c r="BQ274" s="17">
        <f>'Combined data'!BQ274-'Combined data'!BP274</f>
        <v>0</v>
      </c>
      <c r="BR274" s="17">
        <f>'Combined data'!BR274-'Combined data'!BQ274</f>
        <v>0</v>
      </c>
      <c r="BS274" s="17">
        <f>'Combined data'!BS274-'Combined data'!BR274</f>
        <v>0</v>
      </c>
      <c r="BT274" s="17">
        <f>'Combined data'!BT274-'Combined data'!BS274</f>
        <v>0</v>
      </c>
      <c r="BU274" s="17">
        <f>'Combined data'!BU274-'Combined data'!BT274</f>
        <v>0</v>
      </c>
      <c r="BV274" s="17">
        <f>'Combined data'!BV274-'Combined data'!BU274</f>
        <v>0</v>
      </c>
      <c r="BW274" s="17">
        <f>'Combined data'!BW274-'Combined data'!BV274</f>
        <v>0</v>
      </c>
      <c r="BX274" s="17">
        <f>'Combined data'!BX274-'Combined data'!BW274</f>
        <v>0</v>
      </c>
      <c r="BY274" s="17">
        <f>'Combined data'!BY274-'Combined data'!BX274</f>
        <v>0</v>
      </c>
      <c r="CB274" s="17">
        <f t="shared" si="215"/>
        <v>13</v>
      </c>
      <c r="CC274" s="17">
        <f t="shared" si="216"/>
        <v>11</v>
      </c>
      <c r="CD274" s="17">
        <f t="shared" si="217"/>
        <v>4</v>
      </c>
      <c r="CE274" s="17">
        <f t="shared" si="218"/>
        <v>0</v>
      </c>
      <c r="CF274" s="17">
        <f t="shared" si="219"/>
        <v>0</v>
      </c>
      <c r="CG274" s="17">
        <f t="shared" si="220"/>
        <v>0</v>
      </c>
      <c r="CH274" s="17">
        <f t="shared" si="221"/>
        <v>2</v>
      </c>
      <c r="CI274" s="17">
        <f t="shared" si="222"/>
        <v>3</v>
      </c>
      <c r="CJ274" s="17">
        <f t="shared" si="223"/>
        <v>2</v>
      </c>
      <c r="CK274" s="17">
        <f t="shared" si="224"/>
        <v>0</v>
      </c>
      <c r="CL274" s="17">
        <f t="shared" si="225"/>
        <v>0</v>
      </c>
      <c r="CM274" s="17">
        <f t="shared" si="226"/>
        <v>0</v>
      </c>
      <c r="CN274" s="17">
        <f t="shared" si="227"/>
        <v>7</v>
      </c>
      <c r="CO274" s="17">
        <f t="shared" si="228"/>
        <v>0</v>
      </c>
      <c r="CP274" s="17">
        <f t="shared" si="229"/>
        <v>0</v>
      </c>
      <c r="CQ274" s="17">
        <f t="shared" si="230"/>
        <v>0</v>
      </c>
      <c r="CR274" s="17">
        <f t="shared" si="231"/>
        <v>0</v>
      </c>
      <c r="CS274" s="17">
        <f t="shared" si="232"/>
        <v>0</v>
      </c>
      <c r="CT274" s="17">
        <f t="shared" si="233"/>
        <v>3</v>
      </c>
      <c r="CU274" s="17">
        <f t="shared" si="234"/>
        <v>0</v>
      </c>
      <c r="CV274" s="17">
        <f t="shared" si="235"/>
        <v>1</v>
      </c>
      <c r="CW274" s="17">
        <f t="shared" si="236"/>
        <v>1</v>
      </c>
      <c r="CX274" s="17">
        <f t="shared" si="237"/>
        <v>1</v>
      </c>
      <c r="CY274" s="17">
        <f t="shared" si="237"/>
        <v>-48</v>
      </c>
      <c r="CZ274" s="17">
        <f t="shared" si="237"/>
        <v>0</v>
      </c>
      <c r="DA274" s="17">
        <f t="shared" si="237"/>
        <v>0</v>
      </c>
      <c r="DB274" s="17">
        <f t="shared" si="237"/>
        <v>0</v>
      </c>
      <c r="DC274" s="17">
        <f t="shared" si="237"/>
        <v>0</v>
      </c>
      <c r="DD274" s="17">
        <f t="shared" si="237"/>
        <v>0</v>
      </c>
      <c r="DE274" s="17">
        <f t="shared" si="237"/>
        <v>0</v>
      </c>
      <c r="DF274" s="17">
        <f t="shared" si="237"/>
        <v>0</v>
      </c>
      <c r="DG274" s="17">
        <f t="shared" si="237"/>
        <v>0</v>
      </c>
      <c r="DH274" s="17">
        <f t="shared" si="237"/>
        <v>0</v>
      </c>
      <c r="DI274" s="17">
        <f t="shared" si="237"/>
        <v>0</v>
      </c>
    </row>
    <row r="275" spans="1:113" x14ac:dyDescent="0.25">
      <c r="A275" s="4"/>
      <c r="B275" s="6"/>
      <c r="H275" s="98"/>
      <c r="I275" s="106"/>
      <c r="J275" s="106"/>
      <c r="K275" s="106"/>
      <c r="L275" s="106"/>
      <c r="M275" s="106"/>
      <c r="N275" s="106"/>
      <c r="O275" s="106"/>
      <c r="P275" s="100"/>
      <c r="Q275" s="106"/>
      <c r="R275" s="106"/>
      <c r="S275" s="106"/>
      <c r="T275" s="106"/>
      <c r="U275" s="106"/>
      <c r="V275" s="106"/>
      <c r="W275" s="106"/>
      <c r="X275" s="106"/>
      <c r="Y275" s="106"/>
      <c r="Z275" s="106"/>
      <c r="AA275" s="106"/>
      <c r="AB275" s="106"/>
      <c r="AC275" s="106"/>
      <c r="AD275" s="106"/>
      <c r="AE275" s="106"/>
      <c r="AF275" s="106"/>
      <c r="AG275" s="106"/>
      <c r="AH275" s="106"/>
      <c r="AI275" s="106"/>
      <c r="AJ275" s="106"/>
      <c r="AK275" s="106"/>
      <c r="AL275" s="106"/>
      <c r="AM275" s="106"/>
      <c r="AN275" s="106"/>
      <c r="AO275" s="106"/>
      <c r="AP275" s="56">
        <f t="shared" si="238"/>
        <v>0</v>
      </c>
      <c r="AR275" s="26"/>
      <c r="AS275" s="34"/>
      <c r="AT275" s="34"/>
      <c r="AU275" s="34"/>
      <c r="AV275" s="34"/>
      <c r="AW275" s="34"/>
      <c r="AX275" s="34"/>
      <c r="AY275" s="34"/>
      <c r="AZ275" s="36"/>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CB275" s="26"/>
      <c r="CC275" s="34"/>
      <c r="CD275" s="34"/>
      <c r="CE275" s="34"/>
      <c r="CF275" s="34"/>
      <c r="CG275" s="34"/>
      <c r="CH275" s="34"/>
      <c r="CI275" s="34"/>
      <c r="CJ275" s="36"/>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row>
    <row r="276" spans="1:113" ht="15.75" x14ac:dyDescent="0.25">
      <c r="A276" s="8" t="s">
        <v>5</v>
      </c>
      <c r="B276" s="6"/>
      <c r="H276" s="109">
        <f>SUM(H264:H274)</f>
        <v>747</v>
      </c>
      <c r="I276" s="109">
        <f t="shared" ref="I276:AC276" si="239">SUM(I264:I274)</f>
        <v>74</v>
      </c>
      <c r="J276" s="109">
        <f t="shared" si="239"/>
        <v>33</v>
      </c>
      <c r="K276" s="109">
        <f t="shared" si="239"/>
        <v>93</v>
      </c>
      <c r="L276" s="109">
        <f t="shared" si="239"/>
        <v>46</v>
      </c>
      <c r="M276" s="109">
        <f t="shared" si="239"/>
        <v>46</v>
      </c>
      <c r="N276" s="109">
        <f t="shared" si="239"/>
        <v>79</v>
      </c>
      <c r="O276" s="109">
        <f t="shared" si="239"/>
        <v>45</v>
      </c>
      <c r="P276" s="109">
        <f t="shared" si="239"/>
        <v>83</v>
      </c>
      <c r="Q276" s="109">
        <f t="shared" si="239"/>
        <v>54</v>
      </c>
      <c r="R276" s="109">
        <f t="shared" si="239"/>
        <v>14</v>
      </c>
      <c r="S276" s="109">
        <f t="shared" si="239"/>
        <v>27</v>
      </c>
      <c r="T276" s="109">
        <f t="shared" si="239"/>
        <v>44</v>
      </c>
      <c r="U276" s="109">
        <f t="shared" si="239"/>
        <v>40</v>
      </c>
      <c r="V276" s="109">
        <f t="shared" si="239"/>
        <v>53</v>
      </c>
      <c r="W276" s="109">
        <f t="shared" si="239"/>
        <v>39</v>
      </c>
      <c r="X276" s="109">
        <f t="shared" si="239"/>
        <v>14</v>
      </c>
      <c r="Y276" s="109">
        <f t="shared" si="239"/>
        <v>48</v>
      </c>
      <c r="Z276" s="109">
        <f t="shared" si="239"/>
        <v>51</v>
      </c>
      <c r="AA276" s="109">
        <f t="shared" si="239"/>
        <v>25</v>
      </c>
      <c r="AB276" s="109">
        <f t="shared" si="239"/>
        <v>26</v>
      </c>
      <c r="AC276" s="109">
        <f t="shared" si="239"/>
        <v>11</v>
      </c>
      <c r="AD276" s="109">
        <f t="shared" ref="AD276" si="240">SUM(AD264:AD274)</f>
        <v>30</v>
      </c>
      <c r="AE276" s="109">
        <f t="shared" ref="AE276:AN276" si="241">SUM(AE264:AE274)</f>
        <v>-1722</v>
      </c>
      <c r="AF276" s="109">
        <f t="shared" si="241"/>
        <v>0</v>
      </c>
      <c r="AG276" s="109">
        <f t="shared" si="241"/>
        <v>0</v>
      </c>
      <c r="AH276" s="109">
        <f t="shared" si="241"/>
        <v>0</v>
      </c>
      <c r="AI276" s="109">
        <f t="shared" si="241"/>
        <v>0</v>
      </c>
      <c r="AJ276" s="109">
        <f t="shared" si="241"/>
        <v>0</v>
      </c>
      <c r="AK276" s="109">
        <f t="shared" si="241"/>
        <v>0</v>
      </c>
      <c r="AL276" s="109">
        <f t="shared" si="241"/>
        <v>0</v>
      </c>
      <c r="AM276" s="109">
        <f t="shared" si="241"/>
        <v>0</v>
      </c>
      <c r="AN276" s="109">
        <f t="shared" si="241"/>
        <v>0</v>
      </c>
      <c r="AO276" s="109">
        <f t="shared" ref="AO276" si="242">SUM(AO264:AO274)</f>
        <v>0</v>
      </c>
      <c r="AP276" s="56">
        <f t="shared" si="238"/>
        <v>0</v>
      </c>
      <c r="AQ276" s="113"/>
      <c r="AR276" s="33">
        <f>SUM(AR264:AR274)</f>
        <v>120</v>
      </c>
      <c r="AS276" s="33">
        <f t="shared" ref="AS276:BM276" si="243">SUM(AS264:AS274)</f>
        <v>46</v>
      </c>
      <c r="AT276" s="33">
        <f t="shared" si="243"/>
        <v>28</v>
      </c>
      <c r="AU276" s="33">
        <f t="shared" si="243"/>
        <v>17</v>
      </c>
      <c r="AV276" s="33">
        <f t="shared" si="243"/>
        <v>20</v>
      </c>
      <c r="AW276" s="33">
        <f t="shared" si="243"/>
        <v>19</v>
      </c>
      <c r="AX276" s="33">
        <f t="shared" si="243"/>
        <v>12</v>
      </c>
      <c r="AY276" s="33">
        <f t="shared" si="243"/>
        <v>32</v>
      </c>
      <c r="AZ276" s="33">
        <f t="shared" si="243"/>
        <v>11</v>
      </c>
      <c r="BA276" s="33">
        <f t="shared" si="243"/>
        <v>30</v>
      </c>
      <c r="BB276" s="33">
        <f t="shared" si="243"/>
        <v>12</v>
      </c>
      <c r="BC276" s="33">
        <f t="shared" si="243"/>
        <v>30</v>
      </c>
      <c r="BD276" s="33">
        <f t="shared" si="243"/>
        <v>64</v>
      </c>
      <c r="BE276" s="33">
        <f t="shared" si="243"/>
        <v>22</v>
      </c>
      <c r="BF276" s="33">
        <f t="shared" si="243"/>
        <v>17</v>
      </c>
      <c r="BG276" s="33">
        <f t="shared" si="243"/>
        <v>11</v>
      </c>
      <c r="BH276" s="33">
        <f t="shared" si="243"/>
        <v>35</v>
      </c>
      <c r="BI276" s="33">
        <f t="shared" si="243"/>
        <v>25</v>
      </c>
      <c r="BJ276" s="33">
        <f t="shared" si="243"/>
        <v>11</v>
      </c>
      <c r="BK276" s="33">
        <f t="shared" si="243"/>
        <v>23</v>
      </c>
      <c r="BL276" s="33">
        <f t="shared" si="243"/>
        <v>19</v>
      </c>
      <c r="BM276" s="33">
        <f t="shared" si="243"/>
        <v>18</v>
      </c>
      <c r="BN276" s="33">
        <f t="shared" ref="BN276:BY276" si="244">SUM(BN264:BN274)</f>
        <v>21</v>
      </c>
      <c r="BO276" s="33">
        <f t="shared" si="244"/>
        <v>-643</v>
      </c>
      <c r="BP276" s="33">
        <f t="shared" si="244"/>
        <v>0</v>
      </c>
      <c r="BQ276" s="33">
        <f t="shared" si="244"/>
        <v>0</v>
      </c>
      <c r="BR276" s="33">
        <f t="shared" si="244"/>
        <v>0</v>
      </c>
      <c r="BS276" s="33">
        <f t="shared" si="244"/>
        <v>0</v>
      </c>
      <c r="BT276" s="33">
        <f t="shared" si="244"/>
        <v>0</v>
      </c>
      <c r="BU276" s="33">
        <f t="shared" si="244"/>
        <v>0</v>
      </c>
      <c r="BV276" s="33">
        <f t="shared" si="244"/>
        <v>0</v>
      </c>
      <c r="BW276" s="33">
        <f t="shared" si="244"/>
        <v>0</v>
      </c>
      <c r="BX276" s="33">
        <f t="shared" si="244"/>
        <v>0</v>
      </c>
      <c r="BY276" s="33">
        <f t="shared" si="244"/>
        <v>0</v>
      </c>
      <c r="CB276" s="33">
        <f t="shared" ref="CB276:CW276" si="245">AR276</f>
        <v>120</v>
      </c>
      <c r="CC276" s="33">
        <f t="shared" si="245"/>
        <v>46</v>
      </c>
      <c r="CD276" s="33">
        <f t="shared" si="245"/>
        <v>28</v>
      </c>
      <c r="CE276" s="33">
        <f t="shared" si="245"/>
        <v>17</v>
      </c>
      <c r="CF276" s="33">
        <f t="shared" si="245"/>
        <v>20</v>
      </c>
      <c r="CG276" s="33">
        <f t="shared" si="245"/>
        <v>19</v>
      </c>
      <c r="CH276" s="33">
        <f t="shared" si="245"/>
        <v>12</v>
      </c>
      <c r="CI276" s="33">
        <f t="shared" si="245"/>
        <v>32</v>
      </c>
      <c r="CJ276" s="33">
        <f t="shared" si="245"/>
        <v>11</v>
      </c>
      <c r="CK276" s="33">
        <f t="shared" si="245"/>
        <v>30</v>
      </c>
      <c r="CL276" s="33">
        <f t="shared" si="245"/>
        <v>12</v>
      </c>
      <c r="CM276" s="33">
        <f t="shared" si="245"/>
        <v>30</v>
      </c>
      <c r="CN276" s="33">
        <f t="shared" si="245"/>
        <v>64</v>
      </c>
      <c r="CO276" s="33">
        <f t="shared" si="245"/>
        <v>22</v>
      </c>
      <c r="CP276" s="33">
        <f t="shared" si="245"/>
        <v>17</v>
      </c>
      <c r="CQ276" s="33">
        <f t="shared" si="245"/>
        <v>11</v>
      </c>
      <c r="CR276" s="33">
        <f t="shared" si="245"/>
        <v>35</v>
      </c>
      <c r="CS276" s="33">
        <f t="shared" si="245"/>
        <v>25</v>
      </c>
      <c r="CT276" s="33">
        <f t="shared" si="245"/>
        <v>11</v>
      </c>
      <c r="CU276" s="33">
        <f t="shared" si="245"/>
        <v>23</v>
      </c>
      <c r="CV276" s="33">
        <f t="shared" si="245"/>
        <v>19</v>
      </c>
      <c r="CW276" s="33">
        <f t="shared" si="245"/>
        <v>18</v>
      </c>
      <c r="CX276" s="33">
        <f t="shared" ref="CX276:DI276" si="246">BN276</f>
        <v>21</v>
      </c>
      <c r="CY276" s="33">
        <f t="shared" si="246"/>
        <v>-643</v>
      </c>
      <c r="CZ276" s="33">
        <f t="shared" si="246"/>
        <v>0</v>
      </c>
      <c r="DA276" s="33">
        <f t="shared" si="246"/>
        <v>0</v>
      </c>
      <c r="DB276" s="33">
        <f t="shared" si="246"/>
        <v>0</v>
      </c>
      <c r="DC276" s="33">
        <f t="shared" si="246"/>
        <v>0</v>
      </c>
      <c r="DD276" s="33">
        <f t="shared" si="246"/>
        <v>0</v>
      </c>
      <c r="DE276" s="33">
        <f t="shared" si="246"/>
        <v>0</v>
      </c>
      <c r="DF276" s="33">
        <f t="shared" si="246"/>
        <v>0</v>
      </c>
      <c r="DG276" s="33">
        <f t="shared" si="246"/>
        <v>0</v>
      </c>
      <c r="DH276" s="33">
        <f t="shared" si="246"/>
        <v>0</v>
      </c>
      <c r="DI276" s="33">
        <f t="shared" si="246"/>
        <v>0</v>
      </c>
    </row>
    <row r="277" spans="1:113" ht="15.75" thickBot="1" x14ac:dyDescent="0.3">
      <c r="A277" s="12"/>
      <c r="B277" s="43"/>
      <c r="H277" s="102"/>
      <c r="I277" s="116"/>
      <c r="J277" s="116"/>
      <c r="K277" s="116"/>
      <c r="L277" s="116"/>
      <c r="M277" s="116"/>
      <c r="N277" s="116"/>
      <c r="O277" s="116"/>
      <c r="P277" s="103"/>
      <c r="Q277" s="116"/>
      <c r="R277" s="116"/>
      <c r="S277" s="116"/>
      <c r="T277" s="116"/>
      <c r="U277" s="116"/>
      <c r="V277" s="116"/>
      <c r="W277" s="116"/>
      <c r="X277" s="116"/>
      <c r="Y277" s="116"/>
      <c r="Z277" s="116"/>
      <c r="AA277" s="116"/>
      <c r="AB277" s="116"/>
      <c r="AC277" s="116"/>
      <c r="AD277" s="116"/>
      <c r="AE277" s="116"/>
      <c r="AF277" s="116"/>
      <c r="AG277" s="116"/>
      <c r="AH277" s="116"/>
      <c r="AI277" s="116"/>
      <c r="AJ277" s="116"/>
      <c r="AK277" s="116"/>
      <c r="AL277" s="116"/>
      <c r="AM277" s="116"/>
      <c r="AN277" s="116"/>
      <c r="AO277" s="116"/>
      <c r="AP277" s="56">
        <f t="shared" si="238"/>
        <v>0</v>
      </c>
      <c r="AR277" s="27"/>
      <c r="AS277" s="12"/>
      <c r="AT277" s="12"/>
      <c r="AU277" s="12"/>
      <c r="AV277" s="12"/>
      <c r="AW277" s="12"/>
      <c r="AX277" s="12"/>
      <c r="AY277" s="12"/>
      <c r="AZ277" s="37"/>
      <c r="BA277" s="12"/>
      <c r="BB277" s="12"/>
      <c r="BC277" s="12"/>
      <c r="BD277" s="12"/>
      <c r="BE277" s="12"/>
      <c r="BF277" s="12"/>
      <c r="BG277" s="12"/>
      <c r="BH277" s="12"/>
      <c r="BI277" s="12"/>
      <c r="BJ277" s="12"/>
      <c r="BK277" s="12"/>
      <c r="BL277" s="12"/>
      <c r="BM277" s="12"/>
      <c r="BN277" s="12"/>
      <c r="BO277" s="12"/>
      <c r="BP277" s="12"/>
      <c r="BQ277" s="12"/>
      <c r="BR277" s="12"/>
      <c r="BS277" s="12"/>
      <c r="BT277" s="12"/>
      <c r="BU277" s="12"/>
      <c r="BV277" s="12"/>
      <c r="BW277" s="12"/>
      <c r="BX277" s="12"/>
      <c r="BY277" s="12"/>
      <c r="CB277" s="27"/>
      <c r="CC277" s="12"/>
      <c r="CD277" s="12"/>
      <c r="CE277" s="12"/>
      <c r="CF277" s="12"/>
      <c r="CG277" s="12"/>
      <c r="CH277" s="12"/>
      <c r="CI277" s="12"/>
      <c r="CJ277" s="37"/>
      <c r="CK277" s="12"/>
      <c r="CL277" s="12"/>
      <c r="CM277" s="12"/>
      <c r="CN277" s="12"/>
      <c r="CO277" s="12"/>
      <c r="CP277" s="12"/>
      <c r="CQ277" s="12"/>
      <c r="CR277" s="12"/>
      <c r="CS277" s="12"/>
      <c r="CT277" s="12"/>
      <c r="CU277" s="12"/>
      <c r="CV277" s="12"/>
      <c r="CW277" s="12"/>
      <c r="CX277" s="12"/>
      <c r="CY277" s="12"/>
      <c r="CZ277" s="12"/>
      <c r="DA277" s="12"/>
      <c r="DB277" s="12"/>
      <c r="DC277" s="12"/>
      <c r="DD277" s="12"/>
      <c r="DE277" s="12"/>
      <c r="DF277" s="12"/>
      <c r="DG277" s="12"/>
      <c r="DH277" s="12"/>
      <c r="DI277" s="12"/>
    </row>
    <row r="278" spans="1:113" x14ac:dyDescent="0.25">
      <c r="AP278" s="56">
        <f t="shared" si="238"/>
        <v>0</v>
      </c>
    </row>
    <row r="279" spans="1:113" s="46" customFormat="1" ht="15.75" x14ac:dyDescent="0.25">
      <c r="A279" s="46" t="s">
        <v>583</v>
      </c>
      <c r="H279" s="114">
        <f>H276+H254+H213+H162</f>
        <v>61699</v>
      </c>
      <c r="I279" s="114">
        <f t="shared" ref="I279:AC279" si="247">I276+I254+I213+I162</f>
        <v>5129</v>
      </c>
      <c r="J279" s="114">
        <f t="shared" si="247"/>
        <v>5085</v>
      </c>
      <c r="K279" s="114">
        <f t="shared" si="247"/>
        <v>6216</v>
      </c>
      <c r="L279" s="114">
        <f t="shared" si="247"/>
        <v>2665</v>
      </c>
      <c r="M279" s="114">
        <f t="shared" si="247"/>
        <v>2624</v>
      </c>
      <c r="N279" s="114">
        <f t="shared" si="247"/>
        <v>8672</v>
      </c>
      <c r="O279" s="114">
        <f t="shared" si="247"/>
        <v>4143</v>
      </c>
      <c r="P279" s="114">
        <f t="shared" si="247"/>
        <v>6680</v>
      </c>
      <c r="Q279" s="114">
        <f t="shared" si="247"/>
        <v>5550</v>
      </c>
      <c r="R279" s="114">
        <f t="shared" si="247"/>
        <v>4383</v>
      </c>
      <c r="S279" s="114">
        <f t="shared" si="247"/>
        <v>4726</v>
      </c>
      <c r="T279" s="114">
        <f t="shared" si="247"/>
        <v>4118</v>
      </c>
      <c r="U279" s="114">
        <f t="shared" si="247"/>
        <v>2661</v>
      </c>
      <c r="V279" s="114">
        <f t="shared" si="247"/>
        <v>1940</v>
      </c>
      <c r="W279" s="114">
        <f t="shared" si="247"/>
        <v>1368</v>
      </c>
      <c r="X279" s="114">
        <f t="shared" si="247"/>
        <v>1087</v>
      </c>
      <c r="Y279" s="114">
        <f t="shared" si="247"/>
        <v>1687</v>
      </c>
      <c r="Z279" s="114">
        <f t="shared" si="247"/>
        <v>1921</v>
      </c>
      <c r="AA279" s="114">
        <f t="shared" si="247"/>
        <v>840</v>
      </c>
      <c r="AB279" s="114">
        <f t="shared" si="247"/>
        <v>761</v>
      </c>
      <c r="AC279" s="114">
        <f t="shared" si="247"/>
        <v>202</v>
      </c>
      <c r="AD279" s="114">
        <f t="shared" ref="AD279" si="248">AD276+AD254+AD213+AD162</f>
        <v>1957</v>
      </c>
      <c r="AE279" s="114">
        <f t="shared" ref="AE279:AN279" si="249">AE276+AE254+AE213+AE162</f>
        <v>-136114</v>
      </c>
      <c r="AF279" s="114">
        <f t="shared" si="249"/>
        <v>0</v>
      </c>
      <c r="AG279" s="114">
        <f t="shared" si="249"/>
        <v>0</v>
      </c>
      <c r="AH279" s="114">
        <f t="shared" si="249"/>
        <v>0</v>
      </c>
      <c r="AI279" s="114">
        <f t="shared" si="249"/>
        <v>0</v>
      </c>
      <c r="AJ279" s="114">
        <f t="shared" si="249"/>
        <v>0</v>
      </c>
      <c r="AK279" s="114">
        <f t="shared" si="249"/>
        <v>0</v>
      </c>
      <c r="AL279" s="114">
        <f t="shared" si="249"/>
        <v>0</v>
      </c>
      <c r="AM279" s="114">
        <f t="shared" si="249"/>
        <v>0</v>
      </c>
      <c r="AN279" s="114">
        <f t="shared" si="249"/>
        <v>0</v>
      </c>
      <c r="AO279" s="114">
        <f t="shared" ref="AO279" si="250">AO276+AO254+AO213+AO162</f>
        <v>0</v>
      </c>
      <c r="AP279" s="56">
        <f t="shared" si="238"/>
        <v>0</v>
      </c>
      <c r="AQ279" s="113"/>
      <c r="AR279" s="47">
        <f t="shared" ref="AR279:BM279" si="251">AR276+AR254+AR213+AR162</f>
        <v>27936</v>
      </c>
      <c r="AS279" s="47">
        <f t="shared" si="251"/>
        <v>5133</v>
      </c>
      <c r="AT279" s="47">
        <f t="shared" si="251"/>
        <v>4463</v>
      </c>
      <c r="AU279" s="47">
        <f t="shared" si="251"/>
        <v>5459</v>
      </c>
      <c r="AV279" s="47">
        <f t="shared" si="251"/>
        <v>3848</v>
      </c>
      <c r="AW279" s="47">
        <f t="shared" si="251"/>
        <v>3692</v>
      </c>
      <c r="AX279" s="47">
        <f t="shared" si="251"/>
        <v>5717</v>
      </c>
      <c r="AY279" s="47">
        <f t="shared" si="251"/>
        <v>3028</v>
      </c>
      <c r="AZ279" s="47">
        <f t="shared" si="251"/>
        <v>3958</v>
      </c>
      <c r="BA279" s="47">
        <f t="shared" si="251"/>
        <v>3428</v>
      </c>
      <c r="BB279" s="47">
        <f t="shared" si="251"/>
        <v>2580</v>
      </c>
      <c r="BC279" s="47">
        <f t="shared" si="251"/>
        <v>4204</v>
      </c>
      <c r="BD279" s="47">
        <f t="shared" si="251"/>
        <v>3850</v>
      </c>
      <c r="BE279" s="47">
        <f t="shared" si="251"/>
        <v>3193</v>
      </c>
      <c r="BF279" s="47">
        <f t="shared" si="251"/>
        <v>2697</v>
      </c>
      <c r="BG279" s="47">
        <f t="shared" si="251"/>
        <v>1970</v>
      </c>
      <c r="BH279" s="47">
        <f t="shared" si="251"/>
        <v>2271</v>
      </c>
      <c r="BI279" s="47">
        <f t="shared" si="251"/>
        <v>2143</v>
      </c>
      <c r="BJ279" s="47">
        <f t="shared" si="251"/>
        <v>2467</v>
      </c>
      <c r="BK279" s="47">
        <f t="shared" si="251"/>
        <v>2311</v>
      </c>
      <c r="BL279" s="47">
        <f t="shared" si="251"/>
        <v>3187</v>
      </c>
      <c r="BM279" s="47">
        <f t="shared" si="251"/>
        <v>1041</v>
      </c>
      <c r="BN279" s="47">
        <f t="shared" ref="BN279:BY279" si="252">BN276+BN254+BN213+BN162</f>
        <v>1655</v>
      </c>
      <c r="BO279" s="47">
        <f t="shared" si="252"/>
        <v>-100231</v>
      </c>
      <c r="BP279" s="47">
        <f t="shared" si="252"/>
        <v>0</v>
      </c>
      <c r="BQ279" s="47">
        <f t="shared" si="252"/>
        <v>0</v>
      </c>
      <c r="BR279" s="47">
        <f t="shared" si="252"/>
        <v>0</v>
      </c>
      <c r="BS279" s="47">
        <f t="shared" si="252"/>
        <v>0</v>
      </c>
      <c r="BT279" s="47">
        <f t="shared" si="252"/>
        <v>0</v>
      </c>
      <c r="BU279" s="47">
        <f t="shared" si="252"/>
        <v>0</v>
      </c>
      <c r="BV279" s="47">
        <f t="shared" si="252"/>
        <v>0</v>
      </c>
      <c r="BW279" s="47">
        <f t="shared" si="252"/>
        <v>0</v>
      </c>
      <c r="BX279" s="47">
        <f t="shared" si="252"/>
        <v>0</v>
      </c>
      <c r="BY279" s="47">
        <f t="shared" si="252"/>
        <v>0</v>
      </c>
      <c r="CB279" s="47">
        <f t="shared" ref="CB279:CW279" si="253">AR279</f>
        <v>27936</v>
      </c>
      <c r="CC279" s="47">
        <f t="shared" si="253"/>
        <v>5133</v>
      </c>
      <c r="CD279" s="47">
        <f t="shared" si="253"/>
        <v>4463</v>
      </c>
      <c r="CE279" s="47">
        <f t="shared" si="253"/>
        <v>5459</v>
      </c>
      <c r="CF279" s="47">
        <f t="shared" si="253"/>
        <v>3848</v>
      </c>
      <c r="CG279" s="47">
        <f t="shared" si="253"/>
        <v>3692</v>
      </c>
      <c r="CH279" s="47">
        <f t="shared" si="253"/>
        <v>5717</v>
      </c>
      <c r="CI279" s="47">
        <f t="shared" si="253"/>
        <v>3028</v>
      </c>
      <c r="CJ279" s="47">
        <f t="shared" si="253"/>
        <v>3958</v>
      </c>
      <c r="CK279" s="47">
        <f t="shared" si="253"/>
        <v>3428</v>
      </c>
      <c r="CL279" s="47">
        <f t="shared" si="253"/>
        <v>2580</v>
      </c>
      <c r="CM279" s="47">
        <f t="shared" si="253"/>
        <v>4204</v>
      </c>
      <c r="CN279" s="47">
        <f t="shared" si="253"/>
        <v>3850</v>
      </c>
      <c r="CO279" s="47">
        <f t="shared" si="253"/>
        <v>3193</v>
      </c>
      <c r="CP279" s="47">
        <f t="shared" si="253"/>
        <v>2697</v>
      </c>
      <c r="CQ279" s="47">
        <f t="shared" si="253"/>
        <v>1970</v>
      </c>
      <c r="CR279" s="47">
        <f t="shared" si="253"/>
        <v>2271</v>
      </c>
      <c r="CS279" s="47">
        <f t="shared" si="253"/>
        <v>2143</v>
      </c>
      <c r="CT279" s="47">
        <f t="shared" si="253"/>
        <v>2467</v>
      </c>
      <c r="CU279" s="47">
        <f t="shared" si="253"/>
        <v>2311</v>
      </c>
      <c r="CV279" s="47">
        <f t="shared" si="253"/>
        <v>3187</v>
      </c>
      <c r="CW279" s="47">
        <f t="shared" si="253"/>
        <v>1041</v>
      </c>
      <c r="CX279" s="47">
        <f t="shared" ref="CX279:DI279" si="254">BN279</f>
        <v>1655</v>
      </c>
      <c r="CY279" s="47">
        <f t="shared" si="254"/>
        <v>-100231</v>
      </c>
      <c r="CZ279" s="47">
        <f t="shared" si="254"/>
        <v>0</v>
      </c>
      <c r="DA279" s="47">
        <f t="shared" si="254"/>
        <v>0</v>
      </c>
      <c r="DB279" s="47">
        <f t="shared" si="254"/>
        <v>0</v>
      </c>
      <c r="DC279" s="47">
        <f t="shared" si="254"/>
        <v>0</v>
      </c>
      <c r="DD279" s="47">
        <f t="shared" si="254"/>
        <v>0</v>
      </c>
      <c r="DE279" s="47">
        <f t="shared" si="254"/>
        <v>0</v>
      </c>
      <c r="DF279" s="47">
        <f t="shared" si="254"/>
        <v>0</v>
      </c>
      <c r="DG279" s="47">
        <f t="shared" si="254"/>
        <v>0</v>
      </c>
      <c r="DH279" s="47">
        <f t="shared" si="254"/>
        <v>0</v>
      </c>
      <c r="DI279" s="47">
        <f t="shared" si="254"/>
        <v>0</v>
      </c>
    </row>
  </sheetData>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C70EE-2EB9-471E-8DA2-5A82B8ADDAB5}">
  <sheetPr codeName="Sheet1"/>
  <dimension ref="A1:BY279"/>
  <sheetViews>
    <sheetView topLeftCell="C240" workbookViewId="0">
      <selection activeCell="J286" sqref="J286"/>
    </sheetView>
  </sheetViews>
  <sheetFormatPr defaultRowHeight="15" x14ac:dyDescent="0.25"/>
  <cols>
    <col min="1" max="1" width="38.7109375" customWidth="1"/>
    <col min="2" max="7" width="9.140625" customWidth="1"/>
    <col min="8" max="9" width="10.85546875" bestFit="1" customWidth="1"/>
    <col min="10" max="18" width="9.28515625" bestFit="1" customWidth="1"/>
    <col min="19" max="19" width="9.42578125" bestFit="1" customWidth="1"/>
    <col min="20" max="29" width="9.28515625" bestFit="1" customWidth="1"/>
    <col min="32" max="41" width="9.140625" customWidth="1"/>
    <col min="44" max="44" width="9.7109375" bestFit="1" customWidth="1"/>
    <col min="45" max="65" width="9.28515625" bestFit="1" customWidth="1"/>
    <col min="68" max="76" width="9.140625" customWidth="1"/>
  </cols>
  <sheetData>
    <row r="1" spans="1:77" ht="25.5" customHeight="1" x14ac:dyDescent="0.3">
      <c r="A1" s="1" t="s">
        <v>0</v>
      </c>
      <c r="B1" s="2"/>
    </row>
    <row r="2" spans="1:77" ht="18.75" customHeight="1" x14ac:dyDescent="0.25">
      <c r="A2" s="3" t="s">
        <v>1</v>
      </c>
      <c r="B2" s="2"/>
    </row>
    <row r="3" spans="1:77" ht="19.5" customHeight="1" x14ac:dyDescent="0.25">
      <c r="A3" s="4" t="s">
        <v>2</v>
      </c>
      <c r="B3" s="2"/>
    </row>
    <row r="4" spans="1:77" x14ac:dyDescent="0.25">
      <c r="A4" s="14"/>
      <c r="B4" s="15"/>
    </row>
    <row r="5" spans="1:77" x14ac:dyDescent="0.25">
      <c r="A5" s="5" t="s">
        <v>6</v>
      </c>
      <c r="B5" s="6"/>
    </row>
    <row r="6" spans="1:77" ht="26.25" customHeight="1" x14ac:dyDescent="0.4">
      <c r="A6" s="7"/>
      <c r="B6" s="6"/>
      <c r="H6" s="318" t="s">
        <v>593</v>
      </c>
      <c r="I6" s="318"/>
      <c r="J6" s="318"/>
      <c r="K6" s="318"/>
      <c r="L6" s="318"/>
      <c r="AR6" s="319" t="s">
        <v>594</v>
      </c>
      <c r="AS6" s="319"/>
      <c r="AT6" s="319"/>
      <c r="AU6" s="319"/>
      <c r="AV6" s="319"/>
    </row>
    <row r="7" spans="1:77" ht="30" x14ac:dyDescent="0.25">
      <c r="A7" s="10" t="s">
        <v>3</v>
      </c>
      <c r="B7" s="16" t="s">
        <v>4</v>
      </c>
      <c r="H7" s="57">
        <v>44691</v>
      </c>
      <c r="I7" s="57">
        <v>44698</v>
      </c>
      <c r="J7" s="57">
        <v>44705</v>
      </c>
      <c r="K7" s="57">
        <v>44712</v>
      </c>
      <c r="L7" s="57">
        <v>44719</v>
      </c>
      <c r="M7" s="57">
        <v>44726</v>
      </c>
      <c r="N7" s="57">
        <v>44733</v>
      </c>
      <c r="O7" s="57">
        <v>44740</v>
      </c>
      <c r="P7" s="57">
        <v>44747</v>
      </c>
      <c r="Q7" s="57">
        <v>44754</v>
      </c>
      <c r="R7" s="57">
        <v>44761</v>
      </c>
      <c r="S7" s="57">
        <v>44768</v>
      </c>
      <c r="T7" s="57">
        <v>44775</v>
      </c>
      <c r="U7" s="57">
        <v>44782</v>
      </c>
      <c r="V7" s="57">
        <v>44789</v>
      </c>
      <c r="W7" s="57">
        <v>44796</v>
      </c>
      <c r="X7" s="57">
        <v>44803</v>
      </c>
      <c r="Y7" s="57">
        <v>44810</v>
      </c>
      <c r="Z7" s="57">
        <v>44817</v>
      </c>
      <c r="AA7" s="57">
        <v>44824</v>
      </c>
      <c r="AB7" s="57">
        <v>44831</v>
      </c>
      <c r="AC7" s="57">
        <v>44838</v>
      </c>
      <c r="AD7" s="57">
        <v>44845</v>
      </c>
      <c r="AE7" s="57"/>
      <c r="AF7" s="57"/>
      <c r="AG7" s="57"/>
      <c r="AH7" s="57"/>
      <c r="AI7" s="57"/>
      <c r="AJ7" s="57"/>
      <c r="AK7" s="57"/>
      <c r="AL7" s="57"/>
      <c r="AM7" s="57"/>
      <c r="AN7" s="57"/>
      <c r="AO7" s="57"/>
      <c r="AR7" s="131">
        <v>44691</v>
      </c>
      <c r="AS7" s="131">
        <v>44698</v>
      </c>
      <c r="AT7" s="131">
        <v>44705</v>
      </c>
      <c r="AU7" s="131">
        <v>44712</v>
      </c>
      <c r="AV7" s="131">
        <v>44719</v>
      </c>
      <c r="AW7" s="131">
        <v>44726</v>
      </c>
      <c r="AX7" s="131">
        <v>44733</v>
      </c>
      <c r="AY7" s="131">
        <v>44740</v>
      </c>
      <c r="AZ7" s="131">
        <v>44747</v>
      </c>
      <c r="BA7" s="131">
        <v>44754</v>
      </c>
      <c r="BB7" s="131">
        <v>44761</v>
      </c>
      <c r="BC7" s="131">
        <v>44768</v>
      </c>
      <c r="BD7" s="131">
        <v>44775</v>
      </c>
      <c r="BE7" s="131">
        <v>44782</v>
      </c>
      <c r="BF7" s="131">
        <v>44789</v>
      </c>
      <c r="BG7" s="131">
        <v>44796</v>
      </c>
      <c r="BH7" s="131">
        <v>44803</v>
      </c>
      <c r="BI7" s="131">
        <v>44810</v>
      </c>
      <c r="BJ7" s="131">
        <v>44817</v>
      </c>
      <c r="BK7" s="131">
        <v>44824</v>
      </c>
      <c r="BL7" s="131">
        <v>44831</v>
      </c>
      <c r="BM7" s="131">
        <v>44838</v>
      </c>
      <c r="BN7" s="131">
        <v>44845</v>
      </c>
      <c r="BO7" s="131">
        <v>44852</v>
      </c>
      <c r="BP7" s="131">
        <v>44859</v>
      </c>
      <c r="BQ7" s="131">
        <v>44866</v>
      </c>
      <c r="BR7" s="131">
        <v>44873</v>
      </c>
      <c r="BS7" s="131">
        <v>44880</v>
      </c>
      <c r="BT7" s="131">
        <v>44887</v>
      </c>
      <c r="BU7" s="131">
        <v>44894</v>
      </c>
      <c r="BV7" s="131">
        <v>44901</v>
      </c>
      <c r="BW7" s="131">
        <v>44908</v>
      </c>
      <c r="BX7" s="131">
        <v>44915</v>
      </c>
      <c r="BY7" s="131">
        <v>44922</v>
      </c>
    </row>
    <row r="8" spans="1:77" x14ac:dyDescent="0.25">
      <c r="A8" s="9"/>
      <c r="B8" s="9"/>
      <c r="H8" s="55"/>
      <c r="I8" s="55"/>
      <c r="J8" s="55"/>
      <c r="K8" s="55"/>
      <c r="L8" s="55"/>
      <c r="M8" s="55"/>
      <c r="N8" s="55"/>
      <c r="O8" s="55"/>
      <c r="P8" s="55"/>
      <c r="Q8" s="55"/>
      <c r="R8" s="55"/>
      <c r="S8" s="55"/>
      <c r="T8" s="55"/>
      <c r="U8" s="55"/>
      <c r="V8" s="55"/>
      <c r="W8" s="55"/>
      <c r="X8" s="55"/>
      <c r="Y8" s="55"/>
      <c r="Z8" s="55"/>
      <c r="AA8" s="55"/>
      <c r="AB8" s="55"/>
      <c r="AC8" s="55"/>
      <c r="AD8" s="55"/>
      <c r="AR8" s="132"/>
      <c r="AS8" s="132"/>
      <c r="AT8" s="132"/>
      <c r="AU8" s="132"/>
      <c r="AV8" s="132"/>
      <c r="AW8" s="132"/>
      <c r="AX8" s="132"/>
      <c r="AY8" s="132"/>
      <c r="AZ8" s="132"/>
      <c r="BA8" s="132"/>
      <c r="BB8" s="132"/>
      <c r="BC8" s="132"/>
      <c r="BD8" s="132"/>
      <c r="BE8" s="132"/>
      <c r="BF8" s="132"/>
      <c r="BG8" s="132"/>
      <c r="BH8" s="132"/>
      <c r="BI8" s="132"/>
      <c r="BJ8" s="132"/>
      <c r="BK8" s="132"/>
      <c r="BL8" s="132"/>
      <c r="BM8" s="132"/>
      <c r="BN8" s="132"/>
      <c r="BO8" s="132"/>
      <c r="BP8" s="132"/>
      <c r="BQ8" s="132"/>
      <c r="BR8" s="132"/>
      <c r="BS8" s="132"/>
      <c r="BT8" s="132"/>
      <c r="BU8" s="132"/>
      <c r="BV8" s="132"/>
      <c r="BW8" s="132"/>
      <c r="BX8" s="132"/>
      <c r="BY8" s="132"/>
    </row>
    <row r="9" spans="1:77" x14ac:dyDescent="0.25">
      <c r="A9" s="4" t="s">
        <v>7</v>
      </c>
      <c r="B9" s="6" t="s">
        <v>8</v>
      </c>
      <c r="H9" s="17">
        <v>112</v>
      </c>
      <c r="I9" s="17">
        <v>122</v>
      </c>
      <c r="J9" s="17">
        <v>124</v>
      </c>
      <c r="K9" s="17">
        <v>132</v>
      </c>
      <c r="L9" s="17">
        <v>135</v>
      </c>
      <c r="M9" s="17">
        <v>144</v>
      </c>
      <c r="N9" s="24">
        <v>155</v>
      </c>
      <c r="O9" s="17">
        <v>169</v>
      </c>
      <c r="P9" s="17">
        <v>178</v>
      </c>
      <c r="Q9" s="17">
        <v>189</v>
      </c>
      <c r="R9" s="17">
        <v>198</v>
      </c>
      <c r="S9" s="24">
        <v>211</v>
      </c>
      <c r="T9" s="17">
        <v>218</v>
      </c>
      <c r="U9" s="17">
        <v>231</v>
      </c>
      <c r="V9" s="17">
        <v>239</v>
      </c>
      <c r="W9" s="17">
        <v>241</v>
      </c>
      <c r="X9" s="17">
        <v>246</v>
      </c>
      <c r="Y9" s="17">
        <v>257</v>
      </c>
      <c r="Z9" s="17">
        <v>271</v>
      </c>
      <c r="AA9" s="17">
        <v>280</v>
      </c>
      <c r="AB9" s="17">
        <v>294</v>
      </c>
      <c r="AC9" s="17">
        <v>298</v>
      </c>
      <c r="AD9" s="17">
        <v>315</v>
      </c>
      <c r="AE9" s="17"/>
      <c r="AF9" s="17"/>
      <c r="AG9" s="17"/>
      <c r="AH9" s="17"/>
      <c r="AI9" s="17"/>
      <c r="AJ9" s="17"/>
      <c r="AK9" s="17"/>
      <c r="AR9" s="17">
        <v>46</v>
      </c>
      <c r="AS9" s="17">
        <v>51</v>
      </c>
      <c r="AT9" s="17">
        <v>59</v>
      </c>
      <c r="AU9" s="17">
        <v>66</v>
      </c>
      <c r="AV9" s="17">
        <v>76</v>
      </c>
      <c r="AW9" s="17">
        <v>79</v>
      </c>
      <c r="AX9" s="24">
        <v>86</v>
      </c>
      <c r="AY9" s="17">
        <v>97</v>
      </c>
      <c r="AZ9" s="17">
        <v>98</v>
      </c>
      <c r="BA9" s="17">
        <v>101</v>
      </c>
      <c r="BB9" s="17">
        <v>103</v>
      </c>
      <c r="BC9" s="24">
        <v>113</v>
      </c>
      <c r="BD9" s="17">
        <v>127</v>
      </c>
      <c r="BE9" s="17">
        <v>131</v>
      </c>
      <c r="BF9" s="17">
        <v>136</v>
      </c>
      <c r="BG9" s="17">
        <v>141</v>
      </c>
      <c r="BH9" s="17">
        <v>145</v>
      </c>
      <c r="BI9" s="17">
        <v>147</v>
      </c>
      <c r="BJ9" s="17">
        <v>158</v>
      </c>
      <c r="BK9" s="17">
        <v>166</v>
      </c>
      <c r="BL9" s="17">
        <v>180</v>
      </c>
      <c r="BM9" s="17">
        <v>185</v>
      </c>
      <c r="BN9" s="17">
        <v>200</v>
      </c>
      <c r="BO9" s="132"/>
      <c r="BP9" s="132"/>
      <c r="BQ9" s="132"/>
      <c r="BR9" s="132"/>
      <c r="BS9" s="132"/>
      <c r="BT9" s="132"/>
      <c r="BU9" s="132"/>
      <c r="BV9" s="132"/>
      <c r="BW9" s="132"/>
      <c r="BX9" s="132"/>
      <c r="BY9" s="132"/>
    </row>
    <row r="10" spans="1:77" x14ac:dyDescent="0.25">
      <c r="A10" s="4" t="s">
        <v>9</v>
      </c>
      <c r="B10" s="6" t="s">
        <v>10</v>
      </c>
      <c r="H10" s="17">
        <v>524</v>
      </c>
      <c r="I10" s="17">
        <v>582</v>
      </c>
      <c r="J10" s="17">
        <v>613</v>
      </c>
      <c r="K10" s="17">
        <v>647</v>
      </c>
      <c r="L10" s="17">
        <v>679</v>
      </c>
      <c r="M10" s="17">
        <v>687</v>
      </c>
      <c r="N10" s="24">
        <v>714</v>
      </c>
      <c r="O10" s="17">
        <v>726</v>
      </c>
      <c r="P10" s="17">
        <v>755</v>
      </c>
      <c r="Q10" s="17">
        <v>770</v>
      </c>
      <c r="R10" s="17">
        <v>779</v>
      </c>
      <c r="S10" s="24">
        <v>796</v>
      </c>
      <c r="T10" s="17">
        <v>827</v>
      </c>
      <c r="U10" s="17">
        <v>837</v>
      </c>
      <c r="V10" s="17">
        <v>859</v>
      </c>
      <c r="W10" s="17">
        <v>884</v>
      </c>
      <c r="X10" s="17">
        <v>906</v>
      </c>
      <c r="Y10" s="17">
        <v>941</v>
      </c>
      <c r="Z10" s="17">
        <v>961</v>
      </c>
      <c r="AA10" s="17">
        <v>972</v>
      </c>
      <c r="AB10" s="17">
        <v>977</v>
      </c>
      <c r="AC10" s="17">
        <v>978</v>
      </c>
      <c r="AD10" s="17">
        <v>1006</v>
      </c>
      <c r="AE10" s="17"/>
      <c r="AF10" s="17"/>
      <c r="AG10" s="17"/>
      <c r="AH10" s="17"/>
      <c r="AI10" s="17"/>
      <c r="AJ10" s="17"/>
      <c r="AK10" s="17"/>
      <c r="AR10" s="17">
        <v>236</v>
      </c>
      <c r="AS10" s="17">
        <v>261</v>
      </c>
      <c r="AT10" s="17">
        <v>293</v>
      </c>
      <c r="AU10" s="17">
        <v>342</v>
      </c>
      <c r="AV10" s="17">
        <v>364</v>
      </c>
      <c r="AW10" s="17">
        <v>395</v>
      </c>
      <c r="AX10" s="24">
        <v>438</v>
      </c>
      <c r="AY10" s="17">
        <v>478</v>
      </c>
      <c r="AZ10" s="17">
        <v>510</v>
      </c>
      <c r="BA10" s="17">
        <v>529</v>
      </c>
      <c r="BB10" s="17">
        <v>541</v>
      </c>
      <c r="BC10" s="24">
        <v>569</v>
      </c>
      <c r="BD10" s="17">
        <v>587</v>
      </c>
      <c r="BE10" s="17">
        <v>596</v>
      </c>
      <c r="BF10" s="17">
        <v>616</v>
      </c>
      <c r="BG10" s="17">
        <v>633</v>
      </c>
      <c r="BH10" s="17">
        <v>659</v>
      </c>
      <c r="BI10" s="17">
        <v>677</v>
      </c>
      <c r="BJ10" s="17">
        <v>694</v>
      </c>
      <c r="BK10" s="17">
        <v>708</v>
      </c>
      <c r="BL10" s="17">
        <v>742</v>
      </c>
      <c r="BM10" s="17">
        <v>741</v>
      </c>
      <c r="BN10" s="17">
        <v>758</v>
      </c>
      <c r="BO10" s="132"/>
      <c r="BP10" s="132"/>
      <c r="BQ10" s="132"/>
      <c r="BR10" s="132"/>
      <c r="BS10" s="132"/>
      <c r="BT10" s="132"/>
      <c r="BU10" s="132"/>
      <c r="BV10" s="132"/>
      <c r="BW10" s="132"/>
      <c r="BX10" s="132"/>
      <c r="BY10" s="132"/>
    </row>
    <row r="11" spans="1:77" x14ac:dyDescent="0.25">
      <c r="A11" s="4" t="s">
        <v>11</v>
      </c>
      <c r="B11" s="6" t="s">
        <v>12</v>
      </c>
      <c r="H11" s="17">
        <v>50</v>
      </c>
      <c r="I11" s="17">
        <v>55</v>
      </c>
      <c r="J11" s="17">
        <v>56</v>
      </c>
      <c r="K11" s="17">
        <v>63</v>
      </c>
      <c r="L11" s="17">
        <v>66</v>
      </c>
      <c r="M11" s="17">
        <v>66</v>
      </c>
      <c r="N11" s="24">
        <v>71</v>
      </c>
      <c r="O11" s="17">
        <v>73</v>
      </c>
      <c r="P11" s="17">
        <v>79</v>
      </c>
      <c r="Q11" s="17">
        <v>84</v>
      </c>
      <c r="R11" s="17">
        <v>88</v>
      </c>
      <c r="S11" s="24">
        <v>89</v>
      </c>
      <c r="T11" s="17">
        <v>90</v>
      </c>
      <c r="U11" s="17">
        <v>91</v>
      </c>
      <c r="V11" s="17">
        <v>91</v>
      </c>
      <c r="W11" s="17">
        <v>91</v>
      </c>
      <c r="X11" s="17">
        <v>92</v>
      </c>
      <c r="Y11" s="17">
        <v>92</v>
      </c>
      <c r="Z11" s="17">
        <v>93</v>
      </c>
      <c r="AA11" s="17">
        <v>96</v>
      </c>
      <c r="AB11" s="17">
        <v>96</v>
      </c>
      <c r="AC11" s="17">
        <v>96</v>
      </c>
      <c r="AD11" s="17">
        <v>97</v>
      </c>
      <c r="AE11" s="17"/>
      <c r="AF11" s="17"/>
      <c r="AG11" s="17"/>
      <c r="AH11" s="17"/>
      <c r="AI11" s="17"/>
      <c r="AJ11" s="17"/>
      <c r="AK11" s="17"/>
      <c r="AR11" s="17">
        <v>24</v>
      </c>
      <c r="AS11" s="17">
        <v>29</v>
      </c>
      <c r="AT11" s="17">
        <v>32</v>
      </c>
      <c r="AU11" s="17">
        <v>32</v>
      </c>
      <c r="AV11" s="17">
        <v>36</v>
      </c>
      <c r="AW11" s="17">
        <v>36</v>
      </c>
      <c r="AX11" s="17">
        <v>40</v>
      </c>
      <c r="AY11" s="17">
        <v>40</v>
      </c>
      <c r="AZ11" s="17">
        <v>45</v>
      </c>
      <c r="BA11" s="17">
        <v>46</v>
      </c>
      <c r="BB11" s="17">
        <v>50</v>
      </c>
      <c r="BC11" s="24">
        <v>56</v>
      </c>
      <c r="BD11" s="17">
        <v>58</v>
      </c>
      <c r="BE11" s="17">
        <v>60</v>
      </c>
      <c r="BF11" s="17">
        <v>61</v>
      </c>
      <c r="BG11" s="17">
        <v>61</v>
      </c>
      <c r="BH11" s="17">
        <v>61</v>
      </c>
      <c r="BI11" s="17">
        <v>61</v>
      </c>
      <c r="BJ11" s="17">
        <v>63</v>
      </c>
      <c r="BK11" s="17">
        <v>65</v>
      </c>
      <c r="BL11" s="17">
        <v>65</v>
      </c>
      <c r="BM11" s="17">
        <v>67</v>
      </c>
      <c r="BN11" s="17">
        <v>67</v>
      </c>
      <c r="BO11" s="132"/>
      <c r="BP11" s="132"/>
      <c r="BQ11" s="132"/>
      <c r="BR11" s="132"/>
      <c r="BS11" s="132"/>
      <c r="BT11" s="132"/>
      <c r="BU11" s="132"/>
      <c r="BV11" s="132"/>
      <c r="BW11" s="132"/>
      <c r="BX11" s="132"/>
      <c r="BY11" s="132"/>
    </row>
    <row r="12" spans="1:77" x14ac:dyDescent="0.25">
      <c r="A12" s="4" t="s">
        <v>13</v>
      </c>
      <c r="B12" s="6" t="s">
        <v>14</v>
      </c>
      <c r="H12" s="17">
        <v>201</v>
      </c>
      <c r="I12" s="17">
        <v>217</v>
      </c>
      <c r="J12" s="17">
        <v>228</v>
      </c>
      <c r="K12" s="17">
        <v>243</v>
      </c>
      <c r="L12" s="17">
        <v>250</v>
      </c>
      <c r="M12" s="17">
        <v>256</v>
      </c>
      <c r="N12" s="24">
        <v>271</v>
      </c>
      <c r="O12" s="17">
        <v>273</v>
      </c>
      <c r="P12" s="17">
        <v>288</v>
      </c>
      <c r="Q12" s="17">
        <v>291</v>
      </c>
      <c r="R12" s="17">
        <v>293</v>
      </c>
      <c r="S12" s="24">
        <v>302</v>
      </c>
      <c r="T12" s="17">
        <v>321</v>
      </c>
      <c r="U12" s="17">
        <v>325</v>
      </c>
      <c r="V12" s="17">
        <v>331</v>
      </c>
      <c r="W12" s="17">
        <v>337</v>
      </c>
      <c r="X12" s="17">
        <v>338</v>
      </c>
      <c r="Y12" s="17">
        <v>344</v>
      </c>
      <c r="Z12" s="17">
        <v>356</v>
      </c>
      <c r="AA12" s="17">
        <v>359</v>
      </c>
      <c r="AB12" s="17">
        <v>361</v>
      </c>
      <c r="AC12" s="17">
        <v>361</v>
      </c>
      <c r="AD12" s="17">
        <v>366</v>
      </c>
      <c r="AE12" s="17"/>
      <c r="AF12" s="17"/>
      <c r="AG12" s="17"/>
      <c r="AH12" s="17"/>
      <c r="AI12" s="17"/>
      <c r="AJ12" s="17"/>
      <c r="AK12" s="17"/>
      <c r="AR12" s="17">
        <v>95</v>
      </c>
      <c r="AS12" s="17">
        <v>124</v>
      </c>
      <c r="AT12" s="17">
        <v>147</v>
      </c>
      <c r="AU12" s="17">
        <v>155</v>
      </c>
      <c r="AV12" s="17">
        <v>160</v>
      </c>
      <c r="AW12" s="17">
        <v>178</v>
      </c>
      <c r="AX12" s="24">
        <v>212</v>
      </c>
      <c r="AY12" s="17">
        <v>218</v>
      </c>
      <c r="AZ12" s="17">
        <v>227</v>
      </c>
      <c r="BA12" s="17">
        <v>235</v>
      </c>
      <c r="BB12" s="17">
        <v>237</v>
      </c>
      <c r="BC12" s="24">
        <v>247</v>
      </c>
      <c r="BD12" s="17">
        <v>254</v>
      </c>
      <c r="BE12" s="17">
        <v>259</v>
      </c>
      <c r="BF12" s="17">
        <v>264</v>
      </c>
      <c r="BG12" s="17">
        <v>275</v>
      </c>
      <c r="BH12" s="17">
        <v>279</v>
      </c>
      <c r="BI12" s="17">
        <v>286</v>
      </c>
      <c r="BJ12" s="17">
        <v>297</v>
      </c>
      <c r="BK12" s="17">
        <v>306</v>
      </c>
      <c r="BL12" s="17">
        <v>311</v>
      </c>
      <c r="BM12" s="17">
        <v>317</v>
      </c>
      <c r="BN12" s="17">
        <v>321</v>
      </c>
      <c r="BO12" s="132"/>
      <c r="BP12" s="132"/>
      <c r="BQ12" s="132"/>
      <c r="BR12" s="132"/>
      <c r="BS12" s="132"/>
      <c r="BT12" s="132"/>
      <c r="BU12" s="132"/>
      <c r="BV12" s="132"/>
      <c r="BW12" s="132"/>
      <c r="BX12" s="132"/>
      <c r="BY12" s="132"/>
    </row>
    <row r="13" spans="1:77" x14ac:dyDescent="0.25">
      <c r="A13" s="4" t="s">
        <v>15</v>
      </c>
      <c r="B13" s="6" t="s">
        <v>16</v>
      </c>
      <c r="H13" s="17">
        <v>281</v>
      </c>
      <c r="I13" s="17">
        <v>286</v>
      </c>
      <c r="J13" s="17">
        <v>300</v>
      </c>
      <c r="K13" s="17">
        <v>324</v>
      </c>
      <c r="L13" s="17">
        <v>328</v>
      </c>
      <c r="M13" s="17">
        <v>334</v>
      </c>
      <c r="N13" s="24">
        <v>352</v>
      </c>
      <c r="O13" s="17">
        <v>361</v>
      </c>
      <c r="P13" s="17">
        <v>373</v>
      </c>
      <c r="Q13" s="17">
        <v>378</v>
      </c>
      <c r="R13" s="17">
        <v>379</v>
      </c>
      <c r="S13" s="24">
        <v>383</v>
      </c>
      <c r="T13" s="17">
        <v>400</v>
      </c>
      <c r="U13" s="17">
        <v>403</v>
      </c>
      <c r="V13" s="17">
        <v>414</v>
      </c>
      <c r="W13" s="17">
        <v>416</v>
      </c>
      <c r="X13" s="17">
        <v>416</v>
      </c>
      <c r="Y13" s="17">
        <v>417</v>
      </c>
      <c r="Z13" s="17">
        <v>420</v>
      </c>
      <c r="AA13" s="17">
        <v>421</v>
      </c>
      <c r="AB13" s="17">
        <v>424</v>
      </c>
      <c r="AC13" s="17">
        <v>425</v>
      </c>
      <c r="AD13" s="17">
        <v>430</v>
      </c>
      <c r="AE13" s="17"/>
      <c r="AF13" s="17"/>
      <c r="AG13" s="17"/>
      <c r="AH13" s="17"/>
      <c r="AI13" s="17"/>
      <c r="AJ13" s="17"/>
      <c r="AK13" s="17"/>
      <c r="AR13" s="17">
        <v>159</v>
      </c>
      <c r="AS13" s="17">
        <v>180</v>
      </c>
      <c r="AT13" s="17">
        <v>198</v>
      </c>
      <c r="AU13" s="17">
        <v>225</v>
      </c>
      <c r="AV13" s="17">
        <v>242</v>
      </c>
      <c r="AW13" s="17">
        <v>256</v>
      </c>
      <c r="AX13" s="24">
        <v>264</v>
      </c>
      <c r="AY13" s="17">
        <v>272</v>
      </c>
      <c r="AZ13" s="17">
        <v>279</v>
      </c>
      <c r="BA13" s="17">
        <v>288</v>
      </c>
      <c r="BB13" s="17">
        <v>297</v>
      </c>
      <c r="BC13" s="24">
        <v>305</v>
      </c>
      <c r="BD13" s="17">
        <v>310</v>
      </c>
      <c r="BE13" s="17">
        <v>321</v>
      </c>
      <c r="BF13" s="17">
        <v>329</v>
      </c>
      <c r="BG13" s="17">
        <v>337</v>
      </c>
      <c r="BH13" s="17">
        <v>348</v>
      </c>
      <c r="BI13" s="17">
        <v>351</v>
      </c>
      <c r="BJ13" s="17">
        <v>352</v>
      </c>
      <c r="BK13" s="17">
        <v>356</v>
      </c>
      <c r="BL13" s="17">
        <v>364</v>
      </c>
      <c r="BM13" s="17">
        <v>362</v>
      </c>
      <c r="BN13" s="17">
        <v>367</v>
      </c>
      <c r="BO13" s="132"/>
      <c r="BP13" s="132"/>
      <c r="BQ13" s="132"/>
      <c r="BR13" s="132"/>
      <c r="BS13" s="132"/>
      <c r="BT13" s="132"/>
      <c r="BU13" s="132"/>
      <c r="BV13" s="132"/>
      <c r="BW13" s="132"/>
      <c r="BX13" s="132"/>
      <c r="BY13" s="132"/>
    </row>
    <row r="14" spans="1:77" x14ac:dyDescent="0.25">
      <c r="A14" s="4" t="s">
        <v>17</v>
      </c>
      <c r="B14" s="6" t="s">
        <v>18</v>
      </c>
      <c r="H14" s="17">
        <v>184</v>
      </c>
      <c r="I14" s="17">
        <v>197</v>
      </c>
      <c r="J14" s="17">
        <v>204</v>
      </c>
      <c r="K14" s="17">
        <v>216</v>
      </c>
      <c r="L14" s="17">
        <v>220</v>
      </c>
      <c r="M14" s="17">
        <v>222</v>
      </c>
      <c r="N14" s="24">
        <v>232</v>
      </c>
      <c r="O14" s="17">
        <v>234</v>
      </c>
      <c r="P14" s="17">
        <v>238</v>
      </c>
      <c r="Q14" s="17">
        <v>242</v>
      </c>
      <c r="R14" s="17">
        <v>248</v>
      </c>
      <c r="S14" s="24">
        <v>257</v>
      </c>
      <c r="T14" s="17">
        <v>265</v>
      </c>
      <c r="U14" s="17">
        <v>277</v>
      </c>
      <c r="V14" s="17">
        <v>282</v>
      </c>
      <c r="W14" s="17">
        <v>284</v>
      </c>
      <c r="X14" s="17">
        <v>287</v>
      </c>
      <c r="Y14" s="17">
        <v>296</v>
      </c>
      <c r="Z14" s="17">
        <v>300</v>
      </c>
      <c r="AA14" s="17">
        <v>304</v>
      </c>
      <c r="AB14" s="17">
        <v>304</v>
      </c>
      <c r="AC14" s="17">
        <v>305</v>
      </c>
      <c r="AD14" s="17">
        <v>310</v>
      </c>
      <c r="AE14" s="17"/>
      <c r="AF14" s="17"/>
      <c r="AG14" s="17"/>
      <c r="AH14" s="17"/>
      <c r="AI14" s="17"/>
      <c r="AJ14" s="17"/>
      <c r="AK14" s="17"/>
      <c r="AR14" s="17">
        <v>92</v>
      </c>
      <c r="AS14" s="17">
        <v>106</v>
      </c>
      <c r="AT14" s="17">
        <v>114</v>
      </c>
      <c r="AU14" s="17">
        <v>140</v>
      </c>
      <c r="AV14" s="17">
        <v>152</v>
      </c>
      <c r="AW14" s="17">
        <v>162</v>
      </c>
      <c r="AX14" s="24">
        <v>172</v>
      </c>
      <c r="AY14" s="17">
        <v>178</v>
      </c>
      <c r="AZ14" s="17">
        <v>181</v>
      </c>
      <c r="BA14" s="17">
        <v>192</v>
      </c>
      <c r="BB14" s="17">
        <v>197</v>
      </c>
      <c r="BC14" s="24">
        <v>200</v>
      </c>
      <c r="BD14" s="17">
        <v>204</v>
      </c>
      <c r="BE14" s="17">
        <v>214</v>
      </c>
      <c r="BF14" s="17">
        <v>214</v>
      </c>
      <c r="BG14" s="17">
        <v>220</v>
      </c>
      <c r="BH14" s="17">
        <v>224</v>
      </c>
      <c r="BI14" s="17">
        <v>233</v>
      </c>
      <c r="BJ14" s="17">
        <v>241</v>
      </c>
      <c r="BK14" s="17">
        <v>243</v>
      </c>
      <c r="BL14" s="17">
        <v>251</v>
      </c>
      <c r="BM14" s="17">
        <v>254</v>
      </c>
      <c r="BN14" s="17">
        <v>254</v>
      </c>
      <c r="BO14" s="132"/>
      <c r="BP14" s="132"/>
      <c r="BQ14" s="132"/>
      <c r="BR14" s="132"/>
      <c r="BS14" s="132"/>
      <c r="BT14" s="132"/>
      <c r="BU14" s="132"/>
      <c r="BV14" s="132"/>
      <c r="BW14" s="132"/>
      <c r="BX14" s="132"/>
      <c r="BY14" s="132"/>
    </row>
    <row r="15" spans="1:77" x14ac:dyDescent="0.25">
      <c r="A15" s="4" t="s">
        <v>19</v>
      </c>
      <c r="B15" s="6" t="s">
        <v>20</v>
      </c>
      <c r="H15" s="17">
        <v>414</v>
      </c>
      <c r="I15" s="17">
        <v>448</v>
      </c>
      <c r="J15" s="17">
        <v>484</v>
      </c>
      <c r="K15" s="17">
        <v>520</v>
      </c>
      <c r="L15" s="17">
        <v>548</v>
      </c>
      <c r="M15" s="17">
        <v>558</v>
      </c>
      <c r="N15" s="24">
        <v>594</v>
      </c>
      <c r="O15" s="17">
        <v>622</v>
      </c>
      <c r="P15" s="17">
        <v>641</v>
      </c>
      <c r="Q15" s="17">
        <v>660</v>
      </c>
      <c r="R15" s="17">
        <v>674</v>
      </c>
      <c r="S15" s="24">
        <v>688</v>
      </c>
      <c r="T15" s="17">
        <v>715</v>
      </c>
      <c r="U15" s="17">
        <v>727</v>
      </c>
      <c r="V15" s="17">
        <v>739</v>
      </c>
      <c r="W15" s="17">
        <v>751</v>
      </c>
      <c r="X15" s="17">
        <v>761</v>
      </c>
      <c r="Y15" s="17">
        <v>773</v>
      </c>
      <c r="Z15" s="17">
        <v>791</v>
      </c>
      <c r="AA15" s="17">
        <v>804</v>
      </c>
      <c r="AB15" s="17">
        <v>806</v>
      </c>
      <c r="AC15" s="17">
        <v>813</v>
      </c>
      <c r="AD15" s="17">
        <v>829</v>
      </c>
      <c r="AE15" s="17"/>
      <c r="AF15" s="17"/>
      <c r="AG15" s="17"/>
      <c r="AH15" s="17"/>
      <c r="AI15" s="17"/>
      <c r="AJ15" s="17"/>
      <c r="AK15" s="17"/>
      <c r="AR15" s="17">
        <v>183</v>
      </c>
      <c r="AS15" s="17">
        <v>222</v>
      </c>
      <c r="AT15" s="17">
        <v>245</v>
      </c>
      <c r="AU15" s="17">
        <v>289</v>
      </c>
      <c r="AV15" s="17">
        <v>313</v>
      </c>
      <c r="AW15" s="17">
        <v>342</v>
      </c>
      <c r="AX15" s="24">
        <v>395</v>
      </c>
      <c r="AY15" s="17">
        <v>410</v>
      </c>
      <c r="AZ15" s="17">
        <v>430</v>
      </c>
      <c r="BA15" s="17">
        <v>450</v>
      </c>
      <c r="BB15" s="17">
        <v>456</v>
      </c>
      <c r="BC15" s="24">
        <v>483</v>
      </c>
      <c r="BD15" s="17">
        <v>493</v>
      </c>
      <c r="BE15" s="17">
        <v>508</v>
      </c>
      <c r="BF15" s="17">
        <v>523</v>
      </c>
      <c r="BG15" s="17">
        <v>540</v>
      </c>
      <c r="BH15" s="17">
        <v>556</v>
      </c>
      <c r="BI15" s="17">
        <v>567</v>
      </c>
      <c r="BJ15" s="17">
        <v>586</v>
      </c>
      <c r="BK15" s="17">
        <v>604</v>
      </c>
      <c r="BL15" s="17">
        <v>617</v>
      </c>
      <c r="BM15" s="17">
        <v>627</v>
      </c>
      <c r="BN15" s="17">
        <v>641</v>
      </c>
      <c r="BO15" s="132"/>
      <c r="BP15" s="132"/>
      <c r="BQ15" s="132"/>
      <c r="BR15" s="132"/>
      <c r="BS15" s="132"/>
      <c r="BT15" s="132"/>
      <c r="BU15" s="132"/>
      <c r="BV15" s="132"/>
      <c r="BW15" s="132"/>
      <c r="BX15" s="132"/>
      <c r="BY15" s="132"/>
    </row>
    <row r="16" spans="1:77" x14ac:dyDescent="0.25">
      <c r="A16" s="4" t="s">
        <v>21</v>
      </c>
      <c r="B16" s="6" t="s">
        <v>22</v>
      </c>
      <c r="H16" s="17">
        <v>36</v>
      </c>
      <c r="I16" s="17">
        <v>42</v>
      </c>
      <c r="J16" s="17">
        <v>41</v>
      </c>
      <c r="K16" s="17">
        <v>45</v>
      </c>
      <c r="L16" s="17">
        <v>49</v>
      </c>
      <c r="M16" s="17">
        <v>50</v>
      </c>
      <c r="N16" s="24">
        <v>53</v>
      </c>
      <c r="O16" s="17">
        <v>54</v>
      </c>
      <c r="P16" s="17">
        <v>58</v>
      </c>
      <c r="Q16" s="17">
        <v>59</v>
      </c>
      <c r="R16" s="17">
        <v>60</v>
      </c>
      <c r="S16" s="24">
        <v>59</v>
      </c>
      <c r="T16" s="17">
        <v>60</v>
      </c>
      <c r="U16" s="17">
        <v>61</v>
      </c>
      <c r="V16" s="17">
        <v>62</v>
      </c>
      <c r="W16" s="17">
        <v>66</v>
      </c>
      <c r="X16" s="17">
        <v>66</v>
      </c>
      <c r="Y16" s="17">
        <v>69</v>
      </c>
      <c r="Z16" s="17">
        <v>72</v>
      </c>
      <c r="AA16" s="17">
        <v>76</v>
      </c>
      <c r="AB16" s="17">
        <v>76</v>
      </c>
      <c r="AC16" s="17">
        <v>76</v>
      </c>
      <c r="AD16" s="17">
        <v>77</v>
      </c>
      <c r="AE16" s="17"/>
      <c r="AF16" s="17"/>
      <c r="AG16" s="17"/>
      <c r="AH16" s="17"/>
      <c r="AI16" s="17"/>
      <c r="AJ16" s="17"/>
      <c r="AK16" s="17"/>
      <c r="AR16" s="17">
        <v>14</v>
      </c>
      <c r="AS16" s="17">
        <v>25</v>
      </c>
      <c r="AT16" s="17">
        <v>25</v>
      </c>
      <c r="AU16" s="17">
        <v>27</v>
      </c>
      <c r="AV16" s="17">
        <v>30</v>
      </c>
      <c r="AW16" s="17">
        <v>30</v>
      </c>
      <c r="AX16" s="17">
        <v>40</v>
      </c>
      <c r="AY16" s="17">
        <v>40</v>
      </c>
      <c r="AZ16" s="17">
        <v>40</v>
      </c>
      <c r="BA16" s="17">
        <v>40</v>
      </c>
      <c r="BB16" s="17">
        <v>45</v>
      </c>
      <c r="BC16" s="24">
        <v>37</v>
      </c>
      <c r="BD16" s="17">
        <v>45</v>
      </c>
      <c r="BE16" s="17">
        <v>45</v>
      </c>
      <c r="BF16" s="17">
        <v>45</v>
      </c>
      <c r="BG16" s="17">
        <v>45</v>
      </c>
      <c r="BH16" s="17">
        <v>45</v>
      </c>
      <c r="BI16" s="17">
        <v>45</v>
      </c>
      <c r="BJ16" s="17">
        <v>50</v>
      </c>
      <c r="BK16" s="17">
        <v>50</v>
      </c>
      <c r="BL16" s="17">
        <v>55</v>
      </c>
      <c r="BM16" s="17">
        <v>50</v>
      </c>
      <c r="BN16" s="17">
        <v>52</v>
      </c>
      <c r="BO16" s="132"/>
      <c r="BP16" s="132"/>
      <c r="BQ16" s="132"/>
      <c r="BR16" s="132"/>
      <c r="BS16" s="132"/>
      <c r="BT16" s="132"/>
      <c r="BU16" s="132"/>
      <c r="BV16" s="132"/>
      <c r="BW16" s="132"/>
      <c r="BX16" s="132"/>
      <c r="BY16" s="132"/>
    </row>
    <row r="17" spans="1:77" x14ac:dyDescent="0.25">
      <c r="A17" s="4" t="s">
        <v>23</v>
      </c>
      <c r="B17" s="6" t="s">
        <v>24</v>
      </c>
      <c r="H17" s="17">
        <v>61</v>
      </c>
      <c r="I17" s="17">
        <v>65</v>
      </c>
      <c r="J17" s="17">
        <v>67</v>
      </c>
      <c r="K17" s="17">
        <v>69</v>
      </c>
      <c r="L17" s="17">
        <v>72</v>
      </c>
      <c r="M17" s="17">
        <v>72</v>
      </c>
      <c r="N17" s="24">
        <v>75</v>
      </c>
      <c r="O17" s="17">
        <v>76</v>
      </c>
      <c r="P17" s="17">
        <v>81</v>
      </c>
      <c r="Q17" s="17">
        <v>84</v>
      </c>
      <c r="R17" s="17">
        <v>84</v>
      </c>
      <c r="S17" s="24">
        <v>84</v>
      </c>
      <c r="T17" s="17">
        <v>84</v>
      </c>
      <c r="U17" s="17">
        <v>86</v>
      </c>
      <c r="V17" s="17">
        <v>89</v>
      </c>
      <c r="W17" s="17">
        <v>92</v>
      </c>
      <c r="X17" s="17">
        <v>93</v>
      </c>
      <c r="Y17" s="17">
        <v>95</v>
      </c>
      <c r="Z17" s="17">
        <v>96</v>
      </c>
      <c r="AA17" s="17">
        <v>96</v>
      </c>
      <c r="AB17" s="17">
        <v>95</v>
      </c>
      <c r="AC17" s="17">
        <v>96</v>
      </c>
      <c r="AD17" s="17">
        <v>99</v>
      </c>
      <c r="AE17" s="17"/>
      <c r="AF17" s="17"/>
      <c r="AG17" s="17"/>
      <c r="AH17" s="17"/>
      <c r="AI17" s="17"/>
      <c r="AJ17" s="17"/>
      <c r="AK17" s="17"/>
      <c r="AR17" s="17">
        <v>39</v>
      </c>
      <c r="AS17" s="17">
        <v>41</v>
      </c>
      <c r="AT17" s="17">
        <v>46</v>
      </c>
      <c r="AU17" s="17">
        <v>50</v>
      </c>
      <c r="AV17" s="17">
        <v>52</v>
      </c>
      <c r="AW17" s="17">
        <v>53</v>
      </c>
      <c r="AX17" s="24">
        <v>59</v>
      </c>
      <c r="AY17" s="17">
        <v>61</v>
      </c>
      <c r="AZ17" s="17">
        <v>61</v>
      </c>
      <c r="BA17" s="17">
        <v>61</v>
      </c>
      <c r="BB17" s="17">
        <v>62</v>
      </c>
      <c r="BC17" s="24">
        <v>67</v>
      </c>
      <c r="BD17" s="17">
        <v>72</v>
      </c>
      <c r="BE17" s="17">
        <v>72</v>
      </c>
      <c r="BF17" s="17">
        <v>73</v>
      </c>
      <c r="BG17" s="17">
        <v>73</v>
      </c>
      <c r="BH17" s="17">
        <v>74</v>
      </c>
      <c r="BI17" s="17">
        <v>74</v>
      </c>
      <c r="BJ17" s="17">
        <v>74</v>
      </c>
      <c r="BK17" s="17">
        <v>76</v>
      </c>
      <c r="BL17" s="17">
        <v>81</v>
      </c>
      <c r="BM17" s="17">
        <v>76</v>
      </c>
      <c r="BN17" s="17">
        <v>78</v>
      </c>
      <c r="BO17" s="132"/>
      <c r="BP17" s="132"/>
      <c r="BQ17" s="132"/>
      <c r="BR17" s="132"/>
      <c r="BS17" s="132"/>
      <c r="BT17" s="132"/>
      <c r="BU17" s="132"/>
      <c r="BV17" s="132"/>
      <c r="BW17" s="132"/>
      <c r="BX17" s="132"/>
      <c r="BY17" s="132"/>
    </row>
    <row r="18" spans="1:77" x14ac:dyDescent="0.25">
      <c r="A18" s="4" t="s">
        <v>25</v>
      </c>
      <c r="B18" s="6" t="s">
        <v>26</v>
      </c>
      <c r="H18" s="17">
        <v>91</v>
      </c>
      <c r="I18" s="17">
        <v>97</v>
      </c>
      <c r="J18" s="17">
        <v>107</v>
      </c>
      <c r="K18" s="17">
        <v>112</v>
      </c>
      <c r="L18" s="17">
        <v>115</v>
      </c>
      <c r="M18" s="17">
        <v>121</v>
      </c>
      <c r="N18" s="24">
        <v>127</v>
      </c>
      <c r="O18" s="17">
        <v>130</v>
      </c>
      <c r="P18" s="17">
        <v>133</v>
      </c>
      <c r="Q18" s="17">
        <v>139</v>
      </c>
      <c r="R18" s="17">
        <v>140</v>
      </c>
      <c r="S18" s="24">
        <v>144</v>
      </c>
      <c r="T18" s="17">
        <v>147</v>
      </c>
      <c r="U18" s="17">
        <v>148</v>
      </c>
      <c r="V18" s="17">
        <v>149</v>
      </c>
      <c r="W18" s="17">
        <v>150</v>
      </c>
      <c r="X18" s="17">
        <v>150</v>
      </c>
      <c r="Y18" s="17">
        <v>153</v>
      </c>
      <c r="Z18" s="17">
        <v>154</v>
      </c>
      <c r="AA18" s="17">
        <v>152</v>
      </c>
      <c r="AB18" s="17">
        <v>152</v>
      </c>
      <c r="AC18" s="17">
        <v>154</v>
      </c>
      <c r="AD18" s="17">
        <v>156</v>
      </c>
      <c r="AE18" s="17"/>
      <c r="AF18" s="17"/>
      <c r="AG18" s="17"/>
      <c r="AH18" s="17"/>
      <c r="AI18" s="17"/>
      <c r="AJ18" s="17"/>
      <c r="AK18" s="17"/>
      <c r="AR18" s="17">
        <v>38</v>
      </c>
      <c r="AS18" s="17">
        <v>43</v>
      </c>
      <c r="AT18" s="17">
        <v>47</v>
      </c>
      <c r="AU18" s="17">
        <v>55</v>
      </c>
      <c r="AV18" s="17">
        <v>57</v>
      </c>
      <c r="AW18" s="17">
        <v>60</v>
      </c>
      <c r="AX18" s="24">
        <v>66</v>
      </c>
      <c r="AY18" s="17">
        <v>73</v>
      </c>
      <c r="AZ18" s="17">
        <v>90</v>
      </c>
      <c r="BA18" s="17">
        <v>98</v>
      </c>
      <c r="BB18" s="17">
        <v>99</v>
      </c>
      <c r="BC18" s="24">
        <v>112</v>
      </c>
      <c r="BD18" s="17">
        <v>115</v>
      </c>
      <c r="BE18" s="17">
        <v>115</v>
      </c>
      <c r="BF18" s="17">
        <v>119</v>
      </c>
      <c r="BG18" s="17">
        <v>119</v>
      </c>
      <c r="BH18" s="17">
        <v>120</v>
      </c>
      <c r="BI18" s="17">
        <v>125</v>
      </c>
      <c r="BJ18" s="17">
        <v>125</v>
      </c>
      <c r="BK18" s="17">
        <v>125</v>
      </c>
      <c r="BL18" s="17">
        <v>128</v>
      </c>
      <c r="BM18" s="17">
        <v>128</v>
      </c>
      <c r="BN18" s="17">
        <v>130</v>
      </c>
      <c r="BO18" s="132"/>
      <c r="BP18" s="132"/>
      <c r="BQ18" s="132"/>
      <c r="BR18" s="132"/>
      <c r="BS18" s="132"/>
      <c r="BT18" s="132"/>
      <c r="BU18" s="132"/>
      <c r="BV18" s="132"/>
      <c r="BW18" s="132"/>
      <c r="BX18" s="132"/>
      <c r="BY18" s="132"/>
    </row>
    <row r="19" spans="1:77" x14ac:dyDescent="0.25">
      <c r="A19" s="4" t="s">
        <v>27</v>
      </c>
      <c r="B19" s="6" t="s">
        <v>28</v>
      </c>
      <c r="H19" s="17">
        <v>362</v>
      </c>
      <c r="I19" s="17">
        <v>373</v>
      </c>
      <c r="J19" s="17">
        <v>394</v>
      </c>
      <c r="K19" s="17">
        <v>421</v>
      </c>
      <c r="L19" s="17">
        <v>423</v>
      </c>
      <c r="M19" s="17">
        <v>430</v>
      </c>
      <c r="N19" s="24">
        <v>457</v>
      </c>
      <c r="O19" s="17">
        <v>469</v>
      </c>
      <c r="P19" s="17">
        <v>484</v>
      </c>
      <c r="Q19" s="17">
        <v>504</v>
      </c>
      <c r="R19" s="17">
        <v>507</v>
      </c>
      <c r="S19" s="24">
        <v>512</v>
      </c>
      <c r="T19" s="17">
        <v>520</v>
      </c>
      <c r="U19" s="17">
        <v>530</v>
      </c>
      <c r="V19" s="17">
        <v>540</v>
      </c>
      <c r="W19" s="17">
        <v>551</v>
      </c>
      <c r="X19" s="17">
        <v>555</v>
      </c>
      <c r="Y19" s="17">
        <v>561</v>
      </c>
      <c r="Z19" s="17">
        <v>565</v>
      </c>
      <c r="AA19" s="17">
        <v>566</v>
      </c>
      <c r="AB19" s="17">
        <v>568</v>
      </c>
      <c r="AC19" s="17">
        <v>570</v>
      </c>
      <c r="AD19" s="17">
        <v>579</v>
      </c>
      <c r="AE19" s="17"/>
      <c r="AF19" s="17"/>
      <c r="AG19" s="17"/>
      <c r="AH19" s="17"/>
      <c r="AI19" s="17"/>
      <c r="AJ19" s="17"/>
      <c r="AK19" s="17"/>
      <c r="AR19" s="17">
        <v>201</v>
      </c>
      <c r="AS19" s="17">
        <v>224</v>
      </c>
      <c r="AT19" s="17">
        <v>247</v>
      </c>
      <c r="AU19" s="17">
        <v>270</v>
      </c>
      <c r="AV19" s="17">
        <v>284</v>
      </c>
      <c r="AW19" s="17">
        <v>306</v>
      </c>
      <c r="AX19" s="24">
        <v>333</v>
      </c>
      <c r="AY19" s="17">
        <v>353</v>
      </c>
      <c r="AZ19" s="17">
        <v>370</v>
      </c>
      <c r="BA19" s="17">
        <v>387</v>
      </c>
      <c r="BB19" s="17">
        <v>394</v>
      </c>
      <c r="BC19" s="24">
        <v>414</v>
      </c>
      <c r="BD19" s="17">
        <v>419</v>
      </c>
      <c r="BE19" s="17">
        <v>427</v>
      </c>
      <c r="BF19" s="17">
        <v>436</v>
      </c>
      <c r="BG19" s="17">
        <v>441</v>
      </c>
      <c r="BH19" s="17">
        <v>449</v>
      </c>
      <c r="BI19" s="17">
        <v>452</v>
      </c>
      <c r="BJ19" s="17">
        <v>462</v>
      </c>
      <c r="BK19" s="17">
        <v>468</v>
      </c>
      <c r="BL19" s="17">
        <v>485</v>
      </c>
      <c r="BM19" s="17">
        <v>487</v>
      </c>
      <c r="BN19" s="17">
        <v>494</v>
      </c>
      <c r="BO19" s="132"/>
      <c r="BP19" s="132"/>
      <c r="BQ19" s="132"/>
      <c r="BR19" s="132"/>
      <c r="BS19" s="132"/>
      <c r="BT19" s="132"/>
      <c r="BU19" s="132"/>
      <c r="BV19" s="132"/>
      <c r="BW19" s="132"/>
      <c r="BX19" s="132"/>
      <c r="BY19" s="132"/>
    </row>
    <row r="20" spans="1:77" x14ac:dyDescent="0.25">
      <c r="A20" s="4" t="s">
        <v>29</v>
      </c>
      <c r="B20" s="6" t="s">
        <v>30</v>
      </c>
      <c r="H20" s="17">
        <v>98</v>
      </c>
      <c r="I20" s="17">
        <v>103</v>
      </c>
      <c r="J20" s="17">
        <v>104</v>
      </c>
      <c r="K20" s="17">
        <v>113</v>
      </c>
      <c r="L20" s="17">
        <v>114</v>
      </c>
      <c r="M20" s="17">
        <v>121</v>
      </c>
      <c r="N20" s="24">
        <v>132</v>
      </c>
      <c r="O20" s="17">
        <v>138</v>
      </c>
      <c r="P20" s="17">
        <v>145</v>
      </c>
      <c r="Q20" s="17">
        <v>148</v>
      </c>
      <c r="R20" s="17">
        <v>149</v>
      </c>
      <c r="S20" s="24">
        <v>154</v>
      </c>
      <c r="T20" s="17">
        <v>158</v>
      </c>
      <c r="U20" s="17">
        <v>159</v>
      </c>
      <c r="V20" s="17">
        <v>163</v>
      </c>
      <c r="W20" s="17">
        <v>163</v>
      </c>
      <c r="X20" s="17">
        <v>164</v>
      </c>
      <c r="Y20" s="17">
        <v>165</v>
      </c>
      <c r="Z20" s="17">
        <v>167</v>
      </c>
      <c r="AA20" s="17">
        <v>168</v>
      </c>
      <c r="AB20" s="17">
        <v>171</v>
      </c>
      <c r="AC20" s="17">
        <v>171</v>
      </c>
      <c r="AD20" s="17">
        <v>176</v>
      </c>
      <c r="AE20" s="17"/>
      <c r="AF20" s="17"/>
      <c r="AG20" s="17"/>
      <c r="AH20" s="17"/>
      <c r="AI20" s="17"/>
      <c r="AJ20" s="17"/>
      <c r="AK20" s="17"/>
      <c r="AR20" s="17">
        <v>38</v>
      </c>
      <c r="AS20" s="17">
        <v>58</v>
      </c>
      <c r="AT20" s="17">
        <v>62</v>
      </c>
      <c r="AU20" s="17">
        <v>70</v>
      </c>
      <c r="AV20" s="17">
        <v>73</v>
      </c>
      <c r="AW20" s="17">
        <v>79</v>
      </c>
      <c r="AX20" s="24">
        <v>83</v>
      </c>
      <c r="AY20" s="17">
        <v>90</v>
      </c>
      <c r="AZ20" s="17">
        <v>97</v>
      </c>
      <c r="BA20" s="17">
        <v>101</v>
      </c>
      <c r="BB20" s="17">
        <v>110</v>
      </c>
      <c r="BC20" s="24">
        <v>118</v>
      </c>
      <c r="BD20" s="17">
        <v>125</v>
      </c>
      <c r="BE20" s="17">
        <v>129</v>
      </c>
      <c r="BF20" s="17">
        <v>131</v>
      </c>
      <c r="BG20" s="17">
        <v>136</v>
      </c>
      <c r="BH20" s="17">
        <v>140</v>
      </c>
      <c r="BI20" s="17">
        <v>140</v>
      </c>
      <c r="BJ20" s="17">
        <v>142</v>
      </c>
      <c r="BK20" s="17">
        <v>142</v>
      </c>
      <c r="BL20" s="17">
        <v>153</v>
      </c>
      <c r="BM20" s="17">
        <v>151</v>
      </c>
      <c r="BN20" s="17">
        <v>154</v>
      </c>
      <c r="BO20" s="132"/>
      <c r="BP20" s="132"/>
      <c r="BQ20" s="132"/>
      <c r="BR20" s="132"/>
      <c r="BS20" s="132"/>
      <c r="BT20" s="132"/>
      <c r="BU20" s="132"/>
      <c r="BV20" s="132"/>
      <c r="BW20" s="132"/>
      <c r="BX20" s="132"/>
      <c r="BY20" s="132"/>
    </row>
    <row r="21" spans="1:77" x14ac:dyDescent="0.25">
      <c r="A21" s="4" t="s">
        <v>31</v>
      </c>
      <c r="B21" s="6" t="s">
        <v>32</v>
      </c>
      <c r="H21" s="17">
        <v>223</v>
      </c>
      <c r="I21" s="17">
        <v>250</v>
      </c>
      <c r="J21" s="17">
        <v>267</v>
      </c>
      <c r="K21" s="17">
        <v>281</v>
      </c>
      <c r="L21" s="17">
        <v>296</v>
      </c>
      <c r="M21" s="17">
        <v>299</v>
      </c>
      <c r="N21" s="24">
        <v>318</v>
      </c>
      <c r="O21" s="17">
        <v>326</v>
      </c>
      <c r="P21" s="17">
        <v>332</v>
      </c>
      <c r="Q21" s="17">
        <v>340</v>
      </c>
      <c r="R21" s="17">
        <v>341</v>
      </c>
      <c r="S21" s="24">
        <v>352</v>
      </c>
      <c r="T21" s="17">
        <v>359</v>
      </c>
      <c r="U21" s="17">
        <v>371</v>
      </c>
      <c r="V21" s="17">
        <v>375</v>
      </c>
      <c r="W21" s="17">
        <v>386</v>
      </c>
      <c r="X21" s="17">
        <v>388</v>
      </c>
      <c r="Y21" s="17">
        <v>397</v>
      </c>
      <c r="Z21" s="17">
        <v>408</v>
      </c>
      <c r="AA21" s="17">
        <v>410</v>
      </c>
      <c r="AB21" s="17">
        <v>413</v>
      </c>
      <c r="AC21" s="17">
        <v>412</v>
      </c>
      <c r="AD21" s="17">
        <v>420</v>
      </c>
      <c r="AE21" s="17"/>
      <c r="AF21" s="17"/>
      <c r="AG21" s="17"/>
      <c r="AH21" s="17"/>
      <c r="AI21" s="17"/>
      <c r="AJ21" s="17"/>
      <c r="AK21" s="17"/>
      <c r="AR21" s="17">
        <v>97</v>
      </c>
      <c r="AS21" s="17">
        <v>118</v>
      </c>
      <c r="AT21" s="17">
        <v>129</v>
      </c>
      <c r="AU21" s="17">
        <v>142</v>
      </c>
      <c r="AV21" s="17">
        <v>168</v>
      </c>
      <c r="AW21" s="17">
        <v>186</v>
      </c>
      <c r="AX21" s="24">
        <v>206</v>
      </c>
      <c r="AY21" s="17">
        <v>231</v>
      </c>
      <c r="AZ21" s="17">
        <v>243</v>
      </c>
      <c r="BA21" s="17">
        <v>249</v>
      </c>
      <c r="BB21" s="17">
        <v>250</v>
      </c>
      <c r="BC21" s="24">
        <v>258</v>
      </c>
      <c r="BD21" s="17">
        <v>271</v>
      </c>
      <c r="BE21" s="17">
        <v>276</v>
      </c>
      <c r="BF21" s="17">
        <v>281</v>
      </c>
      <c r="BG21" s="17">
        <v>291</v>
      </c>
      <c r="BH21" s="17">
        <v>293</v>
      </c>
      <c r="BI21" s="17">
        <v>300</v>
      </c>
      <c r="BJ21" s="17">
        <v>309</v>
      </c>
      <c r="BK21" s="17">
        <v>319</v>
      </c>
      <c r="BL21" s="17">
        <v>337</v>
      </c>
      <c r="BM21" s="17">
        <v>339</v>
      </c>
      <c r="BN21" s="17">
        <v>344</v>
      </c>
      <c r="BO21" s="132"/>
      <c r="BP21" s="132"/>
      <c r="BQ21" s="132"/>
      <c r="BR21" s="132"/>
      <c r="BS21" s="132"/>
      <c r="BT21" s="132"/>
      <c r="BU21" s="132"/>
      <c r="BV21" s="132"/>
      <c r="BW21" s="132"/>
      <c r="BX21" s="132"/>
      <c r="BY21" s="132"/>
    </row>
    <row r="22" spans="1:77" x14ac:dyDescent="0.25">
      <c r="A22" s="4" t="s">
        <v>33</v>
      </c>
      <c r="B22" s="6" t="s">
        <v>34</v>
      </c>
      <c r="H22" s="17">
        <v>209</v>
      </c>
      <c r="I22" s="17">
        <v>218</v>
      </c>
      <c r="J22" s="17">
        <v>232</v>
      </c>
      <c r="K22" s="17">
        <v>256</v>
      </c>
      <c r="L22" s="17">
        <v>262</v>
      </c>
      <c r="M22" s="17">
        <v>263</v>
      </c>
      <c r="N22" s="24">
        <v>279</v>
      </c>
      <c r="O22" s="17">
        <v>294</v>
      </c>
      <c r="P22" s="17">
        <v>308</v>
      </c>
      <c r="Q22" s="17">
        <v>314</v>
      </c>
      <c r="R22" s="17">
        <v>325</v>
      </c>
      <c r="S22" s="24">
        <v>331</v>
      </c>
      <c r="T22" s="17">
        <v>340</v>
      </c>
      <c r="U22" s="17">
        <v>355</v>
      </c>
      <c r="V22" s="17">
        <v>372</v>
      </c>
      <c r="W22" s="17">
        <v>384</v>
      </c>
      <c r="X22" s="17">
        <v>393</v>
      </c>
      <c r="Y22" s="17">
        <v>405</v>
      </c>
      <c r="Z22" s="17">
        <v>424</v>
      </c>
      <c r="AA22" s="17">
        <v>429</v>
      </c>
      <c r="AB22" s="17">
        <v>439</v>
      </c>
      <c r="AC22" s="17">
        <v>445</v>
      </c>
      <c r="AD22" s="17">
        <v>461</v>
      </c>
      <c r="AE22" s="17"/>
      <c r="AF22" s="17"/>
      <c r="AG22" s="17"/>
      <c r="AH22" s="17"/>
      <c r="AI22" s="17"/>
      <c r="AJ22" s="17"/>
      <c r="AK22" s="17"/>
      <c r="AR22" s="17">
        <v>102</v>
      </c>
      <c r="AS22" s="17">
        <v>110</v>
      </c>
      <c r="AT22" s="17">
        <v>119</v>
      </c>
      <c r="AU22" s="17">
        <v>133</v>
      </c>
      <c r="AV22" s="17">
        <v>146</v>
      </c>
      <c r="AW22" s="17">
        <v>158</v>
      </c>
      <c r="AX22" s="24">
        <v>172</v>
      </c>
      <c r="AY22" s="17">
        <v>177</v>
      </c>
      <c r="AZ22" s="17">
        <v>188</v>
      </c>
      <c r="BA22" s="17">
        <v>193</v>
      </c>
      <c r="BB22" s="17">
        <v>199</v>
      </c>
      <c r="BC22" s="24">
        <v>210</v>
      </c>
      <c r="BD22" s="17">
        <v>216</v>
      </c>
      <c r="BE22" s="17">
        <v>219</v>
      </c>
      <c r="BF22" s="17">
        <v>231</v>
      </c>
      <c r="BG22" s="17">
        <v>240</v>
      </c>
      <c r="BH22" s="17">
        <v>248</v>
      </c>
      <c r="BI22" s="17">
        <v>249</v>
      </c>
      <c r="BJ22" s="17">
        <v>268</v>
      </c>
      <c r="BK22" s="17">
        <v>282</v>
      </c>
      <c r="BL22" s="17">
        <v>307</v>
      </c>
      <c r="BM22" s="17">
        <v>306</v>
      </c>
      <c r="BN22" s="17">
        <v>312</v>
      </c>
      <c r="BO22" s="132"/>
      <c r="BP22" s="132"/>
      <c r="BQ22" s="132"/>
      <c r="BR22" s="132"/>
      <c r="BS22" s="132"/>
      <c r="BT22" s="132"/>
      <c r="BU22" s="132"/>
      <c r="BV22" s="132"/>
      <c r="BW22" s="132"/>
      <c r="BX22" s="132"/>
      <c r="BY22" s="132"/>
    </row>
    <row r="23" spans="1:77" x14ac:dyDescent="0.25">
      <c r="A23" s="4" t="s">
        <v>35</v>
      </c>
      <c r="B23" s="6" t="s">
        <v>36</v>
      </c>
      <c r="H23" s="17">
        <v>344</v>
      </c>
      <c r="I23" s="17">
        <v>362</v>
      </c>
      <c r="J23" s="17">
        <v>381</v>
      </c>
      <c r="K23" s="17">
        <v>418</v>
      </c>
      <c r="L23" s="17">
        <v>418</v>
      </c>
      <c r="M23" s="17">
        <v>428</v>
      </c>
      <c r="N23" s="24">
        <v>441</v>
      </c>
      <c r="O23" s="17">
        <v>451</v>
      </c>
      <c r="P23" s="17">
        <v>457</v>
      </c>
      <c r="Q23" s="17">
        <v>465</v>
      </c>
      <c r="R23" s="17">
        <v>470</v>
      </c>
      <c r="S23" s="24">
        <v>480</v>
      </c>
      <c r="T23" s="17">
        <v>490</v>
      </c>
      <c r="U23" s="17">
        <v>500</v>
      </c>
      <c r="V23" s="17">
        <v>507</v>
      </c>
      <c r="W23" s="17">
        <v>509</v>
      </c>
      <c r="X23" s="17">
        <v>516</v>
      </c>
      <c r="Y23" s="17">
        <v>521</v>
      </c>
      <c r="Z23" s="17">
        <v>530</v>
      </c>
      <c r="AA23" s="17">
        <v>536</v>
      </c>
      <c r="AB23" s="17">
        <v>537</v>
      </c>
      <c r="AC23" s="17">
        <v>537</v>
      </c>
      <c r="AD23" s="17">
        <v>545</v>
      </c>
      <c r="AE23" s="17"/>
      <c r="AF23" s="17"/>
      <c r="AG23" s="17"/>
      <c r="AH23" s="17"/>
      <c r="AI23" s="17"/>
      <c r="AJ23" s="17"/>
      <c r="AK23" s="17"/>
      <c r="AR23" s="17">
        <v>196</v>
      </c>
      <c r="AS23" s="17">
        <v>227</v>
      </c>
      <c r="AT23" s="17">
        <v>248</v>
      </c>
      <c r="AU23" s="17">
        <v>273</v>
      </c>
      <c r="AV23" s="17">
        <v>291</v>
      </c>
      <c r="AW23" s="17">
        <v>307</v>
      </c>
      <c r="AX23" s="24">
        <v>343</v>
      </c>
      <c r="AY23" s="17">
        <v>350</v>
      </c>
      <c r="AZ23" s="17">
        <v>360</v>
      </c>
      <c r="BA23" s="17">
        <v>370</v>
      </c>
      <c r="BB23" s="17">
        <v>374</v>
      </c>
      <c r="BC23" s="24">
        <v>386</v>
      </c>
      <c r="BD23" s="17">
        <v>396</v>
      </c>
      <c r="BE23" s="17">
        <v>401</v>
      </c>
      <c r="BF23" s="17">
        <v>414</v>
      </c>
      <c r="BG23" s="17">
        <v>419</v>
      </c>
      <c r="BH23" s="17">
        <v>427</v>
      </c>
      <c r="BI23" s="17">
        <v>431</v>
      </c>
      <c r="BJ23" s="17">
        <v>440</v>
      </c>
      <c r="BK23" s="17">
        <v>445</v>
      </c>
      <c r="BL23" s="17">
        <v>453</v>
      </c>
      <c r="BM23" s="17">
        <v>450</v>
      </c>
      <c r="BN23" s="17">
        <v>457</v>
      </c>
      <c r="BO23" s="132"/>
      <c r="BP23" s="132"/>
      <c r="BQ23" s="132"/>
      <c r="BR23" s="132"/>
      <c r="BS23" s="132"/>
      <c r="BT23" s="132"/>
      <c r="BU23" s="132"/>
      <c r="BV23" s="132"/>
      <c r="BW23" s="132"/>
      <c r="BX23" s="132"/>
      <c r="BY23" s="132"/>
    </row>
    <row r="24" spans="1:77" x14ac:dyDescent="0.25">
      <c r="A24" s="4" t="s">
        <v>37</v>
      </c>
      <c r="B24" s="6" t="s">
        <v>38</v>
      </c>
      <c r="H24" s="17">
        <v>423</v>
      </c>
      <c r="I24" s="17">
        <v>453</v>
      </c>
      <c r="J24" s="17">
        <v>474</v>
      </c>
      <c r="K24" s="17">
        <v>501</v>
      </c>
      <c r="L24" s="17">
        <v>517</v>
      </c>
      <c r="M24" s="17">
        <v>522</v>
      </c>
      <c r="N24" s="24">
        <v>554</v>
      </c>
      <c r="O24" s="17">
        <v>559</v>
      </c>
      <c r="P24" s="17">
        <v>576</v>
      </c>
      <c r="Q24" s="17">
        <v>586</v>
      </c>
      <c r="R24" s="17">
        <v>594</v>
      </c>
      <c r="S24" s="24">
        <v>604</v>
      </c>
      <c r="T24" s="17">
        <v>611</v>
      </c>
      <c r="U24" s="17">
        <v>628</v>
      </c>
      <c r="V24" s="17">
        <v>644</v>
      </c>
      <c r="W24" s="17">
        <v>651</v>
      </c>
      <c r="X24" s="17">
        <v>656</v>
      </c>
      <c r="Y24" s="17">
        <v>666</v>
      </c>
      <c r="Z24" s="17">
        <v>679</v>
      </c>
      <c r="AA24" s="17">
        <v>685</v>
      </c>
      <c r="AB24" s="17">
        <v>694</v>
      </c>
      <c r="AC24" s="17">
        <v>694</v>
      </c>
      <c r="AD24" s="17">
        <v>702</v>
      </c>
      <c r="AE24" s="17"/>
      <c r="AF24" s="17"/>
      <c r="AG24" s="17"/>
      <c r="AH24" s="17"/>
      <c r="AI24" s="17"/>
      <c r="AJ24" s="17"/>
      <c r="AK24" s="17"/>
      <c r="AR24" s="17">
        <v>200</v>
      </c>
      <c r="AS24" s="17">
        <v>238</v>
      </c>
      <c r="AT24" s="17">
        <v>278</v>
      </c>
      <c r="AU24" s="17">
        <v>313</v>
      </c>
      <c r="AV24" s="17">
        <v>350</v>
      </c>
      <c r="AW24" s="17">
        <v>377</v>
      </c>
      <c r="AX24" s="24">
        <v>399</v>
      </c>
      <c r="AY24" s="17">
        <v>410</v>
      </c>
      <c r="AZ24" s="17">
        <v>422</v>
      </c>
      <c r="BA24" s="17">
        <v>441</v>
      </c>
      <c r="BB24" s="17">
        <v>458</v>
      </c>
      <c r="BC24" s="24">
        <v>489</v>
      </c>
      <c r="BD24" s="17">
        <v>500</v>
      </c>
      <c r="BE24" s="17">
        <v>509</v>
      </c>
      <c r="BF24" s="17">
        <v>521</v>
      </c>
      <c r="BG24" s="17">
        <v>523</v>
      </c>
      <c r="BH24" s="17">
        <v>534</v>
      </c>
      <c r="BI24" s="17">
        <v>536</v>
      </c>
      <c r="BJ24" s="17">
        <v>546</v>
      </c>
      <c r="BK24" s="17">
        <v>557</v>
      </c>
      <c r="BL24" s="17">
        <v>574</v>
      </c>
      <c r="BM24" s="17">
        <v>579</v>
      </c>
      <c r="BN24" s="17">
        <v>587</v>
      </c>
      <c r="BO24" s="132"/>
      <c r="BP24" s="132"/>
      <c r="BQ24" s="132"/>
      <c r="BR24" s="132"/>
      <c r="BS24" s="132"/>
      <c r="BT24" s="132"/>
      <c r="BU24" s="132"/>
      <c r="BV24" s="132"/>
      <c r="BW24" s="132"/>
      <c r="BX24" s="132"/>
      <c r="BY24" s="132"/>
    </row>
    <row r="25" spans="1:77" x14ac:dyDescent="0.25">
      <c r="A25" s="4" t="s">
        <v>39</v>
      </c>
      <c r="B25" s="6" t="s">
        <v>40</v>
      </c>
      <c r="H25" s="17">
        <v>403</v>
      </c>
      <c r="I25" s="17">
        <v>419</v>
      </c>
      <c r="J25" s="17">
        <v>443</v>
      </c>
      <c r="K25" s="17">
        <v>475</v>
      </c>
      <c r="L25" s="17">
        <v>488</v>
      </c>
      <c r="M25" s="17">
        <v>505</v>
      </c>
      <c r="N25" s="24">
        <v>521</v>
      </c>
      <c r="O25" s="17">
        <v>528</v>
      </c>
      <c r="P25" s="17">
        <v>541</v>
      </c>
      <c r="Q25" s="17">
        <v>566</v>
      </c>
      <c r="R25" s="17">
        <v>575</v>
      </c>
      <c r="S25" s="24">
        <v>592</v>
      </c>
      <c r="T25" s="17">
        <v>606</v>
      </c>
      <c r="U25" s="17">
        <v>616</v>
      </c>
      <c r="V25" s="17">
        <v>627</v>
      </c>
      <c r="W25" s="17">
        <v>634</v>
      </c>
      <c r="X25" s="17">
        <v>644</v>
      </c>
      <c r="Y25" s="17">
        <v>654</v>
      </c>
      <c r="Z25" s="17">
        <v>660</v>
      </c>
      <c r="AA25" s="17">
        <v>668</v>
      </c>
      <c r="AB25" s="17">
        <v>672</v>
      </c>
      <c r="AC25" s="17">
        <v>672</v>
      </c>
      <c r="AD25" s="17">
        <v>693</v>
      </c>
      <c r="AE25" s="17"/>
      <c r="AF25" s="17"/>
      <c r="AG25" s="17"/>
      <c r="AH25" s="17"/>
      <c r="AI25" s="17"/>
      <c r="AJ25" s="17"/>
      <c r="AK25" s="17"/>
      <c r="AR25" s="17">
        <v>215</v>
      </c>
      <c r="AS25" s="17">
        <v>237</v>
      </c>
      <c r="AT25" s="17">
        <v>269</v>
      </c>
      <c r="AU25" s="17">
        <v>301</v>
      </c>
      <c r="AV25" s="17">
        <v>331</v>
      </c>
      <c r="AW25" s="17">
        <v>344</v>
      </c>
      <c r="AX25" s="24">
        <v>355</v>
      </c>
      <c r="AY25" s="17">
        <v>368</v>
      </c>
      <c r="AZ25" s="17">
        <v>380</v>
      </c>
      <c r="BA25" s="17">
        <v>397</v>
      </c>
      <c r="BB25" s="17">
        <v>408</v>
      </c>
      <c r="BC25" s="24">
        <v>424</v>
      </c>
      <c r="BD25" s="17">
        <v>435</v>
      </c>
      <c r="BE25" s="17">
        <v>455</v>
      </c>
      <c r="BF25" s="17">
        <v>460</v>
      </c>
      <c r="BG25" s="17">
        <v>470</v>
      </c>
      <c r="BH25" s="17">
        <v>481</v>
      </c>
      <c r="BI25" s="17">
        <v>490</v>
      </c>
      <c r="BJ25" s="17">
        <v>498</v>
      </c>
      <c r="BK25" s="17">
        <v>512</v>
      </c>
      <c r="BL25" s="17">
        <v>530</v>
      </c>
      <c r="BM25" s="17">
        <v>524</v>
      </c>
      <c r="BN25" s="17">
        <v>535</v>
      </c>
      <c r="BO25" s="132"/>
      <c r="BP25" s="132"/>
      <c r="BQ25" s="132"/>
      <c r="BR25" s="132"/>
      <c r="BS25" s="132"/>
      <c r="BT25" s="132"/>
      <c r="BU25" s="132"/>
      <c r="BV25" s="132"/>
      <c r="BW25" s="132"/>
      <c r="BX25" s="132"/>
      <c r="BY25" s="132"/>
    </row>
    <row r="26" spans="1:77" x14ac:dyDescent="0.25">
      <c r="A26" s="4" t="s">
        <v>41</v>
      </c>
      <c r="B26" s="6" t="s">
        <v>42</v>
      </c>
      <c r="H26" s="17">
        <v>928</v>
      </c>
      <c r="I26" s="17">
        <v>984</v>
      </c>
      <c r="J26" s="17">
        <v>1060</v>
      </c>
      <c r="K26" s="17">
        <v>1175</v>
      </c>
      <c r="L26" s="17">
        <v>1205</v>
      </c>
      <c r="M26" s="17">
        <v>1223</v>
      </c>
      <c r="N26" s="24">
        <v>1289</v>
      </c>
      <c r="O26" s="17">
        <v>1322</v>
      </c>
      <c r="P26" s="17">
        <v>1370</v>
      </c>
      <c r="Q26" s="17">
        <v>1403</v>
      </c>
      <c r="R26" s="17">
        <v>1431</v>
      </c>
      <c r="S26" s="24">
        <v>1455</v>
      </c>
      <c r="T26" s="17">
        <v>1477</v>
      </c>
      <c r="U26" s="17">
        <v>1496</v>
      </c>
      <c r="V26" s="17">
        <v>1526</v>
      </c>
      <c r="W26" s="17">
        <v>1556</v>
      </c>
      <c r="X26" s="17">
        <v>1569</v>
      </c>
      <c r="Y26" s="17">
        <v>1596</v>
      </c>
      <c r="Z26" s="17">
        <v>1620</v>
      </c>
      <c r="AA26" s="17">
        <v>1629</v>
      </c>
      <c r="AB26" s="17">
        <v>1633</v>
      </c>
      <c r="AC26" s="17">
        <v>1628</v>
      </c>
      <c r="AD26" s="17">
        <v>1645</v>
      </c>
      <c r="AE26" s="17"/>
      <c r="AF26" s="17"/>
      <c r="AG26" s="17"/>
      <c r="AH26" s="17"/>
      <c r="AI26" s="17"/>
      <c r="AJ26" s="17"/>
      <c r="AK26" s="17"/>
      <c r="AR26" s="17">
        <v>506</v>
      </c>
      <c r="AS26" s="17">
        <v>588</v>
      </c>
      <c r="AT26" s="17">
        <v>661</v>
      </c>
      <c r="AU26" s="17">
        <v>741</v>
      </c>
      <c r="AV26" s="17">
        <v>790</v>
      </c>
      <c r="AW26" s="17">
        <v>833</v>
      </c>
      <c r="AX26" s="24">
        <v>928</v>
      </c>
      <c r="AY26" s="17">
        <v>973</v>
      </c>
      <c r="AZ26" s="17">
        <v>1025</v>
      </c>
      <c r="BA26" s="17">
        <v>1057</v>
      </c>
      <c r="BB26" s="17">
        <v>1072</v>
      </c>
      <c r="BC26" s="24">
        <v>1128</v>
      </c>
      <c r="BD26" s="17">
        <v>1151</v>
      </c>
      <c r="BE26" s="17">
        <v>1186</v>
      </c>
      <c r="BF26" s="17">
        <v>1209</v>
      </c>
      <c r="BG26" s="17">
        <v>1225</v>
      </c>
      <c r="BH26" s="17">
        <v>1247</v>
      </c>
      <c r="BI26" s="17">
        <v>1267</v>
      </c>
      <c r="BJ26" s="17">
        <v>1291</v>
      </c>
      <c r="BK26" s="17">
        <v>1316</v>
      </c>
      <c r="BL26" s="17">
        <v>1351</v>
      </c>
      <c r="BM26" s="17">
        <v>1354</v>
      </c>
      <c r="BN26" s="17">
        <v>1376</v>
      </c>
      <c r="BO26" s="132"/>
      <c r="BP26" s="132"/>
      <c r="BQ26" s="132"/>
      <c r="BR26" s="132"/>
      <c r="BS26" s="132"/>
      <c r="BT26" s="132"/>
      <c r="BU26" s="132"/>
      <c r="BV26" s="132"/>
      <c r="BW26" s="132"/>
      <c r="BX26" s="132"/>
      <c r="BY26" s="132"/>
    </row>
    <row r="27" spans="1:77" x14ac:dyDescent="0.25">
      <c r="A27" s="4" t="s">
        <v>43</v>
      </c>
      <c r="B27" s="6" t="s">
        <v>44</v>
      </c>
      <c r="H27" s="17">
        <v>71</v>
      </c>
      <c r="I27" s="17">
        <v>76</v>
      </c>
      <c r="J27" s="17">
        <v>84</v>
      </c>
      <c r="K27" s="17">
        <v>97</v>
      </c>
      <c r="L27" s="17">
        <v>106</v>
      </c>
      <c r="M27" s="17">
        <v>109</v>
      </c>
      <c r="N27" s="24">
        <v>114</v>
      </c>
      <c r="O27" s="17">
        <v>114</v>
      </c>
      <c r="P27" s="17">
        <v>124</v>
      </c>
      <c r="Q27" s="17">
        <v>127</v>
      </c>
      <c r="R27" s="17">
        <v>130</v>
      </c>
      <c r="S27" s="24">
        <v>136</v>
      </c>
      <c r="T27" s="17">
        <v>142</v>
      </c>
      <c r="U27" s="17">
        <v>145</v>
      </c>
      <c r="V27" s="17">
        <v>147</v>
      </c>
      <c r="W27" s="17">
        <v>151</v>
      </c>
      <c r="X27" s="17">
        <v>151</v>
      </c>
      <c r="Y27" s="17">
        <v>152</v>
      </c>
      <c r="Z27" s="17">
        <v>160</v>
      </c>
      <c r="AA27" s="17">
        <v>161</v>
      </c>
      <c r="AB27" s="17">
        <v>162</v>
      </c>
      <c r="AC27" s="17">
        <v>162</v>
      </c>
      <c r="AD27" s="17">
        <v>166</v>
      </c>
      <c r="AE27" s="17"/>
      <c r="AF27" s="17"/>
      <c r="AG27" s="17"/>
      <c r="AH27" s="17"/>
      <c r="AI27" s="17"/>
      <c r="AJ27" s="17"/>
      <c r="AK27" s="17"/>
      <c r="AR27" s="17">
        <v>31</v>
      </c>
      <c r="AS27" s="17">
        <v>37</v>
      </c>
      <c r="AT27" s="17">
        <v>41</v>
      </c>
      <c r="AU27" s="17">
        <v>48</v>
      </c>
      <c r="AV27" s="17">
        <v>58</v>
      </c>
      <c r="AW27" s="17">
        <v>60</v>
      </c>
      <c r="AX27" s="24">
        <v>64</v>
      </c>
      <c r="AY27" s="17">
        <v>64</v>
      </c>
      <c r="AZ27" s="17">
        <v>69</v>
      </c>
      <c r="BA27" s="17">
        <v>84</v>
      </c>
      <c r="BB27" s="17">
        <v>84</v>
      </c>
      <c r="BC27" s="24">
        <v>91</v>
      </c>
      <c r="BD27" s="17">
        <v>97</v>
      </c>
      <c r="BE27" s="17">
        <v>98</v>
      </c>
      <c r="BF27" s="17">
        <v>101</v>
      </c>
      <c r="BG27" s="17">
        <v>102</v>
      </c>
      <c r="BH27" s="17">
        <v>103</v>
      </c>
      <c r="BI27" s="17">
        <v>107</v>
      </c>
      <c r="BJ27" s="17">
        <v>108</v>
      </c>
      <c r="BK27" s="17">
        <v>108</v>
      </c>
      <c r="BL27" s="17">
        <v>111</v>
      </c>
      <c r="BM27" s="17">
        <v>113</v>
      </c>
      <c r="BN27" s="17">
        <v>117</v>
      </c>
      <c r="BO27" s="132"/>
      <c r="BP27" s="132"/>
      <c r="BQ27" s="132"/>
      <c r="BR27" s="132"/>
      <c r="BS27" s="132"/>
      <c r="BT27" s="132"/>
      <c r="BU27" s="132"/>
      <c r="BV27" s="132"/>
      <c r="BW27" s="132"/>
      <c r="BX27" s="132"/>
      <c r="BY27" s="132"/>
    </row>
    <row r="28" spans="1:77" x14ac:dyDescent="0.25">
      <c r="A28" s="4" t="s">
        <v>45</v>
      </c>
      <c r="B28" s="6" t="s">
        <v>46</v>
      </c>
      <c r="H28" s="17">
        <v>96</v>
      </c>
      <c r="I28" s="17">
        <v>103</v>
      </c>
      <c r="J28" s="17">
        <v>111</v>
      </c>
      <c r="K28" s="17">
        <v>121</v>
      </c>
      <c r="L28" s="17">
        <v>124</v>
      </c>
      <c r="M28" s="17">
        <v>125</v>
      </c>
      <c r="N28" s="24">
        <v>135</v>
      </c>
      <c r="O28" s="17">
        <v>137</v>
      </c>
      <c r="P28" s="17">
        <v>142</v>
      </c>
      <c r="Q28" s="17">
        <v>153</v>
      </c>
      <c r="R28" s="17">
        <v>155</v>
      </c>
      <c r="S28" s="24">
        <v>162</v>
      </c>
      <c r="T28" s="17">
        <v>164</v>
      </c>
      <c r="U28" s="17">
        <v>172</v>
      </c>
      <c r="V28" s="17">
        <v>175</v>
      </c>
      <c r="W28" s="17">
        <v>176</v>
      </c>
      <c r="X28" s="17">
        <v>178</v>
      </c>
      <c r="Y28" s="17">
        <v>181</v>
      </c>
      <c r="Z28" s="17">
        <v>184</v>
      </c>
      <c r="AA28" s="17">
        <v>187</v>
      </c>
      <c r="AB28" s="17">
        <v>189</v>
      </c>
      <c r="AC28" s="17">
        <v>189</v>
      </c>
      <c r="AD28" s="17">
        <v>191</v>
      </c>
      <c r="AE28" s="17"/>
      <c r="AF28" s="17"/>
      <c r="AG28" s="17"/>
      <c r="AH28" s="17"/>
      <c r="AI28" s="17"/>
      <c r="AJ28" s="17"/>
      <c r="AK28" s="17"/>
      <c r="AR28" s="17">
        <v>44</v>
      </c>
      <c r="AS28" s="17">
        <v>57</v>
      </c>
      <c r="AT28" s="17">
        <v>69</v>
      </c>
      <c r="AU28" s="17">
        <v>80</v>
      </c>
      <c r="AV28" s="17">
        <v>84</v>
      </c>
      <c r="AW28" s="17">
        <v>87</v>
      </c>
      <c r="AX28" s="24">
        <v>103</v>
      </c>
      <c r="AY28" s="17">
        <v>108</v>
      </c>
      <c r="AZ28" s="17">
        <v>113</v>
      </c>
      <c r="BA28" s="17">
        <v>113</v>
      </c>
      <c r="BB28" s="17">
        <v>113</v>
      </c>
      <c r="BC28" s="24">
        <v>125</v>
      </c>
      <c r="BD28" s="17">
        <v>132</v>
      </c>
      <c r="BE28" s="17">
        <v>142</v>
      </c>
      <c r="BF28" s="17">
        <v>144</v>
      </c>
      <c r="BG28" s="17">
        <v>145</v>
      </c>
      <c r="BH28" s="17">
        <v>145</v>
      </c>
      <c r="BI28" s="17">
        <v>148</v>
      </c>
      <c r="BJ28" s="17">
        <v>150</v>
      </c>
      <c r="BK28" s="17">
        <v>155</v>
      </c>
      <c r="BL28" s="17">
        <v>157</v>
      </c>
      <c r="BM28" s="17">
        <v>163</v>
      </c>
      <c r="BN28" s="17">
        <v>166</v>
      </c>
      <c r="BO28" s="132"/>
      <c r="BP28" s="132"/>
      <c r="BQ28" s="132"/>
      <c r="BR28" s="132"/>
      <c r="BS28" s="132"/>
      <c r="BT28" s="132"/>
      <c r="BU28" s="132"/>
      <c r="BV28" s="132"/>
      <c r="BW28" s="132"/>
      <c r="BX28" s="132"/>
      <c r="BY28" s="132"/>
    </row>
    <row r="29" spans="1:77" x14ac:dyDescent="0.25">
      <c r="A29" s="4" t="s">
        <v>47</v>
      </c>
      <c r="B29" s="6" t="s">
        <v>48</v>
      </c>
      <c r="H29" s="17">
        <v>1133</v>
      </c>
      <c r="I29" s="17">
        <v>1203</v>
      </c>
      <c r="J29" s="17">
        <v>1306</v>
      </c>
      <c r="K29" s="17">
        <v>1398</v>
      </c>
      <c r="L29" s="17">
        <v>1432</v>
      </c>
      <c r="M29" s="17">
        <v>1474</v>
      </c>
      <c r="N29" s="24">
        <v>1566</v>
      </c>
      <c r="O29" s="17">
        <v>1606</v>
      </c>
      <c r="P29" s="17">
        <v>1664</v>
      </c>
      <c r="Q29" s="17">
        <v>1719</v>
      </c>
      <c r="R29" s="17">
        <v>1735</v>
      </c>
      <c r="S29" s="24">
        <v>1775</v>
      </c>
      <c r="T29" s="17">
        <v>1809</v>
      </c>
      <c r="U29" s="17">
        <v>1836</v>
      </c>
      <c r="V29" s="17">
        <v>1864</v>
      </c>
      <c r="W29" s="17">
        <v>1885</v>
      </c>
      <c r="X29" s="17">
        <v>1901</v>
      </c>
      <c r="Y29" s="17">
        <v>1926</v>
      </c>
      <c r="Z29" s="17">
        <v>1954</v>
      </c>
      <c r="AA29" s="17">
        <v>1961</v>
      </c>
      <c r="AB29" s="17">
        <v>1972</v>
      </c>
      <c r="AC29" s="17">
        <v>1976</v>
      </c>
      <c r="AD29" s="17">
        <v>2042</v>
      </c>
      <c r="AE29" s="17"/>
      <c r="AF29" s="17"/>
      <c r="AG29" s="17"/>
      <c r="AH29" s="17"/>
      <c r="AI29" s="17"/>
      <c r="AJ29" s="17"/>
      <c r="AK29" s="17"/>
      <c r="AR29" s="17">
        <v>517</v>
      </c>
      <c r="AS29" s="17">
        <v>632</v>
      </c>
      <c r="AT29" s="17">
        <v>715</v>
      </c>
      <c r="AU29" s="17">
        <v>837</v>
      </c>
      <c r="AV29" s="17">
        <v>924</v>
      </c>
      <c r="AW29" s="17">
        <v>1028</v>
      </c>
      <c r="AX29" s="24">
        <v>1133</v>
      </c>
      <c r="AY29" s="17">
        <v>1170</v>
      </c>
      <c r="AZ29" s="17">
        <v>1224</v>
      </c>
      <c r="BA29" s="17">
        <v>1269</v>
      </c>
      <c r="BB29" s="17">
        <v>1302</v>
      </c>
      <c r="BC29" s="24">
        <v>1372</v>
      </c>
      <c r="BD29" s="17">
        <v>1409</v>
      </c>
      <c r="BE29" s="17">
        <v>1450</v>
      </c>
      <c r="BF29" s="17">
        <v>1480</v>
      </c>
      <c r="BG29" s="17">
        <v>1500</v>
      </c>
      <c r="BH29" s="17">
        <v>1529</v>
      </c>
      <c r="BI29" s="17">
        <v>1557</v>
      </c>
      <c r="BJ29" s="17">
        <v>1584</v>
      </c>
      <c r="BK29" s="17">
        <v>1618</v>
      </c>
      <c r="BL29" s="17">
        <v>1665</v>
      </c>
      <c r="BM29" s="17">
        <v>1670</v>
      </c>
      <c r="BN29" s="17">
        <v>1693</v>
      </c>
      <c r="BO29" s="132"/>
      <c r="BP29" s="132"/>
      <c r="BQ29" s="132"/>
      <c r="BR29" s="132"/>
      <c r="BS29" s="132"/>
      <c r="BT29" s="132"/>
      <c r="BU29" s="132"/>
      <c r="BV29" s="132"/>
      <c r="BW29" s="132"/>
      <c r="BX29" s="132"/>
      <c r="BY29" s="132"/>
    </row>
    <row r="30" spans="1:77" x14ac:dyDescent="0.25">
      <c r="A30" s="4" t="s">
        <v>49</v>
      </c>
      <c r="B30" s="6" t="s">
        <v>50</v>
      </c>
      <c r="H30" s="17">
        <v>432</v>
      </c>
      <c r="I30" s="17">
        <v>453</v>
      </c>
      <c r="J30" s="17">
        <v>480</v>
      </c>
      <c r="K30" s="17">
        <v>519</v>
      </c>
      <c r="L30" s="17">
        <v>525</v>
      </c>
      <c r="M30" s="17">
        <v>537</v>
      </c>
      <c r="N30" s="24">
        <v>557</v>
      </c>
      <c r="O30" s="17">
        <v>574</v>
      </c>
      <c r="P30" s="17">
        <v>593</v>
      </c>
      <c r="Q30" s="17">
        <v>609</v>
      </c>
      <c r="R30" s="17">
        <v>616</v>
      </c>
      <c r="S30" s="24">
        <v>627</v>
      </c>
      <c r="T30" s="17">
        <v>637</v>
      </c>
      <c r="U30" s="17">
        <v>654</v>
      </c>
      <c r="V30" s="17">
        <v>666</v>
      </c>
      <c r="W30" s="17">
        <v>677</v>
      </c>
      <c r="X30" s="17">
        <v>685</v>
      </c>
      <c r="Y30" s="17">
        <v>691</v>
      </c>
      <c r="Z30" s="17">
        <v>707</v>
      </c>
      <c r="AA30" s="17">
        <v>717</v>
      </c>
      <c r="AB30" s="17">
        <v>722</v>
      </c>
      <c r="AC30" s="17">
        <v>724</v>
      </c>
      <c r="AD30" s="17">
        <v>742</v>
      </c>
      <c r="AE30" s="17"/>
      <c r="AF30" s="17"/>
      <c r="AG30" s="17"/>
      <c r="AH30" s="17"/>
      <c r="AI30" s="17"/>
      <c r="AJ30" s="17"/>
      <c r="AK30" s="17"/>
      <c r="AR30" s="17">
        <v>238</v>
      </c>
      <c r="AS30" s="17">
        <v>263</v>
      </c>
      <c r="AT30" s="17">
        <v>278</v>
      </c>
      <c r="AU30" s="17">
        <v>304</v>
      </c>
      <c r="AV30" s="17">
        <v>319</v>
      </c>
      <c r="AW30" s="17">
        <v>332</v>
      </c>
      <c r="AX30" s="24">
        <v>355</v>
      </c>
      <c r="AY30" s="17">
        <v>370</v>
      </c>
      <c r="AZ30" s="17">
        <v>404</v>
      </c>
      <c r="BA30" s="17">
        <v>422</v>
      </c>
      <c r="BB30" s="17">
        <v>446</v>
      </c>
      <c r="BC30" s="24">
        <v>469</v>
      </c>
      <c r="BD30" s="17">
        <v>501</v>
      </c>
      <c r="BE30" s="17">
        <v>505</v>
      </c>
      <c r="BF30" s="17">
        <v>513</v>
      </c>
      <c r="BG30" s="17">
        <v>517</v>
      </c>
      <c r="BH30" s="17">
        <v>529</v>
      </c>
      <c r="BI30" s="17">
        <v>540</v>
      </c>
      <c r="BJ30" s="17">
        <v>555</v>
      </c>
      <c r="BK30" s="17">
        <v>566</v>
      </c>
      <c r="BL30" s="17">
        <v>578</v>
      </c>
      <c r="BM30" s="17">
        <v>580</v>
      </c>
      <c r="BN30" s="17">
        <v>588</v>
      </c>
      <c r="BO30" s="132"/>
      <c r="BP30" s="132"/>
      <c r="BQ30" s="132"/>
      <c r="BR30" s="132"/>
      <c r="BS30" s="132"/>
      <c r="BT30" s="132"/>
      <c r="BU30" s="132"/>
      <c r="BV30" s="132"/>
      <c r="BW30" s="132"/>
      <c r="BX30" s="132"/>
      <c r="BY30" s="132"/>
    </row>
    <row r="31" spans="1:77" x14ac:dyDescent="0.25">
      <c r="A31" s="4" t="s">
        <v>51</v>
      </c>
      <c r="B31" s="6" t="s">
        <v>52</v>
      </c>
      <c r="H31" s="17">
        <v>239</v>
      </c>
      <c r="I31" s="17">
        <v>256</v>
      </c>
      <c r="J31" s="17">
        <v>270</v>
      </c>
      <c r="K31" s="17">
        <v>305</v>
      </c>
      <c r="L31" s="17">
        <v>320</v>
      </c>
      <c r="M31" s="17">
        <v>322</v>
      </c>
      <c r="N31" s="24">
        <v>343</v>
      </c>
      <c r="O31" s="17">
        <v>346</v>
      </c>
      <c r="P31" s="17">
        <v>355</v>
      </c>
      <c r="Q31" s="17">
        <v>375</v>
      </c>
      <c r="R31" s="17">
        <v>378</v>
      </c>
      <c r="S31" s="24">
        <v>391</v>
      </c>
      <c r="T31" s="17">
        <v>394</v>
      </c>
      <c r="U31" s="17">
        <v>400</v>
      </c>
      <c r="V31" s="17">
        <v>401</v>
      </c>
      <c r="W31" s="17">
        <v>414</v>
      </c>
      <c r="X31" s="17">
        <v>420</v>
      </c>
      <c r="Y31" s="17">
        <v>426</v>
      </c>
      <c r="Z31" s="17">
        <v>431</v>
      </c>
      <c r="AA31" s="17">
        <v>431</v>
      </c>
      <c r="AB31" s="17">
        <v>436</v>
      </c>
      <c r="AC31" s="17">
        <v>435</v>
      </c>
      <c r="AD31" s="17">
        <v>437</v>
      </c>
      <c r="AE31" s="17"/>
      <c r="AF31" s="17"/>
      <c r="AG31" s="17"/>
      <c r="AH31" s="17"/>
      <c r="AI31" s="17"/>
      <c r="AJ31" s="17"/>
      <c r="AK31" s="17"/>
      <c r="AR31" s="17">
        <v>115</v>
      </c>
      <c r="AS31" s="17">
        <v>137</v>
      </c>
      <c r="AT31" s="17">
        <v>156</v>
      </c>
      <c r="AU31" s="17">
        <v>183</v>
      </c>
      <c r="AV31" s="17">
        <v>192</v>
      </c>
      <c r="AW31" s="17">
        <v>211</v>
      </c>
      <c r="AX31" s="24">
        <v>238</v>
      </c>
      <c r="AY31" s="17">
        <v>241</v>
      </c>
      <c r="AZ31" s="17">
        <v>252</v>
      </c>
      <c r="BA31" s="17">
        <v>261</v>
      </c>
      <c r="BB31" s="17">
        <v>266</v>
      </c>
      <c r="BC31" s="24">
        <v>283</v>
      </c>
      <c r="BD31" s="17">
        <v>293</v>
      </c>
      <c r="BE31" s="17">
        <v>300</v>
      </c>
      <c r="BF31" s="17">
        <v>308</v>
      </c>
      <c r="BG31" s="17">
        <v>318</v>
      </c>
      <c r="BH31" s="17">
        <v>324</v>
      </c>
      <c r="BI31" s="17">
        <v>328</v>
      </c>
      <c r="BJ31" s="17">
        <v>338</v>
      </c>
      <c r="BK31" s="17">
        <v>341</v>
      </c>
      <c r="BL31" s="17">
        <v>350</v>
      </c>
      <c r="BM31" s="17">
        <v>350</v>
      </c>
      <c r="BN31" s="17">
        <v>358</v>
      </c>
      <c r="BO31" s="132"/>
      <c r="BP31" s="132"/>
      <c r="BQ31" s="132"/>
      <c r="BR31" s="132"/>
      <c r="BS31" s="132"/>
      <c r="BT31" s="132"/>
      <c r="BU31" s="132"/>
      <c r="BV31" s="132"/>
      <c r="BW31" s="132"/>
      <c r="BX31" s="132"/>
      <c r="BY31" s="132"/>
    </row>
    <row r="32" spans="1:77" x14ac:dyDescent="0.25">
      <c r="A32" s="4" t="s">
        <v>53</v>
      </c>
      <c r="B32" s="6" t="s">
        <v>54</v>
      </c>
      <c r="H32" s="17">
        <v>368</v>
      </c>
      <c r="I32" s="17">
        <v>402</v>
      </c>
      <c r="J32" s="17">
        <v>431</v>
      </c>
      <c r="K32" s="17">
        <v>464</v>
      </c>
      <c r="L32" s="17">
        <v>489</v>
      </c>
      <c r="M32" s="17">
        <v>507</v>
      </c>
      <c r="N32" s="24">
        <v>538</v>
      </c>
      <c r="O32" s="17">
        <v>563</v>
      </c>
      <c r="P32" s="17">
        <v>584</v>
      </c>
      <c r="Q32" s="17">
        <v>599</v>
      </c>
      <c r="R32" s="17">
        <v>604</v>
      </c>
      <c r="S32" s="24">
        <v>615</v>
      </c>
      <c r="T32" s="17">
        <v>623</v>
      </c>
      <c r="U32" s="17">
        <v>642</v>
      </c>
      <c r="V32" s="17">
        <v>656</v>
      </c>
      <c r="W32" s="17">
        <v>657</v>
      </c>
      <c r="X32" s="17">
        <v>659</v>
      </c>
      <c r="Y32" s="17">
        <v>663</v>
      </c>
      <c r="Z32" s="17">
        <v>675</v>
      </c>
      <c r="AA32" s="17">
        <v>675</v>
      </c>
      <c r="AB32" s="17">
        <v>677</v>
      </c>
      <c r="AC32" s="17">
        <v>682</v>
      </c>
      <c r="AD32" s="17">
        <v>690</v>
      </c>
      <c r="AE32" s="17"/>
      <c r="AF32" s="17"/>
      <c r="AG32" s="17"/>
      <c r="AH32" s="17"/>
      <c r="AI32" s="17"/>
      <c r="AJ32" s="17"/>
      <c r="AK32" s="17"/>
      <c r="AR32" s="17">
        <v>178</v>
      </c>
      <c r="AS32" s="17">
        <v>206</v>
      </c>
      <c r="AT32" s="17">
        <v>241</v>
      </c>
      <c r="AU32" s="17">
        <v>269</v>
      </c>
      <c r="AV32" s="17">
        <v>295</v>
      </c>
      <c r="AW32" s="17">
        <v>319</v>
      </c>
      <c r="AX32" s="24">
        <v>377</v>
      </c>
      <c r="AY32" s="17">
        <v>385</v>
      </c>
      <c r="AZ32" s="17">
        <v>401</v>
      </c>
      <c r="BA32" s="17">
        <v>423</v>
      </c>
      <c r="BB32" s="17">
        <v>444</v>
      </c>
      <c r="BC32" s="24">
        <v>462</v>
      </c>
      <c r="BD32" s="17">
        <v>475</v>
      </c>
      <c r="BE32" s="17">
        <v>479</v>
      </c>
      <c r="BF32" s="17">
        <v>496</v>
      </c>
      <c r="BG32" s="17">
        <v>502</v>
      </c>
      <c r="BH32" s="17">
        <v>516</v>
      </c>
      <c r="BI32" s="17">
        <v>525</v>
      </c>
      <c r="BJ32" s="17">
        <v>539</v>
      </c>
      <c r="BK32" s="17">
        <v>555</v>
      </c>
      <c r="BL32" s="17">
        <v>574</v>
      </c>
      <c r="BM32" s="17">
        <v>573</v>
      </c>
      <c r="BN32" s="17">
        <v>584</v>
      </c>
      <c r="BO32" s="132"/>
      <c r="BP32" s="132"/>
      <c r="BQ32" s="132"/>
      <c r="BR32" s="132"/>
      <c r="BS32" s="132"/>
      <c r="BT32" s="132"/>
      <c r="BU32" s="132"/>
      <c r="BV32" s="132"/>
      <c r="BW32" s="132"/>
      <c r="BX32" s="132"/>
      <c r="BY32" s="132"/>
    </row>
    <row r="33" spans="1:77" x14ac:dyDescent="0.25">
      <c r="A33" s="4" t="s">
        <v>55</v>
      </c>
      <c r="B33" s="6" t="s">
        <v>56</v>
      </c>
      <c r="H33" s="17">
        <v>331</v>
      </c>
      <c r="I33" s="17">
        <v>350</v>
      </c>
      <c r="J33" s="17">
        <v>376</v>
      </c>
      <c r="K33" s="17">
        <v>415</v>
      </c>
      <c r="L33" s="17">
        <v>427</v>
      </c>
      <c r="M33" s="17">
        <v>437</v>
      </c>
      <c r="N33" s="24">
        <v>471</v>
      </c>
      <c r="O33" s="17">
        <v>484</v>
      </c>
      <c r="P33" s="17">
        <v>502</v>
      </c>
      <c r="Q33" s="17">
        <v>515</v>
      </c>
      <c r="R33" s="17">
        <v>522</v>
      </c>
      <c r="S33" s="24">
        <v>541</v>
      </c>
      <c r="T33" s="17">
        <v>556</v>
      </c>
      <c r="U33" s="17">
        <v>568</v>
      </c>
      <c r="V33" s="17">
        <v>584</v>
      </c>
      <c r="W33" s="17">
        <v>591</v>
      </c>
      <c r="X33" s="17">
        <v>595</v>
      </c>
      <c r="Y33" s="17">
        <v>605</v>
      </c>
      <c r="Z33" s="17">
        <v>618</v>
      </c>
      <c r="AA33" s="17">
        <v>624</v>
      </c>
      <c r="AB33" s="17">
        <v>626</v>
      </c>
      <c r="AC33" s="17">
        <v>630</v>
      </c>
      <c r="AD33" s="17">
        <v>637</v>
      </c>
      <c r="AE33" s="17"/>
      <c r="AF33" s="17"/>
      <c r="AG33" s="17"/>
      <c r="AH33" s="17"/>
      <c r="AI33" s="17"/>
      <c r="AJ33" s="17"/>
      <c r="AK33" s="17"/>
      <c r="AR33" s="17">
        <v>175</v>
      </c>
      <c r="AS33" s="17">
        <v>205</v>
      </c>
      <c r="AT33" s="17">
        <v>240</v>
      </c>
      <c r="AU33" s="17">
        <v>264</v>
      </c>
      <c r="AV33" s="17">
        <v>281</v>
      </c>
      <c r="AW33" s="17">
        <v>314</v>
      </c>
      <c r="AX33" s="24">
        <v>349</v>
      </c>
      <c r="AY33" s="17">
        <v>373</v>
      </c>
      <c r="AZ33" s="17">
        <v>389</v>
      </c>
      <c r="BA33" s="17">
        <v>403</v>
      </c>
      <c r="BB33" s="17">
        <v>407</v>
      </c>
      <c r="BC33" s="24">
        <v>423</v>
      </c>
      <c r="BD33" s="17">
        <v>445</v>
      </c>
      <c r="BE33" s="17">
        <v>463</v>
      </c>
      <c r="BF33" s="17">
        <v>471</v>
      </c>
      <c r="BG33" s="17">
        <v>483</v>
      </c>
      <c r="BH33" s="17">
        <v>487</v>
      </c>
      <c r="BI33" s="17">
        <v>501</v>
      </c>
      <c r="BJ33" s="17">
        <v>514</v>
      </c>
      <c r="BK33" s="17">
        <v>528</v>
      </c>
      <c r="BL33" s="17">
        <v>534</v>
      </c>
      <c r="BM33" s="17">
        <v>543</v>
      </c>
      <c r="BN33" s="17">
        <v>548</v>
      </c>
      <c r="BO33" s="132"/>
      <c r="BP33" s="132"/>
      <c r="BQ33" s="132"/>
      <c r="BR33" s="132"/>
      <c r="BS33" s="132"/>
      <c r="BT33" s="132"/>
      <c r="BU33" s="132"/>
      <c r="BV33" s="132"/>
      <c r="BW33" s="132"/>
      <c r="BX33" s="132"/>
      <c r="BY33" s="132"/>
    </row>
    <row r="34" spans="1:77" x14ac:dyDescent="0.25">
      <c r="A34" s="4" t="s">
        <v>57</v>
      </c>
      <c r="B34" s="6" t="s">
        <v>58</v>
      </c>
      <c r="H34" s="17">
        <v>10</v>
      </c>
      <c r="I34" s="17">
        <v>25</v>
      </c>
      <c r="J34" s="17">
        <v>25</v>
      </c>
      <c r="K34" s="17">
        <v>25</v>
      </c>
      <c r="L34" s="17">
        <v>25</v>
      </c>
      <c r="M34" s="17">
        <v>30</v>
      </c>
      <c r="N34" s="17">
        <v>40</v>
      </c>
      <c r="O34" s="17">
        <v>40</v>
      </c>
      <c r="P34" s="17">
        <v>40</v>
      </c>
      <c r="Q34" s="17">
        <v>40</v>
      </c>
      <c r="R34" s="17">
        <v>45</v>
      </c>
      <c r="S34" s="17">
        <v>45</v>
      </c>
      <c r="T34" s="17">
        <v>45</v>
      </c>
      <c r="U34" s="17">
        <v>45</v>
      </c>
      <c r="V34" s="17">
        <v>45</v>
      </c>
      <c r="W34" s="17">
        <v>45</v>
      </c>
      <c r="X34" s="17">
        <v>45</v>
      </c>
      <c r="Y34" s="17">
        <v>45</v>
      </c>
      <c r="Z34" s="17">
        <v>50</v>
      </c>
      <c r="AA34" s="17">
        <v>50</v>
      </c>
      <c r="AB34" s="17">
        <v>55</v>
      </c>
      <c r="AC34" s="17">
        <v>40</v>
      </c>
      <c r="AD34" s="17">
        <v>40</v>
      </c>
      <c r="AE34" s="17"/>
      <c r="AF34" s="17"/>
      <c r="AG34" s="17"/>
      <c r="AH34" s="17"/>
      <c r="AI34" s="17"/>
      <c r="AJ34" s="17"/>
      <c r="AK34" s="17"/>
      <c r="AR34" s="17">
        <v>10</v>
      </c>
      <c r="AS34" s="17">
        <v>25</v>
      </c>
      <c r="AT34" s="17">
        <v>25</v>
      </c>
      <c r="AU34" s="17">
        <v>25</v>
      </c>
      <c r="AV34" s="17">
        <v>25</v>
      </c>
      <c r="AW34" s="17">
        <v>30</v>
      </c>
      <c r="AX34" s="17">
        <v>40</v>
      </c>
      <c r="AY34" s="17">
        <v>40</v>
      </c>
      <c r="AZ34" s="17">
        <v>40</v>
      </c>
      <c r="BA34" s="17">
        <v>40</v>
      </c>
      <c r="BB34" s="17">
        <v>45</v>
      </c>
      <c r="BC34" s="17">
        <v>45</v>
      </c>
      <c r="BD34" s="17">
        <v>45</v>
      </c>
      <c r="BE34" s="17">
        <v>45</v>
      </c>
      <c r="BF34" s="17">
        <v>45</v>
      </c>
      <c r="BG34" s="17">
        <v>45</v>
      </c>
      <c r="BH34" s="17">
        <v>45</v>
      </c>
      <c r="BI34" s="17">
        <v>45</v>
      </c>
      <c r="BJ34" s="17">
        <v>50</v>
      </c>
      <c r="BK34" s="17">
        <v>50</v>
      </c>
      <c r="BL34" s="17">
        <v>55</v>
      </c>
      <c r="BM34" s="17">
        <v>40</v>
      </c>
      <c r="BN34" s="17">
        <v>40</v>
      </c>
      <c r="BO34" s="132"/>
      <c r="BP34" s="132"/>
      <c r="BQ34" s="132"/>
      <c r="BR34" s="132"/>
      <c r="BS34" s="132"/>
      <c r="BT34" s="132"/>
      <c r="BU34" s="132"/>
      <c r="BV34" s="132"/>
      <c r="BW34" s="132"/>
      <c r="BX34" s="132"/>
      <c r="BY34" s="132"/>
    </row>
    <row r="35" spans="1:77" x14ac:dyDescent="0.25">
      <c r="A35" s="4" t="s">
        <v>59</v>
      </c>
      <c r="B35" s="6" t="s">
        <v>60</v>
      </c>
      <c r="H35" s="17">
        <v>599</v>
      </c>
      <c r="I35" s="17">
        <v>645</v>
      </c>
      <c r="J35" s="17">
        <v>688</v>
      </c>
      <c r="K35" s="17">
        <v>735</v>
      </c>
      <c r="L35" s="17">
        <v>761</v>
      </c>
      <c r="M35" s="17">
        <v>772</v>
      </c>
      <c r="N35" s="24">
        <v>807</v>
      </c>
      <c r="O35" s="17">
        <v>816</v>
      </c>
      <c r="P35" s="17">
        <v>842</v>
      </c>
      <c r="Q35" s="17">
        <v>869</v>
      </c>
      <c r="R35" s="17">
        <v>878</v>
      </c>
      <c r="S35" s="24">
        <v>896</v>
      </c>
      <c r="T35" s="17">
        <v>917</v>
      </c>
      <c r="U35" s="17">
        <v>950</v>
      </c>
      <c r="V35" s="17">
        <v>959</v>
      </c>
      <c r="W35" s="17">
        <v>971</v>
      </c>
      <c r="X35" s="17">
        <v>973</v>
      </c>
      <c r="Y35" s="17">
        <v>980</v>
      </c>
      <c r="Z35" s="17">
        <v>992</v>
      </c>
      <c r="AA35" s="17">
        <v>994</v>
      </c>
      <c r="AB35" s="17">
        <v>1004</v>
      </c>
      <c r="AC35" s="17">
        <v>1006</v>
      </c>
      <c r="AD35" s="17">
        <v>1025</v>
      </c>
      <c r="AE35" s="17"/>
      <c r="AF35" s="17"/>
      <c r="AG35" s="17"/>
      <c r="AH35" s="17"/>
      <c r="AI35" s="17"/>
      <c r="AJ35" s="17"/>
      <c r="AK35" s="17"/>
      <c r="AR35" s="17">
        <v>274</v>
      </c>
      <c r="AS35" s="17">
        <v>325</v>
      </c>
      <c r="AT35" s="17">
        <v>396</v>
      </c>
      <c r="AU35" s="17">
        <v>429</v>
      </c>
      <c r="AV35" s="17">
        <v>495</v>
      </c>
      <c r="AW35" s="17">
        <v>527</v>
      </c>
      <c r="AX35" s="24">
        <v>576</v>
      </c>
      <c r="AY35" s="17">
        <v>600</v>
      </c>
      <c r="AZ35" s="17">
        <v>621</v>
      </c>
      <c r="BA35" s="17">
        <v>641</v>
      </c>
      <c r="BB35" s="17">
        <v>662</v>
      </c>
      <c r="BC35" s="24">
        <v>677</v>
      </c>
      <c r="BD35" s="17">
        <v>708</v>
      </c>
      <c r="BE35" s="17">
        <v>725</v>
      </c>
      <c r="BF35" s="17">
        <v>735</v>
      </c>
      <c r="BG35" s="17">
        <v>741</v>
      </c>
      <c r="BH35" s="17">
        <v>757</v>
      </c>
      <c r="BI35" s="17">
        <v>758</v>
      </c>
      <c r="BJ35" s="17">
        <v>782</v>
      </c>
      <c r="BK35" s="17">
        <v>803</v>
      </c>
      <c r="BL35" s="17">
        <v>826</v>
      </c>
      <c r="BM35" s="17">
        <v>823</v>
      </c>
      <c r="BN35" s="17">
        <v>837</v>
      </c>
      <c r="BO35" s="132"/>
      <c r="BP35" s="132"/>
      <c r="BQ35" s="132"/>
      <c r="BR35" s="132"/>
      <c r="BS35" s="132"/>
      <c r="BT35" s="132"/>
      <c r="BU35" s="132"/>
      <c r="BV35" s="132"/>
      <c r="BW35" s="132"/>
      <c r="BX35" s="132"/>
      <c r="BY35" s="132"/>
    </row>
    <row r="36" spans="1:77" x14ac:dyDescent="0.25">
      <c r="A36" s="6" t="s">
        <v>61</v>
      </c>
      <c r="B36" s="6" t="s">
        <v>62</v>
      </c>
      <c r="H36" s="17">
        <v>295</v>
      </c>
      <c r="I36" s="17">
        <v>322</v>
      </c>
      <c r="J36" s="17">
        <v>338</v>
      </c>
      <c r="K36" s="17">
        <v>351</v>
      </c>
      <c r="L36" s="17">
        <v>365</v>
      </c>
      <c r="M36" s="17">
        <v>379</v>
      </c>
      <c r="N36" s="24">
        <v>400</v>
      </c>
      <c r="O36" s="17">
        <v>415</v>
      </c>
      <c r="P36" s="17">
        <v>438</v>
      </c>
      <c r="Q36" s="17">
        <v>446</v>
      </c>
      <c r="R36" s="17">
        <v>453</v>
      </c>
      <c r="S36" s="24">
        <v>467</v>
      </c>
      <c r="T36" s="17">
        <v>478</v>
      </c>
      <c r="U36" s="17">
        <v>487</v>
      </c>
      <c r="V36" s="17">
        <v>495</v>
      </c>
      <c r="W36" s="17">
        <v>503</v>
      </c>
      <c r="X36" s="17">
        <v>506</v>
      </c>
      <c r="Y36" s="17">
        <v>514</v>
      </c>
      <c r="Z36" s="17">
        <v>523</v>
      </c>
      <c r="AA36" s="17">
        <v>526</v>
      </c>
      <c r="AB36" s="17">
        <v>528</v>
      </c>
      <c r="AC36" s="17">
        <v>533</v>
      </c>
      <c r="AD36" s="17">
        <v>538</v>
      </c>
      <c r="AE36" s="17"/>
      <c r="AF36" s="17"/>
      <c r="AG36" s="17"/>
      <c r="AH36" s="17"/>
      <c r="AI36" s="17"/>
      <c r="AJ36" s="17"/>
      <c r="AK36" s="17"/>
      <c r="AR36" s="17">
        <v>130</v>
      </c>
      <c r="AS36" s="17">
        <v>170</v>
      </c>
      <c r="AT36" s="17">
        <v>202</v>
      </c>
      <c r="AU36" s="17">
        <v>231</v>
      </c>
      <c r="AV36" s="17">
        <v>254</v>
      </c>
      <c r="AW36" s="17">
        <v>265</v>
      </c>
      <c r="AX36" s="24">
        <v>299</v>
      </c>
      <c r="AY36" s="17">
        <v>312</v>
      </c>
      <c r="AZ36" s="17">
        <v>330</v>
      </c>
      <c r="BA36" s="17">
        <v>342</v>
      </c>
      <c r="BB36" s="17">
        <v>349</v>
      </c>
      <c r="BC36" s="24">
        <v>363</v>
      </c>
      <c r="BD36" s="17">
        <v>368</v>
      </c>
      <c r="BE36" s="17">
        <v>385</v>
      </c>
      <c r="BF36" s="17">
        <v>399</v>
      </c>
      <c r="BG36" s="17">
        <v>403</v>
      </c>
      <c r="BH36" s="17">
        <v>406</v>
      </c>
      <c r="BI36" s="17">
        <v>412</v>
      </c>
      <c r="BJ36" s="17">
        <v>418</v>
      </c>
      <c r="BK36" s="17">
        <v>421</v>
      </c>
      <c r="BL36" s="17">
        <v>435</v>
      </c>
      <c r="BM36" s="17">
        <v>436</v>
      </c>
      <c r="BN36" s="17">
        <v>442</v>
      </c>
      <c r="BO36" s="132"/>
      <c r="BP36" s="132"/>
      <c r="BQ36" s="132"/>
      <c r="BR36" s="132"/>
      <c r="BS36" s="132"/>
      <c r="BT36" s="132"/>
      <c r="BU36" s="132"/>
      <c r="BV36" s="132"/>
      <c r="BW36" s="132"/>
      <c r="BX36" s="132"/>
      <c r="BY36" s="132"/>
    </row>
    <row r="37" spans="1:77" x14ac:dyDescent="0.25">
      <c r="A37" s="4" t="s">
        <v>63</v>
      </c>
      <c r="B37" s="6" t="s">
        <v>64</v>
      </c>
      <c r="H37" s="17">
        <v>97</v>
      </c>
      <c r="I37" s="17">
        <v>111</v>
      </c>
      <c r="J37" s="17">
        <v>123</v>
      </c>
      <c r="K37" s="17">
        <v>133</v>
      </c>
      <c r="L37" s="17">
        <v>139</v>
      </c>
      <c r="M37" s="17">
        <v>139</v>
      </c>
      <c r="N37" s="24">
        <v>150</v>
      </c>
      <c r="O37" s="17">
        <v>150</v>
      </c>
      <c r="P37" s="17">
        <v>158</v>
      </c>
      <c r="Q37" s="17">
        <v>167</v>
      </c>
      <c r="R37" s="17">
        <v>172</v>
      </c>
      <c r="S37" s="24">
        <v>187</v>
      </c>
      <c r="T37" s="17">
        <v>196</v>
      </c>
      <c r="U37" s="17">
        <v>205</v>
      </c>
      <c r="V37" s="17">
        <v>213</v>
      </c>
      <c r="W37" s="17">
        <v>231</v>
      </c>
      <c r="X37" s="17">
        <v>237</v>
      </c>
      <c r="Y37" s="17">
        <v>241</v>
      </c>
      <c r="Z37" s="17">
        <v>251</v>
      </c>
      <c r="AA37" s="17">
        <v>255</v>
      </c>
      <c r="AB37" s="17">
        <v>257</v>
      </c>
      <c r="AC37" s="17">
        <v>258</v>
      </c>
      <c r="AD37" s="17">
        <v>279</v>
      </c>
      <c r="AE37" s="17"/>
      <c r="AF37" s="17"/>
      <c r="AG37" s="17"/>
      <c r="AH37" s="17"/>
      <c r="AI37" s="17"/>
      <c r="AJ37" s="17"/>
      <c r="AK37" s="17"/>
      <c r="AR37" s="17">
        <v>45</v>
      </c>
      <c r="AS37" s="17">
        <v>48</v>
      </c>
      <c r="AT37" s="17">
        <v>62</v>
      </c>
      <c r="AU37" s="17">
        <v>73</v>
      </c>
      <c r="AV37" s="17">
        <v>88</v>
      </c>
      <c r="AW37" s="17">
        <v>92</v>
      </c>
      <c r="AX37" s="24">
        <v>105</v>
      </c>
      <c r="AY37" s="17">
        <v>110</v>
      </c>
      <c r="AZ37" s="17">
        <v>121</v>
      </c>
      <c r="BA37" s="17">
        <v>122</v>
      </c>
      <c r="BB37" s="17">
        <v>123</v>
      </c>
      <c r="BC37" s="24">
        <v>128</v>
      </c>
      <c r="BD37" s="17">
        <v>134</v>
      </c>
      <c r="BE37" s="17">
        <v>146</v>
      </c>
      <c r="BF37" s="17">
        <v>155</v>
      </c>
      <c r="BG37" s="17">
        <v>155</v>
      </c>
      <c r="BH37" s="17">
        <v>161</v>
      </c>
      <c r="BI37" s="17">
        <v>168</v>
      </c>
      <c r="BJ37" s="17">
        <v>174</v>
      </c>
      <c r="BK37" s="17">
        <v>187</v>
      </c>
      <c r="BL37" s="17">
        <v>197</v>
      </c>
      <c r="BM37" s="17">
        <v>196</v>
      </c>
      <c r="BN37" s="17">
        <v>204</v>
      </c>
      <c r="BO37" s="132"/>
      <c r="BP37" s="132"/>
      <c r="BQ37" s="132"/>
      <c r="BR37" s="132"/>
      <c r="BS37" s="132"/>
      <c r="BT37" s="132"/>
      <c r="BU37" s="132"/>
      <c r="BV37" s="132"/>
      <c r="BW37" s="132"/>
      <c r="BX37" s="132"/>
      <c r="BY37" s="132"/>
    </row>
    <row r="38" spans="1:77" x14ac:dyDescent="0.25">
      <c r="A38" s="4" t="s">
        <v>65</v>
      </c>
      <c r="B38" s="6" t="s">
        <v>66</v>
      </c>
      <c r="H38" s="17">
        <v>347</v>
      </c>
      <c r="I38" s="17">
        <v>362</v>
      </c>
      <c r="J38" s="17">
        <v>378</v>
      </c>
      <c r="K38" s="17">
        <v>393</v>
      </c>
      <c r="L38" s="17">
        <v>397</v>
      </c>
      <c r="M38" s="17">
        <v>404</v>
      </c>
      <c r="N38" s="24">
        <v>422</v>
      </c>
      <c r="O38" s="17">
        <v>429</v>
      </c>
      <c r="P38" s="17">
        <v>439</v>
      </c>
      <c r="Q38" s="17">
        <v>459</v>
      </c>
      <c r="R38" s="17">
        <v>467</v>
      </c>
      <c r="S38" s="24">
        <v>474</v>
      </c>
      <c r="T38" s="17">
        <v>484</v>
      </c>
      <c r="U38" s="17">
        <v>496</v>
      </c>
      <c r="V38" s="17">
        <v>509</v>
      </c>
      <c r="W38" s="17">
        <v>518</v>
      </c>
      <c r="X38" s="17">
        <v>523</v>
      </c>
      <c r="Y38" s="17">
        <v>530</v>
      </c>
      <c r="Z38" s="17">
        <v>541</v>
      </c>
      <c r="AA38" s="17">
        <v>549</v>
      </c>
      <c r="AB38" s="17">
        <v>555</v>
      </c>
      <c r="AC38" s="17">
        <v>557</v>
      </c>
      <c r="AD38" s="17">
        <v>576</v>
      </c>
      <c r="AE38" s="17"/>
      <c r="AF38" s="17"/>
      <c r="AG38" s="17"/>
      <c r="AH38" s="17"/>
      <c r="AI38" s="17"/>
      <c r="AJ38" s="17"/>
      <c r="AK38" s="17"/>
      <c r="AR38" s="17">
        <v>176</v>
      </c>
      <c r="AS38" s="17">
        <v>201</v>
      </c>
      <c r="AT38" s="17">
        <v>227</v>
      </c>
      <c r="AU38" s="17">
        <v>259</v>
      </c>
      <c r="AV38" s="17">
        <v>281</v>
      </c>
      <c r="AW38" s="17">
        <v>300</v>
      </c>
      <c r="AX38" s="24">
        <v>316</v>
      </c>
      <c r="AY38" s="17">
        <v>323</v>
      </c>
      <c r="AZ38" s="17">
        <v>342</v>
      </c>
      <c r="BA38" s="17">
        <v>352</v>
      </c>
      <c r="BB38" s="17">
        <v>361</v>
      </c>
      <c r="BC38" s="24">
        <v>382</v>
      </c>
      <c r="BD38" s="17">
        <v>386</v>
      </c>
      <c r="BE38" s="17">
        <v>393</v>
      </c>
      <c r="BF38" s="17">
        <v>406</v>
      </c>
      <c r="BG38" s="17">
        <v>416</v>
      </c>
      <c r="BH38" s="17">
        <v>422</v>
      </c>
      <c r="BI38" s="17">
        <v>430</v>
      </c>
      <c r="BJ38" s="17">
        <v>439</v>
      </c>
      <c r="BK38" s="17">
        <v>447</v>
      </c>
      <c r="BL38" s="17">
        <v>464</v>
      </c>
      <c r="BM38" s="17">
        <v>458</v>
      </c>
      <c r="BN38" s="17">
        <v>464</v>
      </c>
      <c r="BO38" s="132"/>
      <c r="BP38" s="132"/>
      <c r="BQ38" s="132"/>
      <c r="BR38" s="132"/>
      <c r="BS38" s="132"/>
      <c r="BT38" s="132"/>
      <c r="BU38" s="132"/>
      <c r="BV38" s="132"/>
      <c r="BW38" s="132"/>
      <c r="BX38" s="132"/>
      <c r="BY38" s="132"/>
    </row>
    <row r="39" spans="1:77" x14ac:dyDescent="0.25">
      <c r="A39" s="4" t="s">
        <v>67</v>
      </c>
      <c r="B39" s="6" t="s">
        <v>68</v>
      </c>
      <c r="H39" s="17">
        <v>431</v>
      </c>
      <c r="I39" s="17">
        <v>464</v>
      </c>
      <c r="J39" s="17">
        <v>489</v>
      </c>
      <c r="K39" s="17">
        <v>524</v>
      </c>
      <c r="L39" s="17">
        <v>530</v>
      </c>
      <c r="M39" s="17">
        <v>542</v>
      </c>
      <c r="N39" s="24">
        <v>572</v>
      </c>
      <c r="O39" s="17">
        <v>587</v>
      </c>
      <c r="P39" s="17">
        <v>635</v>
      </c>
      <c r="Q39" s="17">
        <v>655</v>
      </c>
      <c r="R39" s="17">
        <v>662</v>
      </c>
      <c r="S39" s="24">
        <v>675</v>
      </c>
      <c r="T39" s="17">
        <v>700</v>
      </c>
      <c r="U39" s="17">
        <v>720</v>
      </c>
      <c r="V39" s="17">
        <v>734</v>
      </c>
      <c r="W39" s="17">
        <v>755</v>
      </c>
      <c r="X39" s="17">
        <v>760</v>
      </c>
      <c r="Y39" s="17">
        <v>774</v>
      </c>
      <c r="Z39" s="17">
        <v>796</v>
      </c>
      <c r="AA39" s="17">
        <v>808</v>
      </c>
      <c r="AB39" s="17">
        <v>829</v>
      </c>
      <c r="AC39" s="17">
        <v>828</v>
      </c>
      <c r="AD39" s="17">
        <v>846</v>
      </c>
      <c r="AE39" s="17"/>
      <c r="AF39" s="17"/>
      <c r="AG39" s="17"/>
      <c r="AH39" s="17"/>
      <c r="AI39" s="17"/>
      <c r="AJ39" s="17"/>
      <c r="AK39" s="17"/>
      <c r="AR39" s="17">
        <v>184</v>
      </c>
      <c r="AS39" s="17">
        <v>237</v>
      </c>
      <c r="AT39" s="17">
        <v>271</v>
      </c>
      <c r="AU39" s="17">
        <v>309</v>
      </c>
      <c r="AV39" s="17">
        <v>332</v>
      </c>
      <c r="AW39" s="17">
        <v>351</v>
      </c>
      <c r="AX39" s="24">
        <v>371</v>
      </c>
      <c r="AY39" s="17">
        <v>388</v>
      </c>
      <c r="AZ39" s="17">
        <v>423</v>
      </c>
      <c r="BA39" s="17">
        <v>450</v>
      </c>
      <c r="BB39" s="17">
        <v>463</v>
      </c>
      <c r="BC39" s="24">
        <v>500</v>
      </c>
      <c r="BD39" s="17">
        <v>518</v>
      </c>
      <c r="BE39" s="17">
        <v>539</v>
      </c>
      <c r="BF39" s="17">
        <v>556</v>
      </c>
      <c r="BG39" s="17">
        <v>561</v>
      </c>
      <c r="BH39" s="17">
        <v>575</v>
      </c>
      <c r="BI39" s="17">
        <v>583</v>
      </c>
      <c r="BJ39" s="17">
        <v>599</v>
      </c>
      <c r="BK39" s="17">
        <v>604</v>
      </c>
      <c r="BL39" s="17">
        <v>643</v>
      </c>
      <c r="BM39" s="17">
        <v>645</v>
      </c>
      <c r="BN39" s="17">
        <v>663</v>
      </c>
      <c r="BO39" s="132"/>
      <c r="BP39" s="132"/>
      <c r="BQ39" s="132"/>
      <c r="BR39" s="132"/>
      <c r="BS39" s="132"/>
      <c r="BT39" s="132"/>
      <c r="BU39" s="132"/>
      <c r="BV39" s="132"/>
      <c r="BW39" s="132"/>
      <c r="BX39" s="132"/>
      <c r="BY39" s="132"/>
    </row>
    <row r="40" spans="1:77" x14ac:dyDescent="0.25">
      <c r="A40" s="4" t="s">
        <v>69</v>
      </c>
      <c r="B40" s="6" t="s">
        <v>70</v>
      </c>
      <c r="H40" s="17">
        <v>63</v>
      </c>
      <c r="I40" s="17">
        <v>70</v>
      </c>
      <c r="J40" s="17">
        <v>76</v>
      </c>
      <c r="K40" s="17">
        <v>84</v>
      </c>
      <c r="L40" s="17">
        <v>84</v>
      </c>
      <c r="M40" s="17">
        <v>84</v>
      </c>
      <c r="N40" s="24">
        <v>92</v>
      </c>
      <c r="O40" s="17">
        <v>92</v>
      </c>
      <c r="P40" s="17">
        <v>99</v>
      </c>
      <c r="Q40" s="17">
        <v>101</v>
      </c>
      <c r="R40" s="17">
        <v>101</v>
      </c>
      <c r="S40" s="24">
        <v>102</v>
      </c>
      <c r="T40" s="17">
        <v>102</v>
      </c>
      <c r="U40" s="17">
        <v>104</v>
      </c>
      <c r="V40" s="17">
        <v>104</v>
      </c>
      <c r="W40" s="17">
        <v>106</v>
      </c>
      <c r="X40" s="17">
        <v>106</v>
      </c>
      <c r="Y40" s="17">
        <v>106</v>
      </c>
      <c r="Z40" s="17">
        <v>110</v>
      </c>
      <c r="AA40" s="17">
        <v>111</v>
      </c>
      <c r="AB40" s="17">
        <v>111</v>
      </c>
      <c r="AC40" s="17">
        <v>114</v>
      </c>
      <c r="AD40" s="17">
        <v>119</v>
      </c>
      <c r="AE40" s="17"/>
      <c r="AF40" s="17"/>
      <c r="AG40" s="17"/>
      <c r="AH40" s="17"/>
      <c r="AI40" s="17"/>
      <c r="AJ40" s="17"/>
      <c r="AK40" s="17"/>
      <c r="AR40" s="17">
        <v>24</v>
      </c>
      <c r="AS40" s="17">
        <v>37</v>
      </c>
      <c r="AT40" s="17">
        <v>48</v>
      </c>
      <c r="AU40" s="17">
        <v>52</v>
      </c>
      <c r="AV40" s="17">
        <v>57</v>
      </c>
      <c r="AW40" s="17">
        <v>64</v>
      </c>
      <c r="AX40" s="24">
        <v>66</v>
      </c>
      <c r="AY40" s="17">
        <v>67</v>
      </c>
      <c r="AZ40" s="17">
        <v>74</v>
      </c>
      <c r="BA40" s="17">
        <v>74</v>
      </c>
      <c r="BB40" s="17">
        <v>74</v>
      </c>
      <c r="BC40" s="24">
        <v>75</v>
      </c>
      <c r="BD40" s="17">
        <v>81</v>
      </c>
      <c r="BE40" s="17">
        <v>81</v>
      </c>
      <c r="BF40" s="17">
        <v>82</v>
      </c>
      <c r="BG40" s="17">
        <v>84</v>
      </c>
      <c r="BH40" s="17">
        <v>84</v>
      </c>
      <c r="BI40" s="17">
        <v>84</v>
      </c>
      <c r="BJ40" s="17">
        <v>92</v>
      </c>
      <c r="BK40" s="17">
        <v>92</v>
      </c>
      <c r="BL40" s="17">
        <v>92</v>
      </c>
      <c r="BM40" s="17">
        <v>92</v>
      </c>
      <c r="BN40" s="17">
        <v>93</v>
      </c>
      <c r="BO40" s="132"/>
      <c r="BP40" s="132"/>
      <c r="BQ40" s="132"/>
      <c r="BR40" s="132"/>
      <c r="BS40" s="132"/>
      <c r="BT40" s="132"/>
      <c r="BU40" s="132"/>
      <c r="BV40" s="132"/>
      <c r="BW40" s="132"/>
      <c r="BX40" s="132"/>
      <c r="BY40" s="132"/>
    </row>
    <row r="41" spans="1:77" x14ac:dyDescent="0.25">
      <c r="A41" s="4" t="s">
        <v>71</v>
      </c>
      <c r="B41" s="6" t="s">
        <v>72</v>
      </c>
      <c r="H41" s="17">
        <v>88</v>
      </c>
      <c r="I41" s="17">
        <v>94</v>
      </c>
      <c r="J41" s="17">
        <v>102</v>
      </c>
      <c r="K41" s="17">
        <v>106</v>
      </c>
      <c r="L41" s="17">
        <v>108</v>
      </c>
      <c r="M41" s="17">
        <v>109</v>
      </c>
      <c r="N41" s="24">
        <v>115</v>
      </c>
      <c r="O41" s="17">
        <v>119</v>
      </c>
      <c r="P41" s="17">
        <v>131</v>
      </c>
      <c r="Q41" s="17">
        <v>138</v>
      </c>
      <c r="R41" s="17">
        <v>147</v>
      </c>
      <c r="S41" s="24">
        <v>147</v>
      </c>
      <c r="T41" s="17">
        <v>150</v>
      </c>
      <c r="U41" s="17">
        <v>151</v>
      </c>
      <c r="V41" s="17">
        <v>158</v>
      </c>
      <c r="W41" s="17">
        <v>159</v>
      </c>
      <c r="X41" s="17">
        <v>160</v>
      </c>
      <c r="Y41" s="17">
        <v>162</v>
      </c>
      <c r="Z41" s="17">
        <v>163</v>
      </c>
      <c r="AA41" s="17">
        <v>163</v>
      </c>
      <c r="AB41" s="17">
        <v>169</v>
      </c>
      <c r="AC41" s="17">
        <v>169</v>
      </c>
      <c r="AD41" s="17">
        <v>172</v>
      </c>
      <c r="AE41" s="17"/>
      <c r="AF41" s="17"/>
      <c r="AG41" s="17"/>
      <c r="AH41" s="17"/>
      <c r="AI41" s="17"/>
      <c r="AJ41" s="17"/>
      <c r="AK41" s="17"/>
      <c r="AR41" s="17">
        <v>53</v>
      </c>
      <c r="AS41" s="17">
        <v>66</v>
      </c>
      <c r="AT41" s="17">
        <v>67</v>
      </c>
      <c r="AU41" s="17">
        <v>74</v>
      </c>
      <c r="AV41" s="17">
        <v>78</v>
      </c>
      <c r="AW41" s="17">
        <v>78</v>
      </c>
      <c r="AX41" s="24">
        <v>78</v>
      </c>
      <c r="AY41" s="17">
        <v>81</v>
      </c>
      <c r="AZ41" s="17">
        <v>87</v>
      </c>
      <c r="BA41" s="17">
        <v>91</v>
      </c>
      <c r="BB41" s="17">
        <v>91</v>
      </c>
      <c r="BC41" s="24">
        <v>101</v>
      </c>
      <c r="BD41" s="17">
        <v>113</v>
      </c>
      <c r="BE41" s="17">
        <v>114</v>
      </c>
      <c r="BF41" s="17">
        <v>126</v>
      </c>
      <c r="BG41" s="17">
        <v>131</v>
      </c>
      <c r="BH41" s="17">
        <v>133</v>
      </c>
      <c r="BI41" s="17">
        <v>135</v>
      </c>
      <c r="BJ41" s="17">
        <v>135</v>
      </c>
      <c r="BK41" s="17">
        <v>137</v>
      </c>
      <c r="BL41" s="17">
        <v>139</v>
      </c>
      <c r="BM41" s="17">
        <v>140</v>
      </c>
      <c r="BN41" s="17">
        <v>142</v>
      </c>
      <c r="BO41" s="132"/>
      <c r="BP41" s="132"/>
      <c r="BQ41" s="132"/>
      <c r="BR41" s="132"/>
      <c r="BS41" s="132"/>
      <c r="BT41" s="132"/>
      <c r="BU41" s="132"/>
      <c r="BV41" s="132"/>
      <c r="BW41" s="132"/>
      <c r="BX41" s="132"/>
      <c r="BY41" s="132"/>
    </row>
    <row r="42" spans="1:77" x14ac:dyDescent="0.25">
      <c r="A42" s="6" t="s">
        <v>73</v>
      </c>
      <c r="B42" s="6" t="s">
        <v>74</v>
      </c>
      <c r="H42" s="17">
        <v>700</v>
      </c>
      <c r="I42" s="17">
        <v>762</v>
      </c>
      <c r="J42" s="17">
        <v>823</v>
      </c>
      <c r="K42" s="17">
        <v>899</v>
      </c>
      <c r="L42" s="17">
        <v>936</v>
      </c>
      <c r="M42" s="17">
        <v>966</v>
      </c>
      <c r="N42" s="24">
        <v>1026</v>
      </c>
      <c r="O42" s="17">
        <v>1053</v>
      </c>
      <c r="P42" s="17">
        <v>1104</v>
      </c>
      <c r="Q42" s="17">
        <v>1142</v>
      </c>
      <c r="R42" s="17">
        <v>1174</v>
      </c>
      <c r="S42" s="24">
        <v>1191</v>
      </c>
      <c r="T42" s="17">
        <v>1213</v>
      </c>
      <c r="U42" s="17">
        <v>1241</v>
      </c>
      <c r="V42" s="17">
        <v>1273</v>
      </c>
      <c r="W42" s="17">
        <v>1292</v>
      </c>
      <c r="X42" s="17">
        <v>1301</v>
      </c>
      <c r="Y42" s="17">
        <v>1327</v>
      </c>
      <c r="Z42" s="17">
        <v>1337</v>
      </c>
      <c r="AA42" s="17">
        <v>1341</v>
      </c>
      <c r="AB42" s="17">
        <v>1357</v>
      </c>
      <c r="AC42" s="17">
        <v>1362</v>
      </c>
      <c r="AD42" s="17">
        <v>1378</v>
      </c>
      <c r="AE42" s="17"/>
      <c r="AF42" s="17"/>
      <c r="AG42" s="17"/>
      <c r="AH42" s="17"/>
      <c r="AI42" s="17"/>
      <c r="AJ42" s="17"/>
      <c r="AK42" s="17"/>
      <c r="AR42" s="17">
        <v>353</v>
      </c>
      <c r="AS42" s="17">
        <v>401</v>
      </c>
      <c r="AT42" s="17">
        <v>478</v>
      </c>
      <c r="AU42" s="17">
        <v>561</v>
      </c>
      <c r="AV42" s="17">
        <v>604</v>
      </c>
      <c r="AW42" s="17">
        <v>642</v>
      </c>
      <c r="AX42" s="24">
        <v>724</v>
      </c>
      <c r="AY42" s="17">
        <v>768</v>
      </c>
      <c r="AZ42" s="17">
        <v>815</v>
      </c>
      <c r="BA42" s="17">
        <v>863</v>
      </c>
      <c r="BB42" s="17">
        <v>889</v>
      </c>
      <c r="BC42" s="24">
        <v>922</v>
      </c>
      <c r="BD42" s="17">
        <v>953</v>
      </c>
      <c r="BE42" s="17">
        <v>979</v>
      </c>
      <c r="BF42" s="17">
        <v>999</v>
      </c>
      <c r="BG42" s="17">
        <v>1024</v>
      </c>
      <c r="BH42" s="17">
        <v>1053</v>
      </c>
      <c r="BI42" s="17">
        <v>1071</v>
      </c>
      <c r="BJ42" s="17">
        <v>1091</v>
      </c>
      <c r="BK42" s="17">
        <v>1104</v>
      </c>
      <c r="BL42" s="17">
        <v>1132</v>
      </c>
      <c r="BM42" s="17">
        <v>1133</v>
      </c>
      <c r="BN42" s="17">
        <v>1155</v>
      </c>
      <c r="BO42" s="132"/>
      <c r="BP42" s="132"/>
      <c r="BQ42" s="132"/>
      <c r="BR42" s="132"/>
      <c r="BS42" s="132"/>
      <c r="BT42" s="132"/>
      <c r="BU42" s="132"/>
      <c r="BV42" s="132"/>
      <c r="BW42" s="132"/>
      <c r="BX42" s="132"/>
      <c r="BY42" s="132"/>
    </row>
    <row r="43" spans="1:77" x14ac:dyDescent="0.25">
      <c r="A43" s="6" t="s">
        <v>75</v>
      </c>
      <c r="B43" s="6" t="s">
        <v>76</v>
      </c>
      <c r="H43" s="17">
        <v>1047</v>
      </c>
      <c r="I43" s="17">
        <v>1100</v>
      </c>
      <c r="J43" s="17">
        <v>1170</v>
      </c>
      <c r="K43" s="17">
        <v>1273</v>
      </c>
      <c r="L43" s="17">
        <v>1309</v>
      </c>
      <c r="M43" s="17">
        <v>1344</v>
      </c>
      <c r="N43" s="24">
        <v>1413</v>
      </c>
      <c r="O43" s="17">
        <v>1464</v>
      </c>
      <c r="P43" s="17">
        <v>1546</v>
      </c>
      <c r="Q43" s="17">
        <v>1581</v>
      </c>
      <c r="R43" s="17">
        <v>1604</v>
      </c>
      <c r="S43" s="24">
        <v>1644</v>
      </c>
      <c r="T43" s="17">
        <v>1679</v>
      </c>
      <c r="U43" s="17">
        <v>1710</v>
      </c>
      <c r="V43" s="17">
        <v>1742</v>
      </c>
      <c r="W43" s="17">
        <v>1759</v>
      </c>
      <c r="X43" s="17">
        <v>1775</v>
      </c>
      <c r="Y43" s="17">
        <v>1800</v>
      </c>
      <c r="Z43" s="17">
        <v>1826</v>
      </c>
      <c r="AA43" s="17">
        <v>1833</v>
      </c>
      <c r="AB43" s="17">
        <v>1845</v>
      </c>
      <c r="AC43" s="17">
        <v>1846</v>
      </c>
      <c r="AD43" s="17">
        <v>1881</v>
      </c>
      <c r="AE43" s="17"/>
      <c r="AF43" s="17"/>
      <c r="AG43" s="17"/>
      <c r="AH43" s="17"/>
      <c r="AI43" s="17"/>
      <c r="AJ43" s="17"/>
      <c r="AK43" s="17"/>
      <c r="AR43" s="17">
        <v>502</v>
      </c>
      <c r="AS43" s="17">
        <v>591</v>
      </c>
      <c r="AT43" s="17">
        <v>644</v>
      </c>
      <c r="AU43" s="17">
        <v>727</v>
      </c>
      <c r="AV43" s="17">
        <v>817</v>
      </c>
      <c r="AW43" s="17">
        <v>914</v>
      </c>
      <c r="AX43" s="24">
        <v>997</v>
      </c>
      <c r="AY43" s="17">
        <v>1039</v>
      </c>
      <c r="AZ43" s="17">
        <v>1094</v>
      </c>
      <c r="BA43" s="17">
        <v>1151</v>
      </c>
      <c r="BB43" s="17">
        <v>1184</v>
      </c>
      <c r="BC43" s="24">
        <v>1261</v>
      </c>
      <c r="BD43" s="17">
        <v>1303</v>
      </c>
      <c r="BE43" s="17">
        <v>1340</v>
      </c>
      <c r="BF43" s="17">
        <v>1370</v>
      </c>
      <c r="BG43" s="17">
        <v>1395</v>
      </c>
      <c r="BH43" s="17">
        <v>1415</v>
      </c>
      <c r="BI43" s="17">
        <v>1440</v>
      </c>
      <c r="BJ43" s="17">
        <v>1460</v>
      </c>
      <c r="BK43" s="17">
        <v>1481</v>
      </c>
      <c r="BL43" s="17">
        <v>1525</v>
      </c>
      <c r="BM43" s="17">
        <v>1530</v>
      </c>
      <c r="BN43" s="17">
        <v>1549</v>
      </c>
      <c r="BO43" s="132"/>
      <c r="BP43" s="132"/>
      <c r="BQ43" s="132"/>
      <c r="BR43" s="132"/>
      <c r="BS43" s="132"/>
      <c r="BT43" s="132"/>
      <c r="BU43" s="132"/>
      <c r="BV43" s="132"/>
      <c r="BW43" s="132"/>
      <c r="BX43" s="132"/>
      <c r="BY43" s="132"/>
    </row>
    <row r="44" spans="1:77" x14ac:dyDescent="0.25">
      <c r="A44" s="6" t="s">
        <v>77</v>
      </c>
      <c r="B44" s="6" t="s">
        <v>78</v>
      </c>
      <c r="H44" s="17">
        <v>135</v>
      </c>
      <c r="I44" s="17">
        <v>147</v>
      </c>
      <c r="J44" s="17">
        <v>146</v>
      </c>
      <c r="K44" s="17">
        <v>148</v>
      </c>
      <c r="L44" s="17">
        <v>151</v>
      </c>
      <c r="M44" s="17">
        <v>159</v>
      </c>
      <c r="N44" s="24">
        <v>166</v>
      </c>
      <c r="O44" s="17">
        <v>165</v>
      </c>
      <c r="P44" s="17">
        <v>168</v>
      </c>
      <c r="Q44" s="17">
        <v>179</v>
      </c>
      <c r="R44" s="17">
        <v>181</v>
      </c>
      <c r="S44" s="24">
        <v>188</v>
      </c>
      <c r="T44" s="17">
        <v>194</v>
      </c>
      <c r="U44" s="17">
        <v>198</v>
      </c>
      <c r="V44" s="17">
        <v>200</v>
      </c>
      <c r="W44" s="17">
        <v>208</v>
      </c>
      <c r="X44" s="17">
        <v>212</v>
      </c>
      <c r="Y44" s="17">
        <v>215</v>
      </c>
      <c r="Z44" s="17">
        <v>223</v>
      </c>
      <c r="AA44" s="17">
        <v>224</v>
      </c>
      <c r="AB44" s="17">
        <v>226</v>
      </c>
      <c r="AC44" s="17">
        <v>225</v>
      </c>
      <c r="AD44" s="17">
        <v>230</v>
      </c>
      <c r="AE44" s="17"/>
      <c r="AF44" s="17"/>
      <c r="AG44" s="17"/>
      <c r="AH44" s="17"/>
      <c r="AI44" s="17"/>
      <c r="AJ44" s="17"/>
      <c r="AK44" s="17"/>
      <c r="AR44" s="17">
        <v>50</v>
      </c>
      <c r="AS44" s="17">
        <v>60</v>
      </c>
      <c r="AT44" s="17">
        <v>86</v>
      </c>
      <c r="AU44" s="17">
        <v>89</v>
      </c>
      <c r="AV44" s="17">
        <v>96</v>
      </c>
      <c r="AW44" s="17">
        <v>102</v>
      </c>
      <c r="AX44" s="24">
        <v>112</v>
      </c>
      <c r="AY44" s="17">
        <v>117</v>
      </c>
      <c r="AZ44" s="17">
        <v>121</v>
      </c>
      <c r="BA44" s="17">
        <v>125</v>
      </c>
      <c r="BB44" s="17">
        <v>127</v>
      </c>
      <c r="BC44" s="24">
        <v>128</v>
      </c>
      <c r="BD44" s="17">
        <v>130</v>
      </c>
      <c r="BE44" s="17">
        <v>138</v>
      </c>
      <c r="BF44" s="17">
        <v>142</v>
      </c>
      <c r="BG44" s="17">
        <v>144</v>
      </c>
      <c r="BH44" s="17">
        <v>150</v>
      </c>
      <c r="BI44" s="17">
        <v>152</v>
      </c>
      <c r="BJ44" s="17">
        <v>155</v>
      </c>
      <c r="BK44" s="17">
        <v>162</v>
      </c>
      <c r="BL44" s="17">
        <v>167</v>
      </c>
      <c r="BM44" s="17">
        <v>174</v>
      </c>
      <c r="BN44" s="17">
        <v>183</v>
      </c>
      <c r="BO44" s="132"/>
      <c r="BP44" s="132"/>
      <c r="BQ44" s="132"/>
      <c r="BR44" s="132"/>
      <c r="BS44" s="132"/>
      <c r="BT44" s="132"/>
      <c r="BU44" s="132"/>
      <c r="BV44" s="132"/>
      <c r="BW44" s="132"/>
      <c r="BX44" s="132"/>
      <c r="BY44" s="132"/>
    </row>
    <row r="45" spans="1:77" x14ac:dyDescent="0.25">
      <c r="A45" s="6" t="s">
        <v>79</v>
      </c>
      <c r="B45" s="6" t="s">
        <v>80</v>
      </c>
      <c r="H45" s="17">
        <v>521</v>
      </c>
      <c r="I45" s="17">
        <v>558</v>
      </c>
      <c r="J45" s="17">
        <v>617</v>
      </c>
      <c r="K45" s="17">
        <v>658</v>
      </c>
      <c r="L45" s="17">
        <v>674</v>
      </c>
      <c r="M45" s="17">
        <v>692</v>
      </c>
      <c r="N45" s="24">
        <v>734</v>
      </c>
      <c r="O45" s="17">
        <v>756</v>
      </c>
      <c r="P45" s="17">
        <v>784</v>
      </c>
      <c r="Q45" s="17">
        <v>794</v>
      </c>
      <c r="R45" s="17">
        <v>802</v>
      </c>
      <c r="S45" s="24">
        <v>819</v>
      </c>
      <c r="T45" s="17">
        <v>831</v>
      </c>
      <c r="U45" s="17">
        <v>843</v>
      </c>
      <c r="V45" s="17">
        <v>868</v>
      </c>
      <c r="W45" s="17">
        <v>880</v>
      </c>
      <c r="X45" s="17">
        <v>887</v>
      </c>
      <c r="Y45" s="17">
        <v>894</v>
      </c>
      <c r="Z45" s="17">
        <v>904</v>
      </c>
      <c r="AA45" s="17">
        <v>909</v>
      </c>
      <c r="AB45" s="17">
        <v>910</v>
      </c>
      <c r="AC45" s="17">
        <v>910</v>
      </c>
      <c r="AD45" s="17">
        <v>926</v>
      </c>
      <c r="AE45" s="17"/>
      <c r="AF45" s="17"/>
      <c r="AG45" s="17"/>
      <c r="AH45" s="17"/>
      <c r="AI45" s="17"/>
      <c r="AJ45" s="17"/>
      <c r="AK45" s="17"/>
      <c r="AR45" s="17">
        <v>235</v>
      </c>
      <c r="AS45" s="17">
        <v>293</v>
      </c>
      <c r="AT45" s="17">
        <v>332</v>
      </c>
      <c r="AU45" s="17">
        <v>381</v>
      </c>
      <c r="AV45" s="17">
        <v>417</v>
      </c>
      <c r="AW45" s="17">
        <v>445</v>
      </c>
      <c r="AX45" s="24">
        <v>503</v>
      </c>
      <c r="AY45" s="17">
        <v>530</v>
      </c>
      <c r="AZ45" s="17">
        <v>575</v>
      </c>
      <c r="BA45" s="17">
        <v>604</v>
      </c>
      <c r="BB45" s="17">
        <v>622</v>
      </c>
      <c r="BC45" s="24">
        <v>642</v>
      </c>
      <c r="BD45" s="17">
        <v>654</v>
      </c>
      <c r="BE45" s="17">
        <v>672</v>
      </c>
      <c r="BF45" s="17">
        <v>680</v>
      </c>
      <c r="BG45" s="17">
        <v>694</v>
      </c>
      <c r="BH45" s="17">
        <v>705</v>
      </c>
      <c r="BI45" s="17">
        <v>715</v>
      </c>
      <c r="BJ45" s="17">
        <v>733</v>
      </c>
      <c r="BK45" s="17">
        <v>740</v>
      </c>
      <c r="BL45" s="17">
        <v>760</v>
      </c>
      <c r="BM45" s="17">
        <v>765</v>
      </c>
      <c r="BN45" s="17">
        <v>769</v>
      </c>
      <c r="BO45" s="132"/>
      <c r="BP45" s="132"/>
      <c r="BQ45" s="132"/>
      <c r="BR45" s="132"/>
      <c r="BS45" s="132"/>
      <c r="BT45" s="132"/>
      <c r="BU45" s="132"/>
      <c r="BV45" s="132"/>
      <c r="BW45" s="132"/>
      <c r="BX45" s="132"/>
      <c r="BY45" s="132"/>
    </row>
    <row r="46" spans="1:77" x14ac:dyDescent="0.25">
      <c r="A46" s="6" t="s">
        <v>81</v>
      </c>
      <c r="B46" s="6" t="s">
        <v>82</v>
      </c>
      <c r="H46" s="17">
        <v>52</v>
      </c>
      <c r="I46" s="17">
        <v>63</v>
      </c>
      <c r="J46" s="17">
        <v>74</v>
      </c>
      <c r="K46" s="17">
        <v>76</v>
      </c>
      <c r="L46" s="17">
        <v>76</v>
      </c>
      <c r="M46" s="17">
        <v>76</v>
      </c>
      <c r="N46" s="24">
        <v>77</v>
      </c>
      <c r="O46" s="17">
        <v>77</v>
      </c>
      <c r="P46" s="17">
        <v>80</v>
      </c>
      <c r="Q46" s="17">
        <v>83</v>
      </c>
      <c r="R46" s="17">
        <v>83</v>
      </c>
      <c r="S46" s="24">
        <v>85</v>
      </c>
      <c r="T46" s="17">
        <v>84</v>
      </c>
      <c r="U46" s="17">
        <v>84</v>
      </c>
      <c r="V46" s="17">
        <v>87</v>
      </c>
      <c r="W46" s="17">
        <v>87</v>
      </c>
      <c r="X46" s="17">
        <v>87</v>
      </c>
      <c r="Y46" s="17">
        <v>91</v>
      </c>
      <c r="Z46" s="17">
        <v>93</v>
      </c>
      <c r="AA46" s="17">
        <v>94</v>
      </c>
      <c r="AB46" s="17">
        <v>94</v>
      </c>
      <c r="AC46" s="17">
        <v>94</v>
      </c>
      <c r="AD46" s="17">
        <v>93</v>
      </c>
      <c r="AE46" s="17"/>
      <c r="AF46" s="17"/>
      <c r="AG46" s="17"/>
      <c r="AH46" s="17"/>
      <c r="AI46" s="17"/>
      <c r="AJ46" s="17"/>
      <c r="AK46" s="17"/>
      <c r="AR46" s="17">
        <v>20</v>
      </c>
      <c r="AS46" s="17">
        <v>25</v>
      </c>
      <c r="AT46" s="17">
        <v>25</v>
      </c>
      <c r="AU46" s="17">
        <v>31</v>
      </c>
      <c r="AV46" s="17">
        <v>41</v>
      </c>
      <c r="AW46" s="17">
        <v>43</v>
      </c>
      <c r="AX46" s="24">
        <v>46</v>
      </c>
      <c r="AY46" s="17">
        <v>54</v>
      </c>
      <c r="AZ46" s="17">
        <v>57</v>
      </c>
      <c r="BA46" s="17">
        <v>59</v>
      </c>
      <c r="BB46" s="17">
        <v>65</v>
      </c>
      <c r="BC46" s="24">
        <v>66</v>
      </c>
      <c r="BD46" s="17">
        <v>66</v>
      </c>
      <c r="BE46" s="17">
        <v>67</v>
      </c>
      <c r="BF46" s="17">
        <v>69</v>
      </c>
      <c r="BG46" s="17">
        <v>70</v>
      </c>
      <c r="BH46" s="17">
        <v>70</v>
      </c>
      <c r="BI46" s="17">
        <v>71</v>
      </c>
      <c r="BJ46" s="17">
        <v>71</v>
      </c>
      <c r="BK46" s="17">
        <v>72</v>
      </c>
      <c r="BL46" s="17">
        <v>74</v>
      </c>
      <c r="BM46" s="17">
        <v>77</v>
      </c>
      <c r="BN46" s="17">
        <v>76</v>
      </c>
      <c r="BO46" s="132"/>
      <c r="BP46" s="132"/>
      <c r="BQ46" s="132"/>
      <c r="BR46" s="132"/>
      <c r="BS46" s="132"/>
      <c r="BT46" s="132"/>
      <c r="BU46" s="132"/>
      <c r="BV46" s="132"/>
      <c r="BW46" s="132"/>
      <c r="BX46" s="132"/>
      <c r="BY46" s="132"/>
    </row>
    <row r="47" spans="1:77" x14ac:dyDescent="0.25">
      <c r="A47" s="6" t="s">
        <v>83</v>
      </c>
      <c r="B47" s="6" t="s">
        <v>84</v>
      </c>
      <c r="H47" s="17">
        <v>354</v>
      </c>
      <c r="I47" s="17">
        <v>381</v>
      </c>
      <c r="J47" s="17">
        <v>407</v>
      </c>
      <c r="K47" s="17">
        <v>435</v>
      </c>
      <c r="L47" s="17">
        <v>453</v>
      </c>
      <c r="M47" s="17">
        <v>462</v>
      </c>
      <c r="N47" s="24">
        <v>486</v>
      </c>
      <c r="O47" s="17">
        <v>502</v>
      </c>
      <c r="P47" s="17">
        <v>521</v>
      </c>
      <c r="Q47" s="17">
        <v>537</v>
      </c>
      <c r="R47" s="17">
        <v>548</v>
      </c>
      <c r="S47" s="24">
        <v>558</v>
      </c>
      <c r="T47" s="17">
        <v>573</v>
      </c>
      <c r="U47" s="17">
        <v>590</v>
      </c>
      <c r="V47" s="17">
        <v>604</v>
      </c>
      <c r="W47" s="17">
        <v>615</v>
      </c>
      <c r="X47" s="17">
        <v>624</v>
      </c>
      <c r="Y47" s="17">
        <v>639</v>
      </c>
      <c r="Z47" s="17">
        <v>665</v>
      </c>
      <c r="AA47" s="17">
        <v>679</v>
      </c>
      <c r="AB47" s="17">
        <v>697</v>
      </c>
      <c r="AC47" s="17">
        <v>708</v>
      </c>
      <c r="AD47" s="17">
        <v>733</v>
      </c>
      <c r="AE47" s="17"/>
      <c r="AF47" s="17"/>
      <c r="AG47" s="17"/>
      <c r="AH47" s="17"/>
      <c r="AI47" s="17"/>
      <c r="AJ47" s="17"/>
      <c r="AK47" s="17"/>
      <c r="AR47" s="17">
        <v>159</v>
      </c>
      <c r="AS47" s="17">
        <v>177</v>
      </c>
      <c r="AT47" s="17">
        <v>212</v>
      </c>
      <c r="AU47" s="17">
        <v>258</v>
      </c>
      <c r="AV47" s="17">
        <v>275</v>
      </c>
      <c r="AW47" s="17">
        <v>302</v>
      </c>
      <c r="AX47" s="24">
        <v>320</v>
      </c>
      <c r="AY47" s="17">
        <v>338</v>
      </c>
      <c r="AZ47" s="17">
        <v>351</v>
      </c>
      <c r="BA47" s="17">
        <v>370</v>
      </c>
      <c r="BB47" s="17">
        <v>371</v>
      </c>
      <c r="BC47" s="24">
        <v>385</v>
      </c>
      <c r="BD47" s="17">
        <v>401</v>
      </c>
      <c r="BE47" s="17">
        <v>422</v>
      </c>
      <c r="BF47" s="17">
        <v>431</v>
      </c>
      <c r="BG47" s="17">
        <v>435</v>
      </c>
      <c r="BH47" s="17">
        <v>444</v>
      </c>
      <c r="BI47" s="17">
        <v>455</v>
      </c>
      <c r="BJ47" s="17">
        <v>462</v>
      </c>
      <c r="BK47" s="17">
        <v>471</v>
      </c>
      <c r="BL47" s="17">
        <v>491</v>
      </c>
      <c r="BM47" s="17">
        <v>508</v>
      </c>
      <c r="BN47" s="17">
        <v>516</v>
      </c>
      <c r="BO47" s="132"/>
      <c r="BP47" s="132"/>
      <c r="BQ47" s="132"/>
      <c r="BR47" s="132"/>
      <c r="BS47" s="132"/>
      <c r="BT47" s="132"/>
      <c r="BU47" s="132"/>
      <c r="BV47" s="132"/>
      <c r="BW47" s="132"/>
      <c r="BX47" s="132"/>
      <c r="BY47" s="132"/>
    </row>
    <row r="48" spans="1:77" x14ac:dyDescent="0.25">
      <c r="A48" s="6" t="s">
        <v>85</v>
      </c>
      <c r="B48" s="6" t="s">
        <v>86</v>
      </c>
      <c r="H48" s="17">
        <v>282</v>
      </c>
      <c r="I48" s="17">
        <v>293</v>
      </c>
      <c r="J48" s="17">
        <v>308</v>
      </c>
      <c r="K48" s="17">
        <v>331</v>
      </c>
      <c r="L48" s="17">
        <v>339</v>
      </c>
      <c r="M48" s="17">
        <v>348</v>
      </c>
      <c r="N48" s="24">
        <v>369</v>
      </c>
      <c r="O48" s="17">
        <v>372</v>
      </c>
      <c r="P48" s="17">
        <v>396</v>
      </c>
      <c r="Q48" s="17">
        <v>400</v>
      </c>
      <c r="R48" s="17">
        <v>403</v>
      </c>
      <c r="S48" s="24">
        <v>417</v>
      </c>
      <c r="T48" s="17">
        <v>416</v>
      </c>
      <c r="U48" s="17">
        <v>416</v>
      </c>
      <c r="V48" s="17">
        <v>422</v>
      </c>
      <c r="W48" s="17">
        <v>426</v>
      </c>
      <c r="X48" s="17">
        <v>433</v>
      </c>
      <c r="Y48" s="17">
        <v>433</v>
      </c>
      <c r="Z48" s="17">
        <v>439</v>
      </c>
      <c r="AA48" s="17">
        <v>442</v>
      </c>
      <c r="AB48" s="17">
        <v>449</v>
      </c>
      <c r="AC48" s="17">
        <v>453</v>
      </c>
      <c r="AD48" s="17">
        <v>466</v>
      </c>
      <c r="AE48" s="17"/>
      <c r="AF48" s="17"/>
      <c r="AG48" s="17"/>
      <c r="AH48" s="17"/>
      <c r="AI48" s="17"/>
      <c r="AJ48" s="17"/>
      <c r="AK48" s="17"/>
      <c r="AR48" s="17">
        <v>124</v>
      </c>
      <c r="AS48" s="17">
        <v>147</v>
      </c>
      <c r="AT48" s="17">
        <v>173</v>
      </c>
      <c r="AU48" s="17">
        <v>206</v>
      </c>
      <c r="AV48" s="17">
        <v>219</v>
      </c>
      <c r="AW48" s="17">
        <v>231</v>
      </c>
      <c r="AX48" s="24">
        <v>243</v>
      </c>
      <c r="AY48" s="17">
        <v>253</v>
      </c>
      <c r="AZ48" s="17">
        <v>269</v>
      </c>
      <c r="BA48" s="17">
        <v>283</v>
      </c>
      <c r="BB48" s="17">
        <v>289</v>
      </c>
      <c r="BC48" s="24">
        <v>305</v>
      </c>
      <c r="BD48" s="17">
        <v>315</v>
      </c>
      <c r="BE48" s="17">
        <v>321</v>
      </c>
      <c r="BF48" s="17">
        <v>328</v>
      </c>
      <c r="BG48" s="17">
        <v>330</v>
      </c>
      <c r="BH48" s="17">
        <v>333</v>
      </c>
      <c r="BI48" s="17">
        <v>335</v>
      </c>
      <c r="BJ48" s="17">
        <v>337</v>
      </c>
      <c r="BK48" s="17">
        <v>347</v>
      </c>
      <c r="BL48" s="17">
        <v>366</v>
      </c>
      <c r="BM48" s="17">
        <v>364</v>
      </c>
      <c r="BN48" s="17">
        <v>370</v>
      </c>
      <c r="BO48" s="132"/>
      <c r="BP48" s="132"/>
      <c r="BQ48" s="132"/>
      <c r="BR48" s="132"/>
      <c r="BS48" s="132"/>
      <c r="BT48" s="132"/>
      <c r="BU48" s="132"/>
      <c r="BV48" s="132"/>
      <c r="BW48" s="132"/>
      <c r="BX48" s="132"/>
      <c r="BY48" s="132"/>
    </row>
    <row r="49" spans="1:77" x14ac:dyDescent="0.25">
      <c r="A49" s="6" t="s">
        <v>87</v>
      </c>
      <c r="B49" s="6" t="s">
        <v>88</v>
      </c>
      <c r="H49" s="17">
        <v>1039</v>
      </c>
      <c r="I49" s="17">
        <v>1115</v>
      </c>
      <c r="J49" s="17">
        <v>1163</v>
      </c>
      <c r="K49" s="17">
        <v>1247</v>
      </c>
      <c r="L49" s="17">
        <v>1282</v>
      </c>
      <c r="M49" s="17">
        <v>1301</v>
      </c>
      <c r="N49" s="24">
        <v>1358</v>
      </c>
      <c r="O49" s="17">
        <v>1380</v>
      </c>
      <c r="P49" s="17">
        <v>1429</v>
      </c>
      <c r="Q49" s="17">
        <v>1463</v>
      </c>
      <c r="R49" s="17">
        <v>1481</v>
      </c>
      <c r="S49" s="24">
        <v>1494</v>
      </c>
      <c r="T49" s="17">
        <v>1513</v>
      </c>
      <c r="U49" s="17">
        <v>1552</v>
      </c>
      <c r="V49" s="17">
        <v>1582</v>
      </c>
      <c r="W49" s="17">
        <v>1607</v>
      </c>
      <c r="X49" s="17">
        <v>1620</v>
      </c>
      <c r="Y49" s="17">
        <v>1643</v>
      </c>
      <c r="Z49" s="17">
        <v>1667</v>
      </c>
      <c r="AA49" s="17">
        <v>1677</v>
      </c>
      <c r="AB49" s="17">
        <v>1681</v>
      </c>
      <c r="AC49" s="17">
        <v>1685</v>
      </c>
      <c r="AD49" s="17">
        <v>1711</v>
      </c>
      <c r="AE49" s="17"/>
      <c r="AF49" s="17"/>
      <c r="AG49" s="17"/>
      <c r="AH49" s="17"/>
      <c r="AI49" s="17"/>
      <c r="AJ49" s="17"/>
      <c r="AK49" s="17"/>
      <c r="AR49" s="17">
        <v>547</v>
      </c>
      <c r="AS49" s="17">
        <v>616</v>
      </c>
      <c r="AT49" s="17">
        <v>686</v>
      </c>
      <c r="AU49" s="17">
        <v>798</v>
      </c>
      <c r="AV49" s="17">
        <v>847</v>
      </c>
      <c r="AW49" s="17">
        <v>900</v>
      </c>
      <c r="AX49" s="24">
        <v>971</v>
      </c>
      <c r="AY49" s="17">
        <v>1006</v>
      </c>
      <c r="AZ49" s="17">
        <v>1051</v>
      </c>
      <c r="BA49" s="17">
        <v>1099</v>
      </c>
      <c r="BB49" s="17">
        <v>1128</v>
      </c>
      <c r="BC49" s="24">
        <v>1161</v>
      </c>
      <c r="BD49" s="17">
        <v>1200</v>
      </c>
      <c r="BE49" s="17">
        <v>1222</v>
      </c>
      <c r="BF49" s="17">
        <v>1241</v>
      </c>
      <c r="BG49" s="17">
        <v>1256</v>
      </c>
      <c r="BH49" s="17">
        <v>1281</v>
      </c>
      <c r="BI49" s="17">
        <v>1307</v>
      </c>
      <c r="BJ49" s="17">
        <v>1339</v>
      </c>
      <c r="BK49" s="17">
        <v>1375</v>
      </c>
      <c r="BL49" s="17">
        <v>1402</v>
      </c>
      <c r="BM49" s="17">
        <v>1405</v>
      </c>
      <c r="BN49" s="17">
        <v>1419</v>
      </c>
      <c r="BO49" s="132"/>
      <c r="BP49" s="132"/>
      <c r="BQ49" s="132"/>
      <c r="BR49" s="132"/>
      <c r="BS49" s="132"/>
      <c r="BT49" s="132"/>
      <c r="BU49" s="132"/>
      <c r="BV49" s="132"/>
      <c r="BW49" s="132"/>
      <c r="BX49" s="132"/>
      <c r="BY49" s="132"/>
    </row>
    <row r="50" spans="1:77" x14ac:dyDescent="0.25">
      <c r="A50" s="6" t="s">
        <v>89</v>
      </c>
      <c r="B50" s="6" t="s">
        <v>90</v>
      </c>
      <c r="H50" s="17">
        <v>153</v>
      </c>
      <c r="I50" s="17">
        <v>161</v>
      </c>
      <c r="J50" s="17">
        <v>177</v>
      </c>
      <c r="K50" s="17">
        <v>185</v>
      </c>
      <c r="L50" s="17">
        <v>190</v>
      </c>
      <c r="M50" s="17">
        <v>193</v>
      </c>
      <c r="N50" s="24">
        <v>210</v>
      </c>
      <c r="O50" s="17">
        <v>215</v>
      </c>
      <c r="P50" s="17">
        <v>222</v>
      </c>
      <c r="Q50" s="17">
        <v>223</v>
      </c>
      <c r="R50" s="17">
        <v>226</v>
      </c>
      <c r="S50" s="24">
        <v>233</v>
      </c>
      <c r="T50" s="17">
        <v>241</v>
      </c>
      <c r="U50" s="17">
        <v>253</v>
      </c>
      <c r="V50" s="17">
        <v>255</v>
      </c>
      <c r="W50" s="17">
        <v>261</v>
      </c>
      <c r="X50" s="17">
        <v>262</v>
      </c>
      <c r="Y50" s="17">
        <v>266</v>
      </c>
      <c r="Z50" s="17">
        <v>272</v>
      </c>
      <c r="AA50" s="17">
        <v>274</v>
      </c>
      <c r="AB50" s="17">
        <v>281</v>
      </c>
      <c r="AC50" s="17">
        <v>281</v>
      </c>
      <c r="AD50" s="17">
        <v>291</v>
      </c>
      <c r="AE50" s="17"/>
      <c r="AF50" s="17"/>
      <c r="AG50" s="17"/>
      <c r="AH50" s="17"/>
      <c r="AI50" s="17"/>
      <c r="AJ50" s="17"/>
      <c r="AK50" s="17"/>
      <c r="AR50" s="17">
        <v>85</v>
      </c>
      <c r="AS50" s="17">
        <v>95</v>
      </c>
      <c r="AT50" s="17">
        <v>99</v>
      </c>
      <c r="AU50" s="17">
        <v>119</v>
      </c>
      <c r="AV50" s="17">
        <v>126</v>
      </c>
      <c r="AW50" s="17">
        <v>128</v>
      </c>
      <c r="AX50" s="24">
        <v>138</v>
      </c>
      <c r="AY50" s="17">
        <v>151</v>
      </c>
      <c r="AZ50" s="17">
        <v>162</v>
      </c>
      <c r="BA50" s="17">
        <v>168</v>
      </c>
      <c r="BB50" s="17">
        <v>172</v>
      </c>
      <c r="BC50" s="24">
        <v>174</v>
      </c>
      <c r="BD50" s="17">
        <v>183</v>
      </c>
      <c r="BE50" s="17">
        <v>185</v>
      </c>
      <c r="BF50" s="17">
        <v>195</v>
      </c>
      <c r="BG50" s="17">
        <v>201</v>
      </c>
      <c r="BH50" s="17">
        <v>209</v>
      </c>
      <c r="BI50" s="17">
        <v>214</v>
      </c>
      <c r="BJ50" s="17">
        <v>215</v>
      </c>
      <c r="BK50" s="17">
        <v>227</v>
      </c>
      <c r="BL50" s="17">
        <v>233</v>
      </c>
      <c r="BM50" s="17">
        <v>234</v>
      </c>
      <c r="BN50" s="17">
        <v>240</v>
      </c>
      <c r="BO50" s="132"/>
      <c r="BP50" s="132"/>
      <c r="BQ50" s="132"/>
      <c r="BR50" s="132"/>
      <c r="BS50" s="132"/>
      <c r="BT50" s="132"/>
      <c r="BU50" s="132"/>
      <c r="BV50" s="132"/>
      <c r="BW50" s="132"/>
      <c r="BX50" s="132"/>
      <c r="BY50" s="132"/>
    </row>
    <row r="51" spans="1:77" x14ac:dyDescent="0.25">
      <c r="A51" s="6" t="s">
        <v>91</v>
      </c>
      <c r="B51" s="6" t="s">
        <v>92</v>
      </c>
      <c r="H51" s="17">
        <v>1235</v>
      </c>
      <c r="I51" s="17">
        <v>1317</v>
      </c>
      <c r="J51" s="17">
        <v>1372</v>
      </c>
      <c r="K51" s="17">
        <v>1492</v>
      </c>
      <c r="L51" s="17">
        <v>1529</v>
      </c>
      <c r="M51" s="17">
        <v>1553</v>
      </c>
      <c r="N51" s="24">
        <v>1649</v>
      </c>
      <c r="O51" s="17">
        <v>1692</v>
      </c>
      <c r="P51" s="17">
        <v>1753</v>
      </c>
      <c r="Q51" s="17">
        <v>1799</v>
      </c>
      <c r="R51" s="17">
        <v>1827</v>
      </c>
      <c r="S51" s="24">
        <v>1871</v>
      </c>
      <c r="T51" s="17">
        <v>1904</v>
      </c>
      <c r="U51" s="17">
        <v>1943</v>
      </c>
      <c r="V51" s="17">
        <v>1975</v>
      </c>
      <c r="W51" s="17">
        <v>2000</v>
      </c>
      <c r="X51" s="17">
        <v>2012</v>
      </c>
      <c r="Y51" s="17">
        <v>2034</v>
      </c>
      <c r="Z51" s="17">
        <v>2068</v>
      </c>
      <c r="AA51" s="17">
        <v>2080</v>
      </c>
      <c r="AB51" s="17">
        <v>2099</v>
      </c>
      <c r="AC51" s="17">
        <v>2108</v>
      </c>
      <c r="AD51" s="17">
        <v>2138</v>
      </c>
      <c r="AE51" s="17"/>
      <c r="AF51" s="17"/>
      <c r="AG51" s="17"/>
      <c r="AH51" s="17"/>
      <c r="AI51" s="17"/>
      <c r="AJ51" s="17"/>
      <c r="AK51" s="17"/>
      <c r="AR51" s="17">
        <v>645</v>
      </c>
      <c r="AS51" s="17">
        <v>753</v>
      </c>
      <c r="AT51" s="17">
        <v>832</v>
      </c>
      <c r="AU51" s="17">
        <v>946</v>
      </c>
      <c r="AV51" s="17">
        <v>1003</v>
      </c>
      <c r="AW51" s="17">
        <v>1079</v>
      </c>
      <c r="AX51" s="24">
        <v>1167</v>
      </c>
      <c r="AY51" s="17">
        <v>1213</v>
      </c>
      <c r="AZ51" s="17">
        <v>1251</v>
      </c>
      <c r="BA51" s="17">
        <v>1301</v>
      </c>
      <c r="BB51" s="17">
        <v>1353</v>
      </c>
      <c r="BC51" s="24">
        <v>1397</v>
      </c>
      <c r="BD51" s="17">
        <v>1460</v>
      </c>
      <c r="BE51" s="17">
        <v>1508</v>
      </c>
      <c r="BF51" s="17">
        <v>1538</v>
      </c>
      <c r="BG51" s="17">
        <v>1567</v>
      </c>
      <c r="BH51" s="17">
        <v>1604</v>
      </c>
      <c r="BI51" s="17">
        <v>1632</v>
      </c>
      <c r="BJ51" s="17">
        <v>1661</v>
      </c>
      <c r="BK51" s="17">
        <v>1689</v>
      </c>
      <c r="BL51" s="17">
        <v>1724</v>
      </c>
      <c r="BM51" s="17">
        <v>1743</v>
      </c>
      <c r="BN51" s="17">
        <v>1761</v>
      </c>
      <c r="BO51" s="132"/>
      <c r="BP51" s="132"/>
      <c r="BQ51" s="132"/>
      <c r="BR51" s="132"/>
      <c r="BS51" s="132"/>
      <c r="BT51" s="132"/>
      <c r="BU51" s="132"/>
      <c r="BV51" s="132"/>
      <c r="BW51" s="132"/>
      <c r="BX51" s="132"/>
      <c r="BY51" s="132"/>
    </row>
    <row r="52" spans="1:77" x14ac:dyDescent="0.25">
      <c r="A52" s="6" t="s">
        <v>93</v>
      </c>
      <c r="B52" s="6" t="s">
        <v>94</v>
      </c>
      <c r="H52" s="17">
        <v>56</v>
      </c>
      <c r="I52" s="17">
        <v>69</v>
      </c>
      <c r="J52" s="17">
        <v>76</v>
      </c>
      <c r="K52" s="17">
        <v>78</v>
      </c>
      <c r="L52" s="17">
        <v>84</v>
      </c>
      <c r="M52" s="17">
        <v>86</v>
      </c>
      <c r="N52" s="24">
        <v>99</v>
      </c>
      <c r="O52" s="17">
        <v>103</v>
      </c>
      <c r="P52" s="17">
        <v>114</v>
      </c>
      <c r="Q52" s="17">
        <v>118</v>
      </c>
      <c r="R52" s="17">
        <v>118</v>
      </c>
      <c r="S52" s="24">
        <v>120</v>
      </c>
      <c r="T52" s="17">
        <v>126</v>
      </c>
      <c r="U52" s="17">
        <v>130</v>
      </c>
      <c r="V52" s="17">
        <v>131</v>
      </c>
      <c r="W52" s="17">
        <v>131</v>
      </c>
      <c r="X52" s="17">
        <v>131</v>
      </c>
      <c r="Y52" s="17">
        <v>135</v>
      </c>
      <c r="Z52" s="17">
        <v>140</v>
      </c>
      <c r="AA52" s="17">
        <v>140</v>
      </c>
      <c r="AB52" s="17">
        <v>141</v>
      </c>
      <c r="AC52" s="17">
        <v>141</v>
      </c>
      <c r="AD52" s="17">
        <v>143</v>
      </c>
      <c r="AE52" s="17"/>
      <c r="AF52" s="17"/>
      <c r="AG52" s="17"/>
      <c r="AH52" s="17"/>
      <c r="AI52" s="17"/>
      <c r="AJ52" s="17"/>
      <c r="AK52" s="17"/>
      <c r="AR52" s="17">
        <v>26</v>
      </c>
      <c r="AS52" s="17">
        <v>29</v>
      </c>
      <c r="AT52" s="17">
        <v>32</v>
      </c>
      <c r="AU52" s="17">
        <v>34</v>
      </c>
      <c r="AV52" s="17">
        <v>39</v>
      </c>
      <c r="AW52" s="17">
        <v>44</v>
      </c>
      <c r="AX52" s="24">
        <v>61</v>
      </c>
      <c r="AY52" s="17">
        <v>68</v>
      </c>
      <c r="AZ52" s="17">
        <v>79</v>
      </c>
      <c r="BA52" s="17">
        <v>80</v>
      </c>
      <c r="BB52" s="17">
        <v>83</v>
      </c>
      <c r="BC52" s="24">
        <v>90</v>
      </c>
      <c r="BD52" s="17">
        <v>97</v>
      </c>
      <c r="BE52" s="17">
        <v>97</v>
      </c>
      <c r="BF52" s="17">
        <v>102</v>
      </c>
      <c r="BG52" s="17">
        <v>102</v>
      </c>
      <c r="BH52" s="17">
        <v>106</v>
      </c>
      <c r="BI52" s="17">
        <v>111</v>
      </c>
      <c r="BJ52" s="17">
        <v>117</v>
      </c>
      <c r="BK52" s="17">
        <v>117</v>
      </c>
      <c r="BL52" s="17">
        <v>117</v>
      </c>
      <c r="BM52" s="17">
        <v>119</v>
      </c>
      <c r="BN52" s="17">
        <v>120</v>
      </c>
      <c r="BO52" s="132"/>
      <c r="BP52" s="132"/>
      <c r="BQ52" s="132"/>
      <c r="BR52" s="132"/>
      <c r="BS52" s="132"/>
      <c r="BT52" s="132"/>
      <c r="BU52" s="132"/>
      <c r="BV52" s="132"/>
      <c r="BW52" s="132"/>
      <c r="BX52" s="132"/>
      <c r="BY52" s="132"/>
    </row>
    <row r="53" spans="1:77" x14ac:dyDescent="0.25">
      <c r="A53" s="4" t="s">
        <v>95</v>
      </c>
      <c r="B53" s="6" t="s">
        <v>96</v>
      </c>
      <c r="H53" s="17">
        <v>773</v>
      </c>
      <c r="I53" s="17">
        <v>826</v>
      </c>
      <c r="J53" s="17">
        <v>870</v>
      </c>
      <c r="K53" s="17">
        <v>948</v>
      </c>
      <c r="L53" s="17">
        <v>977</v>
      </c>
      <c r="M53" s="17">
        <v>993</v>
      </c>
      <c r="N53" s="24">
        <v>1050</v>
      </c>
      <c r="O53" s="17">
        <v>1095</v>
      </c>
      <c r="P53" s="17">
        <v>1129</v>
      </c>
      <c r="Q53" s="17">
        <v>1161</v>
      </c>
      <c r="R53" s="17">
        <v>1183</v>
      </c>
      <c r="S53" s="24">
        <v>1218</v>
      </c>
      <c r="T53" s="17">
        <v>1269</v>
      </c>
      <c r="U53" s="17">
        <v>1308</v>
      </c>
      <c r="V53" s="17">
        <v>1354</v>
      </c>
      <c r="W53" s="17">
        <v>1381</v>
      </c>
      <c r="X53" s="17">
        <v>1392</v>
      </c>
      <c r="Y53" s="17">
        <v>1412</v>
      </c>
      <c r="Z53" s="17">
        <v>1440</v>
      </c>
      <c r="AA53" s="17">
        <v>1447</v>
      </c>
      <c r="AB53" s="17">
        <v>1454</v>
      </c>
      <c r="AC53" s="17">
        <v>1458</v>
      </c>
      <c r="AD53" s="17">
        <v>1485</v>
      </c>
      <c r="AE53" s="17"/>
      <c r="AF53" s="17"/>
      <c r="AG53" s="17"/>
      <c r="AH53" s="17"/>
      <c r="AI53" s="17"/>
      <c r="AJ53" s="17"/>
      <c r="AK53" s="17"/>
      <c r="AR53" s="17">
        <v>366</v>
      </c>
      <c r="AS53" s="17">
        <v>451</v>
      </c>
      <c r="AT53" s="17">
        <v>514</v>
      </c>
      <c r="AU53" s="17">
        <v>595</v>
      </c>
      <c r="AV53" s="17">
        <v>645</v>
      </c>
      <c r="AW53" s="17">
        <v>709</v>
      </c>
      <c r="AX53" s="24">
        <v>764</v>
      </c>
      <c r="AY53" s="17">
        <v>807</v>
      </c>
      <c r="AZ53" s="17">
        <v>843</v>
      </c>
      <c r="BA53" s="17">
        <v>873</v>
      </c>
      <c r="BB53" s="17">
        <v>895</v>
      </c>
      <c r="BC53" s="24">
        <v>948</v>
      </c>
      <c r="BD53" s="17">
        <v>974</v>
      </c>
      <c r="BE53" s="17">
        <v>998</v>
      </c>
      <c r="BF53" s="17">
        <v>1016</v>
      </c>
      <c r="BG53" s="17">
        <v>1039</v>
      </c>
      <c r="BH53" s="17">
        <v>1078</v>
      </c>
      <c r="BI53" s="17">
        <v>1100</v>
      </c>
      <c r="BJ53" s="17">
        <v>1124</v>
      </c>
      <c r="BK53" s="17">
        <v>1144</v>
      </c>
      <c r="BL53" s="17">
        <v>1179</v>
      </c>
      <c r="BM53" s="17">
        <v>1199</v>
      </c>
      <c r="BN53" s="17">
        <v>1215</v>
      </c>
      <c r="BO53" s="132"/>
      <c r="BP53" s="132"/>
      <c r="BQ53" s="132"/>
      <c r="BR53" s="132"/>
      <c r="BS53" s="132"/>
      <c r="BT53" s="132"/>
      <c r="BU53" s="132"/>
      <c r="BV53" s="132"/>
      <c r="BW53" s="132"/>
      <c r="BX53" s="132"/>
      <c r="BY53" s="132"/>
    </row>
    <row r="54" spans="1:77" x14ac:dyDescent="0.25">
      <c r="A54" s="4" t="s">
        <v>97</v>
      </c>
      <c r="B54" s="6" t="s">
        <v>98</v>
      </c>
      <c r="H54" s="17">
        <v>388</v>
      </c>
      <c r="I54" s="17">
        <v>408</v>
      </c>
      <c r="J54" s="17">
        <v>432</v>
      </c>
      <c r="K54" s="17">
        <v>474</v>
      </c>
      <c r="L54" s="17">
        <v>495</v>
      </c>
      <c r="M54" s="17">
        <v>499</v>
      </c>
      <c r="N54" s="24">
        <v>519</v>
      </c>
      <c r="O54" s="17">
        <v>531</v>
      </c>
      <c r="P54" s="17">
        <v>542</v>
      </c>
      <c r="Q54" s="17">
        <v>557</v>
      </c>
      <c r="R54" s="17">
        <v>559</v>
      </c>
      <c r="S54" s="24">
        <v>568</v>
      </c>
      <c r="T54" s="17">
        <v>585</v>
      </c>
      <c r="U54" s="17">
        <v>597</v>
      </c>
      <c r="V54" s="17">
        <v>619</v>
      </c>
      <c r="W54" s="17">
        <v>632</v>
      </c>
      <c r="X54" s="17">
        <v>636</v>
      </c>
      <c r="Y54" s="17">
        <v>642</v>
      </c>
      <c r="Z54" s="17">
        <v>652</v>
      </c>
      <c r="AA54" s="17">
        <v>666</v>
      </c>
      <c r="AB54" s="17">
        <v>672</v>
      </c>
      <c r="AC54" s="17">
        <v>676</v>
      </c>
      <c r="AD54" s="17">
        <v>697</v>
      </c>
      <c r="AE54" s="17"/>
      <c r="AF54" s="17"/>
      <c r="AG54" s="17"/>
      <c r="AH54" s="17"/>
      <c r="AI54" s="17"/>
      <c r="AJ54" s="17"/>
      <c r="AK54" s="17"/>
      <c r="AR54" s="17">
        <v>167</v>
      </c>
      <c r="AS54" s="17">
        <v>205</v>
      </c>
      <c r="AT54" s="17">
        <v>226</v>
      </c>
      <c r="AU54" s="17">
        <v>252</v>
      </c>
      <c r="AV54" s="17">
        <v>270</v>
      </c>
      <c r="AW54" s="17">
        <v>303</v>
      </c>
      <c r="AX54" s="24">
        <v>341</v>
      </c>
      <c r="AY54" s="17">
        <v>364</v>
      </c>
      <c r="AZ54" s="17">
        <v>372</v>
      </c>
      <c r="BA54" s="17">
        <v>383</v>
      </c>
      <c r="BB54" s="17">
        <v>392</v>
      </c>
      <c r="BC54" s="24">
        <v>408</v>
      </c>
      <c r="BD54" s="17">
        <v>421</v>
      </c>
      <c r="BE54" s="17">
        <v>429</v>
      </c>
      <c r="BF54" s="17">
        <v>449</v>
      </c>
      <c r="BG54" s="17">
        <v>453</v>
      </c>
      <c r="BH54" s="17">
        <v>461</v>
      </c>
      <c r="BI54" s="17">
        <v>466</v>
      </c>
      <c r="BJ54" s="17">
        <v>479</v>
      </c>
      <c r="BK54" s="17">
        <v>484</v>
      </c>
      <c r="BL54" s="17">
        <v>497</v>
      </c>
      <c r="BM54" s="17">
        <v>497</v>
      </c>
      <c r="BN54" s="17">
        <v>514</v>
      </c>
      <c r="BO54" s="132"/>
      <c r="BP54" s="132"/>
      <c r="BQ54" s="132"/>
      <c r="BR54" s="132"/>
      <c r="BS54" s="132"/>
      <c r="BT54" s="132"/>
      <c r="BU54" s="132"/>
      <c r="BV54" s="132"/>
      <c r="BW54" s="132"/>
      <c r="BX54" s="132"/>
      <c r="BY54" s="132"/>
    </row>
    <row r="55" spans="1:77" x14ac:dyDescent="0.25">
      <c r="A55" s="4" t="s">
        <v>99</v>
      </c>
      <c r="B55" s="6" t="s">
        <v>100</v>
      </c>
      <c r="H55" s="17">
        <v>198</v>
      </c>
      <c r="I55" s="17">
        <v>212</v>
      </c>
      <c r="J55" s="17">
        <v>227</v>
      </c>
      <c r="K55" s="17">
        <v>241</v>
      </c>
      <c r="L55" s="17">
        <v>250</v>
      </c>
      <c r="M55" s="17">
        <v>259</v>
      </c>
      <c r="N55" s="24">
        <v>274</v>
      </c>
      <c r="O55" s="17">
        <v>277</v>
      </c>
      <c r="P55" s="17">
        <v>288</v>
      </c>
      <c r="Q55" s="17">
        <v>292</v>
      </c>
      <c r="R55" s="17">
        <v>293</v>
      </c>
      <c r="S55" s="24">
        <v>302</v>
      </c>
      <c r="T55" s="17">
        <v>313</v>
      </c>
      <c r="U55" s="17">
        <v>317</v>
      </c>
      <c r="V55" s="17">
        <v>325</v>
      </c>
      <c r="W55" s="17">
        <v>328</v>
      </c>
      <c r="X55" s="17">
        <v>332</v>
      </c>
      <c r="Y55" s="17">
        <v>336</v>
      </c>
      <c r="Z55" s="17">
        <v>345</v>
      </c>
      <c r="AA55" s="17">
        <v>350</v>
      </c>
      <c r="AB55" s="17">
        <v>354</v>
      </c>
      <c r="AC55" s="17">
        <v>354</v>
      </c>
      <c r="AD55" s="17">
        <v>359</v>
      </c>
      <c r="AE55" s="17"/>
      <c r="AF55" s="17"/>
      <c r="AG55" s="17"/>
      <c r="AH55" s="17"/>
      <c r="AI55" s="17"/>
      <c r="AJ55" s="17"/>
      <c r="AK55" s="17"/>
      <c r="AR55" s="17">
        <v>109</v>
      </c>
      <c r="AS55" s="17">
        <v>115</v>
      </c>
      <c r="AT55" s="17">
        <v>129</v>
      </c>
      <c r="AU55" s="17">
        <v>139</v>
      </c>
      <c r="AV55" s="17">
        <v>146</v>
      </c>
      <c r="AW55" s="17">
        <v>165</v>
      </c>
      <c r="AX55" s="24">
        <v>176</v>
      </c>
      <c r="AY55" s="17">
        <v>186</v>
      </c>
      <c r="AZ55" s="17">
        <v>201</v>
      </c>
      <c r="BA55" s="17">
        <v>206</v>
      </c>
      <c r="BB55" s="17">
        <v>214</v>
      </c>
      <c r="BC55" s="24">
        <v>219</v>
      </c>
      <c r="BD55" s="17">
        <v>229</v>
      </c>
      <c r="BE55" s="17">
        <v>234</v>
      </c>
      <c r="BF55" s="17">
        <v>235</v>
      </c>
      <c r="BG55" s="17">
        <v>238</v>
      </c>
      <c r="BH55" s="17">
        <v>244</v>
      </c>
      <c r="BI55" s="17">
        <v>249</v>
      </c>
      <c r="BJ55" s="17">
        <v>255</v>
      </c>
      <c r="BK55" s="17">
        <v>260</v>
      </c>
      <c r="BL55" s="17">
        <v>273</v>
      </c>
      <c r="BM55" s="17">
        <v>275</v>
      </c>
      <c r="BN55" s="17">
        <v>280</v>
      </c>
      <c r="BO55" s="132"/>
      <c r="BP55" s="132"/>
      <c r="BQ55" s="132"/>
      <c r="BR55" s="132"/>
      <c r="BS55" s="132"/>
      <c r="BT55" s="132"/>
      <c r="BU55" s="132"/>
      <c r="BV55" s="132"/>
      <c r="BW55" s="132"/>
      <c r="BX55" s="132"/>
      <c r="BY55" s="132"/>
    </row>
    <row r="56" spans="1:77" x14ac:dyDescent="0.25">
      <c r="A56" s="4" t="s">
        <v>101</v>
      </c>
      <c r="B56" s="6" t="s">
        <v>102</v>
      </c>
      <c r="H56" s="17">
        <v>33</v>
      </c>
      <c r="I56" s="17">
        <v>33</v>
      </c>
      <c r="J56" s="17">
        <v>38</v>
      </c>
      <c r="K56" s="17">
        <v>39</v>
      </c>
      <c r="L56" s="17">
        <v>39</v>
      </c>
      <c r="M56" s="17">
        <v>39</v>
      </c>
      <c r="N56" s="24">
        <v>41</v>
      </c>
      <c r="O56" s="17">
        <v>41</v>
      </c>
      <c r="P56" s="17">
        <v>43</v>
      </c>
      <c r="Q56" s="17">
        <v>43</v>
      </c>
      <c r="R56" s="17">
        <v>45</v>
      </c>
      <c r="S56" s="24">
        <v>45</v>
      </c>
      <c r="T56" s="17">
        <v>45</v>
      </c>
      <c r="U56" s="17">
        <v>45</v>
      </c>
      <c r="V56" s="17">
        <v>47</v>
      </c>
      <c r="W56" s="17">
        <v>47</v>
      </c>
      <c r="X56" s="17">
        <v>47</v>
      </c>
      <c r="Y56" s="17">
        <v>47</v>
      </c>
      <c r="Z56" s="17">
        <v>50</v>
      </c>
      <c r="AA56" s="17">
        <v>50</v>
      </c>
      <c r="AB56" s="17">
        <v>55</v>
      </c>
      <c r="AC56" s="17">
        <v>49</v>
      </c>
      <c r="AD56" s="17">
        <v>51</v>
      </c>
      <c r="AE56" s="17"/>
      <c r="AF56" s="17"/>
      <c r="AG56" s="17"/>
      <c r="AH56" s="17"/>
      <c r="AI56" s="17"/>
      <c r="AJ56" s="17"/>
      <c r="AK56" s="17"/>
      <c r="AR56" s="17">
        <v>17</v>
      </c>
      <c r="AS56" s="17">
        <v>25</v>
      </c>
      <c r="AT56" s="17">
        <v>25</v>
      </c>
      <c r="AU56" s="17">
        <v>29</v>
      </c>
      <c r="AV56" s="17">
        <v>30</v>
      </c>
      <c r="AW56" s="17">
        <v>32</v>
      </c>
      <c r="AX56" s="17">
        <v>40</v>
      </c>
      <c r="AY56" s="17">
        <v>40</v>
      </c>
      <c r="AZ56" s="17">
        <v>40</v>
      </c>
      <c r="BA56" s="17">
        <v>40</v>
      </c>
      <c r="BB56" s="17">
        <v>45</v>
      </c>
      <c r="BC56" s="24">
        <v>37</v>
      </c>
      <c r="BD56" s="17">
        <v>45</v>
      </c>
      <c r="BE56" s="17">
        <v>45</v>
      </c>
      <c r="BF56" s="17">
        <v>45</v>
      </c>
      <c r="BG56" s="17">
        <v>45</v>
      </c>
      <c r="BH56" s="17">
        <v>45</v>
      </c>
      <c r="BI56" s="17">
        <v>45</v>
      </c>
      <c r="BJ56" s="17">
        <v>50</v>
      </c>
      <c r="BK56" s="17">
        <v>50</v>
      </c>
      <c r="BL56" s="17">
        <v>55</v>
      </c>
      <c r="BM56" s="17">
        <v>43</v>
      </c>
      <c r="BN56" s="17">
        <v>43</v>
      </c>
      <c r="BO56" s="132"/>
      <c r="BP56" s="132"/>
      <c r="BQ56" s="132"/>
      <c r="BR56" s="132"/>
      <c r="BS56" s="132"/>
      <c r="BT56" s="132"/>
      <c r="BU56" s="132"/>
      <c r="BV56" s="132"/>
      <c r="BW56" s="132"/>
      <c r="BX56" s="132"/>
      <c r="BY56" s="132"/>
    </row>
    <row r="57" spans="1:77" x14ac:dyDescent="0.25">
      <c r="A57" s="4" t="s">
        <v>103</v>
      </c>
      <c r="B57" s="6" t="s">
        <v>104</v>
      </c>
      <c r="H57" s="17">
        <v>305</v>
      </c>
      <c r="I57" s="17">
        <v>314</v>
      </c>
      <c r="J57" s="17">
        <v>329</v>
      </c>
      <c r="K57" s="17">
        <v>344</v>
      </c>
      <c r="L57" s="17">
        <v>351</v>
      </c>
      <c r="M57" s="17">
        <v>363</v>
      </c>
      <c r="N57" s="24">
        <v>373</v>
      </c>
      <c r="O57" s="17">
        <v>381</v>
      </c>
      <c r="P57" s="17">
        <v>401</v>
      </c>
      <c r="Q57" s="17">
        <v>422</v>
      </c>
      <c r="R57" s="17">
        <v>428</v>
      </c>
      <c r="S57" s="24">
        <v>435</v>
      </c>
      <c r="T57" s="17">
        <v>442</v>
      </c>
      <c r="U57" s="17">
        <v>457</v>
      </c>
      <c r="V57" s="17">
        <v>464</v>
      </c>
      <c r="W57" s="17">
        <v>469</v>
      </c>
      <c r="X57" s="17">
        <v>474</v>
      </c>
      <c r="Y57" s="17">
        <v>487</v>
      </c>
      <c r="Z57" s="17">
        <v>492</v>
      </c>
      <c r="AA57" s="17">
        <v>497</v>
      </c>
      <c r="AB57" s="17">
        <v>498</v>
      </c>
      <c r="AC57" s="17">
        <v>499</v>
      </c>
      <c r="AD57" s="17">
        <v>520</v>
      </c>
      <c r="AE57" s="17"/>
      <c r="AF57" s="17"/>
      <c r="AG57" s="17"/>
      <c r="AH57" s="17"/>
      <c r="AI57" s="17"/>
      <c r="AJ57" s="17"/>
      <c r="AK57" s="17"/>
      <c r="AR57" s="17">
        <v>162</v>
      </c>
      <c r="AS57" s="17">
        <v>173</v>
      </c>
      <c r="AT57" s="17">
        <v>185</v>
      </c>
      <c r="AU57" s="17">
        <v>208</v>
      </c>
      <c r="AV57" s="17">
        <v>217</v>
      </c>
      <c r="AW57" s="17">
        <v>240</v>
      </c>
      <c r="AX57" s="24">
        <v>254</v>
      </c>
      <c r="AY57" s="17">
        <v>259</v>
      </c>
      <c r="AZ57" s="17">
        <v>277</v>
      </c>
      <c r="BA57" s="17">
        <v>292</v>
      </c>
      <c r="BB57" s="17">
        <v>300</v>
      </c>
      <c r="BC57" s="24">
        <v>311</v>
      </c>
      <c r="BD57" s="17">
        <v>321</v>
      </c>
      <c r="BE57" s="17">
        <v>330</v>
      </c>
      <c r="BF57" s="17">
        <v>331</v>
      </c>
      <c r="BG57" s="17">
        <v>335</v>
      </c>
      <c r="BH57" s="17">
        <v>340</v>
      </c>
      <c r="BI57" s="17">
        <v>345</v>
      </c>
      <c r="BJ57" s="17">
        <v>356</v>
      </c>
      <c r="BK57" s="17">
        <v>373</v>
      </c>
      <c r="BL57" s="17">
        <v>387</v>
      </c>
      <c r="BM57" s="17">
        <v>386</v>
      </c>
      <c r="BN57" s="17">
        <v>394</v>
      </c>
      <c r="BO57" s="132"/>
      <c r="BP57" s="132"/>
      <c r="BQ57" s="132"/>
      <c r="BR57" s="132"/>
      <c r="BS57" s="132"/>
      <c r="BT57" s="132"/>
      <c r="BU57" s="132"/>
      <c r="BV57" s="132"/>
      <c r="BW57" s="132"/>
      <c r="BX57" s="132"/>
      <c r="BY57" s="132"/>
    </row>
    <row r="58" spans="1:77" x14ac:dyDescent="0.25">
      <c r="A58" s="4" t="s">
        <v>105</v>
      </c>
      <c r="B58" s="6" t="s">
        <v>106</v>
      </c>
      <c r="H58" s="17">
        <v>1868</v>
      </c>
      <c r="I58" s="17">
        <v>1996</v>
      </c>
      <c r="J58" s="17">
        <v>2143</v>
      </c>
      <c r="K58" s="17">
        <v>2314</v>
      </c>
      <c r="L58" s="17">
        <v>2358</v>
      </c>
      <c r="M58" s="17">
        <v>2401</v>
      </c>
      <c r="N58" s="24">
        <v>2515</v>
      </c>
      <c r="O58" s="17">
        <v>2568</v>
      </c>
      <c r="P58" s="17">
        <v>2663</v>
      </c>
      <c r="Q58" s="17">
        <v>2744</v>
      </c>
      <c r="R58" s="17">
        <v>2770</v>
      </c>
      <c r="S58" s="24">
        <v>2835</v>
      </c>
      <c r="T58" s="17">
        <v>2885</v>
      </c>
      <c r="U58" s="17">
        <v>2929</v>
      </c>
      <c r="V58" s="17">
        <v>2963</v>
      </c>
      <c r="W58" s="17">
        <v>2995</v>
      </c>
      <c r="X58" s="17">
        <v>3033</v>
      </c>
      <c r="Y58" s="17">
        <v>3075</v>
      </c>
      <c r="Z58" s="17">
        <v>3123</v>
      </c>
      <c r="AA58" s="17">
        <v>3145</v>
      </c>
      <c r="AB58" s="17">
        <v>3155</v>
      </c>
      <c r="AC58" s="17">
        <v>3162</v>
      </c>
      <c r="AD58" s="17">
        <v>3208</v>
      </c>
      <c r="AE58" s="17"/>
      <c r="AF58" s="17"/>
      <c r="AG58" s="17"/>
      <c r="AH58" s="17"/>
      <c r="AI58" s="17"/>
      <c r="AJ58" s="17"/>
      <c r="AK58" s="17"/>
      <c r="AR58" s="17">
        <v>973</v>
      </c>
      <c r="AS58" s="17">
        <v>1148</v>
      </c>
      <c r="AT58" s="17">
        <v>1272</v>
      </c>
      <c r="AU58" s="17">
        <v>1431</v>
      </c>
      <c r="AV58" s="17">
        <v>1576</v>
      </c>
      <c r="AW58" s="17">
        <v>1685</v>
      </c>
      <c r="AX58" s="24">
        <v>1816</v>
      </c>
      <c r="AY58" s="17">
        <v>1860</v>
      </c>
      <c r="AZ58" s="17">
        <v>1968</v>
      </c>
      <c r="BA58" s="17">
        <v>2032</v>
      </c>
      <c r="BB58" s="17">
        <v>2083</v>
      </c>
      <c r="BC58" s="24">
        <v>2170</v>
      </c>
      <c r="BD58" s="17">
        <v>2244</v>
      </c>
      <c r="BE58" s="17">
        <v>2296</v>
      </c>
      <c r="BF58" s="17">
        <v>2352</v>
      </c>
      <c r="BG58" s="17">
        <v>2379</v>
      </c>
      <c r="BH58" s="17">
        <v>2415</v>
      </c>
      <c r="BI58" s="17">
        <v>2457</v>
      </c>
      <c r="BJ58" s="17">
        <v>2491</v>
      </c>
      <c r="BK58" s="17">
        <v>2525</v>
      </c>
      <c r="BL58" s="17">
        <v>2589</v>
      </c>
      <c r="BM58" s="17">
        <v>2598</v>
      </c>
      <c r="BN58" s="17">
        <v>2631</v>
      </c>
      <c r="BO58" s="132"/>
      <c r="BP58" s="132"/>
      <c r="BQ58" s="132"/>
      <c r="BR58" s="132"/>
      <c r="BS58" s="132"/>
      <c r="BT58" s="132"/>
      <c r="BU58" s="132"/>
      <c r="BV58" s="132"/>
      <c r="BW58" s="132"/>
      <c r="BX58" s="132"/>
      <c r="BY58" s="132"/>
    </row>
    <row r="59" spans="1:77" x14ac:dyDescent="0.25">
      <c r="A59" s="4" t="s">
        <v>107</v>
      </c>
      <c r="B59" s="6" t="s">
        <v>108</v>
      </c>
      <c r="H59" s="17">
        <v>353</v>
      </c>
      <c r="I59" s="17">
        <v>370</v>
      </c>
      <c r="J59" s="17">
        <v>386</v>
      </c>
      <c r="K59" s="17">
        <v>405</v>
      </c>
      <c r="L59" s="17">
        <v>416</v>
      </c>
      <c r="M59" s="17">
        <v>423</v>
      </c>
      <c r="N59" s="24">
        <v>446</v>
      </c>
      <c r="O59" s="17">
        <v>453</v>
      </c>
      <c r="P59" s="17">
        <v>468</v>
      </c>
      <c r="Q59" s="17">
        <v>478</v>
      </c>
      <c r="R59" s="17">
        <v>486</v>
      </c>
      <c r="S59" s="24">
        <v>502</v>
      </c>
      <c r="T59" s="17">
        <v>527</v>
      </c>
      <c r="U59" s="17">
        <v>540</v>
      </c>
      <c r="V59" s="17">
        <v>552</v>
      </c>
      <c r="W59" s="17">
        <v>568</v>
      </c>
      <c r="X59" s="17">
        <v>571</v>
      </c>
      <c r="Y59" s="17">
        <v>579</v>
      </c>
      <c r="Z59" s="17">
        <v>588</v>
      </c>
      <c r="AA59" s="17">
        <v>600</v>
      </c>
      <c r="AB59" s="17">
        <v>606</v>
      </c>
      <c r="AC59" s="17">
        <v>612</v>
      </c>
      <c r="AD59" s="17">
        <v>628</v>
      </c>
      <c r="AE59" s="17"/>
      <c r="AF59" s="17"/>
      <c r="AG59" s="17"/>
      <c r="AH59" s="17"/>
      <c r="AI59" s="17"/>
      <c r="AJ59" s="17"/>
      <c r="AK59" s="17"/>
      <c r="AR59" s="17">
        <v>180</v>
      </c>
      <c r="AS59" s="17">
        <v>201</v>
      </c>
      <c r="AT59" s="17">
        <v>219</v>
      </c>
      <c r="AU59" s="17">
        <v>236</v>
      </c>
      <c r="AV59" s="17">
        <v>261</v>
      </c>
      <c r="AW59" s="17">
        <v>270</v>
      </c>
      <c r="AX59" s="24">
        <v>300</v>
      </c>
      <c r="AY59" s="17">
        <v>313</v>
      </c>
      <c r="AZ59" s="17">
        <v>323</v>
      </c>
      <c r="BA59" s="17">
        <v>335</v>
      </c>
      <c r="BB59" s="17">
        <v>342</v>
      </c>
      <c r="BC59" s="24">
        <v>361</v>
      </c>
      <c r="BD59" s="17">
        <v>375</v>
      </c>
      <c r="BE59" s="17">
        <v>388</v>
      </c>
      <c r="BF59" s="17">
        <v>402</v>
      </c>
      <c r="BG59" s="17">
        <v>416</v>
      </c>
      <c r="BH59" s="17">
        <v>422</v>
      </c>
      <c r="BI59" s="17">
        <v>441</v>
      </c>
      <c r="BJ59" s="17">
        <v>457</v>
      </c>
      <c r="BK59" s="17">
        <v>467</v>
      </c>
      <c r="BL59" s="17">
        <v>478</v>
      </c>
      <c r="BM59" s="17">
        <v>486</v>
      </c>
      <c r="BN59" s="17">
        <v>493</v>
      </c>
      <c r="BO59" s="132"/>
      <c r="BP59" s="132"/>
      <c r="BQ59" s="132"/>
      <c r="BR59" s="132"/>
      <c r="BS59" s="132"/>
      <c r="BT59" s="132"/>
      <c r="BU59" s="132"/>
      <c r="BV59" s="132"/>
      <c r="BW59" s="132"/>
      <c r="BX59" s="132"/>
      <c r="BY59" s="132"/>
    </row>
    <row r="60" spans="1:77" x14ac:dyDescent="0.25">
      <c r="A60" s="4" t="s">
        <v>109</v>
      </c>
      <c r="B60" s="6" t="s">
        <v>110</v>
      </c>
      <c r="H60" s="17">
        <v>135</v>
      </c>
      <c r="I60" s="17">
        <v>140</v>
      </c>
      <c r="J60" s="17">
        <v>147</v>
      </c>
      <c r="K60" s="17">
        <v>160</v>
      </c>
      <c r="L60" s="17">
        <v>169</v>
      </c>
      <c r="M60" s="17">
        <v>176</v>
      </c>
      <c r="N60" s="24">
        <v>180</v>
      </c>
      <c r="O60" s="17">
        <v>186</v>
      </c>
      <c r="P60" s="17">
        <v>191</v>
      </c>
      <c r="Q60" s="17">
        <v>191</v>
      </c>
      <c r="R60" s="17">
        <v>194</v>
      </c>
      <c r="S60" s="24">
        <v>197</v>
      </c>
      <c r="T60" s="17">
        <v>200</v>
      </c>
      <c r="U60" s="17">
        <v>207</v>
      </c>
      <c r="V60" s="17">
        <v>213</v>
      </c>
      <c r="W60" s="17">
        <v>213</v>
      </c>
      <c r="X60" s="17">
        <v>219</v>
      </c>
      <c r="Y60" s="17">
        <v>224</v>
      </c>
      <c r="Z60" s="17">
        <v>228</v>
      </c>
      <c r="AA60" s="17">
        <v>230</v>
      </c>
      <c r="AB60" s="17">
        <v>230</v>
      </c>
      <c r="AC60" s="17">
        <v>232</v>
      </c>
      <c r="AD60" s="17">
        <v>241</v>
      </c>
      <c r="AE60" s="17"/>
      <c r="AF60" s="17"/>
      <c r="AG60" s="17"/>
      <c r="AH60" s="17"/>
      <c r="AI60" s="17"/>
      <c r="AJ60" s="17"/>
      <c r="AK60" s="17"/>
      <c r="AR60" s="17">
        <v>65</v>
      </c>
      <c r="AS60" s="17">
        <v>72</v>
      </c>
      <c r="AT60" s="17">
        <v>84</v>
      </c>
      <c r="AU60" s="17">
        <v>104</v>
      </c>
      <c r="AV60" s="17">
        <v>107</v>
      </c>
      <c r="AW60" s="17">
        <v>115</v>
      </c>
      <c r="AX60" s="24">
        <v>126</v>
      </c>
      <c r="AY60" s="17">
        <v>129</v>
      </c>
      <c r="AZ60" s="17">
        <v>136</v>
      </c>
      <c r="BA60" s="17">
        <v>142</v>
      </c>
      <c r="BB60" s="17">
        <v>147</v>
      </c>
      <c r="BC60" s="24">
        <v>152</v>
      </c>
      <c r="BD60" s="17">
        <v>161</v>
      </c>
      <c r="BE60" s="17">
        <v>164</v>
      </c>
      <c r="BF60" s="17">
        <v>168</v>
      </c>
      <c r="BG60" s="17">
        <v>170</v>
      </c>
      <c r="BH60" s="17">
        <v>173</v>
      </c>
      <c r="BI60" s="17">
        <v>176</v>
      </c>
      <c r="BJ60" s="17">
        <v>184</v>
      </c>
      <c r="BK60" s="17">
        <v>187</v>
      </c>
      <c r="BL60" s="17">
        <v>189</v>
      </c>
      <c r="BM60" s="17">
        <v>190</v>
      </c>
      <c r="BN60" s="17">
        <v>192</v>
      </c>
      <c r="BO60" s="132"/>
      <c r="BP60" s="132"/>
      <c r="BQ60" s="132"/>
      <c r="BR60" s="132"/>
      <c r="BS60" s="132"/>
      <c r="BT60" s="132"/>
      <c r="BU60" s="132"/>
      <c r="BV60" s="132"/>
      <c r="BW60" s="132"/>
      <c r="BX60" s="132"/>
      <c r="BY60" s="132"/>
    </row>
    <row r="61" spans="1:77" x14ac:dyDescent="0.25">
      <c r="A61" s="4" t="s">
        <v>111</v>
      </c>
      <c r="B61" s="6" t="s">
        <v>112</v>
      </c>
      <c r="H61" s="17">
        <v>32</v>
      </c>
      <c r="I61" s="17">
        <v>32</v>
      </c>
      <c r="J61" s="17">
        <v>33</v>
      </c>
      <c r="K61" s="17">
        <v>37</v>
      </c>
      <c r="L61" s="17">
        <v>37</v>
      </c>
      <c r="M61" s="17">
        <v>37</v>
      </c>
      <c r="N61" s="24">
        <v>40</v>
      </c>
      <c r="O61" s="17">
        <v>41</v>
      </c>
      <c r="P61" s="17">
        <v>42</v>
      </c>
      <c r="Q61" s="17">
        <v>44</v>
      </c>
      <c r="R61" s="17">
        <v>45</v>
      </c>
      <c r="S61" s="24">
        <v>46</v>
      </c>
      <c r="T61" s="17">
        <v>46</v>
      </c>
      <c r="U61" s="17">
        <v>47</v>
      </c>
      <c r="V61" s="17">
        <v>48</v>
      </c>
      <c r="W61" s="17">
        <v>48</v>
      </c>
      <c r="X61" s="17">
        <v>49</v>
      </c>
      <c r="Y61" s="17">
        <v>49</v>
      </c>
      <c r="Z61" s="17">
        <v>50</v>
      </c>
      <c r="AA61" s="17">
        <v>50</v>
      </c>
      <c r="AB61" s="17">
        <v>55</v>
      </c>
      <c r="AC61" s="17">
        <v>50</v>
      </c>
      <c r="AD61" s="17">
        <v>56</v>
      </c>
      <c r="AE61" s="17"/>
      <c r="AF61" s="17"/>
      <c r="AG61" s="17"/>
      <c r="AH61" s="17"/>
      <c r="AI61" s="17"/>
      <c r="AJ61" s="17"/>
      <c r="AK61" s="17"/>
      <c r="AR61" s="17">
        <v>15</v>
      </c>
      <c r="AS61" s="17">
        <v>25</v>
      </c>
      <c r="AT61" s="17">
        <v>26</v>
      </c>
      <c r="AU61" s="17">
        <v>27</v>
      </c>
      <c r="AV61" s="17">
        <v>27</v>
      </c>
      <c r="AW61" s="17">
        <v>30</v>
      </c>
      <c r="AX61" s="17">
        <v>40</v>
      </c>
      <c r="AY61" s="17">
        <v>40</v>
      </c>
      <c r="AZ61" s="17">
        <v>40</v>
      </c>
      <c r="BA61" s="17">
        <v>40</v>
      </c>
      <c r="BB61" s="17">
        <v>45</v>
      </c>
      <c r="BC61" s="24">
        <v>36</v>
      </c>
      <c r="BD61" s="17">
        <v>45</v>
      </c>
      <c r="BE61" s="17">
        <v>45</v>
      </c>
      <c r="BF61" s="17">
        <v>45</v>
      </c>
      <c r="BG61" s="17">
        <v>45</v>
      </c>
      <c r="BH61" s="17">
        <v>45</v>
      </c>
      <c r="BI61" s="17">
        <v>45</v>
      </c>
      <c r="BJ61" s="17">
        <v>50</v>
      </c>
      <c r="BK61" s="17">
        <v>50</v>
      </c>
      <c r="BL61" s="17">
        <v>55</v>
      </c>
      <c r="BM61" s="17">
        <v>40</v>
      </c>
      <c r="BN61" s="17">
        <v>42</v>
      </c>
      <c r="BO61" s="132"/>
      <c r="BP61" s="132"/>
      <c r="BQ61" s="132"/>
      <c r="BR61" s="132"/>
      <c r="BS61" s="132"/>
      <c r="BT61" s="132"/>
      <c r="BU61" s="132"/>
      <c r="BV61" s="132"/>
      <c r="BW61" s="132"/>
      <c r="BX61" s="132"/>
      <c r="BY61" s="132"/>
    </row>
    <row r="62" spans="1:77" x14ac:dyDescent="0.25">
      <c r="A62" s="4" t="s">
        <v>113</v>
      </c>
      <c r="B62" s="6" t="s">
        <v>114</v>
      </c>
      <c r="H62" s="17">
        <v>144</v>
      </c>
      <c r="I62" s="17">
        <v>163</v>
      </c>
      <c r="J62" s="17">
        <v>178</v>
      </c>
      <c r="K62" s="17">
        <v>193</v>
      </c>
      <c r="L62" s="17">
        <v>201</v>
      </c>
      <c r="M62" s="17">
        <v>203</v>
      </c>
      <c r="N62" s="24">
        <v>213</v>
      </c>
      <c r="O62" s="17">
        <v>216</v>
      </c>
      <c r="P62" s="17">
        <v>228</v>
      </c>
      <c r="Q62" s="17">
        <v>235</v>
      </c>
      <c r="R62" s="17">
        <v>243</v>
      </c>
      <c r="S62" s="24">
        <v>246</v>
      </c>
      <c r="T62" s="17">
        <v>264</v>
      </c>
      <c r="U62" s="17">
        <v>271</v>
      </c>
      <c r="V62" s="17">
        <v>284</v>
      </c>
      <c r="W62" s="17">
        <v>292</v>
      </c>
      <c r="X62" s="17">
        <v>297</v>
      </c>
      <c r="Y62" s="17">
        <v>302</v>
      </c>
      <c r="Z62" s="17">
        <v>314</v>
      </c>
      <c r="AA62" s="17">
        <v>319</v>
      </c>
      <c r="AB62" s="17">
        <v>320</v>
      </c>
      <c r="AC62" s="17">
        <v>322</v>
      </c>
      <c r="AD62" s="17">
        <v>329</v>
      </c>
      <c r="AE62" s="17"/>
      <c r="AF62" s="17"/>
      <c r="AG62" s="17"/>
      <c r="AH62" s="17"/>
      <c r="AI62" s="17"/>
      <c r="AJ62" s="17"/>
      <c r="AK62" s="17"/>
      <c r="AR62" s="17">
        <v>70</v>
      </c>
      <c r="AS62" s="17">
        <v>73</v>
      </c>
      <c r="AT62" s="17">
        <v>80</v>
      </c>
      <c r="AU62" s="17">
        <v>97</v>
      </c>
      <c r="AV62" s="17">
        <v>105</v>
      </c>
      <c r="AW62" s="17">
        <v>118</v>
      </c>
      <c r="AX62" s="24">
        <v>131</v>
      </c>
      <c r="AY62" s="17">
        <v>145</v>
      </c>
      <c r="AZ62" s="17">
        <v>163</v>
      </c>
      <c r="BA62" s="17">
        <v>171</v>
      </c>
      <c r="BB62" s="17">
        <v>174</v>
      </c>
      <c r="BC62" s="24">
        <v>188</v>
      </c>
      <c r="BD62" s="17">
        <v>194</v>
      </c>
      <c r="BE62" s="17">
        <v>200</v>
      </c>
      <c r="BF62" s="17">
        <v>212</v>
      </c>
      <c r="BG62" s="17">
        <v>217</v>
      </c>
      <c r="BH62" s="17">
        <v>223</v>
      </c>
      <c r="BI62" s="17">
        <v>227</v>
      </c>
      <c r="BJ62" s="17">
        <v>234</v>
      </c>
      <c r="BK62" s="17">
        <v>242</v>
      </c>
      <c r="BL62" s="17">
        <v>256</v>
      </c>
      <c r="BM62" s="17">
        <v>263</v>
      </c>
      <c r="BN62" s="17">
        <v>266</v>
      </c>
      <c r="BO62" s="132"/>
      <c r="BP62" s="132"/>
      <c r="BQ62" s="132"/>
      <c r="BR62" s="132"/>
      <c r="BS62" s="132"/>
      <c r="BT62" s="132"/>
      <c r="BU62" s="132"/>
      <c r="BV62" s="132"/>
      <c r="BW62" s="132"/>
      <c r="BX62" s="132"/>
      <c r="BY62" s="132"/>
    </row>
    <row r="63" spans="1:77" x14ac:dyDescent="0.25">
      <c r="A63" s="4" t="s">
        <v>115</v>
      </c>
      <c r="B63" s="6" t="s">
        <v>116</v>
      </c>
      <c r="H63" s="17">
        <v>282</v>
      </c>
      <c r="I63" s="17">
        <v>300</v>
      </c>
      <c r="J63" s="17">
        <v>320</v>
      </c>
      <c r="K63" s="17">
        <v>367</v>
      </c>
      <c r="L63" s="17">
        <v>394</v>
      </c>
      <c r="M63" s="17">
        <v>440</v>
      </c>
      <c r="N63" s="24">
        <v>485</v>
      </c>
      <c r="O63" s="17">
        <v>504</v>
      </c>
      <c r="P63" s="17">
        <v>526</v>
      </c>
      <c r="Q63" s="17">
        <v>544</v>
      </c>
      <c r="R63" s="17">
        <v>553</v>
      </c>
      <c r="S63" s="24">
        <v>560</v>
      </c>
      <c r="T63" s="17">
        <v>572</v>
      </c>
      <c r="U63" s="17">
        <v>581</v>
      </c>
      <c r="V63" s="17">
        <v>592</v>
      </c>
      <c r="W63" s="17">
        <v>605</v>
      </c>
      <c r="X63" s="17">
        <v>608</v>
      </c>
      <c r="Y63" s="17">
        <v>615</v>
      </c>
      <c r="Z63" s="17">
        <v>624</v>
      </c>
      <c r="AA63" s="17">
        <v>632</v>
      </c>
      <c r="AB63" s="17">
        <v>641</v>
      </c>
      <c r="AC63" s="17">
        <v>644</v>
      </c>
      <c r="AD63" s="17">
        <v>656</v>
      </c>
      <c r="AE63" s="17"/>
      <c r="AF63" s="17"/>
      <c r="AG63" s="17"/>
      <c r="AH63" s="17"/>
      <c r="AI63" s="17"/>
      <c r="AJ63" s="17"/>
      <c r="AK63" s="17"/>
      <c r="AR63" s="17">
        <v>149</v>
      </c>
      <c r="AS63" s="17">
        <v>165</v>
      </c>
      <c r="AT63" s="17">
        <v>191</v>
      </c>
      <c r="AU63" s="17">
        <v>216</v>
      </c>
      <c r="AV63" s="17">
        <v>242</v>
      </c>
      <c r="AW63" s="17">
        <v>257</v>
      </c>
      <c r="AX63" s="24">
        <v>304</v>
      </c>
      <c r="AY63" s="17">
        <v>333</v>
      </c>
      <c r="AZ63" s="17">
        <v>349</v>
      </c>
      <c r="BA63" s="17">
        <v>360</v>
      </c>
      <c r="BB63" s="17">
        <v>375</v>
      </c>
      <c r="BC63" s="24">
        <v>395</v>
      </c>
      <c r="BD63" s="17">
        <v>416</v>
      </c>
      <c r="BE63" s="17">
        <v>443</v>
      </c>
      <c r="BF63" s="17">
        <v>460</v>
      </c>
      <c r="BG63" s="17">
        <v>468</v>
      </c>
      <c r="BH63" s="17">
        <v>477</v>
      </c>
      <c r="BI63" s="17">
        <v>489</v>
      </c>
      <c r="BJ63" s="17">
        <v>501</v>
      </c>
      <c r="BK63" s="17">
        <v>514</v>
      </c>
      <c r="BL63" s="17">
        <v>525</v>
      </c>
      <c r="BM63" s="17">
        <v>526</v>
      </c>
      <c r="BN63" s="17">
        <v>535</v>
      </c>
      <c r="BO63" s="132"/>
      <c r="BP63" s="132"/>
      <c r="BQ63" s="132"/>
      <c r="BR63" s="132"/>
      <c r="BS63" s="132"/>
      <c r="BT63" s="132"/>
      <c r="BU63" s="132"/>
      <c r="BV63" s="132"/>
      <c r="BW63" s="132"/>
      <c r="BX63" s="132"/>
      <c r="BY63" s="132"/>
    </row>
    <row r="64" spans="1:77" x14ac:dyDescent="0.25">
      <c r="A64" s="4" t="s">
        <v>117</v>
      </c>
      <c r="B64" s="6" t="s">
        <v>118</v>
      </c>
      <c r="H64" s="17">
        <v>1236</v>
      </c>
      <c r="I64" s="17">
        <v>1306</v>
      </c>
      <c r="J64" s="17">
        <v>1379</v>
      </c>
      <c r="K64" s="17">
        <v>1466</v>
      </c>
      <c r="L64" s="17">
        <v>1495</v>
      </c>
      <c r="M64" s="17">
        <v>1526</v>
      </c>
      <c r="N64" s="24">
        <v>1653</v>
      </c>
      <c r="O64" s="17">
        <v>1690</v>
      </c>
      <c r="P64" s="17">
        <v>1761</v>
      </c>
      <c r="Q64" s="17">
        <v>1807</v>
      </c>
      <c r="R64" s="17">
        <v>1823</v>
      </c>
      <c r="S64" s="24">
        <v>1880</v>
      </c>
      <c r="T64" s="17">
        <v>1901</v>
      </c>
      <c r="U64" s="17">
        <v>1920</v>
      </c>
      <c r="V64" s="17">
        <v>1945</v>
      </c>
      <c r="W64" s="17">
        <v>1972</v>
      </c>
      <c r="X64" s="17">
        <v>1996</v>
      </c>
      <c r="Y64" s="17">
        <v>2028</v>
      </c>
      <c r="Z64" s="17">
        <v>2063</v>
      </c>
      <c r="AA64" s="17">
        <v>2082</v>
      </c>
      <c r="AB64" s="17">
        <v>2090</v>
      </c>
      <c r="AC64" s="17">
        <v>2097</v>
      </c>
      <c r="AD64" s="17">
        <v>2158</v>
      </c>
      <c r="AE64" s="17"/>
      <c r="AF64" s="17"/>
      <c r="AG64" s="17"/>
      <c r="AH64" s="17"/>
      <c r="AI64" s="17"/>
      <c r="AJ64" s="17"/>
      <c r="AK64" s="17"/>
      <c r="AR64" s="17">
        <v>622</v>
      </c>
      <c r="AS64" s="17">
        <v>727</v>
      </c>
      <c r="AT64" s="17">
        <v>801</v>
      </c>
      <c r="AU64" s="17">
        <v>903</v>
      </c>
      <c r="AV64" s="17">
        <v>981</v>
      </c>
      <c r="AW64" s="17">
        <v>1049</v>
      </c>
      <c r="AX64" s="24">
        <v>1150</v>
      </c>
      <c r="AY64" s="17">
        <v>1203</v>
      </c>
      <c r="AZ64" s="17">
        <v>1278</v>
      </c>
      <c r="BA64" s="17">
        <v>1339</v>
      </c>
      <c r="BB64" s="17">
        <v>1389</v>
      </c>
      <c r="BC64" s="24">
        <v>1443</v>
      </c>
      <c r="BD64" s="17">
        <v>1483</v>
      </c>
      <c r="BE64" s="17">
        <v>1509</v>
      </c>
      <c r="BF64" s="17">
        <v>1536</v>
      </c>
      <c r="BG64" s="17">
        <v>1564</v>
      </c>
      <c r="BH64" s="17">
        <v>1592</v>
      </c>
      <c r="BI64" s="17">
        <v>1614</v>
      </c>
      <c r="BJ64" s="17">
        <v>1636</v>
      </c>
      <c r="BK64" s="17">
        <v>1650</v>
      </c>
      <c r="BL64" s="17">
        <v>1706</v>
      </c>
      <c r="BM64" s="17">
        <v>1716</v>
      </c>
      <c r="BN64" s="17">
        <v>1732</v>
      </c>
      <c r="BO64" s="132"/>
      <c r="BP64" s="132"/>
      <c r="BQ64" s="132"/>
      <c r="BR64" s="132"/>
      <c r="BS64" s="132"/>
      <c r="BT64" s="132"/>
      <c r="BU64" s="132"/>
      <c r="BV64" s="132"/>
      <c r="BW64" s="132"/>
      <c r="BX64" s="132"/>
      <c r="BY64" s="132"/>
    </row>
    <row r="65" spans="1:77" x14ac:dyDescent="0.25">
      <c r="A65" s="4" t="s">
        <v>119</v>
      </c>
      <c r="B65" s="6" t="s">
        <v>120</v>
      </c>
      <c r="H65" s="17">
        <v>230</v>
      </c>
      <c r="I65" s="17">
        <v>255</v>
      </c>
      <c r="J65" s="17">
        <v>272</v>
      </c>
      <c r="K65" s="17">
        <v>295</v>
      </c>
      <c r="L65" s="17">
        <v>299</v>
      </c>
      <c r="M65" s="17">
        <v>307</v>
      </c>
      <c r="N65" s="24">
        <v>325</v>
      </c>
      <c r="O65" s="17">
        <v>332</v>
      </c>
      <c r="P65" s="17">
        <v>350</v>
      </c>
      <c r="Q65" s="17">
        <v>359</v>
      </c>
      <c r="R65" s="17">
        <v>367</v>
      </c>
      <c r="S65" s="24">
        <v>375</v>
      </c>
      <c r="T65" s="17">
        <v>388</v>
      </c>
      <c r="U65" s="17">
        <v>400</v>
      </c>
      <c r="V65" s="17">
        <v>403</v>
      </c>
      <c r="W65" s="17">
        <v>407</v>
      </c>
      <c r="X65" s="17">
        <v>410</v>
      </c>
      <c r="Y65" s="17">
        <v>423</v>
      </c>
      <c r="Z65" s="17">
        <v>430</v>
      </c>
      <c r="AA65" s="17">
        <v>434</v>
      </c>
      <c r="AB65" s="17">
        <v>434</v>
      </c>
      <c r="AC65" s="17">
        <v>435</v>
      </c>
      <c r="AD65" s="17">
        <v>446</v>
      </c>
      <c r="AE65" s="17"/>
      <c r="AF65" s="17"/>
      <c r="AG65" s="17"/>
      <c r="AH65" s="17"/>
      <c r="AI65" s="17"/>
      <c r="AJ65" s="17"/>
      <c r="AK65" s="17"/>
      <c r="AR65" s="17">
        <v>95</v>
      </c>
      <c r="AS65" s="17">
        <v>115</v>
      </c>
      <c r="AT65" s="17">
        <v>125</v>
      </c>
      <c r="AU65" s="17">
        <v>137</v>
      </c>
      <c r="AV65" s="17">
        <v>148</v>
      </c>
      <c r="AW65" s="17">
        <v>169</v>
      </c>
      <c r="AX65" s="24">
        <v>195</v>
      </c>
      <c r="AY65" s="17">
        <v>213</v>
      </c>
      <c r="AZ65" s="17">
        <v>227</v>
      </c>
      <c r="BA65" s="17">
        <v>243</v>
      </c>
      <c r="BB65" s="17">
        <v>247</v>
      </c>
      <c r="BC65" s="24">
        <v>269</v>
      </c>
      <c r="BD65" s="17">
        <v>281</v>
      </c>
      <c r="BE65" s="17">
        <v>287</v>
      </c>
      <c r="BF65" s="17">
        <v>291</v>
      </c>
      <c r="BG65" s="17">
        <v>298</v>
      </c>
      <c r="BH65" s="17">
        <v>305</v>
      </c>
      <c r="BI65" s="17">
        <v>312</v>
      </c>
      <c r="BJ65" s="17">
        <v>317</v>
      </c>
      <c r="BK65" s="17">
        <v>327</v>
      </c>
      <c r="BL65" s="17">
        <v>331</v>
      </c>
      <c r="BM65" s="17">
        <v>331</v>
      </c>
      <c r="BN65" s="17">
        <v>338</v>
      </c>
      <c r="BO65" s="132"/>
      <c r="BP65" s="132"/>
      <c r="BQ65" s="132"/>
      <c r="BR65" s="132"/>
      <c r="BS65" s="132"/>
      <c r="BT65" s="132"/>
      <c r="BU65" s="132"/>
      <c r="BV65" s="132"/>
      <c r="BW65" s="132"/>
      <c r="BX65" s="132"/>
      <c r="BY65" s="132"/>
    </row>
    <row r="66" spans="1:77" x14ac:dyDescent="0.25">
      <c r="A66" s="4" t="s">
        <v>121</v>
      </c>
      <c r="B66" s="6" t="s">
        <v>122</v>
      </c>
      <c r="H66" s="17">
        <v>252</v>
      </c>
      <c r="I66" s="17">
        <v>271</v>
      </c>
      <c r="J66" s="17">
        <v>280</v>
      </c>
      <c r="K66" s="17">
        <v>310</v>
      </c>
      <c r="L66" s="17">
        <v>316</v>
      </c>
      <c r="M66" s="17">
        <v>321</v>
      </c>
      <c r="N66" s="24">
        <v>341</v>
      </c>
      <c r="O66" s="17">
        <v>352</v>
      </c>
      <c r="P66" s="17">
        <v>362</v>
      </c>
      <c r="Q66" s="17">
        <v>379</v>
      </c>
      <c r="R66" s="17">
        <v>388</v>
      </c>
      <c r="S66" s="24">
        <v>397</v>
      </c>
      <c r="T66" s="17">
        <v>409</v>
      </c>
      <c r="U66" s="17">
        <v>435</v>
      </c>
      <c r="V66" s="17">
        <v>447</v>
      </c>
      <c r="W66" s="17">
        <v>464</v>
      </c>
      <c r="X66" s="17">
        <v>470</v>
      </c>
      <c r="Y66" s="17">
        <v>483</v>
      </c>
      <c r="Z66" s="17">
        <v>499</v>
      </c>
      <c r="AA66" s="17">
        <v>505</v>
      </c>
      <c r="AB66" s="17">
        <v>521</v>
      </c>
      <c r="AC66" s="17">
        <v>530</v>
      </c>
      <c r="AD66" s="17">
        <v>560</v>
      </c>
      <c r="AE66" s="17"/>
      <c r="AF66" s="17"/>
      <c r="AG66" s="17"/>
      <c r="AH66" s="17"/>
      <c r="AI66" s="17"/>
      <c r="AJ66" s="17"/>
      <c r="AK66" s="17"/>
      <c r="AR66" s="17">
        <v>116</v>
      </c>
      <c r="AS66" s="17">
        <v>128</v>
      </c>
      <c r="AT66" s="17">
        <v>140</v>
      </c>
      <c r="AU66" s="17">
        <v>169</v>
      </c>
      <c r="AV66" s="17">
        <v>179</v>
      </c>
      <c r="AW66" s="17">
        <v>194</v>
      </c>
      <c r="AX66" s="24">
        <v>214</v>
      </c>
      <c r="AY66" s="17">
        <v>224</v>
      </c>
      <c r="AZ66" s="17">
        <v>242</v>
      </c>
      <c r="BA66" s="17">
        <v>253</v>
      </c>
      <c r="BB66" s="17">
        <v>265</v>
      </c>
      <c r="BC66" s="24">
        <v>271</v>
      </c>
      <c r="BD66" s="17">
        <v>281</v>
      </c>
      <c r="BE66" s="17">
        <v>295</v>
      </c>
      <c r="BF66" s="17">
        <v>304</v>
      </c>
      <c r="BG66" s="17">
        <v>312</v>
      </c>
      <c r="BH66" s="17">
        <v>326</v>
      </c>
      <c r="BI66" s="17">
        <v>337</v>
      </c>
      <c r="BJ66" s="17">
        <v>350</v>
      </c>
      <c r="BK66" s="17">
        <v>358</v>
      </c>
      <c r="BL66" s="17">
        <v>374</v>
      </c>
      <c r="BM66" s="17">
        <v>380</v>
      </c>
      <c r="BN66" s="17">
        <v>391</v>
      </c>
      <c r="BO66" s="132"/>
      <c r="BP66" s="132"/>
      <c r="BQ66" s="132"/>
      <c r="BR66" s="132"/>
      <c r="BS66" s="132"/>
      <c r="BT66" s="132"/>
      <c r="BU66" s="132"/>
      <c r="BV66" s="132"/>
      <c r="BW66" s="132"/>
      <c r="BX66" s="132"/>
      <c r="BY66" s="132"/>
    </row>
    <row r="67" spans="1:77" x14ac:dyDescent="0.25">
      <c r="A67" s="4" t="s">
        <v>123</v>
      </c>
      <c r="B67" s="6" t="s">
        <v>124</v>
      </c>
      <c r="H67" s="17">
        <v>155</v>
      </c>
      <c r="I67" s="17">
        <v>172</v>
      </c>
      <c r="J67" s="17">
        <v>186</v>
      </c>
      <c r="K67" s="17">
        <v>197</v>
      </c>
      <c r="L67" s="17">
        <v>200</v>
      </c>
      <c r="M67" s="17">
        <v>203</v>
      </c>
      <c r="N67" s="24">
        <v>206</v>
      </c>
      <c r="O67" s="17">
        <v>208</v>
      </c>
      <c r="P67" s="17">
        <v>216</v>
      </c>
      <c r="Q67" s="17">
        <v>222</v>
      </c>
      <c r="R67" s="17">
        <v>222</v>
      </c>
      <c r="S67" s="24">
        <v>232</v>
      </c>
      <c r="T67" s="17">
        <v>236</v>
      </c>
      <c r="U67" s="17">
        <v>243</v>
      </c>
      <c r="V67" s="17">
        <v>250</v>
      </c>
      <c r="W67" s="17">
        <v>253</v>
      </c>
      <c r="X67" s="17">
        <v>254</v>
      </c>
      <c r="Y67" s="17">
        <v>255</v>
      </c>
      <c r="Z67" s="17">
        <v>255</v>
      </c>
      <c r="AA67" s="17">
        <v>257</v>
      </c>
      <c r="AB67" s="17">
        <v>257</v>
      </c>
      <c r="AC67" s="17">
        <v>257</v>
      </c>
      <c r="AD67" s="17">
        <v>257</v>
      </c>
      <c r="AE67" s="17"/>
      <c r="AF67" s="17"/>
      <c r="AG67" s="17"/>
      <c r="AH67" s="17"/>
      <c r="AI67" s="17"/>
      <c r="AJ67" s="17"/>
      <c r="AK67" s="17"/>
      <c r="AR67" s="17">
        <v>84</v>
      </c>
      <c r="AS67" s="17">
        <v>96</v>
      </c>
      <c r="AT67" s="17">
        <v>115</v>
      </c>
      <c r="AU67" s="17">
        <v>129</v>
      </c>
      <c r="AV67" s="17">
        <v>139</v>
      </c>
      <c r="AW67" s="17">
        <v>149</v>
      </c>
      <c r="AX67" s="24">
        <v>158</v>
      </c>
      <c r="AY67" s="17">
        <v>163</v>
      </c>
      <c r="AZ67" s="17">
        <v>164</v>
      </c>
      <c r="BA67" s="17">
        <v>168</v>
      </c>
      <c r="BB67" s="17">
        <v>172</v>
      </c>
      <c r="BC67" s="24">
        <v>180</v>
      </c>
      <c r="BD67" s="17">
        <v>184</v>
      </c>
      <c r="BE67" s="17">
        <v>186</v>
      </c>
      <c r="BF67" s="17">
        <v>190</v>
      </c>
      <c r="BG67" s="17">
        <v>192</v>
      </c>
      <c r="BH67" s="17">
        <v>194</v>
      </c>
      <c r="BI67" s="17">
        <v>203</v>
      </c>
      <c r="BJ67" s="17">
        <v>208</v>
      </c>
      <c r="BK67" s="17">
        <v>210</v>
      </c>
      <c r="BL67" s="17">
        <v>216</v>
      </c>
      <c r="BM67" s="17">
        <v>214</v>
      </c>
      <c r="BN67" s="17">
        <v>215</v>
      </c>
      <c r="BO67" s="132"/>
      <c r="BP67" s="132"/>
      <c r="BQ67" s="132"/>
      <c r="BR67" s="132"/>
      <c r="BS67" s="132"/>
      <c r="BT67" s="132"/>
      <c r="BU67" s="132"/>
      <c r="BV67" s="132"/>
      <c r="BW67" s="132"/>
      <c r="BX67" s="132"/>
      <c r="BY67" s="132"/>
    </row>
    <row r="68" spans="1:77" x14ac:dyDescent="0.25">
      <c r="A68" s="4" t="s">
        <v>125</v>
      </c>
      <c r="B68" s="6" t="s">
        <v>126</v>
      </c>
      <c r="H68" s="17">
        <v>10</v>
      </c>
      <c r="I68" s="17">
        <v>25</v>
      </c>
      <c r="J68" s="17">
        <v>25</v>
      </c>
      <c r="K68" s="17">
        <v>25</v>
      </c>
      <c r="L68" s="17">
        <v>25</v>
      </c>
      <c r="M68" s="17">
        <v>30</v>
      </c>
      <c r="N68" s="17">
        <v>40</v>
      </c>
      <c r="O68" s="17">
        <v>40</v>
      </c>
      <c r="P68" s="17">
        <v>40</v>
      </c>
      <c r="Q68" s="17">
        <v>40</v>
      </c>
      <c r="R68" s="17">
        <v>45</v>
      </c>
      <c r="S68" s="17">
        <v>45</v>
      </c>
      <c r="T68" s="17">
        <v>45</v>
      </c>
      <c r="U68" s="17">
        <v>45</v>
      </c>
      <c r="V68" s="17">
        <v>45</v>
      </c>
      <c r="W68" s="17">
        <v>45</v>
      </c>
      <c r="X68" s="17">
        <v>45</v>
      </c>
      <c r="Y68" s="17">
        <v>45</v>
      </c>
      <c r="Z68" s="17">
        <v>50</v>
      </c>
      <c r="AA68" s="17">
        <v>50</v>
      </c>
      <c r="AB68" s="17">
        <v>55</v>
      </c>
      <c r="AC68" s="17">
        <v>40</v>
      </c>
      <c r="AD68" s="17">
        <v>40</v>
      </c>
      <c r="AE68" s="17"/>
      <c r="AF68" s="17"/>
      <c r="AG68" s="17"/>
      <c r="AH68" s="17"/>
      <c r="AI68" s="17"/>
      <c r="AJ68" s="17"/>
      <c r="AK68" s="17"/>
      <c r="AR68" s="17">
        <v>10</v>
      </c>
      <c r="AS68" s="17">
        <v>25</v>
      </c>
      <c r="AT68" s="17">
        <v>25</v>
      </c>
      <c r="AU68" s="17">
        <v>25</v>
      </c>
      <c r="AV68" s="17">
        <v>25</v>
      </c>
      <c r="AW68" s="17">
        <v>30</v>
      </c>
      <c r="AX68" s="17">
        <v>40</v>
      </c>
      <c r="AY68" s="17">
        <v>40</v>
      </c>
      <c r="AZ68" s="17">
        <v>40</v>
      </c>
      <c r="BA68" s="17">
        <v>40</v>
      </c>
      <c r="BB68" s="17">
        <v>45</v>
      </c>
      <c r="BC68" s="17">
        <v>45</v>
      </c>
      <c r="BD68" s="17">
        <v>45</v>
      </c>
      <c r="BE68" s="17">
        <v>45</v>
      </c>
      <c r="BF68" s="17">
        <v>45</v>
      </c>
      <c r="BG68" s="17">
        <v>45</v>
      </c>
      <c r="BH68" s="17">
        <v>45</v>
      </c>
      <c r="BI68" s="17">
        <v>45</v>
      </c>
      <c r="BJ68" s="17">
        <v>50</v>
      </c>
      <c r="BK68" s="17">
        <v>50</v>
      </c>
      <c r="BL68" s="17">
        <v>55</v>
      </c>
      <c r="BM68" s="17">
        <v>40</v>
      </c>
      <c r="BN68" s="17">
        <v>40</v>
      </c>
      <c r="BO68" s="132"/>
      <c r="BP68" s="132"/>
      <c r="BQ68" s="132"/>
      <c r="BR68" s="132"/>
      <c r="BS68" s="132"/>
      <c r="BT68" s="132"/>
      <c r="BU68" s="132"/>
      <c r="BV68" s="132"/>
      <c r="BW68" s="132"/>
      <c r="BX68" s="132"/>
      <c r="BY68" s="132"/>
    </row>
    <row r="69" spans="1:77" x14ac:dyDescent="0.25">
      <c r="A69" s="4" t="s">
        <v>127</v>
      </c>
      <c r="B69" s="6" t="s">
        <v>128</v>
      </c>
      <c r="H69" s="17">
        <v>262</v>
      </c>
      <c r="I69" s="17">
        <v>272</v>
      </c>
      <c r="J69" s="17">
        <v>278</v>
      </c>
      <c r="K69" s="17">
        <v>295</v>
      </c>
      <c r="L69" s="17">
        <v>304</v>
      </c>
      <c r="M69" s="17">
        <v>306</v>
      </c>
      <c r="N69" s="24">
        <v>330</v>
      </c>
      <c r="O69" s="17">
        <v>338</v>
      </c>
      <c r="P69" s="17">
        <v>346</v>
      </c>
      <c r="Q69" s="17">
        <v>356</v>
      </c>
      <c r="R69" s="17">
        <v>360</v>
      </c>
      <c r="S69" s="24">
        <v>370</v>
      </c>
      <c r="T69" s="17">
        <v>375</v>
      </c>
      <c r="U69" s="17">
        <v>383</v>
      </c>
      <c r="V69" s="17">
        <v>387</v>
      </c>
      <c r="W69" s="17">
        <v>389</v>
      </c>
      <c r="X69" s="17">
        <v>393</v>
      </c>
      <c r="Y69" s="17">
        <v>396</v>
      </c>
      <c r="Z69" s="17">
        <v>399</v>
      </c>
      <c r="AA69" s="17">
        <v>400</v>
      </c>
      <c r="AB69" s="17">
        <v>401</v>
      </c>
      <c r="AC69" s="17">
        <v>403</v>
      </c>
      <c r="AD69" s="17">
        <v>407</v>
      </c>
      <c r="AE69" s="17"/>
      <c r="AF69" s="17"/>
      <c r="AG69" s="17"/>
      <c r="AH69" s="17"/>
      <c r="AI69" s="17"/>
      <c r="AJ69" s="17"/>
      <c r="AK69" s="17"/>
      <c r="AR69" s="17">
        <v>140</v>
      </c>
      <c r="AS69" s="17">
        <v>156</v>
      </c>
      <c r="AT69" s="17">
        <v>185</v>
      </c>
      <c r="AU69" s="17">
        <v>200</v>
      </c>
      <c r="AV69" s="17">
        <v>206</v>
      </c>
      <c r="AW69" s="17">
        <v>219</v>
      </c>
      <c r="AX69" s="24">
        <v>225</v>
      </c>
      <c r="AY69" s="17">
        <v>228</v>
      </c>
      <c r="AZ69" s="17">
        <v>242</v>
      </c>
      <c r="BA69" s="17">
        <v>253</v>
      </c>
      <c r="BB69" s="17">
        <v>268</v>
      </c>
      <c r="BC69" s="24">
        <v>277</v>
      </c>
      <c r="BD69" s="17">
        <v>286</v>
      </c>
      <c r="BE69" s="17">
        <v>292</v>
      </c>
      <c r="BF69" s="17">
        <v>295</v>
      </c>
      <c r="BG69" s="17">
        <v>301</v>
      </c>
      <c r="BH69" s="17">
        <v>310</v>
      </c>
      <c r="BI69" s="17">
        <v>314</v>
      </c>
      <c r="BJ69" s="17">
        <v>321</v>
      </c>
      <c r="BK69" s="17">
        <v>323</v>
      </c>
      <c r="BL69" s="17">
        <v>331</v>
      </c>
      <c r="BM69" s="17">
        <v>333</v>
      </c>
      <c r="BN69" s="17">
        <v>333</v>
      </c>
      <c r="BO69" s="132"/>
      <c r="BP69" s="132"/>
      <c r="BQ69" s="132"/>
      <c r="BR69" s="132"/>
      <c r="BS69" s="132"/>
      <c r="BT69" s="132"/>
      <c r="BU69" s="132"/>
      <c r="BV69" s="132"/>
      <c r="BW69" s="132"/>
      <c r="BX69" s="132"/>
      <c r="BY69" s="132"/>
    </row>
    <row r="70" spans="1:77" x14ac:dyDescent="0.25">
      <c r="A70" s="4" t="s">
        <v>129</v>
      </c>
      <c r="B70" s="6" t="s">
        <v>130</v>
      </c>
      <c r="H70" s="17">
        <v>372</v>
      </c>
      <c r="I70" s="17">
        <v>414</v>
      </c>
      <c r="J70" s="17">
        <v>453</v>
      </c>
      <c r="K70" s="17">
        <v>492</v>
      </c>
      <c r="L70" s="17">
        <v>497</v>
      </c>
      <c r="M70" s="17">
        <v>507</v>
      </c>
      <c r="N70" s="24">
        <v>529</v>
      </c>
      <c r="O70" s="17">
        <v>543</v>
      </c>
      <c r="P70" s="17">
        <v>565</v>
      </c>
      <c r="Q70" s="17">
        <v>571</v>
      </c>
      <c r="R70" s="17">
        <v>576</v>
      </c>
      <c r="S70" s="24">
        <v>581</v>
      </c>
      <c r="T70" s="17">
        <v>596</v>
      </c>
      <c r="U70" s="17">
        <v>604</v>
      </c>
      <c r="V70" s="17">
        <v>614</v>
      </c>
      <c r="W70" s="17">
        <v>632</v>
      </c>
      <c r="X70" s="17">
        <v>646</v>
      </c>
      <c r="Y70" s="17">
        <v>654</v>
      </c>
      <c r="Z70" s="17">
        <v>665</v>
      </c>
      <c r="AA70" s="17">
        <v>672</v>
      </c>
      <c r="AB70" s="17">
        <v>679</v>
      </c>
      <c r="AC70" s="17">
        <v>681</v>
      </c>
      <c r="AD70" s="17">
        <v>700</v>
      </c>
      <c r="AE70" s="17"/>
      <c r="AF70" s="17"/>
      <c r="AG70" s="17"/>
      <c r="AH70" s="17"/>
      <c r="AI70" s="17"/>
      <c r="AJ70" s="17"/>
      <c r="AK70" s="17"/>
      <c r="AR70" s="17">
        <v>155</v>
      </c>
      <c r="AS70" s="17">
        <v>187</v>
      </c>
      <c r="AT70" s="17">
        <v>222</v>
      </c>
      <c r="AU70" s="17">
        <v>253</v>
      </c>
      <c r="AV70" s="17">
        <v>269</v>
      </c>
      <c r="AW70" s="17">
        <v>281</v>
      </c>
      <c r="AX70" s="24">
        <v>304</v>
      </c>
      <c r="AY70" s="17">
        <v>320</v>
      </c>
      <c r="AZ70" s="17">
        <v>341</v>
      </c>
      <c r="BA70" s="17">
        <v>353</v>
      </c>
      <c r="BB70" s="17">
        <v>356</v>
      </c>
      <c r="BC70" s="24">
        <v>365</v>
      </c>
      <c r="BD70" s="17">
        <v>380</v>
      </c>
      <c r="BE70" s="17">
        <v>406</v>
      </c>
      <c r="BF70" s="17">
        <v>418</v>
      </c>
      <c r="BG70" s="17">
        <v>426</v>
      </c>
      <c r="BH70" s="17">
        <v>442</v>
      </c>
      <c r="BI70" s="17">
        <v>451</v>
      </c>
      <c r="BJ70" s="17">
        <v>463</v>
      </c>
      <c r="BK70" s="17">
        <v>474</v>
      </c>
      <c r="BL70" s="17">
        <v>483</v>
      </c>
      <c r="BM70" s="17">
        <v>489</v>
      </c>
      <c r="BN70" s="17">
        <v>502</v>
      </c>
      <c r="BO70" s="132"/>
      <c r="BP70" s="132"/>
      <c r="BQ70" s="132"/>
      <c r="BR70" s="132"/>
      <c r="BS70" s="132"/>
      <c r="BT70" s="132"/>
      <c r="BU70" s="132"/>
      <c r="BV70" s="132"/>
      <c r="BW70" s="132"/>
      <c r="BX70" s="132"/>
      <c r="BY70" s="132"/>
    </row>
    <row r="71" spans="1:77" x14ac:dyDescent="0.25">
      <c r="A71" s="4" t="s">
        <v>131</v>
      </c>
      <c r="B71" s="6" t="s">
        <v>132</v>
      </c>
      <c r="H71" s="17">
        <v>2017</v>
      </c>
      <c r="I71" s="17">
        <v>2160</v>
      </c>
      <c r="J71" s="17">
        <v>2298</v>
      </c>
      <c r="K71" s="17">
        <v>2450</v>
      </c>
      <c r="L71" s="17">
        <v>2535</v>
      </c>
      <c r="M71" s="17">
        <v>2583</v>
      </c>
      <c r="N71" s="24">
        <v>2762</v>
      </c>
      <c r="O71" s="17">
        <v>2835</v>
      </c>
      <c r="P71" s="17">
        <v>2934</v>
      </c>
      <c r="Q71" s="17">
        <v>3004</v>
      </c>
      <c r="R71" s="17">
        <v>3041</v>
      </c>
      <c r="S71" s="24">
        <v>3111</v>
      </c>
      <c r="T71" s="17">
        <v>3149</v>
      </c>
      <c r="U71" s="17">
        <v>3203</v>
      </c>
      <c r="V71" s="17">
        <v>3261</v>
      </c>
      <c r="W71" s="17">
        <v>3298</v>
      </c>
      <c r="X71" s="17">
        <v>3331</v>
      </c>
      <c r="Y71" s="17">
        <v>3363</v>
      </c>
      <c r="Z71" s="17">
        <v>3411</v>
      </c>
      <c r="AA71" s="17">
        <v>3426</v>
      </c>
      <c r="AB71" s="17">
        <v>3438</v>
      </c>
      <c r="AC71" s="17">
        <v>3441</v>
      </c>
      <c r="AD71" s="17">
        <v>3488</v>
      </c>
      <c r="AE71" s="17"/>
      <c r="AF71" s="17"/>
      <c r="AG71" s="17"/>
      <c r="AH71" s="17"/>
      <c r="AI71" s="17"/>
      <c r="AJ71" s="17"/>
      <c r="AK71" s="17"/>
      <c r="AR71" s="17">
        <v>1096</v>
      </c>
      <c r="AS71" s="17">
        <v>1248</v>
      </c>
      <c r="AT71" s="17">
        <v>1388</v>
      </c>
      <c r="AU71" s="17">
        <v>1556</v>
      </c>
      <c r="AV71" s="17">
        <v>1651</v>
      </c>
      <c r="AW71" s="17">
        <v>1751</v>
      </c>
      <c r="AX71" s="24">
        <v>1924</v>
      </c>
      <c r="AY71" s="17">
        <v>2016</v>
      </c>
      <c r="AZ71" s="17">
        <v>2113</v>
      </c>
      <c r="BA71" s="17">
        <v>2191</v>
      </c>
      <c r="BB71" s="17">
        <v>2252</v>
      </c>
      <c r="BC71" s="24">
        <v>2342</v>
      </c>
      <c r="BD71" s="17">
        <v>2432</v>
      </c>
      <c r="BE71" s="17">
        <v>2508</v>
      </c>
      <c r="BF71" s="17">
        <v>2557</v>
      </c>
      <c r="BG71" s="17">
        <v>2600</v>
      </c>
      <c r="BH71" s="17">
        <v>2652</v>
      </c>
      <c r="BI71" s="17">
        <v>2692</v>
      </c>
      <c r="BJ71" s="17">
        <v>2727</v>
      </c>
      <c r="BK71" s="17">
        <v>2761</v>
      </c>
      <c r="BL71" s="17">
        <v>2841</v>
      </c>
      <c r="BM71" s="17">
        <v>2849</v>
      </c>
      <c r="BN71" s="17">
        <v>2874</v>
      </c>
      <c r="BO71" s="132"/>
      <c r="BP71" s="132"/>
      <c r="BQ71" s="132"/>
      <c r="BR71" s="132"/>
      <c r="BS71" s="132"/>
      <c r="BT71" s="132"/>
      <c r="BU71" s="132"/>
      <c r="BV71" s="132"/>
      <c r="BW71" s="132"/>
      <c r="BX71" s="132"/>
      <c r="BY71" s="132"/>
    </row>
    <row r="72" spans="1:77" x14ac:dyDescent="0.25">
      <c r="A72" s="4" t="s">
        <v>133</v>
      </c>
      <c r="B72" s="6" t="s">
        <v>134</v>
      </c>
      <c r="H72" s="17">
        <v>141</v>
      </c>
      <c r="I72" s="17">
        <v>149</v>
      </c>
      <c r="J72" s="17">
        <v>150</v>
      </c>
      <c r="K72" s="17">
        <v>151</v>
      </c>
      <c r="L72" s="17">
        <v>151</v>
      </c>
      <c r="M72" s="17">
        <v>154</v>
      </c>
      <c r="N72" s="24">
        <v>165</v>
      </c>
      <c r="O72" s="17">
        <v>167</v>
      </c>
      <c r="P72" s="17">
        <v>173</v>
      </c>
      <c r="Q72" s="17">
        <v>176</v>
      </c>
      <c r="R72" s="17">
        <v>181</v>
      </c>
      <c r="S72" s="24">
        <v>186</v>
      </c>
      <c r="T72" s="17">
        <v>191</v>
      </c>
      <c r="U72" s="17">
        <v>196</v>
      </c>
      <c r="V72" s="17">
        <v>205</v>
      </c>
      <c r="W72" s="17">
        <v>205</v>
      </c>
      <c r="X72" s="17">
        <v>205</v>
      </c>
      <c r="Y72" s="17">
        <v>205</v>
      </c>
      <c r="Z72" s="17">
        <v>208</v>
      </c>
      <c r="AA72" s="17">
        <v>212</v>
      </c>
      <c r="AB72" s="17">
        <v>212</v>
      </c>
      <c r="AC72" s="17">
        <v>212</v>
      </c>
      <c r="AD72" s="17">
        <v>215</v>
      </c>
      <c r="AE72" s="17"/>
      <c r="AF72" s="17"/>
      <c r="AG72" s="17"/>
      <c r="AH72" s="17"/>
      <c r="AI72" s="17"/>
      <c r="AJ72" s="17"/>
      <c r="AK72" s="17"/>
      <c r="AR72" s="17">
        <v>60</v>
      </c>
      <c r="AS72" s="17">
        <v>77</v>
      </c>
      <c r="AT72" s="17">
        <v>81</v>
      </c>
      <c r="AU72" s="17">
        <v>92</v>
      </c>
      <c r="AV72" s="17">
        <v>102</v>
      </c>
      <c r="AW72" s="17">
        <v>107</v>
      </c>
      <c r="AX72" s="24">
        <v>113</v>
      </c>
      <c r="AY72" s="17">
        <v>117</v>
      </c>
      <c r="AZ72" s="17">
        <v>120</v>
      </c>
      <c r="BA72" s="17">
        <v>124</v>
      </c>
      <c r="BB72" s="17">
        <v>127</v>
      </c>
      <c r="BC72" s="24">
        <v>132</v>
      </c>
      <c r="BD72" s="17">
        <v>135</v>
      </c>
      <c r="BE72" s="17">
        <v>140</v>
      </c>
      <c r="BF72" s="17">
        <v>148</v>
      </c>
      <c r="BG72" s="17">
        <v>149</v>
      </c>
      <c r="BH72" s="17">
        <v>156</v>
      </c>
      <c r="BI72" s="17">
        <v>160</v>
      </c>
      <c r="BJ72" s="17">
        <v>164</v>
      </c>
      <c r="BK72" s="17">
        <v>164</v>
      </c>
      <c r="BL72" s="17">
        <v>168</v>
      </c>
      <c r="BM72" s="17">
        <v>169</v>
      </c>
      <c r="BN72" s="17">
        <v>171</v>
      </c>
      <c r="BO72" s="132"/>
      <c r="BP72" s="132"/>
      <c r="BQ72" s="132"/>
      <c r="BR72" s="132"/>
      <c r="BS72" s="132"/>
      <c r="BT72" s="132"/>
      <c r="BU72" s="132"/>
      <c r="BV72" s="132"/>
      <c r="BW72" s="132"/>
      <c r="BX72" s="132"/>
      <c r="BY72" s="132"/>
    </row>
    <row r="73" spans="1:77" x14ac:dyDescent="0.25">
      <c r="A73" s="4" t="s">
        <v>135</v>
      </c>
      <c r="B73" s="6" t="s">
        <v>136</v>
      </c>
      <c r="H73" s="17">
        <v>244</v>
      </c>
      <c r="I73" s="17">
        <v>255</v>
      </c>
      <c r="J73" s="17">
        <v>273</v>
      </c>
      <c r="K73" s="17">
        <v>284</v>
      </c>
      <c r="L73" s="17">
        <v>296</v>
      </c>
      <c r="M73" s="17">
        <v>296</v>
      </c>
      <c r="N73" s="24">
        <v>310</v>
      </c>
      <c r="O73" s="17">
        <v>316</v>
      </c>
      <c r="P73" s="17">
        <v>323</v>
      </c>
      <c r="Q73" s="17">
        <v>330</v>
      </c>
      <c r="R73" s="17">
        <v>335</v>
      </c>
      <c r="S73" s="24">
        <v>347</v>
      </c>
      <c r="T73" s="17">
        <v>360</v>
      </c>
      <c r="U73" s="17">
        <v>372</v>
      </c>
      <c r="V73" s="17">
        <v>387</v>
      </c>
      <c r="W73" s="17">
        <v>394</v>
      </c>
      <c r="X73" s="17">
        <v>399</v>
      </c>
      <c r="Y73" s="17">
        <v>403</v>
      </c>
      <c r="Z73" s="17">
        <v>408</v>
      </c>
      <c r="AA73" s="17">
        <v>411</v>
      </c>
      <c r="AB73" s="17">
        <v>411</v>
      </c>
      <c r="AC73" s="17">
        <v>408</v>
      </c>
      <c r="AD73" s="17">
        <v>415</v>
      </c>
      <c r="AE73" s="17"/>
      <c r="AF73" s="17"/>
      <c r="AG73" s="17"/>
      <c r="AH73" s="17"/>
      <c r="AI73" s="17"/>
      <c r="AJ73" s="17"/>
      <c r="AK73" s="17"/>
      <c r="AR73" s="17">
        <v>107</v>
      </c>
      <c r="AS73" s="17">
        <v>128</v>
      </c>
      <c r="AT73" s="17">
        <v>136</v>
      </c>
      <c r="AU73" s="17">
        <v>160</v>
      </c>
      <c r="AV73" s="17">
        <v>174</v>
      </c>
      <c r="AW73" s="17">
        <v>184</v>
      </c>
      <c r="AX73" s="24">
        <v>215</v>
      </c>
      <c r="AY73" s="17">
        <v>229</v>
      </c>
      <c r="AZ73" s="17">
        <v>232</v>
      </c>
      <c r="BA73" s="17">
        <v>239</v>
      </c>
      <c r="BB73" s="17">
        <v>244</v>
      </c>
      <c r="BC73" s="24">
        <v>254</v>
      </c>
      <c r="BD73" s="17">
        <v>259</v>
      </c>
      <c r="BE73" s="17">
        <v>271</v>
      </c>
      <c r="BF73" s="17">
        <v>275</v>
      </c>
      <c r="BG73" s="17">
        <v>281</v>
      </c>
      <c r="BH73" s="17">
        <v>288</v>
      </c>
      <c r="BI73" s="17">
        <v>291</v>
      </c>
      <c r="BJ73" s="17">
        <v>297</v>
      </c>
      <c r="BK73" s="17">
        <v>310</v>
      </c>
      <c r="BL73" s="17">
        <v>320</v>
      </c>
      <c r="BM73" s="17">
        <v>326</v>
      </c>
      <c r="BN73" s="17">
        <v>333</v>
      </c>
      <c r="BO73" s="132"/>
      <c r="BP73" s="132"/>
      <c r="BQ73" s="132"/>
      <c r="BR73" s="132"/>
      <c r="BS73" s="132"/>
      <c r="BT73" s="132"/>
      <c r="BU73" s="132"/>
      <c r="BV73" s="132"/>
      <c r="BW73" s="132"/>
      <c r="BX73" s="132"/>
      <c r="BY73" s="132"/>
    </row>
    <row r="74" spans="1:77" x14ac:dyDescent="0.25">
      <c r="A74" s="4" t="s">
        <v>137</v>
      </c>
      <c r="B74" s="6" t="s">
        <v>138</v>
      </c>
      <c r="H74" s="17">
        <v>236</v>
      </c>
      <c r="I74" s="17">
        <v>238</v>
      </c>
      <c r="J74" s="17">
        <v>248</v>
      </c>
      <c r="K74" s="17">
        <v>263</v>
      </c>
      <c r="L74" s="17">
        <v>277</v>
      </c>
      <c r="M74" s="17">
        <v>290</v>
      </c>
      <c r="N74" s="24">
        <v>311</v>
      </c>
      <c r="O74" s="17">
        <v>328</v>
      </c>
      <c r="P74" s="17">
        <v>339</v>
      </c>
      <c r="Q74" s="17">
        <v>346</v>
      </c>
      <c r="R74" s="17">
        <v>348</v>
      </c>
      <c r="S74" s="24">
        <v>359</v>
      </c>
      <c r="T74" s="17">
        <v>371</v>
      </c>
      <c r="U74" s="17">
        <v>383</v>
      </c>
      <c r="V74" s="17">
        <v>396</v>
      </c>
      <c r="W74" s="17">
        <v>400</v>
      </c>
      <c r="X74" s="17">
        <v>406</v>
      </c>
      <c r="Y74" s="17">
        <v>414</v>
      </c>
      <c r="Z74" s="17">
        <v>419</v>
      </c>
      <c r="AA74" s="17">
        <v>419</v>
      </c>
      <c r="AB74" s="17">
        <v>420</v>
      </c>
      <c r="AC74" s="17">
        <v>420</v>
      </c>
      <c r="AD74" s="17">
        <v>429</v>
      </c>
      <c r="AE74" s="17"/>
      <c r="AF74" s="17"/>
      <c r="AG74" s="17"/>
      <c r="AH74" s="17"/>
      <c r="AI74" s="17"/>
      <c r="AJ74" s="17"/>
      <c r="AK74" s="17"/>
      <c r="AR74" s="17">
        <v>114</v>
      </c>
      <c r="AS74" s="17">
        <v>131</v>
      </c>
      <c r="AT74" s="17">
        <v>144</v>
      </c>
      <c r="AU74" s="17">
        <v>162</v>
      </c>
      <c r="AV74" s="17">
        <v>175</v>
      </c>
      <c r="AW74" s="17">
        <v>179</v>
      </c>
      <c r="AX74" s="24">
        <v>203</v>
      </c>
      <c r="AY74" s="17">
        <v>224</v>
      </c>
      <c r="AZ74" s="17">
        <v>236</v>
      </c>
      <c r="BA74" s="17">
        <v>250</v>
      </c>
      <c r="BB74" s="17">
        <v>261</v>
      </c>
      <c r="BC74" s="24">
        <v>273</v>
      </c>
      <c r="BD74" s="17">
        <v>291</v>
      </c>
      <c r="BE74" s="17">
        <v>296</v>
      </c>
      <c r="BF74" s="17">
        <v>301</v>
      </c>
      <c r="BG74" s="17">
        <v>312</v>
      </c>
      <c r="BH74" s="17">
        <v>323</v>
      </c>
      <c r="BI74" s="17">
        <v>330</v>
      </c>
      <c r="BJ74" s="17">
        <v>342</v>
      </c>
      <c r="BK74" s="17">
        <v>352</v>
      </c>
      <c r="BL74" s="17">
        <v>358</v>
      </c>
      <c r="BM74" s="17">
        <v>361</v>
      </c>
      <c r="BN74" s="17">
        <v>363</v>
      </c>
      <c r="BO74" s="132"/>
      <c r="BP74" s="132"/>
      <c r="BQ74" s="132"/>
      <c r="BR74" s="132"/>
      <c r="BS74" s="132"/>
      <c r="BT74" s="132"/>
      <c r="BU74" s="132"/>
      <c r="BV74" s="132"/>
      <c r="BW74" s="132"/>
      <c r="BX74" s="132"/>
      <c r="BY74" s="132"/>
    </row>
    <row r="75" spans="1:77" x14ac:dyDescent="0.25">
      <c r="A75" s="4" t="s">
        <v>139</v>
      </c>
      <c r="B75" s="6" t="s">
        <v>140</v>
      </c>
      <c r="H75" s="17">
        <v>44</v>
      </c>
      <c r="I75" s="17">
        <v>45</v>
      </c>
      <c r="J75" s="17">
        <v>50</v>
      </c>
      <c r="K75" s="17">
        <v>54</v>
      </c>
      <c r="L75" s="17">
        <v>54</v>
      </c>
      <c r="M75" s="17">
        <v>54</v>
      </c>
      <c r="N75" s="24">
        <v>58</v>
      </c>
      <c r="O75" s="17">
        <v>58</v>
      </c>
      <c r="P75" s="17">
        <v>60</v>
      </c>
      <c r="Q75" s="17">
        <v>62</v>
      </c>
      <c r="R75" s="17">
        <v>62</v>
      </c>
      <c r="S75" s="24">
        <v>64</v>
      </c>
      <c r="T75" s="17">
        <v>65</v>
      </c>
      <c r="U75" s="17">
        <v>66</v>
      </c>
      <c r="V75" s="17">
        <v>68</v>
      </c>
      <c r="W75" s="17">
        <v>68</v>
      </c>
      <c r="X75" s="17">
        <v>73</v>
      </c>
      <c r="Y75" s="17">
        <v>74</v>
      </c>
      <c r="Z75" s="17">
        <v>75</v>
      </c>
      <c r="AA75" s="17">
        <v>79</v>
      </c>
      <c r="AB75" s="17">
        <v>82</v>
      </c>
      <c r="AC75" s="17">
        <v>82</v>
      </c>
      <c r="AD75" s="17">
        <v>83</v>
      </c>
      <c r="AE75" s="17"/>
      <c r="AF75" s="17"/>
      <c r="AG75" s="17"/>
      <c r="AH75" s="17"/>
      <c r="AI75" s="17"/>
      <c r="AJ75" s="17"/>
      <c r="AK75" s="17"/>
      <c r="AR75" s="17">
        <v>22</v>
      </c>
      <c r="AS75" s="17">
        <v>25</v>
      </c>
      <c r="AT75" s="17">
        <v>26</v>
      </c>
      <c r="AU75" s="17">
        <v>27</v>
      </c>
      <c r="AV75" s="17">
        <v>30</v>
      </c>
      <c r="AW75" s="17">
        <v>39</v>
      </c>
      <c r="AX75" s="24">
        <v>46</v>
      </c>
      <c r="AY75" s="17">
        <v>46</v>
      </c>
      <c r="AZ75" s="17">
        <v>50</v>
      </c>
      <c r="BA75" s="17">
        <v>53</v>
      </c>
      <c r="BB75" s="17">
        <v>53</v>
      </c>
      <c r="BC75" s="24">
        <v>57</v>
      </c>
      <c r="BD75" s="17">
        <v>59</v>
      </c>
      <c r="BE75" s="17">
        <v>60</v>
      </c>
      <c r="BF75" s="17">
        <v>60</v>
      </c>
      <c r="BG75" s="17">
        <v>60</v>
      </c>
      <c r="BH75" s="17">
        <v>60</v>
      </c>
      <c r="BI75" s="17">
        <v>60</v>
      </c>
      <c r="BJ75" s="17">
        <v>62</v>
      </c>
      <c r="BK75" s="17">
        <v>63</v>
      </c>
      <c r="BL75" s="17">
        <v>63</v>
      </c>
      <c r="BM75" s="17">
        <v>65</v>
      </c>
      <c r="BN75" s="17">
        <v>66</v>
      </c>
      <c r="BO75" s="132"/>
      <c r="BP75" s="132"/>
      <c r="BQ75" s="132"/>
      <c r="BR75" s="132"/>
      <c r="BS75" s="132"/>
      <c r="BT75" s="132"/>
      <c r="BU75" s="132"/>
      <c r="BV75" s="132"/>
      <c r="BW75" s="132"/>
      <c r="BX75" s="132"/>
      <c r="BY75" s="132"/>
    </row>
    <row r="76" spans="1:77" x14ac:dyDescent="0.25">
      <c r="A76" s="4" t="s">
        <v>141</v>
      </c>
      <c r="B76" s="6" t="s">
        <v>142</v>
      </c>
      <c r="H76" s="17">
        <v>316</v>
      </c>
      <c r="I76" s="17">
        <v>345</v>
      </c>
      <c r="J76" s="17">
        <v>363</v>
      </c>
      <c r="K76" s="17">
        <v>385</v>
      </c>
      <c r="L76" s="17">
        <v>393</v>
      </c>
      <c r="M76" s="17">
        <v>402</v>
      </c>
      <c r="N76" s="24">
        <v>417</v>
      </c>
      <c r="O76" s="17">
        <v>431</v>
      </c>
      <c r="P76" s="17">
        <v>445</v>
      </c>
      <c r="Q76" s="17">
        <v>473</v>
      </c>
      <c r="R76" s="17">
        <v>480</v>
      </c>
      <c r="S76" s="24">
        <v>491</v>
      </c>
      <c r="T76" s="17">
        <v>504</v>
      </c>
      <c r="U76" s="17">
        <v>510</v>
      </c>
      <c r="V76" s="17">
        <v>518</v>
      </c>
      <c r="W76" s="17">
        <v>529</v>
      </c>
      <c r="X76" s="17">
        <v>536</v>
      </c>
      <c r="Y76" s="17">
        <v>543</v>
      </c>
      <c r="Z76" s="17">
        <v>555</v>
      </c>
      <c r="AA76" s="17">
        <v>563</v>
      </c>
      <c r="AB76" s="17">
        <v>565</v>
      </c>
      <c r="AC76" s="17">
        <v>567</v>
      </c>
      <c r="AD76" s="17">
        <v>575</v>
      </c>
      <c r="AE76" s="17"/>
      <c r="AF76" s="17"/>
      <c r="AG76" s="17"/>
      <c r="AH76" s="17"/>
      <c r="AI76" s="17"/>
      <c r="AJ76" s="17"/>
      <c r="AK76" s="17"/>
      <c r="AR76" s="17">
        <v>150</v>
      </c>
      <c r="AS76" s="17">
        <v>183</v>
      </c>
      <c r="AT76" s="17">
        <v>217</v>
      </c>
      <c r="AU76" s="17">
        <v>247</v>
      </c>
      <c r="AV76" s="17">
        <v>269</v>
      </c>
      <c r="AW76" s="17">
        <v>282</v>
      </c>
      <c r="AX76" s="24">
        <v>291</v>
      </c>
      <c r="AY76" s="17">
        <v>304</v>
      </c>
      <c r="AZ76" s="17">
        <v>320</v>
      </c>
      <c r="BA76" s="17">
        <v>340</v>
      </c>
      <c r="BB76" s="17">
        <v>350</v>
      </c>
      <c r="BC76" s="24">
        <v>371</v>
      </c>
      <c r="BD76" s="17">
        <v>384</v>
      </c>
      <c r="BE76" s="17">
        <v>391</v>
      </c>
      <c r="BF76" s="17">
        <v>402</v>
      </c>
      <c r="BG76" s="17">
        <v>407</v>
      </c>
      <c r="BH76" s="17">
        <v>413</v>
      </c>
      <c r="BI76" s="17">
        <v>422</v>
      </c>
      <c r="BJ76" s="17">
        <v>437</v>
      </c>
      <c r="BK76" s="17">
        <v>445</v>
      </c>
      <c r="BL76" s="17">
        <v>459</v>
      </c>
      <c r="BM76" s="17">
        <v>459</v>
      </c>
      <c r="BN76" s="17">
        <v>465</v>
      </c>
      <c r="BO76" s="132"/>
      <c r="BP76" s="132"/>
      <c r="BQ76" s="132"/>
      <c r="BR76" s="132"/>
      <c r="BS76" s="132"/>
      <c r="BT76" s="132"/>
      <c r="BU76" s="132"/>
      <c r="BV76" s="132"/>
      <c r="BW76" s="132"/>
      <c r="BX76" s="132"/>
      <c r="BY76" s="132"/>
    </row>
    <row r="77" spans="1:77" x14ac:dyDescent="0.25">
      <c r="A77" s="4" t="s">
        <v>143</v>
      </c>
      <c r="B77" s="6" t="s">
        <v>144</v>
      </c>
      <c r="H77" s="17">
        <v>761</v>
      </c>
      <c r="I77" s="17">
        <v>830</v>
      </c>
      <c r="J77" s="17">
        <v>877</v>
      </c>
      <c r="K77" s="17">
        <v>936</v>
      </c>
      <c r="L77" s="17">
        <v>970</v>
      </c>
      <c r="M77" s="17">
        <v>975</v>
      </c>
      <c r="N77" s="24">
        <v>1037</v>
      </c>
      <c r="O77" s="17">
        <v>1070</v>
      </c>
      <c r="P77" s="17">
        <v>1101</v>
      </c>
      <c r="Q77" s="17">
        <v>1126</v>
      </c>
      <c r="R77" s="17">
        <v>1157</v>
      </c>
      <c r="S77" s="24">
        <v>1180</v>
      </c>
      <c r="T77" s="17">
        <v>1211</v>
      </c>
      <c r="U77" s="17">
        <v>1239</v>
      </c>
      <c r="V77" s="17">
        <v>1255</v>
      </c>
      <c r="W77" s="17">
        <v>1269</v>
      </c>
      <c r="X77" s="17">
        <v>1275</v>
      </c>
      <c r="Y77" s="17">
        <v>1291</v>
      </c>
      <c r="Z77" s="17">
        <v>1316</v>
      </c>
      <c r="AA77" s="17">
        <v>1320</v>
      </c>
      <c r="AB77" s="17">
        <v>1334</v>
      </c>
      <c r="AC77" s="17">
        <v>1336</v>
      </c>
      <c r="AD77" s="17">
        <v>1364</v>
      </c>
      <c r="AE77" s="17"/>
      <c r="AF77" s="17"/>
      <c r="AG77" s="17"/>
      <c r="AH77" s="17"/>
      <c r="AI77" s="17"/>
      <c r="AJ77" s="17"/>
      <c r="AK77" s="17"/>
      <c r="AR77" s="17">
        <v>332</v>
      </c>
      <c r="AS77" s="17">
        <v>418</v>
      </c>
      <c r="AT77" s="17">
        <v>499</v>
      </c>
      <c r="AU77" s="17">
        <v>581</v>
      </c>
      <c r="AV77" s="17">
        <v>634</v>
      </c>
      <c r="AW77" s="17">
        <v>666</v>
      </c>
      <c r="AX77" s="24">
        <v>740</v>
      </c>
      <c r="AY77" s="17">
        <v>780</v>
      </c>
      <c r="AZ77" s="17">
        <v>825</v>
      </c>
      <c r="BA77" s="17">
        <v>850</v>
      </c>
      <c r="BB77" s="17">
        <v>868</v>
      </c>
      <c r="BC77" s="24">
        <v>899</v>
      </c>
      <c r="BD77" s="17">
        <v>922</v>
      </c>
      <c r="BE77" s="17">
        <v>936</v>
      </c>
      <c r="BF77" s="17">
        <v>973</v>
      </c>
      <c r="BG77" s="17">
        <v>987</v>
      </c>
      <c r="BH77" s="17">
        <v>1008</v>
      </c>
      <c r="BI77" s="17">
        <v>1031</v>
      </c>
      <c r="BJ77" s="17">
        <v>1055</v>
      </c>
      <c r="BK77" s="17">
        <v>1072</v>
      </c>
      <c r="BL77" s="17">
        <v>1096</v>
      </c>
      <c r="BM77" s="17">
        <v>1112</v>
      </c>
      <c r="BN77" s="17">
        <v>1123</v>
      </c>
      <c r="BO77" s="132"/>
      <c r="BP77" s="132"/>
      <c r="BQ77" s="132"/>
      <c r="BR77" s="132"/>
      <c r="BS77" s="132"/>
      <c r="BT77" s="132"/>
      <c r="BU77" s="132"/>
      <c r="BV77" s="132"/>
      <c r="BW77" s="132"/>
      <c r="BX77" s="132"/>
      <c r="BY77" s="132"/>
    </row>
    <row r="78" spans="1:77" x14ac:dyDescent="0.25">
      <c r="A78" s="4" t="s">
        <v>145</v>
      </c>
      <c r="B78" s="6" t="s">
        <v>146</v>
      </c>
      <c r="H78" s="17">
        <v>422</v>
      </c>
      <c r="I78" s="17">
        <v>449</v>
      </c>
      <c r="J78" s="17">
        <v>474</v>
      </c>
      <c r="K78" s="17">
        <v>518</v>
      </c>
      <c r="L78" s="17">
        <v>530</v>
      </c>
      <c r="M78" s="17">
        <v>544</v>
      </c>
      <c r="N78" s="24">
        <v>579</v>
      </c>
      <c r="O78" s="17">
        <v>592</v>
      </c>
      <c r="P78" s="17">
        <v>623</v>
      </c>
      <c r="Q78" s="17">
        <v>642</v>
      </c>
      <c r="R78" s="17">
        <v>646</v>
      </c>
      <c r="S78" s="24">
        <v>661</v>
      </c>
      <c r="T78" s="17">
        <v>672</v>
      </c>
      <c r="U78" s="17">
        <v>678</v>
      </c>
      <c r="V78" s="17">
        <v>700</v>
      </c>
      <c r="W78" s="17">
        <v>711</v>
      </c>
      <c r="X78" s="17">
        <v>716</v>
      </c>
      <c r="Y78" s="17">
        <v>731</v>
      </c>
      <c r="Z78" s="17">
        <v>747</v>
      </c>
      <c r="AA78" s="17">
        <v>752</v>
      </c>
      <c r="AB78" s="17">
        <v>760</v>
      </c>
      <c r="AC78" s="17">
        <v>761</v>
      </c>
      <c r="AD78" s="17">
        <v>788</v>
      </c>
      <c r="AE78" s="17"/>
      <c r="AF78" s="17"/>
      <c r="AG78" s="17"/>
      <c r="AH78" s="17"/>
      <c r="AI78" s="17"/>
      <c r="AJ78" s="17"/>
      <c r="AK78" s="17"/>
      <c r="AR78" s="17">
        <v>244</v>
      </c>
      <c r="AS78" s="17">
        <v>275</v>
      </c>
      <c r="AT78" s="17">
        <v>300</v>
      </c>
      <c r="AU78" s="17">
        <v>325</v>
      </c>
      <c r="AV78" s="17">
        <v>345</v>
      </c>
      <c r="AW78" s="17">
        <v>358</v>
      </c>
      <c r="AX78" s="24">
        <v>415</v>
      </c>
      <c r="AY78" s="17">
        <v>428</v>
      </c>
      <c r="AZ78" s="17">
        <v>459</v>
      </c>
      <c r="BA78" s="17">
        <v>481</v>
      </c>
      <c r="BB78" s="17">
        <v>487</v>
      </c>
      <c r="BC78" s="24">
        <v>515</v>
      </c>
      <c r="BD78" s="17">
        <v>527</v>
      </c>
      <c r="BE78" s="17">
        <v>540</v>
      </c>
      <c r="BF78" s="17">
        <v>546</v>
      </c>
      <c r="BG78" s="17">
        <v>549</v>
      </c>
      <c r="BH78" s="17">
        <v>560</v>
      </c>
      <c r="BI78" s="17">
        <v>570</v>
      </c>
      <c r="BJ78" s="17">
        <v>584</v>
      </c>
      <c r="BK78" s="17">
        <v>602</v>
      </c>
      <c r="BL78" s="17">
        <v>617</v>
      </c>
      <c r="BM78" s="17">
        <v>622</v>
      </c>
      <c r="BN78" s="17">
        <v>635</v>
      </c>
      <c r="BO78" s="132"/>
      <c r="BP78" s="132"/>
      <c r="BQ78" s="132"/>
      <c r="BR78" s="132"/>
      <c r="BS78" s="132"/>
      <c r="BT78" s="132"/>
      <c r="BU78" s="132"/>
      <c r="BV78" s="132"/>
      <c r="BW78" s="132"/>
      <c r="BX78" s="132"/>
      <c r="BY78" s="132"/>
    </row>
    <row r="79" spans="1:77" x14ac:dyDescent="0.25">
      <c r="A79" s="4" t="s">
        <v>147</v>
      </c>
      <c r="B79" s="6" t="s">
        <v>148</v>
      </c>
      <c r="H79" s="17">
        <v>76</v>
      </c>
      <c r="I79" s="17">
        <v>77</v>
      </c>
      <c r="J79" s="17">
        <v>78</v>
      </c>
      <c r="K79" s="17">
        <v>89</v>
      </c>
      <c r="L79" s="17">
        <v>92</v>
      </c>
      <c r="M79" s="17">
        <v>94</v>
      </c>
      <c r="N79" s="24">
        <v>99</v>
      </c>
      <c r="O79" s="17">
        <v>104</v>
      </c>
      <c r="P79" s="17">
        <v>105</v>
      </c>
      <c r="Q79" s="17">
        <v>110</v>
      </c>
      <c r="R79" s="17">
        <v>110</v>
      </c>
      <c r="S79" s="24">
        <v>117</v>
      </c>
      <c r="T79" s="17">
        <v>120</v>
      </c>
      <c r="U79" s="17">
        <v>121</v>
      </c>
      <c r="V79" s="17">
        <v>129</v>
      </c>
      <c r="W79" s="17">
        <v>127</v>
      </c>
      <c r="X79" s="17">
        <v>129</v>
      </c>
      <c r="Y79" s="17">
        <v>130</v>
      </c>
      <c r="Z79" s="17">
        <v>134</v>
      </c>
      <c r="AA79" s="17">
        <v>134</v>
      </c>
      <c r="AB79" s="17">
        <v>136</v>
      </c>
      <c r="AC79" s="17">
        <v>137</v>
      </c>
      <c r="AD79" s="17">
        <v>142</v>
      </c>
      <c r="AE79" s="17"/>
      <c r="AF79" s="17"/>
      <c r="AG79" s="17"/>
      <c r="AH79" s="17"/>
      <c r="AI79" s="17"/>
      <c r="AJ79" s="17"/>
      <c r="AK79" s="17"/>
      <c r="AR79" s="17">
        <v>37</v>
      </c>
      <c r="AS79" s="17">
        <v>48</v>
      </c>
      <c r="AT79" s="17">
        <v>50</v>
      </c>
      <c r="AU79" s="17">
        <v>51</v>
      </c>
      <c r="AV79" s="17">
        <v>52</v>
      </c>
      <c r="AW79" s="17">
        <v>55</v>
      </c>
      <c r="AX79" s="24">
        <v>66</v>
      </c>
      <c r="AY79" s="17">
        <v>67</v>
      </c>
      <c r="AZ79" s="17">
        <v>72</v>
      </c>
      <c r="BA79" s="17">
        <v>72</v>
      </c>
      <c r="BB79" s="17">
        <v>72</v>
      </c>
      <c r="BC79" s="24">
        <v>76</v>
      </c>
      <c r="BD79" s="17">
        <v>90</v>
      </c>
      <c r="BE79" s="17">
        <v>94</v>
      </c>
      <c r="BF79" s="17">
        <v>98</v>
      </c>
      <c r="BG79" s="17">
        <v>98</v>
      </c>
      <c r="BH79" s="17">
        <v>101</v>
      </c>
      <c r="BI79" s="17">
        <v>104</v>
      </c>
      <c r="BJ79" s="17">
        <v>107</v>
      </c>
      <c r="BK79" s="17">
        <v>111</v>
      </c>
      <c r="BL79" s="17">
        <v>113</v>
      </c>
      <c r="BM79" s="17">
        <v>113</v>
      </c>
      <c r="BN79" s="17">
        <v>117</v>
      </c>
      <c r="BO79" s="132"/>
      <c r="BP79" s="132"/>
      <c r="BQ79" s="132"/>
      <c r="BR79" s="132"/>
      <c r="BS79" s="132"/>
      <c r="BT79" s="132"/>
      <c r="BU79" s="132"/>
      <c r="BV79" s="132"/>
      <c r="BW79" s="132"/>
      <c r="BX79" s="132"/>
      <c r="BY79" s="132"/>
    </row>
    <row r="80" spans="1:77" x14ac:dyDescent="0.25">
      <c r="A80" s="4" t="s">
        <v>149</v>
      </c>
      <c r="B80" s="6" t="s">
        <v>150</v>
      </c>
      <c r="H80" s="17">
        <v>522</v>
      </c>
      <c r="I80" s="17">
        <v>568</v>
      </c>
      <c r="J80" s="17">
        <v>594</v>
      </c>
      <c r="K80" s="17">
        <v>642</v>
      </c>
      <c r="L80" s="17">
        <v>668</v>
      </c>
      <c r="M80" s="17">
        <v>679</v>
      </c>
      <c r="N80" s="24">
        <v>729</v>
      </c>
      <c r="O80" s="17">
        <v>753</v>
      </c>
      <c r="P80" s="17">
        <v>785</v>
      </c>
      <c r="Q80" s="17">
        <v>811</v>
      </c>
      <c r="R80" s="17">
        <v>827</v>
      </c>
      <c r="S80" s="24">
        <v>854</v>
      </c>
      <c r="T80" s="17">
        <v>871</v>
      </c>
      <c r="U80" s="17">
        <v>890</v>
      </c>
      <c r="V80" s="17">
        <v>901</v>
      </c>
      <c r="W80" s="17">
        <v>915</v>
      </c>
      <c r="X80" s="17">
        <v>928</v>
      </c>
      <c r="Y80" s="17">
        <v>954</v>
      </c>
      <c r="Z80" s="17">
        <v>972</v>
      </c>
      <c r="AA80" s="17">
        <v>984</v>
      </c>
      <c r="AB80" s="17">
        <v>989</v>
      </c>
      <c r="AC80" s="17">
        <v>992</v>
      </c>
      <c r="AD80" s="17">
        <v>1007</v>
      </c>
      <c r="AE80" s="17"/>
      <c r="AF80" s="17"/>
      <c r="AG80" s="17"/>
      <c r="AH80" s="17"/>
      <c r="AI80" s="17"/>
      <c r="AJ80" s="17"/>
      <c r="AK80" s="17"/>
      <c r="AR80" s="17">
        <v>258</v>
      </c>
      <c r="AS80" s="17">
        <v>303</v>
      </c>
      <c r="AT80" s="17">
        <v>343</v>
      </c>
      <c r="AU80" s="17">
        <v>396</v>
      </c>
      <c r="AV80" s="17">
        <v>438</v>
      </c>
      <c r="AW80" s="17">
        <v>475</v>
      </c>
      <c r="AX80" s="24">
        <v>515</v>
      </c>
      <c r="AY80" s="17">
        <v>536</v>
      </c>
      <c r="AZ80" s="17">
        <v>567</v>
      </c>
      <c r="BA80" s="17">
        <v>593</v>
      </c>
      <c r="BB80" s="17">
        <v>606</v>
      </c>
      <c r="BC80" s="24">
        <v>626</v>
      </c>
      <c r="BD80" s="17">
        <v>647</v>
      </c>
      <c r="BE80" s="17">
        <v>659</v>
      </c>
      <c r="BF80" s="17">
        <v>684</v>
      </c>
      <c r="BG80" s="17">
        <v>698</v>
      </c>
      <c r="BH80" s="17">
        <v>711</v>
      </c>
      <c r="BI80" s="17">
        <v>715</v>
      </c>
      <c r="BJ80" s="17">
        <v>734</v>
      </c>
      <c r="BK80" s="17">
        <v>757</v>
      </c>
      <c r="BL80" s="17">
        <v>774</v>
      </c>
      <c r="BM80" s="17">
        <v>786</v>
      </c>
      <c r="BN80" s="17">
        <v>794</v>
      </c>
      <c r="BO80" s="132"/>
      <c r="BP80" s="132"/>
      <c r="BQ80" s="132"/>
      <c r="BR80" s="132"/>
      <c r="BS80" s="132"/>
      <c r="BT80" s="132"/>
      <c r="BU80" s="132"/>
      <c r="BV80" s="132"/>
      <c r="BW80" s="132"/>
      <c r="BX80" s="132"/>
      <c r="BY80" s="132"/>
    </row>
    <row r="81" spans="1:77" x14ac:dyDescent="0.25">
      <c r="A81" s="4" t="s">
        <v>151</v>
      </c>
      <c r="B81" s="6" t="s">
        <v>152</v>
      </c>
      <c r="H81" s="17">
        <v>267</v>
      </c>
      <c r="I81" s="17">
        <v>281</v>
      </c>
      <c r="J81" s="17">
        <v>305</v>
      </c>
      <c r="K81" s="17">
        <v>344</v>
      </c>
      <c r="L81" s="17">
        <v>351</v>
      </c>
      <c r="M81" s="17">
        <v>352</v>
      </c>
      <c r="N81" s="24">
        <v>366</v>
      </c>
      <c r="O81" s="17">
        <v>381</v>
      </c>
      <c r="P81" s="17">
        <v>404</v>
      </c>
      <c r="Q81" s="17">
        <v>413</v>
      </c>
      <c r="R81" s="17">
        <v>421</v>
      </c>
      <c r="S81" s="24">
        <v>433</v>
      </c>
      <c r="T81" s="17">
        <v>448</v>
      </c>
      <c r="U81" s="17">
        <v>464</v>
      </c>
      <c r="V81" s="17">
        <v>468</v>
      </c>
      <c r="W81" s="17">
        <v>483</v>
      </c>
      <c r="X81" s="17">
        <v>488</v>
      </c>
      <c r="Y81" s="17">
        <v>492</v>
      </c>
      <c r="Z81" s="17">
        <v>501</v>
      </c>
      <c r="AA81" s="17">
        <v>504</v>
      </c>
      <c r="AB81" s="17">
        <v>507</v>
      </c>
      <c r="AC81" s="17">
        <v>508</v>
      </c>
      <c r="AD81" s="17">
        <v>523</v>
      </c>
      <c r="AE81" s="17"/>
      <c r="AF81" s="17"/>
      <c r="AG81" s="17"/>
      <c r="AH81" s="17"/>
      <c r="AI81" s="17"/>
      <c r="AJ81" s="17"/>
      <c r="AK81" s="17"/>
      <c r="AR81" s="17">
        <v>155</v>
      </c>
      <c r="AS81" s="17">
        <v>175</v>
      </c>
      <c r="AT81" s="17">
        <v>186</v>
      </c>
      <c r="AU81" s="17">
        <v>211</v>
      </c>
      <c r="AV81" s="17">
        <v>219</v>
      </c>
      <c r="AW81" s="17">
        <v>233</v>
      </c>
      <c r="AX81" s="24">
        <v>254</v>
      </c>
      <c r="AY81" s="17">
        <v>265</v>
      </c>
      <c r="AZ81" s="17">
        <v>281</v>
      </c>
      <c r="BA81" s="17">
        <v>307</v>
      </c>
      <c r="BB81" s="17">
        <v>316</v>
      </c>
      <c r="BC81" s="24">
        <v>321</v>
      </c>
      <c r="BD81" s="17">
        <v>335</v>
      </c>
      <c r="BE81" s="17">
        <v>345</v>
      </c>
      <c r="BF81" s="17">
        <v>352</v>
      </c>
      <c r="BG81" s="17">
        <v>359</v>
      </c>
      <c r="BH81" s="17">
        <v>367</v>
      </c>
      <c r="BI81" s="17">
        <v>372</v>
      </c>
      <c r="BJ81" s="17">
        <v>384</v>
      </c>
      <c r="BK81" s="17">
        <v>393</v>
      </c>
      <c r="BL81" s="17">
        <v>405</v>
      </c>
      <c r="BM81" s="17">
        <v>406</v>
      </c>
      <c r="BN81" s="17">
        <v>410</v>
      </c>
      <c r="BO81" s="132"/>
      <c r="BP81" s="132"/>
      <c r="BQ81" s="132"/>
      <c r="BR81" s="132"/>
      <c r="BS81" s="132"/>
      <c r="BT81" s="132"/>
      <c r="BU81" s="132"/>
      <c r="BV81" s="132"/>
      <c r="BW81" s="132"/>
      <c r="BX81" s="132"/>
      <c r="BY81" s="132"/>
    </row>
    <row r="82" spans="1:77" x14ac:dyDescent="0.25">
      <c r="A82" s="4" t="s">
        <v>153</v>
      </c>
      <c r="B82" s="6" t="s">
        <v>154</v>
      </c>
      <c r="H82" s="17">
        <v>744</v>
      </c>
      <c r="I82" s="17">
        <v>807</v>
      </c>
      <c r="J82" s="17">
        <v>850</v>
      </c>
      <c r="K82" s="17">
        <v>922</v>
      </c>
      <c r="L82" s="17">
        <v>954</v>
      </c>
      <c r="M82" s="17">
        <v>973</v>
      </c>
      <c r="N82" s="24">
        <v>1044</v>
      </c>
      <c r="O82" s="17">
        <v>1071</v>
      </c>
      <c r="P82" s="17">
        <v>1104</v>
      </c>
      <c r="Q82" s="17">
        <v>1143</v>
      </c>
      <c r="R82" s="17">
        <v>1163</v>
      </c>
      <c r="S82" s="24">
        <v>1177</v>
      </c>
      <c r="T82" s="17">
        <v>1188</v>
      </c>
      <c r="U82" s="17">
        <v>1209</v>
      </c>
      <c r="V82" s="17">
        <v>1225</v>
      </c>
      <c r="W82" s="17">
        <v>1233</v>
      </c>
      <c r="X82" s="17">
        <v>1246</v>
      </c>
      <c r="Y82" s="17">
        <v>1262</v>
      </c>
      <c r="Z82" s="17">
        <v>1291</v>
      </c>
      <c r="AA82" s="17">
        <v>1304</v>
      </c>
      <c r="AB82" s="17">
        <v>1313</v>
      </c>
      <c r="AC82" s="17">
        <v>1313</v>
      </c>
      <c r="AD82" s="17">
        <v>1340</v>
      </c>
      <c r="AE82" s="17"/>
      <c r="AF82" s="17"/>
      <c r="AG82" s="17"/>
      <c r="AH82" s="17"/>
      <c r="AI82" s="17"/>
      <c r="AJ82" s="17"/>
      <c r="AK82" s="17"/>
      <c r="AR82" s="17">
        <v>363</v>
      </c>
      <c r="AS82" s="17">
        <v>408</v>
      </c>
      <c r="AT82" s="17">
        <v>477</v>
      </c>
      <c r="AU82" s="17">
        <v>560</v>
      </c>
      <c r="AV82" s="17">
        <v>598</v>
      </c>
      <c r="AW82" s="17">
        <v>638</v>
      </c>
      <c r="AX82" s="24">
        <v>702</v>
      </c>
      <c r="AY82" s="17">
        <v>721</v>
      </c>
      <c r="AZ82" s="17">
        <v>781</v>
      </c>
      <c r="BA82" s="17">
        <v>812</v>
      </c>
      <c r="BB82" s="17">
        <v>825</v>
      </c>
      <c r="BC82" s="24">
        <v>848</v>
      </c>
      <c r="BD82" s="17">
        <v>890</v>
      </c>
      <c r="BE82" s="17">
        <v>910</v>
      </c>
      <c r="BF82" s="17">
        <v>924</v>
      </c>
      <c r="BG82" s="17">
        <v>938</v>
      </c>
      <c r="BH82" s="17">
        <v>967</v>
      </c>
      <c r="BI82" s="17">
        <v>978</v>
      </c>
      <c r="BJ82" s="17">
        <v>989</v>
      </c>
      <c r="BK82" s="17">
        <v>1009</v>
      </c>
      <c r="BL82" s="17">
        <v>1049</v>
      </c>
      <c r="BM82" s="17">
        <v>1055</v>
      </c>
      <c r="BN82" s="17">
        <v>1066</v>
      </c>
      <c r="BO82" s="132"/>
      <c r="BP82" s="132"/>
      <c r="BQ82" s="132"/>
      <c r="BR82" s="132"/>
      <c r="BS82" s="132"/>
      <c r="BT82" s="132"/>
      <c r="BU82" s="132"/>
      <c r="BV82" s="132"/>
      <c r="BW82" s="132"/>
      <c r="BX82" s="132"/>
      <c r="BY82" s="132"/>
    </row>
    <row r="83" spans="1:77" x14ac:dyDescent="0.25">
      <c r="A83" s="4" t="s">
        <v>155</v>
      </c>
      <c r="B83" s="6" t="s">
        <v>156</v>
      </c>
      <c r="H83" s="17">
        <v>158</v>
      </c>
      <c r="I83" s="17">
        <v>170</v>
      </c>
      <c r="J83" s="17">
        <v>170</v>
      </c>
      <c r="K83" s="17">
        <v>187</v>
      </c>
      <c r="L83" s="17">
        <v>197</v>
      </c>
      <c r="M83" s="17">
        <v>202</v>
      </c>
      <c r="N83" s="24">
        <v>212</v>
      </c>
      <c r="O83" s="17">
        <v>223</v>
      </c>
      <c r="P83" s="17">
        <v>227</v>
      </c>
      <c r="Q83" s="17">
        <v>236</v>
      </c>
      <c r="R83" s="17">
        <v>237</v>
      </c>
      <c r="S83" s="24">
        <v>240</v>
      </c>
      <c r="T83" s="17">
        <v>254</v>
      </c>
      <c r="U83" s="17">
        <v>261</v>
      </c>
      <c r="V83" s="17">
        <v>261</v>
      </c>
      <c r="W83" s="17">
        <v>266</v>
      </c>
      <c r="X83" s="17">
        <v>271</v>
      </c>
      <c r="Y83" s="17">
        <v>274</v>
      </c>
      <c r="Z83" s="17">
        <v>286</v>
      </c>
      <c r="AA83" s="17">
        <v>290</v>
      </c>
      <c r="AB83" s="17">
        <v>294</v>
      </c>
      <c r="AC83" s="17">
        <v>300</v>
      </c>
      <c r="AD83" s="17">
        <v>302</v>
      </c>
      <c r="AE83" s="17"/>
      <c r="AF83" s="17"/>
      <c r="AG83" s="17"/>
      <c r="AH83" s="17"/>
      <c r="AI83" s="17"/>
      <c r="AJ83" s="17"/>
      <c r="AK83" s="17"/>
      <c r="AR83" s="17">
        <v>65</v>
      </c>
      <c r="AS83" s="17">
        <v>76</v>
      </c>
      <c r="AT83" s="17">
        <v>91</v>
      </c>
      <c r="AU83" s="17">
        <v>108</v>
      </c>
      <c r="AV83" s="17">
        <v>113</v>
      </c>
      <c r="AW83" s="17">
        <v>120</v>
      </c>
      <c r="AX83" s="24">
        <v>132</v>
      </c>
      <c r="AY83" s="17">
        <v>135</v>
      </c>
      <c r="AZ83" s="17">
        <v>137</v>
      </c>
      <c r="BA83" s="17">
        <v>143</v>
      </c>
      <c r="BB83" s="17">
        <v>151</v>
      </c>
      <c r="BC83" s="24">
        <v>166</v>
      </c>
      <c r="BD83" s="17">
        <v>173</v>
      </c>
      <c r="BE83" s="17">
        <v>179</v>
      </c>
      <c r="BF83" s="17">
        <v>187</v>
      </c>
      <c r="BG83" s="17">
        <v>190</v>
      </c>
      <c r="BH83" s="17">
        <v>192</v>
      </c>
      <c r="BI83" s="17">
        <v>194</v>
      </c>
      <c r="BJ83" s="17">
        <v>200</v>
      </c>
      <c r="BK83" s="17">
        <v>208</v>
      </c>
      <c r="BL83" s="17">
        <v>224</v>
      </c>
      <c r="BM83" s="17">
        <v>223</v>
      </c>
      <c r="BN83" s="17">
        <v>229</v>
      </c>
      <c r="BO83" s="132"/>
      <c r="BP83" s="132"/>
      <c r="BQ83" s="132"/>
      <c r="BR83" s="132"/>
      <c r="BS83" s="132"/>
      <c r="BT83" s="132"/>
      <c r="BU83" s="132"/>
      <c r="BV83" s="132"/>
      <c r="BW83" s="132"/>
      <c r="BX83" s="132"/>
      <c r="BY83" s="132"/>
    </row>
    <row r="84" spans="1:77" x14ac:dyDescent="0.25">
      <c r="A84" s="4" t="s">
        <v>157</v>
      </c>
      <c r="B84" s="6" t="s">
        <v>158</v>
      </c>
      <c r="H84" s="17">
        <v>44</v>
      </c>
      <c r="I84" s="17">
        <v>45</v>
      </c>
      <c r="J84" s="17">
        <v>48</v>
      </c>
      <c r="K84" s="17">
        <v>57</v>
      </c>
      <c r="L84" s="17">
        <v>57</v>
      </c>
      <c r="M84" s="17">
        <v>59</v>
      </c>
      <c r="N84" s="24">
        <v>61</v>
      </c>
      <c r="O84" s="17">
        <v>70</v>
      </c>
      <c r="P84" s="17">
        <v>70</v>
      </c>
      <c r="Q84" s="17">
        <v>73</v>
      </c>
      <c r="R84" s="17">
        <v>76</v>
      </c>
      <c r="S84" s="24">
        <v>79</v>
      </c>
      <c r="T84" s="17">
        <v>80</v>
      </c>
      <c r="U84" s="17">
        <v>81</v>
      </c>
      <c r="V84" s="17">
        <v>81</v>
      </c>
      <c r="W84" s="17">
        <v>82</v>
      </c>
      <c r="X84" s="17">
        <v>81</v>
      </c>
      <c r="Y84" s="17">
        <v>81</v>
      </c>
      <c r="Z84" s="17">
        <v>84</v>
      </c>
      <c r="AA84" s="17">
        <v>88</v>
      </c>
      <c r="AB84" s="17">
        <v>88</v>
      </c>
      <c r="AC84" s="17">
        <v>88</v>
      </c>
      <c r="AD84" s="17">
        <v>91</v>
      </c>
      <c r="AE84" s="17"/>
      <c r="AF84" s="17"/>
      <c r="AG84" s="17"/>
      <c r="AH84" s="17"/>
      <c r="AI84" s="17"/>
      <c r="AJ84" s="17"/>
      <c r="AK84" s="17"/>
      <c r="AR84" s="17">
        <v>18</v>
      </c>
      <c r="AS84" s="17">
        <v>25</v>
      </c>
      <c r="AT84" s="17">
        <v>28</v>
      </c>
      <c r="AU84" s="17">
        <v>28</v>
      </c>
      <c r="AV84" s="17">
        <v>29</v>
      </c>
      <c r="AW84" s="17">
        <v>32</v>
      </c>
      <c r="AX84" s="17">
        <v>40</v>
      </c>
      <c r="AY84" s="17">
        <v>40</v>
      </c>
      <c r="AZ84" s="17">
        <v>40</v>
      </c>
      <c r="BA84" s="17">
        <v>43</v>
      </c>
      <c r="BB84" s="17">
        <v>45</v>
      </c>
      <c r="BC84" s="24">
        <v>53</v>
      </c>
      <c r="BD84" s="17">
        <v>54</v>
      </c>
      <c r="BE84" s="17">
        <v>55</v>
      </c>
      <c r="BF84" s="17">
        <v>58</v>
      </c>
      <c r="BG84" s="17">
        <v>58</v>
      </c>
      <c r="BH84" s="17">
        <v>58</v>
      </c>
      <c r="BI84" s="17">
        <v>59</v>
      </c>
      <c r="BJ84" s="17">
        <v>61</v>
      </c>
      <c r="BK84" s="17">
        <v>68</v>
      </c>
      <c r="BL84" s="17">
        <v>71</v>
      </c>
      <c r="BM84" s="17">
        <v>69</v>
      </c>
      <c r="BN84" s="17">
        <v>71</v>
      </c>
      <c r="BO84" s="132"/>
      <c r="BP84" s="132"/>
      <c r="BQ84" s="132"/>
      <c r="BR84" s="132"/>
      <c r="BS84" s="132"/>
      <c r="BT84" s="132"/>
      <c r="BU84" s="132"/>
      <c r="BV84" s="132"/>
      <c r="BW84" s="132"/>
      <c r="BX84" s="132"/>
      <c r="BY84" s="132"/>
    </row>
    <row r="85" spans="1:77" x14ac:dyDescent="0.25">
      <c r="A85" s="4" t="s">
        <v>159</v>
      </c>
      <c r="B85" s="6" t="s">
        <v>160</v>
      </c>
      <c r="H85" s="17">
        <v>236</v>
      </c>
      <c r="I85" s="17">
        <v>250</v>
      </c>
      <c r="J85" s="17">
        <v>262</v>
      </c>
      <c r="K85" s="17">
        <v>291</v>
      </c>
      <c r="L85" s="17">
        <v>297</v>
      </c>
      <c r="M85" s="17">
        <v>305</v>
      </c>
      <c r="N85" s="24">
        <v>334</v>
      </c>
      <c r="O85" s="17">
        <v>344</v>
      </c>
      <c r="P85" s="17">
        <v>367</v>
      </c>
      <c r="Q85" s="17">
        <v>374</v>
      </c>
      <c r="R85" s="17">
        <v>388</v>
      </c>
      <c r="S85" s="24">
        <v>402</v>
      </c>
      <c r="T85" s="17">
        <v>411</v>
      </c>
      <c r="U85" s="17">
        <v>418</v>
      </c>
      <c r="V85" s="17">
        <v>427</v>
      </c>
      <c r="W85" s="17">
        <v>445</v>
      </c>
      <c r="X85" s="17">
        <v>452</v>
      </c>
      <c r="Y85" s="17">
        <v>461</v>
      </c>
      <c r="Z85" s="17">
        <v>476</v>
      </c>
      <c r="AA85" s="17">
        <v>481</v>
      </c>
      <c r="AB85" s="17">
        <v>488</v>
      </c>
      <c r="AC85" s="17">
        <v>491</v>
      </c>
      <c r="AD85" s="17">
        <v>503</v>
      </c>
      <c r="AE85" s="17"/>
      <c r="AF85" s="17"/>
      <c r="AG85" s="17"/>
      <c r="AH85" s="17"/>
      <c r="AI85" s="17"/>
      <c r="AJ85" s="17"/>
      <c r="AK85" s="17"/>
      <c r="AR85" s="17">
        <v>131</v>
      </c>
      <c r="AS85" s="17">
        <v>147</v>
      </c>
      <c r="AT85" s="17">
        <v>150</v>
      </c>
      <c r="AU85" s="17">
        <v>161</v>
      </c>
      <c r="AV85" s="17">
        <v>175</v>
      </c>
      <c r="AW85" s="17">
        <v>186</v>
      </c>
      <c r="AX85" s="24">
        <v>211</v>
      </c>
      <c r="AY85" s="17">
        <v>228</v>
      </c>
      <c r="AZ85" s="17">
        <v>236</v>
      </c>
      <c r="BA85" s="17">
        <v>251</v>
      </c>
      <c r="BB85" s="17">
        <v>264</v>
      </c>
      <c r="BC85" s="24">
        <v>274</v>
      </c>
      <c r="BD85" s="17">
        <v>292</v>
      </c>
      <c r="BE85" s="17">
        <v>307</v>
      </c>
      <c r="BF85" s="17">
        <v>310</v>
      </c>
      <c r="BG85" s="17">
        <v>318</v>
      </c>
      <c r="BH85" s="17">
        <v>330</v>
      </c>
      <c r="BI85" s="17">
        <v>331</v>
      </c>
      <c r="BJ85" s="17">
        <v>345</v>
      </c>
      <c r="BK85" s="17">
        <v>354</v>
      </c>
      <c r="BL85" s="17">
        <v>365</v>
      </c>
      <c r="BM85" s="17">
        <v>368</v>
      </c>
      <c r="BN85" s="17">
        <v>375</v>
      </c>
      <c r="BO85" s="132"/>
      <c r="BP85" s="132"/>
      <c r="BQ85" s="132"/>
      <c r="BR85" s="132"/>
      <c r="BS85" s="132"/>
      <c r="BT85" s="132"/>
      <c r="BU85" s="132"/>
      <c r="BV85" s="132"/>
      <c r="BW85" s="132"/>
      <c r="BX85" s="132"/>
      <c r="BY85" s="132"/>
    </row>
    <row r="86" spans="1:77" x14ac:dyDescent="0.25">
      <c r="A86" s="4" t="s">
        <v>161</v>
      </c>
      <c r="B86" s="6" t="s">
        <v>162</v>
      </c>
      <c r="H86" s="17">
        <v>114</v>
      </c>
      <c r="I86" s="17">
        <v>124</v>
      </c>
      <c r="J86" s="17">
        <v>135</v>
      </c>
      <c r="K86" s="17">
        <v>142</v>
      </c>
      <c r="L86" s="17">
        <v>149</v>
      </c>
      <c r="M86" s="17">
        <v>157</v>
      </c>
      <c r="N86" s="24">
        <v>172</v>
      </c>
      <c r="O86" s="17">
        <v>182</v>
      </c>
      <c r="P86" s="17">
        <v>191</v>
      </c>
      <c r="Q86" s="17">
        <v>198</v>
      </c>
      <c r="R86" s="17">
        <v>198</v>
      </c>
      <c r="S86" s="24">
        <v>203</v>
      </c>
      <c r="T86" s="17">
        <v>212</v>
      </c>
      <c r="U86" s="17">
        <v>220</v>
      </c>
      <c r="V86" s="17">
        <v>227</v>
      </c>
      <c r="W86" s="17">
        <v>233</v>
      </c>
      <c r="X86" s="17">
        <v>234</v>
      </c>
      <c r="Y86" s="17">
        <v>239</v>
      </c>
      <c r="Z86" s="17">
        <v>243</v>
      </c>
      <c r="AA86" s="17">
        <v>246</v>
      </c>
      <c r="AB86" s="17">
        <v>246</v>
      </c>
      <c r="AC86" s="17">
        <v>247</v>
      </c>
      <c r="AD86" s="17">
        <v>254</v>
      </c>
      <c r="AE86" s="17"/>
      <c r="AF86" s="17"/>
      <c r="AG86" s="17"/>
      <c r="AH86" s="17"/>
      <c r="AI86" s="17"/>
      <c r="AJ86" s="17"/>
      <c r="AK86" s="17"/>
      <c r="AR86" s="17">
        <v>52</v>
      </c>
      <c r="AS86" s="17">
        <v>73</v>
      </c>
      <c r="AT86" s="17">
        <v>76</v>
      </c>
      <c r="AU86" s="17">
        <v>86</v>
      </c>
      <c r="AV86" s="17">
        <v>91</v>
      </c>
      <c r="AW86" s="17">
        <v>97</v>
      </c>
      <c r="AX86" s="24">
        <v>104</v>
      </c>
      <c r="AY86" s="17">
        <v>111</v>
      </c>
      <c r="AZ86" s="17">
        <v>115</v>
      </c>
      <c r="BA86" s="17">
        <v>120</v>
      </c>
      <c r="BB86" s="17">
        <v>127</v>
      </c>
      <c r="BC86" s="24">
        <v>134</v>
      </c>
      <c r="BD86" s="17">
        <v>139</v>
      </c>
      <c r="BE86" s="17">
        <v>145</v>
      </c>
      <c r="BF86" s="17">
        <v>154</v>
      </c>
      <c r="BG86" s="17">
        <v>153</v>
      </c>
      <c r="BH86" s="17">
        <v>158</v>
      </c>
      <c r="BI86" s="17">
        <v>161</v>
      </c>
      <c r="BJ86" s="17">
        <v>164</v>
      </c>
      <c r="BK86" s="17">
        <v>169</v>
      </c>
      <c r="BL86" s="17">
        <v>180</v>
      </c>
      <c r="BM86" s="17">
        <v>182</v>
      </c>
      <c r="BN86" s="17">
        <v>185</v>
      </c>
      <c r="BO86" s="132"/>
      <c r="BP86" s="132"/>
      <c r="BQ86" s="132"/>
      <c r="BR86" s="132"/>
      <c r="BS86" s="132"/>
      <c r="BT86" s="132"/>
      <c r="BU86" s="132"/>
      <c r="BV86" s="132"/>
      <c r="BW86" s="132"/>
      <c r="BX86" s="132"/>
      <c r="BY86" s="132"/>
    </row>
    <row r="87" spans="1:77" x14ac:dyDescent="0.25">
      <c r="A87" s="4" t="s">
        <v>163</v>
      </c>
      <c r="B87" s="6" t="s">
        <v>164</v>
      </c>
      <c r="H87" s="17">
        <v>280</v>
      </c>
      <c r="I87" s="17">
        <v>302</v>
      </c>
      <c r="J87" s="17">
        <v>311</v>
      </c>
      <c r="K87" s="17">
        <v>340</v>
      </c>
      <c r="L87" s="17">
        <v>347</v>
      </c>
      <c r="M87" s="17">
        <v>359</v>
      </c>
      <c r="N87" s="24">
        <v>387</v>
      </c>
      <c r="O87" s="17">
        <v>409</v>
      </c>
      <c r="P87" s="17">
        <v>425</v>
      </c>
      <c r="Q87" s="17">
        <v>433</v>
      </c>
      <c r="R87" s="17">
        <v>438</v>
      </c>
      <c r="S87" s="24">
        <v>458</v>
      </c>
      <c r="T87" s="17">
        <v>472</v>
      </c>
      <c r="U87" s="17">
        <v>487</v>
      </c>
      <c r="V87" s="17">
        <v>512</v>
      </c>
      <c r="W87" s="17">
        <v>522</v>
      </c>
      <c r="X87" s="17">
        <v>534</v>
      </c>
      <c r="Y87" s="17">
        <v>550</v>
      </c>
      <c r="Z87" s="17">
        <v>568</v>
      </c>
      <c r="AA87" s="17">
        <v>584</v>
      </c>
      <c r="AB87" s="17">
        <v>594</v>
      </c>
      <c r="AC87" s="17">
        <v>597</v>
      </c>
      <c r="AD87" s="17">
        <v>642</v>
      </c>
      <c r="AE87" s="17"/>
      <c r="AF87" s="17"/>
      <c r="AG87" s="17"/>
      <c r="AH87" s="17"/>
      <c r="AI87" s="17"/>
      <c r="AJ87" s="17"/>
      <c r="AK87" s="17"/>
      <c r="AR87" s="17">
        <v>116</v>
      </c>
      <c r="AS87" s="17">
        <v>139</v>
      </c>
      <c r="AT87" s="17">
        <v>162</v>
      </c>
      <c r="AU87" s="17">
        <v>200</v>
      </c>
      <c r="AV87" s="17">
        <v>223</v>
      </c>
      <c r="AW87" s="17">
        <v>242</v>
      </c>
      <c r="AX87" s="24">
        <v>273</v>
      </c>
      <c r="AY87" s="17">
        <v>280</v>
      </c>
      <c r="AZ87" s="17">
        <v>295</v>
      </c>
      <c r="BA87" s="17">
        <v>308</v>
      </c>
      <c r="BB87" s="17">
        <v>311</v>
      </c>
      <c r="BC87" s="24">
        <v>326</v>
      </c>
      <c r="BD87" s="17">
        <v>334</v>
      </c>
      <c r="BE87" s="17">
        <v>346</v>
      </c>
      <c r="BF87" s="17">
        <v>358</v>
      </c>
      <c r="BG87" s="17">
        <v>371</v>
      </c>
      <c r="BH87" s="17">
        <v>376</v>
      </c>
      <c r="BI87" s="17">
        <v>385</v>
      </c>
      <c r="BJ87" s="17">
        <v>400</v>
      </c>
      <c r="BK87" s="17">
        <v>408</v>
      </c>
      <c r="BL87" s="17">
        <v>433</v>
      </c>
      <c r="BM87" s="17">
        <v>436</v>
      </c>
      <c r="BN87" s="17">
        <v>451</v>
      </c>
      <c r="BO87" s="132"/>
      <c r="BP87" s="132"/>
      <c r="BQ87" s="132"/>
      <c r="BR87" s="132"/>
      <c r="BS87" s="132"/>
      <c r="BT87" s="132"/>
      <c r="BU87" s="132"/>
      <c r="BV87" s="132"/>
      <c r="BW87" s="132"/>
      <c r="BX87" s="132"/>
      <c r="BY87" s="132"/>
    </row>
    <row r="88" spans="1:77" x14ac:dyDescent="0.25">
      <c r="A88" s="4" t="s">
        <v>165</v>
      </c>
      <c r="B88" s="6" t="s">
        <v>166</v>
      </c>
      <c r="H88" s="17">
        <v>27</v>
      </c>
      <c r="I88" s="17">
        <v>29</v>
      </c>
      <c r="J88" s="17">
        <v>32</v>
      </c>
      <c r="K88" s="17">
        <v>32</v>
      </c>
      <c r="L88" s="17">
        <v>33</v>
      </c>
      <c r="M88" s="17">
        <v>33</v>
      </c>
      <c r="N88" s="17">
        <v>40</v>
      </c>
      <c r="O88" s="17">
        <v>40</v>
      </c>
      <c r="P88" s="17">
        <v>41</v>
      </c>
      <c r="Q88" s="17">
        <v>42</v>
      </c>
      <c r="R88" s="17">
        <v>45</v>
      </c>
      <c r="S88" s="24">
        <v>44</v>
      </c>
      <c r="T88" s="17">
        <v>45</v>
      </c>
      <c r="U88" s="17">
        <v>45</v>
      </c>
      <c r="V88" s="17">
        <v>45</v>
      </c>
      <c r="W88" s="17">
        <v>47</v>
      </c>
      <c r="X88" s="17">
        <v>49</v>
      </c>
      <c r="Y88" s="17">
        <v>49</v>
      </c>
      <c r="Z88" s="17">
        <v>54</v>
      </c>
      <c r="AA88" s="17">
        <v>54</v>
      </c>
      <c r="AB88" s="17">
        <v>55</v>
      </c>
      <c r="AC88" s="17">
        <v>54</v>
      </c>
      <c r="AD88" s="17">
        <v>54</v>
      </c>
      <c r="AE88" s="17"/>
      <c r="AF88" s="17"/>
      <c r="AG88" s="17"/>
      <c r="AH88" s="17"/>
      <c r="AI88" s="17"/>
      <c r="AJ88" s="17"/>
      <c r="AK88" s="17"/>
      <c r="AR88" s="17">
        <v>21</v>
      </c>
      <c r="AS88" s="17">
        <v>25</v>
      </c>
      <c r="AT88" s="17">
        <v>25</v>
      </c>
      <c r="AU88" s="17">
        <v>25</v>
      </c>
      <c r="AV88" s="17">
        <v>25</v>
      </c>
      <c r="AW88" s="17">
        <v>30</v>
      </c>
      <c r="AX88" s="17">
        <v>40</v>
      </c>
      <c r="AY88" s="17">
        <v>40</v>
      </c>
      <c r="AZ88" s="17">
        <v>40</v>
      </c>
      <c r="BA88" s="17">
        <v>40</v>
      </c>
      <c r="BB88" s="17">
        <v>45</v>
      </c>
      <c r="BC88" s="24">
        <v>34</v>
      </c>
      <c r="BD88" s="17">
        <v>45</v>
      </c>
      <c r="BE88" s="17">
        <v>45</v>
      </c>
      <c r="BF88" s="17">
        <v>45</v>
      </c>
      <c r="BG88" s="17">
        <v>45</v>
      </c>
      <c r="BH88" s="17">
        <v>45</v>
      </c>
      <c r="BI88" s="17">
        <v>45</v>
      </c>
      <c r="BJ88" s="17">
        <v>50</v>
      </c>
      <c r="BK88" s="17">
        <v>50</v>
      </c>
      <c r="BL88" s="17">
        <v>55</v>
      </c>
      <c r="BM88" s="17">
        <v>43</v>
      </c>
      <c r="BN88" s="17">
        <v>43</v>
      </c>
      <c r="BO88" s="132"/>
      <c r="BP88" s="132"/>
      <c r="BQ88" s="132"/>
      <c r="BR88" s="132"/>
      <c r="BS88" s="132"/>
      <c r="BT88" s="132"/>
      <c r="BU88" s="132"/>
      <c r="BV88" s="132"/>
      <c r="BW88" s="132"/>
      <c r="BX88" s="132"/>
      <c r="BY88" s="132"/>
    </row>
    <row r="89" spans="1:77" x14ac:dyDescent="0.25">
      <c r="A89" s="4" t="s">
        <v>167</v>
      </c>
      <c r="B89" s="6" t="s">
        <v>168</v>
      </c>
      <c r="H89" s="17">
        <v>272</v>
      </c>
      <c r="I89" s="17">
        <v>282</v>
      </c>
      <c r="J89" s="17">
        <v>290</v>
      </c>
      <c r="K89" s="17">
        <v>300</v>
      </c>
      <c r="L89" s="17">
        <v>306</v>
      </c>
      <c r="M89" s="17">
        <v>308</v>
      </c>
      <c r="N89" s="24">
        <v>326</v>
      </c>
      <c r="O89" s="17">
        <v>338</v>
      </c>
      <c r="P89" s="17">
        <v>351</v>
      </c>
      <c r="Q89" s="17">
        <v>357</v>
      </c>
      <c r="R89" s="17">
        <v>363</v>
      </c>
      <c r="S89" s="24">
        <v>370</v>
      </c>
      <c r="T89" s="17">
        <v>379</v>
      </c>
      <c r="U89" s="17">
        <v>387</v>
      </c>
      <c r="V89" s="17">
        <v>396</v>
      </c>
      <c r="W89" s="17">
        <v>403</v>
      </c>
      <c r="X89" s="17">
        <v>404</v>
      </c>
      <c r="Y89" s="17">
        <v>409</v>
      </c>
      <c r="Z89" s="17">
        <v>416</v>
      </c>
      <c r="AA89" s="17">
        <v>422</v>
      </c>
      <c r="AB89" s="17">
        <v>424</v>
      </c>
      <c r="AC89" s="17">
        <v>425</v>
      </c>
      <c r="AD89" s="17">
        <v>441</v>
      </c>
      <c r="AE89" s="17"/>
      <c r="AF89" s="17"/>
      <c r="AG89" s="17"/>
      <c r="AH89" s="17"/>
      <c r="AI89" s="17"/>
      <c r="AJ89" s="17"/>
      <c r="AK89" s="17"/>
      <c r="AR89" s="17">
        <v>142</v>
      </c>
      <c r="AS89" s="17">
        <v>159</v>
      </c>
      <c r="AT89" s="17">
        <v>168</v>
      </c>
      <c r="AU89" s="17">
        <v>192</v>
      </c>
      <c r="AV89" s="17">
        <v>203</v>
      </c>
      <c r="AW89" s="17">
        <v>209</v>
      </c>
      <c r="AX89" s="24">
        <v>222</v>
      </c>
      <c r="AY89" s="17">
        <v>232</v>
      </c>
      <c r="AZ89" s="17">
        <v>243</v>
      </c>
      <c r="BA89" s="17">
        <v>244</v>
      </c>
      <c r="BB89" s="17">
        <v>248</v>
      </c>
      <c r="BC89" s="24">
        <v>256</v>
      </c>
      <c r="BD89" s="17">
        <v>271</v>
      </c>
      <c r="BE89" s="17">
        <v>276</v>
      </c>
      <c r="BF89" s="17">
        <v>286</v>
      </c>
      <c r="BG89" s="17">
        <v>296</v>
      </c>
      <c r="BH89" s="17">
        <v>297</v>
      </c>
      <c r="BI89" s="17">
        <v>301</v>
      </c>
      <c r="BJ89" s="17">
        <v>315</v>
      </c>
      <c r="BK89" s="17">
        <v>316</v>
      </c>
      <c r="BL89" s="17">
        <v>322</v>
      </c>
      <c r="BM89" s="17">
        <v>321</v>
      </c>
      <c r="BN89" s="17">
        <v>322</v>
      </c>
      <c r="BO89" s="132"/>
      <c r="BP89" s="132"/>
      <c r="BQ89" s="132"/>
      <c r="BR89" s="132"/>
      <c r="BS89" s="132"/>
      <c r="BT89" s="132"/>
      <c r="BU89" s="132"/>
      <c r="BV89" s="132"/>
      <c r="BW89" s="132"/>
      <c r="BX89" s="132"/>
      <c r="BY89" s="132"/>
    </row>
    <row r="90" spans="1:77" x14ac:dyDescent="0.25">
      <c r="A90" s="4" t="s">
        <v>169</v>
      </c>
      <c r="B90" s="6" t="s">
        <v>170</v>
      </c>
      <c r="H90" s="17">
        <v>156</v>
      </c>
      <c r="I90" s="17">
        <v>165</v>
      </c>
      <c r="J90" s="17">
        <v>178</v>
      </c>
      <c r="K90" s="17">
        <v>186</v>
      </c>
      <c r="L90" s="17">
        <v>191</v>
      </c>
      <c r="M90" s="17">
        <v>192</v>
      </c>
      <c r="N90" s="24">
        <v>202</v>
      </c>
      <c r="O90" s="17">
        <v>214</v>
      </c>
      <c r="P90" s="17">
        <v>222</v>
      </c>
      <c r="Q90" s="17">
        <v>224</v>
      </c>
      <c r="R90" s="17">
        <v>233</v>
      </c>
      <c r="S90" s="24">
        <v>241</v>
      </c>
      <c r="T90" s="17">
        <v>246</v>
      </c>
      <c r="U90" s="17">
        <v>255</v>
      </c>
      <c r="V90" s="17">
        <v>257</v>
      </c>
      <c r="W90" s="17">
        <v>259</v>
      </c>
      <c r="X90" s="17">
        <v>261</v>
      </c>
      <c r="Y90" s="17">
        <v>261</v>
      </c>
      <c r="Z90" s="17">
        <v>268</v>
      </c>
      <c r="AA90" s="17">
        <v>268</v>
      </c>
      <c r="AB90" s="17">
        <v>275</v>
      </c>
      <c r="AC90" s="17">
        <v>278</v>
      </c>
      <c r="AD90" s="17">
        <v>283</v>
      </c>
      <c r="AE90" s="17"/>
      <c r="AF90" s="17"/>
      <c r="AG90" s="17"/>
      <c r="AH90" s="17"/>
      <c r="AI90" s="17"/>
      <c r="AJ90" s="17"/>
      <c r="AK90" s="17"/>
      <c r="AR90" s="17">
        <v>69</v>
      </c>
      <c r="AS90" s="17">
        <v>80</v>
      </c>
      <c r="AT90" s="17">
        <v>86</v>
      </c>
      <c r="AU90" s="17">
        <v>98</v>
      </c>
      <c r="AV90" s="17">
        <v>104</v>
      </c>
      <c r="AW90" s="17">
        <v>135</v>
      </c>
      <c r="AX90" s="24">
        <v>148</v>
      </c>
      <c r="AY90" s="17">
        <v>149</v>
      </c>
      <c r="AZ90" s="17">
        <v>158</v>
      </c>
      <c r="BA90" s="17">
        <v>166</v>
      </c>
      <c r="BB90" s="17">
        <v>172</v>
      </c>
      <c r="BC90" s="24">
        <v>180</v>
      </c>
      <c r="BD90" s="17">
        <v>183</v>
      </c>
      <c r="BE90" s="17">
        <v>186</v>
      </c>
      <c r="BF90" s="17">
        <v>192</v>
      </c>
      <c r="BG90" s="17">
        <v>195</v>
      </c>
      <c r="BH90" s="17">
        <v>197</v>
      </c>
      <c r="BI90" s="17">
        <v>204</v>
      </c>
      <c r="BJ90" s="17">
        <v>211</v>
      </c>
      <c r="BK90" s="17">
        <v>218</v>
      </c>
      <c r="BL90" s="17">
        <v>215</v>
      </c>
      <c r="BM90" s="17">
        <v>225</v>
      </c>
      <c r="BN90" s="17">
        <v>228</v>
      </c>
      <c r="BO90" s="132"/>
      <c r="BP90" s="132"/>
      <c r="BQ90" s="132"/>
      <c r="BR90" s="132"/>
      <c r="BS90" s="132"/>
      <c r="BT90" s="132"/>
      <c r="BU90" s="132"/>
      <c r="BV90" s="132"/>
      <c r="BW90" s="132"/>
      <c r="BX90" s="132"/>
      <c r="BY90" s="132"/>
    </row>
    <row r="91" spans="1:77" x14ac:dyDescent="0.25">
      <c r="A91" s="4" t="s">
        <v>171</v>
      </c>
      <c r="B91" s="6" t="s">
        <v>172</v>
      </c>
      <c r="H91" s="17">
        <v>198</v>
      </c>
      <c r="I91" s="17">
        <v>210</v>
      </c>
      <c r="J91" s="17">
        <v>226</v>
      </c>
      <c r="K91" s="17">
        <v>245</v>
      </c>
      <c r="L91" s="17">
        <v>252</v>
      </c>
      <c r="M91" s="17">
        <v>258</v>
      </c>
      <c r="N91" s="24">
        <v>272</v>
      </c>
      <c r="O91" s="17">
        <v>272</v>
      </c>
      <c r="P91" s="17">
        <v>290</v>
      </c>
      <c r="Q91" s="17">
        <v>298</v>
      </c>
      <c r="R91" s="17">
        <v>304</v>
      </c>
      <c r="S91" s="24">
        <v>304</v>
      </c>
      <c r="T91" s="17">
        <v>315</v>
      </c>
      <c r="U91" s="17">
        <v>333</v>
      </c>
      <c r="V91" s="17">
        <v>345</v>
      </c>
      <c r="W91" s="17">
        <v>352</v>
      </c>
      <c r="X91" s="17">
        <v>367</v>
      </c>
      <c r="Y91" s="17">
        <v>375</v>
      </c>
      <c r="Z91" s="17">
        <v>387</v>
      </c>
      <c r="AA91" s="17">
        <v>394</v>
      </c>
      <c r="AB91" s="17">
        <v>401</v>
      </c>
      <c r="AC91" s="17">
        <v>405</v>
      </c>
      <c r="AD91" s="17">
        <v>426</v>
      </c>
      <c r="AE91" s="17"/>
      <c r="AF91" s="17"/>
      <c r="AG91" s="17"/>
      <c r="AH91" s="17"/>
      <c r="AI91" s="17"/>
      <c r="AJ91" s="17"/>
      <c r="AK91" s="17"/>
      <c r="AR91" s="17">
        <v>83</v>
      </c>
      <c r="AS91" s="17">
        <v>93</v>
      </c>
      <c r="AT91" s="17">
        <v>110</v>
      </c>
      <c r="AU91" s="17">
        <v>132</v>
      </c>
      <c r="AV91" s="17">
        <v>137</v>
      </c>
      <c r="AW91" s="17">
        <v>144</v>
      </c>
      <c r="AX91" s="24">
        <v>164</v>
      </c>
      <c r="AY91" s="17">
        <v>177</v>
      </c>
      <c r="AZ91" s="17">
        <v>191</v>
      </c>
      <c r="BA91" s="17">
        <v>198</v>
      </c>
      <c r="BB91" s="17">
        <v>202</v>
      </c>
      <c r="BC91" s="24">
        <v>218</v>
      </c>
      <c r="BD91" s="17">
        <v>224</v>
      </c>
      <c r="BE91" s="17">
        <v>232</v>
      </c>
      <c r="BF91" s="17">
        <v>234</v>
      </c>
      <c r="BG91" s="17">
        <v>239</v>
      </c>
      <c r="BH91" s="17">
        <v>243</v>
      </c>
      <c r="BI91" s="17">
        <v>249</v>
      </c>
      <c r="BJ91" s="17">
        <v>267</v>
      </c>
      <c r="BK91" s="17">
        <v>277</v>
      </c>
      <c r="BL91" s="17">
        <v>288</v>
      </c>
      <c r="BM91" s="17">
        <v>288</v>
      </c>
      <c r="BN91" s="17">
        <v>293</v>
      </c>
      <c r="BO91" s="132"/>
      <c r="BP91" s="132"/>
      <c r="BQ91" s="132"/>
      <c r="BR91" s="132"/>
      <c r="BS91" s="132"/>
      <c r="BT91" s="132"/>
      <c r="BU91" s="132"/>
      <c r="BV91" s="132"/>
      <c r="BW91" s="132"/>
      <c r="BX91" s="132"/>
      <c r="BY91" s="132"/>
    </row>
    <row r="92" spans="1:77" x14ac:dyDescent="0.25">
      <c r="A92" s="4" t="s">
        <v>173</v>
      </c>
      <c r="B92" s="6" t="s">
        <v>174</v>
      </c>
      <c r="H92" s="17">
        <v>861</v>
      </c>
      <c r="I92" s="17">
        <v>894</v>
      </c>
      <c r="J92" s="17">
        <v>951</v>
      </c>
      <c r="K92" s="17">
        <v>1017</v>
      </c>
      <c r="L92" s="17">
        <v>1043</v>
      </c>
      <c r="M92" s="17">
        <v>1068</v>
      </c>
      <c r="N92" s="24">
        <v>1127</v>
      </c>
      <c r="O92" s="17">
        <v>1153</v>
      </c>
      <c r="P92" s="17">
        <v>1206</v>
      </c>
      <c r="Q92" s="17">
        <v>1229</v>
      </c>
      <c r="R92" s="17">
        <v>1250</v>
      </c>
      <c r="S92" s="24">
        <v>1282</v>
      </c>
      <c r="T92" s="17">
        <v>1308</v>
      </c>
      <c r="U92" s="17">
        <v>1334</v>
      </c>
      <c r="V92" s="17">
        <v>1354</v>
      </c>
      <c r="W92" s="17">
        <v>1371</v>
      </c>
      <c r="X92" s="17">
        <v>1392</v>
      </c>
      <c r="Y92" s="17">
        <v>1407</v>
      </c>
      <c r="Z92" s="17">
        <v>1430</v>
      </c>
      <c r="AA92" s="17">
        <v>1442</v>
      </c>
      <c r="AB92" s="17">
        <v>1450</v>
      </c>
      <c r="AC92" s="17">
        <v>1459</v>
      </c>
      <c r="AD92" s="17">
        <v>1486</v>
      </c>
      <c r="AE92" s="17"/>
      <c r="AF92" s="17"/>
      <c r="AG92" s="17"/>
      <c r="AH92" s="17"/>
      <c r="AI92" s="17"/>
      <c r="AJ92" s="17"/>
      <c r="AK92" s="17"/>
      <c r="AR92" s="17">
        <v>416</v>
      </c>
      <c r="AS92" s="17">
        <v>485</v>
      </c>
      <c r="AT92" s="17">
        <v>558</v>
      </c>
      <c r="AU92" s="17">
        <v>639</v>
      </c>
      <c r="AV92" s="17">
        <v>679</v>
      </c>
      <c r="AW92" s="17">
        <v>734</v>
      </c>
      <c r="AX92" s="24">
        <v>792</v>
      </c>
      <c r="AY92" s="17">
        <v>827</v>
      </c>
      <c r="AZ92" s="17">
        <v>859</v>
      </c>
      <c r="BA92" s="17">
        <v>885</v>
      </c>
      <c r="BB92" s="17">
        <v>904</v>
      </c>
      <c r="BC92" s="24">
        <v>944</v>
      </c>
      <c r="BD92" s="17">
        <v>985</v>
      </c>
      <c r="BE92" s="17">
        <v>1034</v>
      </c>
      <c r="BF92" s="17">
        <v>1059</v>
      </c>
      <c r="BG92" s="17">
        <v>1080</v>
      </c>
      <c r="BH92" s="17">
        <v>1109</v>
      </c>
      <c r="BI92" s="17">
        <v>1129</v>
      </c>
      <c r="BJ92" s="17">
        <v>1143</v>
      </c>
      <c r="BK92" s="17">
        <v>1161</v>
      </c>
      <c r="BL92" s="17">
        <v>1191</v>
      </c>
      <c r="BM92" s="17">
        <v>1195</v>
      </c>
      <c r="BN92" s="17">
        <v>1203</v>
      </c>
      <c r="BO92" s="132"/>
      <c r="BP92" s="132"/>
      <c r="BQ92" s="132"/>
      <c r="BR92" s="132"/>
      <c r="BS92" s="132"/>
      <c r="BT92" s="132"/>
      <c r="BU92" s="132"/>
      <c r="BV92" s="132"/>
      <c r="BW92" s="132"/>
      <c r="BX92" s="132"/>
      <c r="BY92" s="132"/>
    </row>
    <row r="93" spans="1:77" x14ac:dyDescent="0.25">
      <c r="A93" s="4" t="s">
        <v>175</v>
      </c>
      <c r="B93" s="6" t="s">
        <v>176</v>
      </c>
      <c r="H93" s="17">
        <v>48</v>
      </c>
      <c r="I93" s="17">
        <v>51</v>
      </c>
      <c r="J93" s="17">
        <v>52</v>
      </c>
      <c r="K93" s="17">
        <v>59</v>
      </c>
      <c r="L93" s="17">
        <v>63</v>
      </c>
      <c r="M93" s="17">
        <v>63</v>
      </c>
      <c r="N93" s="24">
        <v>66</v>
      </c>
      <c r="O93" s="17">
        <v>68</v>
      </c>
      <c r="P93" s="17">
        <v>73</v>
      </c>
      <c r="Q93" s="17">
        <v>76</v>
      </c>
      <c r="R93" s="17">
        <v>76</v>
      </c>
      <c r="S93" s="24">
        <v>81</v>
      </c>
      <c r="T93" s="17">
        <v>81</v>
      </c>
      <c r="U93" s="17">
        <v>85</v>
      </c>
      <c r="V93" s="17">
        <v>85</v>
      </c>
      <c r="W93" s="17">
        <v>88</v>
      </c>
      <c r="X93" s="17">
        <v>90</v>
      </c>
      <c r="Y93" s="17">
        <v>94</v>
      </c>
      <c r="Z93" s="17">
        <v>98</v>
      </c>
      <c r="AA93" s="17">
        <v>100</v>
      </c>
      <c r="AB93" s="17">
        <v>100</v>
      </c>
      <c r="AC93" s="17">
        <v>100</v>
      </c>
      <c r="AD93" s="17">
        <v>100</v>
      </c>
      <c r="AE93" s="17"/>
      <c r="AF93" s="17"/>
      <c r="AG93" s="17"/>
      <c r="AH93" s="17"/>
      <c r="AI93" s="17"/>
      <c r="AJ93" s="17"/>
      <c r="AK93" s="17"/>
      <c r="AR93" s="17">
        <v>26</v>
      </c>
      <c r="AS93" s="17">
        <v>29</v>
      </c>
      <c r="AT93" s="17">
        <v>33</v>
      </c>
      <c r="AU93" s="17">
        <v>36</v>
      </c>
      <c r="AV93" s="17">
        <v>38</v>
      </c>
      <c r="AW93" s="17">
        <v>40</v>
      </c>
      <c r="AX93" s="24">
        <v>42</v>
      </c>
      <c r="AY93" s="17">
        <v>43</v>
      </c>
      <c r="AZ93" s="17">
        <v>43</v>
      </c>
      <c r="BA93" s="17">
        <v>43</v>
      </c>
      <c r="BB93" s="17">
        <v>46</v>
      </c>
      <c r="BC93" s="24">
        <v>49</v>
      </c>
      <c r="BD93" s="17">
        <v>50</v>
      </c>
      <c r="BE93" s="17">
        <v>51</v>
      </c>
      <c r="BF93" s="17">
        <v>53</v>
      </c>
      <c r="BG93" s="17">
        <v>58</v>
      </c>
      <c r="BH93" s="17">
        <v>61</v>
      </c>
      <c r="BI93" s="17">
        <v>63</v>
      </c>
      <c r="BJ93" s="17">
        <v>63</v>
      </c>
      <c r="BK93" s="17">
        <v>68</v>
      </c>
      <c r="BL93" s="17">
        <v>72</v>
      </c>
      <c r="BM93" s="17">
        <v>72</v>
      </c>
      <c r="BN93" s="17">
        <v>77</v>
      </c>
      <c r="BO93" s="132"/>
      <c r="BP93" s="132"/>
      <c r="BQ93" s="132"/>
      <c r="BR93" s="132"/>
      <c r="BS93" s="132"/>
      <c r="BT93" s="132"/>
      <c r="BU93" s="132"/>
      <c r="BV93" s="132"/>
      <c r="BW93" s="132"/>
      <c r="BX93" s="132"/>
      <c r="BY93" s="132"/>
    </row>
    <row r="94" spans="1:77" x14ac:dyDescent="0.25">
      <c r="A94" s="4" t="s">
        <v>177</v>
      </c>
      <c r="B94" s="6" t="s">
        <v>178</v>
      </c>
      <c r="H94" s="17">
        <v>102</v>
      </c>
      <c r="I94" s="17">
        <v>109</v>
      </c>
      <c r="J94" s="17">
        <v>117</v>
      </c>
      <c r="K94" s="17">
        <v>133</v>
      </c>
      <c r="L94" s="17">
        <v>138</v>
      </c>
      <c r="M94" s="17">
        <v>142</v>
      </c>
      <c r="N94" s="24">
        <v>156</v>
      </c>
      <c r="O94" s="17">
        <v>161</v>
      </c>
      <c r="P94" s="17">
        <v>168</v>
      </c>
      <c r="Q94" s="17">
        <v>171</v>
      </c>
      <c r="R94" s="17">
        <v>175</v>
      </c>
      <c r="S94" s="24">
        <v>178</v>
      </c>
      <c r="T94" s="17">
        <v>182</v>
      </c>
      <c r="U94" s="17">
        <v>185</v>
      </c>
      <c r="V94" s="17">
        <v>189</v>
      </c>
      <c r="W94" s="17">
        <v>191</v>
      </c>
      <c r="X94" s="17">
        <v>193</v>
      </c>
      <c r="Y94" s="17">
        <v>193</v>
      </c>
      <c r="Z94" s="17">
        <v>196</v>
      </c>
      <c r="AA94" s="17">
        <v>199</v>
      </c>
      <c r="AB94" s="17">
        <v>200</v>
      </c>
      <c r="AC94" s="17">
        <v>200</v>
      </c>
      <c r="AD94" s="17">
        <v>204</v>
      </c>
      <c r="AE94" s="17"/>
      <c r="AF94" s="17"/>
      <c r="AG94" s="17"/>
      <c r="AH94" s="17"/>
      <c r="AI94" s="17"/>
      <c r="AJ94" s="17"/>
      <c r="AK94" s="17"/>
      <c r="AR94" s="17">
        <v>54</v>
      </c>
      <c r="AS94" s="17">
        <v>57</v>
      </c>
      <c r="AT94" s="17">
        <v>63</v>
      </c>
      <c r="AU94" s="17">
        <v>69</v>
      </c>
      <c r="AV94" s="17">
        <v>81</v>
      </c>
      <c r="AW94" s="17">
        <v>107</v>
      </c>
      <c r="AX94" s="24">
        <v>115</v>
      </c>
      <c r="AY94" s="17">
        <v>115</v>
      </c>
      <c r="AZ94" s="17">
        <v>119</v>
      </c>
      <c r="BA94" s="17">
        <v>132</v>
      </c>
      <c r="BB94" s="17">
        <v>132</v>
      </c>
      <c r="BC94" s="24">
        <v>139</v>
      </c>
      <c r="BD94" s="17">
        <v>148</v>
      </c>
      <c r="BE94" s="17">
        <v>152</v>
      </c>
      <c r="BF94" s="17">
        <v>154</v>
      </c>
      <c r="BG94" s="17">
        <v>159</v>
      </c>
      <c r="BH94" s="17">
        <v>159</v>
      </c>
      <c r="BI94" s="17">
        <v>159</v>
      </c>
      <c r="BJ94" s="17">
        <v>160</v>
      </c>
      <c r="BK94" s="17">
        <v>164</v>
      </c>
      <c r="BL94" s="17">
        <v>173</v>
      </c>
      <c r="BM94" s="17">
        <v>170</v>
      </c>
      <c r="BN94" s="17">
        <v>171</v>
      </c>
      <c r="BO94" s="132"/>
      <c r="BP94" s="132"/>
      <c r="BQ94" s="132"/>
      <c r="BR94" s="132"/>
      <c r="BS94" s="132"/>
      <c r="BT94" s="132"/>
      <c r="BU94" s="132"/>
      <c r="BV94" s="132"/>
      <c r="BW94" s="132"/>
      <c r="BX94" s="132"/>
      <c r="BY94" s="132"/>
    </row>
    <row r="95" spans="1:77" x14ac:dyDescent="0.25">
      <c r="A95" s="4" t="s">
        <v>179</v>
      </c>
      <c r="B95" s="6" t="s">
        <v>180</v>
      </c>
      <c r="H95" s="17">
        <v>308</v>
      </c>
      <c r="I95" s="17">
        <v>330</v>
      </c>
      <c r="J95" s="17">
        <v>346</v>
      </c>
      <c r="K95" s="17">
        <v>357</v>
      </c>
      <c r="L95" s="17">
        <v>368</v>
      </c>
      <c r="M95" s="17">
        <v>371</v>
      </c>
      <c r="N95" s="24">
        <v>409</v>
      </c>
      <c r="O95" s="17">
        <v>421</v>
      </c>
      <c r="P95" s="17">
        <v>429</v>
      </c>
      <c r="Q95" s="17">
        <v>455</v>
      </c>
      <c r="R95" s="17">
        <v>464</v>
      </c>
      <c r="S95" s="24">
        <v>469</v>
      </c>
      <c r="T95" s="17">
        <v>480</v>
      </c>
      <c r="U95" s="17">
        <v>492</v>
      </c>
      <c r="V95" s="17">
        <v>499</v>
      </c>
      <c r="W95" s="17">
        <v>499</v>
      </c>
      <c r="X95" s="17">
        <v>507</v>
      </c>
      <c r="Y95" s="17">
        <v>514</v>
      </c>
      <c r="Z95" s="17">
        <v>531</v>
      </c>
      <c r="AA95" s="17">
        <v>540</v>
      </c>
      <c r="AB95" s="17">
        <v>546</v>
      </c>
      <c r="AC95" s="17">
        <v>545</v>
      </c>
      <c r="AD95" s="17">
        <v>556</v>
      </c>
      <c r="AE95" s="17"/>
      <c r="AF95" s="17"/>
      <c r="AG95" s="17"/>
      <c r="AH95" s="17"/>
      <c r="AI95" s="17"/>
      <c r="AJ95" s="17"/>
      <c r="AK95" s="17"/>
      <c r="AR95" s="17">
        <v>176</v>
      </c>
      <c r="AS95" s="17">
        <v>214</v>
      </c>
      <c r="AT95" s="17">
        <v>230</v>
      </c>
      <c r="AU95" s="17">
        <v>248</v>
      </c>
      <c r="AV95" s="17">
        <v>263</v>
      </c>
      <c r="AW95" s="17">
        <v>272</v>
      </c>
      <c r="AX95" s="24">
        <v>292</v>
      </c>
      <c r="AY95" s="17">
        <v>305</v>
      </c>
      <c r="AZ95" s="17">
        <v>324</v>
      </c>
      <c r="BA95" s="17">
        <v>335</v>
      </c>
      <c r="BB95" s="17">
        <v>351</v>
      </c>
      <c r="BC95" s="24">
        <v>366</v>
      </c>
      <c r="BD95" s="17">
        <v>375</v>
      </c>
      <c r="BE95" s="17">
        <v>381</v>
      </c>
      <c r="BF95" s="17">
        <v>387</v>
      </c>
      <c r="BG95" s="17">
        <v>389</v>
      </c>
      <c r="BH95" s="17">
        <v>393</v>
      </c>
      <c r="BI95" s="17">
        <v>405</v>
      </c>
      <c r="BJ95" s="17">
        <v>410</v>
      </c>
      <c r="BK95" s="17">
        <v>416</v>
      </c>
      <c r="BL95" s="17">
        <v>428</v>
      </c>
      <c r="BM95" s="17">
        <v>427</v>
      </c>
      <c r="BN95" s="17">
        <v>436</v>
      </c>
      <c r="BO95" s="132"/>
      <c r="BP95" s="132"/>
      <c r="BQ95" s="132"/>
      <c r="BR95" s="132"/>
      <c r="BS95" s="132"/>
      <c r="BT95" s="132"/>
      <c r="BU95" s="132"/>
      <c r="BV95" s="132"/>
      <c r="BW95" s="132"/>
      <c r="BX95" s="132"/>
      <c r="BY95" s="132"/>
    </row>
    <row r="96" spans="1:77" x14ac:dyDescent="0.25">
      <c r="A96" s="4" t="s">
        <v>181</v>
      </c>
      <c r="B96" s="6" t="s">
        <v>182</v>
      </c>
      <c r="H96" s="17">
        <v>302</v>
      </c>
      <c r="I96" s="17">
        <v>318</v>
      </c>
      <c r="J96" s="17">
        <v>338</v>
      </c>
      <c r="K96" s="17">
        <v>370</v>
      </c>
      <c r="L96" s="17">
        <v>384</v>
      </c>
      <c r="M96" s="17">
        <v>389</v>
      </c>
      <c r="N96" s="24">
        <v>414</v>
      </c>
      <c r="O96" s="17">
        <v>431</v>
      </c>
      <c r="P96" s="17">
        <v>442</v>
      </c>
      <c r="Q96" s="17">
        <v>455</v>
      </c>
      <c r="R96" s="17">
        <v>457</v>
      </c>
      <c r="S96" s="24">
        <v>464</v>
      </c>
      <c r="T96" s="17">
        <v>468</v>
      </c>
      <c r="U96" s="17">
        <v>484</v>
      </c>
      <c r="V96" s="17">
        <v>495</v>
      </c>
      <c r="W96" s="17">
        <v>503</v>
      </c>
      <c r="X96" s="17">
        <v>511</v>
      </c>
      <c r="Y96" s="17">
        <v>521</v>
      </c>
      <c r="Z96" s="17">
        <v>537</v>
      </c>
      <c r="AA96" s="17">
        <v>541</v>
      </c>
      <c r="AB96" s="17">
        <v>542</v>
      </c>
      <c r="AC96" s="17">
        <v>546</v>
      </c>
      <c r="AD96" s="17">
        <v>557</v>
      </c>
      <c r="AE96" s="17"/>
      <c r="AF96" s="17"/>
      <c r="AG96" s="17"/>
      <c r="AH96" s="17"/>
      <c r="AI96" s="17"/>
      <c r="AJ96" s="17"/>
      <c r="AK96" s="17"/>
      <c r="AR96" s="17">
        <v>134</v>
      </c>
      <c r="AS96" s="17">
        <v>166</v>
      </c>
      <c r="AT96" s="17">
        <v>187</v>
      </c>
      <c r="AU96" s="17">
        <v>226</v>
      </c>
      <c r="AV96" s="17">
        <v>238</v>
      </c>
      <c r="AW96" s="17">
        <v>238</v>
      </c>
      <c r="AX96" s="24">
        <v>284</v>
      </c>
      <c r="AY96" s="17">
        <v>303</v>
      </c>
      <c r="AZ96" s="17">
        <v>323</v>
      </c>
      <c r="BA96" s="17">
        <v>337</v>
      </c>
      <c r="BB96" s="17">
        <v>340</v>
      </c>
      <c r="BC96" s="24">
        <v>345</v>
      </c>
      <c r="BD96" s="17">
        <v>366</v>
      </c>
      <c r="BE96" s="17">
        <v>374</v>
      </c>
      <c r="BF96" s="17">
        <v>386</v>
      </c>
      <c r="BG96" s="17">
        <v>390</v>
      </c>
      <c r="BH96" s="17">
        <v>397</v>
      </c>
      <c r="BI96" s="17">
        <v>397</v>
      </c>
      <c r="BJ96" s="17">
        <v>403</v>
      </c>
      <c r="BK96" s="17">
        <v>415</v>
      </c>
      <c r="BL96" s="17">
        <v>421</v>
      </c>
      <c r="BM96" s="17">
        <v>428</v>
      </c>
      <c r="BN96" s="17">
        <v>440</v>
      </c>
      <c r="BO96" s="132"/>
      <c r="BP96" s="132"/>
      <c r="BQ96" s="132"/>
      <c r="BR96" s="132"/>
      <c r="BS96" s="132"/>
      <c r="BT96" s="132"/>
      <c r="BU96" s="132"/>
      <c r="BV96" s="132"/>
      <c r="BW96" s="132"/>
      <c r="BX96" s="132"/>
      <c r="BY96" s="132"/>
    </row>
    <row r="97" spans="1:77" x14ac:dyDescent="0.25">
      <c r="A97" s="4" t="s">
        <v>183</v>
      </c>
      <c r="B97" s="6" t="s">
        <v>184</v>
      </c>
      <c r="H97" s="17">
        <v>181</v>
      </c>
      <c r="I97" s="17">
        <v>193</v>
      </c>
      <c r="J97" s="17">
        <v>212</v>
      </c>
      <c r="K97" s="17">
        <v>222</v>
      </c>
      <c r="L97" s="17">
        <v>222</v>
      </c>
      <c r="M97" s="17">
        <v>228</v>
      </c>
      <c r="N97" s="24">
        <v>239</v>
      </c>
      <c r="O97" s="17">
        <v>248</v>
      </c>
      <c r="P97" s="17">
        <v>253</v>
      </c>
      <c r="Q97" s="17">
        <v>257</v>
      </c>
      <c r="R97" s="17">
        <v>257</v>
      </c>
      <c r="S97" s="24">
        <v>261</v>
      </c>
      <c r="T97" s="17">
        <v>268</v>
      </c>
      <c r="U97" s="17">
        <v>274</v>
      </c>
      <c r="V97" s="17">
        <v>281</v>
      </c>
      <c r="W97" s="17">
        <v>284</v>
      </c>
      <c r="X97" s="17">
        <v>284</v>
      </c>
      <c r="Y97" s="17">
        <v>286</v>
      </c>
      <c r="Z97" s="17">
        <v>288</v>
      </c>
      <c r="AA97" s="17">
        <v>291</v>
      </c>
      <c r="AB97" s="17">
        <v>292</v>
      </c>
      <c r="AC97" s="17">
        <v>292</v>
      </c>
      <c r="AD97" s="17">
        <v>292</v>
      </c>
      <c r="AE97" s="17"/>
      <c r="AF97" s="17"/>
      <c r="AG97" s="17"/>
      <c r="AH97" s="17"/>
      <c r="AI97" s="17"/>
      <c r="AJ97" s="17"/>
      <c r="AK97" s="17"/>
      <c r="AR97" s="17">
        <v>105</v>
      </c>
      <c r="AS97" s="17">
        <v>117</v>
      </c>
      <c r="AT97" s="17">
        <v>133</v>
      </c>
      <c r="AU97" s="17">
        <v>152</v>
      </c>
      <c r="AV97" s="17">
        <v>159</v>
      </c>
      <c r="AW97" s="17">
        <v>167</v>
      </c>
      <c r="AX97" s="24">
        <v>184</v>
      </c>
      <c r="AY97" s="17">
        <v>189</v>
      </c>
      <c r="AZ97" s="17">
        <v>198</v>
      </c>
      <c r="BA97" s="17">
        <v>199</v>
      </c>
      <c r="BB97" s="17">
        <v>203</v>
      </c>
      <c r="BC97" s="24">
        <v>213</v>
      </c>
      <c r="BD97" s="17">
        <v>214</v>
      </c>
      <c r="BE97" s="17">
        <v>215</v>
      </c>
      <c r="BF97" s="17">
        <v>220</v>
      </c>
      <c r="BG97" s="17">
        <v>223</v>
      </c>
      <c r="BH97" s="17">
        <v>227</v>
      </c>
      <c r="BI97" s="17">
        <v>233</v>
      </c>
      <c r="BJ97" s="17">
        <v>237</v>
      </c>
      <c r="BK97" s="17">
        <v>240</v>
      </c>
      <c r="BL97" s="17">
        <v>239</v>
      </c>
      <c r="BM97" s="17">
        <v>246</v>
      </c>
      <c r="BN97" s="17">
        <v>247</v>
      </c>
      <c r="BO97" s="132"/>
      <c r="BP97" s="132"/>
      <c r="BQ97" s="132"/>
      <c r="BR97" s="132"/>
      <c r="BS97" s="132"/>
      <c r="BT97" s="132"/>
      <c r="BU97" s="132"/>
      <c r="BV97" s="132"/>
      <c r="BW97" s="132"/>
      <c r="BX97" s="132"/>
      <c r="BY97" s="132"/>
    </row>
    <row r="98" spans="1:77" x14ac:dyDescent="0.25">
      <c r="A98" s="4" t="s">
        <v>185</v>
      </c>
      <c r="B98" s="6" t="s">
        <v>186</v>
      </c>
      <c r="H98" s="17">
        <v>627</v>
      </c>
      <c r="I98" s="17">
        <v>678</v>
      </c>
      <c r="J98" s="17">
        <v>735</v>
      </c>
      <c r="K98" s="17">
        <v>798</v>
      </c>
      <c r="L98" s="17">
        <v>834</v>
      </c>
      <c r="M98" s="17">
        <v>862</v>
      </c>
      <c r="N98" s="24">
        <v>902</v>
      </c>
      <c r="O98" s="17">
        <v>926</v>
      </c>
      <c r="P98" s="17">
        <v>973</v>
      </c>
      <c r="Q98" s="17">
        <v>995</v>
      </c>
      <c r="R98" s="17">
        <v>1009</v>
      </c>
      <c r="S98" s="24">
        <v>1043</v>
      </c>
      <c r="T98" s="17">
        <v>1062</v>
      </c>
      <c r="U98" s="17">
        <v>1086</v>
      </c>
      <c r="V98" s="17">
        <v>1108</v>
      </c>
      <c r="W98" s="17">
        <v>1126</v>
      </c>
      <c r="X98" s="17">
        <v>1138</v>
      </c>
      <c r="Y98" s="17">
        <v>1157</v>
      </c>
      <c r="Z98" s="17">
        <v>1173</v>
      </c>
      <c r="AA98" s="17">
        <v>1175</v>
      </c>
      <c r="AB98" s="17">
        <v>1189</v>
      </c>
      <c r="AC98" s="17">
        <v>1189</v>
      </c>
      <c r="AD98" s="17">
        <v>1211</v>
      </c>
      <c r="AE98" s="17"/>
      <c r="AF98" s="17"/>
      <c r="AG98" s="17"/>
      <c r="AH98" s="17"/>
      <c r="AI98" s="17"/>
      <c r="AJ98" s="17"/>
      <c r="AK98" s="17"/>
      <c r="AR98" s="17">
        <v>299</v>
      </c>
      <c r="AS98" s="17">
        <v>337</v>
      </c>
      <c r="AT98" s="17">
        <v>379</v>
      </c>
      <c r="AU98" s="17">
        <v>455</v>
      </c>
      <c r="AV98" s="17">
        <v>502</v>
      </c>
      <c r="AW98" s="17">
        <v>542</v>
      </c>
      <c r="AX98" s="24">
        <v>613</v>
      </c>
      <c r="AY98" s="17">
        <v>640</v>
      </c>
      <c r="AZ98" s="17">
        <v>683</v>
      </c>
      <c r="BA98" s="17">
        <v>727</v>
      </c>
      <c r="BB98" s="17">
        <v>739</v>
      </c>
      <c r="BC98" s="24">
        <v>791</v>
      </c>
      <c r="BD98" s="17">
        <v>825</v>
      </c>
      <c r="BE98" s="17">
        <v>849</v>
      </c>
      <c r="BF98" s="17">
        <v>867</v>
      </c>
      <c r="BG98" s="17">
        <v>887</v>
      </c>
      <c r="BH98" s="17">
        <v>902</v>
      </c>
      <c r="BI98" s="17">
        <v>932</v>
      </c>
      <c r="BJ98" s="17">
        <v>945</v>
      </c>
      <c r="BK98" s="17">
        <v>962</v>
      </c>
      <c r="BL98" s="17">
        <v>975</v>
      </c>
      <c r="BM98" s="17">
        <v>998</v>
      </c>
      <c r="BN98" s="17">
        <v>1010</v>
      </c>
      <c r="BO98" s="132"/>
      <c r="BP98" s="132"/>
      <c r="BQ98" s="132"/>
      <c r="BR98" s="132"/>
      <c r="BS98" s="132"/>
      <c r="BT98" s="132"/>
      <c r="BU98" s="132"/>
      <c r="BV98" s="132"/>
      <c r="BW98" s="132"/>
      <c r="BX98" s="132"/>
      <c r="BY98" s="132"/>
    </row>
    <row r="99" spans="1:77" x14ac:dyDescent="0.25">
      <c r="A99" s="4" t="s">
        <v>187</v>
      </c>
      <c r="B99" s="6" t="s">
        <v>188</v>
      </c>
      <c r="H99" s="17">
        <v>251</v>
      </c>
      <c r="I99" s="17">
        <v>266</v>
      </c>
      <c r="J99" s="17">
        <v>289</v>
      </c>
      <c r="K99" s="17">
        <v>318</v>
      </c>
      <c r="L99" s="17">
        <v>331</v>
      </c>
      <c r="M99" s="17">
        <v>350</v>
      </c>
      <c r="N99" s="24">
        <v>376</v>
      </c>
      <c r="O99" s="17">
        <v>390</v>
      </c>
      <c r="P99" s="17">
        <v>402</v>
      </c>
      <c r="Q99" s="17">
        <v>414</v>
      </c>
      <c r="R99" s="17">
        <v>427</v>
      </c>
      <c r="S99" s="24">
        <v>450</v>
      </c>
      <c r="T99" s="17">
        <v>465</v>
      </c>
      <c r="U99" s="17">
        <v>481</v>
      </c>
      <c r="V99" s="17">
        <v>497</v>
      </c>
      <c r="W99" s="17">
        <v>512</v>
      </c>
      <c r="X99" s="17">
        <v>514</v>
      </c>
      <c r="Y99" s="17">
        <v>520</v>
      </c>
      <c r="Z99" s="17">
        <v>534</v>
      </c>
      <c r="AA99" s="17">
        <v>543</v>
      </c>
      <c r="AB99" s="17">
        <v>546</v>
      </c>
      <c r="AC99" s="17">
        <v>544</v>
      </c>
      <c r="AD99" s="17">
        <v>550</v>
      </c>
      <c r="AE99" s="17"/>
      <c r="AF99" s="17"/>
      <c r="AG99" s="17"/>
      <c r="AH99" s="17"/>
      <c r="AI99" s="17"/>
      <c r="AJ99" s="17"/>
      <c r="AK99" s="17"/>
      <c r="AR99" s="17">
        <v>108</v>
      </c>
      <c r="AS99" s="17">
        <v>140</v>
      </c>
      <c r="AT99" s="17">
        <v>149</v>
      </c>
      <c r="AU99" s="17">
        <v>199</v>
      </c>
      <c r="AV99" s="17">
        <v>219</v>
      </c>
      <c r="AW99" s="17">
        <v>229</v>
      </c>
      <c r="AX99" s="24">
        <v>250</v>
      </c>
      <c r="AY99" s="17">
        <v>259</v>
      </c>
      <c r="AZ99" s="17">
        <v>276</v>
      </c>
      <c r="BA99" s="17">
        <v>286</v>
      </c>
      <c r="BB99" s="17">
        <v>305</v>
      </c>
      <c r="BC99" s="24">
        <v>321</v>
      </c>
      <c r="BD99" s="17">
        <v>338</v>
      </c>
      <c r="BE99" s="17">
        <v>351</v>
      </c>
      <c r="BF99" s="17">
        <v>366</v>
      </c>
      <c r="BG99" s="17">
        <v>373</v>
      </c>
      <c r="BH99" s="17">
        <v>381</v>
      </c>
      <c r="BI99" s="17">
        <v>406</v>
      </c>
      <c r="BJ99" s="17">
        <v>420</v>
      </c>
      <c r="BK99" s="17">
        <v>432</v>
      </c>
      <c r="BL99" s="17">
        <v>443</v>
      </c>
      <c r="BM99" s="17">
        <v>455</v>
      </c>
      <c r="BN99" s="17">
        <v>458</v>
      </c>
      <c r="BO99" s="132"/>
      <c r="BP99" s="132"/>
      <c r="BQ99" s="132"/>
      <c r="BR99" s="132"/>
      <c r="BS99" s="132"/>
      <c r="BT99" s="132"/>
      <c r="BU99" s="132"/>
      <c r="BV99" s="132"/>
      <c r="BW99" s="132"/>
      <c r="BX99" s="132"/>
      <c r="BY99" s="132"/>
    </row>
    <row r="100" spans="1:77" x14ac:dyDescent="0.25">
      <c r="A100" s="4" t="s">
        <v>189</v>
      </c>
      <c r="B100" s="6" t="s">
        <v>190</v>
      </c>
      <c r="H100" s="17">
        <v>160</v>
      </c>
      <c r="I100" s="17">
        <v>166</v>
      </c>
      <c r="J100" s="17">
        <v>178</v>
      </c>
      <c r="K100" s="17">
        <v>191</v>
      </c>
      <c r="L100" s="17">
        <v>191</v>
      </c>
      <c r="M100" s="17">
        <v>193</v>
      </c>
      <c r="N100" s="24">
        <v>209</v>
      </c>
      <c r="O100" s="17">
        <v>210</v>
      </c>
      <c r="P100" s="17">
        <v>225</v>
      </c>
      <c r="Q100" s="17">
        <v>230</v>
      </c>
      <c r="R100" s="17">
        <v>232</v>
      </c>
      <c r="S100" s="24">
        <v>234</v>
      </c>
      <c r="T100" s="17">
        <v>239</v>
      </c>
      <c r="U100" s="17">
        <v>242</v>
      </c>
      <c r="V100" s="17">
        <v>247</v>
      </c>
      <c r="W100" s="17">
        <v>253</v>
      </c>
      <c r="X100" s="17">
        <v>254</v>
      </c>
      <c r="Y100" s="17">
        <v>263</v>
      </c>
      <c r="Z100" s="17">
        <v>265</v>
      </c>
      <c r="AA100" s="17">
        <v>267</v>
      </c>
      <c r="AB100" s="17">
        <v>270</v>
      </c>
      <c r="AC100" s="17">
        <v>274</v>
      </c>
      <c r="AD100" s="17">
        <v>278</v>
      </c>
      <c r="AE100" s="17"/>
      <c r="AF100" s="17"/>
      <c r="AG100" s="17"/>
      <c r="AH100" s="17"/>
      <c r="AI100" s="17"/>
      <c r="AJ100" s="17"/>
      <c r="AK100" s="17"/>
      <c r="AR100" s="17">
        <v>62</v>
      </c>
      <c r="AS100" s="17">
        <v>84</v>
      </c>
      <c r="AT100" s="17">
        <v>96</v>
      </c>
      <c r="AU100" s="17">
        <v>106</v>
      </c>
      <c r="AV100" s="17">
        <v>113</v>
      </c>
      <c r="AW100" s="17">
        <v>125</v>
      </c>
      <c r="AX100" s="24">
        <v>135</v>
      </c>
      <c r="AY100" s="17">
        <v>146</v>
      </c>
      <c r="AZ100" s="17">
        <v>163</v>
      </c>
      <c r="BA100" s="17">
        <v>170</v>
      </c>
      <c r="BB100" s="17">
        <v>173</v>
      </c>
      <c r="BC100" s="24">
        <v>178</v>
      </c>
      <c r="BD100" s="17">
        <v>195</v>
      </c>
      <c r="BE100" s="17">
        <v>197</v>
      </c>
      <c r="BF100" s="17">
        <v>199</v>
      </c>
      <c r="BG100" s="17">
        <v>199</v>
      </c>
      <c r="BH100" s="17">
        <v>203</v>
      </c>
      <c r="BI100" s="17">
        <v>209</v>
      </c>
      <c r="BJ100" s="17">
        <v>209</v>
      </c>
      <c r="BK100" s="17">
        <v>212</v>
      </c>
      <c r="BL100" s="17">
        <v>216</v>
      </c>
      <c r="BM100" s="17">
        <v>223</v>
      </c>
      <c r="BN100" s="17">
        <v>225</v>
      </c>
      <c r="BO100" s="132"/>
      <c r="BP100" s="132"/>
      <c r="BQ100" s="132"/>
      <c r="BR100" s="132"/>
      <c r="BS100" s="132"/>
      <c r="BT100" s="132"/>
      <c r="BU100" s="132"/>
      <c r="BV100" s="132"/>
      <c r="BW100" s="132"/>
      <c r="BX100" s="132"/>
      <c r="BY100" s="132"/>
    </row>
    <row r="101" spans="1:77" x14ac:dyDescent="0.25">
      <c r="A101" s="4" t="s">
        <v>191</v>
      </c>
      <c r="B101" s="6" t="s">
        <v>192</v>
      </c>
      <c r="H101" s="17">
        <v>629</v>
      </c>
      <c r="I101" s="17">
        <v>663</v>
      </c>
      <c r="J101" s="17">
        <v>683</v>
      </c>
      <c r="K101" s="17">
        <v>754</v>
      </c>
      <c r="L101" s="17">
        <v>764</v>
      </c>
      <c r="M101" s="17">
        <v>779</v>
      </c>
      <c r="N101" s="24">
        <v>843</v>
      </c>
      <c r="O101" s="17">
        <v>858</v>
      </c>
      <c r="P101" s="17">
        <v>887</v>
      </c>
      <c r="Q101" s="17">
        <v>904</v>
      </c>
      <c r="R101" s="17">
        <v>917</v>
      </c>
      <c r="S101" s="24">
        <v>947</v>
      </c>
      <c r="T101" s="17">
        <v>973</v>
      </c>
      <c r="U101" s="17">
        <v>996</v>
      </c>
      <c r="V101" s="17">
        <v>1028</v>
      </c>
      <c r="W101" s="17">
        <v>1039</v>
      </c>
      <c r="X101" s="17">
        <v>1054</v>
      </c>
      <c r="Y101" s="17">
        <v>1073</v>
      </c>
      <c r="Z101" s="17">
        <v>1099</v>
      </c>
      <c r="AA101" s="17">
        <v>1102</v>
      </c>
      <c r="AB101" s="17">
        <v>1112</v>
      </c>
      <c r="AC101" s="17">
        <v>1112</v>
      </c>
      <c r="AD101" s="17">
        <v>1136</v>
      </c>
      <c r="AE101" s="17"/>
      <c r="AF101" s="17"/>
      <c r="AG101" s="17"/>
      <c r="AH101" s="17"/>
      <c r="AI101" s="17"/>
      <c r="AJ101" s="17"/>
      <c r="AK101" s="17"/>
      <c r="AR101" s="17">
        <v>320</v>
      </c>
      <c r="AS101" s="17">
        <v>377</v>
      </c>
      <c r="AT101" s="17">
        <v>434</v>
      </c>
      <c r="AU101" s="17">
        <v>483</v>
      </c>
      <c r="AV101" s="17">
        <v>510</v>
      </c>
      <c r="AW101" s="17">
        <v>535</v>
      </c>
      <c r="AX101" s="24">
        <v>580</v>
      </c>
      <c r="AY101" s="17">
        <v>610</v>
      </c>
      <c r="AZ101" s="17">
        <v>649</v>
      </c>
      <c r="BA101" s="17">
        <v>666</v>
      </c>
      <c r="BB101" s="17">
        <v>675</v>
      </c>
      <c r="BC101" s="24">
        <v>696</v>
      </c>
      <c r="BD101" s="17">
        <v>723</v>
      </c>
      <c r="BE101" s="17">
        <v>743</v>
      </c>
      <c r="BF101" s="17">
        <v>778</v>
      </c>
      <c r="BG101" s="17">
        <v>795</v>
      </c>
      <c r="BH101" s="17">
        <v>818</v>
      </c>
      <c r="BI101" s="17">
        <v>826</v>
      </c>
      <c r="BJ101" s="17">
        <v>845</v>
      </c>
      <c r="BK101" s="17">
        <v>865</v>
      </c>
      <c r="BL101" s="17">
        <v>887</v>
      </c>
      <c r="BM101" s="17">
        <v>887</v>
      </c>
      <c r="BN101" s="17">
        <v>904</v>
      </c>
      <c r="BO101" s="132"/>
      <c r="BP101" s="132"/>
      <c r="BQ101" s="132"/>
      <c r="BR101" s="132"/>
      <c r="BS101" s="132"/>
      <c r="BT101" s="132"/>
      <c r="BU101" s="132"/>
      <c r="BV101" s="132"/>
      <c r="BW101" s="132"/>
      <c r="BX101" s="132"/>
      <c r="BY101" s="132"/>
    </row>
    <row r="102" spans="1:77" x14ac:dyDescent="0.25">
      <c r="A102" s="4" t="s">
        <v>193</v>
      </c>
      <c r="B102" s="6" t="s">
        <v>194</v>
      </c>
      <c r="H102" s="17">
        <v>54</v>
      </c>
      <c r="I102" s="17">
        <v>57</v>
      </c>
      <c r="J102" s="17">
        <v>58</v>
      </c>
      <c r="K102" s="17">
        <v>67</v>
      </c>
      <c r="L102" s="17">
        <v>67</v>
      </c>
      <c r="M102" s="17">
        <v>71</v>
      </c>
      <c r="N102" s="24">
        <v>80</v>
      </c>
      <c r="O102" s="17">
        <v>84</v>
      </c>
      <c r="P102" s="17">
        <v>86</v>
      </c>
      <c r="Q102" s="17">
        <v>90</v>
      </c>
      <c r="R102" s="17">
        <v>90</v>
      </c>
      <c r="S102" s="24">
        <v>90</v>
      </c>
      <c r="T102" s="17">
        <v>91</v>
      </c>
      <c r="U102" s="17">
        <v>94</v>
      </c>
      <c r="V102" s="17">
        <v>93</v>
      </c>
      <c r="W102" s="17">
        <v>93</v>
      </c>
      <c r="X102" s="17">
        <v>96</v>
      </c>
      <c r="Y102" s="17">
        <v>96</v>
      </c>
      <c r="Z102" s="17">
        <v>99</v>
      </c>
      <c r="AA102" s="17">
        <v>99</v>
      </c>
      <c r="AB102" s="17">
        <v>98</v>
      </c>
      <c r="AC102" s="17">
        <v>99</v>
      </c>
      <c r="AD102" s="17">
        <v>101</v>
      </c>
      <c r="AE102" s="17"/>
      <c r="AF102" s="17"/>
      <c r="AG102" s="17"/>
      <c r="AH102" s="17"/>
      <c r="AI102" s="17"/>
      <c r="AJ102" s="17"/>
      <c r="AK102" s="17"/>
      <c r="AR102" s="17">
        <v>34</v>
      </c>
      <c r="AS102" s="17">
        <v>35</v>
      </c>
      <c r="AT102" s="17">
        <v>36</v>
      </c>
      <c r="AU102" s="17">
        <v>42</v>
      </c>
      <c r="AV102" s="17">
        <v>46</v>
      </c>
      <c r="AW102" s="17">
        <v>51</v>
      </c>
      <c r="AX102" s="24">
        <v>54</v>
      </c>
      <c r="AY102" s="17">
        <v>54</v>
      </c>
      <c r="AZ102" s="17">
        <v>61</v>
      </c>
      <c r="BA102" s="17">
        <v>67</v>
      </c>
      <c r="BB102" s="17">
        <v>67</v>
      </c>
      <c r="BC102" s="24">
        <v>67</v>
      </c>
      <c r="BD102" s="17">
        <v>69</v>
      </c>
      <c r="BE102" s="17">
        <v>70</v>
      </c>
      <c r="BF102" s="17">
        <v>74</v>
      </c>
      <c r="BG102" s="17">
        <v>74</v>
      </c>
      <c r="BH102" s="17">
        <v>75</v>
      </c>
      <c r="BI102" s="17">
        <v>77</v>
      </c>
      <c r="BJ102" s="17">
        <v>80</v>
      </c>
      <c r="BK102" s="17">
        <v>80</v>
      </c>
      <c r="BL102" s="17">
        <v>83</v>
      </c>
      <c r="BM102" s="17">
        <v>81</v>
      </c>
      <c r="BN102" s="17">
        <v>83</v>
      </c>
      <c r="BO102" s="132"/>
      <c r="BP102" s="132"/>
      <c r="BQ102" s="132"/>
      <c r="BR102" s="132"/>
      <c r="BS102" s="132"/>
      <c r="BT102" s="132"/>
      <c r="BU102" s="132"/>
      <c r="BV102" s="132"/>
      <c r="BW102" s="132"/>
      <c r="BX102" s="132"/>
      <c r="BY102" s="132"/>
    </row>
    <row r="103" spans="1:77" x14ac:dyDescent="0.25">
      <c r="A103" s="4" t="s">
        <v>195</v>
      </c>
      <c r="B103" s="6" t="s">
        <v>196</v>
      </c>
      <c r="H103" s="17">
        <v>1327</v>
      </c>
      <c r="I103" s="17">
        <v>1407</v>
      </c>
      <c r="J103" s="17">
        <v>1483</v>
      </c>
      <c r="K103" s="17">
        <v>1610</v>
      </c>
      <c r="L103" s="17">
        <v>1645</v>
      </c>
      <c r="M103" s="17">
        <v>1678</v>
      </c>
      <c r="N103" s="24">
        <v>1771</v>
      </c>
      <c r="O103" s="17">
        <v>1810</v>
      </c>
      <c r="P103" s="17">
        <v>1880</v>
      </c>
      <c r="Q103" s="17">
        <v>1926</v>
      </c>
      <c r="R103" s="17">
        <v>1962</v>
      </c>
      <c r="S103" s="24">
        <v>2018</v>
      </c>
      <c r="T103" s="17">
        <v>2057</v>
      </c>
      <c r="U103" s="17">
        <v>2092</v>
      </c>
      <c r="V103" s="17">
        <v>2123</v>
      </c>
      <c r="W103" s="17">
        <v>2143</v>
      </c>
      <c r="X103" s="17">
        <v>2162</v>
      </c>
      <c r="Y103" s="17">
        <v>2188</v>
      </c>
      <c r="Z103" s="17">
        <v>2223</v>
      </c>
      <c r="AA103" s="17">
        <v>2237</v>
      </c>
      <c r="AB103" s="17">
        <v>2243</v>
      </c>
      <c r="AC103" s="17">
        <v>2251</v>
      </c>
      <c r="AD103" s="17">
        <v>2278</v>
      </c>
      <c r="AE103" s="17"/>
      <c r="AF103" s="17"/>
      <c r="AG103" s="17"/>
      <c r="AH103" s="17"/>
      <c r="AI103" s="17"/>
      <c r="AJ103" s="17"/>
      <c r="AK103" s="17"/>
      <c r="AR103" s="17">
        <v>639</v>
      </c>
      <c r="AS103" s="17">
        <v>758</v>
      </c>
      <c r="AT103" s="17">
        <v>857</v>
      </c>
      <c r="AU103" s="17">
        <v>1005</v>
      </c>
      <c r="AV103" s="17">
        <v>1085</v>
      </c>
      <c r="AW103" s="17">
        <v>1150</v>
      </c>
      <c r="AX103" s="24">
        <v>1244</v>
      </c>
      <c r="AY103" s="17">
        <v>1283</v>
      </c>
      <c r="AZ103" s="17">
        <v>1343</v>
      </c>
      <c r="BA103" s="17">
        <v>1401</v>
      </c>
      <c r="BB103" s="17">
        <v>1461</v>
      </c>
      <c r="BC103" s="24">
        <v>1526</v>
      </c>
      <c r="BD103" s="17">
        <v>1575</v>
      </c>
      <c r="BE103" s="17">
        <v>1619</v>
      </c>
      <c r="BF103" s="17">
        <v>1640</v>
      </c>
      <c r="BG103" s="17">
        <v>1667</v>
      </c>
      <c r="BH103" s="17">
        <v>1696</v>
      </c>
      <c r="BI103" s="17">
        <v>1717</v>
      </c>
      <c r="BJ103" s="17">
        <v>1752</v>
      </c>
      <c r="BK103" s="17">
        <v>1784</v>
      </c>
      <c r="BL103" s="17">
        <v>1843</v>
      </c>
      <c r="BM103" s="17">
        <v>1867</v>
      </c>
      <c r="BN103" s="17">
        <v>1890</v>
      </c>
      <c r="BO103" s="132"/>
      <c r="BP103" s="132"/>
      <c r="BQ103" s="132"/>
      <c r="BR103" s="132"/>
      <c r="BS103" s="132"/>
      <c r="BT103" s="132"/>
      <c r="BU103" s="132"/>
      <c r="BV103" s="132"/>
      <c r="BW103" s="132"/>
      <c r="BX103" s="132"/>
      <c r="BY103" s="132"/>
    </row>
    <row r="104" spans="1:77" x14ac:dyDescent="0.25">
      <c r="A104" s="4" t="s">
        <v>197</v>
      </c>
      <c r="B104" s="6" t="s">
        <v>198</v>
      </c>
      <c r="H104" s="17">
        <v>116</v>
      </c>
      <c r="I104" s="17">
        <v>127</v>
      </c>
      <c r="J104" s="17">
        <v>133</v>
      </c>
      <c r="K104" s="17">
        <v>141</v>
      </c>
      <c r="L104" s="17">
        <v>146</v>
      </c>
      <c r="M104" s="17">
        <v>147</v>
      </c>
      <c r="N104" s="24">
        <v>161</v>
      </c>
      <c r="O104" s="17">
        <v>167</v>
      </c>
      <c r="P104" s="17">
        <v>176</v>
      </c>
      <c r="Q104" s="17">
        <v>190</v>
      </c>
      <c r="R104" s="17">
        <v>193</v>
      </c>
      <c r="S104" s="24">
        <v>199</v>
      </c>
      <c r="T104" s="17">
        <v>205</v>
      </c>
      <c r="U104" s="17">
        <v>209</v>
      </c>
      <c r="V104" s="17">
        <v>212</v>
      </c>
      <c r="W104" s="17">
        <v>223</v>
      </c>
      <c r="X104" s="17">
        <v>224</v>
      </c>
      <c r="Y104" s="17">
        <v>230</v>
      </c>
      <c r="Z104" s="17">
        <v>235</v>
      </c>
      <c r="AA104" s="17">
        <v>244</v>
      </c>
      <c r="AB104" s="17">
        <v>246</v>
      </c>
      <c r="AC104" s="17">
        <v>248</v>
      </c>
      <c r="AD104" s="17">
        <v>261</v>
      </c>
      <c r="AE104" s="17"/>
      <c r="AF104" s="17"/>
      <c r="AG104" s="17"/>
      <c r="AH104" s="17"/>
      <c r="AI104" s="17"/>
      <c r="AJ104" s="17"/>
      <c r="AK104" s="17"/>
      <c r="AR104" s="17">
        <v>51</v>
      </c>
      <c r="AS104" s="17">
        <v>62</v>
      </c>
      <c r="AT104" s="17">
        <v>73</v>
      </c>
      <c r="AU104" s="17">
        <v>75</v>
      </c>
      <c r="AV104" s="17">
        <v>79</v>
      </c>
      <c r="AW104" s="17">
        <v>89</v>
      </c>
      <c r="AX104" s="24">
        <v>97</v>
      </c>
      <c r="AY104" s="17">
        <v>98</v>
      </c>
      <c r="AZ104" s="17">
        <v>108</v>
      </c>
      <c r="BA104" s="17">
        <v>124</v>
      </c>
      <c r="BB104" s="17">
        <v>128</v>
      </c>
      <c r="BC104" s="24">
        <v>135</v>
      </c>
      <c r="BD104" s="17">
        <v>137</v>
      </c>
      <c r="BE104" s="17">
        <v>144</v>
      </c>
      <c r="BF104" s="17">
        <v>157</v>
      </c>
      <c r="BG104" s="17">
        <v>160</v>
      </c>
      <c r="BH104" s="17">
        <v>165</v>
      </c>
      <c r="BI104" s="17">
        <v>168</v>
      </c>
      <c r="BJ104" s="17">
        <v>173</v>
      </c>
      <c r="BK104" s="17">
        <v>174</v>
      </c>
      <c r="BL104" s="17">
        <v>178</v>
      </c>
      <c r="BM104" s="17">
        <v>182</v>
      </c>
      <c r="BN104" s="17">
        <v>186</v>
      </c>
      <c r="BO104" s="132"/>
      <c r="BP104" s="132"/>
      <c r="BQ104" s="132"/>
      <c r="BR104" s="132"/>
      <c r="BS104" s="132"/>
      <c r="BT104" s="132"/>
      <c r="BU104" s="132"/>
      <c r="BV104" s="132"/>
      <c r="BW104" s="132"/>
      <c r="BX104" s="132"/>
      <c r="BY104" s="132"/>
    </row>
    <row r="105" spans="1:77" x14ac:dyDescent="0.25">
      <c r="A105" s="4" t="s">
        <v>199</v>
      </c>
      <c r="B105" s="6" t="s">
        <v>200</v>
      </c>
      <c r="H105" s="17">
        <v>113</v>
      </c>
      <c r="I105" s="17">
        <v>121</v>
      </c>
      <c r="J105" s="17">
        <v>123</v>
      </c>
      <c r="K105" s="17">
        <v>125</v>
      </c>
      <c r="L105" s="17">
        <v>130</v>
      </c>
      <c r="M105" s="17">
        <v>140</v>
      </c>
      <c r="N105" s="24">
        <v>160</v>
      </c>
      <c r="O105" s="17">
        <v>166</v>
      </c>
      <c r="P105" s="17">
        <v>172</v>
      </c>
      <c r="Q105" s="17">
        <v>173</v>
      </c>
      <c r="R105" s="17">
        <v>174</v>
      </c>
      <c r="S105" s="24">
        <v>176</v>
      </c>
      <c r="T105" s="17">
        <v>182</v>
      </c>
      <c r="U105" s="17">
        <v>186</v>
      </c>
      <c r="V105" s="17">
        <v>186</v>
      </c>
      <c r="W105" s="17">
        <v>189</v>
      </c>
      <c r="X105" s="17">
        <v>195</v>
      </c>
      <c r="Y105" s="17">
        <v>197</v>
      </c>
      <c r="Z105" s="17">
        <v>199</v>
      </c>
      <c r="AA105" s="17">
        <v>201</v>
      </c>
      <c r="AB105" s="17">
        <v>203</v>
      </c>
      <c r="AC105" s="17">
        <v>204</v>
      </c>
      <c r="AD105" s="17">
        <v>207</v>
      </c>
      <c r="AE105" s="17"/>
      <c r="AF105" s="17"/>
      <c r="AG105" s="17"/>
      <c r="AH105" s="17"/>
      <c r="AI105" s="17"/>
      <c r="AJ105" s="17"/>
      <c r="AK105" s="17"/>
      <c r="AR105" s="17">
        <v>69</v>
      </c>
      <c r="AS105" s="17">
        <v>83</v>
      </c>
      <c r="AT105" s="17">
        <v>92</v>
      </c>
      <c r="AU105" s="17">
        <v>101</v>
      </c>
      <c r="AV105" s="17">
        <v>102</v>
      </c>
      <c r="AW105" s="17">
        <v>104</v>
      </c>
      <c r="AX105" s="24">
        <v>112</v>
      </c>
      <c r="AY105" s="17">
        <v>123</v>
      </c>
      <c r="AZ105" s="17">
        <v>125</v>
      </c>
      <c r="BA105" s="17">
        <v>137</v>
      </c>
      <c r="BB105" s="17">
        <v>148</v>
      </c>
      <c r="BC105" s="24">
        <v>155</v>
      </c>
      <c r="BD105" s="17">
        <v>157</v>
      </c>
      <c r="BE105" s="17">
        <v>158</v>
      </c>
      <c r="BF105" s="17">
        <v>164</v>
      </c>
      <c r="BG105" s="17">
        <v>164</v>
      </c>
      <c r="BH105" s="17">
        <v>168</v>
      </c>
      <c r="BI105" s="17">
        <v>171</v>
      </c>
      <c r="BJ105" s="17">
        <v>176</v>
      </c>
      <c r="BK105" s="17">
        <v>177</v>
      </c>
      <c r="BL105" s="17">
        <v>177</v>
      </c>
      <c r="BM105" s="17">
        <v>183</v>
      </c>
      <c r="BN105" s="17">
        <v>183</v>
      </c>
      <c r="BO105" s="132"/>
      <c r="BP105" s="132"/>
      <c r="BQ105" s="132"/>
      <c r="BR105" s="132"/>
      <c r="BS105" s="132"/>
      <c r="BT105" s="132"/>
      <c r="BU105" s="132"/>
      <c r="BV105" s="132"/>
      <c r="BW105" s="132"/>
      <c r="BX105" s="132"/>
      <c r="BY105" s="132"/>
    </row>
    <row r="106" spans="1:77" x14ac:dyDescent="0.25">
      <c r="A106" s="4" t="s">
        <v>201</v>
      </c>
      <c r="B106" s="6" t="s">
        <v>202</v>
      </c>
      <c r="H106" s="17">
        <v>78</v>
      </c>
      <c r="I106" s="17">
        <v>95</v>
      </c>
      <c r="J106" s="17">
        <v>104</v>
      </c>
      <c r="K106" s="17">
        <v>113</v>
      </c>
      <c r="L106" s="17">
        <v>114</v>
      </c>
      <c r="M106" s="17">
        <v>118</v>
      </c>
      <c r="N106" s="24">
        <v>128</v>
      </c>
      <c r="O106" s="17">
        <v>138</v>
      </c>
      <c r="P106" s="17">
        <v>145</v>
      </c>
      <c r="Q106" s="17">
        <v>152</v>
      </c>
      <c r="R106" s="17">
        <v>155</v>
      </c>
      <c r="S106" s="24">
        <v>156</v>
      </c>
      <c r="T106" s="17">
        <v>160</v>
      </c>
      <c r="U106" s="17">
        <v>169</v>
      </c>
      <c r="V106" s="17">
        <v>173</v>
      </c>
      <c r="W106" s="17">
        <v>175</v>
      </c>
      <c r="X106" s="17">
        <v>175</v>
      </c>
      <c r="Y106" s="17">
        <v>176</v>
      </c>
      <c r="Z106" s="17">
        <v>177</v>
      </c>
      <c r="AA106" s="17">
        <v>180</v>
      </c>
      <c r="AB106" s="17">
        <v>181</v>
      </c>
      <c r="AC106" s="17">
        <v>181</v>
      </c>
      <c r="AD106" s="17">
        <v>183</v>
      </c>
      <c r="AE106" s="17"/>
      <c r="AF106" s="17"/>
      <c r="AG106" s="17"/>
      <c r="AH106" s="17"/>
      <c r="AI106" s="17"/>
      <c r="AJ106" s="17"/>
      <c r="AK106" s="17"/>
      <c r="AR106" s="17">
        <v>34</v>
      </c>
      <c r="AS106" s="17">
        <v>37</v>
      </c>
      <c r="AT106" s="17">
        <v>46</v>
      </c>
      <c r="AU106" s="17">
        <v>64</v>
      </c>
      <c r="AV106" s="17">
        <v>73</v>
      </c>
      <c r="AW106" s="17">
        <v>79</v>
      </c>
      <c r="AX106" s="24">
        <v>93</v>
      </c>
      <c r="AY106" s="17">
        <v>95</v>
      </c>
      <c r="AZ106" s="17">
        <v>101</v>
      </c>
      <c r="BA106" s="17">
        <v>103</v>
      </c>
      <c r="BB106" s="17">
        <v>112</v>
      </c>
      <c r="BC106" s="24">
        <v>118</v>
      </c>
      <c r="BD106" s="17">
        <v>122</v>
      </c>
      <c r="BE106" s="17">
        <v>129</v>
      </c>
      <c r="BF106" s="17">
        <v>131</v>
      </c>
      <c r="BG106" s="17">
        <v>141</v>
      </c>
      <c r="BH106" s="17">
        <v>141</v>
      </c>
      <c r="BI106" s="17">
        <v>141</v>
      </c>
      <c r="BJ106" s="17">
        <v>146</v>
      </c>
      <c r="BK106" s="17">
        <v>152</v>
      </c>
      <c r="BL106" s="17">
        <v>155</v>
      </c>
      <c r="BM106" s="17">
        <v>158</v>
      </c>
      <c r="BN106" s="17">
        <v>160</v>
      </c>
      <c r="BO106" s="132"/>
      <c r="BP106" s="132"/>
      <c r="BQ106" s="132"/>
      <c r="BR106" s="132"/>
      <c r="BS106" s="132"/>
      <c r="BT106" s="132"/>
      <c r="BU106" s="132"/>
      <c r="BV106" s="132"/>
      <c r="BW106" s="132"/>
      <c r="BX106" s="132"/>
      <c r="BY106" s="132"/>
    </row>
    <row r="107" spans="1:77" x14ac:dyDescent="0.25">
      <c r="A107" s="4" t="s">
        <v>203</v>
      </c>
      <c r="B107" s="6" t="s">
        <v>204</v>
      </c>
      <c r="H107" s="17">
        <v>134</v>
      </c>
      <c r="I107" s="17">
        <v>147</v>
      </c>
      <c r="J107" s="17">
        <v>156</v>
      </c>
      <c r="K107" s="17">
        <v>172</v>
      </c>
      <c r="L107" s="17">
        <v>177</v>
      </c>
      <c r="M107" s="17">
        <v>180</v>
      </c>
      <c r="N107" s="24">
        <v>192</v>
      </c>
      <c r="O107" s="17">
        <v>200</v>
      </c>
      <c r="P107" s="17">
        <v>212</v>
      </c>
      <c r="Q107" s="17">
        <v>218</v>
      </c>
      <c r="R107" s="17">
        <v>219</v>
      </c>
      <c r="S107" s="24">
        <v>222</v>
      </c>
      <c r="T107" s="17">
        <v>230</v>
      </c>
      <c r="U107" s="17">
        <v>238</v>
      </c>
      <c r="V107" s="17">
        <v>242</v>
      </c>
      <c r="W107" s="17">
        <v>244</v>
      </c>
      <c r="X107" s="17">
        <v>244</v>
      </c>
      <c r="Y107" s="17">
        <v>247</v>
      </c>
      <c r="Z107" s="17">
        <v>252</v>
      </c>
      <c r="AA107" s="17">
        <v>255</v>
      </c>
      <c r="AB107" s="17">
        <v>259</v>
      </c>
      <c r="AC107" s="17">
        <v>259</v>
      </c>
      <c r="AD107" s="17">
        <v>263</v>
      </c>
      <c r="AE107" s="17"/>
      <c r="AF107" s="17"/>
      <c r="AG107" s="17"/>
      <c r="AH107" s="17"/>
      <c r="AI107" s="17"/>
      <c r="AJ107" s="17"/>
      <c r="AK107" s="17"/>
      <c r="AR107" s="17">
        <v>77</v>
      </c>
      <c r="AS107" s="17">
        <v>83</v>
      </c>
      <c r="AT107" s="17">
        <v>95</v>
      </c>
      <c r="AU107" s="17">
        <v>105</v>
      </c>
      <c r="AV107" s="17">
        <v>115</v>
      </c>
      <c r="AW107" s="17">
        <v>124</v>
      </c>
      <c r="AX107" s="24">
        <v>135</v>
      </c>
      <c r="AY107" s="17">
        <v>143</v>
      </c>
      <c r="AZ107" s="17">
        <v>156</v>
      </c>
      <c r="BA107" s="17">
        <v>162</v>
      </c>
      <c r="BB107" s="17">
        <v>168</v>
      </c>
      <c r="BC107" s="24">
        <v>173</v>
      </c>
      <c r="BD107" s="17">
        <v>177</v>
      </c>
      <c r="BE107" s="17">
        <v>184</v>
      </c>
      <c r="BF107" s="17">
        <v>190</v>
      </c>
      <c r="BG107" s="17">
        <v>195</v>
      </c>
      <c r="BH107" s="17">
        <v>200</v>
      </c>
      <c r="BI107" s="17">
        <v>202</v>
      </c>
      <c r="BJ107" s="17">
        <v>205</v>
      </c>
      <c r="BK107" s="17">
        <v>205</v>
      </c>
      <c r="BL107" s="17">
        <v>215</v>
      </c>
      <c r="BM107" s="17">
        <v>214</v>
      </c>
      <c r="BN107" s="17">
        <v>219</v>
      </c>
      <c r="BO107" s="132"/>
      <c r="BP107" s="132"/>
      <c r="BQ107" s="132"/>
      <c r="BR107" s="132"/>
      <c r="BS107" s="132"/>
      <c r="BT107" s="132"/>
      <c r="BU107" s="132"/>
      <c r="BV107" s="132"/>
      <c r="BW107" s="132"/>
      <c r="BX107" s="132"/>
      <c r="BY107" s="132"/>
    </row>
    <row r="108" spans="1:77" x14ac:dyDescent="0.25">
      <c r="A108" s="4" t="s">
        <v>205</v>
      </c>
      <c r="B108" s="6" t="s">
        <v>206</v>
      </c>
      <c r="H108" s="17">
        <v>254</v>
      </c>
      <c r="I108" s="17">
        <v>266</v>
      </c>
      <c r="J108" s="17">
        <v>295</v>
      </c>
      <c r="K108" s="17">
        <v>305</v>
      </c>
      <c r="L108" s="17">
        <v>311</v>
      </c>
      <c r="M108" s="17">
        <v>313</v>
      </c>
      <c r="N108" s="24">
        <v>335</v>
      </c>
      <c r="O108" s="17">
        <v>348</v>
      </c>
      <c r="P108" s="17">
        <v>359</v>
      </c>
      <c r="Q108" s="17">
        <v>374</v>
      </c>
      <c r="R108" s="17">
        <v>380</v>
      </c>
      <c r="S108" s="24">
        <v>399</v>
      </c>
      <c r="T108" s="17">
        <v>413</v>
      </c>
      <c r="U108" s="17">
        <v>425</v>
      </c>
      <c r="V108" s="17">
        <v>445</v>
      </c>
      <c r="W108" s="17">
        <v>458</v>
      </c>
      <c r="X108" s="17">
        <v>471</v>
      </c>
      <c r="Y108" s="17">
        <v>483</v>
      </c>
      <c r="Z108" s="17">
        <v>493</v>
      </c>
      <c r="AA108" s="17">
        <v>496</v>
      </c>
      <c r="AB108" s="17">
        <v>507</v>
      </c>
      <c r="AC108" s="17">
        <v>511</v>
      </c>
      <c r="AD108" s="17">
        <v>532</v>
      </c>
      <c r="AE108" s="17"/>
      <c r="AF108" s="17"/>
      <c r="AG108" s="17"/>
      <c r="AH108" s="17"/>
      <c r="AI108" s="17"/>
      <c r="AJ108" s="17"/>
      <c r="AK108" s="17"/>
      <c r="AR108" s="17">
        <v>103</v>
      </c>
      <c r="AS108" s="17">
        <v>134</v>
      </c>
      <c r="AT108" s="17">
        <v>145</v>
      </c>
      <c r="AU108" s="17">
        <v>162</v>
      </c>
      <c r="AV108" s="17">
        <v>177</v>
      </c>
      <c r="AW108" s="17">
        <v>189</v>
      </c>
      <c r="AX108" s="24">
        <v>214</v>
      </c>
      <c r="AY108" s="17">
        <v>225</v>
      </c>
      <c r="AZ108" s="17">
        <v>234</v>
      </c>
      <c r="BA108" s="17">
        <v>242</v>
      </c>
      <c r="BB108" s="17">
        <v>248</v>
      </c>
      <c r="BC108" s="24">
        <v>267</v>
      </c>
      <c r="BD108" s="17">
        <v>284</v>
      </c>
      <c r="BE108" s="17">
        <v>299</v>
      </c>
      <c r="BF108" s="17">
        <v>312</v>
      </c>
      <c r="BG108" s="17">
        <v>314</v>
      </c>
      <c r="BH108" s="17">
        <v>323</v>
      </c>
      <c r="BI108" s="17">
        <v>334</v>
      </c>
      <c r="BJ108" s="17">
        <v>343</v>
      </c>
      <c r="BK108" s="17">
        <v>355</v>
      </c>
      <c r="BL108" s="17">
        <v>366</v>
      </c>
      <c r="BM108" s="17">
        <v>369</v>
      </c>
      <c r="BN108" s="17">
        <v>371</v>
      </c>
      <c r="BO108" s="132"/>
      <c r="BP108" s="132"/>
      <c r="BQ108" s="132"/>
      <c r="BR108" s="132"/>
      <c r="BS108" s="132"/>
      <c r="BT108" s="132"/>
      <c r="BU108" s="132"/>
      <c r="BV108" s="132"/>
      <c r="BW108" s="132"/>
      <c r="BX108" s="132"/>
      <c r="BY108" s="132"/>
    </row>
    <row r="109" spans="1:77" x14ac:dyDescent="0.25">
      <c r="A109" s="4" t="s">
        <v>207</v>
      </c>
      <c r="B109" s="6" t="s">
        <v>208</v>
      </c>
      <c r="H109" s="17">
        <v>45</v>
      </c>
      <c r="I109" s="17">
        <v>50</v>
      </c>
      <c r="J109" s="17">
        <v>57</v>
      </c>
      <c r="K109" s="17">
        <v>67</v>
      </c>
      <c r="L109" s="17">
        <v>70</v>
      </c>
      <c r="M109" s="17">
        <v>71</v>
      </c>
      <c r="N109" s="24">
        <v>79</v>
      </c>
      <c r="O109" s="17">
        <v>81</v>
      </c>
      <c r="P109" s="17">
        <v>84</v>
      </c>
      <c r="Q109" s="17">
        <v>86</v>
      </c>
      <c r="R109" s="17">
        <v>89</v>
      </c>
      <c r="S109" s="24">
        <v>92</v>
      </c>
      <c r="T109" s="17">
        <v>94</v>
      </c>
      <c r="U109" s="17">
        <v>95</v>
      </c>
      <c r="V109" s="17">
        <v>98</v>
      </c>
      <c r="W109" s="17">
        <v>102</v>
      </c>
      <c r="X109" s="17">
        <v>102</v>
      </c>
      <c r="Y109" s="17">
        <v>104</v>
      </c>
      <c r="Z109" s="17">
        <v>104</v>
      </c>
      <c r="AA109" s="17">
        <v>104</v>
      </c>
      <c r="AB109" s="17">
        <v>104</v>
      </c>
      <c r="AC109" s="17">
        <v>107</v>
      </c>
      <c r="AD109" s="17">
        <v>107</v>
      </c>
      <c r="AE109" s="17"/>
      <c r="AF109" s="17"/>
      <c r="AG109" s="17"/>
      <c r="AH109" s="17"/>
      <c r="AI109" s="17"/>
      <c r="AJ109" s="17"/>
      <c r="AK109" s="17"/>
      <c r="AR109" s="17">
        <v>17</v>
      </c>
      <c r="AS109" s="17">
        <v>25</v>
      </c>
      <c r="AT109" s="17">
        <v>32</v>
      </c>
      <c r="AU109" s="17">
        <v>34</v>
      </c>
      <c r="AV109" s="17">
        <v>43</v>
      </c>
      <c r="AW109" s="17">
        <v>47</v>
      </c>
      <c r="AX109" s="24">
        <v>59</v>
      </c>
      <c r="AY109" s="17">
        <v>59</v>
      </c>
      <c r="AZ109" s="17">
        <v>69</v>
      </c>
      <c r="BA109" s="17">
        <v>71</v>
      </c>
      <c r="BB109" s="17">
        <v>73</v>
      </c>
      <c r="BC109" s="24">
        <v>75</v>
      </c>
      <c r="BD109" s="17">
        <v>81</v>
      </c>
      <c r="BE109" s="17">
        <v>84</v>
      </c>
      <c r="BF109" s="17">
        <v>84</v>
      </c>
      <c r="BG109" s="17">
        <v>86</v>
      </c>
      <c r="BH109" s="17">
        <v>88</v>
      </c>
      <c r="BI109" s="17">
        <v>88</v>
      </c>
      <c r="BJ109" s="17">
        <v>90</v>
      </c>
      <c r="BK109" s="17">
        <v>90</v>
      </c>
      <c r="BL109" s="17">
        <v>93</v>
      </c>
      <c r="BM109" s="17">
        <v>91</v>
      </c>
      <c r="BN109" s="17">
        <v>92</v>
      </c>
      <c r="BO109" s="132"/>
      <c r="BP109" s="132"/>
      <c r="BQ109" s="132"/>
      <c r="BR109" s="132"/>
      <c r="BS109" s="132"/>
      <c r="BT109" s="132"/>
      <c r="BU109" s="132"/>
      <c r="BV109" s="132"/>
      <c r="BW109" s="132"/>
      <c r="BX109" s="132"/>
      <c r="BY109" s="132"/>
    </row>
    <row r="110" spans="1:77" x14ac:dyDescent="0.25">
      <c r="A110" s="4" t="s">
        <v>209</v>
      </c>
      <c r="B110" s="6" t="s">
        <v>210</v>
      </c>
      <c r="H110" s="17">
        <v>454</v>
      </c>
      <c r="I110" s="17">
        <v>493</v>
      </c>
      <c r="J110" s="17">
        <v>516</v>
      </c>
      <c r="K110" s="17">
        <v>540</v>
      </c>
      <c r="L110" s="17">
        <v>553</v>
      </c>
      <c r="M110" s="17">
        <v>567</v>
      </c>
      <c r="N110" s="24">
        <v>604</v>
      </c>
      <c r="O110" s="17">
        <v>622</v>
      </c>
      <c r="P110" s="17">
        <v>640</v>
      </c>
      <c r="Q110" s="17">
        <v>648</v>
      </c>
      <c r="R110" s="17">
        <v>659</v>
      </c>
      <c r="S110" s="24">
        <v>665</v>
      </c>
      <c r="T110" s="17">
        <v>671</v>
      </c>
      <c r="U110" s="17">
        <v>682</v>
      </c>
      <c r="V110" s="17">
        <v>691</v>
      </c>
      <c r="W110" s="17">
        <v>707</v>
      </c>
      <c r="X110" s="17">
        <v>714</v>
      </c>
      <c r="Y110" s="17">
        <v>722</v>
      </c>
      <c r="Z110" s="17">
        <v>738</v>
      </c>
      <c r="AA110" s="17">
        <v>744</v>
      </c>
      <c r="AB110" s="17">
        <v>747</v>
      </c>
      <c r="AC110" s="17">
        <v>747</v>
      </c>
      <c r="AD110" s="17">
        <v>763</v>
      </c>
      <c r="AE110" s="17"/>
      <c r="AF110" s="17"/>
      <c r="AG110" s="17"/>
      <c r="AH110" s="17"/>
      <c r="AI110" s="17"/>
      <c r="AJ110" s="17"/>
      <c r="AK110" s="17"/>
      <c r="AR110" s="17">
        <v>242</v>
      </c>
      <c r="AS110" s="17">
        <v>280</v>
      </c>
      <c r="AT110" s="17">
        <v>309</v>
      </c>
      <c r="AU110" s="17">
        <v>339</v>
      </c>
      <c r="AV110" s="17">
        <v>368</v>
      </c>
      <c r="AW110" s="17">
        <v>384</v>
      </c>
      <c r="AX110" s="24">
        <v>426</v>
      </c>
      <c r="AY110" s="17">
        <v>434</v>
      </c>
      <c r="AZ110" s="17">
        <v>449</v>
      </c>
      <c r="BA110" s="17">
        <v>469</v>
      </c>
      <c r="BB110" s="17">
        <v>487</v>
      </c>
      <c r="BC110" s="24">
        <v>510</v>
      </c>
      <c r="BD110" s="17">
        <v>531</v>
      </c>
      <c r="BE110" s="17">
        <v>549</v>
      </c>
      <c r="BF110" s="17">
        <v>557</v>
      </c>
      <c r="BG110" s="17">
        <v>562</v>
      </c>
      <c r="BH110" s="17">
        <v>576</v>
      </c>
      <c r="BI110" s="17">
        <v>589</v>
      </c>
      <c r="BJ110" s="17">
        <v>601</v>
      </c>
      <c r="BK110" s="17">
        <v>607</v>
      </c>
      <c r="BL110" s="17">
        <v>622</v>
      </c>
      <c r="BM110" s="17">
        <v>624</v>
      </c>
      <c r="BN110" s="17">
        <v>630</v>
      </c>
      <c r="BO110" s="132"/>
      <c r="BP110" s="132"/>
      <c r="BQ110" s="132"/>
      <c r="BR110" s="132"/>
      <c r="BS110" s="132"/>
      <c r="BT110" s="132"/>
      <c r="BU110" s="132"/>
      <c r="BV110" s="132"/>
      <c r="BW110" s="132"/>
      <c r="BX110" s="132"/>
      <c r="BY110" s="132"/>
    </row>
    <row r="111" spans="1:77" x14ac:dyDescent="0.25">
      <c r="A111" s="4" t="s">
        <v>211</v>
      </c>
      <c r="B111" s="6" t="s">
        <v>212</v>
      </c>
      <c r="H111" s="17">
        <v>58</v>
      </c>
      <c r="I111" s="17">
        <v>61</v>
      </c>
      <c r="J111" s="17">
        <v>66</v>
      </c>
      <c r="K111" s="17">
        <v>69</v>
      </c>
      <c r="L111" s="17">
        <v>67</v>
      </c>
      <c r="M111" s="17">
        <v>67</v>
      </c>
      <c r="N111" s="24">
        <v>69</v>
      </c>
      <c r="O111" s="17">
        <v>73</v>
      </c>
      <c r="P111" s="17">
        <v>75</v>
      </c>
      <c r="Q111" s="17">
        <v>78</v>
      </c>
      <c r="R111" s="17">
        <v>80</v>
      </c>
      <c r="S111" s="24">
        <v>84</v>
      </c>
      <c r="T111" s="17">
        <v>87</v>
      </c>
      <c r="U111" s="17">
        <v>91</v>
      </c>
      <c r="V111" s="17">
        <v>93</v>
      </c>
      <c r="W111" s="17">
        <v>96</v>
      </c>
      <c r="X111" s="17">
        <v>98</v>
      </c>
      <c r="Y111" s="17">
        <v>99</v>
      </c>
      <c r="Z111" s="17">
        <v>102</v>
      </c>
      <c r="AA111" s="17">
        <v>105</v>
      </c>
      <c r="AB111" s="17">
        <v>107</v>
      </c>
      <c r="AC111" s="17">
        <v>106</v>
      </c>
      <c r="AD111" s="17">
        <v>108</v>
      </c>
      <c r="AE111" s="17"/>
      <c r="AF111" s="17"/>
      <c r="AG111" s="17"/>
      <c r="AH111" s="17"/>
      <c r="AI111" s="17"/>
      <c r="AJ111" s="17"/>
      <c r="AK111" s="17"/>
      <c r="AR111" s="17">
        <v>21</v>
      </c>
      <c r="AS111" s="17">
        <v>25</v>
      </c>
      <c r="AT111" s="17">
        <v>30</v>
      </c>
      <c r="AU111" s="17">
        <v>36</v>
      </c>
      <c r="AV111" s="17">
        <v>44</v>
      </c>
      <c r="AW111" s="17">
        <v>48</v>
      </c>
      <c r="AX111" s="24">
        <v>51</v>
      </c>
      <c r="AY111" s="17">
        <v>51</v>
      </c>
      <c r="AZ111" s="17">
        <v>55</v>
      </c>
      <c r="BA111" s="17">
        <v>60</v>
      </c>
      <c r="BB111" s="17">
        <v>61</v>
      </c>
      <c r="BC111" s="24">
        <v>64</v>
      </c>
      <c r="BD111" s="17">
        <v>64</v>
      </c>
      <c r="BE111" s="17">
        <v>64</v>
      </c>
      <c r="BF111" s="17">
        <v>65</v>
      </c>
      <c r="BG111" s="17">
        <v>67</v>
      </c>
      <c r="BH111" s="17">
        <v>71</v>
      </c>
      <c r="BI111" s="17">
        <v>73</v>
      </c>
      <c r="BJ111" s="17">
        <v>75</v>
      </c>
      <c r="BK111" s="17">
        <v>77</v>
      </c>
      <c r="BL111" s="17">
        <v>79</v>
      </c>
      <c r="BM111" s="17">
        <v>79</v>
      </c>
      <c r="BN111" s="17">
        <v>85</v>
      </c>
      <c r="BO111" s="132"/>
      <c r="BP111" s="132"/>
      <c r="BQ111" s="132"/>
      <c r="BR111" s="132"/>
      <c r="BS111" s="132"/>
      <c r="BT111" s="132"/>
      <c r="BU111" s="132"/>
      <c r="BV111" s="132"/>
      <c r="BW111" s="132"/>
      <c r="BX111" s="132"/>
      <c r="BY111" s="132"/>
    </row>
    <row r="112" spans="1:77" x14ac:dyDescent="0.25">
      <c r="A112" s="4" t="s">
        <v>213</v>
      </c>
      <c r="B112" s="6" t="s">
        <v>214</v>
      </c>
      <c r="H112" s="17">
        <v>78</v>
      </c>
      <c r="I112" s="17">
        <v>82</v>
      </c>
      <c r="J112" s="17">
        <v>89</v>
      </c>
      <c r="K112" s="17">
        <v>101</v>
      </c>
      <c r="L112" s="17">
        <v>102</v>
      </c>
      <c r="M112" s="17">
        <v>105</v>
      </c>
      <c r="N112" s="24">
        <v>116</v>
      </c>
      <c r="O112" s="17">
        <v>119</v>
      </c>
      <c r="P112" s="17">
        <v>123</v>
      </c>
      <c r="Q112" s="17">
        <v>128</v>
      </c>
      <c r="R112" s="17">
        <v>132</v>
      </c>
      <c r="S112" s="24">
        <v>136</v>
      </c>
      <c r="T112" s="17">
        <v>144</v>
      </c>
      <c r="U112" s="17">
        <v>146</v>
      </c>
      <c r="V112" s="17">
        <v>152</v>
      </c>
      <c r="W112" s="17">
        <v>159</v>
      </c>
      <c r="X112" s="17">
        <v>160</v>
      </c>
      <c r="Y112" s="17">
        <v>165</v>
      </c>
      <c r="Z112" s="17">
        <v>173</v>
      </c>
      <c r="AA112" s="17">
        <v>176</v>
      </c>
      <c r="AB112" s="17">
        <v>177</v>
      </c>
      <c r="AC112" s="17">
        <v>176</v>
      </c>
      <c r="AD112" s="17">
        <v>187</v>
      </c>
      <c r="AE112" s="17"/>
      <c r="AF112" s="17"/>
      <c r="AG112" s="17"/>
      <c r="AH112" s="17"/>
      <c r="AI112" s="17"/>
      <c r="AJ112" s="17"/>
      <c r="AK112" s="17"/>
      <c r="AR112" s="17">
        <v>42</v>
      </c>
      <c r="AS112" s="17">
        <v>48</v>
      </c>
      <c r="AT112" s="17">
        <v>50</v>
      </c>
      <c r="AU112" s="17">
        <v>56</v>
      </c>
      <c r="AV112" s="17">
        <v>62</v>
      </c>
      <c r="AW112" s="17">
        <v>66</v>
      </c>
      <c r="AX112" s="24">
        <v>71</v>
      </c>
      <c r="AY112" s="17">
        <v>78</v>
      </c>
      <c r="AZ112" s="17">
        <v>80</v>
      </c>
      <c r="BA112" s="17">
        <v>81</v>
      </c>
      <c r="BB112" s="17">
        <v>86</v>
      </c>
      <c r="BC112" s="24">
        <v>92</v>
      </c>
      <c r="BD112" s="17">
        <v>100</v>
      </c>
      <c r="BE112" s="17">
        <v>102</v>
      </c>
      <c r="BF112" s="17">
        <v>107</v>
      </c>
      <c r="BG112" s="17">
        <v>107</v>
      </c>
      <c r="BH112" s="17">
        <v>109</v>
      </c>
      <c r="BI112" s="17">
        <v>110</v>
      </c>
      <c r="BJ112" s="17">
        <v>111</v>
      </c>
      <c r="BK112" s="17">
        <v>115</v>
      </c>
      <c r="BL112" s="17">
        <v>118</v>
      </c>
      <c r="BM112" s="17">
        <v>122</v>
      </c>
      <c r="BN112" s="17">
        <v>124</v>
      </c>
      <c r="BO112" s="132"/>
      <c r="BP112" s="132"/>
      <c r="BQ112" s="132"/>
      <c r="BR112" s="132"/>
      <c r="BS112" s="132"/>
      <c r="BT112" s="132"/>
      <c r="BU112" s="132"/>
      <c r="BV112" s="132"/>
      <c r="BW112" s="132"/>
      <c r="BX112" s="132"/>
      <c r="BY112" s="132"/>
    </row>
    <row r="113" spans="1:77" x14ac:dyDescent="0.25">
      <c r="A113" s="4" t="s">
        <v>215</v>
      </c>
      <c r="B113" s="6" t="s">
        <v>216</v>
      </c>
      <c r="H113" s="17">
        <v>44</v>
      </c>
      <c r="I113" s="17">
        <v>65</v>
      </c>
      <c r="J113" s="17">
        <v>79</v>
      </c>
      <c r="K113" s="17">
        <v>82</v>
      </c>
      <c r="L113" s="17">
        <v>90</v>
      </c>
      <c r="M113" s="17">
        <v>90</v>
      </c>
      <c r="N113" s="24">
        <v>99</v>
      </c>
      <c r="O113" s="17">
        <v>103</v>
      </c>
      <c r="P113" s="17">
        <v>110</v>
      </c>
      <c r="Q113" s="17">
        <v>113</v>
      </c>
      <c r="R113" s="17">
        <v>114</v>
      </c>
      <c r="S113" s="24">
        <v>115</v>
      </c>
      <c r="T113" s="17">
        <v>115</v>
      </c>
      <c r="U113" s="17">
        <v>126</v>
      </c>
      <c r="V113" s="17">
        <v>127</v>
      </c>
      <c r="W113" s="17">
        <v>134</v>
      </c>
      <c r="X113" s="17">
        <v>134</v>
      </c>
      <c r="Y113" s="17">
        <v>135</v>
      </c>
      <c r="Z113" s="17">
        <v>136</v>
      </c>
      <c r="AA113" s="17">
        <v>138</v>
      </c>
      <c r="AB113" s="17">
        <v>138</v>
      </c>
      <c r="AC113" s="17">
        <v>138</v>
      </c>
      <c r="AD113" s="17">
        <v>143</v>
      </c>
      <c r="AE113" s="17"/>
      <c r="AF113" s="17"/>
      <c r="AG113" s="17"/>
      <c r="AH113" s="17"/>
      <c r="AI113" s="17"/>
      <c r="AJ113" s="17"/>
      <c r="AK113" s="17"/>
      <c r="AR113" s="17">
        <v>24</v>
      </c>
      <c r="AS113" s="17">
        <v>30</v>
      </c>
      <c r="AT113" s="17">
        <v>32</v>
      </c>
      <c r="AU113" s="17">
        <v>39</v>
      </c>
      <c r="AV113" s="17">
        <v>42</v>
      </c>
      <c r="AW113" s="17">
        <v>59</v>
      </c>
      <c r="AX113" s="24">
        <v>65</v>
      </c>
      <c r="AY113" s="17">
        <v>69</v>
      </c>
      <c r="AZ113" s="17">
        <v>71</v>
      </c>
      <c r="BA113" s="17">
        <v>81</v>
      </c>
      <c r="BB113" s="17">
        <v>85</v>
      </c>
      <c r="BC113" s="24">
        <v>85</v>
      </c>
      <c r="BD113" s="17">
        <v>88</v>
      </c>
      <c r="BE113" s="17">
        <v>88</v>
      </c>
      <c r="BF113" s="17">
        <v>94</v>
      </c>
      <c r="BG113" s="17">
        <v>98</v>
      </c>
      <c r="BH113" s="17">
        <v>104</v>
      </c>
      <c r="BI113" s="17">
        <v>104</v>
      </c>
      <c r="BJ113" s="17">
        <v>107</v>
      </c>
      <c r="BK113" s="17">
        <v>111</v>
      </c>
      <c r="BL113" s="17">
        <v>113</v>
      </c>
      <c r="BM113" s="17">
        <v>114</v>
      </c>
      <c r="BN113" s="17">
        <v>116</v>
      </c>
      <c r="BO113" s="132"/>
      <c r="BP113" s="132"/>
      <c r="BQ113" s="132"/>
      <c r="BR113" s="132"/>
      <c r="BS113" s="132"/>
      <c r="BT113" s="132"/>
      <c r="BU113" s="132"/>
      <c r="BV113" s="132"/>
      <c r="BW113" s="132"/>
      <c r="BX113" s="132"/>
      <c r="BY113" s="132"/>
    </row>
    <row r="114" spans="1:77" x14ac:dyDescent="0.25">
      <c r="A114" s="4" t="s">
        <v>217</v>
      </c>
      <c r="B114" s="6" t="s">
        <v>218</v>
      </c>
      <c r="H114" s="17">
        <v>121</v>
      </c>
      <c r="I114" s="17">
        <v>125</v>
      </c>
      <c r="J114" s="17">
        <v>138</v>
      </c>
      <c r="K114" s="17">
        <v>142</v>
      </c>
      <c r="L114" s="17">
        <v>151</v>
      </c>
      <c r="M114" s="17">
        <v>154</v>
      </c>
      <c r="N114" s="24">
        <v>161</v>
      </c>
      <c r="O114" s="17">
        <v>166</v>
      </c>
      <c r="P114" s="17">
        <v>182</v>
      </c>
      <c r="Q114" s="17">
        <v>189</v>
      </c>
      <c r="R114" s="17">
        <v>193</v>
      </c>
      <c r="S114" s="24">
        <v>198</v>
      </c>
      <c r="T114" s="17">
        <v>203</v>
      </c>
      <c r="U114" s="17">
        <v>206</v>
      </c>
      <c r="V114" s="17">
        <v>213</v>
      </c>
      <c r="W114" s="17">
        <v>224</v>
      </c>
      <c r="X114" s="17">
        <v>224</v>
      </c>
      <c r="Y114" s="17">
        <v>226</v>
      </c>
      <c r="Z114" s="17">
        <v>237</v>
      </c>
      <c r="AA114" s="17">
        <v>239</v>
      </c>
      <c r="AB114" s="17">
        <v>241</v>
      </c>
      <c r="AC114" s="17">
        <v>243</v>
      </c>
      <c r="AD114" s="17">
        <v>248</v>
      </c>
      <c r="AE114" s="17"/>
      <c r="AF114" s="17"/>
      <c r="AG114" s="17"/>
      <c r="AH114" s="17"/>
      <c r="AI114" s="17"/>
      <c r="AJ114" s="17"/>
      <c r="AK114" s="17"/>
      <c r="AR114" s="17">
        <v>51</v>
      </c>
      <c r="AS114" s="17">
        <v>73</v>
      </c>
      <c r="AT114" s="17">
        <v>78</v>
      </c>
      <c r="AU114" s="17">
        <v>83</v>
      </c>
      <c r="AV114" s="17">
        <v>94</v>
      </c>
      <c r="AW114" s="17">
        <v>99</v>
      </c>
      <c r="AX114" s="24">
        <v>114</v>
      </c>
      <c r="AY114" s="17">
        <v>124</v>
      </c>
      <c r="AZ114" s="17">
        <v>125</v>
      </c>
      <c r="BA114" s="17">
        <v>125</v>
      </c>
      <c r="BB114" s="17">
        <v>128</v>
      </c>
      <c r="BC114" s="24">
        <v>132</v>
      </c>
      <c r="BD114" s="17">
        <v>141</v>
      </c>
      <c r="BE114" s="17">
        <v>147</v>
      </c>
      <c r="BF114" s="17">
        <v>150</v>
      </c>
      <c r="BG114" s="17">
        <v>154</v>
      </c>
      <c r="BH114" s="17">
        <v>158</v>
      </c>
      <c r="BI114" s="17">
        <v>160</v>
      </c>
      <c r="BJ114" s="17">
        <v>162</v>
      </c>
      <c r="BK114" s="17">
        <v>171</v>
      </c>
      <c r="BL114" s="17">
        <v>180</v>
      </c>
      <c r="BM114" s="17">
        <v>183</v>
      </c>
      <c r="BN114" s="17">
        <v>192</v>
      </c>
      <c r="BO114" s="132"/>
      <c r="BP114" s="132"/>
      <c r="BQ114" s="132"/>
      <c r="BR114" s="132"/>
      <c r="BS114" s="132"/>
      <c r="BT114" s="132"/>
      <c r="BU114" s="132"/>
      <c r="BV114" s="132"/>
      <c r="BW114" s="132"/>
      <c r="BX114" s="132"/>
      <c r="BY114" s="132"/>
    </row>
    <row r="115" spans="1:77" x14ac:dyDescent="0.25">
      <c r="A115" s="4" t="s">
        <v>219</v>
      </c>
      <c r="B115" s="6" t="s">
        <v>220</v>
      </c>
      <c r="H115" s="17">
        <v>59</v>
      </c>
      <c r="I115" s="17">
        <v>74</v>
      </c>
      <c r="J115" s="17">
        <v>81</v>
      </c>
      <c r="K115" s="17">
        <v>91</v>
      </c>
      <c r="L115" s="17">
        <v>94</v>
      </c>
      <c r="M115" s="17">
        <v>103</v>
      </c>
      <c r="N115" s="24">
        <v>105</v>
      </c>
      <c r="O115" s="17">
        <v>106</v>
      </c>
      <c r="P115" s="17">
        <v>107</v>
      </c>
      <c r="Q115" s="17">
        <v>111</v>
      </c>
      <c r="R115" s="17">
        <v>114</v>
      </c>
      <c r="S115" s="24">
        <v>119</v>
      </c>
      <c r="T115" s="17">
        <v>121</v>
      </c>
      <c r="U115" s="17">
        <v>123</v>
      </c>
      <c r="V115" s="17">
        <v>127</v>
      </c>
      <c r="W115" s="17">
        <v>125</v>
      </c>
      <c r="X115" s="17">
        <v>126</v>
      </c>
      <c r="Y115" s="17">
        <v>130</v>
      </c>
      <c r="Z115" s="17">
        <v>130</v>
      </c>
      <c r="AA115" s="17">
        <v>130</v>
      </c>
      <c r="AB115" s="17">
        <v>130</v>
      </c>
      <c r="AC115" s="17">
        <v>131</v>
      </c>
      <c r="AD115" s="17">
        <v>136</v>
      </c>
      <c r="AE115" s="17"/>
      <c r="AF115" s="17"/>
      <c r="AG115" s="17"/>
      <c r="AH115" s="17"/>
      <c r="AI115" s="17"/>
      <c r="AJ115" s="17"/>
      <c r="AK115" s="17"/>
      <c r="AR115" s="17">
        <v>14</v>
      </c>
      <c r="AS115" s="17">
        <v>25</v>
      </c>
      <c r="AT115" s="17">
        <v>25</v>
      </c>
      <c r="AU115" s="17">
        <v>25</v>
      </c>
      <c r="AV115" s="17">
        <v>25</v>
      </c>
      <c r="AW115" s="17">
        <v>32</v>
      </c>
      <c r="AX115" s="17">
        <v>40</v>
      </c>
      <c r="AY115" s="17">
        <v>40</v>
      </c>
      <c r="AZ115" s="17">
        <v>40</v>
      </c>
      <c r="BA115" s="17">
        <v>46</v>
      </c>
      <c r="BB115" s="17">
        <v>47</v>
      </c>
      <c r="BC115" s="24">
        <v>56</v>
      </c>
      <c r="BD115" s="17">
        <v>57</v>
      </c>
      <c r="BE115" s="17">
        <v>66</v>
      </c>
      <c r="BF115" s="17">
        <v>67</v>
      </c>
      <c r="BG115" s="17">
        <v>68</v>
      </c>
      <c r="BH115" s="17">
        <v>70</v>
      </c>
      <c r="BI115" s="17">
        <v>70</v>
      </c>
      <c r="BJ115" s="17">
        <v>71</v>
      </c>
      <c r="BK115" s="17">
        <v>76</v>
      </c>
      <c r="BL115" s="17">
        <v>79</v>
      </c>
      <c r="BM115" s="17">
        <v>79</v>
      </c>
      <c r="BN115" s="17">
        <v>83</v>
      </c>
      <c r="BO115" s="132"/>
      <c r="BP115" s="132"/>
      <c r="BQ115" s="132"/>
      <c r="BR115" s="132"/>
      <c r="BS115" s="132"/>
      <c r="BT115" s="132"/>
      <c r="BU115" s="132"/>
      <c r="BV115" s="132"/>
      <c r="BW115" s="132"/>
      <c r="BX115" s="132"/>
      <c r="BY115" s="132"/>
    </row>
    <row r="116" spans="1:77" x14ac:dyDescent="0.25">
      <c r="A116" s="4" t="s">
        <v>221</v>
      </c>
      <c r="B116" s="6" t="s">
        <v>222</v>
      </c>
      <c r="H116" s="17">
        <v>156</v>
      </c>
      <c r="I116" s="17">
        <v>169</v>
      </c>
      <c r="J116" s="17">
        <v>180</v>
      </c>
      <c r="K116" s="17">
        <v>191</v>
      </c>
      <c r="L116" s="17">
        <v>197</v>
      </c>
      <c r="M116" s="17">
        <v>199</v>
      </c>
      <c r="N116" s="24">
        <v>211</v>
      </c>
      <c r="O116" s="17">
        <v>213</v>
      </c>
      <c r="P116" s="17">
        <v>219</v>
      </c>
      <c r="Q116" s="17">
        <v>224</v>
      </c>
      <c r="R116" s="17">
        <v>224</v>
      </c>
      <c r="S116" s="24">
        <v>232</v>
      </c>
      <c r="T116" s="17">
        <v>235</v>
      </c>
      <c r="U116" s="17">
        <v>239</v>
      </c>
      <c r="V116" s="17">
        <v>240</v>
      </c>
      <c r="W116" s="17">
        <v>241</v>
      </c>
      <c r="X116" s="17">
        <v>243</v>
      </c>
      <c r="Y116" s="17">
        <v>244</v>
      </c>
      <c r="Z116" s="17">
        <v>251</v>
      </c>
      <c r="AA116" s="17">
        <v>251</v>
      </c>
      <c r="AB116" s="17">
        <v>252</v>
      </c>
      <c r="AC116" s="17">
        <v>252</v>
      </c>
      <c r="AD116" s="17">
        <v>263</v>
      </c>
      <c r="AE116" s="17"/>
      <c r="AF116" s="17"/>
      <c r="AG116" s="17"/>
      <c r="AH116" s="17"/>
      <c r="AI116" s="17"/>
      <c r="AJ116" s="17"/>
      <c r="AK116" s="17"/>
      <c r="AR116" s="17">
        <v>71</v>
      </c>
      <c r="AS116" s="17">
        <v>89</v>
      </c>
      <c r="AT116" s="17">
        <v>99</v>
      </c>
      <c r="AU116" s="17">
        <v>116</v>
      </c>
      <c r="AV116" s="17">
        <v>129</v>
      </c>
      <c r="AW116" s="17">
        <v>138</v>
      </c>
      <c r="AX116" s="24">
        <v>149</v>
      </c>
      <c r="AY116" s="17">
        <v>155</v>
      </c>
      <c r="AZ116" s="17">
        <v>161</v>
      </c>
      <c r="BA116" s="17">
        <v>173</v>
      </c>
      <c r="BB116" s="17">
        <v>175</v>
      </c>
      <c r="BC116" s="24">
        <v>177</v>
      </c>
      <c r="BD116" s="17">
        <v>178</v>
      </c>
      <c r="BE116" s="17">
        <v>185</v>
      </c>
      <c r="BF116" s="17">
        <v>188</v>
      </c>
      <c r="BG116" s="17">
        <v>188</v>
      </c>
      <c r="BH116" s="17">
        <v>194</v>
      </c>
      <c r="BI116" s="17">
        <v>194</v>
      </c>
      <c r="BJ116" s="17">
        <v>197</v>
      </c>
      <c r="BK116" s="17">
        <v>199</v>
      </c>
      <c r="BL116" s="17">
        <v>204</v>
      </c>
      <c r="BM116" s="17">
        <v>203</v>
      </c>
      <c r="BN116" s="17">
        <v>205</v>
      </c>
      <c r="BO116" s="132"/>
      <c r="BP116" s="132"/>
      <c r="BQ116" s="132"/>
      <c r="BR116" s="132"/>
      <c r="BS116" s="132"/>
      <c r="BT116" s="132"/>
      <c r="BU116" s="132"/>
      <c r="BV116" s="132"/>
      <c r="BW116" s="132"/>
      <c r="BX116" s="132"/>
      <c r="BY116" s="132"/>
    </row>
    <row r="117" spans="1:77" x14ac:dyDescent="0.25">
      <c r="A117" s="4" t="s">
        <v>223</v>
      </c>
      <c r="B117" s="6" t="s">
        <v>224</v>
      </c>
      <c r="H117" s="17">
        <v>358</v>
      </c>
      <c r="I117" s="17">
        <v>383</v>
      </c>
      <c r="J117" s="17">
        <v>402</v>
      </c>
      <c r="K117" s="17">
        <v>434</v>
      </c>
      <c r="L117" s="17">
        <v>457</v>
      </c>
      <c r="M117" s="17">
        <v>476</v>
      </c>
      <c r="N117" s="24">
        <v>501</v>
      </c>
      <c r="O117" s="17">
        <v>524</v>
      </c>
      <c r="P117" s="17">
        <v>548</v>
      </c>
      <c r="Q117" s="17">
        <v>560</v>
      </c>
      <c r="R117" s="17">
        <v>569</v>
      </c>
      <c r="S117" s="24">
        <v>579</v>
      </c>
      <c r="T117" s="17">
        <v>590</v>
      </c>
      <c r="U117" s="17">
        <v>599</v>
      </c>
      <c r="V117" s="17">
        <v>608</v>
      </c>
      <c r="W117" s="17">
        <v>612</v>
      </c>
      <c r="X117" s="17">
        <v>617</v>
      </c>
      <c r="Y117" s="17">
        <v>626</v>
      </c>
      <c r="Z117" s="17">
        <v>630</v>
      </c>
      <c r="AA117" s="17">
        <v>635</v>
      </c>
      <c r="AB117" s="17">
        <v>636</v>
      </c>
      <c r="AC117" s="17">
        <v>639</v>
      </c>
      <c r="AD117" s="17">
        <v>651</v>
      </c>
      <c r="AE117" s="17"/>
      <c r="AF117" s="17"/>
      <c r="AG117" s="17"/>
      <c r="AH117" s="17"/>
      <c r="AI117" s="17"/>
      <c r="AJ117" s="17"/>
      <c r="AK117" s="17"/>
      <c r="AR117" s="17">
        <v>161</v>
      </c>
      <c r="AS117" s="17">
        <v>187</v>
      </c>
      <c r="AT117" s="17">
        <v>214</v>
      </c>
      <c r="AU117" s="17">
        <v>239</v>
      </c>
      <c r="AV117" s="17">
        <v>257</v>
      </c>
      <c r="AW117" s="17">
        <v>270</v>
      </c>
      <c r="AX117" s="24">
        <v>314</v>
      </c>
      <c r="AY117" s="17">
        <v>335</v>
      </c>
      <c r="AZ117" s="17">
        <v>364</v>
      </c>
      <c r="BA117" s="17">
        <v>384</v>
      </c>
      <c r="BB117" s="17">
        <v>399</v>
      </c>
      <c r="BC117" s="24">
        <v>421</v>
      </c>
      <c r="BD117" s="17">
        <v>439</v>
      </c>
      <c r="BE117" s="17">
        <v>462</v>
      </c>
      <c r="BF117" s="17">
        <v>469</v>
      </c>
      <c r="BG117" s="17">
        <v>480</v>
      </c>
      <c r="BH117" s="17">
        <v>491</v>
      </c>
      <c r="BI117" s="17">
        <v>495</v>
      </c>
      <c r="BJ117" s="17">
        <v>504</v>
      </c>
      <c r="BK117" s="17">
        <v>511</v>
      </c>
      <c r="BL117" s="17">
        <v>517</v>
      </c>
      <c r="BM117" s="17">
        <v>521</v>
      </c>
      <c r="BN117" s="17">
        <v>527</v>
      </c>
      <c r="BO117" s="132"/>
      <c r="BP117" s="132"/>
      <c r="BQ117" s="132"/>
      <c r="BR117" s="132"/>
      <c r="BS117" s="132"/>
      <c r="BT117" s="132"/>
      <c r="BU117" s="132"/>
      <c r="BV117" s="132"/>
      <c r="BW117" s="132"/>
      <c r="BX117" s="132"/>
      <c r="BY117" s="132"/>
    </row>
    <row r="118" spans="1:77" x14ac:dyDescent="0.25">
      <c r="A118" s="4" t="s">
        <v>225</v>
      </c>
      <c r="B118" s="6" t="s">
        <v>226</v>
      </c>
      <c r="H118" s="17">
        <v>322</v>
      </c>
      <c r="I118" s="17">
        <v>334</v>
      </c>
      <c r="J118" s="17">
        <v>355</v>
      </c>
      <c r="K118" s="17">
        <v>382</v>
      </c>
      <c r="L118" s="17">
        <v>395</v>
      </c>
      <c r="M118" s="17">
        <v>413</v>
      </c>
      <c r="N118" s="24">
        <v>445</v>
      </c>
      <c r="O118" s="17">
        <v>467</v>
      </c>
      <c r="P118" s="17">
        <v>494</v>
      </c>
      <c r="Q118" s="17">
        <v>522</v>
      </c>
      <c r="R118" s="17">
        <v>532</v>
      </c>
      <c r="S118" s="24">
        <v>554</v>
      </c>
      <c r="T118" s="17">
        <v>565</v>
      </c>
      <c r="U118" s="17">
        <v>573</v>
      </c>
      <c r="V118" s="17">
        <v>585</v>
      </c>
      <c r="W118" s="17">
        <v>595</v>
      </c>
      <c r="X118" s="17">
        <v>600</v>
      </c>
      <c r="Y118" s="17">
        <v>610</v>
      </c>
      <c r="Z118" s="17">
        <v>631</v>
      </c>
      <c r="AA118" s="17">
        <v>644</v>
      </c>
      <c r="AB118" s="17">
        <v>648</v>
      </c>
      <c r="AC118" s="17">
        <v>650</v>
      </c>
      <c r="AD118" s="17">
        <v>663</v>
      </c>
      <c r="AE118" s="17"/>
      <c r="AF118" s="17"/>
      <c r="AG118" s="17"/>
      <c r="AH118" s="17"/>
      <c r="AI118" s="17"/>
      <c r="AJ118" s="17"/>
      <c r="AK118" s="17"/>
      <c r="AR118" s="17">
        <v>152</v>
      </c>
      <c r="AS118" s="17">
        <v>180</v>
      </c>
      <c r="AT118" s="17">
        <v>209</v>
      </c>
      <c r="AU118" s="17">
        <v>252</v>
      </c>
      <c r="AV118" s="17">
        <v>276</v>
      </c>
      <c r="AW118" s="17">
        <v>298</v>
      </c>
      <c r="AX118" s="24">
        <v>322</v>
      </c>
      <c r="AY118" s="17">
        <v>339</v>
      </c>
      <c r="AZ118" s="17">
        <v>350</v>
      </c>
      <c r="BA118" s="17">
        <v>365</v>
      </c>
      <c r="BB118" s="17">
        <v>373</v>
      </c>
      <c r="BC118" s="24">
        <v>383</v>
      </c>
      <c r="BD118" s="17">
        <v>400</v>
      </c>
      <c r="BE118" s="17">
        <v>419</v>
      </c>
      <c r="BF118" s="17">
        <v>439</v>
      </c>
      <c r="BG118" s="17">
        <v>450</v>
      </c>
      <c r="BH118" s="17">
        <v>454</v>
      </c>
      <c r="BI118" s="17">
        <v>461</v>
      </c>
      <c r="BJ118" s="17">
        <v>470</v>
      </c>
      <c r="BK118" s="17">
        <v>493</v>
      </c>
      <c r="BL118" s="17">
        <v>515</v>
      </c>
      <c r="BM118" s="17">
        <v>523</v>
      </c>
      <c r="BN118" s="17">
        <v>540</v>
      </c>
      <c r="BO118" s="132"/>
      <c r="BP118" s="132"/>
      <c r="BQ118" s="132"/>
      <c r="BR118" s="132"/>
      <c r="BS118" s="132"/>
      <c r="BT118" s="132"/>
      <c r="BU118" s="132"/>
      <c r="BV118" s="132"/>
      <c r="BW118" s="132"/>
      <c r="BX118" s="132"/>
      <c r="BY118" s="132"/>
    </row>
    <row r="119" spans="1:77" x14ac:dyDescent="0.25">
      <c r="A119" s="4" t="s">
        <v>227</v>
      </c>
      <c r="B119" s="6" t="s">
        <v>228</v>
      </c>
      <c r="H119" s="17">
        <v>40</v>
      </c>
      <c r="I119" s="17">
        <v>44</v>
      </c>
      <c r="J119" s="17">
        <v>45</v>
      </c>
      <c r="K119" s="17">
        <v>47</v>
      </c>
      <c r="L119" s="17">
        <v>47</v>
      </c>
      <c r="M119" s="17">
        <v>47</v>
      </c>
      <c r="N119" s="24">
        <v>50</v>
      </c>
      <c r="O119" s="17">
        <v>50</v>
      </c>
      <c r="P119" s="17">
        <v>51</v>
      </c>
      <c r="Q119" s="17">
        <v>54</v>
      </c>
      <c r="R119" s="17">
        <v>55</v>
      </c>
      <c r="S119" s="24">
        <v>59</v>
      </c>
      <c r="T119" s="17">
        <v>61</v>
      </c>
      <c r="U119" s="17">
        <v>61</v>
      </c>
      <c r="V119" s="17">
        <v>61</v>
      </c>
      <c r="W119" s="17">
        <v>62</v>
      </c>
      <c r="X119" s="17">
        <v>63</v>
      </c>
      <c r="Y119" s="17">
        <v>66</v>
      </c>
      <c r="Z119" s="17">
        <v>70</v>
      </c>
      <c r="AA119" s="17">
        <v>70</v>
      </c>
      <c r="AB119" s="17">
        <v>70</v>
      </c>
      <c r="AC119" s="17">
        <v>70</v>
      </c>
      <c r="AD119" s="17">
        <v>72</v>
      </c>
      <c r="AE119" s="17"/>
      <c r="AF119" s="17"/>
      <c r="AG119" s="17"/>
      <c r="AH119" s="17"/>
      <c r="AI119" s="17"/>
      <c r="AJ119" s="17"/>
      <c r="AK119" s="17"/>
      <c r="AR119" s="17">
        <v>14</v>
      </c>
      <c r="AS119" s="17">
        <v>25</v>
      </c>
      <c r="AT119" s="17">
        <v>25</v>
      </c>
      <c r="AU119" s="17">
        <v>25</v>
      </c>
      <c r="AV119" s="17">
        <v>25</v>
      </c>
      <c r="AW119" s="17">
        <v>30</v>
      </c>
      <c r="AX119" s="17">
        <v>40</v>
      </c>
      <c r="AY119" s="17">
        <v>40</v>
      </c>
      <c r="AZ119" s="17">
        <v>40</v>
      </c>
      <c r="BA119" s="17">
        <v>40</v>
      </c>
      <c r="BB119" s="17">
        <v>45</v>
      </c>
      <c r="BC119" s="24">
        <v>38</v>
      </c>
      <c r="BD119" s="17">
        <v>45</v>
      </c>
      <c r="BE119" s="17">
        <v>45</v>
      </c>
      <c r="BF119" s="17">
        <v>45</v>
      </c>
      <c r="BG119" s="17">
        <v>45</v>
      </c>
      <c r="BH119" s="17">
        <v>45</v>
      </c>
      <c r="BI119" s="17">
        <v>45</v>
      </c>
      <c r="BJ119" s="17">
        <v>50</v>
      </c>
      <c r="BK119" s="17">
        <v>50</v>
      </c>
      <c r="BL119" s="17">
        <v>55</v>
      </c>
      <c r="BM119" s="17">
        <v>49</v>
      </c>
      <c r="BN119" s="17">
        <v>49</v>
      </c>
      <c r="BO119" s="132"/>
      <c r="BP119" s="132"/>
      <c r="BQ119" s="132"/>
      <c r="BR119" s="132"/>
      <c r="BS119" s="132"/>
      <c r="BT119" s="132"/>
      <c r="BU119" s="132"/>
      <c r="BV119" s="132"/>
      <c r="BW119" s="132"/>
      <c r="BX119" s="132"/>
      <c r="BY119" s="132"/>
    </row>
    <row r="120" spans="1:77" x14ac:dyDescent="0.25">
      <c r="A120" s="4" t="s">
        <v>229</v>
      </c>
      <c r="B120" s="6" t="s">
        <v>230</v>
      </c>
      <c r="H120" s="17">
        <v>137</v>
      </c>
      <c r="I120" s="17">
        <v>150</v>
      </c>
      <c r="J120" s="17">
        <v>158</v>
      </c>
      <c r="K120" s="17">
        <v>168</v>
      </c>
      <c r="L120" s="17">
        <v>177</v>
      </c>
      <c r="M120" s="17">
        <v>183</v>
      </c>
      <c r="N120" s="24">
        <v>191</v>
      </c>
      <c r="O120" s="17">
        <v>194</v>
      </c>
      <c r="P120" s="17">
        <v>209</v>
      </c>
      <c r="Q120" s="17">
        <v>209</v>
      </c>
      <c r="R120" s="17">
        <v>212</v>
      </c>
      <c r="S120" s="24">
        <v>214</v>
      </c>
      <c r="T120" s="17">
        <v>215</v>
      </c>
      <c r="U120" s="17">
        <v>218</v>
      </c>
      <c r="V120" s="17">
        <v>226</v>
      </c>
      <c r="W120" s="17">
        <v>229</v>
      </c>
      <c r="X120" s="17">
        <v>231</v>
      </c>
      <c r="Y120" s="17">
        <v>231</v>
      </c>
      <c r="Z120" s="17">
        <v>236</v>
      </c>
      <c r="AA120" s="17">
        <v>239</v>
      </c>
      <c r="AB120" s="17">
        <v>244</v>
      </c>
      <c r="AC120" s="17">
        <v>244</v>
      </c>
      <c r="AD120" s="17">
        <v>254</v>
      </c>
      <c r="AE120" s="17"/>
      <c r="AF120" s="17"/>
      <c r="AG120" s="17"/>
      <c r="AH120" s="17"/>
      <c r="AI120" s="17"/>
      <c r="AJ120" s="17"/>
      <c r="AK120" s="17"/>
      <c r="AR120" s="17">
        <v>72</v>
      </c>
      <c r="AS120" s="17">
        <v>80</v>
      </c>
      <c r="AT120" s="17">
        <v>89</v>
      </c>
      <c r="AU120" s="17">
        <v>107</v>
      </c>
      <c r="AV120" s="17">
        <v>116</v>
      </c>
      <c r="AW120" s="17">
        <v>121</v>
      </c>
      <c r="AX120" s="24">
        <v>137</v>
      </c>
      <c r="AY120" s="17">
        <v>137</v>
      </c>
      <c r="AZ120" s="17">
        <v>153</v>
      </c>
      <c r="BA120" s="17">
        <v>158</v>
      </c>
      <c r="BB120" s="17">
        <v>161</v>
      </c>
      <c r="BC120" s="24">
        <v>174</v>
      </c>
      <c r="BD120" s="17">
        <v>182</v>
      </c>
      <c r="BE120" s="17">
        <v>182</v>
      </c>
      <c r="BF120" s="17">
        <v>182</v>
      </c>
      <c r="BG120" s="17">
        <v>182</v>
      </c>
      <c r="BH120" s="17">
        <v>184</v>
      </c>
      <c r="BI120" s="17">
        <v>191</v>
      </c>
      <c r="BJ120" s="17">
        <v>195</v>
      </c>
      <c r="BK120" s="17">
        <v>201</v>
      </c>
      <c r="BL120" s="17">
        <v>203</v>
      </c>
      <c r="BM120" s="17">
        <v>206</v>
      </c>
      <c r="BN120" s="17">
        <v>207</v>
      </c>
      <c r="BO120" s="132"/>
      <c r="BP120" s="132"/>
      <c r="BQ120" s="132"/>
      <c r="BR120" s="132"/>
      <c r="BS120" s="132"/>
      <c r="BT120" s="132"/>
      <c r="BU120" s="132"/>
      <c r="BV120" s="132"/>
      <c r="BW120" s="132"/>
      <c r="BX120" s="132"/>
      <c r="BY120" s="132"/>
    </row>
    <row r="121" spans="1:77" x14ac:dyDescent="0.25">
      <c r="A121" s="4" t="s">
        <v>231</v>
      </c>
      <c r="B121" s="6" t="s">
        <v>232</v>
      </c>
      <c r="H121" s="17">
        <v>916</v>
      </c>
      <c r="I121" s="17">
        <v>965</v>
      </c>
      <c r="J121" s="17">
        <v>1022</v>
      </c>
      <c r="K121" s="17">
        <v>1089</v>
      </c>
      <c r="L121" s="17">
        <v>1118</v>
      </c>
      <c r="M121" s="17">
        <v>1155</v>
      </c>
      <c r="N121" s="24">
        <v>1213</v>
      </c>
      <c r="O121" s="17">
        <v>1250</v>
      </c>
      <c r="P121" s="17">
        <v>1285</v>
      </c>
      <c r="Q121" s="17">
        <v>1319</v>
      </c>
      <c r="R121" s="17">
        <v>1335</v>
      </c>
      <c r="S121" s="24">
        <v>1355</v>
      </c>
      <c r="T121" s="17">
        <v>1383</v>
      </c>
      <c r="U121" s="17">
        <v>1394</v>
      </c>
      <c r="V121" s="17">
        <v>1427</v>
      </c>
      <c r="W121" s="17">
        <v>1438</v>
      </c>
      <c r="X121" s="17">
        <v>1448</v>
      </c>
      <c r="Y121" s="17">
        <v>1471</v>
      </c>
      <c r="Z121" s="17">
        <v>1490</v>
      </c>
      <c r="AA121" s="17">
        <v>1493</v>
      </c>
      <c r="AB121" s="17">
        <v>1501</v>
      </c>
      <c r="AC121" s="17">
        <v>1507</v>
      </c>
      <c r="AD121" s="17">
        <v>1538</v>
      </c>
      <c r="AE121" s="17"/>
      <c r="AF121" s="17"/>
      <c r="AG121" s="17"/>
      <c r="AH121" s="17"/>
      <c r="AI121" s="17"/>
      <c r="AJ121" s="17"/>
      <c r="AK121" s="17"/>
      <c r="AR121" s="17">
        <v>422</v>
      </c>
      <c r="AS121" s="17">
        <v>487</v>
      </c>
      <c r="AT121" s="17">
        <v>590</v>
      </c>
      <c r="AU121" s="17">
        <v>681</v>
      </c>
      <c r="AV121" s="17">
        <v>745</v>
      </c>
      <c r="AW121" s="17">
        <v>789</v>
      </c>
      <c r="AX121" s="24">
        <v>850</v>
      </c>
      <c r="AY121" s="17">
        <v>883</v>
      </c>
      <c r="AZ121" s="17">
        <v>930</v>
      </c>
      <c r="BA121" s="17">
        <v>971</v>
      </c>
      <c r="BB121" s="17">
        <v>998</v>
      </c>
      <c r="BC121" s="24">
        <v>1040</v>
      </c>
      <c r="BD121" s="17">
        <v>1075</v>
      </c>
      <c r="BE121" s="17">
        <v>1097</v>
      </c>
      <c r="BF121" s="17">
        <v>1116</v>
      </c>
      <c r="BG121" s="17">
        <v>1141</v>
      </c>
      <c r="BH121" s="17">
        <v>1155</v>
      </c>
      <c r="BI121" s="17">
        <v>1166</v>
      </c>
      <c r="BJ121" s="17">
        <v>1178</v>
      </c>
      <c r="BK121" s="17">
        <v>1194</v>
      </c>
      <c r="BL121" s="17">
        <v>1212</v>
      </c>
      <c r="BM121" s="17">
        <v>1223</v>
      </c>
      <c r="BN121" s="17">
        <v>1235</v>
      </c>
      <c r="BO121" s="132"/>
      <c r="BP121" s="132"/>
      <c r="BQ121" s="132"/>
      <c r="BR121" s="132"/>
      <c r="BS121" s="132"/>
      <c r="BT121" s="132"/>
      <c r="BU121" s="132"/>
      <c r="BV121" s="132"/>
      <c r="BW121" s="132"/>
      <c r="BX121" s="132"/>
      <c r="BY121" s="132"/>
    </row>
    <row r="122" spans="1:77" x14ac:dyDescent="0.25">
      <c r="A122" s="4" t="s">
        <v>233</v>
      </c>
      <c r="B122" s="6" t="s">
        <v>234</v>
      </c>
      <c r="H122" s="17">
        <v>247</v>
      </c>
      <c r="I122" s="17">
        <v>257</v>
      </c>
      <c r="J122" s="17">
        <v>267</v>
      </c>
      <c r="K122" s="17">
        <v>291</v>
      </c>
      <c r="L122" s="17">
        <v>297</v>
      </c>
      <c r="M122" s="17">
        <v>299</v>
      </c>
      <c r="N122" s="24">
        <v>310</v>
      </c>
      <c r="O122" s="17">
        <v>320</v>
      </c>
      <c r="P122" s="17">
        <v>328</v>
      </c>
      <c r="Q122" s="17">
        <v>340</v>
      </c>
      <c r="R122" s="17">
        <v>345</v>
      </c>
      <c r="S122" s="24">
        <v>351</v>
      </c>
      <c r="T122" s="17">
        <v>359</v>
      </c>
      <c r="U122" s="17">
        <v>371</v>
      </c>
      <c r="V122" s="17">
        <v>380</v>
      </c>
      <c r="W122" s="17">
        <v>386</v>
      </c>
      <c r="X122" s="17">
        <v>387</v>
      </c>
      <c r="Y122" s="17">
        <v>396</v>
      </c>
      <c r="Z122" s="17">
        <v>413</v>
      </c>
      <c r="AA122" s="17">
        <v>419</v>
      </c>
      <c r="AB122" s="17">
        <v>422</v>
      </c>
      <c r="AC122" s="17">
        <v>420</v>
      </c>
      <c r="AD122" s="17">
        <v>425</v>
      </c>
      <c r="AE122" s="17"/>
      <c r="AF122" s="17"/>
      <c r="AG122" s="17"/>
      <c r="AH122" s="17"/>
      <c r="AI122" s="17"/>
      <c r="AJ122" s="17"/>
      <c r="AK122" s="17"/>
      <c r="AR122" s="17">
        <v>124</v>
      </c>
      <c r="AS122" s="17">
        <v>150</v>
      </c>
      <c r="AT122" s="17">
        <v>163</v>
      </c>
      <c r="AU122" s="17">
        <v>200</v>
      </c>
      <c r="AV122" s="17">
        <v>211</v>
      </c>
      <c r="AW122" s="17">
        <v>215</v>
      </c>
      <c r="AX122" s="24">
        <v>243</v>
      </c>
      <c r="AY122" s="17">
        <v>255</v>
      </c>
      <c r="AZ122" s="17">
        <v>270</v>
      </c>
      <c r="BA122" s="17">
        <v>275</v>
      </c>
      <c r="BB122" s="17">
        <v>281</v>
      </c>
      <c r="BC122" s="24">
        <v>284</v>
      </c>
      <c r="BD122" s="17">
        <v>291</v>
      </c>
      <c r="BE122" s="17">
        <v>294</v>
      </c>
      <c r="BF122" s="17">
        <v>297</v>
      </c>
      <c r="BG122" s="17">
        <v>303</v>
      </c>
      <c r="BH122" s="17">
        <v>308</v>
      </c>
      <c r="BI122" s="17">
        <v>312</v>
      </c>
      <c r="BJ122" s="17">
        <v>323</v>
      </c>
      <c r="BK122" s="17">
        <v>332</v>
      </c>
      <c r="BL122" s="17">
        <v>354</v>
      </c>
      <c r="BM122" s="17">
        <v>351</v>
      </c>
      <c r="BN122" s="17">
        <v>359</v>
      </c>
      <c r="BO122" s="132"/>
      <c r="BP122" s="132"/>
      <c r="BQ122" s="132"/>
      <c r="BR122" s="132"/>
      <c r="BS122" s="132"/>
      <c r="BT122" s="132"/>
      <c r="BU122" s="132"/>
      <c r="BV122" s="132"/>
      <c r="BW122" s="132"/>
      <c r="BX122" s="132"/>
      <c r="BY122" s="132"/>
    </row>
    <row r="123" spans="1:77" x14ac:dyDescent="0.25">
      <c r="A123" s="4" t="s">
        <v>235</v>
      </c>
      <c r="B123" s="6" t="s">
        <v>236</v>
      </c>
      <c r="H123" s="17">
        <v>40</v>
      </c>
      <c r="I123" s="17">
        <v>41</v>
      </c>
      <c r="J123" s="17">
        <v>43</v>
      </c>
      <c r="K123" s="17">
        <v>44</v>
      </c>
      <c r="L123" s="17">
        <v>46</v>
      </c>
      <c r="M123" s="17">
        <v>49</v>
      </c>
      <c r="N123" s="24">
        <v>53</v>
      </c>
      <c r="O123" s="17">
        <v>53</v>
      </c>
      <c r="P123" s="17">
        <v>55</v>
      </c>
      <c r="Q123" s="17">
        <v>63</v>
      </c>
      <c r="R123" s="17">
        <v>65</v>
      </c>
      <c r="S123" s="24">
        <v>67</v>
      </c>
      <c r="T123" s="17">
        <v>68</v>
      </c>
      <c r="U123" s="17">
        <v>70</v>
      </c>
      <c r="V123" s="17">
        <v>70</v>
      </c>
      <c r="W123" s="17">
        <v>70</v>
      </c>
      <c r="X123" s="17">
        <v>71</v>
      </c>
      <c r="Y123" s="17">
        <v>71</v>
      </c>
      <c r="Z123" s="17">
        <v>71</v>
      </c>
      <c r="AA123" s="17">
        <v>71</v>
      </c>
      <c r="AB123" s="17">
        <v>71</v>
      </c>
      <c r="AC123" s="17">
        <v>71</v>
      </c>
      <c r="AD123" s="17">
        <v>73</v>
      </c>
      <c r="AE123" s="17"/>
      <c r="AF123" s="17"/>
      <c r="AG123" s="17"/>
      <c r="AH123" s="17"/>
      <c r="AI123" s="17"/>
      <c r="AJ123" s="17"/>
      <c r="AK123" s="17"/>
      <c r="AR123" s="17">
        <v>20</v>
      </c>
      <c r="AS123" s="17">
        <v>25</v>
      </c>
      <c r="AT123" s="17">
        <v>25</v>
      </c>
      <c r="AU123" s="17">
        <v>25</v>
      </c>
      <c r="AV123" s="17">
        <v>30</v>
      </c>
      <c r="AW123" s="17">
        <v>31</v>
      </c>
      <c r="AX123" s="17">
        <v>40</v>
      </c>
      <c r="AY123" s="17">
        <v>40</v>
      </c>
      <c r="AZ123" s="17">
        <v>40</v>
      </c>
      <c r="BA123" s="17">
        <v>40</v>
      </c>
      <c r="BB123" s="17">
        <v>45</v>
      </c>
      <c r="BC123" s="24">
        <v>45</v>
      </c>
      <c r="BD123" s="17">
        <v>47</v>
      </c>
      <c r="BE123" s="17">
        <v>52</v>
      </c>
      <c r="BF123" s="17">
        <v>53</v>
      </c>
      <c r="BG123" s="17">
        <v>53</v>
      </c>
      <c r="BH123" s="17">
        <v>54</v>
      </c>
      <c r="BI123" s="17">
        <v>56</v>
      </c>
      <c r="BJ123" s="17">
        <v>58</v>
      </c>
      <c r="BK123" s="17">
        <v>58</v>
      </c>
      <c r="BL123" s="17">
        <v>58</v>
      </c>
      <c r="BM123" s="17">
        <v>59</v>
      </c>
      <c r="BN123" s="17">
        <v>59</v>
      </c>
      <c r="BO123" s="132"/>
      <c r="BP123" s="132"/>
      <c r="BQ123" s="132"/>
      <c r="BR123" s="132"/>
      <c r="BS123" s="132"/>
      <c r="BT123" s="132"/>
      <c r="BU123" s="132"/>
      <c r="BV123" s="132"/>
      <c r="BW123" s="132"/>
      <c r="BX123" s="132"/>
      <c r="BY123" s="132"/>
    </row>
    <row r="124" spans="1:77" x14ac:dyDescent="0.25">
      <c r="A124" s="4" t="s">
        <v>237</v>
      </c>
      <c r="B124" s="6" t="s">
        <v>238</v>
      </c>
      <c r="H124" s="17">
        <v>144</v>
      </c>
      <c r="I124" s="17">
        <v>153</v>
      </c>
      <c r="J124" s="17">
        <v>159</v>
      </c>
      <c r="K124" s="17">
        <v>175</v>
      </c>
      <c r="L124" s="17">
        <v>177</v>
      </c>
      <c r="M124" s="17">
        <v>181</v>
      </c>
      <c r="N124" s="24">
        <v>184</v>
      </c>
      <c r="O124" s="17">
        <v>190</v>
      </c>
      <c r="P124" s="17">
        <v>202</v>
      </c>
      <c r="Q124" s="17">
        <v>203</v>
      </c>
      <c r="R124" s="17">
        <v>210</v>
      </c>
      <c r="S124" s="24">
        <v>213</v>
      </c>
      <c r="T124" s="17">
        <v>222</v>
      </c>
      <c r="U124" s="17">
        <v>223</v>
      </c>
      <c r="V124" s="17">
        <v>224</v>
      </c>
      <c r="W124" s="17">
        <v>225</v>
      </c>
      <c r="X124" s="17">
        <v>225</v>
      </c>
      <c r="Y124" s="17">
        <v>227</v>
      </c>
      <c r="Z124" s="17">
        <v>230</v>
      </c>
      <c r="AA124" s="17">
        <v>231</v>
      </c>
      <c r="AB124" s="17">
        <v>234</v>
      </c>
      <c r="AC124" s="17">
        <v>234</v>
      </c>
      <c r="AD124" s="17">
        <v>237</v>
      </c>
      <c r="AE124" s="17"/>
      <c r="AF124" s="17"/>
      <c r="AG124" s="17"/>
      <c r="AH124" s="17"/>
      <c r="AI124" s="17"/>
      <c r="AJ124" s="17"/>
      <c r="AK124" s="17"/>
      <c r="AR124" s="17">
        <v>75</v>
      </c>
      <c r="AS124" s="17">
        <v>97</v>
      </c>
      <c r="AT124" s="17">
        <v>101</v>
      </c>
      <c r="AU124" s="17">
        <v>115</v>
      </c>
      <c r="AV124" s="17">
        <v>126</v>
      </c>
      <c r="AW124" s="17">
        <v>135</v>
      </c>
      <c r="AX124" s="24">
        <v>143</v>
      </c>
      <c r="AY124" s="17">
        <v>144</v>
      </c>
      <c r="AZ124" s="17">
        <v>153</v>
      </c>
      <c r="BA124" s="17">
        <v>155</v>
      </c>
      <c r="BB124" s="17">
        <v>162</v>
      </c>
      <c r="BC124" s="24">
        <v>173</v>
      </c>
      <c r="BD124" s="17">
        <v>183</v>
      </c>
      <c r="BE124" s="17">
        <v>187</v>
      </c>
      <c r="BF124" s="17">
        <v>188</v>
      </c>
      <c r="BG124" s="17">
        <v>189</v>
      </c>
      <c r="BH124" s="17">
        <v>190</v>
      </c>
      <c r="BI124" s="17">
        <v>193</v>
      </c>
      <c r="BJ124" s="17">
        <v>193</v>
      </c>
      <c r="BK124" s="17">
        <v>194</v>
      </c>
      <c r="BL124" s="17">
        <v>198</v>
      </c>
      <c r="BM124" s="17">
        <v>195</v>
      </c>
      <c r="BN124" s="17">
        <v>197</v>
      </c>
      <c r="BO124" s="132"/>
      <c r="BP124" s="132"/>
      <c r="BQ124" s="132"/>
      <c r="BR124" s="132"/>
      <c r="BS124" s="132"/>
      <c r="BT124" s="132"/>
      <c r="BU124" s="132"/>
      <c r="BV124" s="132"/>
      <c r="BW124" s="132"/>
      <c r="BX124" s="132"/>
      <c r="BY124" s="132"/>
    </row>
    <row r="125" spans="1:77" x14ac:dyDescent="0.25">
      <c r="A125" s="4" t="s">
        <v>239</v>
      </c>
      <c r="B125" s="6" t="s">
        <v>240</v>
      </c>
      <c r="H125" s="17">
        <v>112</v>
      </c>
      <c r="I125" s="17">
        <v>116</v>
      </c>
      <c r="J125" s="17">
        <v>119</v>
      </c>
      <c r="K125" s="17">
        <v>121</v>
      </c>
      <c r="L125" s="17">
        <v>128</v>
      </c>
      <c r="M125" s="17">
        <v>131</v>
      </c>
      <c r="N125" s="24">
        <v>138</v>
      </c>
      <c r="O125" s="17">
        <v>143</v>
      </c>
      <c r="P125" s="17">
        <v>147</v>
      </c>
      <c r="Q125" s="17">
        <v>147</v>
      </c>
      <c r="R125" s="17">
        <v>148</v>
      </c>
      <c r="S125" s="24">
        <v>152</v>
      </c>
      <c r="T125" s="17">
        <v>154</v>
      </c>
      <c r="U125" s="17">
        <v>158</v>
      </c>
      <c r="V125" s="17">
        <v>161</v>
      </c>
      <c r="W125" s="17">
        <v>166</v>
      </c>
      <c r="X125" s="17">
        <v>167</v>
      </c>
      <c r="Y125" s="17">
        <v>167</v>
      </c>
      <c r="Z125" s="17">
        <v>171</v>
      </c>
      <c r="AA125" s="17">
        <v>171</v>
      </c>
      <c r="AB125" s="17">
        <v>171</v>
      </c>
      <c r="AC125" s="17">
        <v>170</v>
      </c>
      <c r="AD125" s="17">
        <v>171</v>
      </c>
      <c r="AE125" s="17"/>
      <c r="AF125" s="17"/>
      <c r="AG125" s="17"/>
      <c r="AH125" s="17"/>
      <c r="AI125" s="17"/>
      <c r="AJ125" s="17"/>
      <c r="AK125" s="17"/>
      <c r="AR125" s="17">
        <v>66</v>
      </c>
      <c r="AS125" s="17">
        <v>74</v>
      </c>
      <c r="AT125" s="17">
        <v>80</v>
      </c>
      <c r="AU125" s="17">
        <v>86</v>
      </c>
      <c r="AV125" s="17">
        <v>87</v>
      </c>
      <c r="AW125" s="17">
        <v>91</v>
      </c>
      <c r="AX125" s="24">
        <v>94</v>
      </c>
      <c r="AY125" s="17">
        <v>100</v>
      </c>
      <c r="AZ125" s="17">
        <v>104</v>
      </c>
      <c r="BA125" s="17">
        <v>109</v>
      </c>
      <c r="BB125" s="17">
        <v>110</v>
      </c>
      <c r="BC125" s="24">
        <v>115</v>
      </c>
      <c r="BD125" s="17">
        <v>116</v>
      </c>
      <c r="BE125" s="17">
        <v>121</v>
      </c>
      <c r="BF125" s="17">
        <v>122</v>
      </c>
      <c r="BG125" s="17">
        <v>123</v>
      </c>
      <c r="BH125" s="17">
        <v>123</v>
      </c>
      <c r="BI125" s="17">
        <v>123</v>
      </c>
      <c r="BJ125" s="17">
        <v>132</v>
      </c>
      <c r="BK125" s="17">
        <v>133</v>
      </c>
      <c r="BL125" s="17">
        <v>140</v>
      </c>
      <c r="BM125" s="17">
        <v>137</v>
      </c>
      <c r="BN125" s="17">
        <v>136</v>
      </c>
      <c r="BO125" s="132"/>
      <c r="BP125" s="132"/>
      <c r="BQ125" s="132"/>
      <c r="BR125" s="132"/>
      <c r="BS125" s="132"/>
      <c r="BT125" s="132"/>
      <c r="BU125" s="132"/>
      <c r="BV125" s="132"/>
      <c r="BW125" s="132"/>
      <c r="BX125" s="132"/>
      <c r="BY125" s="132"/>
    </row>
    <row r="126" spans="1:77" x14ac:dyDescent="0.25">
      <c r="A126" s="4" t="s">
        <v>241</v>
      </c>
      <c r="B126" s="6" t="s">
        <v>242</v>
      </c>
      <c r="H126" s="17">
        <v>315</v>
      </c>
      <c r="I126" s="17">
        <v>327</v>
      </c>
      <c r="J126" s="17">
        <v>351</v>
      </c>
      <c r="K126" s="17">
        <v>375</v>
      </c>
      <c r="L126" s="17">
        <v>379</v>
      </c>
      <c r="M126" s="17">
        <v>386</v>
      </c>
      <c r="N126" s="24">
        <v>406</v>
      </c>
      <c r="O126" s="17">
        <v>416</v>
      </c>
      <c r="P126" s="17">
        <v>439</v>
      </c>
      <c r="Q126" s="17">
        <v>449</v>
      </c>
      <c r="R126" s="17">
        <v>455</v>
      </c>
      <c r="S126" s="24">
        <v>471</v>
      </c>
      <c r="T126" s="17">
        <v>473</v>
      </c>
      <c r="U126" s="17">
        <v>481</v>
      </c>
      <c r="V126" s="17">
        <v>494</v>
      </c>
      <c r="W126" s="17">
        <v>502</v>
      </c>
      <c r="X126" s="17">
        <v>504</v>
      </c>
      <c r="Y126" s="17">
        <v>507</v>
      </c>
      <c r="Z126" s="17">
        <v>514</v>
      </c>
      <c r="AA126" s="17">
        <v>518</v>
      </c>
      <c r="AB126" s="17">
        <v>519</v>
      </c>
      <c r="AC126" s="17">
        <v>520</v>
      </c>
      <c r="AD126" s="17">
        <v>535</v>
      </c>
      <c r="AE126" s="17"/>
      <c r="AF126" s="17"/>
      <c r="AG126" s="17"/>
      <c r="AH126" s="17"/>
      <c r="AI126" s="17"/>
      <c r="AJ126" s="17"/>
      <c r="AK126" s="17"/>
      <c r="AR126" s="17">
        <v>142</v>
      </c>
      <c r="AS126" s="17">
        <v>159</v>
      </c>
      <c r="AT126" s="17">
        <v>192</v>
      </c>
      <c r="AU126" s="17">
        <v>221</v>
      </c>
      <c r="AV126" s="17">
        <v>241</v>
      </c>
      <c r="AW126" s="17">
        <v>250</v>
      </c>
      <c r="AX126" s="24">
        <v>266</v>
      </c>
      <c r="AY126" s="17">
        <v>276</v>
      </c>
      <c r="AZ126" s="17">
        <v>300</v>
      </c>
      <c r="BA126" s="17">
        <v>309</v>
      </c>
      <c r="BB126" s="17">
        <v>315</v>
      </c>
      <c r="BC126" s="24">
        <v>325</v>
      </c>
      <c r="BD126" s="17">
        <v>331</v>
      </c>
      <c r="BE126" s="17">
        <v>345</v>
      </c>
      <c r="BF126" s="17">
        <v>352</v>
      </c>
      <c r="BG126" s="17">
        <v>362</v>
      </c>
      <c r="BH126" s="17">
        <v>368</v>
      </c>
      <c r="BI126" s="17">
        <v>378</v>
      </c>
      <c r="BJ126" s="17">
        <v>386</v>
      </c>
      <c r="BK126" s="17">
        <v>394</v>
      </c>
      <c r="BL126" s="17">
        <v>418</v>
      </c>
      <c r="BM126" s="17">
        <v>415</v>
      </c>
      <c r="BN126" s="17">
        <v>425</v>
      </c>
      <c r="BO126" s="132"/>
      <c r="BP126" s="132"/>
      <c r="BQ126" s="132"/>
      <c r="BR126" s="132"/>
      <c r="BS126" s="132"/>
      <c r="BT126" s="132"/>
      <c r="BU126" s="132"/>
      <c r="BV126" s="132"/>
      <c r="BW126" s="132"/>
      <c r="BX126" s="132"/>
      <c r="BY126" s="132"/>
    </row>
    <row r="127" spans="1:77" x14ac:dyDescent="0.25">
      <c r="A127" s="4" t="s">
        <v>243</v>
      </c>
      <c r="B127" s="6" t="s">
        <v>244</v>
      </c>
      <c r="H127" s="17">
        <v>60</v>
      </c>
      <c r="I127" s="17">
        <v>61</v>
      </c>
      <c r="J127" s="17">
        <v>62</v>
      </c>
      <c r="K127" s="17">
        <v>70</v>
      </c>
      <c r="L127" s="17">
        <v>64</v>
      </c>
      <c r="M127" s="17">
        <v>64</v>
      </c>
      <c r="N127" s="24">
        <v>65</v>
      </c>
      <c r="O127" s="17">
        <v>65</v>
      </c>
      <c r="P127" s="17">
        <v>72</v>
      </c>
      <c r="Q127" s="17">
        <v>72</v>
      </c>
      <c r="R127" s="17">
        <v>72</v>
      </c>
      <c r="S127" s="24">
        <v>72</v>
      </c>
      <c r="T127" s="17">
        <v>76</v>
      </c>
      <c r="U127" s="17">
        <v>80</v>
      </c>
      <c r="V127" s="17">
        <v>82</v>
      </c>
      <c r="W127" s="17">
        <v>82</v>
      </c>
      <c r="X127" s="17">
        <v>82</v>
      </c>
      <c r="Y127" s="17">
        <v>84</v>
      </c>
      <c r="Z127" s="17">
        <v>83</v>
      </c>
      <c r="AA127" s="17">
        <v>83</v>
      </c>
      <c r="AB127" s="17">
        <v>83</v>
      </c>
      <c r="AC127" s="17">
        <v>83</v>
      </c>
      <c r="AD127" s="17">
        <v>85</v>
      </c>
      <c r="AE127" s="17"/>
      <c r="AF127" s="17"/>
      <c r="AG127" s="17"/>
      <c r="AH127" s="17"/>
      <c r="AI127" s="17"/>
      <c r="AJ127" s="17"/>
      <c r="AK127" s="17"/>
      <c r="AR127" s="17">
        <v>29</v>
      </c>
      <c r="AS127" s="17">
        <v>32</v>
      </c>
      <c r="AT127" s="17">
        <v>35</v>
      </c>
      <c r="AU127" s="17">
        <v>38</v>
      </c>
      <c r="AV127" s="17">
        <v>48</v>
      </c>
      <c r="AW127" s="17">
        <v>52</v>
      </c>
      <c r="AX127" s="24">
        <v>55</v>
      </c>
      <c r="AY127" s="17">
        <v>55</v>
      </c>
      <c r="AZ127" s="17">
        <v>59</v>
      </c>
      <c r="BA127" s="17">
        <v>60</v>
      </c>
      <c r="BB127" s="17">
        <v>60</v>
      </c>
      <c r="BC127" s="24">
        <v>62</v>
      </c>
      <c r="BD127" s="17">
        <v>62</v>
      </c>
      <c r="BE127" s="17">
        <v>62</v>
      </c>
      <c r="BF127" s="17">
        <v>62</v>
      </c>
      <c r="BG127" s="17">
        <v>62</v>
      </c>
      <c r="BH127" s="17">
        <v>68</v>
      </c>
      <c r="BI127" s="17">
        <v>68</v>
      </c>
      <c r="BJ127" s="17">
        <v>68</v>
      </c>
      <c r="BK127" s="17">
        <v>74</v>
      </c>
      <c r="BL127" s="17">
        <v>78</v>
      </c>
      <c r="BM127" s="17">
        <v>78</v>
      </c>
      <c r="BN127" s="17">
        <v>78</v>
      </c>
      <c r="BO127" s="132"/>
      <c r="BP127" s="132"/>
      <c r="BQ127" s="132"/>
      <c r="BR127" s="132"/>
      <c r="BS127" s="132"/>
      <c r="BT127" s="132"/>
      <c r="BU127" s="132"/>
      <c r="BV127" s="132"/>
      <c r="BW127" s="132"/>
      <c r="BX127" s="132"/>
      <c r="BY127" s="132"/>
    </row>
    <row r="128" spans="1:77" x14ac:dyDescent="0.25">
      <c r="A128" s="4" t="s">
        <v>245</v>
      </c>
      <c r="B128" s="6" t="s">
        <v>246</v>
      </c>
      <c r="H128" s="17">
        <v>509</v>
      </c>
      <c r="I128" s="17">
        <v>542</v>
      </c>
      <c r="J128" s="17">
        <v>581</v>
      </c>
      <c r="K128" s="17">
        <v>616</v>
      </c>
      <c r="L128" s="17">
        <v>631</v>
      </c>
      <c r="M128" s="17">
        <v>646</v>
      </c>
      <c r="N128" s="24">
        <v>682</v>
      </c>
      <c r="O128" s="17">
        <v>710</v>
      </c>
      <c r="P128" s="17">
        <v>737</v>
      </c>
      <c r="Q128" s="17">
        <v>755</v>
      </c>
      <c r="R128" s="17">
        <v>770</v>
      </c>
      <c r="S128" s="24">
        <v>787</v>
      </c>
      <c r="T128" s="17">
        <v>799</v>
      </c>
      <c r="U128" s="17">
        <v>819</v>
      </c>
      <c r="V128" s="17">
        <v>833</v>
      </c>
      <c r="W128" s="17">
        <v>843</v>
      </c>
      <c r="X128" s="17">
        <v>851</v>
      </c>
      <c r="Y128" s="17">
        <v>864</v>
      </c>
      <c r="Z128" s="17">
        <v>885</v>
      </c>
      <c r="AA128" s="17">
        <v>901</v>
      </c>
      <c r="AB128" s="17">
        <v>915</v>
      </c>
      <c r="AC128" s="17">
        <v>918</v>
      </c>
      <c r="AD128" s="17">
        <v>943</v>
      </c>
      <c r="AE128" s="17"/>
      <c r="AF128" s="17"/>
      <c r="AG128" s="17"/>
      <c r="AH128" s="17"/>
      <c r="AI128" s="17"/>
      <c r="AJ128" s="17"/>
      <c r="AK128" s="17"/>
      <c r="AR128" s="17">
        <v>243</v>
      </c>
      <c r="AS128" s="17">
        <v>290</v>
      </c>
      <c r="AT128" s="17">
        <v>330</v>
      </c>
      <c r="AU128" s="17">
        <v>376</v>
      </c>
      <c r="AV128" s="17">
        <v>407</v>
      </c>
      <c r="AW128" s="17">
        <v>430</v>
      </c>
      <c r="AX128" s="24">
        <v>475</v>
      </c>
      <c r="AY128" s="17">
        <v>508</v>
      </c>
      <c r="AZ128" s="17">
        <v>517</v>
      </c>
      <c r="BA128" s="17">
        <v>537</v>
      </c>
      <c r="BB128" s="17">
        <v>558</v>
      </c>
      <c r="BC128" s="24">
        <v>582</v>
      </c>
      <c r="BD128" s="17">
        <v>596</v>
      </c>
      <c r="BE128" s="17">
        <v>617</v>
      </c>
      <c r="BF128" s="17">
        <v>640</v>
      </c>
      <c r="BG128" s="17">
        <v>655</v>
      </c>
      <c r="BH128" s="17">
        <v>659</v>
      </c>
      <c r="BI128" s="17">
        <v>664</v>
      </c>
      <c r="BJ128" s="17">
        <v>684</v>
      </c>
      <c r="BK128" s="17">
        <v>697</v>
      </c>
      <c r="BL128" s="17">
        <v>703</v>
      </c>
      <c r="BM128" s="17">
        <v>709</v>
      </c>
      <c r="BN128" s="17">
        <v>728</v>
      </c>
      <c r="BO128" s="132"/>
      <c r="BP128" s="132"/>
      <c r="BQ128" s="132"/>
      <c r="BR128" s="132"/>
      <c r="BS128" s="132"/>
      <c r="BT128" s="132"/>
      <c r="BU128" s="132"/>
      <c r="BV128" s="132"/>
      <c r="BW128" s="132"/>
      <c r="BX128" s="132"/>
      <c r="BY128" s="132"/>
    </row>
    <row r="129" spans="1:77" x14ac:dyDescent="0.25">
      <c r="A129" s="4" t="s">
        <v>247</v>
      </c>
      <c r="B129" s="6" t="s">
        <v>248</v>
      </c>
      <c r="H129" s="17">
        <v>223</v>
      </c>
      <c r="I129" s="17">
        <v>235</v>
      </c>
      <c r="J129" s="17">
        <v>238</v>
      </c>
      <c r="K129" s="17">
        <v>252</v>
      </c>
      <c r="L129" s="17">
        <v>258</v>
      </c>
      <c r="M129" s="17">
        <v>267</v>
      </c>
      <c r="N129" s="24">
        <v>278</v>
      </c>
      <c r="O129" s="17">
        <v>290</v>
      </c>
      <c r="P129" s="17">
        <v>295</v>
      </c>
      <c r="Q129" s="17">
        <v>299</v>
      </c>
      <c r="R129" s="17">
        <v>300</v>
      </c>
      <c r="S129" s="24">
        <v>304</v>
      </c>
      <c r="T129" s="17">
        <v>307</v>
      </c>
      <c r="U129" s="17">
        <v>319</v>
      </c>
      <c r="V129" s="17">
        <v>327</v>
      </c>
      <c r="W129" s="17">
        <v>332</v>
      </c>
      <c r="X129" s="17">
        <v>335</v>
      </c>
      <c r="Y129" s="17">
        <v>343</v>
      </c>
      <c r="Z129" s="17">
        <v>351</v>
      </c>
      <c r="AA129" s="17">
        <v>351</v>
      </c>
      <c r="AB129" s="17">
        <v>352</v>
      </c>
      <c r="AC129" s="17">
        <v>351</v>
      </c>
      <c r="AD129" s="17">
        <v>366</v>
      </c>
      <c r="AE129" s="17"/>
      <c r="AF129" s="17"/>
      <c r="AG129" s="17"/>
      <c r="AH129" s="17"/>
      <c r="AI129" s="17"/>
      <c r="AJ129" s="17"/>
      <c r="AK129" s="17"/>
      <c r="AR129" s="17">
        <v>107</v>
      </c>
      <c r="AS129" s="17">
        <v>126</v>
      </c>
      <c r="AT129" s="17">
        <v>142</v>
      </c>
      <c r="AU129" s="17">
        <v>154</v>
      </c>
      <c r="AV129" s="17">
        <v>164</v>
      </c>
      <c r="AW129" s="17">
        <v>177</v>
      </c>
      <c r="AX129" s="24">
        <v>194</v>
      </c>
      <c r="AY129" s="17">
        <v>203</v>
      </c>
      <c r="AZ129" s="17">
        <v>212</v>
      </c>
      <c r="BA129" s="17">
        <v>220</v>
      </c>
      <c r="BB129" s="17">
        <v>222</v>
      </c>
      <c r="BC129" s="24">
        <v>224</v>
      </c>
      <c r="BD129" s="17">
        <v>235</v>
      </c>
      <c r="BE129" s="17">
        <v>239</v>
      </c>
      <c r="BF129" s="17">
        <v>246</v>
      </c>
      <c r="BG129" s="17">
        <v>249</v>
      </c>
      <c r="BH129" s="17">
        <v>255</v>
      </c>
      <c r="BI129" s="17">
        <v>256</v>
      </c>
      <c r="BJ129" s="17">
        <v>263</v>
      </c>
      <c r="BK129" s="17">
        <v>271</v>
      </c>
      <c r="BL129" s="17">
        <v>284</v>
      </c>
      <c r="BM129" s="17">
        <v>288</v>
      </c>
      <c r="BN129" s="17">
        <v>296</v>
      </c>
      <c r="BO129" s="132"/>
      <c r="BP129" s="132"/>
      <c r="BQ129" s="132"/>
      <c r="BR129" s="132"/>
      <c r="BS129" s="132"/>
      <c r="BT129" s="132"/>
      <c r="BU129" s="132"/>
      <c r="BV129" s="132"/>
      <c r="BW129" s="132"/>
      <c r="BX129" s="132"/>
      <c r="BY129" s="132"/>
    </row>
    <row r="130" spans="1:77" x14ac:dyDescent="0.25">
      <c r="A130" s="4" t="s">
        <v>249</v>
      </c>
      <c r="B130" s="6" t="s">
        <v>250</v>
      </c>
      <c r="H130" s="17">
        <v>87</v>
      </c>
      <c r="I130" s="17">
        <v>86</v>
      </c>
      <c r="J130" s="17">
        <v>92</v>
      </c>
      <c r="K130" s="17">
        <v>98</v>
      </c>
      <c r="L130" s="17">
        <v>98</v>
      </c>
      <c r="M130" s="17">
        <v>103</v>
      </c>
      <c r="N130" s="24">
        <v>108</v>
      </c>
      <c r="O130" s="17">
        <v>112</v>
      </c>
      <c r="P130" s="17">
        <v>117</v>
      </c>
      <c r="Q130" s="17">
        <v>119</v>
      </c>
      <c r="R130" s="17">
        <v>123</v>
      </c>
      <c r="S130" s="24">
        <v>127</v>
      </c>
      <c r="T130" s="17">
        <v>134</v>
      </c>
      <c r="U130" s="17">
        <v>141</v>
      </c>
      <c r="V130" s="17">
        <v>145</v>
      </c>
      <c r="W130" s="17">
        <v>147</v>
      </c>
      <c r="X130" s="17">
        <v>151</v>
      </c>
      <c r="Y130" s="17">
        <v>152</v>
      </c>
      <c r="Z130" s="17">
        <v>157</v>
      </c>
      <c r="AA130" s="17">
        <v>159</v>
      </c>
      <c r="AB130" s="17">
        <v>161</v>
      </c>
      <c r="AC130" s="17">
        <v>161</v>
      </c>
      <c r="AD130" s="17">
        <v>165</v>
      </c>
      <c r="AE130" s="17"/>
      <c r="AF130" s="17"/>
      <c r="AG130" s="17"/>
      <c r="AH130" s="17"/>
      <c r="AI130" s="17"/>
      <c r="AJ130" s="17"/>
      <c r="AK130" s="17"/>
      <c r="AR130" s="17">
        <v>40</v>
      </c>
      <c r="AS130" s="17">
        <v>45</v>
      </c>
      <c r="AT130" s="17">
        <v>53</v>
      </c>
      <c r="AU130" s="17">
        <v>69</v>
      </c>
      <c r="AV130" s="17">
        <v>74</v>
      </c>
      <c r="AW130" s="17">
        <v>77</v>
      </c>
      <c r="AX130" s="24">
        <v>82</v>
      </c>
      <c r="AY130" s="17">
        <v>82</v>
      </c>
      <c r="AZ130" s="17">
        <v>85</v>
      </c>
      <c r="BA130" s="17">
        <v>87</v>
      </c>
      <c r="BB130" s="17">
        <v>89</v>
      </c>
      <c r="BC130" s="24">
        <v>94</v>
      </c>
      <c r="BD130" s="17">
        <v>97</v>
      </c>
      <c r="BE130" s="17">
        <v>100</v>
      </c>
      <c r="BF130" s="17">
        <v>109</v>
      </c>
      <c r="BG130" s="17">
        <v>113</v>
      </c>
      <c r="BH130" s="17">
        <v>119</v>
      </c>
      <c r="BI130" s="17">
        <v>119</v>
      </c>
      <c r="BJ130" s="17">
        <v>120</v>
      </c>
      <c r="BK130" s="17">
        <v>124</v>
      </c>
      <c r="BL130" s="17">
        <v>124</v>
      </c>
      <c r="BM130" s="17">
        <v>127</v>
      </c>
      <c r="BN130" s="17">
        <v>127</v>
      </c>
      <c r="BO130" s="132"/>
      <c r="BP130" s="132"/>
      <c r="BQ130" s="132"/>
      <c r="BR130" s="132"/>
      <c r="BS130" s="132"/>
      <c r="BT130" s="132"/>
      <c r="BU130" s="132"/>
      <c r="BV130" s="132"/>
      <c r="BW130" s="132"/>
      <c r="BX130" s="132"/>
      <c r="BY130" s="132"/>
    </row>
    <row r="131" spans="1:77" x14ac:dyDescent="0.25">
      <c r="A131" s="4" t="s">
        <v>251</v>
      </c>
      <c r="B131" s="6" t="s">
        <v>252</v>
      </c>
      <c r="H131" s="17">
        <v>53</v>
      </c>
      <c r="I131" s="17">
        <v>57</v>
      </c>
      <c r="J131" s="17">
        <v>58</v>
      </c>
      <c r="K131" s="17">
        <v>67</v>
      </c>
      <c r="L131" s="17">
        <v>67</v>
      </c>
      <c r="M131" s="17">
        <v>67</v>
      </c>
      <c r="N131" s="24">
        <v>74</v>
      </c>
      <c r="O131" s="17">
        <v>78</v>
      </c>
      <c r="P131" s="17">
        <v>83</v>
      </c>
      <c r="Q131" s="17">
        <v>84</v>
      </c>
      <c r="R131" s="17">
        <v>90</v>
      </c>
      <c r="S131" s="24">
        <v>93</v>
      </c>
      <c r="T131" s="17">
        <v>97</v>
      </c>
      <c r="U131" s="17">
        <v>100</v>
      </c>
      <c r="V131" s="17">
        <v>101</v>
      </c>
      <c r="W131" s="17">
        <v>101</v>
      </c>
      <c r="X131" s="17">
        <v>101</v>
      </c>
      <c r="Y131" s="17">
        <v>103</v>
      </c>
      <c r="Z131" s="17">
        <v>106</v>
      </c>
      <c r="AA131" s="17">
        <v>106</v>
      </c>
      <c r="AB131" s="17">
        <v>109</v>
      </c>
      <c r="AC131" s="17">
        <v>111</v>
      </c>
      <c r="AD131" s="17">
        <v>115</v>
      </c>
      <c r="AE131" s="17"/>
      <c r="AF131" s="17"/>
      <c r="AG131" s="17"/>
      <c r="AH131" s="17"/>
      <c r="AI131" s="17"/>
      <c r="AJ131" s="17"/>
      <c r="AK131" s="17"/>
      <c r="AR131" s="17">
        <v>21</v>
      </c>
      <c r="AS131" s="17">
        <v>27</v>
      </c>
      <c r="AT131" s="17">
        <v>36</v>
      </c>
      <c r="AU131" s="17">
        <v>41</v>
      </c>
      <c r="AV131" s="17">
        <v>47</v>
      </c>
      <c r="AW131" s="17">
        <v>57</v>
      </c>
      <c r="AX131" s="24">
        <v>60</v>
      </c>
      <c r="AY131" s="17">
        <v>62</v>
      </c>
      <c r="AZ131" s="17">
        <v>65</v>
      </c>
      <c r="BA131" s="17">
        <v>66</v>
      </c>
      <c r="BB131" s="17">
        <v>67</v>
      </c>
      <c r="BC131" s="24">
        <v>73</v>
      </c>
      <c r="BD131" s="17">
        <v>80</v>
      </c>
      <c r="BE131" s="17">
        <v>83</v>
      </c>
      <c r="BF131" s="17">
        <v>83</v>
      </c>
      <c r="BG131" s="17">
        <v>83</v>
      </c>
      <c r="BH131" s="17">
        <v>83</v>
      </c>
      <c r="BI131" s="17">
        <v>86</v>
      </c>
      <c r="BJ131" s="17">
        <v>88</v>
      </c>
      <c r="BK131" s="17">
        <v>88</v>
      </c>
      <c r="BL131" s="17">
        <v>90</v>
      </c>
      <c r="BM131" s="17">
        <v>93</v>
      </c>
      <c r="BN131" s="17">
        <v>94</v>
      </c>
      <c r="BO131" s="132"/>
      <c r="BP131" s="132"/>
      <c r="BQ131" s="132"/>
      <c r="BR131" s="132"/>
      <c r="BS131" s="132"/>
      <c r="BT131" s="132"/>
      <c r="BU131" s="132"/>
      <c r="BV131" s="132"/>
      <c r="BW131" s="132"/>
      <c r="BX131" s="132"/>
      <c r="BY131" s="132"/>
    </row>
    <row r="132" spans="1:77" x14ac:dyDescent="0.25">
      <c r="A132" s="4" t="s">
        <v>253</v>
      </c>
      <c r="B132" s="6" t="s">
        <v>254</v>
      </c>
      <c r="H132" s="17">
        <v>772</v>
      </c>
      <c r="I132" s="17">
        <v>819</v>
      </c>
      <c r="J132" s="17">
        <v>874</v>
      </c>
      <c r="K132" s="17">
        <v>946</v>
      </c>
      <c r="L132" s="17">
        <v>966</v>
      </c>
      <c r="M132" s="17">
        <v>994</v>
      </c>
      <c r="N132" s="24">
        <v>1064</v>
      </c>
      <c r="O132" s="17">
        <v>1123</v>
      </c>
      <c r="P132" s="17">
        <v>1172</v>
      </c>
      <c r="Q132" s="17">
        <v>1200</v>
      </c>
      <c r="R132" s="17">
        <v>1209</v>
      </c>
      <c r="S132" s="24">
        <v>1228</v>
      </c>
      <c r="T132" s="17">
        <v>1253</v>
      </c>
      <c r="U132" s="17">
        <v>1280</v>
      </c>
      <c r="V132" s="17">
        <v>1300</v>
      </c>
      <c r="W132" s="17">
        <v>1309</v>
      </c>
      <c r="X132" s="17">
        <v>1319</v>
      </c>
      <c r="Y132" s="17">
        <v>1336</v>
      </c>
      <c r="Z132" s="17">
        <v>1356</v>
      </c>
      <c r="AA132" s="17">
        <v>1363</v>
      </c>
      <c r="AB132" s="17">
        <v>1366</v>
      </c>
      <c r="AC132" s="17">
        <v>1365</v>
      </c>
      <c r="AD132" s="17">
        <v>1389</v>
      </c>
      <c r="AE132" s="17"/>
      <c r="AF132" s="17"/>
      <c r="AG132" s="17"/>
      <c r="AH132" s="17"/>
      <c r="AI132" s="17"/>
      <c r="AJ132" s="17"/>
      <c r="AK132" s="17"/>
      <c r="AR132" s="17">
        <v>367</v>
      </c>
      <c r="AS132" s="17">
        <v>429</v>
      </c>
      <c r="AT132" s="17">
        <v>494</v>
      </c>
      <c r="AU132" s="17">
        <v>563</v>
      </c>
      <c r="AV132" s="17">
        <v>624</v>
      </c>
      <c r="AW132" s="17">
        <v>665</v>
      </c>
      <c r="AX132" s="24">
        <v>737</v>
      </c>
      <c r="AY132" s="17">
        <v>783</v>
      </c>
      <c r="AZ132" s="17">
        <v>830</v>
      </c>
      <c r="BA132" s="17">
        <v>879</v>
      </c>
      <c r="BB132" s="17">
        <v>898</v>
      </c>
      <c r="BC132" s="24">
        <v>928</v>
      </c>
      <c r="BD132" s="17">
        <v>965</v>
      </c>
      <c r="BE132" s="17">
        <v>1008</v>
      </c>
      <c r="BF132" s="17">
        <v>1033</v>
      </c>
      <c r="BG132" s="17">
        <v>1059</v>
      </c>
      <c r="BH132" s="17">
        <v>1071</v>
      </c>
      <c r="BI132" s="17">
        <v>1094</v>
      </c>
      <c r="BJ132" s="17">
        <v>1111</v>
      </c>
      <c r="BK132" s="17">
        <v>1127</v>
      </c>
      <c r="BL132" s="17">
        <v>1147</v>
      </c>
      <c r="BM132" s="17">
        <v>1148</v>
      </c>
      <c r="BN132" s="17">
        <v>1165</v>
      </c>
      <c r="BO132" s="132"/>
      <c r="BP132" s="132"/>
      <c r="BQ132" s="132"/>
      <c r="BR132" s="132"/>
      <c r="BS132" s="132"/>
      <c r="BT132" s="132"/>
      <c r="BU132" s="132"/>
      <c r="BV132" s="132"/>
      <c r="BW132" s="132"/>
      <c r="BX132" s="132"/>
      <c r="BY132" s="132"/>
    </row>
    <row r="133" spans="1:77" x14ac:dyDescent="0.25">
      <c r="A133" s="4" t="s">
        <v>255</v>
      </c>
      <c r="B133" s="6" t="s">
        <v>256</v>
      </c>
      <c r="H133" s="17">
        <v>93</v>
      </c>
      <c r="I133" s="17">
        <v>94</v>
      </c>
      <c r="J133" s="17">
        <v>98</v>
      </c>
      <c r="K133" s="17">
        <v>102</v>
      </c>
      <c r="L133" s="17">
        <v>105</v>
      </c>
      <c r="M133" s="17">
        <v>111</v>
      </c>
      <c r="N133" s="24">
        <v>119</v>
      </c>
      <c r="O133" s="17">
        <v>116</v>
      </c>
      <c r="P133" s="17">
        <v>120</v>
      </c>
      <c r="Q133" s="17">
        <v>121</v>
      </c>
      <c r="R133" s="17">
        <v>123</v>
      </c>
      <c r="S133" s="24">
        <v>127</v>
      </c>
      <c r="T133" s="17">
        <v>131</v>
      </c>
      <c r="U133" s="17">
        <v>135</v>
      </c>
      <c r="V133" s="17">
        <v>138</v>
      </c>
      <c r="W133" s="17">
        <v>146</v>
      </c>
      <c r="X133" s="17">
        <v>146</v>
      </c>
      <c r="Y133" s="17">
        <v>147</v>
      </c>
      <c r="Z133" s="17">
        <v>147</v>
      </c>
      <c r="AA133" s="17">
        <v>148</v>
      </c>
      <c r="AB133" s="17">
        <v>151</v>
      </c>
      <c r="AC133" s="17">
        <v>151</v>
      </c>
      <c r="AD133" s="17">
        <v>151</v>
      </c>
      <c r="AE133" s="17"/>
      <c r="AF133" s="17"/>
      <c r="AG133" s="17"/>
      <c r="AH133" s="17"/>
      <c r="AI133" s="17"/>
      <c r="AJ133" s="17"/>
      <c r="AK133" s="17"/>
      <c r="AR133" s="17">
        <v>51</v>
      </c>
      <c r="AS133" s="17">
        <v>54</v>
      </c>
      <c r="AT133" s="17">
        <v>62</v>
      </c>
      <c r="AU133" s="17">
        <v>74</v>
      </c>
      <c r="AV133" s="17">
        <v>84</v>
      </c>
      <c r="AW133" s="17">
        <v>87</v>
      </c>
      <c r="AX133" s="24">
        <v>90</v>
      </c>
      <c r="AY133" s="17">
        <v>92</v>
      </c>
      <c r="AZ133" s="17">
        <v>94</v>
      </c>
      <c r="BA133" s="17">
        <v>97</v>
      </c>
      <c r="BB133" s="17">
        <v>99</v>
      </c>
      <c r="BC133" s="24">
        <v>104</v>
      </c>
      <c r="BD133" s="17">
        <v>107</v>
      </c>
      <c r="BE133" s="17">
        <v>111</v>
      </c>
      <c r="BF133" s="17">
        <v>116</v>
      </c>
      <c r="BG133" s="17">
        <v>119</v>
      </c>
      <c r="BH133" s="17">
        <v>124</v>
      </c>
      <c r="BI133" s="17">
        <v>126</v>
      </c>
      <c r="BJ133" s="17">
        <v>126</v>
      </c>
      <c r="BK133" s="17">
        <v>126</v>
      </c>
      <c r="BL133" s="17">
        <v>131</v>
      </c>
      <c r="BM133" s="17">
        <v>132</v>
      </c>
      <c r="BN133" s="17">
        <v>133</v>
      </c>
      <c r="BO133" s="132"/>
      <c r="BP133" s="132"/>
      <c r="BQ133" s="132"/>
      <c r="BR133" s="132"/>
      <c r="BS133" s="132"/>
      <c r="BT133" s="132"/>
      <c r="BU133" s="132"/>
      <c r="BV133" s="132"/>
      <c r="BW133" s="132"/>
      <c r="BX133" s="132"/>
      <c r="BY133" s="132"/>
    </row>
    <row r="134" spans="1:77" x14ac:dyDescent="0.25">
      <c r="A134" s="4" t="s">
        <v>257</v>
      </c>
      <c r="B134" s="6" t="s">
        <v>258</v>
      </c>
      <c r="H134" s="17">
        <v>1937</v>
      </c>
      <c r="I134" s="17">
        <v>2056</v>
      </c>
      <c r="J134" s="17">
        <v>2199</v>
      </c>
      <c r="K134" s="17">
        <v>2369</v>
      </c>
      <c r="L134" s="17">
        <v>2426</v>
      </c>
      <c r="M134" s="17">
        <v>2468</v>
      </c>
      <c r="N134" s="24">
        <v>2592</v>
      </c>
      <c r="O134" s="17">
        <v>2655</v>
      </c>
      <c r="P134" s="17">
        <v>2746</v>
      </c>
      <c r="Q134" s="17">
        <v>2835</v>
      </c>
      <c r="R134" s="17">
        <v>2882</v>
      </c>
      <c r="S134" s="24">
        <v>2972</v>
      </c>
      <c r="T134" s="17">
        <v>3023</v>
      </c>
      <c r="U134" s="17">
        <v>3076</v>
      </c>
      <c r="V134" s="17">
        <v>3126</v>
      </c>
      <c r="W134" s="17">
        <v>3147</v>
      </c>
      <c r="X134" s="17">
        <v>3180</v>
      </c>
      <c r="Y134" s="17">
        <v>3207</v>
      </c>
      <c r="Z134" s="17">
        <v>3243</v>
      </c>
      <c r="AA134" s="17">
        <v>3260</v>
      </c>
      <c r="AB134" s="17">
        <v>3281</v>
      </c>
      <c r="AC134" s="17">
        <v>3286</v>
      </c>
      <c r="AD134" s="17">
        <v>3335</v>
      </c>
      <c r="AE134" s="17"/>
      <c r="AF134" s="17"/>
      <c r="AG134" s="17"/>
      <c r="AH134" s="17"/>
      <c r="AI134" s="17"/>
      <c r="AJ134" s="17"/>
      <c r="AK134" s="17"/>
      <c r="AR134" s="17">
        <v>984</v>
      </c>
      <c r="AS134" s="17">
        <v>1134</v>
      </c>
      <c r="AT134" s="17">
        <v>1293</v>
      </c>
      <c r="AU134" s="17">
        <v>1464</v>
      </c>
      <c r="AV134" s="17">
        <v>1593</v>
      </c>
      <c r="AW134" s="17">
        <v>1695</v>
      </c>
      <c r="AX134" s="24">
        <v>1856</v>
      </c>
      <c r="AY134" s="17">
        <v>1916</v>
      </c>
      <c r="AZ134" s="17">
        <v>2031</v>
      </c>
      <c r="BA134" s="17">
        <v>2124</v>
      </c>
      <c r="BB134" s="17">
        <v>2189</v>
      </c>
      <c r="BC134" s="24">
        <v>2289</v>
      </c>
      <c r="BD134" s="17">
        <v>2355</v>
      </c>
      <c r="BE134" s="17">
        <v>2415</v>
      </c>
      <c r="BF134" s="17">
        <v>2481</v>
      </c>
      <c r="BG134" s="17">
        <v>2515</v>
      </c>
      <c r="BH134" s="17">
        <v>2546</v>
      </c>
      <c r="BI134" s="17">
        <v>2603</v>
      </c>
      <c r="BJ134" s="17">
        <v>2652</v>
      </c>
      <c r="BK134" s="17">
        <v>2684</v>
      </c>
      <c r="BL134" s="17">
        <v>2725</v>
      </c>
      <c r="BM134" s="17">
        <v>2743</v>
      </c>
      <c r="BN134" s="17">
        <v>2774</v>
      </c>
      <c r="BO134" s="132"/>
      <c r="BP134" s="132"/>
      <c r="BQ134" s="132"/>
      <c r="BR134" s="132"/>
      <c r="BS134" s="132"/>
      <c r="BT134" s="132"/>
      <c r="BU134" s="132"/>
      <c r="BV134" s="132"/>
      <c r="BW134" s="132"/>
      <c r="BX134" s="132"/>
      <c r="BY134" s="132"/>
    </row>
    <row r="135" spans="1:77" x14ac:dyDescent="0.25">
      <c r="A135" s="4" t="s">
        <v>259</v>
      </c>
      <c r="B135" s="6" t="s">
        <v>260</v>
      </c>
      <c r="H135" s="17">
        <v>196</v>
      </c>
      <c r="I135" s="17">
        <v>210</v>
      </c>
      <c r="J135" s="17">
        <v>220</v>
      </c>
      <c r="K135" s="17">
        <v>230</v>
      </c>
      <c r="L135" s="17">
        <v>233</v>
      </c>
      <c r="M135" s="17">
        <v>235</v>
      </c>
      <c r="N135" s="24">
        <v>247</v>
      </c>
      <c r="O135" s="17">
        <v>253</v>
      </c>
      <c r="P135" s="17">
        <v>260</v>
      </c>
      <c r="Q135" s="17">
        <v>267</v>
      </c>
      <c r="R135" s="17">
        <v>274</v>
      </c>
      <c r="S135" s="24">
        <v>281</v>
      </c>
      <c r="T135" s="17">
        <v>285</v>
      </c>
      <c r="U135" s="17">
        <v>293</v>
      </c>
      <c r="V135" s="17">
        <v>305</v>
      </c>
      <c r="W135" s="17">
        <v>309</v>
      </c>
      <c r="X135" s="17">
        <v>309</v>
      </c>
      <c r="Y135" s="17">
        <v>311</v>
      </c>
      <c r="Z135" s="17">
        <v>323</v>
      </c>
      <c r="AA135" s="17">
        <v>332</v>
      </c>
      <c r="AB135" s="17">
        <v>332</v>
      </c>
      <c r="AC135" s="17">
        <v>331</v>
      </c>
      <c r="AD135" s="17">
        <v>345</v>
      </c>
      <c r="AE135" s="17"/>
      <c r="AF135" s="17"/>
      <c r="AG135" s="17"/>
      <c r="AH135" s="17"/>
      <c r="AI135" s="17"/>
      <c r="AJ135" s="17"/>
      <c r="AK135" s="17"/>
      <c r="AR135" s="17">
        <v>84</v>
      </c>
      <c r="AS135" s="17">
        <v>100</v>
      </c>
      <c r="AT135" s="17">
        <v>127</v>
      </c>
      <c r="AU135" s="17">
        <v>138</v>
      </c>
      <c r="AV135" s="17">
        <v>145</v>
      </c>
      <c r="AW135" s="17">
        <v>159</v>
      </c>
      <c r="AX135" s="24">
        <v>171</v>
      </c>
      <c r="AY135" s="17">
        <v>180</v>
      </c>
      <c r="AZ135" s="17">
        <v>183</v>
      </c>
      <c r="BA135" s="17">
        <v>194</v>
      </c>
      <c r="BB135" s="17">
        <v>200</v>
      </c>
      <c r="BC135" s="24">
        <v>202</v>
      </c>
      <c r="BD135" s="17">
        <v>209</v>
      </c>
      <c r="BE135" s="17">
        <v>213</v>
      </c>
      <c r="BF135" s="17">
        <v>218</v>
      </c>
      <c r="BG135" s="17">
        <v>224</v>
      </c>
      <c r="BH135" s="17">
        <v>232</v>
      </c>
      <c r="BI135" s="17">
        <v>233</v>
      </c>
      <c r="BJ135" s="17">
        <v>244</v>
      </c>
      <c r="BK135" s="17">
        <v>251</v>
      </c>
      <c r="BL135" s="17">
        <v>256</v>
      </c>
      <c r="BM135" s="17">
        <v>263</v>
      </c>
      <c r="BN135" s="17">
        <v>267</v>
      </c>
      <c r="BO135" s="132"/>
      <c r="BP135" s="132"/>
      <c r="BQ135" s="132"/>
      <c r="BR135" s="132"/>
      <c r="BS135" s="132"/>
      <c r="BT135" s="132"/>
      <c r="BU135" s="132"/>
      <c r="BV135" s="132"/>
      <c r="BW135" s="132"/>
      <c r="BX135" s="132"/>
      <c r="BY135" s="132"/>
    </row>
    <row r="136" spans="1:77" x14ac:dyDescent="0.25">
      <c r="A136" s="4" t="s">
        <v>261</v>
      </c>
      <c r="B136" s="6" t="s">
        <v>262</v>
      </c>
      <c r="H136" s="17">
        <v>141</v>
      </c>
      <c r="I136" s="17">
        <v>152</v>
      </c>
      <c r="J136" s="17">
        <v>159</v>
      </c>
      <c r="K136" s="17">
        <v>163</v>
      </c>
      <c r="L136" s="17">
        <v>169</v>
      </c>
      <c r="M136" s="17">
        <v>177</v>
      </c>
      <c r="N136" s="24">
        <v>188</v>
      </c>
      <c r="O136" s="17">
        <v>194</v>
      </c>
      <c r="P136" s="17">
        <v>200</v>
      </c>
      <c r="Q136" s="17">
        <v>204</v>
      </c>
      <c r="R136" s="17">
        <v>207</v>
      </c>
      <c r="S136" s="24">
        <v>214</v>
      </c>
      <c r="T136" s="17">
        <v>221</v>
      </c>
      <c r="U136" s="17">
        <v>223</v>
      </c>
      <c r="V136" s="17">
        <v>226</v>
      </c>
      <c r="W136" s="17">
        <v>227</v>
      </c>
      <c r="X136" s="17">
        <v>231</v>
      </c>
      <c r="Y136" s="17">
        <v>236</v>
      </c>
      <c r="Z136" s="17">
        <v>242</v>
      </c>
      <c r="AA136" s="17">
        <v>244</v>
      </c>
      <c r="AB136" s="17">
        <v>245</v>
      </c>
      <c r="AC136" s="17">
        <v>250</v>
      </c>
      <c r="AD136" s="17">
        <v>252</v>
      </c>
      <c r="AE136" s="17"/>
      <c r="AF136" s="17"/>
      <c r="AG136" s="17"/>
      <c r="AH136" s="17"/>
      <c r="AI136" s="17"/>
      <c r="AJ136" s="17"/>
      <c r="AK136" s="17"/>
      <c r="AR136" s="17">
        <v>66</v>
      </c>
      <c r="AS136" s="17">
        <v>85</v>
      </c>
      <c r="AT136" s="17">
        <v>97</v>
      </c>
      <c r="AU136" s="17">
        <v>108</v>
      </c>
      <c r="AV136" s="17">
        <v>115</v>
      </c>
      <c r="AW136" s="17">
        <v>119</v>
      </c>
      <c r="AX136" s="24">
        <v>133</v>
      </c>
      <c r="AY136" s="17">
        <v>142</v>
      </c>
      <c r="AZ136" s="17">
        <v>149</v>
      </c>
      <c r="BA136" s="17">
        <v>156</v>
      </c>
      <c r="BB136" s="17">
        <v>157</v>
      </c>
      <c r="BC136" s="24">
        <v>164</v>
      </c>
      <c r="BD136" s="17">
        <v>169</v>
      </c>
      <c r="BE136" s="17">
        <v>171</v>
      </c>
      <c r="BF136" s="17">
        <v>175</v>
      </c>
      <c r="BG136" s="17">
        <v>177</v>
      </c>
      <c r="BH136" s="17">
        <v>179</v>
      </c>
      <c r="BI136" s="17">
        <v>187</v>
      </c>
      <c r="BJ136" s="17">
        <v>189</v>
      </c>
      <c r="BK136" s="17">
        <v>193</v>
      </c>
      <c r="BL136" s="17">
        <v>202</v>
      </c>
      <c r="BM136" s="17">
        <v>210</v>
      </c>
      <c r="BN136" s="17">
        <v>212</v>
      </c>
      <c r="BO136" s="132"/>
      <c r="BP136" s="132"/>
      <c r="BQ136" s="132"/>
      <c r="BR136" s="132"/>
      <c r="BS136" s="132"/>
      <c r="BT136" s="132"/>
      <c r="BU136" s="132"/>
      <c r="BV136" s="132"/>
      <c r="BW136" s="132"/>
      <c r="BX136" s="132"/>
      <c r="BY136" s="132"/>
    </row>
    <row r="137" spans="1:77" x14ac:dyDescent="0.25">
      <c r="A137" s="4" t="s">
        <v>263</v>
      </c>
      <c r="B137" s="6" t="s">
        <v>264</v>
      </c>
      <c r="H137" s="17">
        <v>82</v>
      </c>
      <c r="I137" s="17">
        <v>87</v>
      </c>
      <c r="J137" s="17">
        <v>91</v>
      </c>
      <c r="K137" s="17">
        <v>101</v>
      </c>
      <c r="L137" s="17">
        <v>100</v>
      </c>
      <c r="M137" s="17">
        <v>102</v>
      </c>
      <c r="N137" s="24">
        <v>110</v>
      </c>
      <c r="O137" s="17">
        <v>110</v>
      </c>
      <c r="P137" s="17">
        <v>111</v>
      </c>
      <c r="Q137" s="17">
        <v>113</v>
      </c>
      <c r="R137" s="17">
        <v>116</v>
      </c>
      <c r="S137" s="24">
        <v>122</v>
      </c>
      <c r="T137" s="17">
        <v>126</v>
      </c>
      <c r="U137" s="17">
        <v>127</v>
      </c>
      <c r="V137" s="17">
        <v>129</v>
      </c>
      <c r="W137" s="17">
        <v>134</v>
      </c>
      <c r="X137" s="17">
        <v>135</v>
      </c>
      <c r="Y137" s="17">
        <v>140</v>
      </c>
      <c r="Z137" s="17">
        <v>145</v>
      </c>
      <c r="AA137" s="17">
        <v>145</v>
      </c>
      <c r="AB137" s="17">
        <v>145</v>
      </c>
      <c r="AC137" s="17">
        <v>146</v>
      </c>
      <c r="AD137" s="17">
        <v>151</v>
      </c>
      <c r="AE137" s="17"/>
      <c r="AF137" s="17"/>
      <c r="AG137" s="17"/>
      <c r="AH137" s="17"/>
      <c r="AI137" s="17"/>
      <c r="AJ137" s="17"/>
      <c r="AK137" s="17"/>
      <c r="AR137" s="17">
        <v>38</v>
      </c>
      <c r="AS137" s="17">
        <v>43</v>
      </c>
      <c r="AT137" s="17">
        <v>55</v>
      </c>
      <c r="AU137" s="17">
        <v>61</v>
      </c>
      <c r="AV137" s="17">
        <v>67</v>
      </c>
      <c r="AW137" s="17">
        <v>69</v>
      </c>
      <c r="AX137" s="24">
        <v>83</v>
      </c>
      <c r="AY137" s="17">
        <v>84</v>
      </c>
      <c r="AZ137" s="17">
        <v>84</v>
      </c>
      <c r="BA137" s="17">
        <v>86</v>
      </c>
      <c r="BB137" s="17">
        <v>88</v>
      </c>
      <c r="BC137" s="24">
        <v>91</v>
      </c>
      <c r="BD137" s="17">
        <v>93</v>
      </c>
      <c r="BE137" s="17">
        <v>100</v>
      </c>
      <c r="BF137" s="17">
        <v>103</v>
      </c>
      <c r="BG137" s="17">
        <v>103</v>
      </c>
      <c r="BH137" s="17">
        <v>103</v>
      </c>
      <c r="BI137" s="17">
        <v>105</v>
      </c>
      <c r="BJ137" s="17">
        <v>107</v>
      </c>
      <c r="BK137" s="17">
        <v>111</v>
      </c>
      <c r="BL137" s="17">
        <v>120</v>
      </c>
      <c r="BM137" s="17">
        <v>121</v>
      </c>
      <c r="BN137" s="17">
        <v>123</v>
      </c>
      <c r="BO137" s="132"/>
      <c r="BP137" s="132"/>
      <c r="BQ137" s="132"/>
      <c r="BR137" s="132"/>
      <c r="BS137" s="132"/>
      <c r="BT137" s="132"/>
      <c r="BU137" s="132"/>
      <c r="BV137" s="132"/>
      <c r="BW137" s="132"/>
      <c r="BX137" s="132"/>
      <c r="BY137" s="132"/>
    </row>
    <row r="138" spans="1:77" x14ac:dyDescent="0.25">
      <c r="A138" s="4" t="s">
        <v>265</v>
      </c>
      <c r="B138" s="6" t="s">
        <v>266</v>
      </c>
      <c r="H138" s="17">
        <v>134</v>
      </c>
      <c r="I138" s="17">
        <v>139</v>
      </c>
      <c r="J138" s="17">
        <v>149</v>
      </c>
      <c r="K138" s="17">
        <v>155</v>
      </c>
      <c r="L138" s="17">
        <v>159</v>
      </c>
      <c r="M138" s="17">
        <v>162</v>
      </c>
      <c r="N138" s="24">
        <v>172</v>
      </c>
      <c r="O138" s="17">
        <v>184</v>
      </c>
      <c r="P138" s="17">
        <v>188</v>
      </c>
      <c r="Q138" s="17">
        <v>199</v>
      </c>
      <c r="R138" s="17">
        <v>201</v>
      </c>
      <c r="S138" s="24">
        <v>210</v>
      </c>
      <c r="T138" s="17">
        <v>211</v>
      </c>
      <c r="U138" s="17">
        <v>214</v>
      </c>
      <c r="V138" s="17">
        <v>216</v>
      </c>
      <c r="W138" s="17">
        <v>219</v>
      </c>
      <c r="X138" s="17">
        <v>220</v>
      </c>
      <c r="Y138" s="17">
        <v>222</v>
      </c>
      <c r="Z138" s="17">
        <v>225</v>
      </c>
      <c r="AA138" s="17">
        <v>225</v>
      </c>
      <c r="AB138" s="17">
        <v>232</v>
      </c>
      <c r="AC138" s="17">
        <v>234</v>
      </c>
      <c r="AD138" s="17">
        <v>236</v>
      </c>
      <c r="AE138" s="17"/>
      <c r="AF138" s="17"/>
      <c r="AG138" s="17"/>
      <c r="AH138" s="17"/>
      <c r="AI138" s="17"/>
      <c r="AJ138" s="17"/>
      <c r="AK138" s="17"/>
      <c r="AR138" s="17">
        <v>58</v>
      </c>
      <c r="AS138" s="17">
        <v>70</v>
      </c>
      <c r="AT138" s="17">
        <v>81</v>
      </c>
      <c r="AU138" s="17">
        <v>88</v>
      </c>
      <c r="AV138" s="17">
        <v>99</v>
      </c>
      <c r="AW138" s="17">
        <v>108</v>
      </c>
      <c r="AX138" s="24">
        <v>122</v>
      </c>
      <c r="AY138" s="17">
        <v>128</v>
      </c>
      <c r="AZ138" s="17">
        <v>134</v>
      </c>
      <c r="BA138" s="17">
        <v>140</v>
      </c>
      <c r="BB138" s="17">
        <v>145</v>
      </c>
      <c r="BC138" s="24">
        <v>154</v>
      </c>
      <c r="BD138" s="17">
        <v>163</v>
      </c>
      <c r="BE138" s="17">
        <v>168</v>
      </c>
      <c r="BF138" s="17">
        <v>176</v>
      </c>
      <c r="BG138" s="17">
        <v>181</v>
      </c>
      <c r="BH138" s="17">
        <v>181</v>
      </c>
      <c r="BI138" s="17">
        <v>186</v>
      </c>
      <c r="BJ138" s="17">
        <v>197</v>
      </c>
      <c r="BK138" s="17">
        <v>197</v>
      </c>
      <c r="BL138" s="17">
        <v>199</v>
      </c>
      <c r="BM138" s="17">
        <v>199</v>
      </c>
      <c r="BN138" s="17">
        <v>198</v>
      </c>
      <c r="BO138" s="132"/>
      <c r="BP138" s="132"/>
      <c r="BQ138" s="132"/>
      <c r="BR138" s="132"/>
      <c r="BS138" s="132"/>
      <c r="BT138" s="132"/>
      <c r="BU138" s="132"/>
      <c r="BV138" s="132"/>
      <c r="BW138" s="132"/>
      <c r="BX138" s="132"/>
      <c r="BY138" s="132"/>
    </row>
    <row r="139" spans="1:77" x14ac:dyDescent="0.25">
      <c r="A139" s="4" t="s">
        <v>267</v>
      </c>
      <c r="B139" s="6" t="s">
        <v>268</v>
      </c>
      <c r="H139" s="17">
        <v>73</v>
      </c>
      <c r="I139" s="17">
        <v>82</v>
      </c>
      <c r="J139" s="17">
        <v>85</v>
      </c>
      <c r="K139" s="17">
        <v>93</v>
      </c>
      <c r="L139" s="17">
        <v>93</v>
      </c>
      <c r="M139" s="17">
        <v>94</v>
      </c>
      <c r="N139" s="24">
        <v>99</v>
      </c>
      <c r="O139" s="17">
        <v>103</v>
      </c>
      <c r="P139" s="17">
        <v>108</v>
      </c>
      <c r="Q139" s="17">
        <v>113</v>
      </c>
      <c r="R139" s="17">
        <v>114</v>
      </c>
      <c r="S139" s="24">
        <v>114</v>
      </c>
      <c r="T139" s="17">
        <v>115</v>
      </c>
      <c r="U139" s="17">
        <v>123</v>
      </c>
      <c r="V139" s="17">
        <v>130</v>
      </c>
      <c r="W139" s="17">
        <v>134</v>
      </c>
      <c r="X139" s="17">
        <v>134</v>
      </c>
      <c r="Y139" s="17">
        <v>139</v>
      </c>
      <c r="Z139" s="17">
        <v>147</v>
      </c>
      <c r="AA139" s="17">
        <v>148</v>
      </c>
      <c r="AB139" s="17">
        <v>153</v>
      </c>
      <c r="AC139" s="17">
        <v>154</v>
      </c>
      <c r="AD139" s="17">
        <v>161</v>
      </c>
      <c r="AE139" s="17"/>
      <c r="AF139" s="17"/>
      <c r="AG139" s="17"/>
      <c r="AH139" s="17"/>
      <c r="AI139" s="17"/>
      <c r="AJ139" s="17"/>
      <c r="AK139" s="17"/>
      <c r="AR139" s="17">
        <v>30</v>
      </c>
      <c r="AS139" s="17">
        <v>31</v>
      </c>
      <c r="AT139" s="17">
        <v>40</v>
      </c>
      <c r="AU139" s="17">
        <v>42</v>
      </c>
      <c r="AV139" s="17">
        <v>45</v>
      </c>
      <c r="AW139" s="17">
        <v>59</v>
      </c>
      <c r="AX139" s="24">
        <v>64</v>
      </c>
      <c r="AY139" s="17">
        <v>64</v>
      </c>
      <c r="AZ139" s="17">
        <v>70</v>
      </c>
      <c r="BA139" s="17">
        <v>74</v>
      </c>
      <c r="BB139" s="17">
        <v>78</v>
      </c>
      <c r="BC139" s="24">
        <v>83</v>
      </c>
      <c r="BD139" s="17">
        <v>85</v>
      </c>
      <c r="BE139" s="17">
        <v>90</v>
      </c>
      <c r="BF139" s="17">
        <v>91</v>
      </c>
      <c r="BG139" s="17">
        <v>95</v>
      </c>
      <c r="BH139" s="17">
        <v>98</v>
      </c>
      <c r="BI139" s="17">
        <v>99</v>
      </c>
      <c r="BJ139" s="17">
        <v>102</v>
      </c>
      <c r="BK139" s="17">
        <v>103</v>
      </c>
      <c r="BL139" s="17">
        <v>108</v>
      </c>
      <c r="BM139" s="17">
        <v>109</v>
      </c>
      <c r="BN139" s="17">
        <v>115</v>
      </c>
      <c r="BO139" s="132"/>
      <c r="BP139" s="132"/>
      <c r="BQ139" s="132"/>
      <c r="BR139" s="132"/>
      <c r="BS139" s="132"/>
      <c r="BT139" s="132"/>
      <c r="BU139" s="132"/>
      <c r="BV139" s="132"/>
      <c r="BW139" s="132"/>
      <c r="BX139" s="132"/>
      <c r="BY139" s="132"/>
    </row>
    <row r="140" spans="1:77" x14ac:dyDescent="0.25">
      <c r="A140" s="4" t="s">
        <v>269</v>
      </c>
      <c r="B140" s="6" t="s">
        <v>270</v>
      </c>
      <c r="H140" s="17">
        <v>121</v>
      </c>
      <c r="I140" s="17">
        <v>125</v>
      </c>
      <c r="J140" s="17">
        <v>136</v>
      </c>
      <c r="K140" s="17">
        <v>140</v>
      </c>
      <c r="L140" s="17">
        <v>141</v>
      </c>
      <c r="M140" s="17">
        <v>144</v>
      </c>
      <c r="N140" s="24">
        <v>157</v>
      </c>
      <c r="O140" s="17">
        <v>159</v>
      </c>
      <c r="P140" s="17">
        <v>167</v>
      </c>
      <c r="Q140" s="17">
        <v>178</v>
      </c>
      <c r="R140" s="17">
        <v>180</v>
      </c>
      <c r="S140" s="24">
        <v>183</v>
      </c>
      <c r="T140" s="17">
        <v>184</v>
      </c>
      <c r="U140" s="17">
        <v>184</v>
      </c>
      <c r="V140" s="17">
        <v>184</v>
      </c>
      <c r="W140" s="17">
        <v>189</v>
      </c>
      <c r="X140" s="17">
        <v>189</v>
      </c>
      <c r="Y140" s="17">
        <v>189</v>
      </c>
      <c r="Z140" s="17">
        <v>192</v>
      </c>
      <c r="AA140" s="17">
        <v>192</v>
      </c>
      <c r="AB140" s="17">
        <v>194</v>
      </c>
      <c r="AC140" s="17">
        <v>194</v>
      </c>
      <c r="AD140" s="17">
        <v>196</v>
      </c>
      <c r="AE140" s="17"/>
      <c r="AF140" s="17"/>
      <c r="AG140" s="17"/>
      <c r="AH140" s="17"/>
      <c r="AI140" s="17"/>
      <c r="AJ140" s="17"/>
      <c r="AK140" s="17"/>
      <c r="AR140" s="17">
        <v>77</v>
      </c>
      <c r="AS140" s="17">
        <v>84</v>
      </c>
      <c r="AT140" s="17">
        <v>93</v>
      </c>
      <c r="AU140" s="17">
        <v>102</v>
      </c>
      <c r="AV140" s="17">
        <v>116</v>
      </c>
      <c r="AW140" s="17">
        <v>120</v>
      </c>
      <c r="AX140" s="24">
        <v>128</v>
      </c>
      <c r="AY140" s="17">
        <v>133</v>
      </c>
      <c r="AZ140" s="17">
        <v>133</v>
      </c>
      <c r="BA140" s="17">
        <v>134</v>
      </c>
      <c r="BB140" s="17">
        <v>140</v>
      </c>
      <c r="BC140" s="24">
        <v>147</v>
      </c>
      <c r="BD140" s="17">
        <v>149</v>
      </c>
      <c r="BE140" s="17">
        <v>152</v>
      </c>
      <c r="BF140" s="17">
        <v>156</v>
      </c>
      <c r="BG140" s="17">
        <v>156</v>
      </c>
      <c r="BH140" s="17">
        <v>158</v>
      </c>
      <c r="BI140" s="17">
        <v>158</v>
      </c>
      <c r="BJ140" s="17">
        <v>160</v>
      </c>
      <c r="BK140" s="17">
        <v>161</v>
      </c>
      <c r="BL140" s="17">
        <v>163</v>
      </c>
      <c r="BM140" s="17">
        <v>161</v>
      </c>
      <c r="BN140" s="17">
        <v>163</v>
      </c>
      <c r="BO140" s="132"/>
      <c r="BP140" s="132"/>
      <c r="BQ140" s="132"/>
      <c r="BR140" s="132"/>
      <c r="BS140" s="132"/>
      <c r="BT140" s="132"/>
      <c r="BU140" s="132"/>
      <c r="BV140" s="132"/>
      <c r="BW140" s="132"/>
      <c r="BX140" s="132"/>
      <c r="BY140" s="132"/>
    </row>
    <row r="141" spans="1:77" x14ac:dyDescent="0.25">
      <c r="A141" s="4" t="s">
        <v>271</v>
      </c>
      <c r="B141" s="6" t="s">
        <v>272</v>
      </c>
      <c r="H141" s="17">
        <v>221</v>
      </c>
      <c r="I141" s="17">
        <v>238</v>
      </c>
      <c r="J141" s="17">
        <v>244</v>
      </c>
      <c r="K141" s="17">
        <v>251</v>
      </c>
      <c r="L141" s="17">
        <v>256</v>
      </c>
      <c r="M141" s="17">
        <v>262</v>
      </c>
      <c r="N141" s="24">
        <v>274</v>
      </c>
      <c r="O141" s="17">
        <v>286</v>
      </c>
      <c r="P141" s="17">
        <v>300</v>
      </c>
      <c r="Q141" s="17">
        <v>311</v>
      </c>
      <c r="R141" s="17">
        <v>320</v>
      </c>
      <c r="S141" s="24">
        <v>328</v>
      </c>
      <c r="T141" s="17">
        <v>336</v>
      </c>
      <c r="U141" s="17">
        <v>348</v>
      </c>
      <c r="V141" s="17">
        <v>358</v>
      </c>
      <c r="W141" s="17">
        <v>377</v>
      </c>
      <c r="X141" s="17">
        <v>381</v>
      </c>
      <c r="Y141" s="17">
        <v>386</v>
      </c>
      <c r="Z141" s="17">
        <v>402</v>
      </c>
      <c r="AA141" s="17">
        <v>407</v>
      </c>
      <c r="AB141" s="17">
        <v>407</v>
      </c>
      <c r="AC141" s="17">
        <v>408</v>
      </c>
      <c r="AD141" s="17">
        <v>433</v>
      </c>
      <c r="AE141" s="17"/>
      <c r="AF141" s="17"/>
      <c r="AG141" s="17"/>
      <c r="AH141" s="17"/>
      <c r="AI141" s="17"/>
      <c r="AJ141" s="17"/>
      <c r="AK141" s="17"/>
      <c r="AR141" s="17">
        <v>105</v>
      </c>
      <c r="AS141" s="17">
        <v>117</v>
      </c>
      <c r="AT141" s="17">
        <v>135</v>
      </c>
      <c r="AU141" s="17">
        <v>146</v>
      </c>
      <c r="AV141" s="17">
        <v>165</v>
      </c>
      <c r="AW141" s="17">
        <v>171</v>
      </c>
      <c r="AX141" s="24">
        <v>184</v>
      </c>
      <c r="AY141" s="17">
        <v>191</v>
      </c>
      <c r="AZ141" s="17">
        <v>196</v>
      </c>
      <c r="BA141" s="17">
        <v>210</v>
      </c>
      <c r="BB141" s="17">
        <v>219</v>
      </c>
      <c r="BC141" s="24">
        <v>226</v>
      </c>
      <c r="BD141" s="17">
        <v>232</v>
      </c>
      <c r="BE141" s="17">
        <v>238</v>
      </c>
      <c r="BF141" s="17">
        <v>245</v>
      </c>
      <c r="BG141" s="17">
        <v>248</v>
      </c>
      <c r="BH141" s="17">
        <v>262</v>
      </c>
      <c r="BI141" s="17">
        <v>265</v>
      </c>
      <c r="BJ141" s="17">
        <v>275</v>
      </c>
      <c r="BK141" s="17">
        <v>281</v>
      </c>
      <c r="BL141" s="17">
        <v>293</v>
      </c>
      <c r="BM141" s="17">
        <v>292</v>
      </c>
      <c r="BN141" s="17">
        <v>300</v>
      </c>
      <c r="BO141" s="132"/>
      <c r="BP141" s="132"/>
      <c r="BQ141" s="132"/>
      <c r="BR141" s="132"/>
      <c r="BS141" s="132"/>
      <c r="BT141" s="132"/>
      <c r="BU141" s="132"/>
      <c r="BV141" s="132"/>
      <c r="BW141" s="132"/>
      <c r="BX141" s="132"/>
      <c r="BY141" s="132"/>
    </row>
    <row r="142" spans="1:77" x14ac:dyDescent="0.25">
      <c r="A142" s="4" t="s">
        <v>273</v>
      </c>
      <c r="B142" s="6" t="s">
        <v>274</v>
      </c>
      <c r="H142" s="17">
        <v>210</v>
      </c>
      <c r="I142" s="17">
        <v>222</v>
      </c>
      <c r="J142" s="17">
        <v>239</v>
      </c>
      <c r="K142" s="17">
        <v>251</v>
      </c>
      <c r="L142" s="17">
        <v>253</v>
      </c>
      <c r="M142" s="17">
        <v>257</v>
      </c>
      <c r="N142" s="24">
        <v>268</v>
      </c>
      <c r="O142" s="17">
        <v>273</v>
      </c>
      <c r="P142" s="17">
        <v>282</v>
      </c>
      <c r="Q142" s="17">
        <v>289</v>
      </c>
      <c r="R142" s="17">
        <v>290</v>
      </c>
      <c r="S142" s="24">
        <v>298</v>
      </c>
      <c r="T142" s="17">
        <v>308</v>
      </c>
      <c r="U142" s="17">
        <v>314</v>
      </c>
      <c r="V142" s="17">
        <v>325</v>
      </c>
      <c r="W142" s="17">
        <v>325</v>
      </c>
      <c r="X142" s="17">
        <v>329</v>
      </c>
      <c r="Y142" s="17">
        <v>345</v>
      </c>
      <c r="Z142" s="17">
        <v>348</v>
      </c>
      <c r="AA142" s="17">
        <v>349</v>
      </c>
      <c r="AB142" s="17">
        <v>350</v>
      </c>
      <c r="AC142" s="17">
        <v>349</v>
      </c>
      <c r="AD142" s="17">
        <v>358</v>
      </c>
      <c r="AE142" s="17"/>
      <c r="AF142" s="17"/>
      <c r="AG142" s="17"/>
      <c r="AH142" s="17"/>
      <c r="AI142" s="17"/>
      <c r="AJ142" s="17"/>
      <c r="AK142" s="17"/>
      <c r="AR142" s="17">
        <v>96</v>
      </c>
      <c r="AS142" s="17">
        <v>126</v>
      </c>
      <c r="AT142" s="17">
        <v>139</v>
      </c>
      <c r="AU142" s="17">
        <v>148</v>
      </c>
      <c r="AV142" s="17">
        <v>161</v>
      </c>
      <c r="AW142" s="17">
        <v>168</v>
      </c>
      <c r="AX142" s="24">
        <v>189</v>
      </c>
      <c r="AY142" s="17">
        <v>193</v>
      </c>
      <c r="AZ142" s="17">
        <v>200</v>
      </c>
      <c r="BA142" s="17">
        <v>212</v>
      </c>
      <c r="BB142" s="17">
        <v>212</v>
      </c>
      <c r="BC142" s="24">
        <v>217</v>
      </c>
      <c r="BD142" s="17">
        <v>220</v>
      </c>
      <c r="BE142" s="17">
        <v>236</v>
      </c>
      <c r="BF142" s="17">
        <v>242</v>
      </c>
      <c r="BG142" s="17">
        <v>242</v>
      </c>
      <c r="BH142" s="17">
        <v>246</v>
      </c>
      <c r="BI142" s="17">
        <v>252</v>
      </c>
      <c r="BJ142" s="17">
        <v>252</v>
      </c>
      <c r="BK142" s="17">
        <v>261</v>
      </c>
      <c r="BL142" s="17">
        <v>265</v>
      </c>
      <c r="BM142" s="17">
        <v>270</v>
      </c>
      <c r="BN142" s="17">
        <v>273</v>
      </c>
      <c r="BO142" s="132"/>
      <c r="BP142" s="132"/>
      <c r="BQ142" s="132"/>
      <c r="BR142" s="132"/>
      <c r="BS142" s="132"/>
      <c r="BT142" s="132"/>
      <c r="BU142" s="132"/>
      <c r="BV142" s="132"/>
      <c r="BW142" s="132"/>
      <c r="BX142" s="132"/>
      <c r="BY142" s="132"/>
    </row>
    <row r="143" spans="1:77" x14ac:dyDescent="0.25">
      <c r="A143" s="4" t="s">
        <v>275</v>
      </c>
      <c r="B143" s="6" t="s">
        <v>276</v>
      </c>
      <c r="H143" s="17">
        <v>125</v>
      </c>
      <c r="I143" s="17">
        <v>133</v>
      </c>
      <c r="J143" s="17">
        <v>145</v>
      </c>
      <c r="K143" s="17">
        <v>155</v>
      </c>
      <c r="L143" s="17">
        <v>161</v>
      </c>
      <c r="M143" s="17">
        <v>165</v>
      </c>
      <c r="N143" s="24">
        <v>174</v>
      </c>
      <c r="O143" s="17">
        <v>185</v>
      </c>
      <c r="P143" s="17">
        <v>186</v>
      </c>
      <c r="Q143" s="17">
        <v>191</v>
      </c>
      <c r="R143" s="17">
        <v>200</v>
      </c>
      <c r="S143" s="24">
        <v>203</v>
      </c>
      <c r="T143" s="17">
        <v>206</v>
      </c>
      <c r="U143" s="17">
        <v>211</v>
      </c>
      <c r="V143" s="17">
        <v>215</v>
      </c>
      <c r="W143" s="17">
        <v>216</v>
      </c>
      <c r="X143" s="17">
        <v>218</v>
      </c>
      <c r="Y143" s="17">
        <v>220</v>
      </c>
      <c r="Z143" s="17">
        <v>220</v>
      </c>
      <c r="AA143" s="17">
        <v>220</v>
      </c>
      <c r="AB143" s="17">
        <v>220</v>
      </c>
      <c r="AC143" s="17">
        <v>220</v>
      </c>
      <c r="AD143" s="17">
        <v>222</v>
      </c>
      <c r="AE143" s="17"/>
      <c r="AF143" s="17"/>
      <c r="AG143" s="17"/>
      <c r="AH143" s="17"/>
      <c r="AI143" s="17"/>
      <c r="AJ143" s="17"/>
      <c r="AK143" s="17"/>
      <c r="AR143" s="17">
        <v>59</v>
      </c>
      <c r="AS143" s="17">
        <v>62</v>
      </c>
      <c r="AT143" s="17">
        <v>67</v>
      </c>
      <c r="AU143" s="17">
        <v>73</v>
      </c>
      <c r="AV143" s="17">
        <v>81</v>
      </c>
      <c r="AW143" s="17">
        <v>93</v>
      </c>
      <c r="AX143" s="24">
        <v>113</v>
      </c>
      <c r="AY143" s="17">
        <v>115</v>
      </c>
      <c r="AZ143" s="17">
        <v>118</v>
      </c>
      <c r="BA143" s="17">
        <v>125</v>
      </c>
      <c r="BB143" s="17">
        <v>136</v>
      </c>
      <c r="BC143" s="24">
        <v>141</v>
      </c>
      <c r="BD143" s="17">
        <v>144</v>
      </c>
      <c r="BE143" s="17">
        <v>150</v>
      </c>
      <c r="BF143" s="17">
        <v>160</v>
      </c>
      <c r="BG143" s="17">
        <v>162</v>
      </c>
      <c r="BH143" s="17">
        <v>164</v>
      </c>
      <c r="BI143" s="17">
        <v>168</v>
      </c>
      <c r="BJ143" s="17">
        <v>169</v>
      </c>
      <c r="BK143" s="17">
        <v>170</v>
      </c>
      <c r="BL143" s="17">
        <v>173</v>
      </c>
      <c r="BM143" s="17">
        <v>179</v>
      </c>
      <c r="BN143" s="17">
        <v>179</v>
      </c>
      <c r="BO143" s="132"/>
      <c r="BP143" s="132"/>
      <c r="BQ143" s="132"/>
      <c r="BR143" s="132"/>
      <c r="BS143" s="132"/>
      <c r="BT143" s="132"/>
      <c r="BU143" s="132"/>
      <c r="BV143" s="132"/>
      <c r="BW143" s="132"/>
      <c r="BX143" s="132"/>
      <c r="BY143" s="132"/>
    </row>
    <row r="144" spans="1:77" x14ac:dyDescent="0.25">
      <c r="A144" s="4" t="s">
        <v>277</v>
      </c>
      <c r="B144" s="6" t="s">
        <v>278</v>
      </c>
      <c r="H144" s="17">
        <v>37</v>
      </c>
      <c r="I144" s="17">
        <v>41</v>
      </c>
      <c r="J144" s="17">
        <v>44</v>
      </c>
      <c r="K144" s="17">
        <v>46</v>
      </c>
      <c r="L144" s="17">
        <v>46</v>
      </c>
      <c r="M144" s="17">
        <v>47</v>
      </c>
      <c r="N144" s="24">
        <v>48</v>
      </c>
      <c r="O144" s="17">
        <v>50</v>
      </c>
      <c r="P144" s="17">
        <v>55</v>
      </c>
      <c r="Q144" s="17">
        <v>61</v>
      </c>
      <c r="R144" s="17">
        <v>62</v>
      </c>
      <c r="S144" s="24">
        <v>62</v>
      </c>
      <c r="T144" s="17">
        <v>62</v>
      </c>
      <c r="U144" s="17">
        <v>64</v>
      </c>
      <c r="V144" s="17">
        <v>64</v>
      </c>
      <c r="W144" s="17">
        <v>67</v>
      </c>
      <c r="X144" s="17">
        <v>69</v>
      </c>
      <c r="Y144" s="17">
        <v>69</v>
      </c>
      <c r="Z144" s="17">
        <v>69</v>
      </c>
      <c r="AA144" s="17">
        <v>69</v>
      </c>
      <c r="AB144" s="17">
        <v>71</v>
      </c>
      <c r="AC144" s="17">
        <v>71</v>
      </c>
      <c r="AD144" s="17">
        <v>74</v>
      </c>
      <c r="AE144" s="17"/>
      <c r="AF144" s="17"/>
      <c r="AG144" s="17"/>
      <c r="AH144" s="17"/>
      <c r="AI144" s="17"/>
      <c r="AJ144" s="17"/>
      <c r="AK144" s="17"/>
      <c r="AR144" s="17">
        <v>13</v>
      </c>
      <c r="AS144" s="17">
        <v>25</v>
      </c>
      <c r="AT144" s="17">
        <v>25</v>
      </c>
      <c r="AU144" s="17">
        <v>31</v>
      </c>
      <c r="AV144" s="17">
        <v>34</v>
      </c>
      <c r="AW144" s="17">
        <v>34</v>
      </c>
      <c r="AX144" s="17">
        <v>40</v>
      </c>
      <c r="AY144" s="17">
        <v>40</v>
      </c>
      <c r="AZ144" s="17">
        <v>40</v>
      </c>
      <c r="BA144" s="17">
        <v>41</v>
      </c>
      <c r="BB144" s="17">
        <v>45</v>
      </c>
      <c r="BC144" s="24">
        <v>47</v>
      </c>
      <c r="BD144" s="17">
        <v>49</v>
      </c>
      <c r="BE144" s="17">
        <v>50</v>
      </c>
      <c r="BF144" s="17">
        <v>50</v>
      </c>
      <c r="BG144" s="17">
        <v>50</v>
      </c>
      <c r="BH144" s="17">
        <v>50</v>
      </c>
      <c r="BI144" s="17">
        <v>52</v>
      </c>
      <c r="BJ144" s="17">
        <v>53</v>
      </c>
      <c r="BK144" s="17">
        <v>53</v>
      </c>
      <c r="BL144" s="17">
        <v>55</v>
      </c>
      <c r="BM144" s="17">
        <v>58</v>
      </c>
      <c r="BN144" s="17">
        <v>60</v>
      </c>
      <c r="BO144" s="132"/>
      <c r="BP144" s="132"/>
      <c r="BQ144" s="132"/>
      <c r="BR144" s="132"/>
      <c r="BS144" s="132"/>
      <c r="BT144" s="132"/>
      <c r="BU144" s="132"/>
      <c r="BV144" s="132"/>
      <c r="BW144" s="132"/>
      <c r="BX144" s="132"/>
      <c r="BY144" s="132"/>
    </row>
    <row r="145" spans="1:77" x14ac:dyDescent="0.25">
      <c r="A145" s="4" t="s">
        <v>279</v>
      </c>
      <c r="B145" s="6" t="s">
        <v>280</v>
      </c>
      <c r="H145" s="17">
        <v>204</v>
      </c>
      <c r="I145" s="17">
        <v>221</v>
      </c>
      <c r="J145" s="17">
        <v>234</v>
      </c>
      <c r="K145" s="17">
        <v>250</v>
      </c>
      <c r="L145" s="17">
        <v>250</v>
      </c>
      <c r="M145" s="17">
        <v>253</v>
      </c>
      <c r="N145" s="24">
        <v>265</v>
      </c>
      <c r="O145" s="17">
        <v>277</v>
      </c>
      <c r="P145" s="17">
        <v>296</v>
      </c>
      <c r="Q145" s="17">
        <v>304</v>
      </c>
      <c r="R145" s="17">
        <v>307</v>
      </c>
      <c r="S145" s="24">
        <v>318</v>
      </c>
      <c r="T145" s="17">
        <v>326</v>
      </c>
      <c r="U145" s="17">
        <v>344</v>
      </c>
      <c r="V145" s="17">
        <v>351</v>
      </c>
      <c r="W145" s="17">
        <v>363</v>
      </c>
      <c r="X145" s="17">
        <v>370</v>
      </c>
      <c r="Y145" s="17">
        <v>376</v>
      </c>
      <c r="Z145" s="17">
        <v>385</v>
      </c>
      <c r="AA145" s="17">
        <v>390</v>
      </c>
      <c r="AB145" s="17">
        <v>396</v>
      </c>
      <c r="AC145" s="17">
        <v>400</v>
      </c>
      <c r="AD145" s="17">
        <v>418</v>
      </c>
      <c r="AE145" s="17"/>
      <c r="AF145" s="17"/>
      <c r="AG145" s="17"/>
      <c r="AH145" s="17"/>
      <c r="AI145" s="17"/>
      <c r="AJ145" s="17"/>
      <c r="AK145" s="17"/>
      <c r="AR145" s="17">
        <v>122</v>
      </c>
      <c r="AS145" s="17">
        <v>130</v>
      </c>
      <c r="AT145" s="17">
        <v>138</v>
      </c>
      <c r="AU145" s="17">
        <v>156</v>
      </c>
      <c r="AV145" s="17">
        <v>163</v>
      </c>
      <c r="AW145" s="17">
        <v>169</v>
      </c>
      <c r="AX145" s="24">
        <v>183</v>
      </c>
      <c r="AY145" s="17">
        <v>191</v>
      </c>
      <c r="AZ145" s="17">
        <v>196</v>
      </c>
      <c r="BA145" s="17">
        <v>200</v>
      </c>
      <c r="BB145" s="17">
        <v>208</v>
      </c>
      <c r="BC145" s="24">
        <v>217</v>
      </c>
      <c r="BD145" s="17">
        <v>224</v>
      </c>
      <c r="BE145" s="17">
        <v>242</v>
      </c>
      <c r="BF145" s="17">
        <v>246</v>
      </c>
      <c r="BG145" s="17">
        <v>248</v>
      </c>
      <c r="BH145" s="17">
        <v>250</v>
      </c>
      <c r="BI145" s="17">
        <v>255</v>
      </c>
      <c r="BJ145" s="17">
        <v>263</v>
      </c>
      <c r="BK145" s="17">
        <v>278</v>
      </c>
      <c r="BL145" s="17">
        <v>295</v>
      </c>
      <c r="BM145" s="17">
        <v>297</v>
      </c>
      <c r="BN145" s="17">
        <v>303</v>
      </c>
      <c r="BO145" s="132"/>
      <c r="BP145" s="132"/>
      <c r="BQ145" s="132"/>
      <c r="BR145" s="132"/>
      <c r="BS145" s="132"/>
      <c r="BT145" s="132"/>
      <c r="BU145" s="132"/>
      <c r="BV145" s="132"/>
      <c r="BW145" s="132"/>
      <c r="BX145" s="132"/>
      <c r="BY145" s="132"/>
    </row>
    <row r="146" spans="1:77" x14ac:dyDescent="0.25">
      <c r="A146" s="4" t="s">
        <v>281</v>
      </c>
      <c r="B146" s="6" t="s">
        <v>282</v>
      </c>
      <c r="H146" s="17">
        <v>509</v>
      </c>
      <c r="I146" s="17">
        <v>531</v>
      </c>
      <c r="J146" s="17">
        <v>578</v>
      </c>
      <c r="K146" s="17">
        <v>602</v>
      </c>
      <c r="L146" s="17">
        <v>610</v>
      </c>
      <c r="M146" s="17">
        <v>623</v>
      </c>
      <c r="N146" s="24">
        <v>685</v>
      </c>
      <c r="O146" s="17">
        <v>716</v>
      </c>
      <c r="P146" s="17">
        <v>741</v>
      </c>
      <c r="Q146" s="17">
        <v>755</v>
      </c>
      <c r="R146" s="17">
        <v>765</v>
      </c>
      <c r="S146" s="24">
        <v>783</v>
      </c>
      <c r="T146" s="17">
        <v>807</v>
      </c>
      <c r="U146" s="17">
        <v>816</v>
      </c>
      <c r="V146" s="17">
        <v>835</v>
      </c>
      <c r="W146" s="17">
        <v>848</v>
      </c>
      <c r="X146" s="17">
        <v>862</v>
      </c>
      <c r="Y146" s="17">
        <v>876</v>
      </c>
      <c r="Z146" s="17">
        <v>895</v>
      </c>
      <c r="AA146" s="17">
        <v>901</v>
      </c>
      <c r="AB146" s="17">
        <v>909</v>
      </c>
      <c r="AC146" s="17">
        <v>913</v>
      </c>
      <c r="AD146" s="17">
        <v>937</v>
      </c>
      <c r="AE146" s="17"/>
      <c r="AF146" s="17"/>
      <c r="AG146" s="17"/>
      <c r="AH146" s="17"/>
      <c r="AI146" s="17"/>
      <c r="AJ146" s="17"/>
      <c r="AK146" s="17"/>
      <c r="AR146" s="17">
        <v>232</v>
      </c>
      <c r="AS146" s="17">
        <v>270</v>
      </c>
      <c r="AT146" s="17">
        <v>312</v>
      </c>
      <c r="AU146" s="17">
        <v>359</v>
      </c>
      <c r="AV146" s="17">
        <v>387</v>
      </c>
      <c r="AW146" s="17">
        <v>420</v>
      </c>
      <c r="AX146" s="24">
        <v>467</v>
      </c>
      <c r="AY146" s="17">
        <v>483</v>
      </c>
      <c r="AZ146" s="17">
        <v>508</v>
      </c>
      <c r="BA146" s="17">
        <v>534</v>
      </c>
      <c r="BB146" s="17">
        <v>554</v>
      </c>
      <c r="BC146" s="24">
        <v>572</v>
      </c>
      <c r="BD146" s="17">
        <v>590</v>
      </c>
      <c r="BE146" s="17">
        <v>600</v>
      </c>
      <c r="BF146" s="17">
        <v>615</v>
      </c>
      <c r="BG146" s="17">
        <v>626</v>
      </c>
      <c r="BH146" s="17">
        <v>642</v>
      </c>
      <c r="BI146" s="17">
        <v>662</v>
      </c>
      <c r="BJ146" s="17">
        <v>680</v>
      </c>
      <c r="BK146" s="17">
        <v>694</v>
      </c>
      <c r="BL146" s="17">
        <v>707</v>
      </c>
      <c r="BM146" s="17">
        <v>711</v>
      </c>
      <c r="BN146" s="17">
        <v>724</v>
      </c>
      <c r="BO146" s="132"/>
      <c r="BP146" s="132"/>
      <c r="BQ146" s="132"/>
      <c r="BR146" s="132"/>
      <c r="BS146" s="132"/>
      <c r="BT146" s="132"/>
      <c r="BU146" s="132"/>
      <c r="BV146" s="132"/>
      <c r="BW146" s="132"/>
      <c r="BX146" s="132"/>
      <c r="BY146" s="132"/>
    </row>
    <row r="147" spans="1:77" x14ac:dyDescent="0.25">
      <c r="A147" s="4" t="s">
        <v>283</v>
      </c>
      <c r="B147" s="6" t="s">
        <v>284</v>
      </c>
      <c r="H147" s="17">
        <v>150</v>
      </c>
      <c r="I147" s="17">
        <v>160</v>
      </c>
      <c r="J147" s="17">
        <v>175</v>
      </c>
      <c r="K147" s="17">
        <v>195</v>
      </c>
      <c r="L147" s="17">
        <v>197</v>
      </c>
      <c r="M147" s="17">
        <v>204</v>
      </c>
      <c r="N147" s="24">
        <v>215</v>
      </c>
      <c r="O147" s="17">
        <v>219</v>
      </c>
      <c r="P147" s="17">
        <v>225</v>
      </c>
      <c r="Q147" s="17">
        <v>227</v>
      </c>
      <c r="R147" s="17">
        <v>230</v>
      </c>
      <c r="S147" s="24">
        <v>234</v>
      </c>
      <c r="T147" s="17">
        <v>238</v>
      </c>
      <c r="U147" s="17">
        <v>238</v>
      </c>
      <c r="V147" s="17">
        <v>241</v>
      </c>
      <c r="W147" s="17">
        <v>242</v>
      </c>
      <c r="X147" s="17">
        <v>243</v>
      </c>
      <c r="Y147" s="17">
        <v>251</v>
      </c>
      <c r="Z147" s="17">
        <v>260</v>
      </c>
      <c r="AA147" s="17">
        <v>260</v>
      </c>
      <c r="AB147" s="17">
        <v>260</v>
      </c>
      <c r="AC147" s="17">
        <v>258</v>
      </c>
      <c r="AD147" s="17">
        <v>262</v>
      </c>
      <c r="AE147" s="17"/>
      <c r="AF147" s="17"/>
      <c r="AG147" s="17"/>
      <c r="AH147" s="17"/>
      <c r="AI147" s="17"/>
      <c r="AJ147" s="17"/>
      <c r="AK147" s="17"/>
      <c r="AR147" s="17">
        <v>50</v>
      </c>
      <c r="AS147" s="17">
        <v>64</v>
      </c>
      <c r="AT147" s="17">
        <v>86</v>
      </c>
      <c r="AU147" s="17">
        <v>106</v>
      </c>
      <c r="AV147" s="17">
        <v>122</v>
      </c>
      <c r="AW147" s="17">
        <v>131</v>
      </c>
      <c r="AX147" s="24">
        <v>142</v>
      </c>
      <c r="AY147" s="17">
        <v>152</v>
      </c>
      <c r="AZ147" s="17">
        <v>165</v>
      </c>
      <c r="BA147" s="17">
        <v>173</v>
      </c>
      <c r="BB147" s="17">
        <v>178</v>
      </c>
      <c r="BC147" s="24">
        <v>189</v>
      </c>
      <c r="BD147" s="17">
        <v>193</v>
      </c>
      <c r="BE147" s="17">
        <v>196</v>
      </c>
      <c r="BF147" s="17">
        <v>198</v>
      </c>
      <c r="BG147" s="17">
        <v>201</v>
      </c>
      <c r="BH147" s="17">
        <v>202</v>
      </c>
      <c r="BI147" s="17">
        <v>204</v>
      </c>
      <c r="BJ147" s="17">
        <v>212</v>
      </c>
      <c r="BK147" s="17">
        <v>215</v>
      </c>
      <c r="BL147" s="17">
        <v>223</v>
      </c>
      <c r="BM147" s="17">
        <v>223</v>
      </c>
      <c r="BN147" s="17">
        <v>224</v>
      </c>
      <c r="BO147" s="132"/>
      <c r="BP147" s="132"/>
      <c r="BQ147" s="132"/>
      <c r="BR147" s="132"/>
      <c r="BS147" s="132"/>
      <c r="BT147" s="132"/>
      <c r="BU147" s="132"/>
      <c r="BV147" s="132"/>
      <c r="BW147" s="132"/>
      <c r="BX147" s="132"/>
      <c r="BY147" s="132"/>
    </row>
    <row r="148" spans="1:77" x14ac:dyDescent="0.25">
      <c r="A148" s="4" t="s">
        <v>285</v>
      </c>
      <c r="B148" s="6" t="s">
        <v>286</v>
      </c>
      <c r="H148" s="17">
        <v>653</v>
      </c>
      <c r="I148" s="17">
        <v>701</v>
      </c>
      <c r="J148" s="17">
        <v>750</v>
      </c>
      <c r="K148" s="17">
        <v>812</v>
      </c>
      <c r="L148" s="17">
        <v>833</v>
      </c>
      <c r="M148" s="17">
        <v>847</v>
      </c>
      <c r="N148" s="24">
        <v>883</v>
      </c>
      <c r="O148" s="17">
        <v>918</v>
      </c>
      <c r="P148" s="17">
        <v>938</v>
      </c>
      <c r="Q148" s="17">
        <v>967</v>
      </c>
      <c r="R148" s="17">
        <v>975</v>
      </c>
      <c r="S148" s="24">
        <v>993</v>
      </c>
      <c r="T148" s="17">
        <v>1009</v>
      </c>
      <c r="U148" s="17">
        <v>1035</v>
      </c>
      <c r="V148" s="17">
        <v>1056</v>
      </c>
      <c r="W148" s="17">
        <v>1075</v>
      </c>
      <c r="X148" s="17">
        <v>1085</v>
      </c>
      <c r="Y148" s="17">
        <v>1101</v>
      </c>
      <c r="Z148" s="17">
        <v>1117</v>
      </c>
      <c r="AA148" s="17">
        <v>1123</v>
      </c>
      <c r="AB148" s="17">
        <v>1129</v>
      </c>
      <c r="AC148" s="17">
        <v>1127</v>
      </c>
      <c r="AD148" s="17">
        <v>1141</v>
      </c>
      <c r="AE148" s="17"/>
      <c r="AF148" s="17"/>
      <c r="AG148" s="17"/>
      <c r="AH148" s="17"/>
      <c r="AI148" s="17"/>
      <c r="AJ148" s="17"/>
      <c r="AK148" s="17"/>
      <c r="AR148" s="17">
        <v>339</v>
      </c>
      <c r="AS148" s="17">
        <v>377</v>
      </c>
      <c r="AT148" s="17">
        <v>413</v>
      </c>
      <c r="AU148" s="17">
        <v>472</v>
      </c>
      <c r="AV148" s="17">
        <v>519</v>
      </c>
      <c r="AW148" s="17">
        <v>562</v>
      </c>
      <c r="AX148" s="24">
        <v>611</v>
      </c>
      <c r="AY148" s="17">
        <v>631</v>
      </c>
      <c r="AZ148" s="17">
        <v>657</v>
      </c>
      <c r="BA148" s="17">
        <v>680</v>
      </c>
      <c r="BB148" s="17">
        <v>708</v>
      </c>
      <c r="BC148" s="24">
        <v>736</v>
      </c>
      <c r="BD148" s="17">
        <v>766</v>
      </c>
      <c r="BE148" s="17">
        <v>782</v>
      </c>
      <c r="BF148" s="17">
        <v>803</v>
      </c>
      <c r="BG148" s="17">
        <v>826</v>
      </c>
      <c r="BH148" s="17">
        <v>832</v>
      </c>
      <c r="BI148" s="17">
        <v>849</v>
      </c>
      <c r="BJ148" s="17">
        <v>852</v>
      </c>
      <c r="BK148" s="17">
        <v>870</v>
      </c>
      <c r="BL148" s="17">
        <v>894</v>
      </c>
      <c r="BM148" s="17">
        <v>898</v>
      </c>
      <c r="BN148" s="17">
        <v>909</v>
      </c>
      <c r="BO148" s="132"/>
      <c r="BP148" s="132"/>
      <c r="BQ148" s="132"/>
      <c r="BR148" s="132"/>
      <c r="BS148" s="132"/>
      <c r="BT148" s="132"/>
      <c r="BU148" s="132"/>
      <c r="BV148" s="132"/>
      <c r="BW148" s="132"/>
      <c r="BX148" s="132"/>
      <c r="BY148" s="132"/>
    </row>
    <row r="149" spans="1:77" x14ac:dyDescent="0.25">
      <c r="A149" s="4" t="s">
        <v>287</v>
      </c>
      <c r="B149" s="6" t="s">
        <v>288</v>
      </c>
      <c r="H149" s="17">
        <v>260</v>
      </c>
      <c r="I149" s="17">
        <v>287</v>
      </c>
      <c r="J149" s="17">
        <v>317</v>
      </c>
      <c r="K149" s="17">
        <v>336</v>
      </c>
      <c r="L149" s="17">
        <v>349</v>
      </c>
      <c r="M149" s="17">
        <v>355</v>
      </c>
      <c r="N149" s="24">
        <v>376</v>
      </c>
      <c r="O149" s="17">
        <v>394</v>
      </c>
      <c r="P149" s="17">
        <v>413</v>
      </c>
      <c r="Q149" s="17">
        <v>422</v>
      </c>
      <c r="R149" s="17">
        <v>429</v>
      </c>
      <c r="S149" s="24">
        <v>449</v>
      </c>
      <c r="T149" s="17">
        <v>459</v>
      </c>
      <c r="U149" s="17">
        <v>472</v>
      </c>
      <c r="V149" s="17">
        <v>481</v>
      </c>
      <c r="W149" s="17">
        <v>481</v>
      </c>
      <c r="X149" s="17">
        <v>485</v>
      </c>
      <c r="Y149" s="17">
        <v>493</v>
      </c>
      <c r="Z149" s="17">
        <v>502</v>
      </c>
      <c r="AA149" s="17">
        <v>508</v>
      </c>
      <c r="AB149" s="17">
        <v>508</v>
      </c>
      <c r="AC149" s="17">
        <v>507</v>
      </c>
      <c r="AD149" s="17">
        <v>516</v>
      </c>
      <c r="AE149" s="17"/>
      <c r="AF149" s="17"/>
      <c r="AG149" s="17"/>
      <c r="AH149" s="17"/>
      <c r="AI149" s="17"/>
      <c r="AJ149" s="17"/>
      <c r="AK149" s="17"/>
      <c r="AR149" s="17">
        <v>133</v>
      </c>
      <c r="AS149" s="17">
        <v>150</v>
      </c>
      <c r="AT149" s="17">
        <v>172</v>
      </c>
      <c r="AU149" s="17">
        <v>190</v>
      </c>
      <c r="AV149" s="17">
        <v>198</v>
      </c>
      <c r="AW149" s="17">
        <v>228</v>
      </c>
      <c r="AX149" s="24">
        <v>274</v>
      </c>
      <c r="AY149" s="17">
        <v>287</v>
      </c>
      <c r="AZ149" s="17">
        <v>299</v>
      </c>
      <c r="BA149" s="17">
        <v>312</v>
      </c>
      <c r="BB149" s="17">
        <v>327</v>
      </c>
      <c r="BC149" s="24">
        <v>336</v>
      </c>
      <c r="BD149" s="17">
        <v>358</v>
      </c>
      <c r="BE149" s="17">
        <v>375</v>
      </c>
      <c r="BF149" s="17">
        <v>378</v>
      </c>
      <c r="BG149" s="17">
        <v>385</v>
      </c>
      <c r="BH149" s="17">
        <v>393</v>
      </c>
      <c r="BI149" s="17">
        <v>401</v>
      </c>
      <c r="BJ149" s="17">
        <v>415</v>
      </c>
      <c r="BK149" s="17">
        <v>424</v>
      </c>
      <c r="BL149" s="17">
        <v>427</v>
      </c>
      <c r="BM149" s="17">
        <v>428</v>
      </c>
      <c r="BN149" s="17">
        <v>431</v>
      </c>
      <c r="BO149" s="132"/>
      <c r="BP149" s="132"/>
      <c r="BQ149" s="132"/>
      <c r="BR149" s="132"/>
      <c r="BS149" s="132"/>
      <c r="BT149" s="132"/>
      <c r="BU149" s="132"/>
      <c r="BV149" s="132"/>
      <c r="BW149" s="132"/>
      <c r="BX149" s="132"/>
      <c r="BY149" s="132"/>
    </row>
    <row r="150" spans="1:77" x14ac:dyDescent="0.25">
      <c r="A150" s="4" t="s">
        <v>289</v>
      </c>
      <c r="B150" s="6" t="s">
        <v>290</v>
      </c>
      <c r="H150" s="17">
        <v>452</v>
      </c>
      <c r="I150" s="17">
        <v>486</v>
      </c>
      <c r="J150" s="17">
        <v>504</v>
      </c>
      <c r="K150" s="17">
        <v>536</v>
      </c>
      <c r="L150" s="17">
        <v>552</v>
      </c>
      <c r="M150" s="17">
        <v>567</v>
      </c>
      <c r="N150" s="24">
        <v>595</v>
      </c>
      <c r="O150" s="17">
        <v>604</v>
      </c>
      <c r="P150" s="17">
        <v>616</v>
      </c>
      <c r="Q150" s="17">
        <v>643</v>
      </c>
      <c r="R150" s="17">
        <v>646</v>
      </c>
      <c r="S150" s="24">
        <v>657</v>
      </c>
      <c r="T150" s="17">
        <v>662</v>
      </c>
      <c r="U150" s="17">
        <v>672</v>
      </c>
      <c r="V150" s="17">
        <v>681</v>
      </c>
      <c r="W150" s="17">
        <v>698</v>
      </c>
      <c r="X150" s="17">
        <v>710</v>
      </c>
      <c r="Y150" s="17">
        <v>722</v>
      </c>
      <c r="Z150" s="17">
        <v>731</v>
      </c>
      <c r="AA150" s="17">
        <v>738</v>
      </c>
      <c r="AB150" s="17">
        <v>744</v>
      </c>
      <c r="AC150" s="17">
        <v>743</v>
      </c>
      <c r="AD150" s="17">
        <v>766</v>
      </c>
      <c r="AE150" s="17"/>
      <c r="AF150" s="17"/>
      <c r="AG150" s="17"/>
      <c r="AH150" s="17"/>
      <c r="AI150" s="17"/>
      <c r="AJ150" s="17"/>
      <c r="AK150" s="17"/>
      <c r="AR150" s="17">
        <v>194</v>
      </c>
      <c r="AS150" s="17">
        <v>292</v>
      </c>
      <c r="AT150" s="17">
        <v>319</v>
      </c>
      <c r="AU150" s="17">
        <v>368</v>
      </c>
      <c r="AV150" s="17">
        <v>396</v>
      </c>
      <c r="AW150" s="17">
        <v>427</v>
      </c>
      <c r="AX150" s="24">
        <v>440</v>
      </c>
      <c r="AY150" s="17">
        <v>452</v>
      </c>
      <c r="AZ150" s="17">
        <v>469</v>
      </c>
      <c r="BA150" s="17">
        <v>481</v>
      </c>
      <c r="BB150" s="17">
        <v>511</v>
      </c>
      <c r="BC150" s="24">
        <v>519</v>
      </c>
      <c r="BD150" s="17">
        <v>531</v>
      </c>
      <c r="BE150" s="17">
        <v>534</v>
      </c>
      <c r="BF150" s="17">
        <v>539</v>
      </c>
      <c r="BG150" s="17">
        <v>549</v>
      </c>
      <c r="BH150" s="17">
        <v>566</v>
      </c>
      <c r="BI150" s="17">
        <v>571</v>
      </c>
      <c r="BJ150" s="17">
        <v>577</v>
      </c>
      <c r="BK150" s="17">
        <v>586</v>
      </c>
      <c r="BL150" s="17">
        <v>608</v>
      </c>
      <c r="BM150" s="17">
        <v>614</v>
      </c>
      <c r="BN150" s="17">
        <v>617</v>
      </c>
      <c r="BO150" s="132"/>
      <c r="BP150" s="132"/>
      <c r="BQ150" s="132"/>
      <c r="BR150" s="132"/>
      <c r="BS150" s="132"/>
      <c r="BT150" s="132"/>
      <c r="BU150" s="132"/>
      <c r="BV150" s="132"/>
      <c r="BW150" s="132"/>
      <c r="BX150" s="132"/>
      <c r="BY150" s="132"/>
    </row>
    <row r="151" spans="1:77" x14ac:dyDescent="0.25">
      <c r="A151" s="4" t="s">
        <v>291</v>
      </c>
      <c r="B151" s="6" t="s">
        <v>292</v>
      </c>
      <c r="H151" s="17">
        <v>1316</v>
      </c>
      <c r="I151" s="17">
        <v>1412</v>
      </c>
      <c r="J151" s="17">
        <v>1488</v>
      </c>
      <c r="K151" s="17">
        <v>1621</v>
      </c>
      <c r="L151" s="17">
        <v>1660</v>
      </c>
      <c r="M151" s="17">
        <v>1695</v>
      </c>
      <c r="N151" s="24">
        <v>1789</v>
      </c>
      <c r="O151" s="17">
        <v>1837</v>
      </c>
      <c r="P151" s="17">
        <v>1900</v>
      </c>
      <c r="Q151" s="17">
        <v>1942</v>
      </c>
      <c r="R151" s="17">
        <v>1954</v>
      </c>
      <c r="S151" s="24">
        <v>1994</v>
      </c>
      <c r="T151" s="17">
        <v>2018</v>
      </c>
      <c r="U151" s="17">
        <v>2042</v>
      </c>
      <c r="V151" s="17">
        <v>2065</v>
      </c>
      <c r="W151" s="17">
        <v>2082</v>
      </c>
      <c r="X151" s="17">
        <v>2093</v>
      </c>
      <c r="Y151" s="17">
        <v>2108</v>
      </c>
      <c r="Z151" s="17">
        <v>2127</v>
      </c>
      <c r="AA151" s="17">
        <v>2136</v>
      </c>
      <c r="AB151" s="17">
        <v>2147</v>
      </c>
      <c r="AC151" s="17">
        <v>2148</v>
      </c>
      <c r="AD151" s="17">
        <v>2173</v>
      </c>
      <c r="AE151" s="17"/>
      <c r="AF151" s="17"/>
      <c r="AG151" s="17"/>
      <c r="AH151" s="17"/>
      <c r="AI151" s="17"/>
      <c r="AJ151" s="17"/>
      <c r="AK151" s="17"/>
      <c r="AR151" s="17">
        <v>657</v>
      </c>
      <c r="AS151" s="17">
        <v>809</v>
      </c>
      <c r="AT151" s="17">
        <v>909</v>
      </c>
      <c r="AU151" s="17">
        <v>1033</v>
      </c>
      <c r="AV151" s="17">
        <v>1101</v>
      </c>
      <c r="AW151" s="17">
        <v>1164</v>
      </c>
      <c r="AX151" s="24">
        <v>1258</v>
      </c>
      <c r="AY151" s="17">
        <v>1334</v>
      </c>
      <c r="AZ151" s="17">
        <v>1400</v>
      </c>
      <c r="BA151" s="17">
        <v>1454</v>
      </c>
      <c r="BB151" s="17">
        <v>1496</v>
      </c>
      <c r="BC151" s="24">
        <v>1556</v>
      </c>
      <c r="BD151" s="17">
        <v>1593</v>
      </c>
      <c r="BE151" s="17">
        <v>1634</v>
      </c>
      <c r="BF151" s="17">
        <v>1663</v>
      </c>
      <c r="BG151" s="17">
        <v>1684</v>
      </c>
      <c r="BH151" s="17">
        <v>1712</v>
      </c>
      <c r="BI151" s="17">
        <v>1733</v>
      </c>
      <c r="BJ151" s="17">
        <v>1749</v>
      </c>
      <c r="BK151" s="17">
        <v>1770</v>
      </c>
      <c r="BL151" s="17">
        <v>1808</v>
      </c>
      <c r="BM151" s="17">
        <v>1803</v>
      </c>
      <c r="BN151" s="17">
        <v>1825</v>
      </c>
      <c r="BO151" s="132"/>
      <c r="BP151" s="132"/>
      <c r="BQ151" s="132"/>
      <c r="BR151" s="132"/>
      <c r="BS151" s="132"/>
      <c r="BT151" s="132"/>
      <c r="BU151" s="132"/>
      <c r="BV151" s="132"/>
      <c r="BW151" s="132"/>
      <c r="BX151" s="132"/>
      <c r="BY151" s="132"/>
    </row>
    <row r="152" spans="1:77" x14ac:dyDescent="0.25">
      <c r="A152" s="4" t="s">
        <v>293</v>
      </c>
      <c r="B152" s="6" t="s">
        <v>294</v>
      </c>
      <c r="H152" s="17">
        <v>387</v>
      </c>
      <c r="I152" s="17">
        <v>415</v>
      </c>
      <c r="J152" s="17">
        <v>431</v>
      </c>
      <c r="K152" s="17">
        <v>451</v>
      </c>
      <c r="L152" s="17">
        <v>458</v>
      </c>
      <c r="M152" s="17">
        <v>472</v>
      </c>
      <c r="N152" s="24">
        <v>504</v>
      </c>
      <c r="O152" s="17">
        <v>525</v>
      </c>
      <c r="P152" s="17">
        <v>542</v>
      </c>
      <c r="Q152" s="17">
        <v>558</v>
      </c>
      <c r="R152" s="17">
        <v>567</v>
      </c>
      <c r="S152" s="24">
        <v>587</v>
      </c>
      <c r="T152" s="17">
        <v>617</v>
      </c>
      <c r="U152" s="17">
        <v>635</v>
      </c>
      <c r="V152" s="17">
        <v>651</v>
      </c>
      <c r="W152" s="17">
        <v>664</v>
      </c>
      <c r="X152" s="17">
        <v>672</v>
      </c>
      <c r="Y152" s="17">
        <v>690</v>
      </c>
      <c r="Z152" s="17">
        <v>706</v>
      </c>
      <c r="AA152" s="17">
        <v>722</v>
      </c>
      <c r="AB152" s="17">
        <v>728</v>
      </c>
      <c r="AC152" s="17">
        <v>730</v>
      </c>
      <c r="AD152" s="17">
        <v>756</v>
      </c>
      <c r="AE152" s="17"/>
      <c r="AF152" s="17"/>
      <c r="AG152" s="17"/>
      <c r="AH152" s="17"/>
      <c r="AI152" s="17"/>
      <c r="AJ152" s="17"/>
      <c r="AK152" s="17"/>
      <c r="AR152" s="17">
        <v>171</v>
      </c>
      <c r="AS152" s="17">
        <v>204</v>
      </c>
      <c r="AT152" s="17">
        <v>221</v>
      </c>
      <c r="AU152" s="17">
        <v>246</v>
      </c>
      <c r="AV152" s="17">
        <v>262</v>
      </c>
      <c r="AW152" s="17">
        <v>288</v>
      </c>
      <c r="AX152" s="24">
        <v>315</v>
      </c>
      <c r="AY152" s="17">
        <v>327</v>
      </c>
      <c r="AZ152" s="17">
        <v>346</v>
      </c>
      <c r="BA152" s="17">
        <v>362</v>
      </c>
      <c r="BB152" s="17">
        <v>369</v>
      </c>
      <c r="BC152" s="24">
        <v>384</v>
      </c>
      <c r="BD152" s="17">
        <v>406</v>
      </c>
      <c r="BE152" s="17">
        <v>424</v>
      </c>
      <c r="BF152" s="17">
        <v>436</v>
      </c>
      <c r="BG152" s="17">
        <v>443</v>
      </c>
      <c r="BH152" s="17">
        <v>465</v>
      </c>
      <c r="BI152" s="17">
        <v>474</v>
      </c>
      <c r="BJ152" s="17">
        <v>489</v>
      </c>
      <c r="BK152" s="17">
        <v>506</v>
      </c>
      <c r="BL152" s="17">
        <v>524</v>
      </c>
      <c r="BM152" s="17">
        <v>538</v>
      </c>
      <c r="BN152" s="17">
        <v>544</v>
      </c>
      <c r="BO152" s="132"/>
      <c r="BP152" s="132"/>
      <c r="BQ152" s="132"/>
      <c r="BR152" s="132"/>
      <c r="BS152" s="132"/>
      <c r="BT152" s="132"/>
      <c r="BU152" s="132"/>
      <c r="BV152" s="132"/>
      <c r="BW152" s="132"/>
      <c r="BX152" s="132"/>
      <c r="BY152" s="132"/>
    </row>
    <row r="153" spans="1:77" x14ac:dyDescent="0.25">
      <c r="A153" s="4" t="s">
        <v>295</v>
      </c>
      <c r="B153" s="6" t="s">
        <v>296</v>
      </c>
      <c r="H153" s="17">
        <v>98</v>
      </c>
      <c r="I153" s="17">
        <v>97</v>
      </c>
      <c r="J153" s="17">
        <v>102</v>
      </c>
      <c r="K153" s="17">
        <v>111</v>
      </c>
      <c r="L153" s="17">
        <v>116</v>
      </c>
      <c r="M153" s="17">
        <v>122</v>
      </c>
      <c r="N153" s="24">
        <v>122</v>
      </c>
      <c r="O153" s="17">
        <v>125</v>
      </c>
      <c r="P153" s="17">
        <v>126</v>
      </c>
      <c r="Q153" s="17">
        <v>130</v>
      </c>
      <c r="R153" s="17">
        <v>130</v>
      </c>
      <c r="S153" s="24">
        <v>132</v>
      </c>
      <c r="T153" s="17">
        <v>132</v>
      </c>
      <c r="U153" s="17">
        <v>132</v>
      </c>
      <c r="V153" s="17">
        <v>132</v>
      </c>
      <c r="W153" s="17">
        <v>136</v>
      </c>
      <c r="X153" s="17">
        <v>137</v>
      </c>
      <c r="Y153" s="17">
        <v>138</v>
      </c>
      <c r="Z153" s="17">
        <v>142</v>
      </c>
      <c r="AA153" s="17">
        <v>143</v>
      </c>
      <c r="AB153" s="17">
        <v>145</v>
      </c>
      <c r="AC153" s="17">
        <v>145</v>
      </c>
      <c r="AD153" s="17">
        <v>147</v>
      </c>
      <c r="AE153" s="17"/>
      <c r="AF153" s="17"/>
      <c r="AG153" s="17"/>
      <c r="AH153" s="17"/>
      <c r="AI153" s="17"/>
      <c r="AJ153" s="17"/>
      <c r="AK153" s="17"/>
      <c r="AR153" s="17">
        <v>45</v>
      </c>
      <c r="AS153" s="17">
        <v>50</v>
      </c>
      <c r="AT153" s="17">
        <v>62</v>
      </c>
      <c r="AU153" s="17">
        <v>69</v>
      </c>
      <c r="AV153" s="17">
        <v>80</v>
      </c>
      <c r="AW153" s="17">
        <v>86</v>
      </c>
      <c r="AX153" s="24">
        <v>89</v>
      </c>
      <c r="AY153" s="17">
        <v>89</v>
      </c>
      <c r="AZ153" s="17">
        <v>89</v>
      </c>
      <c r="BA153" s="17">
        <v>92</v>
      </c>
      <c r="BB153" s="17">
        <v>93</v>
      </c>
      <c r="BC153" s="24">
        <v>99</v>
      </c>
      <c r="BD153" s="17">
        <v>100</v>
      </c>
      <c r="BE153" s="17">
        <v>100</v>
      </c>
      <c r="BF153" s="17">
        <v>101</v>
      </c>
      <c r="BG153" s="17">
        <v>102</v>
      </c>
      <c r="BH153" s="17">
        <v>105</v>
      </c>
      <c r="BI153" s="17">
        <v>106</v>
      </c>
      <c r="BJ153" s="17">
        <v>110</v>
      </c>
      <c r="BK153" s="17">
        <v>111</v>
      </c>
      <c r="BL153" s="17">
        <v>121</v>
      </c>
      <c r="BM153" s="17">
        <v>119</v>
      </c>
      <c r="BN153" s="17">
        <v>119</v>
      </c>
      <c r="BO153" s="132"/>
      <c r="BP153" s="132"/>
      <c r="BQ153" s="132"/>
      <c r="BR153" s="132"/>
      <c r="BS153" s="132"/>
      <c r="BT153" s="132"/>
      <c r="BU153" s="132"/>
      <c r="BV153" s="132"/>
      <c r="BW153" s="132"/>
      <c r="BX153" s="132"/>
      <c r="BY153" s="132"/>
    </row>
    <row r="154" spans="1:77" x14ac:dyDescent="0.25">
      <c r="A154" s="4" t="s">
        <v>297</v>
      </c>
      <c r="B154" s="6" t="s">
        <v>298</v>
      </c>
      <c r="H154" s="17">
        <v>787</v>
      </c>
      <c r="I154" s="17">
        <v>838</v>
      </c>
      <c r="J154" s="17">
        <v>901</v>
      </c>
      <c r="K154" s="17">
        <v>970</v>
      </c>
      <c r="L154" s="17">
        <v>1011</v>
      </c>
      <c r="M154" s="17">
        <v>1040</v>
      </c>
      <c r="N154" s="24">
        <v>1110</v>
      </c>
      <c r="O154" s="17">
        <v>1136</v>
      </c>
      <c r="P154" s="17">
        <v>1177</v>
      </c>
      <c r="Q154" s="17">
        <v>1220</v>
      </c>
      <c r="R154" s="17">
        <v>1236</v>
      </c>
      <c r="S154" s="24">
        <v>1242</v>
      </c>
      <c r="T154" s="17">
        <v>1269</v>
      </c>
      <c r="U154" s="17">
        <v>1289</v>
      </c>
      <c r="V154" s="17">
        <v>1298</v>
      </c>
      <c r="W154" s="17">
        <v>1314</v>
      </c>
      <c r="X154" s="17">
        <v>1327</v>
      </c>
      <c r="Y154" s="17">
        <v>1344</v>
      </c>
      <c r="Z154" s="17">
        <v>1363</v>
      </c>
      <c r="AA154" s="17">
        <v>1376</v>
      </c>
      <c r="AB154" s="17">
        <v>1381</v>
      </c>
      <c r="AC154" s="17">
        <v>1384</v>
      </c>
      <c r="AD154" s="17">
        <v>1404</v>
      </c>
      <c r="AE154" s="17"/>
      <c r="AF154" s="17"/>
      <c r="AG154" s="17"/>
      <c r="AH154" s="17"/>
      <c r="AI154" s="17"/>
      <c r="AJ154" s="17"/>
      <c r="AK154" s="17"/>
      <c r="AR154" s="17">
        <v>327</v>
      </c>
      <c r="AS154" s="17">
        <v>368</v>
      </c>
      <c r="AT154" s="17">
        <v>442</v>
      </c>
      <c r="AU154" s="17">
        <v>545</v>
      </c>
      <c r="AV154" s="17">
        <v>603</v>
      </c>
      <c r="AW154" s="17">
        <v>642</v>
      </c>
      <c r="AX154" s="24">
        <v>755</v>
      </c>
      <c r="AY154" s="17">
        <v>791</v>
      </c>
      <c r="AZ154" s="17">
        <v>849</v>
      </c>
      <c r="BA154" s="17">
        <v>878</v>
      </c>
      <c r="BB154" s="17">
        <v>904</v>
      </c>
      <c r="BC154" s="24">
        <v>937</v>
      </c>
      <c r="BD154" s="17">
        <v>963</v>
      </c>
      <c r="BE154" s="17">
        <v>995</v>
      </c>
      <c r="BF154" s="17">
        <v>1030</v>
      </c>
      <c r="BG154" s="17">
        <v>1044</v>
      </c>
      <c r="BH154" s="17">
        <v>1060</v>
      </c>
      <c r="BI154" s="17">
        <v>1077</v>
      </c>
      <c r="BJ154" s="17">
        <v>1084</v>
      </c>
      <c r="BK154" s="17">
        <v>1103</v>
      </c>
      <c r="BL154" s="17">
        <v>1125</v>
      </c>
      <c r="BM154" s="17">
        <v>1143</v>
      </c>
      <c r="BN154" s="17">
        <v>1160</v>
      </c>
      <c r="BO154" s="132"/>
      <c r="BP154" s="132"/>
      <c r="BQ154" s="132"/>
      <c r="BR154" s="132"/>
      <c r="BS154" s="132"/>
      <c r="BT154" s="132"/>
      <c r="BU154" s="132"/>
      <c r="BV154" s="132"/>
      <c r="BW154" s="132"/>
      <c r="BX154" s="132"/>
      <c r="BY154" s="132"/>
    </row>
    <row r="155" spans="1:77" x14ac:dyDescent="0.25">
      <c r="A155" s="4" t="s">
        <v>299</v>
      </c>
      <c r="B155" s="6" t="s">
        <v>300</v>
      </c>
      <c r="H155" s="17">
        <v>240</v>
      </c>
      <c r="I155" s="17">
        <v>257</v>
      </c>
      <c r="J155" s="17">
        <v>270</v>
      </c>
      <c r="K155" s="17">
        <v>291</v>
      </c>
      <c r="L155" s="17">
        <v>293</v>
      </c>
      <c r="M155" s="17">
        <v>295</v>
      </c>
      <c r="N155" s="24">
        <v>315</v>
      </c>
      <c r="O155" s="17">
        <v>318</v>
      </c>
      <c r="P155" s="17">
        <v>330</v>
      </c>
      <c r="Q155" s="17">
        <v>336</v>
      </c>
      <c r="R155" s="17">
        <v>341</v>
      </c>
      <c r="S155" s="24">
        <v>347</v>
      </c>
      <c r="T155" s="17">
        <v>355</v>
      </c>
      <c r="U155" s="17">
        <v>354</v>
      </c>
      <c r="V155" s="17">
        <v>362</v>
      </c>
      <c r="W155" s="17">
        <v>365</v>
      </c>
      <c r="X155" s="17">
        <v>368</v>
      </c>
      <c r="Y155" s="17">
        <v>375</v>
      </c>
      <c r="Z155" s="17">
        <v>386</v>
      </c>
      <c r="AA155" s="17">
        <v>388</v>
      </c>
      <c r="AB155" s="17">
        <v>388</v>
      </c>
      <c r="AC155" s="17">
        <v>388</v>
      </c>
      <c r="AD155" s="17">
        <v>396</v>
      </c>
      <c r="AE155" s="17"/>
      <c r="AF155" s="17"/>
      <c r="AG155" s="17"/>
      <c r="AH155" s="17"/>
      <c r="AI155" s="17"/>
      <c r="AJ155" s="17"/>
      <c r="AK155" s="17"/>
      <c r="AR155" s="17">
        <v>125</v>
      </c>
      <c r="AS155" s="17">
        <v>147</v>
      </c>
      <c r="AT155" s="17">
        <v>163</v>
      </c>
      <c r="AU155" s="17">
        <v>189</v>
      </c>
      <c r="AV155" s="17">
        <v>197</v>
      </c>
      <c r="AW155" s="17">
        <v>211</v>
      </c>
      <c r="AX155" s="24">
        <v>236</v>
      </c>
      <c r="AY155" s="17">
        <v>244</v>
      </c>
      <c r="AZ155" s="17">
        <v>248</v>
      </c>
      <c r="BA155" s="17">
        <v>255</v>
      </c>
      <c r="BB155" s="17">
        <v>261</v>
      </c>
      <c r="BC155" s="24">
        <v>266</v>
      </c>
      <c r="BD155" s="17">
        <v>277</v>
      </c>
      <c r="BE155" s="17">
        <v>280</v>
      </c>
      <c r="BF155" s="17">
        <v>291</v>
      </c>
      <c r="BG155" s="17">
        <v>302</v>
      </c>
      <c r="BH155" s="17">
        <v>302</v>
      </c>
      <c r="BI155" s="17">
        <v>305</v>
      </c>
      <c r="BJ155" s="17">
        <v>311</v>
      </c>
      <c r="BK155" s="17">
        <v>320</v>
      </c>
      <c r="BL155" s="17">
        <v>334</v>
      </c>
      <c r="BM155" s="17">
        <v>331</v>
      </c>
      <c r="BN155" s="17">
        <v>334</v>
      </c>
      <c r="BO155" s="132"/>
      <c r="BP155" s="132"/>
      <c r="BQ155" s="132"/>
      <c r="BR155" s="132"/>
      <c r="BS155" s="132"/>
      <c r="BT155" s="132"/>
      <c r="BU155" s="132"/>
      <c r="BV155" s="132"/>
      <c r="BW155" s="132"/>
      <c r="BX155" s="132"/>
      <c r="BY155" s="132"/>
    </row>
    <row r="156" spans="1:77" x14ac:dyDescent="0.25">
      <c r="A156" s="4" t="s">
        <v>301</v>
      </c>
      <c r="B156" s="6" t="s">
        <v>302</v>
      </c>
      <c r="H156" s="17">
        <v>239</v>
      </c>
      <c r="I156" s="17">
        <v>252</v>
      </c>
      <c r="J156" s="17">
        <v>269</v>
      </c>
      <c r="K156" s="17">
        <v>278</v>
      </c>
      <c r="L156" s="17">
        <v>286</v>
      </c>
      <c r="M156" s="17">
        <v>289</v>
      </c>
      <c r="N156" s="24">
        <v>301</v>
      </c>
      <c r="O156" s="17">
        <v>313</v>
      </c>
      <c r="P156" s="17">
        <v>335</v>
      </c>
      <c r="Q156" s="17">
        <v>341</v>
      </c>
      <c r="R156" s="17">
        <v>343</v>
      </c>
      <c r="S156" s="24">
        <v>348</v>
      </c>
      <c r="T156" s="17">
        <v>356</v>
      </c>
      <c r="U156" s="17">
        <v>368</v>
      </c>
      <c r="V156" s="17">
        <v>381</v>
      </c>
      <c r="W156" s="17">
        <v>387</v>
      </c>
      <c r="X156" s="17">
        <v>392</v>
      </c>
      <c r="Y156" s="17">
        <v>394</v>
      </c>
      <c r="Z156" s="17">
        <v>402</v>
      </c>
      <c r="AA156" s="17">
        <v>410</v>
      </c>
      <c r="AB156" s="17">
        <v>415</v>
      </c>
      <c r="AC156" s="17">
        <v>418</v>
      </c>
      <c r="AD156" s="17">
        <v>423</v>
      </c>
      <c r="AE156" s="17"/>
      <c r="AF156" s="17"/>
      <c r="AG156" s="17"/>
      <c r="AH156" s="17"/>
      <c r="AI156" s="17"/>
      <c r="AJ156" s="17"/>
      <c r="AK156" s="17"/>
      <c r="AR156" s="17">
        <v>106</v>
      </c>
      <c r="AS156" s="17">
        <v>129</v>
      </c>
      <c r="AT156" s="17">
        <v>148</v>
      </c>
      <c r="AU156" s="17">
        <v>172</v>
      </c>
      <c r="AV156" s="17">
        <v>189</v>
      </c>
      <c r="AW156" s="17">
        <v>205</v>
      </c>
      <c r="AX156" s="24">
        <v>212</v>
      </c>
      <c r="AY156" s="17">
        <v>221</v>
      </c>
      <c r="AZ156" s="17">
        <v>229</v>
      </c>
      <c r="BA156" s="17">
        <v>240</v>
      </c>
      <c r="BB156" s="17">
        <v>242</v>
      </c>
      <c r="BC156" s="24">
        <v>258</v>
      </c>
      <c r="BD156" s="17">
        <v>265</v>
      </c>
      <c r="BE156" s="17">
        <v>274</v>
      </c>
      <c r="BF156" s="17">
        <v>282</v>
      </c>
      <c r="BG156" s="17">
        <v>291</v>
      </c>
      <c r="BH156" s="17">
        <v>293</v>
      </c>
      <c r="BI156" s="17">
        <v>294</v>
      </c>
      <c r="BJ156" s="17">
        <v>300</v>
      </c>
      <c r="BK156" s="17">
        <v>304</v>
      </c>
      <c r="BL156" s="17">
        <v>310</v>
      </c>
      <c r="BM156" s="17">
        <v>315</v>
      </c>
      <c r="BN156" s="17">
        <v>324</v>
      </c>
      <c r="BO156" s="132"/>
      <c r="BP156" s="132"/>
      <c r="BQ156" s="132"/>
      <c r="BR156" s="132"/>
      <c r="BS156" s="132"/>
      <c r="BT156" s="132"/>
      <c r="BU156" s="132"/>
      <c r="BV156" s="132"/>
      <c r="BW156" s="132"/>
      <c r="BX156" s="132"/>
      <c r="BY156" s="132"/>
    </row>
    <row r="157" spans="1:77" x14ac:dyDescent="0.25">
      <c r="A157" s="4" t="s">
        <v>303</v>
      </c>
      <c r="B157" s="6" t="s">
        <v>304</v>
      </c>
      <c r="H157" s="17">
        <v>251</v>
      </c>
      <c r="I157" s="17">
        <v>266</v>
      </c>
      <c r="J157" s="17">
        <v>271</v>
      </c>
      <c r="K157" s="17">
        <v>292</v>
      </c>
      <c r="L157" s="17">
        <v>297</v>
      </c>
      <c r="M157" s="17">
        <v>301</v>
      </c>
      <c r="N157" s="24">
        <v>320</v>
      </c>
      <c r="O157" s="17">
        <v>334</v>
      </c>
      <c r="P157" s="17">
        <v>351</v>
      </c>
      <c r="Q157" s="17">
        <v>374</v>
      </c>
      <c r="R157" s="17">
        <v>382</v>
      </c>
      <c r="S157" s="24">
        <v>385</v>
      </c>
      <c r="T157" s="17">
        <v>394</v>
      </c>
      <c r="U157" s="17">
        <v>410</v>
      </c>
      <c r="V157" s="17">
        <v>413</v>
      </c>
      <c r="W157" s="17">
        <v>418</v>
      </c>
      <c r="X157" s="17">
        <v>422</v>
      </c>
      <c r="Y157" s="17">
        <v>424</v>
      </c>
      <c r="Z157" s="17">
        <v>430</v>
      </c>
      <c r="AA157" s="17">
        <v>434</v>
      </c>
      <c r="AB157" s="17">
        <v>434</v>
      </c>
      <c r="AC157" s="17">
        <v>433</v>
      </c>
      <c r="AD157" s="17">
        <v>442</v>
      </c>
      <c r="AE157" s="17"/>
      <c r="AF157" s="17"/>
      <c r="AG157" s="17"/>
      <c r="AH157" s="17"/>
      <c r="AI157" s="17"/>
      <c r="AJ157" s="17"/>
      <c r="AK157" s="17"/>
      <c r="AR157" s="17">
        <v>140</v>
      </c>
      <c r="AS157" s="17">
        <v>162</v>
      </c>
      <c r="AT157" s="17">
        <v>173</v>
      </c>
      <c r="AU157" s="17">
        <v>193</v>
      </c>
      <c r="AV157" s="17">
        <v>204</v>
      </c>
      <c r="AW157" s="17">
        <v>222</v>
      </c>
      <c r="AX157" s="24">
        <v>242</v>
      </c>
      <c r="AY157" s="17">
        <v>253</v>
      </c>
      <c r="AZ157" s="17">
        <v>260</v>
      </c>
      <c r="BA157" s="17">
        <v>272</v>
      </c>
      <c r="BB157" s="17">
        <v>283</v>
      </c>
      <c r="BC157" s="24">
        <v>299</v>
      </c>
      <c r="BD157" s="17">
        <v>315</v>
      </c>
      <c r="BE157" s="17">
        <v>324</v>
      </c>
      <c r="BF157" s="17">
        <v>330</v>
      </c>
      <c r="BG157" s="17">
        <v>345</v>
      </c>
      <c r="BH157" s="17">
        <v>357</v>
      </c>
      <c r="BI157" s="17">
        <v>362</v>
      </c>
      <c r="BJ157" s="17">
        <v>373</v>
      </c>
      <c r="BK157" s="17">
        <v>375</v>
      </c>
      <c r="BL157" s="17">
        <v>384</v>
      </c>
      <c r="BM157" s="17">
        <v>385</v>
      </c>
      <c r="BN157" s="17">
        <v>392</v>
      </c>
      <c r="BO157" s="132"/>
      <c r="BP157" s="132"/>
      <c r="BQ157" s="132"/>
      <c r="BR157" s="132"/>
      <c r="BS157" s="132"/>
      <c r="BT157" s="132"/>
      <c r="BU157" s="132"/>
      <c r="BV157" s="132"/>
      <c r="BW157" s="132"/>
      <c r="BX157" s="132"/>
      <c r="BY157" s="132"/>
    </row>
    <row r="158" spans="1:77" x14ac:dyDescent="0.25">
      <c r="A158" s="4" t="s">
        <v>305</v>
      </c>
      <c r="B158" s="6" t="s">
        <v>306</v>
      </c>
      <c r="H158" s="17">
        <v>62</v>
      </c>
      <c r="I158" s="17">
        <v>64</v>
      </c>
      <c r="J158" s="17">
        <v>67</v>
      </c>
      <c r="K158" s="17">
        <v>68</v>
      </c>
      <c r="L158" s="17">
        <v>68</v>
      </c>
      <c r="M158" s="17">
        <v>68</v>
      </c>
      <c r="N158" s="24">
        <v>71</v>
      </c>
      <c r="O158" s="17">
        <v>72</v>
      </c>
      <c r="P158" s="17">
        <v>75</v>
      </c>
      <c r="Q158" s="17">
        <v>77</v>
      </c>
      <c r="R158" s="17">
        <v>78</v>
      </c>
      <c r="S158" s="24">
        <v>78</v>
      </c>
      <c r="T158" s="17">
        <v>87</v>
      </c>
      <c r="U158" s="17">
        <v>93</v>
      </c>
      <c r="V158" s="17">
        <v>94</v>
      </c>
      <c r="W158" s="17">
        <v>96</v>
      </c>
      <c r="X158" s="17">
        <v>102</v>
      </c>
      <c r="Y158" s="17">
        <v>104</v>
      </c>
      <c r="Z158" s="17">
        <v>104</v>
      </c>
      <c r="AA158" s="17">
        <v>104</v>
      </c>
      <c r="AB158" s="17">
        <v>104</v>
      </c>
      <c r="AC158" s="17">
        <v>104</v>
      </c>
      <c r="AD158" s="17">
        <v>104</v>
      </c>
      <c r="AE158" s="17"/>
      <c r="AF158" s="17"/>
      <c r="AG158" s="17"/>
      <c r="AH158" s="17"/>
      <c r="AI158" s="17"/>
      <c r="AJ158" s="17"/>
      <c r="AK158" s="17"/>
      <c r="AR158" s="17">
        <v>27</v>
      </c>
      <c r="AS158" s="17">
        <v>31</v>
      </c>
      <c r="AT158" s="17">
        <v>31</v>
      </c>
      <c r="AU158" s="17">
        <v>33</v>
      </c>
      <c r="AV158" s="17">
        <v>34</v>
      </c>
      <c r="AW158" s="17">
        <v>34</v>
      </c>
      <c r="AX158" s="24">
        <v>42</v>
      </c>
      <c r="AY158" s="17">
        <v>44</v>
      </c>
      <c r="AZ158" s="17">
        <v>48</v>
      </c>
      <c r="BA158" s="17">
        <v>52</v>
      </c>
      <c r="BB158" s="17">
        <v>52</v>
      </c>
      <c r="BC158" s="24">
        <v>52</v>
      </c>
      <c r="BD158" s="17">
        <v>55</v>
      </c>
      <c r="BE158" s="17">
        <v>61</v>
      </c>
      <c r="BF158" s="17">
        <v>62</v>
      </c>
      <c r="BG158" s="17">
        <v>67</v>
      </c>
      <c r="BH158" s="17">
        <v>72</v>
      </c>
      <c r="BI158" s="17">
        <v>74</v>
      </c>
      <c r="BJ158" s="17">
        <v>76</v>
      </c>
      <c r="BK158" s="17">
        <v>77</v>
      </c>
      <c r="BL158" s="17">
        <v>78</v>
      </c>
      <c r="BM158" s="17">
        <v>78</v>
      </c>
      <c r="BN158" s="17">
        <v>80</v>
      </c>
      <c r="BO158" s="132"/>
      <c r="BP158" s="132"/>
      <c r="BQ158" s="132"/>
      <c r="BR158" s="132"/>
      <c r="BS158" s="132"/>
      <c r="BT158" s="132"/>
      <c r="BU158" s="132"/>
      <c r="BV158" s="132"/>
      <c r="BW158" s="132"/>
      <c r="BX158" s="132"/>
      <c r="BY158" s="132"/>
    </row>
    <row r="159" spans="1:77" x14ac:dyDescent="0.25">
      <c r="A159" s="4" t="s">
        <v>307</v>
      </c>
      <c r="B159" s="6" t="s">
        <v>308</v>
      </c>
      <c r="H159" s="17">
        <v>604</v>
      </c>
      <c r="I159" s="17">
        <v>664</v>
      </c>
      <c r="J159" s="17">
        <v>721</v>
      </c>
      <c r="K159" s="17">
        <v>774</v>
      </c>
      <c r="L159" s="17">
        <v>814</v>
      </c>
      <c r="M159" s="17">
        <v>863</v>
      </c>
      <c r="N159" s="24">
        <v>898</v>
      </c>
      <c r="O159" s="17">
        <v>932</v>
      </c>
      <c r="P159" s="17">
        <v>963</v>
      </c>
      <c r="Q159" s="17">
        <v>980</v>
      </c>
      <c r="R159" s="17">
        <v>992</v>
      </c>
      <c r="S159" s="24">
        <v>1028</v>
      </c>
      <c r="T159" s="17">
        <v>1048</v>
      </c>
      <c r="U159" s="17">
        <v>1076</v>
      </c>
      <c r="V159" s="17">
        <v>1085</v>
      </c>
      <c r="W159" s="17">
        <v>1096</v>
      </c>
      <c r="X159" s="17">
        <v>1107</v>
      </c>
      <c r="Y159" s="17">
        <v>1121</v>
      </c>
      <c r="Z159" s="17">
        <v>1138</v>
      </c>
      <c r="AA159" s="17">
        <v>1152</v>
      </c>
      <c r="AB159" s="17">
        <v>1156</v>
      </c>
      <c r="AC159" s="17">
        <v>1163</v>
      </c>
      <c r="AD159" s="17">
        <v>1193</v>
      </c>
      <c r="AE159" s="17"/>
      <c r="AF159" s="17"/>
      <c r="AG159" s="17"/>
      <c r="AH159" s="17"/>
      <c r="AI159" s="17"/>
      <c r="AJ159" s="17"/>
      <c r="AK159" s="17"/>
      <c r="AR159" s="17">
        <v>307</v>
      </c>
      <c r="AS159" s="17">
        <v>353</v>
      </c>
      <c r="AT159" s="17">
        <v>394</v>
      </c>
      <c r="AU159" s="17">
        <v>460</v>
      </c>
      <c r="AV159" s="17">
        <v>516</v>
      </c>
      <c r="AW159" s="17">
        <v>572</v>
      </c>
      <c r="AX159" s="24">
        <v>647</v>
      </c>
      <c r="AY159" s="17">
        <v>668</v>
      </c>
      <c r="AZ159" s="17">
        <v>709</v>
      </c>
      <c r="BA159" s="17">
        <v>744</v>
      </c>
      <c r="BB159" s="17">
        <v>763</v>
      </c>
      <c r="BC159" s="24">
        <v>804</v>
      </c>
      <c r="BD159" s="17">
        <v>833</v>
      </c>
      <c r="BE159" s="17">
        <v>854</v>
      </c>
      <c r="BF159" s="17">
        <v>880</v>
      </c>
      <c r="BG159" s="17">
        <v>900</v>
      </c>
      <c r="BH159" s="17">
        <v>920</v>
      </c>
      <c r="BI159" s="17">
        <v>930</v>
      </c>
      <c r="BJ159" s="17">
        <v>937</v>
      </c>
      <c r="BK159" s="17">
        <v>957</v>
      </c>
      <c r="BL159" s="17">
        <v>974</v>
      </c>
      <c r="BM159" s="17">
        <v>981</v>
      </c>
      <c r="BN159" s="17">
        <v>992</v>
      </c>
      <c r="BO159" s="132"/>
      <c r="BP159" s="132"/>
      <c r="BQ159" s="132"/>
      <c r="BR159" s="132"/>
      <c r="BS159" s="132"/>
      <c r="BT159" s="132"/>
      <c r="BU159" s="132"/>
      <c r="BV159" s="132"/>
      <c r="BW159" s="132"/>
      <c r="BX159" s="132"/>
      <c r="BY159" s="132"/>
    </row>
    <row r="160" spans="1:77" x14ac:dyDescent="0.25">
      <c r="A160" s="4" t="s">
        <v>309</v>
      </c>
      <c r="B160" s="6" t="s">
        <v>310</v>
      </c>
      <c r="H160" s="17">
        <v>186</v>
      </c>
      <c r="I160" s="17">
        <v>202</v>
      </c>
      <c r="J160" s="17">
        <v>214</v>
      </c>
      <c r="K160" s="17">
        <v>234</v>
      </c>
      <c r="L160" s="17">
        <v>239</v>
      </c>
      <c r="M160" s="17">
        <v>244</v>
      </c>
      <c r="N160" s="24">
        <v>269</v>
      </c>
      <c r="O160" s="17">
        <v>282</v>
      </c>
      <c r="P160" s="17">
        <v>293</v>
      </c>
      <c r="Q160" s="17">
        <v>294</v>
      </c>
      <c r="R160" s="17">
        <v>301</v>
      </c>
      <c r="S160" s="24">
        <v>309</v>
      </c>
      <c r="T160" s="17">
        <v>314</v>
      </c>
      <c r="U160" s="17">
        <v>318</v>
      </c>
      <c r="V160" s="17">
        <v>326</v>
      </c>
      <c r="W160" s="17">
        <v>329</v>
      </c>
      <c r="X160" s="17">
        <v>330</v>
      </c>
      <c r="Y160" s="17">
        <v>335</v>
      </c>
      <c r="Z160" s="17">
        <v>337</v>
      </c>
      <c r="AA160" s="17">
        <v>339</v>
      </c>
      <c r="AB160" s="17">
        <v>342</v>
      </c>
      <c r="AC160" s="17">
        <v>343</v>
      </c>
      <c r="AD160" s="17">
        <v>346</v>
      </c>
      <c r="AE160" s="17"/>
      <c r="AF160" s="17"/>
      <c r="AG160" s="17"/>
      <c r="AH160" s="17"/>
      <c r="AI160" s="17"/>
      <c r="AJ160" s="17"/>
      <c r="AK160" s="17"/>
      <c r="AR160" s="17">
        <v>113</v>
      </c>
      <c r="AS160" s="17">
        <v>120</v>
      </c>
      <c r="AT160" s="17">
        <v>131</v>
      </c>
      <c r="AU160" s="17">
        <v>153</v>
      </c>
      <c r="AV160" s="17">
        <v>165</v>
      </c>
      <c r="AW160" s="17">
        <v>172</v>
      </c>
      <c r="AX160" s="24">
        <v>189</v>
      </c>
      <c r="AY160" s="17">
        <v>195</v>
      </c>
      <c r="AZ160" s="17">
        <v>213</v>
      </c>
      <c r="BA160" s="17">
        <v>218</v>
      </c>
      <c r="BB160" s="17">
        <v>231</v>
      </c>
      <c r="BC160" s="24">
        <v>237</v>
      </c>
      <c r="BD160" s="17">
        <v>247</v>
      </c>
      <c r="BE160" s="17">
        <v>260</v>
      </c>
      <c r="BF160" s="17">
        <v>266</v>
      </c>
      <c r="BG160" s="17">
        <v>274</v>
      </c>
      <c r="BH160" s="17">
        <v>281</v>
      </c>
      <c r="BI160" s="17">
        <v>293</v>
      </c>
      <c r="BJ160" s="17">
        <v>300</v>
      </c>
      <c r="BK160" s="17">
        <v>305</v>
      </c>
      <c r="BL160" s="17">
        <v>308</v>
      </c>
      <c r="BM160" s="17">
        <v>307</v>
      </c>
      <c r="BN160" s="17">
        <v>310</v>
      </c>
      <c r="BO160" s="132"/>
      <c r="BP160" s="132"/>
      <c r="BQ160" s="132"/>
      <c r="BR160" s="132"/>
      <c r="BS160" s="132"/>
      <c r="BT160" s="132"/>
      <c r="BU160" s="132"/>
      <c r="BV160" s="132"/>
      <c r="BW160" s="132"/>
      <c r="BX160" s="132"/>
      <c r="BY160" s="132"/>
    </row>
    <row r="161" spans="1:77" x14ac:dyDescent="0.25">
      <c r="A161" s="4"/>
      <c r="B161" s="6"/>
      <c r="G161" s="48" t="s">
        <v>585</v>
      </c>
      <c r="H161" s="150">
        <f>SUM(H9:H160)</f>
        <v>50084</v>
      </c>
      <c r="I161" s="150">
        <f t="shared" ref="I161:BT161" si="0">SUM(I9:I160)</f>
        <v>53474</v>
      </c>
      <c r="J161" s="150">
        <f t="shared" si="0"/>
        <v>56763</v>
      </c>
      <c r="K161" s="150">
        <f t="shared" si="0"/>
        <v>61010</v>
      </c>
      <c r="L161" s="150">
        <f t="shared" si="0"/>
        <v>62695</v>
      </c>
      <c r="M161" s="150">
        <f t="shared" si="0"/>
        <v>64124</v>
      </c>
      <c r="N161" s="150">
        <f t="shared" si="0"/>
        <v>67927</v>
      </c>
      <c r="O161" s="150">
        <f t="shared" si="0"/>
        <v>69867</v>
      </c>
      <c r="P161" s="150">
        <f t="shared" si="0"/>
        <v>72547</v>
      </c>
      <c r="Q161" s="150">
        <f t="shared" si="0"/>
        <v>74562</v>
      </c>
      <c r="R161" s="150">
        <f t="shared" si="0"/>
        <v>75657</v>
      </c>
      <c r="S161" s="150">
        <f t="shared" si="0"/>
        <v>77442</v>
      </c>
      <c r="T161" s="150">
        <f t="shared" si="0"/>
        <v>79110</v>
      </c>
      <c r="U161" s="150">
        <f t="shared" si="0"/>
        <v>80796</v>
      </c>
      <c r="V161" s="150">
        <f t="shared" si="0"/>
        <v>82364</v>
      </c>
      <c r="W161" s="150">
        <f t="shared" si="0"/>
        <v>83594</v>
      </c>
      <c r="X161" s="150">
        <f t="shared" si="0"/>
        <v>84443</v>
      </c>
      <c r="Y161" s="150">
        <f t="shared" si="0"/>
        <v>85675</v>
      </c>
      <c r="Z161" s="150">
        <f t="shared" si="0"/>
        <v>87264</v>
      </c>
      <c r="AA161" s="150">
        <f t="shared" si="0"/>
        <v>87993</v>
      </c>
      <c r="AB161" s="150">
        <f t="shared" si="0"/>
        <v>88642</v>
      </c>
      <c r="AC161" s="150">
        <f t="shared" si="0"/>
        <v>88836</v>
      </c>
      <c r="AD161" s="150">
        <f t="shared" si="0"/>
        <v>90729</v>
      </c>
      <c r="AE161" s="150"/>
      <c r="AF161" s="150"/>
      <c r="AG161" s="150"/>
      <c r="AH161" s="150"/>
      <c r="AI161" s="150"/>
      <c r="AJ161" s="150"/>
      <c r="AK161" s="150"/>
      <c r="AL161" s="150"/>
      <c r="AM161" s="150"/>
      <c r="AN161" s="150"/>
      <c r="AO161" s="150"/>
      <c r="AP161" s="150"/>
      <c r="AQ161" s="150"/>
      <c r="AR161" s="150">
        <f t="shared" ref="AR161" si="1">SUM(AR9:AR160)</f>
        <v>24544</v>
      </c>
      <c r="AS161" s="150">
        <f t="shared" ref="AS161" si="2">SUM(AS9:AS160)</f>
        <v>28831</v>
      </c>
      <c r="AT161" s="150">
        <f t="shared" si="0"/>
        <v>32530</v>
      </c>
      <c r="AU161" s="150">
        <f t="shared" si="0"/>
        <v>37065</v>
      </c>
      <c r="AV161" s="150">
        <f t="shared" si="0"/>
        <v>40127</v>
      </c>
      <c r="AW161" s="150">
        <f t="shared" si="0"/>
        <v>42997</v>
      </c>
      <c r="AX161" s="150">
        <f t="shared" si="0"/>
        <v>47277</v>
      </c>
      <c r="AY161" s="150">
        <f t="shared" si="0"/>
        <v>49330</v>
      </c>
      <c r="AZ161" s="150">
        <f t="shared" si="0"/>
        <v>51922</v>
      </c>
      <c r="BA161" s="150">
        <f t="shared" si="0"/>
        <v>54090</v>
      </c>
      <c r="BB161" s="150">
        <f t="shared" si="0"/>
        <v>55658</v>
      </c>
      <c r="BC161" s="150">
        <f t="shared" si="0"/>
        <v>58034</v>
      </c>
      <c r="BD161" s="150">
        <f t="shared" si="0"/>
        <v>60111</v>
      </c>
      <c r="BE161" s="150">
        <f t="shared" si="0"/>
        <v>61829</v>
      </c>
      <c r="BF161" s="150">
        <f t="shared" si="0"/>
        <v>63331</v>
      </c>
      <c r="BG161" s="150">
        <f t="shared" si="0"/>
        <v>64462</v>
      </c>
      <c r="BH161" s="150">
        <f t="shared" si="0"/>
        <v>65765</v>
      </c>
      <c r="BI161" s="150">
        <f t="shared" si="0"/>
        <v>66913</v>
      </c>
      <c r="BJ161" s="150">
        <f t="shared" si="0"/>
        <v>68336</v>
      </c>
      <c r="BK161" s="150">
        <f t="shared" si="0"/>
        <v>69667</v>
      </c>
      <c r="BL161" s="150">
        <f t="shared" si="0"/>
        <v>71646</v>
      </c>
      <c r="BM161" s="150">
        <f t="shared" si="0"/>
        <v>72035</v>
      </c>
      <c r="BN161" s="150">
        <f t="shared" si="0"/>
        <v>73091</v>
      </c>
      <c r="BO161" s="150">
        <f t="shared" si="0"/>
        <v>0</v>
      </c>
      <c r="BP161" s="150">
        <f t="shared" si="0"/>
        <v>0</v>
      </c>
      <c r="BQ161" s="150">
        <f t="shared" si="0"/>
        <v>0</v>
      </c>
      <c r="BR161" s="150">
        <f t="shared" si="0"/>
        <v>0</v>
      </c>
      <c r="BS161" s="150">
        <f t="shared" si="0"/>
        <v>0</v>
      </c>
      <c r="BT161" s="150">
        <f t="shared" si="0"/>
        <v>0</v>
      </c>
      <c r="BU161" s="150">
        <f t="shared" ref="BU161:BY161" si="3">SUM(BU9:BU160)</f>
        <v>0</v>
      </c>
      <c r="BV161" s="150">
        <f t="shared" si="3"/>
        <v>0</v>
      </c>
      <c r="BW161" s="150">
        <f t="shared" si="3"/>
        <v>0</v>
      </c>
      <c r="BX161" s="150">
        <f t="shared" si="3"/>
        <v>0</v>
      </c>
      <c r="BY161" s="150">
        <f t="shared" si="3"/>
        <v>0</v>
      </c>
    </row>
    <row r="162" spans="1:77" x14ac:dyDescent="0.25">
      <c r="A162" s="8" t="s">
        <v>5</v>
      </c>
      <c r="B162" s="11"/>
      <c r="H162" s="151">
        <v>50078</v>
      </c>
      <c r="I162" s="151">
        <v>53440</v>
      </c>
      <c r="J162" s="151">
        <v>56730</v>
      </c>
      <c r="K162" s="151">
        <v>60977</v>
      </c>
      <c r="L162" s="151">
        <v>62662</v>
      </c>
      <c r="M162" s="151">
        <v>64081</v>
      </c>
      <c r="N162" s="151">
        <v>67864</v>
      </c>
      <c r="O162" s="151">
        <v>69805</v>
      </c>
      <c r="P162" s="151">
        <v>72487</v>
      </c>
      <c r="Q162" s="151">
        <v>74504</v>
      </c>
      <c r="R162" s="151">
        <v>75585</v>
      </c>
      <c r="S162" s="151">
        <v>77376</v>
      </c>
      <c r="T162" s="151">
        <v>79043</v>
      </c>
      <c r="U162" s="151">
        <v>80730</v>
      </c>
      <c r="V162" s="151">
        <v>82300</v>
      </c>
      <c r="W162" s="151">
        <v>83530</v>
      </c>
      <c r="X162" s="151">
        <v>84379</v>
      </c>
      <c r="Y162" s="151">
        <v>85611</v>
      </c>
      <c r="Z162" s="151">
        <v>87188</v>
      </c>
      <c r="AA162" s="151">
        <v>87919</v>
      </c>
      <c r="AB162" s="151">
        <v>88547</v>
      </c>
      <c r="AC162" s="151">
        <v>88783</v>
      </c>
      <c r="AD162" s="151">
        <v>90676</v>
      </c>
      <c r="AE162" s="151"/>
      <c r="AF162" s="151"/>
      <c r="AG162" s="151"/>
      <c r="AH162" s="151"/>
      <c r="AI162" s="151"/>
      <c r="AJ162" s="151"/>
      <c r="AK162" s="151"/>
      <c r="AL162" s="59"/>
      <c r="AM162" s="59"/>
      <c r="AN162" s="59"/>
      <c r="AO162" s="59"/>
      <c r="AQ162" s="59"/>
      <c r="AR162" s="151">
        <v>24531</v>
      </c>
      <c r="AS162" s="151">
        <v>28733</v>
      </c>
      <c r="AT162" s="151">
        <v>32455</v>
      </c>
      <c r="AU162" s="151">
        <v>37015</v>
      </c>
      <c r="AV162" s="151">
        <v>40085</v>
      </c>
      <c r="AW162" s="151">
        <v>42938</v>
      </c>
      <c r="AX162" s="151">
        <v>47137</v>
      </c>
      <c r="AY162" s="151">
        <v>49205</v>
      </c>
      <c r="AZ162" s="151">
        <v>51820</v>
      </c>
      <c r="BA162" s="151">
        <v>53997</v>
      </c>
      <c r="BB162" s="151">
        <v>55524</v>
      </c>
      <c r="BC162" s="151">
        <v>57960</v>
      </c>
      <c r="BD162" s="151">
        <v>59998</v>
      </c>
      <c r="BE162" s="151">
        <v>61718</v>
      </c>
      <c r="BF162" s="151">
        <v>63227</v>
      </c>
      <c r="BG162" s="151">
        <v>64365</v>
      </c>
      <c r="BH162" s="151">
        <v>65674</v>
      </c>
      <c r="BI162" s="151">
        <v>66825</v>
      </c>
      <c r="BJ162" s="151">
        <v>68220</v>
      </c>
      <c r="BK162" s="151">
        <v>69554</v>
      </c>
      <c r="BL162" s="151">
        <v>71501</v>
      </c>
      <c r="BM162" s="151">
        <v>71980</v>
      </c>
      <c r="BN162" s="151">
        <v>73036</v>
      </c>
      <c r="BO162" s="58"/>
      <c r="BP162" s="58"/>
      <c r="BQ162" s="58"/>
      <c r="BR162" s="58"/>
      <c r="BS162" s="58"/>
      <c r="BT162" s="58"/>
      <c r="BU162" s="58"/>
      <c r="BV162" s="58"/>
      <c r="BW162" s="58"/>
      <c r="BX162" s="58"/>
      <c r="BY162" s="58"/>
    </row>
    <row r="163" spans="1:77" ht="15.75" thickBot="1" x14ac:dyDescent="0.3">
      <c r="A163" s="12"/>
      <c r="B163" s="13"/>
      <c r="G163" s="50" t="s">
        <v>584</v>
      </c>
      <c r="H163" s="152">
        <f>H161-H162</f>
        <v>6</v>
      </c>
      <c r="I163" s="152">
        <f t="shared" ref="I163:BT163" si="4">I161-I162</f>
        <v>34</v>
      </c>
      <c r="J163" s="152">
        <f t="shared" si="4"/>
        <v>33</v>
      </c>
      <c r="K163" s="152">
        <f t="shared" si="4"/>
        <v>33</v>
      </c>
      <c r="L163" s="152">
        <f t="shared" si="4"/>
        <v>33</v>
      </c>
      <c r="M163" s="152">
        <f t="shared" si="4"/>
        <v>43</v>
      </c>
      <c r="N163" s="152">
        <f t="shared" si="4"/>
        <v>63</v>
      </c>
      <c r="O163" s="152">
        <f t="shared" si="4"/>
        <v>62</v>
      </c>
      <c r="P163" s="152">
        <f t="shared" si="4"/>
        <v>60</v>
      </c>
      <c r="Q163" s="152">
        <f t="shared" si="4"/>
        <v>58</v>
      </c>
      <c r="R163" s="152">
        <f t="shared" si="4"/>
        <v>72</v>
      </c>
      <c r="S163" s="152">
        <f t="shared" si="4"/>
        <v>66</v>
      </c>
      <c r="T163" s="152">
        <f t="shared" si="4"/>
        <v>67</v>
      </c>
      <c r="U163" s="152">
        <f t="shared" si="4"/>
        <v>66</v>
      </c>
      <c r="V163" s="152">
        <f t="shared" si="4"/>
        <v>64</v>
      </c>
      <c r="W163" s="152">
        <f t="shared" si="4"/>
        <v>64</v>
      </c>
      <c r="X163" s="152">
        <f t="shared" si="4"/>
        <v>64</v>
      </c>
      <c r="Y163" s="152">
        <f t="shared" si="4"/>
        <v>64</v>
      </c>
      <c r="Z163" s="152">
        <f t="shared" si="4"/>
        <v>76</v>
      </c>
      <c r="AA163" s="152">
        <f t="shared" si="4"/>
        <v>74</v>
      </c>
      <c r="AB163" s="152">
        <f t="shared" si="4"/>
        <v>95</v>
      </c>
      <c r="AC163" s="152">
        <f t="shared" si="4"/>
        <v>53</v>
      </c>
      <c r="AD163" s="152">
        <f t="shared" si="4"/>
        <v>53</v>
      </c>
      <c r="AE163" s="152"/>
      <c r="AF163" s="152"/>
      <c r="AG163" s="152"/>
      <c r="AH163" s="152"/>
      <c r="AI163" s="152"/>
      <c r="AJ163" s="152"/>
      <c r="AK163" s="152"/>
      <c r="AL163" s="152"/>
      <c r="AM163" s="152"/>
      <c r="AN163" s="152"/>
      <c r="AO163" s="152"/>
      <c r="AP163" s="152"/>
      <c r="AQ163" s="152"/>
      <c r="AR163" s="152">
        <f t="shared" ref="AR163" si="5">AR161-AR162</f>
        <v>13</v>
      </c>
      <c r="AS163" s="152">
        <f t="shared" ref="AS163" si="6">AS161-AS162</f>
        <v>98</v>
      </c>
      <c r="AT163" s="152">
        <f t="shared" ref="AT163" si="7">AT161-AT162</f>
        <v>75</v>
      </c>
      <c r="AU163" s="152">
        <f t="shared" si="4"/>
        <v>50</v>
      </c>
      <c r="AV163" s="152">
        <f t="shared" si="4"/>
        <v>42</v>
      </c>
      <c r="AW163" s="152">
        <f t="shared" si="4"/>
        <v>59</v>
      </c>
      <c r="AX163" s="152">
        <f t="shared" si="4"/>
        <v>140</v>
      </c>
      <c r="AY163" s="152">
        <f t="shared" si="4"/>
        <v>125</v>
      </c>
      <c r="AZ163" s="152">
        <f t="shared" si="4"/>
        <v>102</v>
      </c>
      <c r="BA163" s="152">
        <f t="shared" si="4"/>
        <v>93</v>
      </c>
      <c r="BB163" s="152">
        <f t="shared" si="4"/>
        <v>134</v>
      </c>
      <c r="BC163" s="152">
        <f t="shared" si="4"/>
        <v>74</v>
      </c>
      <c r="BD163" s="152">
        <f t="shared" si="4"/>
        <v>113</v>
      </c>
      <c r="BE163" s="152">
        <f t="shared" si="4"/>
        <v>111</v>
      </c>
      <c r="BF163" s="152">
        <f t="shared" si="4"/>
        <v>104</v>
      </c>
      <c r="BG163" s="152">
        <f t="shared" si="4"/>
        <v>97</v>
      </c>
      <c r="BH163" s="152">
        <f t="shared" si="4"/>
        <v>91</v>
      </c>
      <c r="BI163" s="152">
        <f t="shared" si="4"/>
        <v>88</v>
      </c>
      <c r="BJ163" s="152">
        <f t="shared" si="4"/>
        <v>116</v>
      </c>
      <c r="BK163" s="152">
        <f t="shared" si="4"/>
        <v>113</v>
      </c>
      <c r="BL163" s="152">
        <f t="shared" si="4"/>
        <v>145</v>
      </c>
      <c r="BM163" s="152">
        <f t="shared" si="4"/>
        <v>55</v>
      </c>
      <c r="BN163" s="152">
        <f t="shared" si="4"/>
        <v>55</v>
      </c>
      <c r="BO163" s="152">
        <f t="shared" si="4"/>
        <v>0</v>
      </c>
      <c r="BP163" s="152">
        <f t="shared" si="4"/>
        <v>0</v>
      </c>
      <c r="BQ163" s="152">
        <f t="shared" si="4"/>
        <v>0</v>
      </c>
      <c r="BR163" s="152">
        <f t="shared" si="4"/>
        <v>0</v>
      </c>
      <c r="BS163" s="152">
        <f t="shared" si="4"/>
        <v>0</v>
      </c>
      <c r="BT163" s="152">
        <f t="shared" si="4"/>
        <v>0</v>
      </c>
      <c r="BU163" s="152">
        <f t="shared" ref="BU163:BY163" si="8">BU161-BU162</f>
        <v>0</v>
      </c>
      <c r="BV163" s="152">
        <f t="shared" si="8"/>
        <v>0</v>
      </c>
      <c r="BW163" s="152">
        <f t="shared" si="8"/>
        <v>0</v>
      </c>
      <c r="BX163" s="152">
        <f t="shared" si="8"/>
        <v>0</v>
      </c>
      <c r="BY163" s="152">
        <f t="shared" si="8"/>
        <v>0</v>
      </c>
    </row>
    <row r="164" spans="1:77" x14ac:dyDescent="0.25">
      <c r="H164" s="55"/>
      <c r="I164" s="55"/>
      <c r="J164" s="55"/>
      <c r="K164" s="55"/>
      <c r="L164" s="55"/>
      <c r="M164" s="55"/>
      <c r="N164" s="55"/>
      <c r="O164" s="55"/>
      <c r="P164" s="55"/>
      <c r="Q164" s="55"/>
      <c r="R164" s="55"/>
      <c r="S164" s="55"/>
      <c r="T164" s="55"/>
      <c r="U164" s="55"/>
      <c r="V164" s="55"/>
      <c r="W164" s="55"/>
      <c r="X164" s="55"/>
      <c r="Y164" s="55"/>
      <c r="Z164" s="55"/>
      <c r="AA164" s="55"/>
      <c r="AB164" s="55"/>
      <c r="AC164" s="55"/>
      <c r="AD164" s="55"/>
      <c r="AR164" s="132"/>
      <c r="AS164" s="132"/>
      <c r="AT164" s="132"/>
      <c r="AU164" s="132"/>
      <c r="AV164" s="132"/>
      <c r="AW164" s="132"/>
      <c r="AX164" s="132"/>
      <c r="AY164" s="132"/>
      <c r="AZ164" s="132"/>
      <c r="BA164" s="132"/>
      <c r="BB164" s="132"/>
      <c r="BC164" s="132"/>
      <c r="BD164" s="132"/>
      <c r="BE164" s="132"/>
      <c r="BF164" s="132"/>
      <c r="BG164" s="132"/>
      <c r="BH164" s="132"/>
      <c r="BI164" s="132"/>
      <c r="BJ164" s="132"/>
      <c r="BK164" s="132"/>
      <c r="BL164" s="132"/>
      <c r="BM164" s="132"/>
      <c r="BN164" s="132"/>
      <c r="BO164" s="132"/>
      <c r="BP164" s="132"/>
      <c r="BQ164" s="132"/>
      <c r="BR164" s="132"/>
      <c r="BS164" s="132"/>
      <c r="BT164" s="132"/>
      <c r="BU164" s="132"/>
      <c r="BV164" s="132"/>
      <c r="BW164" s="132"/>
      <c r="BX164" s="132"/>
      <c r="BY164" s="132"/>
    </row>
    <row r="165" spans="1:77" ht="20.25" x14ac:dyDescent="0.3">
      <c r="A165" s="1" t="s">
        <v>0</v>
      </c>
      <c r="B165" s="2"/>
      <c r="H165" s="55"/>
      <c r="I165" s="55"/>
      <c r="J165" s="55"/>
      <c r="K165" s="55"/>
      <c r="L165" s="55"/>
      <c r="M165" s="55"/>
      <c r="N165" s="55"/>
      <c r="O165" s="55"/>
      <c r="P165" s="55"/>
      <c r="Q165" s="55"/>
      <c r="R165" s="55"/>
      <c r="S165" s="55"/>
      <c r="T165" s="55"/>
      <c r="U165" s="55"/>
      <c r="V165" s="55"/>
      <c r="W165" s="55"/>
      <c r="X165" s="55"/>
      <c r="Y165" s="55"/>
      <c r="Z165" s="55"/>
      <c r="AA165" s="55"/>
      <c r="AB165" s="55"/>
      <c r="AC165" s="55"/>
      <c r="AD165" s="55"/>
      <c r="AR165" s="132"/>
      <c r="AS165" s="132"/>
      <c r="AT165" s="132"/>
      <c r="AU165" s="132"/>
      <c r="AV165" s="132"/>
      <c r="AW165" s="132"/>
      <c r="AX165" s="132"/>
      <c r="AY165" s="132"/>
      <c r="AZ165" s="132"/>
      <c r="BA165" s="132"/>
      <c r="BB165" s="132"/>
      <c r="BC165" s="132"/>
      <c r="BD165" s="132"/>
      <c r="BE165" s="132"/>
      <c r="BF165" s="132"/>
      <c r="BG165" s="132"/>
      <c r="BH165" s="132"/>
      <c r="BI165" s="132"/>
      <c r="BJ165" s="132"/>
      <c r="BK165" s="132"/>
      <c r="BL165" s="132"/>
      <c r="BM165" s="132"/>
      <c r="BN165" s="132"/>
      <c r="BO165" s="132"/>
      <c r="BP165" s="132"/>
      <c r="BQ165" s="132"/>
      <c r="BR165" s="132"/>
      <c r="BS165" s="132"/>
      <c r="BT165" s="132"/>
      <c r="BU165" s="132"/>
      <c r="BV165" s="132"/>
      <c r="BW165" s="132"/>
      <c r="BX165" s="132"/>
      <c r="BY165" s="132"/>
    </row>
    <row r="166" spans="1:77" x14ac:dyDescent="0.25">
      <c r="A166" s="3" t="s">
        <v>1</v>
      </c>
      <c r="B166" s="2"/>
      <c r="H166" s="55"/>
      <c r="I166" s="55"/>
      <c r="J166" s="55"/>
      <c r="K166" s="55"/>
      <c r="L166" s="55"/>
      <c r="M166" s="55"/>
      <c r="N166" s="55"/>
      <c r="O166" s="55"/>
      <c r="P166" s="55"/>
      <c r="Q166" s="55"/>
      <c r="R166" s="55"/>
      <c r="S166" s="55"/>
      <c r="T166" s="55"/>
      <c r="U166" s="55"/>
      <c r="V166" s="55"/>
      <c r="W166" s="55"/>
      <c r="X166" s="55"/>
      <c r="Y166" s="55"/>
      <c r="Z166" s="55"/>
      <c r="AA166" s="55"/>
      <c r="AB166" s="55"/>
      <c r="AC166" s="55"/>
      <c r="AD166" s="55"/>
      <c r="AR166" s="132"/>
      <c r="AS166" s="132"/>
      <c r="AT166" s="132"/>
      <c r="AU166" s="132"/>
      <c r="AV166" s="132"/>
      <c r="AW166" s="132"/>
      <c r="AX166" s="132"/>
      <c r="AY166" s="132"/>
      <c r="AZ166" s="132"/>
      <c r="BA166" s="132"/>
      <c r="BB166" s="132"/>
      <c r="BC166" s="132"/>
      <c r="BD166" s="132"/>
      <c r="BE166" s="132"/>
      <c r="BF166" s="132"/>
      <c r="BG166" s="132"/>
      <c r="BH166" s="132"/>
      <c r="BI166" s="132"/>
      <c r="BJ166" s="132"/>
      <c r="BK166" s="132"/>
      <c r="BL166" s="132"/>
      <c r="BM166" s="132"/>
      <c r="BN166" s="132"/>
      <c r="BO166" s="132"/>
      <c r="BP166" s="132"/>
      <c r="BQ166" s="132"/>
      <c r="BR166" s="132"/>
      <c r="BS166" s="132"/>
      <c r="BT166" s="132"/>
      <c r="BU166" s="132"/>
      <c r="BV166" s="132"/>
      <c r="BW166" s="132"/>
      <c r="BX166" s="132"/>
      <c r="BY166" s="132"/>
    </row>
    <row r="167" spans="1:77" x14ac:dyDescent="0.25">
      <c r="A167" s="29"/>
      <c r="B167" s="2"/>
      <c r="H167" s="55"/>
      <c r="I167" s="55"/>
      <c r="J167" s="55"/>
      <c r="K167" s="55"/>
      <c r="L167" s="55"/>
      <c r="M167" s="55"/>
      <c r="N167" s="55"/>
      <c r="O167" s="55"/>
      <c r="P167" s="55"/>
      <c r="Q167" s="55"/>
      <c r="R167" s="55"/>
      <c r="S167" s="55"/>
      <c r="T167" s="55"/>
      <c r="U167" s="55"/>
      <c r="V167" s="55"/>
      <c r="W167" s="55"/>
      <c r="X167" s="55"/>
      <c r="Y167" s="55"/>
      <c r="Z167" s="55"/>
      <c r="AA167" s="55"/>
      <c r="AB167" s="55"/>
      <c r="AC167" s="55"/>
      <c r="AD167" s="55"/>
      <c r="AR167" s="132"/>
      <c r="AS167" s="132"/>
      <c r="AT167" s="132"/>
      <c r="AU167" s="132"/>
      <c r="AV167" s="132"/>
      <c r="AW167" s="132"/>
      <c r="AX167" s="132"/>
      <c r="AY167" s="132"/>
      <c r="AZ167" s="132"/>
      <c r="BA167" s="132"/>
      <c r="BB167" s="132"/>
      <c r="BC167" s="132"/>
      <c r="BD167" s="132"/>
      <c r="BE167" s="132"/>
      <c r="BF167" s="132"/>
      <c r="BG167" s="132"/>
      <c r="BH167" s="132"/>
      <c r="BI167" s="132"/>
      <c r="BJ167" s="132"/>
      <c r="BK167" s="132"/>
      <c r="BL167" s="132"/>
      <c r="BM167" s="132"/>
      <c r="BN167" s="132"/>
      <c r="BO167" s="132"/>
      <c r="BP167" s="132"/>
      <c r="BQ167" s="132"/>
      <c r="BR167" s="132"/>
      <c r="BS167" s="132"/>
      <c r="BT167" s="132"/>
      <c r="BU167" s="132"/>
      <c r="BV167" s="132"/>
      <c r="BW167" s="132"/>
      <c r="BX167" s="132"/>
      <c r="BY167" s="132"/>
    </row>
    <row r="168" spans="1:77" x14ac:dyDescent="0.25">
      <c r="A168" s="5" t="s">
        <v>385</v>
      </c>
      <c r="B168" s="6"/>
      <c r="H168" s="55"/>
      <c r="I168" s="55"/>
      <c r="J168" s="55"/>
      <c r="K168" s="55"/>
      <c r="L168" s="55"/>
      <c r="M168" s="55"/>
      <c r="N168" s="55"/>
      <c r="O168" s="55"/>
      <c r="P168" s="55"/>
      <c r="Q168" s="55"/>
      <c r="R168" s="55"/>
      <c r="S168" s="55"/>
      <c r="T168" s="55"/>
      <c r="U168" s="55"/>
      <c r="V168" s="55"/>
      <c r="W168" s="55"/>
      <c r="X168" s="55"/>
      <c r="Y168" s="55"/>
      <c r="Z168" s="55"/>
      <c r="AA168" s="55"/>
      <c r="AB168" s="55"/>
      <c r="AC168" s="55"/>
      <c r="AD168" s="55"/>
      <c r="AR168" s="132"/>
      <c r="AS168" s="132"/>
      <c r="AT168" s="132"/>
      <c r="AU168" s="132"/>
      <c r="AV168" s="132"/>
      <c r="AW168" s="132"/>
      <c r="AX168" s="132"/>
      <c r="AY168" s="132"/>
      <c r="AZ168" s="132"/>
      <c r="BA168" s="132"/>
      <c r="BB168" s="132"/>
      <c r="BC168" s="132"/>
      <c r="BD168" s="132"/>
      <c r="BE168" s="132"/>
      <c r="BF168" s="132"/>
      <c r="BG168" s="132"/>
      <c r="BH168" s="132"/>
      <c r="BI168" s="132"/>
      <c r="BJ168" s="132"/>
      <c r="BK168" s="132"/>
      <c r="BL168" s="132"/>
      <c r="BM168" s="132"/>
      <c r="BN168" s="132"/>
      <c r="BO168" s="132"/>
      <c r="BP168" s="132"/>
      <c r="BQ168" s="132"/>
      <c r="BR168" s="132"/>
      <c r="BS168" s="132"/>
      <c r="BT168" s="132"/>
      <c r="BU168" s="132"/>
      <c r="BV168" s="132"/>
      <c r="BW168" s="132"/>
      <c r="BX168" s="132"/>
      <c r="BY168" s="132"/>
    </row>
    <row r="169" spans="1:77" x14ac:dyDescent="0.25">
      <c r="A169" s="7"/>
      <c r="B169" s="6"/>
      <c r="H169" s="55"/>
      <c r="I169" s="55"/>
      <c r="J169" s="55"/>
      <c r="K169" s="55"/>
      <c r="L169" s="55"/>
      <c r="M169" s="55"/>
      <c r="N169" s="55"/>
      <c r="O169" s="55"/>
      <c r="P169" s="55"/>
      <c r="Q169" s="55"/>
      <c r="R169" s="55"/>
      <c r="S169" s="55"/>
      <c r="T169" s="55"/>
      <c r="U169" s="55"/>
      <c r="V169" s="55"/>
      <c r="W169" s="55"/>
      <c r="X169" s="55"/>
      <c r="Y169" s="55"/>
      <c r="Z169" s="55"/>
      <c r="AA169" s="55"/>
      <c r="AB169" s="55"/>
      <c r="AC169" s="55"/>
      <c r="AD169" s="55"/>
      <c r="AR169" s="132"/>
      <c r="AS169" s="132"/>
      <c r="AT169" s="132"/>
      <c r="AU169" s="132"/>
      <c r="AV169" s="132"/>
      <c r="AW169" s="132"/>
      <c r="AX169" s="132"/>
      <c r="AY169" s="132"/>
      <c r="AZ169" s="132"/>
      <c r="BA169" s="132"/>
      <c r="BB169" s="132"/>
      <c r="BC169" s="132"/>
      <c r="BD169" s="132"/>
      <c r="BE169" s="132"/>
      <c r="BF169" s="132"/>
      <c r="BG169" s="132"/>
      <c r="BH169" s="132"/>
      <c r="BI169" s="132"/>
      <c r="BJ169" s="132"/>
      <c r="BK169" s="132"/>
      <c r="BL169" s="132"/>
      <c r="BM169" s="132"/>
      <c r="BN169" s="132"/>
      <c r="BO169" s="132"/>
      <c r="BP169" s="132"/>
      <c r="BQ169" s="132"/>
      <c r="BR169" s="132"/>
      <c r="BS169" s="132"/>
      <c r="BT169" s="132"/>
      <c r="BU169" s="132"/>
      <c r="BV169" s="132"/>
      <c r="BW169" s="132"/>
      <c r="BX169" s="132"/>
      <c r="BY169" s="132"/>
    </row>
    <row r="170" spans="1:77" x14ac:dyDescent="0.25">
      <c r="A170" s="8" t="s">
        <v>386</v>
      </c>
      <c r="B170" s="30"/>
      <c r="H170" s="55"/>
      <c r="I170" s="55"/>
      <c r="J170" s="55"/>
      <c r="K170" s="55"/>
      <c r="L170" s="55"/>
      <c r="M170" s="55"/>
      <c r="N170" s="55"/>
      <c r="O170" s="55"/>
      <c r="P170" s="55"/>
      <c r="Q170" s="55"/>
      <c r="R170" s="55"/>
      <c r="S170" s="55"/>
      <c r="T170" s="55"/>
      <c r="U170" s="55"/>
      <c r="V170" s="55"/>
      <c r="W170" s="55"/>
      <c r="X170" s="55"/>
      <c r="Y170" s="55"/>
      <c r="Z170" s="55"/>
      <c r="AA170" s="55"/>
      <c r="AB170" s="55"/>
      <c r="AC170" s="55"/>
      <c r="AD170" s="55"/>
      <c r="AR170" s="132"/>
      <c r="AS170" s="132"/>
      <c r="AT170" s="132"/>
      <c r="AU170" s="132"/>
      <c r="AV170" s="132"/>
      <c r="AW170" s="132"/>
      <c r="AX170" s="132"/>
      <c r="AY170" s="132"/>
      <c r="AZ170" s="132"/>
      <c r="BA170" s="132"/>
      <c r="BB170" s="132"/>
      <c r="BC170" s="132"/>
      <c r="BD170" s="132"/>
      <c r="BE170" s="132"/>
      <c r="BF170" s="132"/>
      <c r="BG170" s="132"/>
      <c r="BH170" s="132"/>
      <c r="BI170" s="132"/>
      <c r="BJ170" s="132"/>
      <c r="BK170" s="132"/>
      <c r="BL170" s="132"/>
      <c r="BM170" s="132"/>
      <c r="BN170" s="132"/>
      <c r="BO170" s="132"/>
      <c r="BP170" s="132"/>
      <c r="BQ170" s="132"/>
      <c r="BR170" s="132"/>
      <c r="BS170" s="132"/>
      <c r="BT170" s="132"/>
      <c r="BU170" s="132"/>
      <c r="BV170" s="132"/>
      <c r="BW170" s="132"/>
      <c r="BX170" s="132"/>
      <c r="BY170" s="132"/>
    </row>
    <row r="171" spans="1:77" x14ac:dyDescent="0.25">
      <c r="A171" s="9"/>
      <c r="B171" s="2"/>
      <c r="H171" s="55"/>
      <c r="I171" s="55"/>
      <c r="J171" s="55"/>
      <c r="K171" s="55"/>
      <c r="L171" s="55"/>
      <c r="M171" s="55"/>
      <c r="N171" s="55"/>
      <c r="O171" s="55"/>
      <c r="P171" s="55"/>
      <c r="Q171" s="55"/>
      <c r="R171" s="55"/>
      <c r="S171" s="55"/>
      <c r="T171" s="55"/>
      <c r="U171" s="55"/>
      <c r="V171" s="55"/>
      <c r="W171" s="55"/>
      <c r="X171" s="55"/>
      <c r="Y171" s="55"/>
      <c r="Z171" s="55"/>
      <c r="AA171" s="55"/>
      <c r="AB171" s="55"/>
      <c r="AC171" s="55"/>
      <c r="AD171" s="55"/>
      <c r="AR171" s="132"/>
      <c r="AS171" s="132"/>
      <c r="AT171" s="132"/>
      <c r="AU171" s="132"/>
      <c r="AV171" s="132"/>
      <c r="AW171" s="132"/>
      <c r="AX171" s="132"/>
      <c r="AY171" s="132"/>
      <c r="AZ171" s="132"/>
      <c r="BA171" s="132"/>
      <c r="BB171" s="132"/>
      <c r="BC171" s="132"/>
      <c r="BD171" s="132"/>
      <c r="BE171" s="132"/>
      <c r="BF171" s="132"/>
      <c r="BG171" s="132"/>
      <c r="BH171" s="132"/>
      <c r="BI171" s="132"/>
      <c r="BJ171" s="132"/>
      <c r="BK171" s="132"/>
      <c r="BL171" s="132"/>
      <c r="BM171" s="132"/>
      <c r="BN171" s="132"/>
      <c r="BO171" s="132"/>
      <c r="BP171" s="132"/>
      <c r="BQ171" s="132"/>
      <c r="BR171" s="132"/>
      <c r="BS171" s="132"/>
      <c r="BT171" s="132"/>
      <c r="BU171" s="132"/>
      <c r="BV171" s="132"/>
      <c r="BW171" s="132"/>
      <c r="BX171" s="132"/>
      <c r="BY171" s="132"/>
    </row>
    <row r="172" spans="1:77" x14ac:dyDescent="0.25">
      <c r="A172" s="10" t="s">
        <v>3</v>
      </c>
      <c r="B172" s="31" t="s">
        <v>4</v>
      </c>
      <c r="H172" s="55"/>
      <c r="I172" s="55"/>
      <c r="J172" s="55"/>
      <c r="K172" s="55"/>
      <c r="L172" s="55"/>
      <c r="M172" s="55"/>
      <c r="N172" s="55"/>
      <c r="O172" s="55"/>
      <c r="P172" s="55"/>
      <c r="Q172" s="55"/>
      <c r="R172" s="55"/>
      <c r="S172" s="55"/>
      <c r="T172" s="55"/>
      <c r="U172" s="55"/>
      <c r="V172" s="55"/>
      <c r="W172" s="55"/>
      <c r="X172" s="55"/>
      <c r="Y172" s="55"/>
      <c r="Z172" s="55"/>
      <c r="AA172" s="55"/>
      <c r="AB172" s="55"/>
      <c r="AC172" s="55"/>
      <c r="AD172" s="55"/>
      <c r="AR172" s="132"/>
      <c r="AS172" s="132"/>
      <c r="AT172" s="132"/>
      <c r="AU172" s="132"/>
      <c r="AV172" s="132"/>
      <c r="AW172" s="132"/>
      <c r="AX172" s="132"/>
      <c r="AY172" s="132"/>
      <c r="AZ172" s="132"/>
      <c r="BA172" s="132"/>
      <c r="BB172" s="132"/>
      <c r="BC172" s="132"/>
      <c r="BD172" s="132"/>
      <c r="BE172" s="132"/>
      <c r="BF172" s="132"/>
      <c r="BG172" s="132"/>
      <c r="BH172" s="132"/>
      <c r="BI172" s="132"/>
      <c r="BJ172" s="132"/>
      <c r="BK172" s="132"/>
      <c r="BL172" s="132"/>
      <c r="BM172" s="132"/>
      <c r="BN172" s="132"/>
      <c r="BO172" s="132"/>
      <c r="BP172" s="132"/>
      <c r="BQ172" s="132"/>
      <c r="BR172" s="132"/>
      <c r="BS172" s="132"/>
      <c r="BT172" s="132"/>
      <c r="BU172" s="132"/>
      <c r="BV172" s="132"/>
      <c r="BW172" s="132"/>
      <c r="BX172" s="132"/>
      <c r="BY172" s="132"/>
    </row>
    <row r="173" spans="1:77" x14ac:dyDescent="0.25">
      <c r="A173" s="4"/>
      <c r="B173" s="6"/>
      <c r="H173" s="55"/>
      <c r="I173" s="55"/>
      <c r="J173" s="55"/>
      <c r="K173" s="55"/>
      <c r="L173" s="55"/>
      <c r="M173" s="55"/>
      <c r="N173" s="55"/>
      <c r="O173" s="55"/>
      <c r="P173" s="55"/>
      <c r="Q173" s="55"/>
      <c r="R173" s="55"/>
      <c r="S173" s="55"/>
      <c r="T173" s="55"/>
      <c r="U173" s="55"/>
      <c r="V173" s="55"/>
      <c r="W173" s="55"/>
      <c r="X173" s="55"/>
      <c r="Y173" s="55"/>
      <c r="Z173" s="55"/>
      <c r="AA173" s="55"/>
      <c r="AB173" s="55"/>
      <c r="AC173" s="55"/>
      <c r="AD173" s="55"/>
      <c r="AR173" s="132"/>
      <c r="AS173" s="132"/>
      <c r="AT173" s="132"/>
      <c r="AU173" s="132"/>
      <c r="AV173" s="132"/>
      <c r="AW173" s="132"/>
      <c r="AX173" s="132"/>
      <c r="AY173" s="132"/>
      <c r="AZ173" s="132"/>
      <c r="BA173" s="132"/>
      <c r="BB173" s="132"/>
      <c r="BC173" s="132"/>
      <c r="BD173" s="132"/>
      <c r="BE173" s="132"/>
      <c r="BF173" s="132"/>
      <c r="BG173" s="132"/>
      <c r="BH173" s="132"/>
      <c r="BI173" s="132"/>
      <c r="BJ173" s="132"/>
      <c r="BK173" s="132"/>
      <c r="BL173" s="132"/>
      <c r="BM173" s="132"/>
      <c r="BN173" s="132"/>
      <c r="BO173" s="132"/>
      <c r="BP173" s="132"/>
      <c r="BQ173" s="132"/>
      <c r="BR173" s="132"/>
      <c r="BS173" s="132"/>
      <c r="BT173" s="132"/>
      <c r="BU173" s="132"/>
      <c r="BV173" s="132"/>
      <c r="BW173" s="132"/>
      <c r="BX173" s="132"/>
      <c r="BY173" s="132"/>
    </row>
    <row r="174" spans="1:77" x14ac:dyDescent="0.25">
      <c r="A174" s="4" t="s">
        <v>387</v>
      </c>
      <c r="B174" s="6" t="s">
        <v>388</v>
      </c>
      <c r="H174" s="93">
        <v>97</v>
      </c>
      <c r="I174" s="94">
        <v>97</v>
      </c>
      <c r="J174" s="94">
        <v>101</v>
      </c>
      <c r="K174" s="94">
        <v>108</v>
      </c>
      <c r="L174" s="95">
        <v>111</v>
      </c>
      <c r="M174" s="95">
        <v>111</v>
      </c>
      <c r="N174" s="96">
        <v>117</v>
      </c>
      <c r="O174" s="95">
        <v>119</v>
      </c>
      <c r="P174" s="90">
        <v>122</v>
      </c>
      <c r="Q174" s="94">
        <v>129</v>
      </c>
      <c r="R174" s="94">
        <v>129</v>
      </c>
      <c r="S174" s="94">
        <v>130</v>
      </c>
      <c r="T174" s="95">
        <v>130</v>
      </c>
      <c r="U174" s="95">
        <v>131</v>
      </c>
      <c r="V174" s="94">
        <v>132</v>
      </c>
      <c r="W174" s="94">
        <v>134</v>
      </c>
      <c r="X174" s="94">
        <v>135</v>
      </c>
      <c r="Y174" s="95">
        <v>136</v>
      </c>
      <c r="Z174" s="94">
        <v>137</v>
      </c>
      <c r="AA174" s="94">
        <v>137</v>
      </c>
      <c r="AB174" s="94">
        <v>139</v>
      </c>
      <c r="AC174" s="94">
        <v>138</v>
      </c>
      <c r="AD174" s="94">
        <v>143</v>
      </c>
      <c r="AR174" s="132">
        <v>46</v>
      </c>
      <c r="AS174" s="136">
        <v>52</v>
      </c>
      <c r="AT174" s="136">
        <v>59</v>
      </c>
      <c r="AU174" s="136">
        <v>70</v>
      </c>
      <c r="AV174" s="133">
        <v>73</v>
      </c>
      <c r="AW174" s="133">
        <v>78</v>
      </c>
      <c r="AX174" s="137">
        <v>80</v>
      </c>
      <c r="AY174" s="133">
        <v>80</v>
      </c>
      <c r="AZ174" s="133">
        <v>83</v>
      </c>
      <c r="BA174" s="136">
        <v>85</v>
      </c>
      <c r="BB174" s="136">
        <v>87</v>
      </c>
      <c r="BC174" s="136">
        <v>95</v>
      </c>
      <c r="BD174" s="133">
        <v>99</v>
      </c>
      <c r="BE174" s="133">
        <v>100</v>
      </c>
      <c r="BF174" s="136">
        <v>100</v>
      </c>
      <c r="BG174" s="136">
        <v>102</v>
      </c>
      <c r="BH174" s="136">
        <v>102</v>
      </c>
      <c r="BI174" s="133">
        <v>102</v>
      </c>
      <c r="BJ174" s="136">
        <v>102</v>
      </c>
      <c r="BK174" s="136">
        <v>102</v>
      </c>
      <c r="BL174" s="136">
        <v>103</v>
      </c>
      <c r="BM174" s="136">
        <v>104</v>
      </c>
      <c r="BN174" s="136">
        <v>105</v>
      </c>
      <c r="BO174" s="132"/>
      <c r="BP174" s="132"/>
      <c r="BQ174" s="132"/>
      <c r="BR174" s="132"/>
      <c r="BS174" s="132"/>
      <c r="BT174" s="132"/>
      <c r="BU174" s="132"/>
      <c r="BV174" s="132"/>
      <c r="BW174" s="132"/>
      <c r="BX174" s="132"/>
      <c r="BY174" s="132"/>
    </row>
    <row r="175" spans="1:77" x14ac:dyDescent="0.25">
      <c r="A175" s="4" t="s">
        <v>389</v>
      </c>
      <c r="B175" s="6" t="s">
        <v>390</v>
      </c>
      <c r="H175" s="93">
        <v>122</v>
      </c>
      <c r="I175" s="94">
        <v>130</v>
      </c>
      <c r="J175" s="94">
        <v>146</v>
      </c>
      <c r="K175" s="94">
        <v>159</v>
      </c>
      <c r="L175" s="95">
        <v>163</v>
      </c>
      <c r="M175" s="95">
        <v>167</v>
      </c>
      <c r="N175" s="96">
        <v>185</v>
      </c>
      <c r="O175" s="95">
        <v>186</v>
      </c>
      <c r="P175" s="90">
        <v>195</v>
      </c>
      <c r="Q175" s="94">
        <v>193</v>
      </c>
      <c r="R175" s="94">
        <v>199</v>
      </c>
      <c r="S175" s="94">
        <v>204</v>
      </c>
      <c r="T175" s="95">
        <v>207</v>
      </c>
      <c r="U175" s="95">
        <v>211</v>
      </c>
      <c r="V175" s="94">
        <v>219</v>
      </c>
      <c r="W175" s="94">
        <v>221</v>
      </c>
      <c r="X175" s="94">
        <v>226</v>
      </c>
      <c r="Y175" s="95">
        <v>234</v>
      </c>
      <c r="Z175" s="94">
        <v>238</v>
      </c>
      <c r="AA175" s="94">
        <v>238</v>
      </c>
      <c r="AB175" s="94">
        <v>239</v>
      </c>
      <c r="AC175" s="94">
        <v>240</v>
      </c>
      <c r="AD175" s="94">
        <v>245</v>
      </c>
      <c r="AR175" s="132">
        <v>47</v>
      </c>
      <c r="AS175" s="136">
        <v>53</v>
      </c>
      <c r="AT175" s="136">
        <v>58</v>
      </c>
      <c r="AU175" s="136">
        <v>69</v>
      </c>
      <c r="AV175" s="133">
        <v>79</v>
      </c>
      <c r="AW175" s="133">
        <v>86</v>
      </c>
      <c r="AX175" s="137">
        <v>94</v>
      </c>
      <c r="AY175" s="133">
        <v>106</v>
      </c>
      <c r="AZ175" s="133">
        <v>110</v>
      </c>
      <c r="BA175" s="136">
        <v>124</v>
      </c>
      <c r="BB175" s="136">
        <v>124</v>
      </c>
      <c r="BC175" s="136">
        <v>127</v>
      </c>
      <c r="BD175" s="133">
        <v>134</v>
      </c>
      <c r="BE175" s="133">
        <v>144</v>
      </c>
      <c r="BF175" s="136">
        <v>155</v>
      </c>
      <c r="BG175" s="136">
        <v>155</v>
      </c>
      <c r="BH175" s="136">
        <v>159</v>
      </c>
      <c r="BI175" s="133">
        <v>160</v>
      </c>
      <c r="BJ175" s="136">
        <v>168</v>
      </c>
      <c r="BK175" s="136">
        <v>174</v>
      </c>
      <c r="BL175" s="136">
        <v>180</v>
      </c>
      <c r="BM175" s="136">
        <v>185</v>
      </c>
      <c r="BN175" s="136">
        <v>185</v>
      </c>
      <c r="BO175" s="132"/>
      <c r="BP175" s="132"/>
      <c r="BQ175" s="132"/>
      <c r="BR175" s="132"/>
      <c r="BS175" s="132"/>
      <c r="BT175" s="132"/>
      <c r="BU175" s="132"/>
      <c r="BV175" s="132"/>
      <c r="BW175" s="132"/>
      <c r="BX175" s="132"/>
      <c r="BY175" s="132"/>
    </row>
    <row r="176" spans="1:77" x14ac:dyDescent="0.25">
      <c r="A176" s="4" t="s">
        <v>391</v>
      </c>
      <c r="B176" s="6" t="s">
        <v>392</v>
      </c>
      <c r="H176" s="93">
        <v>94</v>
      </c>
      <c r="I176" s="94">
        <v>97</v>
      </c>
      <c r="J176" s="94">
        <v>113</v>
      </c>
      <c r="K176" s="94">
        <v>127</v>
      </c>
      <c r="L176" s="95">
        <v>132</v>
      </c>
      <c r="M176" s="95">
        <v>142</v>
      </c>
      <c r="N176" s="96">
        <v>157</v>
      </c>
      <c r="O176" s="95">
        <v>160</v>
      </c>
      <c r="P176" s="90">
        <v>170</v>
      </c>
      <c r="Q176" s="94">
        <v>174</v>
      </c>
      <c r="R176" s="94">
        <v>179</v>
      </c>
      <c r="S176" s="94">
        <v>180</v>
      </c>
      <c r="T176" s="95">
        <v>181</v>
      </c>
      <c r="U176" s="95">
        <v>190</v>
      </c>
      <c r="V176" s="94">
        <v>194</v>
      </c>
      <c r="W176" s="94">
        <v>197</v>
      </c>
      <c r="X176" s="94">
        <v>199</v>
      </c>
      <c r="Y176" s="95">
        <v>199</v>
      </c>
      <c r="Z176" s="94">
        <v>203</v>
      </c>
      <c r="AA176" s="94">
        <v>203</v>
      </c>
      <c r="AB176" s="94">
        <v>206</v>
      </c>
      <c r="AC176" s="94">
        <v>208</v>
      </c>
      <c r="AD176" s="94">
        <v>216</v>
      </c>
      <c r="AR176" s="132">
        <v>45</v>
      </c>
      <c r="AS176" s="136">
        <v>59</v>
      </c>
      <c r="AT176" s="136">
        <v>61</v>
      </c>
      <c r="AU176" s="136">
        <v>71</v>
      </c>
      <c r="AV176" s="133">
        <v>89</v>
      </c>
      <c r="AW176" s="133">
        <v>94</v>
      </c>
      <c r="AX176" s="137">
        <v>106</v>
      </c>
      <c r="AY176" s="133">
        <v>109</v>
      </c>
      <c r="AZ176" s="133">
        <v>111</v>
      </c>
      <c r="BA176" s="136">
        <v>115</v>
      </c>
      <c r="BB176" s="136">
        <v>122</v>
      </c>
      <c r="BC176" s="136">
        <v>138</v>
      </c>
      <c r="BD176" s="133">
        <v>148</v>
      </c>
      <c r="BE176" s="133">
        <v>150</v>
      </c>
      <c r="BF176" s="136">
        <v>155</v>
      </c>
      <c r="BG176" s="136">
        <v>157</v>
      </c>
      <c r="BH176" s="136">
        <v>161</v>
      </c>
      <c r="BI176" s="133">
        <v>163</v>
      </c>
      <c r="BJ176" s="136">
        <v>163</v>
      </c>
      <c r="BK176" s="136">
        <v>165</v>
      </c>
      <c r="BL176" s="136">
        <v>168</v>
      </c>
      <c r="BM176" s="136">
        <v>168</v>
      </c>
      <c r="BN176" s="136">
        <v>169</v>
      </c>
      <c r="BO176" s="132"/>
      <c r="BP176" s="132"/>
      <c r="BQ176" s="132"/>
      <c r="BR176" s="132"/>
      <c r="BS176" s="132"/>
      <c r="BT176" s="132"/>
      <c r="BU176" s="132"/>
      <c r="BV176" s="132"/>
      <c r="BW176" s="132"/>
      <c r="BX176" s="132"/>
      <c r="BY176" s="132"/>
    </row>
    <row r="177" spans="1:77" x14ac:dyDescent="0.25">
      <c r="A177" s="4" t="s">
        <v>393</v>
      </c>
      <c r="B177" s="6" t="s">
        <v>394</v>
      </c>
      <c r="H177" s="93">
        <v>92</v>
      </c>
      <c r="I177" s="94">
        <v>103</v>
      </c>
      <c r="J177" s="94">
        <v>104</v>
      </c>
      <c r="K177" s="94">
        <v>120</v>
      </c>
      <c r="L177" s="95">
        <v>124</v>
      </c>
      <c r="M177" s="95">
        <v>127</v>
      </c>
      <c r="N177" s="96">
        <v>135</v>
      </c>
      <c r="O177" s="95">
        <v>141</v>
      </c>
      <c r="P177" s="90">
        <v>141</v>
      </c>
      <c r="Q177" s="94">
        <v>148</v>
      </c>
      <c r="R177" s="94">
        <v>148</v>
      </c>
      <c r="S177" s="94">
        <v>148</v>
      </c>
      <c r="T177" s="95">
        <v>148</v>
      </c>
      <c r="U177" s="95">
        <v>159</v>
      </c>
      <c r="V177" s="94">
        <v>160</v>
      </c>
      <c r="W177" s="94">
        <v>160</v>
      </c>
      <c r="X177" s="94">
        <v>160</v>
      </c>
      <c r="Y177" s="95">
        <v>161</v>
      </c>
      <c r="Z177" s="94">
        <v>161</v>
      </c>
      <c r="AA177" s="94">
        <v>161</v>
      </c>
      <c r="AB177" s="94">
        <v>161</v>
      </c>
      <c r="AC177" s="94">
        <v>162</v>
      </c>
      <c r="AD177" s="94">
        <v>170</v>
      </c>
      <c r="AR177" s="132">
        <v>30</v>
      </c>
      <c r="AS177" s="136">
        <v>30</v>
      </c>
      <c r="AT177" s="136">
        <v>37</v>
      </c>
      <c r="AU177" s="136">
        <v>45</v>
      </c>
      <c r="AV177" s="133">
        <v>49</v>
      </c>
      <c r="AW177" s="133">
        <v>54</v>
      </c>
      <c r="AX177" s="137">
        <v>69</v>
      </c>
      <c r="AY177" s="133">
        <v>75</v>
      </c>
      <c r="AZ177" s="133">
        <v>78</v>
      </c>
      <c r="BA177" s="136">
        <v>87</v>
      </c>
      <c r="BB177" s="136">
        <v>91</v>
      </c>
      <c r="BC177" s="136">
        <v>91</v>
      </c>
      <c r="BD177" s="133">
        <v>92</v>
      </c>
      <c r="BE177" s="133">
        <v>95</v>
      </c>
      <c r="BF177" s="136">
        <v>98</v>
      </c>
      <c r="BG177" s="136">
        <v>98</v>
      </c>
      <c r="BH177" s="136">
        <v>102</v>
      </c>
      <c r="BI177" s="133">
        <v>102</v>
      </c>
      <c r="BJ177" s="136">
        <v>102</v>
      </c>
      <c r="BK177" s="136">
        <v>102</v>
      </c>
      <c r="BL177" s="136">
        <v>102</v>
      </c>
      <c r="BM177" s="136">
        <v>102</v>
      </c>
      <c r="BN177" s="136">
        <v>101</v>
      </c>
      <c r="BO177" s="132"/>
      <c r="BP177" s="132"/>
      <c r="BQ177" s="132"/>
      <c r="BR177" s="132"/>
      <c r="BS177" s="132"/>
      <c r="BT177" s="132"/>
      <c r="BU177" s="132"/>
      <c r="BV177" s="132"/>
      <c r="BW177" s="132"/>
      <c r="BX177" s="132"/>
      <c r="BY177" s="132"/>
    </row>
    <row r="178" spans="1:77" x14ac:dyDescent="0.25">
      <c r="A178" s="4" t="s">
        <v>395</v>
      </c>
      <c r="B178" s="6" t="s">
        <v>396</v>
      </c>
      <c r="H178" s="93">
        <v>437</v>
      </c>
      <c r="I178" s="94">
        <v>472</v>
      </c>
      <c r="J178" s="94">
        <v>493</v>
      </c>
      <c r="K178" s="94">
        <v>510</v>
      </c>
      <c r="L178" s="95">
        <v>516</v>
      </c>
      <c r="M178" s="95">
        <v>524</v>
      </c>
      <c r="N178" s="96">
        <v>547</v>
      </c>
      <c r="O178" s="95">
        <v>564</v>
      </c>
      <c r="P178" s="90">
        <v>576</v>
      </c>
      <c r="Q178" s="94">
        <v>585</v>
      </c>
      <c r="R178" s="94">
        <v>592</v>
      </c>
      <c r="S178" s="94">
        <v>605</v>
      </c>
      <c r="T178" s="95">
        <v>617</v>
      </c>
      <c r="U178" s="95">
        <v>636</v>
      </c>
      <c r="V178" s="94">
        <v>641</v>
      </c>
      <c r="W178" s="94">
        <v>644</v>
      </c>
      <c r="X178" s="94">
        <v>645</v>
      </c>
      <c r="Y178" s="95">
        <v>655</v>
      </c>
      <c r="Z178" s="94">
        <v>662</v>
      </c>
      <c r="AA178" s="94">
        <v>670</v>
      </c>
      <c r="AB178" s="94">
        <v>673</v>
      </c>
      <c r="AC178" s="94">
        <v>674</v>
      </c>
      <c r="AD178" s="94">
        <v>677</v>
      </c>
      <c r="AR178" s="132">
        <v>215</v>
      </c>
      <c r="AS178" s="136">
        <v>251</v>
      </c>
      <c r="AT178" s="136">
        <v>287</v>
      </c>
      <c r="AU178" s="136">
        <v>321</v>
      </c>
      <c r="AV178" s="133">
        <v>345</v>
      </c>
      <c r="AW178" s="133">
        <v>355</v>
      </c>
      <c r="AX178" s="137">
        <v>379</v>
      </c>
      <c r="AY178" s="133">
        <v>403</v>
      </c>
      <c r="AZ178" s="133">
        <v>419</v>
      </c>
      <c r="BA178" s="136">
        <v>429</v>
      </c>
      <c r="BB178" s="136">
        <v>446</v>
      </c>
      <c r="BC178" s="136">
        <v>471</v>
      </c>
      <c r="BD178" s="133">
        <v>481</v>
      </c>
      <c r="BE178" s="133">
        <v>495</v>
      </c>
      <c r="BF178" s="136">
        <v>506</v>
      </c>
      <c r="BG178" s="136">
        <v>510</v>
      </c>
      <c r="BH178" s="136">
        <v>515</v>
      </c>
      <c r="BI178" s="133">
        <v>520</v>
      </c>
      <c r="BJ178" s="136">
        <v>525</v>
      </c>
      <c r="BK178" s="136">
        <v>537</v>
      </c>
      <c r="BL178" s="136">
        <v>550</v>
      </c>
      <c r="BM178" s="136">
        <v>553</v>
      </c>
      <c r="BN178" s="136">
        <v>555</v>
      </c>
      <c r="BO178" s="132"/>
      <c r="BP178" s="132"/>
      <c r="BQ178" s="132"/>
      <c r="BR178" s="132"/>
      <c r="BS178" s="132"/>
      <c r="BT178" s="132"/>
      <c r="BU178" s="132"/>
      <c r="BV178" s="132"/>
      <c r="BW178" s="132"/>
      <c r="BX178" s="132"/>
      <c r="BY178" s="132"/>
    </row>
    <row r="179" spans="1:77" x14ac:dyDescent="0.25">
      <c r="A179" s="4" t="s">
        <v>397</v>
      </c>
      <c r="B179" s="6" t="s">
        <v>398</v>
      </c>
      <c r="H179" s="93">
        <v>14</v>
      </c>
      <c r="I179" s="94">
        <v>15</v>
      </c>
      <c r="J179" s="94">
        <v>15</v>
      </c>
      <c r="K179" s="94">
        <v>22</v>
      </c>
      <c r="L179" s="95">
        <v>22</v>
      </c>
      <c r="M179" s="95">
        <v>22</v>
      </c>
      <c r="N179" s="96">
        <v>24</v>
      </c>
      <c r="O179" s="95">
        <v>26</v>
      </c>
      <c r="P179" s="90">
        <v>28</v>
      </c>
      <c r="Q179" s="94">
        <v>32</v>
      </c>
      <c r="R179" s="94">
        <v>33</v>
      </c>
      <c r="S179" s="94">
        <v>36</v>
      </c>
      <c r="T179" s="95">
        <v>36</v>
      </c>
      <c r="U179" s="95">
        <v>42</v>
      </c>
      <c r="V179" s="94">
        <v>42</v>
      </c>
      <c r="W179" s="94">
        <v>46</v>
      </c>
      <c r="X179" s="94">
        <v>46</v>
      </c>
      <c r="Y179" s="95">
        <v>46</v>
      </c>
      <c r="Z179" s="94">
        <v>47</v>
      </c>
      <c r="AA179" s="94">
        <v>47</v>
      </c>
      <c r="AB179" s="94">
        <v>47</v>
      </c>
      <c r="AC179" s="94">
        <v>47</v>
      </c>
      <c r="AD179" s="94">
        <v>47</v>
      </c>
      <c r="AR179" s="132">
        <v>5</v>
      </c>
      <c r="AS179" s="136">
        <v>8</v>
      </c>
      <c r="AT179" s="136">
        <v>8</v>
      </c>
      <c r="AU179" s="136">
        <v>16</v>
      </c>
      <c r="AV179" s="133">
        <v>19</v>
      </c>
      <c r="AW179" s="133">
        <v>19</v>
      </c>
      <c r="AX179" s="137">
        <v>21</v>
      </c>
      <c r="AY179" s="133">
        <v>21</v>
      </c>
      <c r="AZ179" s="133">
        <v>23</v>
      </c>
      <c r="BA179" s="136">
        <v>23</v>
      </c>
      <c r="BB179" s="136">
        <v>23</v>
      </c>
      <c r="BC179" s="136">
        <v>23</v>
      </c>
      <c r="BD179" s="133">
        <v>26</v>
      </c>
      <c r="BE179" s="133">
        <v>27</v>
      </c>
      <c r="BF179" s="136">
        <v>35</v>
      </c>
      <c r="BG179" s="136">
        <v>35</v>
      </c>
      <c r="BH179" s="136">
        <v>37</v>
      </c>
      <c r="BI179" s="133">
        <v>38</v>
      </c>
      <c r="BJ179" s="136">
        <v>39</v>
      </c>
      <c r="BK179" s="136">
        <v>39</v>
      </c>
      <c r="BL179" s="136">
        <v>39</v>
      </c>
      <c r="BM179" s="136">
        <v>39</v>
      </c>
      <c r="BN179" s="136">
        <v>39</v>
      </c>
      <c r="BO179" s="132"/>
      <c r="BP179" s="132"/>
      <c r="BQ179" s="132"/>
      <c r="BR179" s="132"/>
      <c r="BS179" s="132"/>
      <c r="BT179" s="132"/>
      <c r="BU179" s="132"/>
      <c r="BV179" s="132"/>
      <c r="BW179" s="132"/>
      <c r="BX179" s="132"/>
      <c r="BY179" s="132"/>
    </row>
    <row r="180" spans="1:77" x14ac:dyDescent="0.25">
      <c r="A180" s="4" t="s">
        <v>399</v>
      </c>
      <c r="B180" s="6" t="s">
        <v>400</v>
      </c>
      <c r="H180" s="93">
        <v>95</v>
      </c>
      <c r="I180" s="94">
        <v>103</v>
      </c>
      <c r="J180" s="94">
        <v>112</v>
      </c>
      <c r="K180" s="94">
        <v>123</v>
      </c>
      <c r="L180" s="95">
        <v>130</v>
      </c>
      <c r="M180" s="95">
        <v>131</v>
      </c>
      <c r="N180" s="96">
        <v>136</v>
      </c>
      <c r="O180" s="95">
        <v>137</v>
      </c>
      <c r="P180" s="90">
        <v>138</v>
      </c>
      <c r="Q180" s="94">
        <v>138</v>
      </c>
      <c r="R180" s="94">
        <v>138</v>
      </c>
      <c r="S180" s="94">
        <v>140</v>
      </c>
      <c r="T180" s="95">
        <v>140</v>
      </c>
      <c r="U180" s="95">
        <v>149</v>
      </c>
      <c r="V180" s="94">
        <v>150</v>
      </c>
      <c r="W180" s="94">
        <v>156</v>
      </c>
      <c r="X180" s="94">
        <v>159</v>
      </c>
      <c r="Y180" s="95">
        <v>163</v>
      </c>
      <c r="Z180" s="94">
        <v>167</v>
      </c>
      <c r="AA180" s="94">
        <v>167</v>
      </c>
      <c r="AB180" s="94">
        <v>167</v>
      </c>
      <c r="AC180" s="94">
        <v>166</v>
      </c>
      <c r="AD180" s="94">
        <v>172</v>
      </c>
      <c r="AR180" s="132">
        <v>45</v>
      </c>
      <c r="AS180" s="136">
        <v>50</v>
      </c>
      <c r="AT180" s="136">
        <v>50</v>
      </c>
      <c r="AU180" s="136">
        <v>62</v>
      </c>
      <c r="AV180" s="133">
        <v>71</v>
      </c>
      <c r="AW180" s="133">
        <v>76</v>
      </c>
      <c r="AX180" s="137">
        <v>88</v>
      </c>
      <c r="AY180" s="133">
        <v>90</v>
      </c>
      <c r="AZ180" s="133">
        <v>92</v>
      </c>
      <c r="BA180" s="136">
        <v>94</v>
      </c>
      <c r="BB180" s="136">
        <v>96</v>
      </c>
      <c r="BC180" s="136">
        <v>103</v>
      </c>
      <c r="BD180" s="133">
        <v>103</v>
      </c>
      <c r="BE180" s="133">
        <v>103</v>
      </c>
      <c r="BF180" s="136">
        <v>103</v>
      </c>
      <c r="BG180" s="136">
        <v>104</v>
      </c>
      <c r="BH180" s="136">
        <v>108</v>
      </c>
      <c r="BI180" s="133">
        <v>109</v>
      </c>
      <c r="BJ180" s="136">
        <v>112</v>
      </c>
      <c r="BK180" s="136">
        <v>112</v>
      </c>
      <c r="BL180" s="136">
        <v>114</v>
      </c>
      <c r="BM180" s="136">
        <v>117</v>
      </c>
      <c r="BN180" s="136">
        <v>124</v>
      </c>
      <c r="BO180" s="132"/>
      <c r="BP180" s="132"/>
      <c r="BQ180" s="132"/>
      <c r="BR180" s="132"/>
      <c r="BS180" s="132"/>
      <c r="BT180" s="132"/>
      <c r="BU180" s="132"/>
      <c r="BV180" s="132"/>
      <c r="BW180" s="132"/>
      <c r="BX180" s="132"/>
      <c r="BY180" s="132"/>
    </row>
    <row r="181" spans="1:77" x14ac:dyDescent="0.25">
      <c r="A181" s="4" t="s">
        <v>401</v>
      </c>
      <c r="B181" s="6" t="s">
        <v>402</v>
      </c>
      <c r="H181" s="93">
        <v>44</v>
      </c>
      <c r="I181" s="94">
        <v>45</v>
      </c>
      <c r="J181" s="94">
        <v>47</v>
      </c>
      <c r="K181" s="94">
        <v>50</v>
      </c>
      <c r="L181" s="95">
        <v>50</v>
      </c>
      <c r="M181" s="95">
        <v>51</v>
      </c>
      <c r="N181" s="96">
        <v>51</v>
      </c>
      <c r="O181" s="95">
        <v>53</v>
      </c>
      <c r="P181" s="90">
        <v>55</v>
      </c>
      <c r="Q181" s="94">
        <v>56</v>
      </c>
      <c r="R181" s="94">
        <v>56</v>
      </c>
      <c r="S181" s="94">
        <v>57</v>
      </c>
      <c r="T181" s="95">
        <v>57</v>
      </c>
      <c r="U181" s="95">
        <v>64</v>
      </c>
      <c r="V181" s="94">
        <v>64</v>
      </c>
      <c r="W181" s="94">
        <v>65</v>
      </c>
      <c r="X181" s="94">
        <v>66</v>
      </c>
      <c r="Y181" s="95">
        <v>67</v>
      </c>
      <c r="Z181" s="94">
        <v>72</v>
      </c>
      <c r="AA181" s="94">
        <v>73</v>
      </c>
      <c r="AB181" s="94">
        <v>73</v>
      </c>
      <c r="AC181" s="94">
        <v>72</v>
      </c>
      <c r="AD181" s="94">
        <v>73</v>
      </c>
      <c r="AR181" s="132">
        <v>24</v>
      </c>
      <c r="AS181" s="136">
        <v>31</v>
      </c>
      <c r="AT181" s="136">
        <v>38</v>
      </c>
      <c r="AU181" s="136">
        <v>40</v>
      </c>
      <c r="AV181" s="133">
        <v>43</v>
      </c>
      <c r="AW181" s="133">
        <v>44</v>
      </c>
      <c r="AX181" s="137">
        <v>44</v>
      </c>
      <c r="AY181" s="133">
        <v>44</v>
      </c>
      <c r="AZ181" s="133">
        <v>46</v>
      </c>
      <c r="BA181" s="136">
        <v>48</v>
      </c>
      <c r="BB181" s="136">
        <v>48</v>
      </c>
      <c r="BC181" s="136">
        <v>48</v>
      </c>
      <c r="BD181" s="133">
        <v>51</v>
      </c>
      <c r="BE181" s="133">
        <v>51</v>
      </c>
      <c r="BF181" s="136">
        <v>51</v>
      </c>
      <c r="BG181" s="136">
        <v>51</v>
      </c>
      <c r="BH181" s="136">
        <v>51</v>
      </c>
      <c r="BI181" s="133">
        <v>51</v>
      </c>
      <c r="BJ181" s="136">
        <v>51</v>
      </c>
      <c r="BK181" s="136">
        <v>55</v>
      </c>
      <c r="BL181" s="136">
        <v>61</v>
      </c>
      <c r="BM181" s="136">
        <v>61</v>
      </c>
      <c r="BN181" s="136">
        <v>62</v>
      </c>
      <c r="BO181" s="132"/>
      <c r="BP181" s="132"/>
      <c r="BQ181" s="132"/>
      <c r="BR181" s="132"/>
      <c r="BS181" s="132"/>
      <c r="BT181" s="132"/>
      <c r="BU181" s="132"/>
      <c r="BV181" s="132"/>
      <c r="BW181" s="132"/>
      <c r="BX181" s="132"/>
      <c r="BY181" s="132"/>
    </row>
    <row r="182" spans="1:77" x14ac:dyDescent="0.25">
      <c r="A182" s="4" t="s">
        <v>403</v>
      </c>
      <c r="B182" s="6" t="s">
        <v>404</v>
      </c>
      <c r="H182" s="93">
        <v>44</v>
      </c>
      <c r="I182" s="94">
        <v>47</v>
      </c>
      <c r="J182" s="94">
        <v>49</v>
      </c>
      <c r="K182" s="94">
        <v>50</v>
      </c>
      <c r="L182" s="95">
        <v>51</v>
      </c>
      <c r="M182" s="95">
        <v>54</v>
      </c>
      <c r="N182" s="96">
        <v>54</v>
      </c>
      <c r="O182" s="95">
        <v>55</v>
      </c>
      <c r="P182" s="90">
        <v>57</v>
      </c>
      <c r="Q182" s="94">
        <v>57</v>
      </c>
      <c r="R182" s="94">
        <v>57</v>
      </c>
      <c r="S182" s="94">
        <v>57</v>
      </c>
      <c r="T182" s="95">
        <v>58</v>
      </c>
      <c r="U182" s="95">
        <v>58</v>
      </c>
      <c r="V182" s="94">
        <v>62</v>
      </c>
      <c r="W182" s="94">
        <v>62</v>
      </c>
      <c r="X182" s="94">
        <v>62</v>
      </c>
      <c r="Y182" s="95">
        <v>62</v>
      </c>
      <c r="Z182" s="94">
        <v>65</v>
      </c>
      <c r="AA182" s="94">
        <v>66</v>
      </c>
      <c r="AB182" s="94">
        <v>66</v>
      </c>
      <c r="AC182" s="94">
        <v>66</v>
      </c>
      <c r="AD182" s="94">
        <v>68</v>
      </c>
      <c r="AR182" s="132">
        <v>15</v>
      </c>
      <c r="AS182" s="136">
        <v>20</v>
      </c>
      <c r="AT182" s="136">
        <v>23</v>
      </c>
      <c r="AU182" s="136">
        <v>29</v>
      </c>
      <c r="AV182" s="133">
        <v>29</v>
      </c>
      <c r="AW182" s="133">
        <v>29</v>
      </c>
      <c r="AX182" s="137">
        <v>30</v>
      </c>
      <c r="AY182" s="133">
        <v>32</v>
      </c>
      <c r="AZ182" s="133">
        <v>32</v>
      </c>
      <c r="BA182" s="136">
        <v>34</v>
      </c>
      <c r="BB182" s="136">
        <v>34</v>
      </c>
      <c r="BC182" s="136">
        <v>35</v>
      </c>
      <c r="BD182" s="133">
        <v>37</v>
      </c>
      <c r="BE182" s="133">
        <v>37</v>
      </c>
      <c r="BF182" s="136">
        <v>37</v>
      </c>
      <c r="BG182" s="136">
        <v>39</v>
      </c>
      <c r="BH182" s="136">
        <v>42</v>
      </c>
      <c r="BI182" s="133">
        <v>42</v>
      </c>
      <c r="BJ182" s="136">
        <v>42</v>
      </c>
      <c r="BK182" s="136">
        <v>42</v>
      </c>
      <c r="BL182" s="136">
        <v>42</v>
      </c>
      <c r="BM182" s="136">
        <v>42</v>
      </c>
      <c r="BN182" s="136">
        <v>42</v>
      </c>
      <c r="BO182" s="132"/>
      <c r="BP182" s="132"/>
      <c r="BQ182" s="132"/>
      <c r="BR182" s="132"/>
      <c r="BS182" s="132"/>
      <c r="BT182" s="132"/>
      <c r="BU182" s="132"/>
      <c r="BV182" s="132"/>
      <c r="BW182" s="132"/>
      <c r="BX182" s="132"/>
      <c r="BY182" s="132"/>
    </row>
    <row r="183" spans="1:77" x14ac:dyDescent="0.25">
      <c r="A183" s="4" t="s">
        <v>405</v>
      </c>
      <c r="B183" s="6" t="s">
        <v>406</v>
      </c>
      <c r="H183" s="93">
        <v>41</v>
      </c>
      <c r="I183" s="94">
        <v>43</v>
      </c>
      <c r="J183" s="94">
        <v>47</v>
      </c>
      <c r="K183" s="94">
        <v>50</v>
      </c>
      <c r="L183" s="95">
        <v>51</v>
      </c>
      <c r="M183" s="95">
        <v>51</v>
      </c>
      <c r="N183" s="96">
        <v>52</v>
      </c>
      <c r="O183" s="95">
        <v>55</v>
      </c>
      <c r="P183" s="90">
        <v>58</v>
      </c>
      <c r="Q183" s="94">
        <v>58</v>
      </c>
      <c r="R183" s="94">
        <v>60</v>
      </c>
      <c r="S183" s="94">
        <v>60</v>
      </c>
      <c r="T183" s="95">
        <v>60</v>
      </c>
      <c r="U183" s="95">
        <v>60</v>
      </c>
      <c r="V183" s="94">
        <v>62</v>
      </c>
      <c r="W183" s="94">
        <v>63</v>
      </c>
      <c r="X183" s="94">
        <v>65</v>
      </c>
      <c r="Y183" s="95">
        <v>65</v>
      </c>
      <c r="Z183" s="94">
        <v>65</v>
      </c>
      <c r="AA183" s="94">
        <v>66</v>
      </c>
      <c r="AB183" s="94">
        <v>68</v>
      </c>
      <c r="AC183" s="94">
        <v>68</v>
      </c>
      <c r="AD183" s="94">
        <v>69</v>
      </c>
      <c r="AR183" s="132">
        <v>22</v>
      </c>
      <c r="AS183" s="136">
        <v>26</v>
      </c>
      <c r="AT183" s="136">
        <v>27</v>
      </c>
      <c r="AU183" s="136">
        <v>29</v>
      </c>
      <c r="AV183" s="133">
        <v>33</v>
      </c>
      <c r="AW183" s="133">
        <v>33</v>
      </c>
      <c r="AX183" s="137">
        <v>41</v>
      </c>
      <c r="AY183" s="133">
        <v>42</v>
      </c>
      <c r="AZ183" s="133">
        <v>43</v>
      </c>
      <c r="BA183" s="136">
        <v>45</v>
      </c>
      <c r="BB183" s="136">
        <v>45</v>
      </c>
      <c r="BC183" s="136">
        <v>45</v>
      </c>
      <c r="BD183" s="133">
        <v>45</v>
      </c>
      <c r="BE183" s="133">
        <v>53</v>
      </c>
      <c r="BF183" s="136">
        <v>53</v>
      </c>
      <c r="BG183" s="136">
        <v>53</v>
      </c>
      <c r="BH183" s="136">
        <v>55</v>
      </c>
      <c r="BI183" s="133">
        <v>55</v>
      </c>
      <c r="BJ183" s="136">
        <v>56</v>
      </c>
      <c r="BK183" s="136">
        <v>56</v>
      </c>
      <c r="BL183" s="136">
        <v>59</v>
      </c>
      <c r="BM183" s="136">
        <v>60</v>
      </c>
      <c r="BN183" s="136">
        <v>62</v>
      </c>
      <c r="BO183" s="132"/>
      <c r="BP183" s="132"/>
      <c r="BQ183" s="132"/>
      <c r="BR183" s="132"/>
      <c r="BS183" s="132"/>
      <c r="BT183" s="132"/>
      <c r="BU183" s="132"/>
      <c r="BV183" s="132"/>
      <c r="BW183" s="132"/>
      <c r="BX183" s="132"/>
      <c r="BY183" s="132"/>
    </row>
    <row r="184" spans="1:77" x14ac:dyDescent="0.25">
      <c r="A184" s="4" t="s">
        <v>407</v>
      </c>
      <c r="B184" s="6" t="s">
        <v>408</v>
      </c>
      <c r="H184" s="93">
        <v>67</v>
      </c>
      <c r="I184" s="94">
        <v>74</v>
      </c>
      <c r="J184" s="94">
        <v>74</v>
      </c>
      <c r="K184" s="94">
        <v>78</v>
      </c>
      <c r="L184" s="95">
        <v>79</v>
      </c>
      <c r="M184" s="95">
        <v>78</v>
      </c>
      <c r="N184" s="96">
        <v>78</v>
      </c>
      <c r="O184" s="95">
        <v>80</v>
      </c>
      <c r="P184" s="90">
        <v>85</v>
      </c>
      <c r="Q184" s="94">
        <v>87</v>
      </c>
      <c r="R184" s="94">
        <v>87</v>
      </c>
      <c r="S184" s="94">
        <v>89</v>
      </c>
      <c r="T184" s="95">
        <v>89</v>
      </c>
      <c r="U184" s="95">
        <v>89</v>
      </c>
      <c r="V184" s="94">
        <v>94</v>
      </c>
      <c r="W184" s="94">
        <v>95</v>
      </c>
      <c r="X184" s="94">
        <v>95</v>
      </c>
      <c r="Y184" s="95">
        <v>95</v>
      </c>
      <c r="Z184" s="94">
        <v>96</v>
      </c>
      <c r="AA184" s="94">
        <v>94</v>
      </c>
      <c r="AB184" s="94">
        <v>97</v>
      </c>
      <c r="AC184" s="94">
        <v>97</v>
      </c>
      <c r="AD184" s="94">
        <v>97</v>
      </c>
      <c r="AR184" s="132">
        <v>37</v>
      </c>
      <c r="AS184" s="136">
        <v>39</v>
      </c>
      <c r="AT184" s="136">
        <v>44</v>
      </c>
      <c r="AU184" s="136">
        <v>45</v>
      </c>
      <c r="AV184" s="133">
        <v>48</v>
      </c>
      <c r="AW184" s="133">
        <v>49</v>
      </c>
      <c r="AX184" s="137">
        <v>49</v>
      </c>
      <c r="AY184" s="133">
        <v>49</v>
      </c>
      <c r="AZ184" s="133">
        <v>49</v>
      </c>
      <c r="BA184" s="136">
        <v>52</v>
      </c>
      <c r="BB184" s="136">
        <v>56</v>
      </c>
      <c r="BC184" s="136">
        <v>57</v>
      </c>
      <c r="BD184" s="133">
        <v>60</v>
      </c>
      <c r="BE184" s="133">
        <v>60</v>
      </c>
      <c r="BF184" s="136">
        <v>60</v>
      </c>
      <c r="BG184" s="136">
        <v>62</v>
      </c>
      <c r="BH184" s="136">
        <v>65</v>
      </c>
      <c r="BI184" s="133">
        <v>65</v>
      </c>
      <c r="BJ184" s="136">
        <v>67</v>
      </c>
      <c r="BK184" s="136">
        <v>67</v>
      </c>
      <c r="BL184" s="136">
        <v>71</v>
      </c>
      <c r="BM184" s="136">
        <v>71</v>
      </c>
      <c r="BN184" s="136">
        <v>74</v>
      </c>
      <c r="BO184" s="132"/>
      <c r="BP184" s="132"/>
      <c r="BQ184" s="132"/>
      <c r="BR184" s="132"/>
      <c r="BS184" s="132"/>
      <c r="BT184" s="132"/>
      <c r="BU184" s="132"/>
      <c r="BV184" s="132"/>
      <c r="BW184" s="132"/>
      <c r="BX184" s="132"/>
      <c r="BY184" s="132"/>
    </row>
    <row r="185" spans="1:77" x14ac:dyDescent="0.25">
      <c r="A185" s="4" t="s">
        <v>409</v>
      </c>
      <c r="B185" s="6" t="s">
        <v>410</v>
      </c>
      <c r="H185" s="93">
        <v>39</v>
      </c>
      <c r="I185" s="94">
        <v>45</v>
      </c>
      <c r="J185" s="94">
        <v>47</v>
      </c>
      <c r="K185" s="94">
        <v>48</v>
      </c>
      <c r="L185" s="95">
        <v>48</v>
      </c>
      <c r="M185" s="95">
        <v>47</v>
      </c>
      <c r="N185" s="96">
        <v>48</v>
      </c>
      <c r="O185" s="95">
        <v>48</v>
      </c>
      <c r="P185" s="90">
        <v>48</v>
      </c>
      <c r="Q185" s="94">
        <v>49</v>
      </c>
      <c r="R185" s="94">
        <v>49</v>
      </c>
      <c r="S185" s="94">
        <v>49</v>
      </c>
      <c r="T185" s="95">
        <v>49</v>
      </c>
      <c r="U185" s="95">
        <v>49</v>
      </c>
      <c r="V185" s="94">
        <v>50</v>
      </c>
      <c r="W185" s="94">
        <v>51</v>
      </c>
      <c r="X185" s="94">
        <v>51</v>
      </c>
      <c r="Y185" s="95">
        <v>51</v>
      </c>
      <c r="Z185" s="94">
        <v>51</v>
      </c>
      <c r="AA185" s="94">
        <v>52</v>
      </c>
      <c r="AB185" s="94">
        <v>52</v>
      </c>
      <c r="AC185" s="94">
        <v>52</v>
      </c>
      <c r="AD185" s="94">
        <v>52</v>
      </c>
      <c r="AR185" s="132">
        <v>14</v>
      </c>
      <c r="AS185" s="136">
        <v>17</v>
      </c>
      <c r="AT185" s="136">
        <v>22</v>
      </c>
      <c r="AU185" s="136">
        <v>24</v>
      </c>
      <c r="AV185" s="133">
        <v>26</v>
      </c>
      <c r="AW185" s="133">
        <v>25</v>
      </c>
      <c r="AX185" s="137">
        <v>28</v>
      </c>
      <c r="AY185" s="133">
        <v>29</v>
      </c>
      <c r="AZ185" s="133">
        <v>32</v>
      </c>
      <c r="BA185" s="136">
        <v>32</v>
      </c>
      <c r="BB185" s="136">
        <v>34</v>
      </c>
      <c r="BC185" s="136">
        <v>39</v>
      </c>
      <c r="BD185" s="133">
        <v>39</v>
      </c>
      <c r="BE185" s="133">
        <v>39</v>
      </c>
      <c r="BF185" s="136">
        <v>39</v>
      </c>
      <c r="BG185" s="136">
        <v>39</v>
      </c>
      <c r="BH185" s="136">
        <v>39</v>
      </c>
      <c r="BI185" s="133">
        <v>39</v>
      </c>
      <c r="BJ185" s="136">
        <v>39</v>
      </c>
      <c r="BK185" s="136">
        <v>39</v>
      </c>
      <c r="BL185" s="136">
        <v>39</v>
      </c>
      <c r="BM185" s="136">
        <v>39</v>
      </c>
      <c r="BN185" s="136">
        <v>39</v>
      </c>
      <c r="BO185" s="132"/>
      <c r="BP185" s="132"/>
      <c r="BQ185" s="132"/>
      <c r="BR185" s="132"/>
      <c r="BS185" s="132"/>
      <c r="BT185" s="132"/>
      <c r="BU185" s="132"/>
      <c r="BV185" s="132"/>
      <c r="BW185" s="132"/>
      <c r="BX185" s="132"/>
      <c r="BY185" s="132"/>
    </row>
    <row r="186" spans="1:77" x14ac:dyDescent="0.25">
      <c r="A186" s="4" t="s">
        <v>411</v>
      </c>
      <c r="B186" s="6" t="s">
        <v>412</v>
      </c>
      <c r="H186" s="93">
        <v>45</v>
      </c>
      <c r="I186" s="94">
        <v>52</v>
      </c>
      <c r="J186" s="94">
        <v>53</v>
      </c>
      <c r="K186" s="94">
        <v>53</v>
      </c>
      <c r="L186" s="95">
        <v>54</v>
      </c>
      <c r="M186" s="95">
        <v>55</v>
      </c>
      <c r="N186" s="96">
        <v>57</v>
      </c>
      <c r="O186" s="95">
        <v>59</v>
      </c>
      <c r="P186" s="90">
        <v>63</v>
      </c>
      <c r="Q186" s="94">
        <v>63</v>
      </c>
      <c r="R186" s="94">
        <v>63</v>
      </c>
      <c r="S186" s="94">
        <v>63</v>
      </c>
      <c r="T186" s="95">
        <v>65</v>
      </c>
      <c r="U186" s="95">
        <v>65</v>
      </c>
      <c r="V186" s="94">
        <v>65</v>
      </c>
      <c r="W186" s="94">
        <v>65</v>
      </c>
      <c r="X186" s="94">
        <v>65</v>
      </c>
      <c r="Y186" s="95">
        <v>66</v>
      </c>
      <c r="Z186" s="94">
        <v>69</v>
      </c>
      <c r="AA186" s="94">
        <v>69</v>
      </c>
      <c r="AB186" s="94">
        <v>69</v>
      </c>
      <c r="AC186" s="94">
        <v>69</v>
      </c>
      <c r="AD186" s="94">
        <v>69</v>
      </c>
      <c r="AR186" s="132">
        <v>18</v>
      </c>
      <c r="AS186" s="136">
        <v>29</v>
      </c>
      <c r="AT186" s="136">
        <v>32</v>
      </c>
      <c r="AU186" s="136">
        <v>34</v>
      </c>
      <c r="AV186" s="133">
        <v>35</v>
      </c>
      <c r="AW186" s="133">
        <v>38</v>
      </c>
      <c r="AX186" s="137">
        <v>42</v>
      </c>
      <c r="AY186" s="133">
        <v>42</v>
      </c>
      <c r="AZ186" s="133">
        <v>46</v>
      </c>
      <c r="BA186" s="136">
        <v>46</v>
      </c>
      <c r="BB186" s="136">
        <v>48</v>
      </c>
      <c r="BC186" s="136">
        <v>52</v>
      </c>
      <c r="BD186" s="133">
        <v>53</v>
      </c>
      <c r="BE186" s="133">
        <v>53</v>
      </c>
      <c r="BF186" s="136">
        <v>53</v>
      </c>
      <c r="BG186" s="136">
        <v>54</v>
      </c>
      <c r="BH186" s="136">
        <v>54</v>
      </c>
      <c r="BI186" s="133">
        <v>54</v>
      </c>
      <c r="BJ186" s="136">
        <v>54</v>
      </c>
      <c r="BK186" s="136">
        <v>54</v>
      </c>
      <c r="BL186" s="136">
        <v>57</v>
      </c>
      <c r="BM186" s="136">
        <v>57</v>
      </c>
      <c r="BN186" s="136">
        <v>57</v>
      </c>
      <c r="BO186" s="132"/>
      <c r="BP186" s="132"/>
      <c r="BQ186" s="132"/>
      <c r="BR186" s="132"/>
      <c r="BS186" s="132"/>
      <c r="BT186" s="132"/>
      <c r="BU186" s="132"/>
      <c r="BV186" s="132"/>
      <c r="BW186" s="132"/>
      <c r="BX186" s="132"/>
      <c r="BY186" s="132"/>
    </row>
    <row r="187" spans="1:77" x14ac:dyDescent="0.25">
      <c r="A187" s="4" t="s">
        <v>413</v>
      </c>
      <c r="B187" s="6" t="s">
        <v>414</v>
      </c>
      <c r="H187" s="93">
        <v>233</v>
      </c>
      <c r="I187" s="94">
        <v>243</v>
      </c>
      <c r="J187" s="94">
        <v>263</v>
      </c>
      <c r="K187" s="94">
        <v>275</v>
      </c>
      <c r="L187" s="95">
        <v>283</v>
      </c>
      <c r="M187" s="95">
        <v>295</v>
      </c>
      <c r="N187" s="96">
        <v>312</v>
      </c>
      <c r="O187" s="95">
        <v>318</v>
      </c>
      <c r="P187" s="90">
        <v>325</v>
      </c>
      <c r="Q187" s="94">
        <v>330</v>
      </c>
      <c r="R187" s="94">
        <v>334</v>
      </c>
      <c r="S187" s="94">
        <v>348</v>
      </c>
      <c r="T187" s="95">
        <v>348</v>
      </c>
      <c r="U187" s="95">
        <v>356</v>
      </c>
      <c r="V187" s="94">
        <v>365</v>
      </c>
      <c r="W187" s="94">
        <v>366</v>
      </c>
      <c r="X187" s="94">
        <v>367</v>
      </c>
      <c r="Y187" s="95">
        <v>372</v>
      </c>
      <c r="Z187" s="94">
        <v>377</v>
      </c>
      <c r="AA187" s="94">
        <v>380</v>
      </c>
      <c r="AB187" s="94">
        <v>382</v>
      </c>
      <c r="AC187" s="94">
        <v>384</v>
      </c>
      <c r="AD187" s="94">
        <v>387</v>
      </c>
      <c r="AR187" s="132">
        <v>118</v>
      </c>
      <c r="AS187" s="136">
        <v>137</v>
      </c>
      <c r="AT187" s="136">
        <v>157</v>
      </c>
      <c r="AU187" s="136">
        <v>168</v>
      </c>
      <c r="AV187" s="133">
        <v>178</v>
      </c>
      <c r="AW187" s="133">
        <v>185</v>
      </c>
      <c r="AX187" s="137">
        <v>201</v>
      </c>
      <c r="AY187" s="133">
        <v>223</v>
      </c>
      <c r="AZ187" s="133">
        <v>238</v>
      </c>
      <c r="BA187" s="136">
        <v>255</v>
      </c>
      <c r="BB187" s="136">
        <v>260</v>
      </c>
      <c r="BC187" s="136">
        <v>276</v>
      </c>
      <c r="BD187" s="133">
        <v>280</v>
      </c>
      <c r="BE187" s="133">
        <v>287</v>
      </c>
      <c r="BF187" s="136">
        <v>289</v>
      </c>
      <c r="BG187" s="136">
        <v>292</v>
      </c>
      <c r="BH187" s="136">
        <v>296</v>
      </c>
      <c r="BI187" s="133">
        <v>307</v>
      </c>
      <c r="BJ187" s="136">
        <v>312</v>
      </c>
      <c r="BK187" s="136">
        <v>318</v>
      </c>
      <c r="BL187" s="136">
        <v>320</v>
      </c>
      <c r="BM187" s="136">
        <v>323</v>
      </c>
      <c r="BN187" s="136">
        <v>329</v>
      </c>
      <c r="BO187" s="132"/>
      <c r="BP187" s="132"/>
      <c r="BQ187" s="132"/>
      <c r="BR187" s="132"/>
      <c r="BS187" s="132"/>
      <c r="BT187" s="132"/>
      <c r="BU187" s="132"/>
      <c r="BV187" s="132"/>
      <c r="BW187" s="132"/>
      <c r="BX187" s="132"/>
      <c r="BY187" s="132"/>
    </row>
    <row r="188" spans="1:77" x14ac:dyDescent="0.25">
      <c r="A188" s="4" t="s">
        <v>415</v>
      </c>
      <c r="B188" s="6" t="s">
        <v>416</v>
      </c>
      <c r="H188" s="93">
        <v>180</v>
      </c>
      <c r="I188" s="94">
        <v>199</v>
      </c>
      <c r="J188" s="94">
        <v>206</v>
      </c>
      <c r="K188" s="94">
        <v>218</v>
      </c>
      <c r="L188" s="95">
        <v>224</v>
      </c>
      <c r="M188" s="95">
        <v>223</v>
      </c>
      <c r="N188" s="96">
        <v>230</v>
      </c>
      <c r="O188" s="95">
        <v>247</v>
      </c>
      <c r="P188" s="90">
        <v>255</v>
      </c>
      <c r="Q188" s="94">
        <v>261</v>
      </c>
      <c r="R188" s="94">
        <v>265</v>
      </c>
      <c r="S188" s="94">
        <v>272</v>
      </c>
      <c r="T188" s="95">
        <v>279</v>
      </c>
      <c r="U188" s="95">
        <v>280</v>
      </c>
      <c r="V188" s="94">
        <v>283</v>
      </c>
      <c r="W188" s="94">
        <v>286</v>
      </c>
      <c r="X188" s="94">
        <v>288</v>
      </c>
      <c r="Y188" s="95">
        <v>289</v>
      </c>
      <c r="Z188" s="94">
        <v>294</v>
      </c>
      <c r="AA188" s="94">
        <v>295</v>
      </c>
      <c r="AB188" s="94">
        <v>297</v>
      </c>
      <c r="AC188" s="94">
        <v>298</v>
      </c>
      <c r="AD188" s="94">
        <v>305</v>
      </c>
      <c r="AR188" s="132">
        <v>88</v>
      </c>
      <c r="AS188" s="136">
        <v>94</v>
      </c>
      <c r="AT188" s="136">
        <v>109</v>
      </c>
      <c r="AU188" s="136">
        <v>119</v>
      </c>
      <c r="AV188" s="133">
        <v>126</v>
      </c>
      <c r="AW188" s="133">
        <v>135</v>
      </c>
      <c r="AX188" s="137">
        <v>156</v>
      </c>
      <c r="AY188" s="133">
        <v>163</v>
      </c>
      <c r="AZ188" s="133">
        <v>170</v>
      </c>
      <c r="BA188" s="136">
        <v>188</v>
      </c>
      <c r="BB188" s="136">
        <v>192</v>
      </c>
      <c r="BC188" s="136">
        <v>203</v>
      </c>
      <c r="BD188" s="133">
        <v>208</v>
      </c>
      <c r="BE188" s="133">
        <v>213</v>
      </c>
      <c r="BF188" s="136">
        <v>214</v>
      </c>
      <c r="BG188" s="136">
        <v>214</v>
      </c>
      <c r="BH188" s="136">
        <v>222</v>
      </c>
      <c r="BI188" s="133">
        <v>227</v>
      </c>
      <c r="BJ188" s="136">
        <v>233</v>
      </c>
      <c r="BK188" s="136">
        <v>240</v>
      </c>
      <c r="BL188" s="136">
        <v>245</v>
      </c>
      <c r="BM188" s="136">
        <v>249</v>
      </c>
      <c r="BN188" s="136">
        <v>247</v>
      </c>
      <c r="BO188" s="132"/>
      <c r="BP188" s="132"/>
      <c r="BQ188" s="132"/>
      <c r="BR188" s="132"/>
      <c r="BS188" s="132"/>
      <c r="BT188" s="132"/>
      <c r="BU188" s="132"/>
      <c r="BV188" s="132"/>
      <c r="BW188" s="132"/>
      <c r="BX188" s="132"/>
      <c r="BY188" s="132"/>
    </row>
    <row r="189" spans="1:77" x14ac:dyDescent="0.25">
      <c r="A189" s="4" t="s">
        <v>417</v>
      </c>
      <c r="B189" s="6" t="s">
        <v>418</v>
      </c>
      <c r="H189" s="93">
        <v>162</v>
      </c>
      <c r="I189" s="94">
        <v>169</v>
      </c>
      <c r="J189" s="94">
        <v>177</v>
      </c>
      <c r="K189" s="94">
        <v>183</v>
      </c>
      <c r="L189" s="95">
        <v>194</v>
      </c>
      <c r="M189" s="95">
        <v>200</v>
      </c>
      <c r="N189" s="96">
        <v>215</v>
      </c>
      <c r="O189" s="95">
        <v>222</v>
      </c>
      <c r="P189" s="90">
        <v>233</v>
      </c>
      <c r="Q189" s="94">
        <v>239</v>
      </c>
      <c r="R189" s="94">
        <v>244</v>
      </c>
      <c r="S189" s="94">
        <v>249</v>
      </c>
      <c r="T189" s="95">
        <v>252</v>
      </c>
      <c r="U189" s="95">
        <v>255</v>
      </c>
      <c r="V189" s="94">
        <v>258</v>
      </c>
      <c r="W189" s="94">
        <v>264</v>
      </c>
      <c r="X189" s="94">
        <v>270</v>
      </c>
      <c r="Y189" s="95">
        <v>273</v>
      </c>
      <c r="Z189" s="94">
        <v>278</v>
      </c>
      <c r="AA189" s="94">
        <v>283</v>
      </c>
      <c r="AB189" s="94">
        <v>285</v>
      </c>
      <c r="AC189" s="94">
        <v>289</v>
      </c>
      <c r="AD189" s="94">
        <v>300</v>
      </c>
      <c r="AR189" s="132">
        <v>68</v>
      </c>
      <c r="AS189" s="136">
        <v>79</v>
      </c>
      <c r="AT189" s="136">
        <v>84</v>
      </c>
      <c r="AU189" s="136">
        <v>92</v>
      </c>
      <c r="AV189" s="133">
        <v>109</v>
      </c>
      <c r="AW189" s="133">
        <v>123</v>
      </c>
      <c r="AX189" s="137">
        <v>132</v>
      </c>
      <c r="AY189" s="133">
        <v>132</v>
      </c>
      <c r="AZ189" s="133">
        <v>149</v>
      </c>
      <c r="BA189" s="136">
        <v>165</v>
      </c>
      <c r="BB189" s="136">
        <v>178</v>
      </c>
      <c r="BC189" s="136">
        <v>186</v>
      </c>
      <c r="BD189" s="133">
        <v>193</v>
      </c>
      <c r="BE189" s="133">
        <v>197</v>
      </c>
      <c r="BF189" s="136">
        <v>199</v>
      </c>
      <c r="BG189" s="136">
        <v>201</v>
      </c>
      <c r="BH189" s="136">
        <v>204</v>
      </c>
      <c r="BI189" s="133">
        <v>210</v>
      </c>
      <c r="BJ189" s="136">
        <v>216</v>
      </c>
      <c r="BK189" s="136">
        <v>222</v>
      </c>
      <c r="BL189" s="136">
        <v>228</v>
      </c>
      <c r="BM189" s="136">
        <v>226</v>
      </c>
      <c r="BN189" s="136">
        <v>227</v>
      </c>
      <c r="BO189" s="132"/>
      <c r="BP189" s="132"/>
      <c r="BQ189" s="132"/>
      <c r="BR189" s="132"/>
      <c r="BS189" s="132"/>
      <c r="BT189" s="132"/>
      <c r="BU189" s="132"/>
      <c r="BV189" s="132"/>
      <c r="BW189" s="132"/>
      <c r="BX189" s="132"/>
      <c r="BY189" s="132"/>
    </row>
    <row r="190" spans="1:77" x14ac:dyDescent="0.25">
      <c r="A190" s="4" t="s">
        <v>419</v>
      </c>
      <c r="B190" s="6" t="s">
        <v>420</v>
      </c>
      <c r="H190" s="93">
        <v>33</v>
      </c>
      <c r="I190" s="94">
        <v>35</v>
      </c>
      <c r="J190" s="94">
        <v>35</v>
      </c>
      <c r="K190" s="94">
        <v>37</v>
      </c>
      <c r="L190" s="95">
        <v>37</v>
      </c>
      <c r="M190" s="95">
        <v>37</v>
      </c>
      <c r="N190" s="96">
        <v>40</v>
      </c>
      <c r="O190" s="95">
        <v>40</v>
      </c>
      <c r="P190" s="90">
        <v>42</v>
      </c>
      <c r="Q190" s="94">
        <v>42</v>
      </c>
      <c r="R190" s="94">
        <v>43</v>
      </c>
      <c r="S190" s="94">
        <v>43</v>
      </c>
      <c r="T190" s="95">
        <v>44</v>
      </c>
      <c r="U190" s="95">
        <v>45</v>
      </c>
      <c r="V190" s="94">
        <v>47</v>
      </c>
      <c r="W190" s="94">
        <v>47</v>
      </c>
      <c r="X190" s="94">
        <v>51</v>
      </c>
      <c r="Y190" s="95">
        <v>52</v>
      </c>
      <c r="Z190" s="94">
        <v>56</v>
      </c>
      <c r="AA190" s="94">
        <v>56</v>
      </c>
      <c r="AB190" s="94">
        <v>56</v>
      </c>
      <c r="AC190" s="94">
        <v>56</v>
      </c>
      <c r="AD190" s="94">
        <v>57</v>
      </c>
      <c r="AR190" s="132">
        <v>10</v>
      </c>
      <c r="AS190" s="136">
        <v>14</v>
      </c>
      <c r="AT190" s="136">
        <v>14</v>
      </c>
      <c r="AU190" s="136">
        <v>20</v>
      </c>
      <c r="AV190" s="133">
        <v>21</v>
      </c>
      <c r="AW190" s="133">
        <v>22</v>
      </c>
      <c r="AX190" s="137">
        <v>25</v>
      </c>
      <c r="AY190" s="133">
        <v>25</v>
      </c>
      <c r="AZ190" s="133">
        <v>28</v>
      </c>
      <c r="BA190" s="136">
        <v>29</v>
      </c>
      <c r="BB190" s="136">
        <v>30</v>
      </c>
      <c r="BC190" s="136">
        <v>30</v>
      </c>
      <c r="BD190" s="133">
        <v>31</v>
      </c>
      <c r="BE190" s="133">
        <v>34</v>
      </c>
      <c r="BF190" s="136">
        <v>34</v>
      </c>
      <c r="BG190" s="136">
        <v>34</v>
      </c>
      <c r="BH190" s="136">
        <v>34</v>
      </c>
      <c r="BI190" s="133">
        <v>39</v>
      </c>
      <c r="BJ190" s="136">
        <v>39</v>
      </c>
      <c r="BK190" s="136">
        <v>39</v>
      </c>
      <c r="BL190" s="136">
        <v>39</v>
      </c>
      <c r="BM190" s="136">
        <v>39</v>
      </c>
      <c r="BN190" s="136">
        <v>39</v>
      </c>
      <c r="BO190" s="132"/>
      <c r="BP190" s="132"/>
      <c r="BQ190" s="132"/>
      <c r="BR190" s="132"/>
      <c r="BS190" s="132"/>
      <c r="BT190" s="132"/>
      <c r="BU190" s="132"/>
      <c r="BV190" s="132"/>
      <c r="BW190" s="132"/>
      <c r="BX190" s="132"/>
      <c r="BY190" s="132"/>
    </row>
    <row r="191" spans="1:77" x14ac:dyDescent="0.25">
      <c r="A191" s="4" t="s">
        <v>421</v>
      </c>
      <c r="B191" s="6" t="s">
        <v>422</v>
      </c>
      <c r="H191" s="93">
        <v>47</v>
      </c>
      <c r="I191" s="94">
        <v>48</v>
      </c>
      <c r="J191" s="94">
        <v>52</v>
      </c>
      <c r="K191" s="94">
        <v>54</v>
      </c>
      <c r="L191" s="95">
        <v>54</v>
      </c>
      <c r="M191" s="95">
        <v>54</v>
      </c>
      <c r="N191" s="96">
        <v>54</v>
      </c>
      <c r="O191" s="95">
        <v>57</v>
      </c>
      <c r="P191" s="90">
        <v>57</v>
      </c>
      <c r="Q191" s="94">
        <v>58</v>
      </c>
      <c r="R191" s="94">
        <v>59</v>
      </c>
      <c r="S191" s="94">
        <v>59</v>
      </c>
      <c r="T191" s="95">
        <v>60</v>
      </c>
      <c r="U191" s="95">
        <v>62</v>
      </c>
      <c r="V191" s="94">
        <v>65</v>
      </c>
      <c r="W191" s="94">
        <v>66</v>
      </c>
      <c r="X191" s="94">
        <v>67</v>
      </c>
      <c r="Y191" s="95">
        <v>70</v>
      </c>
      <c r="Z191" s="94">
        <v>71</v>
      </c>
      <c r="AA191" s="94">
        <v>72</v>
      </c>
      <c r="AB191" s="94">
        <v>74</v>
      </c>
      <c r="AC191" s="94">
        <v>75</v>
      </c>
      <c r="AD191" s="94">
        <v>77</v>
      </c>
      <c r="AR191" s="132">
        <v>21</v>
      </c>
      <c r="AS191" s="136">
        <v>25</v>
      </c>
      <c r="AT191" s="136">
        <v>29</v>
      </c>
      <c r="AU191" s="136">
        <v>30</v>
      </c>
      <c r="AV191" s="133">
        <v>32</v>
      </c>
      <c r="AW191" s="133">
        <v>34</v>
      </c>
      <c r="AX191" s="137">
        <v>38</v>
      </c>
      <c r="AY191" s="133">
        <v>38</v>
      </c>
      <c r="AZ191" s="133">
        <v>41</v>
      </c>
      <c r="BA191" s="136">
        <v>43</v>
      </c>
      <c r="BB191" s="136">
        <v>45</v>
      </c>
      <c r="BC191" s="136">
        <v>46</v>
      </c>
      <c r="BD191" s="133">
        <v>46</v>
      </c>
      <c r="BE191" s="133">
        <v>46</v>
      </c>
      <c r="BF191" s="136">
        <v>46</v>
      </c>
      <c r="BG191" s="136">
        <v>49</v>
      </c>
      <c r="BH191" s="136">
        <v>50</v>
      </c>
      <c r="BI191" s="133">
        <v>51</v>
      </c>
      <c r="BJ191" s="136">
        <v>51</v>
      </c>
      <c r="BK191" s="136">
        <v>51</v>
      </c>
      <c r="BL191" s="136">
        <v>53</v>
      </c>
      <c r="BM191" s="136">
        <v>54</v>
      </c>
      <c r="BN191" s="136">
        <v>55</v>
      </c>
      <c r="BO191" s="132"/>
      <c r="BP191" s="132"/>
      <c r="BQ191" s="132"/>
      <c r="BR191" s="132"/>
      <c r="BS191" s="132"/>
      <c r="BT191" s="132"/>
      <c r="BU191" s="132"/>
      <c r="BV191" s="132"/>
      <c r="BW191" s="132"/>
      <c r="BX191" s="132"/>
      <c r="BY191" s="132"/>
    </row>
    <row r="192" spans="1:77" x14ac:dyDescent="0.25">
      <c r="A192" s="4" t="s">
        <v>423</v>
      </c>
      <c r="B192" s="6" t="s">
        <v>424</v>
      </c>
      <c r="H192" s="93">
        <v>62</v>
      </c>
      <c r="I192" s="94">
        <v>65</v>
      </c>
      <c r="J192" s="94">
        <v>70</v>
      </c>
      <c r="K192" s="94">
        <v>72</v>
      </c>
      <c r="L192" s="95">
        <v>72</v>
      </c>
      <c r="M192" s="95">
        <v>74</v>
      </c>
      <c r="N192" s="96">
        <v>78</v>
      </c>
      <c r="O192" s="95">
        <v>79</v>
      </c>
      <c r="P192" s="90">
        <v>80</v>
      </c>
      <c r="Q192" s="94">
        <v>84</v>
      </c>
      <c r="R192" s="94">
        <v>89</v>
      </c>
      <c r="S192" s="94">
        <v>89</v>
      </c>
      <c r="T192" s="95">
        <v>89</v>
      </c>
      <c r="U192" s="95">
        <v>91</v>
      </c>
      <c r="V192" s="94">
        <v>92</v>
      </c>
      <c r="W192" s="94">
        <v>96</v>
      </c>
      <c r="X192" s="94">
        <v>99</v>
      </c>
      <c r="Y192" s="95">
        <v>99</v>
      </c>
      <c r="Z192" s="94">
        <v>100</v>
      </c>
      <c r="AA192" s="94">
        <v>100</v>
      </c>
      <c r="AB192" s="94">
        <v>102</v>
      </c>
      <c r="AC192" s="94">
        <v>103</v>
      </c>
      <c r="AD192" s="94">
        <v>105</v>
      </c>
      <c r="AR192" s="132">
        <v>29</v>
      </c>
      <c r="AS192" s="136">
        <v>33</v>
      </c>
      <c r="AT192" s="136">
        <v>36</v>
      </c>
      <c r="AU192" s="136">
        <v>37</v>
      </c>
      <c r="AV192" s="133">
        <v>40</v>
      </c>
      <c r="AW192" s="133">
        <v>40</v>
      </c>
      <c r="AX192" s="137">
        <v>39</v>
      </c>
      <c r="AY192" s="133">
        <v>42</v>
      </c>
      <c r="AZ192" s="133">
        <v>42</v>
      </c>
      <c r="BA192" s="136">
        <v>45</v>
      </c>
      <c r="BB192" s="136">
        <v>47</v>
      </c>
      <c r="BC192" s="136">
        <v>51</v>
      </c>
      <c r="BD192" s="133">
        <v>56</v>
      </c>
      <c r="BE192" s="133">
        <v>56</v>
      </c>
      <c r="BF192" s="136">
        <v>58</v>
      </c>
      <c r="BG192" s="136">
        <v>58</v>
      </c>
      <c r="BH192" s="136">
        <v>58</v>
      </c>
      <c r="BI192" s="133">
        <v>59</v>
      </c>
      <c r="BJ192" s="136">
        <v>62</v>
      </c>
      <c r="BK192" s="136">
        <v>67</v>
      </c>
      <c r="BL192" s="136">
        <v>69</v>
      </c>
      <c r="BM192" s="136">
        <v>67</v>
      </c>
      <c r="BN192" s="136">
        <v>67</v>
      </c>
      <c r="BO192" s="132"/>
      <c r="BP192" s="132"/>
      <c r="BQ192" s="132"/>
      <c r="BR192" s="132"/>
      <c r="BS192" s="132"/>
      <c r="BT192" s="132"/>
      <c r="BU192" s="132"/>
      <c r="BV192" s="132"/>
      <c r="BW192" s="132"/>
      <c r="BX192" s="132"/>
      <c r="BY192" s="132"/>
    </row>
    <row r="193" spans="1:77" x14ac:dyDescent="0.25">
      <c r="A193" s="4" t="s">
        <v>425</v>
      </c>
      <c r="B193" s="6" t="s">
        <v>426</v>
      </c>
      <c r="H193" s="94">
        <v>5</v>
      </c>
      <c r="I193" s="94">
        <v>5</v>
      </c>
      <c r="J193" s="94">
        <v>5</v>
      </c>
      <c r="K193" s="94">
        <v>5</v>
      </c>
      <c r="L193" s="97">
        <v>5</v>
      </c>
      <c r="M193" s="90">
        <v>5</v>
      </c>
      <c r="N193" s="96">
        <v>10</v>
      </c>
      <c r="O193" s="95">
        <v>10</v>
      </c>
      <c r="P193" s="95">
        <v>10</v>
      </c>
      <c r="Q193" s="94">
        <v>10</v>
      </c>
      <c r="R193" s="94">
        <v>5</v>
      </c>
      <c r="S193" s="94">
        <v>10</v>
      </c>
      <c r="T193" s="95">
        <v>15</v>
      </c>
      <c r="U193" s="97">
        <v>15</v>
      </c>
      <c r="V193" s="94">
        <v>15</v>
      </c>
      <c r="W193" s="94">
        <v>15</v>
      </c>
      <c r="X193" s="94">
        <v>15</v>
      </c>
      <c r="Y193" s="97">
        <v>15</v>
      </c>
      <c r="Z193" s="94">
        <v>12</v>
      </c>
      <c r="AA193" s="94">
        <v>12</v>
      </c>
      <c r="AB193" s="94">
        <v>12</v>
      </c>
      <c r="AC193" s="94">
        <v>15</v>
      </c>
      <c r="AD193" s="94">
        <v>11</v>
      </c>
      <c r="AR193" s="132">
        <v>5</v>
      </c>
      <c r="AS193" s="136">
        <v>5</v>
      </c>
      <c r="AT193" s="136">
        <v>5</v>
      </c>
      <c r="AU193" s="136">
        <v>0</v>
      </c>
      <c r="AV193" s="138">
        <v>5</v>
      </c>
      <c r="AW193" s="133">
        <v>5</v>
      </c>
      <c r="AX193" s="137">
        <v>10</v>
      </c>
      <c r="AY193" s="139">
        <v>10</v>
      </c>
      <c r="AZ193" s="139">
        <v>10</v>
      </c>
      <c r="BA193" s="136">
        <v>10</v>
      </c>
      <c r="BB193" s="136">
        <v>5</v>
      </c>
      <c r="BC193" s="136">
        <v>10</v>
      </c>
      <c r="BD193" s="133">
        <v>15</v>
      </c>
      <c r="BE193" s="138">
        <v>15</v>
      </c>
      <c r="BF193" s="136">
        <v>15</v>
      </c>
      <c r="BG193" s="136">
        <v>15</v>
      </c>
      <c r="BH193" s="136">
        <v>15</v>
      </c>
      <c r="BI193" s="138">
        <v>15</v>
      </c>
      <c r="BJ193" s="136">
        <v>12</v>
      </c>
      <c r="BK193" s="136">
        <v>12</v>
      </c>
      <c r="BL193" s="136">
        <v>12</v>
      </c>
      <c r="BM193" s="136">
        <v>15</v>
      </c>
      <c r="BN193" s="136">
        <v>7</v>
      </c>
      <c r="BO193" s="132"/>
      <c r="BP193" s="132"/>
      <c r="BQ193" s="132"/>
      <c r="BR193" s="132"/>
      <c r="BS193" s="132"/>
      <c r="BT193" s="132"/>
      <c r="BU193" s="132"/>
      <c r="BV193" s="132"/>
      <c r="BW193" s="132"/>
      <c r="BX193" s="132"/>
      <c r="BY193" s="132"/>
    </row>
    <row r="194" spans="1:77" x14ac:dyDescent="0.25">
      <c r="A194" s="4" t="s">
        <v>427</v>
      </c>
      <c r="B194" s="6" t="s">
        <v>428</v>
      </c>
      <c r="H194" s="94">
        <v>39</v>
      </c>
      <c r="I194" s="94">
        <v>41</v>
      </c>
      <c r="J194" s="94">
        <v>44</v>
      </c>
      <c r="K194" s="94">
        <v>52</v>
      </c>
      <c r="L194" s="95">
        <v>55</v>
      </c>
      <c r="M194" s="95">
        <v>58</v>
      </c>
      <c r="N194" s="96">
        <v>64</v>
      </c>
      <c r="O194" s="95">
        <v>67</v>
      </c>
      <c r="P194" s="90">
        <v>73</v>
      </c>
      <c r="Q194" s="94">
        <v>73</v>
      </c>
      <c r="R194" s="94">
        <v>76</v>
      </c>
      <c r="S194" s="94">
        <v>82</v>
      </c>
      <c r="T194" s="95">
        <v>84</v>
      </c>
      <c r="U194" s="95">
        <v>87</v>
      </c>
      <c r="V194" s="94">
        <v>91</v>
      </c>
      <c r="W194" s="94">
        <v>91</v>
      </c>
      <c r="X194" s="94">
        <v>91</v>
      </c>
      <c r="Y194" s="95">
        <v>92</v>
      </c>
      <c r="Z194" s="94">
        <v>92</v>
      </c>
      <c r="AA194" s="94">
        <v>92</v>
      </c>
      <c r="AB194" s="94">
        <v>92</v>
      </c>
      <c r="AC194" s="94">
        <v>93</v>
      </c>
      <c r="AD194" s="94">
        <v>94</v>
      </c>
      <c r="AR194" s="132">
        <v>14</v>
      </c>
      <c r="AS194" s="136">
        <v>14</v>
      </c>
      <c r="AT194" s="136">
        <v>14</v>
      </c>
      <c r="AU194" s="136">
        <v>24</v>
      </c>
      <c r="AV194" s="133">
        <v>24</v>
      </c>
      <c r="AW194" s="133">
        <v>30</v>
      </c>
      <c r="AX194" s="137">
        <v>34</v>
      </c>
      <c r="AY194" s="133">
        <v>36</v>
      </c>
      <c r="AZ194" s="133">
        <v>47</v>
      </c>
      <c r="BA194" s="136">
        <v>47</v>
      </c>
      <c r="BB194" s="136">
        <v>48</v>
      </c>
      <c r="BC194" s="136">
        <v>51</v>
      </c>
      <c r="BD194" s="133">
        <v>61</v>
      </c>
      <c r="BE194" s="133">
        <v>66</v>
      </c>
      <c r="BF194" s="136">
        <v>66</v>
      </c>
      <c r="BG194" s="136">
        <v>68</v>
      </c>
      <c r="BH194" s="136">
        <v>70</v>
      </c>
      <c r="BI194" s="133">
        <v>75</v>
      </c>
      <c r="BJ194" s="136">
        <v>75</v>
      </c>
      <c r="BK194" s="136">
        <v>77</v>
      </c>
      <c r="BL194" s="136">
        <v>77</v>
      </c>
      <c r="BM194" s="136">
        <v>78</v>
      </c>
      <c r="BN194" s="136">
        <v>80</v>
      </c>
      <c r="BO194" s="132"/>
      <c r="BP194" s="132"/>
      <c r="BQ194" s="132"/>
      <c r="BR194" s="132"/>
      <c r="BS194" s="132"/>
      <c r="BT194" s="132"/>
      <c r="BU194" s="132"/>
      <c r="BV194" s="132"/>
      <c r="BW194" s="132"/>
      <c r="BX194" s="132"/>
      <c r="BY194" s="132"/>
    </row>
    <row r="195" spans="1:77" x14ac:dyDescent="0.25">
      <c r="A195" s="4" t="s">
        <v>429</v>
      </c>
      <c r="B195" s="6" t="s">
        <v>430</v>
      </c>
      <c r="H195" s="94">
        <v>74</v>
      </c>
      <c r="I195" s="94">
        <v>76</v>
      </c>
      <c r="J195" s="94">
        <v>77</v>
      </c>
      <c r="K195" s="94">
        <v>79</v>
      </c>
      <c r="L195" s="95">
        <v>85</v>
      </c>
      <c r="M195" s="95">
        <v>86</v>
      </c>
      <c r="N195" s="96">
        <v>95</v>
      </c>
      <c r="O195" s="95">
        <v>96</v>
      </c>
      <c r="P195" s="90">
        <v>99</v>
      </c>
      <c r="Q195" s="94">
        <v>100</v>
      </c>
      <c r="R195" s="94">
        <v>100</v>
      </c>
      <c r="S195" s="94">
        <v>101</v>
      </c>
      <c r="T195" s="95">
        <v>102</v>
      </c>
      <c r="U195" s="95">
        <v>104</v>
      </c>
      <c r="V195" s="94">
        <v>105</v>
      </c>
      <c r="W195" s="94">
        <v>105</v>
      </c>
      <c r="X195" s="94">
        <v>105</v>
      </c>
      <c r="Y195" s="95">
        <v>106</v>
      </c>
      <c r="Z195" s="94">
        <v>111</v>
      </c>
      <c r="AA195" s="94">
        <v>113</v>
      </c>
      <c r="AB195" s="94">
        <v>113</v>
      </c>
      <c r="AC195" s="94">
        <v>113</v>
      </c>
      <c r="AD195" s="94">
        <v>115</v>
      </c>
      <c r="AR195" s="132">
        <v>44</v>
      </c>
      <c r="AS195" s="136">
        <v>53</v>
      </c>
      <c r="AT195" s="136">
        <v>56</v>
      </c>
      <c r="AU195" s="136">
        <v>66</v>
      </c>
      <c r="AV195" s="133">
        <v>68</v>
      </c>
      <c r="AW195" s="133">
        <v>69</v>
      </c>
      <c r="AX195" s="137">
        <v>73</v>
      </c>
      <c r="AY195" s="133">
        <v>74</v>
      </c>
      <c r="AZ195" s="133">
        <v>76</v>
      </c>
      <c r="BA195" s="136">
        <v>77</v>
      </c>
      <c r="BB195" s="136">
        <v>79</v>
      </c>
      <c r="BC195" s="136">
        <v>79</v>
      </c>
      <c r="BD195" s="133">
        <v>79</v>
      </c>
      <c r="BE195" s="133">
        <v>85</v>
      </c>
      <c r="BF195" s="136">
        <v>85</v>
      </c>
      <c r="BG195" s="136">
        <v>85</v>
      </c>
      <c r="BH195" s="136">
        <v>88</v>
      </c>
      <c r="BI195" s="133">
        <v>93</v>
      </c>
      <c r="BJ195" s="136">
        <v>93</v>
      </c>
      <c r="BK195" s="136">
        <v>93</v>
      </c>
      <c r="BL195" s="136">
        <v>98</v>
      </c>
      <c r="BM195" s="136">
        <v>98</v>
      </c>
      <c r="BN195" s="136">
        <v>98</v>
      </c>
      <c r="BO195" s="132"/>
      <c r="BP195" s="132"/>
      <c r="BQ195" s="132"/>
      <c r="BR195" s="132"/>
      <c r="BS195" s="132"/>
      <c r="BT195" s="132"/>
      <c r="BU195" s="132"/>
      <c r="BV195" s="132"/>
      <c r="BW195" s="132"/>
      <c r="BX195" s="132"/>
      <c r="BY195" s="132"/>
    </row>
    <row r="196" spans="1:77" x14ac:dyDescent="0.25">
      <c r="A196" s="4" t="s">
        <v>431</v>
      </c>
      <c r="B196" s="6" t="s">
        <v>432</v>
      </c>
      <c r="H196" s="94">
        <v>5</v>
      </c>
      <c r="I196" s="94">
        <v>5</v>
      </c>
      <c r="J196" s="94">
        <v>5</v>
      </c>
      <c r="K196" s="94">
        <v>5</v>
      </c>
      <c r="L196" s="97">
        <v>5</v>
      </c>
      <c r="M196" s="90">
        <v>5</v>
      </c>
      <c r="N196" s="96">
        <v>10</v>
      </c>
      <c r="O196" s="95">
        <v>10</v>
      </c>
      <c r="P196" s="95">
        <v>10</v>
      </c>
      <c r="Q196" s="94">
        <v>10</v>
      </c>
      <c r="R196" s="94">
        <v>6</v>
      </c>
      <c r="S196" s="94">
        <v>10</v>
      </c>
      <c r="T196" s="90">
        <v>15</v>
      </c>
      <c r="U196" s="97">
        <v>15</v>
      </c>
      <c r="V196" s="94">
        <v>15</v>
      </c>
      <c r="W196" s="94">
        <v>15</v>
      </c>
      <c r="X196" s="94">
        <v>15</v>
      </c>
      <c r="Y196" s="95">
        <v>15</v>
      </c>
      <c r="Z196" s="94">
        <v>16</v>
      </c>
      <c r="AA196" s="94">
        <v>17</v>
      </c>
      <c r="AB196" s="94">
        <v>17</v>
      </c>
      <c r="AC196" s="94">
        <v>17</v>
      </c>
      <c r="AD196" s="94">
        <v>17</v>
      </c>
      <c r="AR196" s="132">
        <v>5</v>
      </c>
      <c r="AS196" s="136">
        <v>5</v>
      </c>
      <c r="AT196" s="136">
        <v>5</v>
      </c>
      <c r="AU196" s="136">
        <v>5</v>
      </c>
      <c r="AV196" s="138">
        <v>5</v>
      </c>
      <c r="AW196" s="133">
        <v>5</v>
      </c>
      <c r="AX196" s="137">
        <v>10</v>
      </c>
      <c r="AY196" s="139">
        <v>10</v>
      </c>
      <c r="AZ196" s="139">
        <v>10</v>
      </c>
      <c r="BA196" s="136">
        <v>10</v>
      </c>
      <c r="BB196" s="136">
        <v>6</v>
      </c>
      <c r="BC196" s="136">
        <v>10</v>
      </c>
      <c r="BD196" s="133">
        <v>15</v>
      </c>
      <c r="BE196" s="138">
        <v>15</v>
      </c>
      <c r="BF196" s="136">
        <v>15</v>
      </c>
      <c r="BG196" s="136">
        <v>15</v>
      </c>
      <c r="BH196" s="136">
        <v>15</v>
      </c>
      <c r="BI196" s="139">
        <v>15</v>
      </c>
      <c r="BJ196" s="136">
        <v>12</v>
      </c>
      <c r="BK196" s="136">
        <v>12</v>
      </c>
      <c r="BL196" s="136">
        <v>13</v>
      </c>
      <c r="BM196" s="136">
        <v>15</v>
      </c>
      <c r="BN196" s="136">
        <v>15</v>
      </c>
      <c r="BO196" s="132"/>
      <c r="BP196" s="132"/>
      <c r="BQ196" s="132"/>
      <c r="BR196" s="132"/>
      <c r="BS196" s="132"/>
      <c r="BT196" s="132"/>
      <c r="BU196" s="132"/>
      <c r="BV196" s="132"/>
      <c r="BW196" s="132"/>
      <c r="BX196" s="132"/>
      <c r="BY196" s="132"/>
    </row>
    <row r="197" spans="1:77" x14ac:dyDescent="0.25">
      <c r="A197" s="4" t="s">
        <v>433</v>
      </c>
      <c r="B197" s="6" t="s">
        <v>434</v>
      </c>
      <c r="H197" s="94">
        <v>187</v>
      </c>
      <c r="I197" s="94">
        <v>207</v>
      </c>
      <c r="J197" s="94">
        <v>219</v>
      </c>
      <c r="K197" s="94">
        <v>238</v>
      </c>
      <c r="L197" s="95">
        <v>246</v>
      </c>
      <c r="M197" s="95">
        <v>258</v>
      </c>
      <c r="N197" s="96">
        <v>279</v>
      </c>
      <c r="O197" s="95">
        <v>287</v>
      </c>
      <c r="P197" s="90">
        <v>297</v>
      </c>
      <c r="Q197" s="94">
        <v>300</v>
      </c>
      <c r="R197" s="94">
        <v>303</v>
      </c>
      <c r="S197" s="94">
        <v>311</v>
      </c>
      <c r="T197" s="95">
        <v>318</v>
      </c>
      <c r="U197" s="95">
        <v>328</v>
      </c>
      <c r="V197" s="94">
        <v>333</v>
      </c>
      <c r="W197" s="94">
        <v>342</v>
      </c>
      <c r="X197" s="94">
        <v>347</v>
      </c>
      <c r="Y197" s="95">
        <v>352</v>
      </c>
      <c r="Z197" s="94">
        <v>363</v>
      </c>
      <c r="AA197" s="94">
        <v>367</v>
      </c>
      <c r="AB197" s="94">
        <v>368</v>
      </c>
      <c r="AC197" s="94">
        <v>369</v>
      </c>
      <c r="AD197" s="94">
        <v>375</v>
      </c>
      <c r="AR197" s="132">
        <v>66</v>
      </c>
      <c r="AS197" s="136">
        <v>84</v>
      </c>
      <c r="AT197" s="136">
        <v>100</v>
      </c>
      <c r="AU197" s="136">
        <v>109</v>
      </c>
      <c r="AV197" s="133">
        <v>134</v>
      </c>
      <c r="AW197" s="133">
        <v>141</v>
      </c>
      <c r="AX197" s="137">
        <v>169</v>
      </c>
      <c r="AY197" s="133">
        <v>188</v>
      </c>
      <c r="AZ197" s="133">
        <v>203</v>
      </c>
      <c r="BA197" s="136">
        <v>218</v>
      </c>
      <c r="BB197" s="136">
        <v>227</v>
      </c>
      <c r="BC197" s="136">
        <v>233</v>
      </c>
      <c r="BD197" s="133">
        <v>240</v>
      </c>
      <c r="BE197" s="133">
        <v>244</v>
      </c>
      <c r="BF197" s="136">
        <v>247</v>
      </c>
      <c r="BG197" s="136">
        <v>249</v>
      </c>
      <c r="BH197" s="136">
        <v>259</v>
      </c>
      <c r="BI197" s="133">
        <v>267</v>
      </c>
      <c r="BJ197" s="136">
        <v>270</v>
      </c>
      <c r="BK197" s="136">
        <v>275</v>
      </c>
      <c r="BL197" s="136">
        <v>286</v>
      </c>
      <c r="BM197" s="136">
        <v>289</v>
      </c>
      <c r="BN197" s="136">
        <v>295</v>
      </c>
      <c r="BO197" s="132"/>
      <c r="BP197" s="132"/>
      <c r="BQ197" s="132"/>
      <c r="BR197" s="132"/>
      <c r="BS197" s="132"/>
      <c r="BT197" s="132"/>
      <c r="BU197" s="132"/>
      <c r="BV197" s="132"/>
      <c r="BW197" s="132"/>
      <c r="BX197" s="132"/>
      <c r="BY197" s="132"/>
    </row>
    <row r="198" spans="1:77" x14ac:dyDescent="0.25">
      <c r="A198" s="4" t="s">
        <v>435</v>
      </c>
      <c r="B198" s="6" t="s">
        <v>436</v>
      </c>
      <c r="H198" s="94">
        <v>48</v>
      </c>
      <c r="I198" s="94">
        <v>48</v>
      </c>
      <c r="J198" s="94">
        <v>51</v>
      </c>
      <c r="K198" s="94">
        <v>55</v>
      </c>
      <c r="L198" s="95">
        <v>59</v>
      </c>
      <c r="M198" s="95">
        <v>61</v>
      </c>
      <c r="N198" s="96">
        <v>63</v>
      </c>
      <c r="O198" s="95">
        <v>67</v>
      </c>
      <c r="P198" s="90">
        <v>68</v>
      </c>
      <c r="Q198" s="94">
        <v>69</v>
      </c>
      <c r="R198" s="94">
        <v>71</v>
      </c>
      <c r="S198" s="94">
        <v>72</v>
      </c>
      <c r="T198" s="95">
        <v>75</v>
      </c>
      <c r="U198" s="95">
        <v>79</v>
      </c>
      <c r="V198" s="94">
        <v>81</v>
      </c>
      <c r="W198" s="94">
        <v>85</v>
      </c>
      <c r="X198" s="94">
        <v>85</v>
      </c>
      <c r="Y198" s="95">
        <v>89</v>
      </c>
      <c r="Z198" s="94">
        <v>96</v>
      </c>
      <c r="AA198" s="94">
        <v>97</v>
      </c>
      <c r="AB198" s="94">
        <v>97</v>
      </c>
      <c r="AC198" s="94">
        <v>95</v>
      </c>
      <c r="AD198" s="94">
        <v>98</v>
      </c>
      <c r="AR198" s="132">
        <v>23</v>
      </c>
      <c r="AS198" s="136">
        <v>24</v>
      </c>
      <c r="AT198" s="136">
        <v>26</v>
      </c>
      <c r="AU198" s="136">
        <v>28</v>
      </c>
      <c r="AV198" s="133">
        <v>28</v>
      </c>
      <c r="AW198" s="133">
        <v>30</v>
      </c>
      <c r="AX198" s="137">
        <v>35</v>
      </c>
      <c r="AY198" s="133">
        <v>35</v>
      </c>
      <c r="AZ198" s="133">
        <v>37</v>
      </c>
      <c r="BA198" s="136">
        <v>42</v>
      </c>
      <c r="BB198" s="136">
        <v>45</v>
      </c>
      <c r="BC198" s="136">
        <v>45</v>
      </c>
      <c r="BD198" s="133">
        <v>45</v>
      </c>
      <c r="BE198" s="133">
        <v>47</v>
      </c>
      <c r="BF198" s="136">
        <v>47</v>
      </c>
      <c r="BG198" s="136">
        <v>47</v>
      </c>
      <c r="BH198" s="136">
        <v>47</v>
      </c>
      <c r="BI198" s="133">
        <v>47</v>
      </c>
      <c r="BJ198" s="136">
        <v>50</v>
      </c>
      <c r="BK198" s="136">
        <v>52</v>
      </c>
      <c r="BL198" s="136">
        <v>54</v>
      </c>
      <c r="BM198" s="136">
        <v>53</v>
      </c>
      <c r="BN198" s="136">
        <v>60</v>
      </c>
      <c r="BO198" s="132"/>
      <c r="BP198" s="132"/>
      <c r="BQ198" s="132"/>
      <c r="BR198" s="132"/>
      <c r="BS198" s="132"/>
      <c r="BT198" s="132"/>
      <c r="BU198" s="132"/>
      <c r="BV198" s="132"/>
      <c r="BW198" s="132"/>
      <c r="BX198" s="132"/>
      <c r="BY198" s="132"/>
    </row>
    <row r="199" spans="1:77" x14ac:dyDescent="0.25">
      <c r="A199" s="6" t="s">
        <v>437</v>
      </c>
      <c r="B199" s="6" t="s">
        <v>438</v>
      </c>
      <c r="H199" s="94">
        <v>81</v>
      </c>
      <c r="I199" s="94">
        <v>86</v>
      </c>
      <c r="J199" s="94">
        <v>95</v>
      </c>
      <c r="K199" s="94">
        <v>99</v>
      </c>
      <c r="L199" s="95">
        <v>107</v>
      </c>
      <c r="M199" s="95">
        <v>108</v>
      </c>
      <c r="N199" s="96">
        <v>115</v>
      </c>
      <c r="O199" s="95">
        <v>115</v>
      </c>
      <c r="P199" s="90">
        <v>115</v>
      </c>
      <c r="Q199" s="94">
        <v>116</v>
      </c>
      <c r="R199" s="94">
        <v>119</v>
      </c>
      <c r="S199" s="94">
        <v>123</v>
      </c>
      <c r="T199" s="95">
        <v>127</v>
      </c>
      <c r="U199" s="95">
        <v>133</v>
      </c>
      <c r="V199" s="94">
        <v>135</v>
      </c>
      <c r="W199" s="94">
        <v>138</v>
      </c>
      <c r="X199" s="94">
        <v>138</v>
      </c>
      <c r="Y199" s="95">
        <v>139</v>
      </c>
      <c r="Z199" s="94">
        <v>139</v>
      </c>
      <c r="AA199" s="94">
        <v>139</v>
      </c>
      <c r="AB199" s="94">
        <v>139</v>
      </c>
      <c r="AC199" s="94">
        <v>139</v>
      </c>
      <c r="AD199" s="94">
        <v>141</v>
      </c>
      <c r="AR199" s="132">
        <v>48</v>
      </c>
      <c r="AS199" s="136">
        <v>55</v>
      </c>
      <c r="AT199" s="136">
        <v>62</v>
      </c>
      <c r="AU199" s="136">
        <v>70</v>
      </c>
      <c r="AV199" s="133">
        <v>72</v>
      </c>
      <c r="AW199" s="133">
        <v>77</v>
      </c>
      <c r="AX199" s="137">
        <v>78</v>
      </c>
      <c r="AY199" s="133">
        <v>90</v>
      </c>
      <c r="AZ199" s="133">
        <v>93</v>
      </c>
      <c r="BA199" s="136">
        <v>105</v>
      </c>
      <c r="BB199" s="136">
        <v>105</v>
      </c>
      <c r="BC199" s="136">
        <v>105</v>
      </c>
      <c r="BD199" s="133">
        <v>105</v>
      </c>
      <c r="BE199" s="133">
        <v>105</v>
      </c>
      <c r="BF199" s="136">
        <v>109</v>
      </c>
      <c r="BG199" s="136">
        <v>109</v>
      </c>
      <c r="BH199" s="136">
        <v>109</v>
      </c>
      <c r="BI199" s="133">
        <v>115</v>
      </c>
      <c r="BJ199" s="136">
        <v>116</v>
      </c>
      <c r="BK199" s="136">
        <v>118</v>
      </c>
      <c r="BL199" s="136">
        <v>123</v>
      </c>
      <c r="BM199" s="136">
        <v>125</v>
      </c>
      <c r="BN199" s="136">
        <v>125</v>
      </c>
      <c r="BO199" s="132"/>
      <c r="BP199" s="132"/>
      <c r="BQ199" s="132"/>
      <c r="BR199" s="132"/>
      <c r="BS199" s="132"/>
      <c r="BT199" s="132"/>
      <c r="BU199" s="132"/>
      <c r="BV199" s="132"/>
      <c r="BW199" s="132"/>
      <c r="BX199" s="132"/>
      <c r="BY199" s="132"/>
    </row>
    <row r="200" spans="1:77" x14ac:dyDescent="0.25">
      <c r="A200" s="4" t="s">
        <v>439</v>
      </c>
      <c r="B200" s="6" t="s">
        <v>440</v>
      </c>
      <c r="H200" s="94">
        <v>5</v>
      </c>
      <c r="I200" s="94">
        <v>5</v>
      </c>
      <c r="J200" s="94">
        <v>5</v>
      </c>
      <c r="K200" s="94">
        <v>5</v>
      </c>
      <c r="L200" s="97">
        <v>5</v>
      </c>
      <c r="M200" s="90">
        <v>5</v>
      </c>
      <c r="N200" s="96">
        <v>10</v>
      </c>
      <c r="O200" s="97">
        <v>10</v>
      </c>
      <c r="P200" s="95">
        <v>10</v>
      </c>
      <c r="Q200" s="94">
        <v>10</v>
      </c>
      <c r="R200" s="94">
        <v>5</v>
      </c>
      <c r="S200" s="94">
        <v>10</v>
      </c>
      <c r="T200" s="90">
        <v>15</v>
      </c>
      <c r="U200" s="97">
        <v>15</v>
      </c>
      <c r="V200" s="94">
        <v>15</v>
      </c>
      <c r="W200" s="94">
        <v>15</v>
      </c>
      <c r="X200" s="94">
        <v>15</v>
      </c>
      <c r="Y200" s="97">
        <v>15</v>
      </c>
      <c r="Z200" s="94">
        <v>12</v>
      </c>
      <c r="AA200" s="94">
        <v>12</v>
      </c>
      <c r="AB200" s="94">
        <v>12</v>
      </c>
      <c r="AC200" s="94">
        <v>15</v>
      </c>
      <c r="AD200" s="94">
        <v>6</v>
      </c>
      <c r="AR200" s="132">
        <v>5</v>
      </c>
      <c r="AS200" s="136">
        <v>5</v>
      </c>
      <c r="AT200" s="136">
        <v>5</v>
      </c>
      <c r="AU200" s="136">
        <v>5</v>
      </c>
      <c r="AV200" s="138">
        <v>5</v>
      </c>
      <c r="AW200" s="133">
        <v>5</v>
      </c>
      <c r="AX200" s="137">
        <v>10</v>
      </c>
      <c r="AY200" s="138">
        <v>10</v>
      </c>
      <c r="AZ200" s="139">
        <v>10</v>
      </c>
      <c r="BA200" s="136">
        <v>10</v>
      </c>
      <c r="BB200" s="136">
        <v>5</v>
      </c>
      <c r="BC200" s="136">
        <v>10</v>
      </c>
      <c r="BD200" s="133">
        <v>15</v>
      </c>
      <c r="BE200" s="138">
        <v>15</v>
      </c>
      <c r="BF200" s="136">
        <v>15</v>
      </c>
      <c r="BG200" s="136">
        <v>15</v>
      </c>
      <c r="BH200" s="136">
        <v>15</v>
      </c>
      <c r="BI200" s="138">
        <v>15</v>
      </c>
      <c r="BJ200" s="136">
        <v>12</v>
      </c>
      <c r="BK200" s="136">
        <v>12</v>
      </c>
      <c r="BL200" s="136">
        <v>12</v>
      </c>
      <c r="BM200" s="136">
        <v>15</v>
      </c>
      <c r="BN200" s="136">
        <v>5</v>
      </c>
      <c r="BO200" s="132"/>
      <c r="BP200" s="132"/>
      <c r="BQ200" s="132"/>
      <c r="BR200" s="132"/>
      <c r="BS200" s="132"/>
      <c r="BT200" s="132"/>
      <c r="BU200" s="132"/>
      <c r="BV200" s="132"/>
      <c r="BW200" s="132"/>
      <c r="BX200" s="132"/>
      <c r="BY200" s="132"/>
    </row>
    <row r="201" spans="1:77" x14ac:dyDescent="0.25">
      <c r="A201" s="4" t="s">
        <v>441</v>
      </c>
      <c r="B201" s="6" t="s">
        <v>442</v>
      </c>
      <c r="H201" s="94">
        <v>50</v>
      </c>
      <c r="I201" s="94">
        <v>54</v>
      </c>
      <c r="J201" s="94">
        <v>59</v>
      </c>
      <c r="K201" s="94">
        <v>60</v>
      </c>
      <c r="L201" s="95">
        <v>61</v>
      </c>
      <c r="M201" s="95">
        <v>62</v>
      </c>
      <c r="N201" s="96">
        <v>70</v>
      </c>
      <c r="O201" s="95">
        <v>71</v>
      </c>
      <c r="P201" s="90">
        <v>76</v>
      </c>
      <c r="Q201" s="94">
        <v>80</v>
      </c>
      <c r="R201" s="94">
        <v>81</v>
      </c>
      <c r="S201" s="94">
        <v>82</v>
      </c>
      <c r="T201" s="95">
        <v>82</v>
      </c>
      <c r="U201" s="95">
        <v>83</v>
      </c>
      <c r="V201" s="94">
        <v>84</v>
      </c>
      <c r="W201" s="94">
        <v>85</v>
      </c>
      <c r="X201" s="94">
        <v>85</v>
      </c>
      <c r="Y201" s="95">
        <v>85</v>
      </c>
      <c r="Z201" s="94">
        <v>85</v>
      </c>
      <c r="AA201" s="94">
        <v>85</v>
      </c>
      <c r="AB201" s="94">
        <v>85</v>
      </c>
      <c r="AC201" s="94">
        <v>85</v>
      </c>
      <c r="AD201" s="94">
        <v>85</v>
      </c>
      <c r="AR201" s="132">
        <v>34</v>
      </c>
      <c r="AS201" s="136">
        <v>36</v>
      </c>
      <c r="AT201" s="136">
        <v>39</v>
      </c>
      <c r="AU201" s="136">
        <v>45</v>
      </c>
      <c r="AV201" s="133">
        <v>46</v>
      </c>
      <c r="AW201" s="133">
        <v>46</v>
      </c>
      <c r="AX201" s="137">
        <v>49</v>
      </c>
      <c r="AY201" s="133">
        <v>49</v>
      </c>
      <c r="AZ201" s="133">
        <v>54</v>
      </c>
      <c r="BA201" s="136">
        <v>58</v>
      </c>
      <c r="BB201" s="136">
        <v>58</v>
      </c>
      <c r="BC201" s="136">
        <v>61</v>
      </c>
      <c r="BD201" s="133">
        <v>61</v>
      </c>
      <c r="BE201" s="133">
        <v>71</v>
      </c>
      <c r="BF201" s="136">
        <v>72</v>
      </c>
      <c r="BG201" s="136">
        <v>72</v>
      </c>
      <c r="BH201" s="136">
        <v>74</v>
      </c>
      <c r="BI201" s="133">
        <v>75</v>
      </c>
      <c r="BJ201" s="136">
        <v>75</v>
      </c>
      <c r="BK201" s="136">
        <v>75</v>
      </c>
      <c r="BL201" s="136">
        <v>75</v>
      </c>
      <c r="BM201" s="136">
        <v>75</v>
      </c>
      <c r="BN201" s="136">
        <v>76</v>
      </c>
      <c r="BO201" s="132"/>
      <c r="BP201" s="132"/>
      <c r="BQ201" s="132"/>
      <c r="BR201" s="132"/>
      <c r="BS201" s="132"/>
      <c r="BT201" s="132"/>
      <c r="BU201" s="132"/>
      <c r="BV201" s="132"/>
      <c r="BW201" s="132"/>
      <c r="BX201" s="132"/>
      <c r="BY201" s="132"/>
    </row>
    <row r="202" spans="1:77" x14ac:dyDescent="0.25">
      <c r="A202" s="4" t="s">
        <v>443</v>
      </c>
      <c r="B202" s="6" t="s">
        <v>444</v>
      </c>
      <c r="H202" s="94">
        <v>96</v>
      </c>
      <c r="I202" s="94">
        <v>97</v>
      </c>
      <c r="J202" s="94">
        <v>111</v>
      </c>
      <c r="K202" s="94">
        <v>114</v>
      </c>
      <c r="L202" s="95">
        <v>114</v>
      </c>
      <c r="M202" s="95">
        <v>122</v>
      </c>
      <c r="N202" s="96">
        <v>138</v>
      </c>
      <c r="O202" s="95">
        <v>140</v>
      </c>
      <c r="P202" s="90">
        <v>146</v>
      </c>
      <c r="Q202" s="94">
        <v>156</v>
      </c>
      <c r="R202" s="94">
        <v>156</v>
      </c>
      <c r="S202" s="94">
        <v>159</v>
      </c>
      <c r="T202" s="95">
        <v>161</v>
      </c>
      <c r="U202" s="95">
        <v>164</v>
      </c>
      <c r="V202" s="94">
        <v>169</v>
      </c>
      <c r="W202" s="94">
        <v>170</v>
      </c>
      <c r="X202" s="94">
        <v>171</v>
      </c>
      <c r="Y202" s="95">
        <v>175</v>
      </c>
      <c r="Z202" s="94">
        <v>178</v>
      </c>
      <c r="AA202" s="94">
        <v>182</v>
      </c>
      <c r="AB202" s="94">
        <v>188</v>
      </c>
      <c r="AC202" s="94">
        <v>189</v>
      </c>
      <c r="AD202" s="94">
        <v>194</v>
      </c>
      <c r="AR202" s="132">
        <v>36</v>
      </c>
      <c r="AS202" s="136">
        <v>46</v>
      </c>
      <c r="AT202" s="136">
        <v>58</v>
      </c>
      <c r="AU202" s="136">
        <v>59</v>
      </c>
      <c r="AV202" s="133">
        <v>68</v>
      </c>
      <c r="AW202" s="133">
        <v>69</v>
      </c>
      <c r="AX202" s="137">
        <v>74</v>
      </c>
      <c r="AY202" s="133">
        <v>83</v>
      </c>
      <c r="AZ202" s="133">
        <v>89</v>
      </c>
      <c r="BA202" s="136">
        <v>94</v>
      </c>
      <c r="BB202" s="136">
        <v>99</v>
      </c>
      <c r="BC202" s="136">
        <v>106</v>
      </c>
      <c r="BD202" s="133">
        <v>112</v>
      </c>
      <c r="BE202" s="133">
        <v>113</v>
      </c>
      <c r="BF202" s="136">
        <v>116</v>
      </c>
      <c r="BG202" s="136">
        <v>116</v>
      </c>
      <c r="BH202" s="136">
        <v>117</v>
      </c>
      <c r="BI202" s="133">
        <v>122</v>
      </c>
      <c r="BJ202" s="136">
        <v>127</v>
      </c>
      <c r="BK202" s="136">
        <v>127</v>
      </c>
      <c r="BL202" s="136">
        <v>128</v>
      </c>
      <c r="BM202" s="136">
        <v>130</v>
      </c>
      <c r="BN202" s="136">
        <v>139</v>
      </c>
      <c r="BO202" s="132"/>
      <c r="BP202" s="132"/>
      <c r="BQ202" s="132"/>
      <c r="BR202" s="132"/>
      <c r="BS202" s="132"/>
      <c r="BT202" s="132"/>
      <c r="BU202" s="132"/>
      <c r="BV202" s="132"/>
      <c r="BW202" s="132"/>
      <c r="BX202" s="132"/>
      <c r="BY202" s="132"/>
    </row>
    <row r="203" spans="1:77" x14ac:dyDescent="0.25">
      <c r="A203" s="4" t="s">
        <v>445</v>
      </c>
      <c r="B203" s="6" t="s">
        <v>446</v>
      </c>
      <c r="H203" s="94">
        <v>91</v>
      </c>
      <c r="I203" s="94">
        <v>97</v>
      </c>
      <c r="J203" s="94">
        <v>105</v>
      </c>
      <c r="K203" s="94">
        <v>111</v>
      </c>
      <c r="L203" s="95">
        <v>112</v>
      </c>
      <c r="M203" s="95">
        <v>111</v>
      </c>
      <c r="N203" s="96">
        <v>123</v>
      </c>
      <c r="O203" s="95">
        <v>126</v>
      </c>
      <c r="P203" s="90">
        <v>138</v>
      </c>
      <c r="Q203" s="94">
        <v>142</v>
      </c>
      <c r="R203" s="94">
        <v>143</v>
      </c>
      <c r="S203" s="94">
        <v>152</v>
      </c>
      <c r="T203" s="95">
        <v>153</v>
      </c>
      <c r="U203" s="95">
        <v>155</v>
      </c>
      <c r="V203" s="94">
        <v>156</v>
      </c>
      <c r="W203" s="94">
        <v>156</v>
      </c>
      <c r="X203" s="94">
        <v>156</v>
      </c>
      <c r="Y203" s="95">
        <v>156</v>
      </c>
      <c r="Z203" s="94">
        <v>157</v>
      </c>
      <c r="AA203" s="94">
        <v>157</v>
      </c>
      <c r="AB203" s="94">
        <v>157</v>
      </c>
      <c r="AC203" s="94">
        <v>157</v>
      </c>
      <c r="AD203" s="94">
        <v>159</v>
      </c>
      <c r="AR203" s="132">
        <v>53</v>
      </c>
      <c r="AS203" s="136">
        <v>59</v>
      </c>
      <c r="AT203" s="136">
        <v>59</v>
      </c>
      <c r="AU203" s="136">
        <v>65</v>
      </c>
      <c r="AV203" s="133">
        <v>71</v>
      </c>
      <c r="AW203" s="133">
        <v>74</v>
      </c>
      <c r="AX203" s="137">
        <v>80</v>
      </c>
      <c r="AY203" s="133">
        <v>82</v>
      </c>
      <c r="AZ203" s="133">
        <v>91</v>
      </c>
      <c r="BA203" s="136">
        <v>98</v>
      </c>
      <c r="BB203" s="136">
        <v>101</v>
      </c>
      <c r="BC203" s="136">
        <v>104</v>
      </c>
      <c r="BD203" s="133">
        <v>112</v>
      </c>
      <c r="BE203" s="133">
        <v>114</v>
      </c>
      <c r="BF203" s="136">
        <v>123</v>
      </c>
      <c r="BG203" s="136">
        <v>123</v>
      </c>
      <c r="BH203" s="136">
        <v>124</v>
      </c>
      <c r="BI203" s="133">
        <v>125</v>
      </c>
      <c r="BJ203" s="136">
        <v>127</v>
      </c>
      <c r="BK203" s="136">
        <v>127</v>
      </c>
      <c r="BL203" s="136">
        <v>129</v>
      </c>
      <c r="BM203" s="136">
        <v>128</v>
      </c>
      <c r="BN203" s="136">
        <v>129</v>
      </c>
      <c r="BO203" s="132"/>
      <c r="BP203" s="132"/>
      <c r="BQ203" s="132"/>
      <c r="BR203" s="132"/>
      <c r="BS203" s="132"/>
      <c r="BT203" s="132"/>
      <c r="BU203" s="132"/>
      <c r="BV203" s="132"/>
      <c r="BW203" s="132"/>
      <c r="BX203" s="132"/>
      <c r="BY203" s="132"/>
    </row>
    <row r="204" spans="1:77" x14ac:dyDescent="0.25">
      <c r="A204" s="4" t="s">
        <v>447</v>
      </c>
      <c r="B204" s="6" t="s">
        <v>448</v>
      </c>
      <c r="H204" s="94">
        <v>5</v>
      </c>
      <c r="I204" s="94">
        <v>5</v>
      </c>
      <c r="J204" s="94">
        <v>5</v>
      </c>
      <c r="K204" s="94">
        <v>5</v>
      </c>
      <c r="L204" s="97">
        <v>5</v>
      </c>
      <c r="M204" s="90">
        <v>5</v>
      </c>
      <c r="N204" s="96">
        <v>10</v>
      </c>
      <c r="O204" s="95">
        <v>10</v>
      </c>
      <c r="P204" s="95">
        <v>10</v>
      </c>
      <c r="Q204" s="94">
        <v>10</v>
      </c>
      <c r="R204" s="94">
        <v>9</v>
      </c>
      <c r="S204" s="94">
        <v>10</v>
      </c>
      <c r="T204" s="90">
        <v>15</v>
      </c>
      <c r="U204" s="97">
        <v>15</v>
      </c>
      <c r="V204" s="94">
        <v>15</v>
      </c>
      <c r="W204" s="94">
        <v>15</v>
      </c>
      <c r="X204" s="94">
        <v>15</v>
      </c>
      <c r="Y204" s="97">
        <v>15</v>
      </c>
      <c r="Z204" s="94">
        <v>12</v>
      </c>
      <c r="AA204" s="94">
        <v>12</v>
      </c>
      <c r="AB204" s="94">
        <v>12</v>
      </c>
      <c r="AC204" s="94">
        <v>15</v>
      </c>
      <c r="AD204" s="94">
        <v>10</v>
      </c>
      <c r="AR204" s="132">
        <v>5</v>
      </c>
      <c r="AS204" s="136">
        <v>5</v>
      </c>
      <c r="AT204" s="136">
        <v>5</v>
      </c>
      <c r="AU204" s="136">
        <v>5</v>
      </c>
      <c r="AV204" s="138">
        <v>5</v>
      </c>
      <c r="AW204" s="133">
        <v>5</v>
      </c>
      <c r="AX204" s="137">
        <v>10</v>
      </c>
      <c r="AY204" s="139">
        <v>10</v>
      </c>
      <c r="AZ204" s="139">
        <v>10</v>
      </c>
      <c r="BA204" s="136">
        <v>10</v>
      </c>
      <c r="BB204" s="136">
        <v>5</v>
      </c>
      <c r="BC204" s="136">
        <v>10</v>
      </c>
      <c r="BD204" s="133">
        <v>15</v>
      </c>
      <c r="BE204" s="138">
        <v>15</v>
      </c>
      <c r="BF204" s="136">
        <v>15</v>
      </c>
      <c r="BG204" s="136">
        <v>15</v>
      </c>
      <c r="BH204" s="136">
        <v>15</v>
      </c>
      <c r="BI204" s="138">
        <v>15</v>
      </c>
      <c r="BJ204" s="136">
        <v>12</v>
      </c>
      <c r="BK204" s="136">
        <v>12</v>
      </c>
      <c r="BL204" s="136">
        <v>12</v>
      </c>
      <c r="BM204" s="136">
        <v>15</v>
      </c>
      <c r="BN204" s="136">
        <v>8</v>
      </c>
      <c r="BO204" s="132"/>
      <c r="BP204" s="132"/>
      <c r="BQ204" s="132"/>
      <c r="BR204" s="132"/>
      <c r="BS204" s="132"/>
      <c r="BT204" s="132"/>
      <c r="BU204" s="132"/>
      <c r="BV204" s="132"/>
      <c r="BW204" s="132"/>
      <c r="BX204" s="132"/>
      <c r="BY204" s="132"/>
    </row>
    <row r="205" spans="1:77" x14ac:dyDescent="0.25">
      <c r="A205" s="4" t="s">
        <v>526</v>
      </c>
      <c r="B205" s="6" t="s">
        <v>527</v>
      </c>
      <c r="H205" s="93">
        <v>88</v>
      </c>
      <c r="I205" s="94">
        <v>90</v>
      </c>
      <c r="J205" s="94">
        <v>97</v>
      </c>
      <c r="K205" s="94">
        <v>100</v>
      </c>
      <c r="L205" s="95">
        <v>100</v>
      </c>
      <c r="M205" s="95">
        <v>102</v>
      </c>
      <c r="N205" s="96">
        <v>111</v>
      </c>
      <c r="O205" s="95">
        <v>111</v>
      </c>
      <c r="P205" s="90">
        <v>116</v>
      </c>
      <c r="Q205" s="94">
        <v>117</v>
      </c>
      <c r="R205" s="94">
        <v>117</v>
      </c>
      <c r="S205" s="94">
        <v>117</v>
      </c>
      <c r="T205" s="95">
        <v>118</v>
      </c>
      <c r="U205" s="95">
        <v>120</v>
      </c>
      <c r="V205" s="94">
        <v>123</v>
      </c>
      <c r="W205" s="94">
        <v>123</v>
      </c>
      <c r="X205" s="94">
        <v>123</v>
      </c>
      <c r="Y205" s="95">
        <v>124</v>
      </c>
      <c r="Z205" s="94">
        <v>125</v>
      </c>
      <c r="AA205" s="94">
        <v>126</v>
      </c>
      <c r="AB205" s="94">
        <v>127</v>
      </c>
      <c r="AC205" s="94">
        <v>126</v>
      </c>
      <c r="AD205" s="94">
        <v>126</v>
      </c>
      <c r="AR205" s="132">
        <v>56</v>
      </c>
      <c r="AS205" s="136">
        <v>64</v>
      </c>
      <c r="AT205" s="136">
        <v>64</v>
      </c>
      <c r="AU205" s="136">
        <v>65</v>
      </c>
      <c r="AV205" s="133">
        <v>70</v>
      </c>
      <c r="AW205" s="133">
        <v>77</v>
      </c>
      <c r="AX205" s="137">
        <v>78</v>
      </c>
      <c r="AY205" s="133">
        <v>78</v>
      </c>
      <c r="AZ205" s="133">
        <v>85</v>
      </c>
      <c r="BA205" s="136">
        <v>86</v>
      </c>
      <c r="BB205" s="136">
        <v>93</v>
      </c>
      <c r="BC205" s="136">
        <v>94</v>
      </c>
      <c r="BD205" s="133">
        <v>94</v>
      </c>
      <c r="BE205" s="133">
        <v>97</v>
      </c>
      <c r="BF205" s="136">
        <v>103</v>
      </c>
      <c r="BG205" s="136">
        <v>103</v>
      </c>
      <c r="BH205" s="136">
        <v>104</v>
      </c>
      <c r="BI205" s="133">
        <v>104</v>
      </c>
      <c r="BJ205" s="136">
        <v>107</v>
      </c>
      <c r="BK205" s="136">
        <v>107</v>
      </c>
      <c r="BL205" s="136">
        <v>108</v>
      </c>
      <c r="BM205" s="136">
        <v>109</v>
      </c>
      <c r="BN205" s="136">
        <v>108</v>
      </c>
      <c r="BO205" s="132"/>
      <c r="BP205" s="132"/>
      <c r="BQ205" s="132"/>
      <c r="BR205" s="132"/>
      <c r="BS205" s="132"/>
      <c r="BT205" s="132"/>
      <c r="BU205" s="132"/>
      <c r="BV205" s="132"/>
      <c r="BW205" s="132"/>
      <c r="BX205" s="132"/>
      <c r="BY205" s="132"/>
    </row>
    <row r="206" spans="1:77" x14ac:dyDescent="0.25">
      <c r="A206" s="4"/>
      <c r="B206" s="6"/>
      <c r="F206" s="48" t="s">
        <v>585</v>
      </c>
      <c r="G206" s="48"/>
      <c r="H206" s="98">
        <f>SUM(H174:H205)</f>
        <v>2722</v>
      </c>
      <c r="I206" s="98">
        <f t="shared" ref="I206:BT206" si="9">SUM(I174:I205)</f>
        <v>2898</v>
      </c>
      <c r="J206" s="98">
        <f t="shared" si="9"/>
        <v>3082</v>
      </c>
      <c r="K206" s="98">
        <f t="shared" si="9"/>
        <v>3265</v>
      </c>
      <c r="L206" s="98">
        <f t="shared" si="9"/>
        <v>3354</v>
      </c>
      <c r="M206" s="98">
        <f t="shared" si="9"/>
        <v>3431</v>
      </c>
      <c r="N206" s="98">
        <f t="shared" si="9"/>
        <v>3668</v>
      </c>
      <c r="O206" s="98">
        <f t="shared" si="9"/>
        <v>3766</v>
      </c>
      <c r="P206" s="98">
        <f t="shared" si="9"/>
        <v>3896</v>
      </c>
      <c r="Q206" s="98">
        <f t="shared" si="9"/>
        <v>3976</v>
      </c>
      <c r="R206" s="98">
        <f t="shared" si="9"/>
        <v>4015</v>
      </c>
      <c r="S206" s="98">
        <f t="shared" si="9"/>
        <v>4117</v>
      </c>
      <c r="T206" s="98">
        <f t="shared" si="9"/>
        <v>4189</v>
      </c>
      <c r="U206" s="98">
        <f t="shared" si="9"/>
        <v>4305</v>
      </c>
      <c r="V206" s="98">
        <f t="shared" si="9"/>
        <v>4382</v>
      </c>
      <c r="W206" s="98">
        <f t="shared" si="9"/>
        <v>4439</v>
      </c>
      <c r="X206" s="98">
        <f t="shared" si="9"/>
        <v>4477</v>
      </c>
      <c r="Y206" s="98">
        <f t="shared" si="9"/>
        <v>4533</v>
      </c>
      <c r="Z206" s="98">
        <f t="shared" si="9"/>
        <v>4607</v>
      </c>
      <c r="AA206" s="98">
        <f t="shared" si="9"/>
        <v>4640</v>
      </c>
      <c r="AB206" s="98">
        <f t="shared" si="9"/>
        <v>4672</v>
      </c>
      <c r="AC206" s="98">
        <f t="shared" si="9"/>
        <v>4692</v>
      </c>
      <c r="AD206" s="98">
        <f t="shared" si="9"/>
        <v>4760</v>
      </c>
      <c r="AE206" s="98"/>
      <c r="AF206" s="98"/>
      <c r="AG206" s="98"/>
      <c r="AH206" s="98"/>
      <c r="AI206" s="98"/>
      <c r="AJ206" s="98"/>
      <c r="AK206" s="98"/>
      <c r="AL206" s="98"/>
      <c r="AM206" s="98"/>
      <c r="AN206" s="98"/>
      <c r="AO206" s="98"/>
      <c r="AQ206" s="153"/>
      <c r="AR206" s="140">
        <f t="shared" si="9"/>
        <v>1291</v>
      </c>
      <c r="AS206" s="140">
        <f t="shared" si="9"/>
        <v>1502</v>
      </c>
      <c r="AT206" s="140">
        <f t="shared" si="9"/>
        <v>1673</v>
      </c>
      <c r="AU206" s="140">
        <f t="shared" si="9"/>
        <v>1867</v>
      </c>
      <c r="AV206" s="140">
        <f t="shared" si="9"/>
        <v>2046</v>
      </c>
      <c r="AW206" s="140">
        <f t="shared" si="9"/>
        <v>2152</v>
      </c>
      <c r="AX206" s="140">
        <f t="shared" si="9"/>
        <v>2372</v>
      </c>
      <c r="AY206" s="140">
        <f t="shared" si="9"/>
        <v>2500</v>
      </c>
      <c r="AZ206" s="140">
        <f t="shared" si="9"/>
        <v>2647</v>
      </c>
      <c r="BA206" s="140">
        <f t="shared" si="9"/>
        <v>2804</v>
      </c>
      <c r="BB206" s="140">
        <f t="shared" si="9"/>
        <v>2882</v>
      </c>
      <c r="BC206" s="140">
        <f t="shared" si="9"/>
        <v>3034</v>
      </c>
      <c r="BD206" s="140">
        <f t="shared" si="9"/>
        <v>3151</v>
      </c>
      <c r="BE206" s="140">
        <f t="shared" si="9"/>
        <v>3242</v>
      </c>
      <c r="BF206" s="140">
        <f t="shared" si="9"/>
        <v>3313</v>
      </c>
      <c r="BG206" s="140">
        <f t="shared" si="9"/>
        <v>3339</v>
      </c>
      <c r="BH206" s="140">
        <f t="shared" si="9"/>
        <v>3406</v>
      </c>
      <c r="BI206" s="140">
        <f t="shared" si="9"/>
        <v>3476</v>
      </c>
      <c r="BJ206" s="140">
        <f t="shared" si="9"/>
        <v>3521</v>
      </c>
      <c r="BK206" s="140">
        <f t="shared" si="9"/>
        <v>3580</v>
      </c>
      <c r="BL206" s="140">
        <f t="shared" si="9"/>
        <v>3666</v>
      </c>
      <c r="BM206" s="140">
        <f t="shared" si="9"/>
        <v>3701</v>
      </c>
      <c r="BN206" s="140">
        <f t="shared" si="9"/>
        <v>3723</v>
      </c>
      <c r="BO206" s="140">
        <f t="shared" si="9"/>
        <v>0</v>
      </c>
      <c r="BP206" s="140">
        <f t="shared" si="9"/>
        <v>0</v>
      </c>
      <c r="BQ206" s="140">
        <f t="shared" si="9"/>
        <v>0</v>
      </c>
      <c r="BR206" s="140">
        <f t="shared" si="9"/>
        <v>0</v>
      </c>
      <c r="BS206" s="140">
        <f t="shared" si="9"/>
        <v>0</v>
      </c>
      <c r="BT206" s="140">
        <f t="shared" si="9"/>
        <v>0</v>
      </c>
      <c r="BU206" s="140">
        <f t="shared" ref="BU206:BY206" si="10">SUM(BU174:BU205)</f>
        <v>0</v>
      </c>
      <c r="BV206" s="140">
        <f t="shared" si="10"/>
        <v>0</v>
      </c>
      <c r="BW206" s="140">
        <f t="shared" si="10"/>
        <v>0</v>
      </c>
      <c r="BX206" s="140">
        <f t="shared" si="10"/>
        <v>0</v>
      </c>
      <c r="BY206" s="140">
        <f t="shared" si="10"/>
        <v>0</v>
      </c>
    </row>
    <row r="207" spans="1:77" x14ac:dyDescent="0.25">
      <c r="A207" s="8" t="s">
        <v>5</v>
      </c>
      <c r="B207" s="11"/>
      <c r="H207" s="92">
        <f>SUM(H174:H205)</f>
        <v>2722</v>
      </c>
      <c r="I207" s="92">
        <v>2890</v>
      </c>
      <c r="J207" s="92">
        <v>3075</v>
      </c>
      <c r="K207" s="92">
        <v>3259</v>
      </c>
      <c r="L207" s="92">
        <v>3348</v>
      </c>
      <c r="M207" s="92">
        <v>3425</v>
      </c>
      <c r="N207" s="92">
        <v>3649</v>
      </c>
      <c r="O207" s="92">
        <v>3748</v>
      </c>
      <c r="P207" s="99">
        <v>3879</v>
      </c>
      <c r="Q207" s="92">
        <v>3959</v>
      </c>
      <c r="R207" s="92">
        <v>4013</v>
      </c>
      <c r="S207" s="92">
        <f>SUM(S174:S205)</f>
        <v>4117</v>
      </c>
      <c r="T207" s="92">
        <v>4157</v>
      </c>
      <c r="U207" s="92">
        <v>4280</v>
      </c>
      <c r="V207" s="92">
        <v>4357</v>
      </c>
      <c r="W207" s="92">
        <v>4417</v>
      </c>
      <c r="X207" s="92">
        <v>4455</v>
      </c>
      <c r="Y207" s="92">
        <v>4511</v>
      </c>
      <c r="Z207" s="92">
        <v>4597</v>
      </c>
      <c r="AA207" s="92">
        <v>4630</v>
      </c>
      <c r="AB207" s="92">
        <v>4662</v>
      </c>
      <c r="AC207" s="92">
        <v>4673</v>
      </c>
      <c r="AD207" s="92">
        <v>4760</v>
      </c>
      <c r="AR207" s="135">
        <f>SUM(AR174:AR205)</f>
        <v>1291</v>
      </c>
      <c r="AS207" s="135">
        <v>1488</v>
      </c>
      <c r="AT207" s="135">
        <v>1659</v>
      </c>
      <c r="AU207" s="135">
        <v>1860</v>
      </c>
      <c r="AV207" s="135">
        <v>2035</v>
      </c>
      <c r="AW207" s="135">
        <v>2142</v>
      </c>
      <c r="AX207" s="135">
        <v>2342</v>
      </c>
      <c r="AY207" s="135">
        <v>2470</v>
      </c>
      <c r="AZ207" s="141">
        <v>2620</v>
      </c>
      <c r="BA207" s="135">
        <v>2777</v>
      </c>
      <c r="BB207" s="135">
        <v>2874</v>
      </c>
      <c r="BC207" s="135">
        <f>SUM(BC174:BC205)</f>
        <v>3034</v>
      </c>
      <c r="BD207" s="135">
        <v>3110</v>
      </c>
      <c r="BE207" s="135">
        <v>3201</v>
      </c>
      <c r="BF207" s="135">
        <v>3272</v>
      </c>
      <c r="BG207" s="135">
        <v>3299</v>
      </c>
      <c r="BH207" s="135">
        <v>3367</v>
      </c>
      <c r="BI207" s="135">
        <v>3441</v>
      </c>
      <c r="BJ207" s="135">
        <v>3498</v>
      </c>
      <c r="BK207" s="135">
        <v>3559</v>
      </c>
      <c r="BL207" s="135">
        <v>3650</v>
      </c>
      <c r="BM207" s="135">
        <v>3674</v>
      </c>
      <c r="BN207" s="135">
        <v>3723</v>
      </c>
      <c r="BO207" s="132"/>
      <c r="BP207" s="132"/>
      <c r="BQ207" s="132"/>
      <c r="BR207" s="132"/>
      <c r="BS207" s="132"/>
      <c r="BT207" s="132"/>
      <c r="BU207" s="132"/>
      <c r="BV207" s="132"/>
      <c r="BW207" s="132"/>
      <c r="BX207" s="132"/>
      <c r="BY207" s="132"/>
    </row>
    <row r="208" spans="1:77" x14ac:dyDescent="0.25">
      <c r="A208" s="4"/>
      <c r="B208" s="6"/>
      <c r="F208" s="49" t="s">
        <v>584</v>
      </c>
      <c r="G208" s="49"/>
      <c r="H208" s="100">
        <f>H206-H207</f>
        <v>0</v>
      </c>
      <c r="I208" s="100">
        <f t="shared" ref="I208:BT208" si="11">I206-I207</f>
        <v>8</v>
      </c>
      <c r="J208" s="100">
        <f t="shared" si="11"/>
        <v>7</v>
      </c>
      <c r="K208" s="100">
        <f t="shared" si="11"/>
        <v>6</v>
      </c>
      <c r="L208" s="100">
        <f t="shared" si="11"/>
        <v>6</v>
      </c>
      <c r="M208" s="100">
        <f t="shared" si="11"/>
        <v>6</v>
      </c>
      <c r="N208" s="100">
        <f t="shared" si="11"/>
        <v>19</v>
      </c>
      <c r="O208" s="100">
        <f t="shared" si="11"/>
        <v>18</v>
      </c>
      <c r="P208" s="100">
        <f t="shared" si="11"/>
        <v>17</v>
      </c>
      <c r="Q208" s="100">
        <f t="shared" si="11"/>
        <v>17</v>
      </c>
      <c r="R208" s="100">
        <f t="shared" si="11"/>
        <v>2</v>
      </c>
      <c r="S208" s="100">
        <f t="shared" si="11"/>
        <v>0</v>
      </c>
      <c r="T208" s="100">
        <f t="shared" si="11"/>
        <v>32</v>
      </c>
      <c r="U208" s="100">
        <f t="shared" si="11"/>
        <v>25</v>
      </c>
      <c r="V208" s="100">
        <f t="shared" si="11"/>
        <v>25</v>
      </c>
      <c r="W208" s="100">
        <f t="shared" si="11"/>
        <v>22</v>
      </c>
      <c r="X208" s="100">
        <f t="shared" si="11"/>
        <v>22</v>
      </c>
      <c r="Y208" s="100">
        <f t="shared" si="11"/>
        <v>22</v>
      </c>
      <c r="Z208" s="100">
        <f t="shared" si="11"/>
        <v>10</v>
      </c>
      <c r="AA208" s="100">
        <f t="shared" si="11"/>
        <v>10</v>
      </c>
      <c r="AB208" s="100">
        <f t="shared" si="11"/>
        <v>10</v>
      </c>
      <c r="AC208" s="100">
        <f t="shared" si="11"/>
        <v>19</v>
      </c>
      <c r="AD208" s="100">
        <f t="shared" si="11"/>
        <v>0</v>
      </c>
      <c r="AE208" s="100"/>
      <c r="AF208" s="100"/>
      <c r="AG208" s="100"/>
      <c r="AH208" s="100"/>
      <c r="AI208" s="100"/>
      <c r="AJ208" s="100"/>
      <c r="AK208" s="100"/>
      <c r="AL208" s="100"/>
      <c r="AM208" s="100"/>
      <c r="AN208" s="100"/>
      <c r="AO208" s="100"/>
      <c r="AQ208" s="154"/>
      <c r="AR208" s="142">
        <f t="shared" si="11"/>
        <v>0</v>
      </c>
      <c r="AS208" s="142">
        <f t="shared" si="11"/>
        <v>14</v>
      </c>
      <c r="AT208" s="142">
        <f t="shared" si="11"/>
        <v>14</v>
      </c>
      <c r="AU208" s="142">
        <f t="shared" si="11"/>
        <v>7</v>
      </c>
      <c r="AV208" s="142">
        <f t="shared" si="11"/>
        <v>11</v>
      </c>
      <c r="AW208" s="142">
        <f t="shared" si="11"/>
        <v>10</v>
      </c>
      <c r="AX208" s="142">
        <f t="shared" si="11"/>
        <v>30</v>
      </c>
      <c r="AY208" s="142">
        <f t="shared" si="11"/>
        <v>30</v>
      </c>
      <c r="AZ208" s="142">
        <f t="shared" si="11"/>
        <v>27</v>
      </c>
      <c r="BA208" s="142">
        <f t="shared" si="11"/>
        <v>27</v>
      </c>
      <c r="BB208" s="142">
        <f t="shared" si="11"/>
        <v>8</v>
      </c>
      <c r="BC208" s="142">
        <f t="shared" si="11"/>
        <v>0</v>
      </c>
      <c r="BD208" s="142">
        <f t="shared" si="11"/>
        <v>41</v>
      </c>
      <c r="BE208" s="142">
        <f t="shared" si="11"/>
        <v>41</v>
      </c>
      <c r="BF208" s="142">
        <f t="shared" si="11"/>
        <v>41</v>
      </c>
      <c r="BG208" s="142">
        <f t="shared" si="11"/>
        <v>40</v>
      </c>
      <c r="BH208" s="142">
        <f t="shared" si="11"/>
        <v>39</v>
      </c>
      <c r="BI208" s="142">
        <f t="shared" si="11"/>
        <v>35</v>
      </c>
      <c r="BJ208" s="142">
        <f t="shared" si="11"/>
        <v>23</v>
      </c>
      <c r="BK208" s="142">
        <f t="shared" si="11"/>
        <v>21</v>
      </c>
      <c r="BL208" s="142">
        <f t="shared" si="11"/>
        <v>16</v>
      </c>
      <c r="BM208" s="142">
        <f t="shared" si="11"/>
        <v>27</v>
      </c>
      <c r="BN208" s="142">
        <f t="shared" si="11"/>
        <v>0</v>
      </c>
      <c r="BO208" s="142">
        <f t="shared" si="11"/>
        <v>0</v>
      </c>
      <c r="BP208" s="142">
        <f t="shared" si="11"/>
        <v>0</v>
      </c>
      <c r="BQ208" s="142">
        <f t="shared" si="11"/>
        <v>0</v>
      </c>
      <c r="BR208" s="142">
        <f t="shared" si="11"/>
        <v>0</v>
      </c>
      <c r="BS208" s="142">
        <f t="shared" si="11"/>
        <v>0</v>
      </c>
      <c r="BT208" s="142">
        <f t="shared" si="11"/>
        <v>0</v>
      </c>
      <c r="BU208" s="142">
        <f t="shared" ref="BU208:BY208" si="12">BU206-BU207</f>
        <v>0</v>
      </c>
      <c r="BV208" s="142">
        <f t="shared" si="12"/>
        <v>0</v>
      </c>
      <c r="BW208" s="142">
        <f t="shared" si="12"/>
        <v>0</v>
      </c>
      <c r="BX208" s="142">
        <f t="shared" si="12"/>
        <v>0</v>
      </c>
      <c r="BY208" s="142">
        <f t="shared" si="12"/>
        <v>0</v>
      </c>
    </row>
    <row r="209" spans="1:77" ht="75" x14ac:dyDescent="0.25">
      <c r="A209" s="33"/>
      <c r="B209" s="33"/>
      <c r="H209" s="101" t="s">
        <v>449</v>
      </c>
      <c r="I209" s="101" t="s">
        <v>449</v>
      </c>
      <c r="J209" s="101" t="s">
        <v>449</v>
      </c>
      <c r="K209" s="101" t="s">
        <v>449</v>
      </c>
      <c r="L209" s="101" t="s">
        <v>449</v>
      </c>
      <c r="M209" s="101" t="s">
        <v>449</v>
      </c>
      <c r="N209" s="101" t="s">
        <v>449</v>
      </c>
      <c r="O209" s="101" t="s">
        <v>449</v>
      </c>
      <c r="P209" s="92" t="s">
        <v>449</v>
      </c>
      <c r="Q209" s="101" t="s">
        <v>449</v>
      </c>
      <c r="R209" s="101" t="s">
        <v>449</v>
      </c>
      <c r="S209" s="101" t="s">
        <v>449</v>
      </c>
      <c r="T209" s="101" t="s">
        <v>449</v>
      </c>
      <c r="U209" s="101" t="s">
        <v>449</v>
      </c>
      <c r="V209" s="101" t="s">
        <v>449</v>
      </c>
      <c r="W209" s="101" t="s">
        <v>449</v>
      </c>
      <c r="X209" s="101" t="s">
        <v>449</v>
      </c>
      <c r="Y209" s="101" t="s">
        <v>449</v>
      </c>
      <c r="Z209" s="101" t="s">
        <v>449</v>
      </c>
      <c r="AA209" s="101" t="s">
        <v>449</v>
      </c>
      <c r="AB209" s="101" t="s">
        <v>449</v>
      </c>
      <c r="AC209" s="101" t="s">
        <v>449</v>
      </c>
      <c r="AD209" s="101" t="s">
        <v>449</v>
      </c>
      <c r="AR209" s="143" t="s">
        <v>530</v>
      </c>
      <c r="AS209" s="143" t="s">
        <v>530</v>
      </c>
      <c r="AT209" s="143" t="s">
        <v>530</v>
      </c>
      <c r="AU209" s="143" t="s">
        <v>530</v>
      </c>
      <c r="AV209" s="143" t="s">
        <v>530</v>
      </c>
      <c r="AW209" s="143" t="s">
        <v>530</v>
      </c>
      <c r="AX209" s="143" t="s">
        <v>530</v>
      </c>
      <c r="AY209" s="143" t="s">
        <v>530</v>
      </c>
      <c r="AZ209" s="135" t="s">
        <v>530</v>
      </c>
      <c r="BA209" s="143" t="s">
        <v>530</v>
      </c>
      <c r="BB209" s="143" t="s">
        <v>530</v>
      </c>
      <c r="BC209" s="143" t="s">
        <v>530</v>
      </c>
      <c r="BD209" s="143" t="s">
        <v>530</v>
      </c>
      <c r="BE209" s="143" t="s">
        <v>530</v>
      </c>
      <c r="BF209" s="143" t="s">
        <v>530</v>
      </c>
      <c r="BG209" s="143" t="s">
        <v>530</v>
      </c>
      <c r="BH209" s="143" t="s">
        <v>530</v>
      </c>
      <c r="BI209" s="143" t="s">
        <v>530</v>
      </c>
      <c r="BJ209" s="143" t="s">
        <v>530</v>
      </c>
      <c r="BK209" s="143" t="s">
        <v>530</v>
      </c>
      <c r="BL209" s="143" t="s">
        <v>530</v>
      </c>
      <c r="BM209" s="143" t="s">
        <v>530</v>
      </c>
      <c r="BN209" s="143" t="s">
        <v>530</v>
      </c>
      <c r="BO209" s="132"/>
      <c r="BP209" s="132"/>
      <c r="BQ209" s="132"/>
      <c r="BR209" s="132"/>
      <c r="BS209" s="132"/>
      <c r="BT209" s="132"/>
      <c r="BU209" s="132"/>
      <c r="BV209" s="132"/>
      <c r="BW209" s="132"/>
      <c r="BX209" s="132"/>
      <c r="BY209" s="132"/>
    </row>
    <row r="210" spans="1:77" x14ac:dyDescent="0.25">
      <c r="A210" s="4"/>
      <c r="B210" s="6"/>
      <c r="H210" s="93"/>
      <c r="I210" s="93"/>
      <c r="J210" s="93"/>
      <c r="K210" s="93"/>
      <c r="L210" s="93"/>
      <c r="M210" s="93"/>
      <c r="N210" s="93"/>
      <c r="O210" s="93"/>
      <c r="P210" s="91"/>
      <c r="Q210" s="93"/>
      <c r="R210" s="93"/>
      <c r="S210" s="93"/>
      <c r="T210" s="93"/>
      <c r="U210" s="93"/>
      <c r="V210" s="93"/>
      <c r="W210" s="93"/>
      <c r="X210" s="93"/>
      <c r="Y210" s="93"/>
      <c r="Z210" s="93"/>
      <c r="AA210" s="93"/>
      <c r="AB210" s="93"/>
      <c r="AC210" s="93"/>
      <c r="AD210" s="93"/>
      <c r="AR210" s="144"/>
      <c r="AS210" s="144"/>
      <c r="AT210" s="144"/>
      <c r="AU210" s="144"/>
      <c r="AV210" s="144"/>
      <c r="AW210" s="144"/>
      <c r="AX210" s="144"/>
      <c r="AY210" s="144"/>
      <c r="AZ210" s="134"/>
      <c r="BA210" s="144"/>
      <c r="BB210" s="144"/>
      <c r="BC210" s="144"/>
      <c r="BD210" s="144"/>
      <c r="BE210" s="144"/>
      <c r="BF210" s="144"/>
      <c r="BG210" s="144"/>
      <c r="BH210" s="144"/>
      <c r="BI210" s="144"/>
      <c r="BJ210" s="144"/>
      <c r="BK210" s="144"/>
      <c r="BL210" s="144"/>
      <c r="BM210" s="144"/>
      <c r="BN210" s="144"/>
      <c r="BO210" s="132"/>
      <c r="BP210" s="132"/>
      <c r="BQ210" s="132"/>
      <c r="BR210" s="132"/>
      <c r="BS210" s="132"/>
      <c r="BT210" s="132"/>
      <c r="BU210" s="132"/>
      <c r="BV210" s="132"/>
      <c r="BW210" s="132"/>
      <c r="BX210" s="132"/>
      <c r="BY210" s="132"/>
    </row>
    <row r="211" spans="1:77" x14ac:dyDescent="0.25">
      <c r="A211" s="8" t="s">
        <v>528</v>
      </c>
      <c r="B211" s="11"/>
      <c r="H211" s="99">
        <v>4982</v>
      </c>
      <c r="I211" s="92">
        <v>5566</v>
      </c>
      <c r="J211" s="92">
        <v>6516</v>
      </c>
      <c r="K211" s="92">
        <v>7642</v>
      </c>
      <c r="L211" s="92">
        <v>8183</v>
      </c>
      <c r="M211" s="92">
        <v>8647</v>
      </c>
      <c r="N211" s="92">
        <v>11710</v>
      </c>
      <c r="O211" s="92">
        <v>13682</v>
      </c>
      <c r="P211" s="99">
        <v>17377</v>
      </c>
      <c r="Q211" s="92">
        <v>20605</v>
      </c>
      <c r="R211" s="92">
        <v>23811</v>
      </c>
      <c r="S211" s="92">
        <v>26587</v>
      </c>
      <c r="T211" s="92">
        <v>28840</v>
      </c>
      <c r="U211" s="92">
        <v>29620</v>
      </c>
      <c r="V211" s="92">
        <v>29803</v>
      </c>
      <c r="W211" s="92">
        <v>29830</v>
      </c>
      <c r="X211" s="92">
        <v>29992</v>
      </c>
      <c r="Y211" s="92">
        <v>30289</v>
      </c>
      <c r="Z211" s="92">
        <v>30448</v>
      </c>
      <c r="AA211" s="92">
        <v>30492</v>
      </c>
      <c r="AB211" s="92">
        <v>30556</v>
      </c>
      <c r="AC211" s="92">
        <v>30520</v>
      </c>
      <c r="AD211" s="92">
        <v>30597</v>
      </c>
      <c r="AR211" s="145">
        <v>855</v>
      </c>
      <c r="AS211" s="135">
        <v>1142</v>
      </c>
      <c r="AT211" s="135">
        <v>1446</v>
      </c>
      <c r="AU211" s="135">
        <v>1887</v>
      </c>
      <c r="AV211" s="135">
        <v>2236</v>
      </c>
      <c r="AW211" s="135">
        <v>2631</v>
      </c>
      <c r="AX211" s="135">
        <v>3358</v>
      </c>
      <c r="AY211" s="135">
        <v>3878</v>
      </c>
      <c r="AZ211" s="141">
        <v>4666</v>
      </c>
      <c r="BA211" s="135">
        <v>5457</v>
      </c>
      <c r="BB211" s="135">
        <v>6163</v>
      </c>
      <c r="BC211" s="135">
        <v>7554</v>
      </c>
      <c r="BD211" s="135">
        <v>8880</v>
      </c>
      <c r="BE211" s="135">
        <v>10056</v>
      </c>
      <c r="BF211" s="135">
        <v>10975</v>
      </c>
      <c r="BG211" s="135">
        <v>11638</v>
      </c>
      <c r="BH211" s="135">
        <v>12390</v>
      </c>
      <c r="BI211" s="135">
        <v>13198</v>
      </c>
      <c r="BJ211" s="135">
        <v>14084</v>
      </c>
      <c r="BK211" s="135">
        <v>14852</v>
      </c>
      <c r="BL211" s="135">
        <v>15809</v>
      </c>
      <c r="BM211" s="135">
        <v>16369</v>
      </c>
      <c r="BN211" s="135">
        <v>16868</v>
      </c>
      <c r="BO211" s="132"/>
      <c r="BP211" s="132"/>
      <c r="BQ211" s="132"/>
      <c r="BR211" s="132"/>
      <c r="BS211" s="132"/>
      <c r="BT211" s="132"/>
      <c r="BU211" s="132"/>
      <c r="BV211" s="132"/>
      <c r="BW211" s="132"/>
      <c r="BX211" s="132"/>
      <c r="BY211" s="132"/>
    </row>
    <row r="212" spans="1:77" x14ac:dyDescent="0.25">
      <c r="A212" s="4"/>
      <c r="B212" s="6"/>
      <c r="H212" s="98"/>
      <c r="I212" s="98"/>
      <c r="J212" s="98"/>
      <c r="K212" s="98"/>
      <c r="L212" s="98"/>
      <c r="M212" s="98"/>
      <c r="N212" s="98"/>
      <c r="O212" s="98"/>
      <c r="P212" s="100"/>
      <c r="Q212" s="98"/>
      <c r="R212" s="98"/>
      <c r="S212" s="98"/>
      <c r="T212" s="98"/>
      <c r="U212" s="98"/>
      <c r="V212" s="98"/>
      <c r="W212" s="98"/>
      <c r="X212" s="98"/>
      <c r="Y212" s="98"/>
      <c r="Z212" s="98"/>
      <c r="AA212" s="98"/>
      <c r="AB212" s="98"/>
      <c r="AC212" s="98"/>
      <c r="AD212" s="98"/>
      <c r="AR212" s="144"/>
      <c r="AS212" s="144"/>
      <c r="AT212" s="144"/>
      <c r="AU212" s="144"/>
      <c r="AV212" s="144"/>
      <c r="AW212" s="144"/>
      <c r="AX212" s="144"/>
      <c r="AY212" s="144"/>
      <c r="AZ212" s="142"/>
      <c r="BA212" s="144"/>
      <c r="BB212" s="144"/>
      <c r="BC212" s="144"/>
      <c r="BD212" s="144"/>
      <c r="BE212" s="144"/>
      <c r="BF212" s="144"/>
      <c r="BG212" s="144"/>
      <c r="BH212" s="144"/>
      <c r="BI212" s="144"/>
      <c r="BJ212" s="144"/>
      <c r="BK212" s="144"/>
      <c r="BL212" s="144"/>
      <c r="BM212" s="144"/>
      <c r="BN212" s="144"/>
      <c r="BO212" s="132"/>
      <c r="BP212" s="132"/>
      <c r="BQ212" s="132"/>
      <c r="BR212" s="132"/>
      <c r="BS212" s="132"/>
      <c r="BT212" s="132"/>
      <c r="BU212" s="132"/>
      <c r="BV212" s="132"/>
      <c r="BW212" s="132"/>
      <c r="BX212" s="132"/>
      <c r="BY212" s="132"/>
    </row>
    <row r="213" spans="1:77" x14ac:dyDescent="0.25">
      <c r="A213" s="8" t="s">
        <v>501</v>
      </c>
      <c r="B213" s="11"/>
      <c r="H213" s="92">
        <f>H211+H207</f>
        <v>7704</v>
      </c>
      <c r="I213" s="92">
        <v>8456</v>
      </c>
      <c r="J213" s="92">
        <v>9591</v>
      </c>
      <c r="K213" s="92">
        <v>10901</v>
      </c>
      <c r="L213" s="92">
        <v>11531</v>
      </c>
      <c r="M213" s="92">
        <v>12072</v>
      </c>
      <c r="N213" s="92">
        <v>15359</v>
      </c>
      <c r="O213" s="92">
        <v>17430</v>
      </c>
      <c r="P213" s="99">
        <v>21256</v>
      </c>
      <c r="Q213" s="92">
        <v>24564</v>
      </c>
      <c r="R213" s="92">
        <v>27824</v>
      </c>
      <c r="S213" s="92">
        <v>30688</v>
      </c>
      <c r="T213" s="92">
        <v>32997</v>
      </c>
      <c r="U213" s="92">
        <v>33900</v>
      </c>
      <c r="V213" s="92">
        <v>34160</v>
      </c>
      <c r="W213" s="92">
        <v>34247</v>
      </c>
      <c r="X213" s="92">
        <v>34447</v>
      </c>
      <c r="Y213" s="92">
        <v>34800</v>
      </c>
      <c r="Z213" s="92">
        <v>35045</v>
      </c>
      <c r="AA213" s="92">
        <v>35122</v>
      </c>
      <c r="AB213" s="92">
        <v>35218</v>
      </c>
      <c r="AC213" s="92">
        <v>35193</v>
      </c>
      <c r="AD213" s="92">
        <v>35357</v>
      </c>
      <c r="AR213" s="135">
        <f>AR211+AR207</f>
        <v>2146</v>
      </c>
      <c r="AS213" s="135">
        <v>2630</v>
      </c>
      <c r="AT213" s="135">
        <v>3105</v>
      </c>
      <c r="AU213" s="135">
        <v>3747</v>
      </c>
      <c r="AV213" s="135">
        <v>4271</v>
      </c>
      <c r="AW213" s="135">
        <v>4773</v>
      </c>
      <c r="AX213" s="135">
        <v>5700</v>
      </c>
      <c r="AY213" s="135">
        <v>6348</v>
      </c>
      <c r="AZ213" s="141">
        <v>7286</v>
      </c>
      <c r="BA213" s="135">
        <v>8234</v>
      </c>
      <c r="BB213" s="135">
        <v>9037</v>
      </c>
      <c r="BC213" s="135">
        <v>10562</v>
      </c>
      <c r="BD213" s="135">
        <v>11990</v>
      </c>
      <c r="BE213" s="135">
        <v>13257</v>
      </c>
      <c r="BF213" s="135">
        <v>14247</v>
      </c>
      <c r="BG213" s="135">
        <v>14937</v>
      </c>
      <c r="BH213" s="135">
        <v>15757</v>
      </c>
      <c r="BI213" s="135">
        <v>16639</v>
      </c>
      <c r="BJ213" s="135">
        <v>17582</v>
      </c>
      <c r="BK213" s="135">
        <v>18411</v>
      </c>
      <c r="BL213" s="135">
        <v>19459</v>
      </c>
      <c r="BM213" s="135">
        <v>20043</v>
      </c>
      <c r="BN213" s="135">
        <v>20591</v>
      </c>
      <c r="BO213" s="132"/>
      <c r="BP213" s="132"/>
      <c r="BQ213" s="132"/>
      <c r="BR213" s="132"/>
      <c r="BS213" s="132"/>
      <c r="BT213" s="132"/>
      <c r="BU213" s="132"/>
      <c r="BV213" s="132"/>
      <c r="BW213" s="132"/>
      <c r="BX213" s="132"/>
      <c r="BY213" s="132"/>
    </row>
    <row r="214" spans="1:77" ht="15.75" thickBot="1" x14ac:dyDescent="0.3">
      <c r="A214" s="12"/>
      <c r="B214" s="13"/>
      <c r="H214" s="102"/>
      <c r="I214" s="102"/>
      <c r="J214" s="102"/>
      <c r="K214" s="102"/>
      <c r="L214" s="102"/>
      <c r="M214" s="102"/>
      <c r="N214" s="102"/>
      <c r="O214" s="102"/>
      <c r="P214" s="103"/>
      <c r="Q214" s="102"/>
      <c r="R214" s="102"/>
      <c r="S214" s="102"/>
      <c r="T214" s="102"/>
      <c r="U214" s="102"/>
      <c r="V214" s="102"/>
      <c r="W214" s="102"/>
      <c r="X214" s="102"/>
      <c r="Y214" s="102"/>
      <c r="Z214" s="102"/>
      <c r="AA214" s="102"/>
      <c r="AB214" s="102"/>
      <c r="AC214" s="102"/>
      <c r="AD214" s="102"/>
      <c r="AR214" s="146"/>
      <c r="AS214" s="146"/>
      <c r="AT214" s="146"/>
      <c r="AU214" s="146"/>
      <c r="AV214" s="146"/>
      <c r="AW214" s="146"/>
      <c r="AX214" s="146"/>
      <c r="AY214" s="146"/>
      <c r="AZ214" s="147"/>
      <c r="BA214" s="146"/>
      <c r="BB214" s="146"/>
      <c r="BC214" s="146"/>
      <c r="BD214" s="146"/>
      <c r="BE214" s="146"/>
      <c r="BF214" s="146"/>
      <c r="BG214" s="146"/>
      <c r="BH214" s="146"/>
      <c r="BI214" s="146"/>
      <c r="BJ214" s="146"/>
      <c r="BK214" s="146"/>
      <c r="BL214" s="146"/>
      <c r="BM214" s="146"/>
      <c r="BN214" s="146"/>
      <c r="BO214" s="132"/>
      <c r="BP214" s="132"/>
      <c r="BQ214" s="132"/>
      <c r="BR214" s="132"/>
      <c r="BS214" s="132"/>
      <c r="BT214" s="132"/>
      <c r="BU214" s="132"/>
      <c r="BV214" s="132"/>
      <c r="BW214" s="132"/>
      <c r="BX214" s="132"/>
      <c r="BY214" s="132"/>
    </row>
    <row r="215" spans="1:77" x14ac:dyDescent="0.2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R215" s="132"/>
      <c r="AS215" s="132"/>
      <c r="AT215" s="132"/>
      <c r="AU215" s="132"/>
      <c r="AV215" s="132"/>
      <c r="AW215" s="132"/>
      <c r="AX215" s="132"/>
      <c r="AY215" s="132"/>
      <c r="AZ215" s="132"/>
      <c r="BA215" s="132"/>
      <c r="BB215" s="132"/>
      <c r="BC215" s="132"/>
      <c r="BD215" s="132"/>
      <c r="BE215" s="132"/>
      <c r="BF215" s="132"/>
      <c r="BG215" s="132"/>
      <c r="BH215" s="132"/>
      <c r="BI215" s="132"/>
      <c r="BJ215" s="132"/>
      <c r="BK215" s="132"/>
      <c r="BL215" s="132"/>
      <c r="BM215" s="132"/>
      <c r="BN215" s="132"/>
      <c r="BO215" s="132"/>
      <c r="BP215" s="132"/>
      <c r="BQ215" s="132"/>
      <c r="BR215" s="132"/>
      <c r="BS215" s="132"/>
      <c r="BT215" s="132"/>
      <c r="BU215" s="132"/>
      <c r="BV215" s="132"/>
      <c r="BW215" s="132"/>
      <c r="BX215" s="132"/>
      <c r="BY215" s="132"/>
    </row>
    <row r="216" spans="1:77" ht="20.25" x14ac:dyDescent="0.3">
      <c r="A216" s="1" t="s">
        <v>0</v>
      </c>
      <c r="B216" s="2"/>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R216" s="132"/>
      <c r="AS216" s="132"/>
      <c r="AT216" s="132"/>
      <c r="AU216" s="132"/>
      <c r="AV216" s="132"/>
      <c r="AW216" s="132"/>
      <c r="AX216" s="132"/>
      <c r="AY216" s="132"/>
      <c r="AZ216" s="132"/>
      <c r="BA216" s="132"/>
      <c r="BB216" s="132"/>
      <c r="BC216" s="132"/>
      <c r="BD216" s="132"/>
      <c r="BE216" s="132"/>
      <c r="BF216" s="132"/>
      <c r="BG216" s="132"/>
      <c r="BH216" s="132"/>
      <c r="BI216" s="132"/>
      <c r="BJ216" s="132"/>
      <c r="BK216" s="132"/>
      <c r="BL216" s="132"/>
      <c r="BM216" s="132"/>
      <c r="BN216" s="132"/>
      <c r="BO216" s="132"/>
      <c r="BP216" s="132"/>
      <c r="BQ216" s="132"/>
      <c r="BR216" s="132"/>
      <c r="BS216" s="132"/>
      <c r="BT216" s="132"/>
      <c r="BU216" s="132"/>
      <c r="BV216" s="132"/>
      <c r="BW216" s="132"/>
      <c r="BX216" s="132"/>
      <c r="BY216" s="132"/>
    </row>
    <row r="217" spans="1:77" x14ac:dyDescent="0.25">
      <c r="A217" s="3" t="s">
        <v>1</v>
      </c>
      <c r="B217" s="2"/>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R217" s="132"/>
      <c r="AS217" s="132"/>
      <c r="AT217" s="132"/>
      <c r="AU217" s="132"/>
      <c r="AV217" s="132"/>
      <c r="AW217" s="132"/>
      <c r="AX217" s="132"/>
      <c r="AY217" s="132"/>
      <c r="AZ217" s="132"/>
      <c r="BA217" s="132"/>
      <c r="BB217" s="132"/>
      <c r="BC217" s="132"/>
      <c r="BD217" s="132"/>
      <c r="BE217" s="132"/>
      <c r="BF217" s="132"/>
      <c r="BG217" s="132"/>
      <c r="BH217" s="132"/>
      <c r="BI217" s="132"/>
      <c r="BJ217" s="132"/>
      <c r="BK217" s="132"/>
      <c r="BL217" s="132"/>
      <c r="BM217" s="132"/>
      <c r="BN217" s="132"/>
      <c r="BO217" s="132"/>
      <c r="BP217" s="132"/>
      <c r="BQ217" s="132"/>
      <c r="BR217" s="132"/>
      <c r="BS217" s="132"/>
      <c r="BT217" s="132"/>
      <c r="BU217" s="132"/>
      <c r="BV217" s="132"/>
      <c r="BW217" s="132"/>
      <c r="BX217" s="132"/>
      <c r="BY217" s="132"/>
    </row>
    <row r="218" spans="1:77" x14ac:dyDescent="0.25">
      <c r="A218" s="4" t="s">
        <v>2</v>
      </c>
      <c r="B218" s="2"/>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R218" s="132"/>
      <c r="AS218" s="132"/>
      <c r="AT218" s="132"/>
      <c r="AU218" s="132"/>
      <c r="AV218" s="132"/>
      <c r="AW218" s="132"/>
      <c r="AX218" s="132"/>
      <c r="AY218" s="132"/>
      <c r="AZ218" s="132"/>
      <c r="BA218" s="132"/>
      <c r="BB218" s="132"/>
      <c r="BC218" s="132"/>
      <c r="BD218" s="132"/>
      <c r="BE218" s="132"/>
      <c r="BF218" s="132"/>
      <c r="BG218" s="132"/>
      <c r="BH218" s="132"/>
      <c r="BI218" s="132"/>
      <c r="BJ218" s="132"/>
      <c r="BK218" s="132"/>
      <c r="BL218" s="132"/>
      <c r="BM218" s="132"/>
      <c r="BN218" s="132"/>
      <c r="BO218" s="132"/>
      <c r="BP218" s="132"/>
      <c r="BQ218" s="132"/>
      <c r="BR218" s="132"/>
      <c r="BS218" s="132"/>
      <c r="BT218" s="132"/>
      <c r="BU218" s="132"/>
      <c r="BV218" s="132"/>
      <c r="BW218" s="132"/>
      <c r="BX218" s="132"/>
      <c r="BY218" s="132"/>
    </row>
    <row r="219" spans="1:77" x14ac:dyDescent="0.25">
      <c r="A219" s="5" t="s">
        <v>454</v>
      </c>
      <c r="B219" s="6"/>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R219" s="132"/>
      <c r="AS219" s="132"/>
      <c r="AT219" s="132"/>
      <c r="AU219" s="132"/>
      <c r="AV219" s="132"/>
      <c r="AW219" s="132"/>
      <c r="AX219" s="132"/>
      <c r="AY219" s="132"/>
      <c r="AZ219" s="132"/>
      <c r="BA219" s="132"/>
      <c r="BB219" s="132"/>
      <c r="BC219" s="132"/>
      <c r="BD219" s="132"/>
      <c r="BE219" s="132"/>
      <c r="BF219" s="132"/>
      <c r="BG219" s="132"/>
      <c r="BH219" s="132"/>
      <c r="BI219" s="132"/>
      <c r="BJ219" s="132"/>
      <c r="BK219" s="132"/>
      <c r="BL219" s="132"/>
      <c r="BM219" s="132"/>
      <c r="BN219" s="132"/>
      <c r="BO219" s="132"/>
      <c r="BP219" s="132"/>
      <c r="BQ219" s="132"/>
      <c r="BR219" s="132"/>
      <c r="BS219" s="132"/>
      <c r="BT219" s="132"/>
      <c r="BU219" s="132"/>
      <c r="BV219" s="132"/>
      <c r="BW219" s="132"/>
      <c r="BX219" s="132"/>
      <c r="BY219" s="132"/>
    </row>
    <row r="220" spans="1:77" x14ac:dyDescent="0.25">
      <c r="A220" s="7"/>
      <c r="B220" s="6"/>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R220" s="132"/>
      <c r="AS220" s="132"/>
      <c r="AT220" s="132"/>
      <c r="AU220" s="132"/>
      <c r="AV220" s="132"/>
      <c r="AW220" s="132"/>
      <c r="AX220" s="132"/>
      <c r="AY220" s="132"/>
      <c r="AZ220" s="132"/>
      <c r="BA220" s="132"/>
      <c r="BB220" s="132"/>
      <c r="BC220" s="132"/>
      <c r="BD220" s="132"/>
      <c r="BE220" s="132"/>
      <c r="BF220" s="132"/>
      <c r="BG220" s="132"/>
      <c r="BH220" s="132"/>
      <c r="BI220" s="132"/>
      <c r="BJ220" s="132"/>
      <c r="BK220" s="132"/>
      <c r="BL220" s="132"/>
      <c r="BM220" s="132"/>
      <c r="BN220" s="132"/>
      <c r="BO220" s="132"/>
      <c r="BP220" s="132"/>
      <c r="BQ220" s="132"/>
      <c r="BR220" s="132"/>
      <c r="BS220" s="132"/>
      <c r="BT220" s="132"/>
      <c r="BU220" s="132"/>
      <c r="BV220" s="132"/>
      <c r="BW220" s="132"/>
      <c r="BX220" s="132"/>
      <c r="BY220" s="132"/>
    </row>
    <row r="221" spans="1:77" x14ac:dyDescent="0.25">
      <c r="A221" s="8" t="s">
        <v>455</v>
      </c>
      <c r="B221" s="30"/>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R221" s="132"/>
      <c r="AS221" s="132"/>
      <c r="AT221" s="132"/>
      <c r="AU221" s="132"/>
      <c r="AV221" s="132"/>
      <c r="AW221" s="132"/>
      <c r="AX221" s="132"/>
      <c r="AY221" s="132"/>
      <c r="AZ221" s="132"/>
      <c r="BA221" s="132"/>
      <c r="BB221" s="132"/>
      <c r="BC221" s="132"/>
      <c r="BD221" s="132"/>
      <c r="BE221" s="132"/>
      <c r="BF221" s="132"/>
      <c r="BG221" s="132"/>
      <c r="BH221" s="132"/>
      <c r="BI221" s="132"/>
      <c r="BJ221" s="132"/>
      <c r="BK221" s="132"/>
      <c r="BL221" s="132"/>
      <c r="BM221" s="132"/>
      <c r="BN221" s="132"/>
      <c r="BO221" s="132"/>
      <c r="BP221" s="132"/>
      <c r="BQ221" s="132"/>
      <c r="BR221" s="132"/>
      <c r="BS221" s="132"/>
      <c r="BT221" s="132"/>
      <c r="BU221" s="132"/>
      <c r="BV221" s="132"/>
      <c r="BW221" s="132"/>
      <c r="BX221" s="132"/>
      <c r="BY221" s="132"/>
    </row>
    <row r="222" spans="1:77" x14ac:dyDescent="0.25">
      <c r="A222" s="9"/>
      <c r="B222" s="2"/>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R222" s="132"/>
      <c r="AS222" s="132"/>
      <c r="AT222" s="132"/>
      <c r="AU222" s="132"/>
      <c r="AV222" s="132"/>
      <c r="AW222" s="132"/>
      <c r="AX222" s="132"/>
      <c r="AY222" s="132"/>
      <c r="AZ222" s="132"/>
      <c r="BA222" s="132"/>
      <c r="BB222" s="132"/>
      <c r="BC222" s="132"/>
      <c r="BD222" s="132"/>
      <c r="BE222" s="132"/>
      <c r="BF222" s="132"/>
      <c r="BG222" s="132"/>
      <c r="BH222" s="132"/>
      <c r="BI222" s="132"/>
      <c r="BJ222" s="132"/>
      <c r="BK222" s="132"/>
      <c r="BL222" s="132"/>
      <c r="BM222" s="132"/>
      <c r="BN222" s="132"/>
      <c r="BO222" s="132"/>
      <c r="BP222" s="132"/>
      <c r="BQ222" s="132"/>
      <c r="BR222" s="132"/>
      <c r="BS222" s="132"/>
      <c r="BT222" s="132"/>
      <c r="BU222" s="132"/>
      <c r="BV222" s="132"/>
      <c r="BW222" s="132"/>
      <c r="BX222" s="132"/>
      <c r="BY222" s="132"/>
    </row>
    <row r="223" spans="1:77" x14ac:dyDescent="0.25">
      <c r="A223" s="10" t="s">
        <v>3</v>
      </c>
      <c r="B223" s="31" t="s">
        <v>4</v>
      </c>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R223" s="132"/>
      <c r="AS223" s="132"/>
      <c r="AT223" s="132"/>
      <c r="AU223" s="132"/>
      <c r="AV223" s="132"/>
      <c r="AW223" s="132"/>
      <c r="AX223" s="132"/>
      <c r="AY223" s="132"/>
      <c r="AZ223" s="132"/>
      <c r="BA223" s="132"/>
      <c r="BB223" s="132"/>
      <c r="BC223" s="132"/>
      <c r="BD223" s="132"/>
      <c r="BE223" s="132"/>
      <c r="BF223" s="132"/>
      <c r="BG223" s="132"/>
      <c r="BH223" s="132"/>
      <c r="BI223" s="132"/>
      <c r="BJ223" s="132"/>
      <c r="BK223" s="132"/>
      <c r="BL223" s="132"/>
      <c r="BM223" s="132"/>
      <c r="BN223" s="132"/>
      <c r="BO223" s="132"/>
      <c r="BP223" s="132"/>
      <c r="BQ223" s="132"/>
      <c r="BR223" s="132"/>
      <c r="BS223" s="132"/>
      <c r="BT223" s="132"/>
      <c r="BU223" s="132"/>
      <c r="BV223" s="132"/>
      <c r="BW223" s="132"/>
      <c r="BX223" s="132"/>
      <c r="BY223" s="132"/>
    </row>
    <row r="224" spans="1:77" x14ac:dyDescent="0.25">
      <c r="A224" s="4"/>
      <c r="B224" s="6"/>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R224" s="132"/>
      <c r="AS224" s="132"/>
      <c r="AT224" s="132"/>
      <c r="AU224" s="132"/>
      <c r="AV224" s="132"/>
      <c r="AW224" s="132"/>
      <c r="AX224" s="132"/>
      <c r="AY224" s="132"/>
      <c r="AZ224" s="132"/>
      <c r="BA224" s="132"/>
      <c r="BB224" s="132"/>
      <c r="BC224" s="132"/>
      <c r="BD224" s="132"/>
      <c r="BE224" s="132"/>
      <c r="BF224" s="132"/>
      <c r="BG224" s="132"/>
      <c r="BH224" s="132"/>
      <c r="BI224" s="132"/>
      <c r="BJ224" s="132"/>
      <c r="BK224" s="132"/>
      <c r="BL224" s="132"/>
      <c r="BM224" s="132"/>
      <c r="BN224" s="132"/>
      <c r="BO224" s="132"/>
      <c r="BP224" s="132"/>
      <c r="BQ224" s="132"/>
      <c r="BR224" s="132"/>
      <c r="BS224" s="132"/>
      <c r="BT224" s="132"/>
      <c r="BU224" s="132"/>
      <c r="BV224" s="132"/>
      <c r="BW224" s="132"/>
      <c r="BX224" s="132"/>
      <c r="BY224" s="132"/>
    </row>
    <row r="225" spans="1:77" x14ac:dyDescent="0.25">
      <c r="A225" s="4" t="s">
        <v>456</v>
      </c>
      <c r="B225" s="6" t="s">
        <v>457</v>
      </c>
      <c r="H225" s="93">
        <v>5</v>
      </c>
      <c r="I225" s="94">
        <v>11</v>
      </c>
      <c r="J225" s="94">
        <v>12</v>
      </c>
      <c r="K225" s="94">
        <v>14</v>
      </c>
      <c r="L225" s="95">
        <v>15</v>
      </c>
      <c r="M225" s="95">
        <v>15</v>
      </c>
      <c r="N225" s="96">
        <v>15</v>
      </c>
      <c r="O225" s="95">
        <v>15</v>
      </c>
      <c r="P225" s="90">
        <v>15</v>
      </c>
      <c r="Q225" s="94">
        <v>15</v>
      </c>
      <c r="R225" s="94">
        <v>15</v>
      </c>
      <c r="S225" s="94">
        <v>15</v>
      </c>
      <c r="T225" s="95">
        <v>15</v>
      </c>
      <c r="U225" s="95">
        <v>16</v>
      </c>
      <c r="V225" s="94">
        <v>18</v>
      </c>
      <c r="W225" s="94">
        <v>18</v>
      </c>
      <c r="X225" s="94">
        <v>18</v>
      </c>
      <c r="Y225" s="95">
        <v>18</v>
      </c>
      <c r="Z225" s="94">
        <v>24</v>
      </c>
      <c r="AA225" s="94">
        <v>24</v>
      </c>
      <c r="AB225" s="94">
        <v>24</v>
      </c>
      <c r="AC225" s="94">
        <v>24</v>
      </c>
      <c r="AD225" s="94">
        <v>30</v>
      </c>
      <c r="AR225" s="4">
        <v>5</v>
      </c>
      <c r="AS225" s="7">
        <v>5</v>
      </c>
      <c r="AT225" s="7">
        <v>5</v>
      </c>
      <c r="AU225" s="7">
        <v>5</v>
      </c>
      <c r="AV225" s="17">
        <v>8</v>
      </c>
      <c r="AW225" s="17">
        <v>8</v>
      </c>
      <c r="AX225" s="28">
        <v>10</v>
      </c>
      <c r="AY225" s="17">
        <v>15</v>
      </c>
      <c r="AZ225" s="17">
        <v>15</v>
      </c>
      <c r="BA225" s="7">
        <v>15</v>
      </c>
      <c r="BB225" s="7">
        <v>15</v>
      </c>
      <c r="BC225" s="7">
        <v>15</v>
      </c>
      <c r="BD225" s="17">
        <v>15</v>
      </c>
      <c r="BE225" s="17">
        <v>15</v>
      </c>
      <c r="BF225" s="7">
        <v>16</v>
      </c>
      <c r="BG225" s="7">
        <v>16</v>
      </c>
      <c r="BH225" s="7">
        <v>16</v>
      </c>
      <c r="BI225" s="17">
        <v>16</v>
      </c>
      <c r="BJ225" s="7">
        <v>16</v>
      </c>
      <c r="BK225" s="7">
        <v>17</v>
      </c>
      <c r="BL225" s="7">
        <v>24</v>
      </c>
      <c r="BM225" s="7">
        <v>24</v>
      </c>
      <c r="BN225" s="7">
        <v>24</v>
      </c>
      <c r="BO225" s="132"/>
      <c r="BP225" s="132"/>
      <c r="BQ225" s="132"/>
      <c r="BR225" s="132"/>
      <c r="BS225" s="132"/>
      <c r="BT225" s="132"/>
      <c r="BU225" s="132"/>
      <c r="BV225" s="132"/>
      <c r="BW225" s="132"/>
      <c r="BX225" s="132"/>
      <c r="BY225" s="132"/>
    </row>
    <row r="226" spans="1:77" x14ac:dyDescent="0.25">
      <c r="A226" s="4" t="s">
        <v>458</v>
      </c>
      <c r="B226" s="6" t="s">
        <v>459</v>
      </c>
      <c r="H226" s="93">
        <v>99</v>
      </c>
      <c r="I226" s="94">
        <v>101</v>
      </c>
      <c r="J226" s="94">
        <v>113</v>
      </c>
      <c r="K226" s="94">
        <v>120</v>
      </c>
      <c r="L226" s="95">
        <v>123</v>
      </c>
      <c r="M226" s="95">
        <v>129</v>
      </c>
      <c r="N226" s="96">
        <v>143</v>
      </c>
      <c r="O226" s="95">
        <v>152</v>
      </c>
      <c r="P226" s="90">
        <v>158</v>
      </c>
      <c r="Q226" s="94">
        <v>162</v>
      </c>
      <c r="R226" s="94">
        <v>166</v>
      </c>
      <c r="S226" s="94">
        <v>167</v>
      </c>
      <c r="T226" s="95">
        <v>168</v>
      </c>
      <c r="U226" s="95">
        <v>177</v>
      </c>
      <c r="V226" s="94">
        <v>190</v>
      </c>
      <c r="W226" s="94">
        <v>192</v>
      </c>
      <c r="X226" s="94">
        <v>194</v>
      </c>
      <c r="Y226" s="95">
        <v>197</v>
      </c>
      <c r="Z226" s="94">
        <v>202</v>
      </c>
      <c r="AA226" s="94">
        <v>204</v>
      </c>
      <c r="AB226" s="94">
        <v>205</v>
      </c>
      <c r="AC226" s="94">
        <v>205</v>
      </c>
      <c r="AD226" s="94">
        <v>210</v>
      </c>
      <c r="AR226" s="4">
        <v>51</v>
      </c>
      <c r="AS226" s="7">
        <v>51</v>
      </c>
      <c r="AT226" s="7">
        <v>56</v>
      </c>
      <c r="AU226" s="7">
        <v>58</v>
      </c>
      <c r="AV226" s="17">
        <v>68</v>
      </c>
      <c r="AW226" s="17">
        <v>76</v>
      </c>
      <c r="AX226" s="28">
        <v>81</v>
      </c>
      <c r="AY226" s="17">
        <v>91</v>
      </c>
      <c r="AZ226" s="17">
        <v>105</v>
      </c>
      <c r="BA226" s="7">
        <v>112</v>
      </c>
      <c r="BB226" s="7">
        <v>115</v>
      </c>
      <c r="BC226" s="7">
        <v>126</v>
      </c>
      <c r="BD226" s="17">
        <v>128</v>
      </c>
      <c r="BE226" s="17">
        <v>130</v>
      </c>
      <c r="BF226" s="7">
        <v>136</v>
      </c>
      <c r="BG226" s="7">
        <v>137</v>
      </c>
      <c r="BH226" s="7">
        <v>142</v>
      </c>
      <c r="BI226" s="17">
        <v>144</v>
      </c>
      <c r="BJ226" s="7">
        <v>145</v>
      </c>
      <c r="BK226" s="7">
        <v>152</v>
      </c>
      <c r="BL226" s="7">
        <v>154</v>
      </c>
      <c r="BM226" s="7">
        <v>159</v>
      </c>
      <c r="BN226" s="7">
        <v>160</v>
      </c>
      <c r="BO226" s="132"/>
      <c r="BP226" s="132"/>
      <c r="BQ226" s="132"/>
      <c r="BR226" s="132"/>
      <c r="BS226" s="132"/>
      <c r="BT226" s="132"/>
      <c r="BU226" s="132"/>
      <c r="BV226" s="132"/>
      <c r="BW226" s="132"/>
      <c r="BX226" s="132"/>
      <c r="BY226" s="132"/>
    </row>
    <row r="227" spans="1:77" x14ac:dyDescent="0.25">
      <c r="A227" s="4" t="s">
        <v>460</v>
      </c>
      <c r="B227" s="6" t="s">
        <v>461</v>
      </c>
      <c r="H227" s="93">
        <v>48</v>
      </c>
      <c r="I227" s="94">
        <v>50</v>
      </c>
      <c r="J227" s="94">
        <v>53</v>
      </c>
      <c r="K227" s="94">
        <v>59</v>
      </c>
      <c r="L227" s="95">
        <v>60</v>
      </c>
      <c r="M227" s="95">
        <v>62</v>
      </c>
      <c r="N227" s="96">
        <v>63</v>
      </c>
      <c r="O227" s="95">
        <v>63</v>
      </c>
      <c r="P227" s="90">
        <v>66</v>
      </c>
      <c r="Q227" s="94">
        <v>71</v>
      </c>
      <c r="R227" s="94">
        <v>76</v>
      </c>
      <c r="S227" s="94">
        <v>78</v>
      </c>
      <c r="T227" s="95">
        <v>80</v>
      </c>
      <c r="U227" s="95">
        <v>82</v>
      </c>
      <c r="V227" s="94">
        <v>85</v>
      </c>
      <c r="W227" s="94">
        <v>86</v>
      </c>
      <c r="X227" s="94">
        <v>86</v>
      </c>
      <c r="Y227" s="95">
        <v>88</v>
      </c>
      <c r="Z227" s="94">
        <v>92</v>
      </c>
      <c r="AA227" s="94">
        <v>92</v>
      </c>
      <c r="AB227" s="94">
        <v>92</v>
      </c>
      <c r="AC227" s="94">
        <v>93</v>
      </c>
      <c r="AD227" s="94">
        <v>97</v>
      </c>
      <c r="AR227" s="4">
        <v>27</v>
      </c>
      <c r="AS227" s="7">
        <v>31</v>
      </c>
      <c r="AT227" s="7">
        <v>31</v>
      </c>
      <c r="AU227" s="7">
        <v>33</v>
      </c>
      <c r="AV227" s="17">
        <v>33</v>
      </c>
      <c r="AW227" s="17">
        <v>33</v>
      </c>
      <c r="AX227" s="28">
        <v>38</v>
      </c>
      <c r="AY227" s="17">
        <v>38</v>
      </c>
      <c r="AZ227" s="17">
        <v>41</v>
      </c>
      <c r="BA227" s="7">
        <v>42</v>
      </c>
      <c r="BB227" s="7">
        <v>42</v>
      </c>
      <c r="BC227" s="7">
        <v>44</v>
      </c>
      <c r="BD227" s="17">
        <v>47</v>
      </c>
      <c r="BE227" s="17">
        <v>52</v>
      </c>
      <c r="BF227" s="7">
        <v>56</v>
      </c>
      <c r="BG227" s="7">
        <v>56</v>
      </c>
      <c r="BH227" s="7">
        <v>56</v>
      </c>
      <c r="BI227" s="17">
        <v>58</v>
      </c>
      <c r="BJ227" s="7">
        <v>58</v>
      </c>
      <c r="BK227" s="7">
        <v>58</v>
      </c>
      <c r="BL227" s="7">
        <v>60</v>
      </c>
      <c r="BM227" s="7">
        <v>67</v>
      </c>
      <c r="BN227" s="7">
        <v>70</v>
      </c>
      <c r="BO227" s="132"/>
      <c r="BP227" s="132"/>
      <c r="BQ227" s="132"/>
      <c r="BR227" s="132"/>
      <c r="BS227" s="132"/>
      <c r="BT227" s="132"/>
      <c r="BU227" s="132"/>
      <c r="BV227" s="132"/>
      <c r="BW227" s="132"/>
      <c r="BX227" s="132"/>
      <c r="BY227" s="132"/>
    </row>
    <row r="228" spans="1:77" x14ac:dyDescent="0.25">
      <c r="A228" s="4" t="s">
        <v>462</v>
      </c>
      <c r="B228" s="6" t="s">
        <v>463</v>
      </c>
      <c r="H228" s="93">
        <v>198</v>
      </c>
      <c r="I228" s="94">
        <v>208</v>
      </c>
      <c r="J228" s="94">
        <v>220</v>
      </c>
      <c r="K228" s="94">
        <v>240</v>
      </c>
      <c r="L228" s="95">
        <v>243</v>
      </c>
      <c r="M228" s="95">
        <v>248</v>
      </c>
      <c r="N228" s="96">
        <v>267</v>
      </c>
      <c r="O228" s="95">
        <v>273</v>
      </c>
      <c r="P228" s="90">
        <v>284</v>
      </c>
      <c r="Q228" s="94">
        <v>296</v>
      </c>
      <c r="R228" s="94">
        <v>299</v>
      </c>
      <c r="S228" s="94">
        <v>308</v>
      </c>
      <c r="T228" s="95">
        <v>312</v>
      </c>
      <c r="U228" s="95">
        <v>317</v>
      </c>
      <c r="V228" s="94">
        <v>324</v>
      </c>
      <c r="W228" s="94">
        <v>325</v>
      </c>
      <c r="X228" s="94">
        <v>329</v>
      </c>
      <c r="Y228" s="95">
        <v>334</v>
      </c>
      <c r="Z228" s="94">
        <v>337</v>
      </c>
      <c r="AA228" s="94">
        <v>338</v>
      </c>
      <c r="AB228" s="94">
        <v>338</v>
      </c>
      <c r="AC228" s="94">
        <v>338</v>
      </c>
      <c r="AD228" s="94">
        <v>342</v>
      </c>
      <c r="AR228" s="4">
        <v>107</v>
      </c>
      <c r="AS228" s="7">
        <v>124</v>
      </c>
      <c r="AT228" s="7">
        <v>136</v>
      </c>
      <c r="AU228" s="7">
        <v>158</v>
      </c>
      <c r="AV228" s="17">
        <v>162</v>
      </c>
      <c r="AW228" s="17">
        <v>167</v>
      </c>
      <c r="AX228" s="28">
        <v>191</v>
      </c>
      <c r="AY228" s="17">
        <v>199</v>
      </c>
      <c r="AZ228" s="17">
        <v>209</v>
      </c>
      <c r="BA228" s="7">
        <v>212</v>
      </c>
      <c r="BB228" s="7">
        <v>217</v>
      </c>
      <c r="BC228" s="7">
        <v>224</v>
      </c>
      <c r="BD228" s="17">
        <v>234</v>
      </c>
      <c r="BE228" s="17">
        <v>237</v>
      </c>
      <c r="BF228" s="7">
        <v>246</v>
      </c>
      <c r="BG228" s="7">
        <v>251</v>
      </c>
      <c r="BH228" s="7">
        <v>254</v>
      </c>
      <c r="BI228" s="17">
        <v>257</v>
      </c>
      <c r="BJ228" s="7">
        <v>263</v>
      </c>
      <c r="BK228" s="7">
        <v>272</v>
      </c>
      <c r="BL228" s="7">
        <v>281</v>
      </c>
      <c r="BM228" s="7">
        <v>281</v>
      </c>
      <c r="BN228" s="7">
        <v>284</v>
      </c>
      <c r="BO228" s="132"/>
      <c r="BP228" s="132"/>
      <c r="BQ228" s="132"/>
      <c r="BR228" s="132"/>
      <c r="BS228" s="132"/>
      <c r="BT228" s="132"/>
      <c r="BU228" s="132"/>
      <c r="BV228" s="132"/>
      <c r="BW228" s="132"/>
      <c r="BX228" s="132"/>
      <c r="BY228" s="132"/>
    </row>
    <row r="229" spans="1:77" x14ac:dyDescent="0.25">
      <c r="A229" s="4" t="s">
        <v>464</v>
      </c>
      <c r="B229" s="6" t="s">
        <v>465</v>
      </c>
      <c r="H229" s="93">
        <v>139</v>
      </c>
      <c r="I229" s="94">
        <v>147</v>
      </c>
      <c r="J229" s="94">
        <v>158</v>
      </c>
      <c r="K229" s="94">
        <v>165</v>
      </c>
      <c r="L229" s="95">
        <v>175</v>
      </c>
      <c r="M229" s="95">
        <v>188</v>
      </c>
      <c r="N229" s="96">
        <v>203</v>
      </c>
      <c r="O229" s="95">
        <v>205</v>
      </c>
      <c r="P229" s="90">
        <v>212</v>
      </c>
      <c r="Q229" s="94">
        <v>223</v>
      </c>
      <c r="R229" s="94">
        <v>228</v>
      </c>
      <c r="S229" s="94">
        <v>232</v>
      </c>
      <c r="T229" s="95">
        <v>237</v>
      </c>
      <c r="U229" s="95">
        <v>243</v>
      </c>
      <c r="V229" s="94">
        <v>251</v>
      </c>
      <c r="W229" s="94">
        <v>257</v>
      </c>
      <c r="X229" s="94">
        <v>260</v>
      </c>
      <c r="Y229" s="95">
        <v>269</v>
      </c>
      <c r="Z229" s="94">
        <v>272</v>
      </c>
      <c r="AA229" s="94">
        <v>274</v>
      </c>
      <c r="AB229" s="94">
        <v>276</v>
      </c>
      <c r="AC229" s="94">
        <v>275</v>
      </c>
      <c r="AD229" s="94">
        <v>279</v>
      </c>
      <c r="AR229" s="4">
        <v>63</v>
      </c>
      <c r="AS229" s="7">
        <v>71</v>
      </c>
      <c r="AT229" s="7">
        <v>93</v>
      </c>
      <c r="AU229" s="7">
        <v>100</v>
      </c>
      <c r="AV229" s="17">
        <v>105</v>
      </c>
      <c r="AW229" s="17">
        <v>123</v>
      </c>
      <c r="AX229" s="28">
        <v>134</v>
      </c>
      <c r="AY229" s="17">
        <v>146</v>
      </c>
      <c r="AZ229" s="17">
        <v>155</v>
      </c>
      <c r="BA229" s="7">
        <v>168</v>
      </c>
      <c r="BB229" s="7">
        <v>173</v>
      </c>
      <c r="BC229" s="7">
        <v>181</v>
      </c>
      <c r="BD229" s="17">
        <v>185</v>
      </c>
      <c r="BE229" s="17">
        <v>192</v>
      </c>
      <c r="BF229" s="7">
        <v>195</v>
      </c>
      <c r="BG229" s="7">
        <v>200</v>
      </c>
      <c r="BH229" s="7">
        <v>203</v>
      </c>
      <c r="BI229" s="17">
        <v>207</v>
      </c>
      <c r="BJ229" s="7">
        <v>215</v>
      </c>
      <c r="BK229" s="7">
        <v>221</v>
      </c>
      <c r="BL229" s="7">
        <v>228</v>
      </c>
      <c r="BM229" s="7">
        <v>229</v>
      </c>
      <c r="BN229" s="7">
        <v>229</v>
      </c>
      <c r="BO229" s="132"/>
      <c r="BP229" s="132"/>
      <c r="BQ229" s="132"/>
      <c r="BR229" s="132"/>
      <c r="BS229" s="132"/>
      <c r="BT229" s="132"/>
      <c r="BU229" s="132"/>
      <c r="BV229" s="132"/>
      <c r="BW229" s="132"/>
      <c r="BX229" s="132"/>
      <c r="BY229" s="132"/>
    </row>
    <row r="230" spans="1:77" x14ac:dyDescent="0.25">
      <c r="A230" s="4" t="s">
        <v>466</v>
      </c>
      <c r="B230" s="6" t="s">
        <v>467</v>
      </c>
      <c r="H230" s="93">
        <v>66</v>
      </c>
      <c r="I230" s="94">
        <v>71</v>
      </c>
      <c r="J230" s="94">
        <v>75</v>
      </c>
      <c r="K230" s="94">
        <v>88</v>
      </c>
      <c r="L230" s="95">
        <v>94</v>
      </c>
      <c r="M230" s="95">
        <v>97</v>
      </c>
      <c r="N230" s="96">
        <v>102</v>
      </c>
      <c r="O230" s="95">
        <v>106</v>
      </c>
      <c r="P230" s="90">
        <v>110</v>
      </c>
      <c r="Q230" s="94">
        <v>115</v>
      </c>
      <c r="R230" s="94">
        <v>115</v>
      </c>
      <c r="S230" s="94">
        <v>116</v>
      </c>
      <c r="T230" s="95">
        <v>118</v>
      </c>
      <c r="U230" s="95">
        <v>118</v>
      </c>
      <c r="V230" s="94">
        <v>118</v>
      </c>
      <c r="W230" s="94">
        <v>119</v>
      </c>
      <c r="X230" s="94">
        <v>119</v>
      </c>
      <c r="Y230" s="95">
        <v>121</v>
      </c>
      <c r="Z230" s="94">
        <v>122</v>
      </c>
      <c r="AA230" s="94">
        <v>124</v>
      </c>
      <c r="AB230" s="94">
        <v>128</v>
      </c>
      <c r="AC230" s="94">
        <v>128</v>
      </c>
      <c r="AD230" s="94">
        <v>130</v>
      </c>
      <c r="AR230" s="4">
        <v>30</v>
      </c>
      <c r="AS230" s="7">
        <v>42</v>
      </c>
      <c r="AT230" s="7">
        <v>42</v>
      </c>
      <c r="AU230" s="7">
        <v>57</v>
      </c>
      <c r="AV230" s="17">
        <v>57</v>
      </c>
      <c r="AW230" s="17">
        <v>59</v>
      </c>
      <c r="AX230" s="28">
        <v>68</v>
      </c>
      <c r="AY230" s="17">
        <v>71</v>
      </c>
      <c r="AZ230" s="17">
        <v>79</v>
      </c>
      <c r="BA230" s="7">
        <v>80</v>
      </c>
      <c r="BB230" s="7">
        <v>80</v>
      </c>
      <c r="BC230" s="7">
        <v>81</v>
      </c>
      <c r="BD230" s="17">
        <v>84</v>
      </c>
      <c r="BE230" s="17">
        <v>84</v>
      </c>
      <c r="BF230" s="7">
        <v>84</v>
      </c>
      <c r="BG230" s="7">
        <v>85</v>
      </c>
      <c r="BH230" s="7">
        <v>85</v>
      </c>
      <c r="BI230" s="17">
        <v>89</v>
      </c>
      <c r="BJ230" s="7">
        <v>93</v>
      </c>
      <c r="BK230" s="7">
        <v>93</v>
      </c>
      <c r="BL230" s="7">
        <v>97</v>
      </c>
      <c r="BM230" s="7">
        <v>95</v>
      </c>
      <c r="BN230" s="7">
        <v>97</v>
      </c>
      <c r="BO230" s="132"/>
      <c r="BP230" s="132"/>
      <c r="BQ230" s="132"/>
      <c r="BR230" s="132"/>
      <c r="BS230" s="132"/>
      <c r="BT230" s="132"/>
      <c r="BU230" s="132"/>
      <c r="BV230" s="132"/>
      <c r="BW230" s="132"/>
      <c r="BX230" s="132"/>
      <c r="BY230" s="132"/>
    </row>
    <row r="231" spans="1:77" x14ac:dyDescent="0.25">
      <c r="A231" s="4" t="s">
        <v>468</v>
      </c>
      <c r="B231" s="6" t="s">
        <v>469</v>
      </c>
      <c r="H231" s="93">
        <v>77</v>
      </c>
      <c r="I231" s="94">
        <v>81</v>
      </c>
      <c r="J231" s="94">
        <v>90</v>
      </c>
      <c r="K231" s="94">
        <v>92</v>
      </c>
      <c r="L231" s="95">
        <v>95</v>
      </c>
      <c r="M231" s="95">
        <v>95</v>
      </c>
      <c r="N231" s="96">
        <v>101</v>
      </c>
      <c r="O231" s="95">
        <v>102</v>
      </c>
      <c r="P231" s="90">
        <v>104</v>
      </c>
      <c r="Q231" s="94">
        <v>106</v>
      </c>
      <c r="R231" s="94">
        <v>107</v>
      </c>
      <c r="S231" s="94">
        <v>113</v>
      </c>
      <c r="T231" s="95">
        <v>119</v>
      </c>
      <c r="U231" s="95">
        <v>119</v>
      </c>
      <c r="V231" s="94">
        <v>119</v>
      </c>
      <c r="W231" s="94">
        <v>120</v>
      </c>
      <c r="X231" s="94">
        <v>120</v>
      </c>
      <c r="Y231" s="95">
        <v>120</v>
      </c>
      <c r="Z231" s="94">
        <v>127</v>
      </c>
      <c r="AA231" s="94">
        <v>127</v>
      </c>
      <c r="AB231" s="94">
        <v>127</v>
      </c>
      <c r="AC231" s="94">
        <v>127</v>
      </c>
      <c r="AD231" s="94">
        <v>128</v>
      </c>
      <c r="AR231" s="4">
        <v>47</v>
      </c>
      <c r="AS231" s="7">
        <v>50</v>
      </c>
      <c r="AT231" s="7">
        <v>60</v>
      </c>
      <c r="AU231" s="7">
        <v>65</v>
      </c>
      <c r="AV231" s="17">
        <v>66</v>
      </c>
      <c r="AW231" s="17">
        <v>70</v>
      </c>
      <c r="AX231" s="28">
        <v>76</v>
      </c>
      <c r="AY231" s="17">
        <v>79</v>
      </c>
      <c r="AZ231" s="17">
        <v>80</v>
      </c>
      <c r="BA231" s="7">
        <v>83</v>
      </c>
      <c r="BB231" s="7">
        <v>85</v>
      </c>
      <c r="BC231" s="7">
        <v>88</v>
      </c>
      <c r="BD231" s="17">
        <v>92</v>
      </c>
      <c r="BE231" s="17">
        <v>96</v>
      </c>
      <c r="BF231" s="7">
        <v>100</v>
      </c>
      <c r="BG231" s="7">
        <v>100</v>
      </c>
      <c r="BH231" s="7">
        <v>100</v>
      </c>
      <c r="BI231" s="17">
        <v>104</v>
      </c>
      <c r="BJ231" s="7">
        <v>104</v>
      </c>
      <c r="BK231" s="7">
        <v>107</v>
      </c>
      <c r="BL231" s="7">
        <v>108</v>
      </c>
      <c r="BM231" s="7">
        <v>108</v>
      </c>
      <c r="BN231" s="7">
        <v>108</v>
      </c>
      <c r="BO231" s="132"/>
      <c r="BP231" s="132"/>
      <c r="BQ231" s="132"/>
      <c r="BR231" s="132"/>
      <c r="BS231" s="132"/>
      <c r="BT231" s="132"/>
      <c r="BU231" s="132"/>
      <c r="BV231" s="132"/>
      <c r="BW231" s="132"/>
      <c r="BX231" s="132"/>
      <c r="BY231" s="132"/>
    </row>
    <row r="232" spans="1:77" x14ac:dyDescent="0.25">
      <c r="A232" s="4" t="s">
        <v>470</v>
      </c>
      <c r="B232" s="6" t="s">
        <v>471</v>
      </c>
      <c r="H232" s="93">
        <v>64</v>
      </c>
      <c r="I232" s="94">
        <v>64</v>
      </c>
      <c r="J232" s="94">
        <v>72</v>
      </c>
      <c r="K232" s="94">
        <v>79</v>
      </c>
      <c r="L232" s="95">
        <v>79</v>
      </c>
      <c r="M232" s="95">
        <v>79</v>
      </c>
      <c r="N232" s="96">
        <v>85</v>
      </c>
      <c r="O232" s="95">
        <v>87</v>
      </c>
      <c r="P232" s="90">
        <v>92</v>
      </c>
      <c r="Q232" s="94">
        <v>92</v>
      </c>
      <c r="R232" s="94">
        <v>92</v>
      </c>
      <c r="S232" s="94">
        <v>92</v>
      </c>
      <c r="T232" s="95">
        <v>99</v>
      </c>
      <c r="U232" s="95">
        <v>99</v>
      </c>
      <c r="V232" s="94">
        <v>99</v>
      </c>
      <c r="W232" s="94">
        <v>99</v>
      </c>
      <c r="X232" s="94">
        <v>101</v>
      </c>
      <c r="Y232" s="95">
        <v>109</v>
      </c>
      <c r="Z232" s="94">
        <v>111</v>
      </c>
      <c r="AA232" s="94">
        <v>115</v>
      </c>
      <c r="AB232" s="94">
        <v>115</v>
      </c>
      <c r="AC232" s="94">
        <v>115</v>
      </c>
      <c r="AD232" s="94">
        <v>115</v>
      </c>
      <c r="AR232" s="4">
        <v>37</v>
      </c>
      <c r="AS232" s="7">
        <v>45</v>
      </c>
      <c r="AT232" s="7">
        <v>46</v>
      </c>
      <c r="AU232" s="7">
        <v>53</v>
      </c>
      <c r="AV232" s="17">
        <v>62</v>
      </c>
      <c r="AW232" s="17">
        <v>66</v>
      </c>
      <c r="AX232" s="28">
        <v>67</v>
      </c>
      <c r="AY232" s="17">
        <v>69</v>
      </c>
      <c r="AZ232" s="17">
        <v>71</v>
      </c>
      <c r="BA232" s="7">
        <v>73</v>
      </c>
      <c r="BB232" s="7">
        <v>77</v>
      </c>
      <c r="BC232" s="7">
        <v>79</v>
      </c>
      <c r="BD232" s="17">
        <v>80</v>
      </c>
      <c r="BE232" s="17">
        <v>80</v>
      </c>
      <c r="BF232" s="7">
        <v>83</v>
      </c>
      <c r="BG232" s="7">
        <v>84</v>
      </c>
      <c r="BH232" s="7">
        <v>88</v>
      </c>
      <c r="BI232" s="17">
        <v>88</v>
      </c>
      <c r="BJ232" s="7">
        <v>91</v>
      </c>
      <c r="BK232" s="7">
        <v>92</v>
      </c>
      <c r="BL232" s="7">
        <v>92</v>
      </c>
      <c r="BM232" s="7">
        <v>92</v>
      </c>
      <c r="BN232" s="7">
        <v>91</v>
      </c>
      <c r="BO232" s="132"/>
      <c r="BP232" s="132"/>
      <c r="BQ232" s="132"/>
      <c r="BR232" s="132"/>
      <c r="BS232" s="132"/>
      <c r="BT232" s="132"/>
      <c r="BU232" s="132"/>
      <c r="BV232" s="132"/>
      <c r="BW232" s="132"/>
      <c r="BX232" s="132"/>
      <c r="BY232" s="132"/>
    </row>
    <row r="233" spans="1:77" x14ac:dyDescent="0.25">
      <c r="A233" s="4" t="s">
        <v>472</v>
      </c>
      <c r="B233" s="6" t="s">
        <v>473</v>
      </c>
      <c r="H233" s="93">
        <v>76</v>
      </c>
      <c r="I233" s="94">
        <v>77</v>
      </c>
      <c r="J233" s="94">
        <v>77</v>
      </c>
      <c r="K233" s="94">
        <v>77</v>
      </c>
      <c r="L233" s="95">
        <v>78</v>
      </c>
      <c r="M233" s="95">
        <v>83</v>
      </c>
      <c r="N233" s="96">
        <v>91</v>
      </c>
      <c r="O233" s="95">
        <v>98</v>
      </c>
      <c r="P233" s="90">
        <v>102</v>
      </c>
      <c r="Q233" s="94">
        <v>106</v>
      </c>
      <c r="R233" s="94">
        <v>107</v>
      </c>
      <c r="S233" s="94">
        <v>110</v>
      </c>
      <c r="T233" s="95">
        <v>112</v>
      </c>
      <c r="U233" s="95">
        <v>115</v>
      </c>
      <c r="V233" s="94">
        <v>118</v>
      </c>
      <c r="W233" s="94">
        <v>118</v>
      </c>
      <c r="X233" s="94">
        <v>119</v>
      </c>
      <c r="Y233" s="95">
        <v>122</v>
      </c>
      <c r="Z233" s="94">
        <v>123</v>
      </c>
      <c r="AA233" s="94">
        <v>125</v>
      </c>
      <c r="AB233" s="94">
        <v>125</v>
      </c>
      <c r="AC233" s="94">
        <v>125</v>
      </c>
      <c r="AD233" s="94">
        <v>127</v>
      </c>
      <c r="AR233" s="4">
        <v>35</v>
      </c>
      <c r="AS233" s="7">
        <v>40</v>
      </c>
      <c r="AT233" s="7">
        <v>46</v>
      </c>
      <c r="AU233" s="7">
        <v>48</v>
      </c>
      <c r="AV233" s="17">
        <v>51</v>
      </c>
      <c r="AW233" s="17">
        <v>51</v>
      </c>
      <c r="AX233" s="28">
        <v>51</v>
      </c>
      <c r="AY233" s="17">
        <v>60</v>
      </c>
      <c r="AZ233" s="17">
        <v>60</v>
      </c>
      <c r="BA233" s="7">
        <v>66</v>
      </c>
      <c r="BB233" s="7">
        <v>71</v>
      </c>
      <c r="BC233" s="7">
        <v>73</v>
      </c>
      <c r="BD233" s="17">
        <v>74</v>
      </c>
      <c r="BE233" s="17">
        <v>78</v>
      </c>
      <c r="BF233" s="7">
        <v>81</v>
      </c>
      <c r="BG233" s="7">
        <v>85</v>
      </c>
      <c r="BH233" s="7">
        <v>85</v>
      </c>
      <c r="BI233" s="17">
        <v>88</v>
      </c>
      <c r="BJ233" s="7">
        <v>89</v>
      </c>
      <c r="BK233" s="7">
        <v>90</v>
      </c>
      <c r="BL233" s="7">
        <v>91</v>
      </c>
      <c r="BM233" s="7">
        <v>91</v>
      </c>
      <c r="BN233" s="7">
        <v>97</v>
      </c>
      <c r="BO233" s="132"/>
      <c r="BP233" s="132"/>
      <c r="BQ233" s="132"/>
      <c r="BR233" s="132"/>
      <c r="BS233" s="132"/>
      <c r="BT233" s="132"/>
      <c r="BU233" s="132"/>
      <c r="BV233" s="132"/>
      <c r="BW233" s="132"/>
      <c r="BX233" s="132"/>
      <c r="BY233" s="132"/>
    </row>
    <row r="234" spans="1:77" x14ac:dyDescent="0.25">
      <c r="A234" s="4" t="s">
        <v>474</v>
      </c>
      <c r="B234" s="6" t="s">
        <v>475</v>
      </c>
      <c r="H234" s="93">
        <v>114</v>
      </c>
      <c r="I234" s="94">
        <v>121</v>
      </c>
      <c r="J234" s="94">
        <v>133</v>
      </c>
      <c r="K234" s="94">
        <v>142</v>
      </c>
      <c r="L234" s="95">
        <v>146</v>
      </c>
      <c r="M234" s="95">
        <v>151</v>
      </c>
      <c r="N234" s="96">
        <v>157</v>
      </c>
      <c r="O234" s="95">
        <v>164</v>
      </c>
      <c r="P234" s="90">
        <v>169</v>
      </c>
      <c r="Q234" s="94">
        <v>180</v>
      </c>
      <c r="R234" s="94">
        <v>180</v>
      </c>
      <c r="S234" s="94">
        <v>180</v>
      </c>
      <c r="T234" s="95">
        <v>184</v>
      </c>
      <c r="U234" s="95">
        <v>190</v>
      </c>
      <c r="V234" s="94">
        <v>199</v>
      </c>
      <c r="W234" s="94">
        <v>200</v>
      </c>
      <c r="X234" s="94">
        <v>202</v>
      </c>
      <c r="Y234" s="95">
        <v>203</v>
      </c>
      <c r="Z234" s="94">
        <v>210</v>
      </c>
      <c r="AA234" s="94">
        <v>210</v>
      </c>
      <c r="AB234" s="94">
        <v>210</v>
      </c>
      <c r="AC234" s="94">
        <v>210</v>
      </c>
      <c r="AD234" s="94">
        <v>214</v>
      </c>
      <c r="AR234" s="4">
        <v>52</v>
      </c>
      <c r="AS234" s="7">
        <v>63</v>
      </c>
      <c r="AT234" s="7">
        <v>73</v>
      </c>
      <c r="AU234" s="7">
        <v>97</v>
      </c>
      <c r="AV234" s="17">
        <v>99</v>
      </c>
      <c r="AW234" s="17">
        <v>104</v>
      </c>
      <c r="AX234" s="28">
        <v>109</v>
      </c>
      <c r="AY234" s="17">
        <v>115</v>
      </c>
      <c r="AZ234" s="17">
        <v>120</v>
      </c>
      <c r="BA234" s="7">
        <v>123</v>
      </c>
      <c r="BB234" s="7">
        <v>125</v>
      </c>
      <c r="BC234" s="7">
        <v>139</v>
      </c>
      <c r="BD234" s="17">
        <v>143</v>
      </c>
      <c r="BE234" s="17">
        <v>145</v>
      </c>
      <c r="BF234" s="7">
        <v>152</v>
      </c>
      <c r="BG234" s="7">
        <v>155</v>
      </c>
      <c r="BH234" s="7">
        <v>157</v>
      </c>
      <c r="BI234" s="17">
        <v>157</v>
      </c>
      <c r="BJ234" s="7">
        <v>163</v>
      </c>
      <c r="BK234" s="7">
        <v>163</v>
      </c>
      <c r="BL234" s="7">
        <v>173</v>
      </c>
      <c r="BM234" s="7">
        <v>170</v>
      </c>
      <c r="BN234" s="7">
        <v>170</v>
      </c>
      <c r="BO234" s="132"/>
      <c r="BP234" s="132"/>
      <c r="BQ234" s="132"/>
      <c r="BR234" s="132"/>
      <c r="BS234" s="132"/>
      <c r="BT234" s="132"/>
      <c r="BU234" s="132"/>
      <c r="BV234" s="132"/>
      <c r="BW234" s="132"/>
      <c r="BX234" s="132"/>
      <c r="BY234" s="132"/>
    </row>
    <row r="235" spans="1:77" x14ac:dyDescent="0.25">
      <c r="A235" s="4" t="s">
        <v>476</v>
      </c>
      <c r="B235" s="6" t="s">
        <v>477</v>
      </c>
      <c r="H235" s="93">
        <v>42</v>
      </c>
      <c r="I235" s="94">
        <v>44</v>
      </c>
      <c r="J235" s="94">
        <v>51</v>
      </c>
      <c r="K235" s="94">
        <v>58</v>
      </c>
      <c r="L235" s="95">
        <v>61</v>
      </c>
      <c r="M235" s="95">
        <v>64</v>
      </c>
      <c r="N235" s="96">
        <v>64</v>
      </c>
      <c r="O235" s="95">
        <v>64</v>
      </c>
      <c r="P235" s="90">
        <v>67</v>
      </c>
      <c r="Q235" s="94">
        <v>68</v>
      </c>
      <c r="R235" s="94">
        <v>68</v>
      </c>
      <c r="S235" s="94">
        <v>70</v>
      </c>
      <c r="T235" s="95">
        <v>73</v>
      </c>
      <c r="U235" s="95">
        <v>73</v>
      </c>
      <c r="V235" s="94">
        <v>73</v>
      </c>
      <c r="W235" s="94">
        <v>78</v>
      </c>
      <c r="X235" s="94">
        <v>78</v>
      </c>
      <c r="Y235" s="95">
        <v>78</v>
      </c>
      <c r="Z235" s="94">
        <v>80</v>
      </c>
      <c r="AA235" s="94">
        <v>80</v>
      </c>
      <c r="AB235" s="94">
        <v>80</v>
      </c>
      <c r="AC235" s="94">
        <v>80</v>
      </c>
      <c r="AD235" s="94">
        <v>81</v>
      </c>
      <c r="AR235" s="4">
        <v>21</v>
      </c>
      <c r="AS235" s="7">
        <v>29</v>
      </c>
      <c r="AT235" s="7">
        <v>29</v>
      </c>
      <c r="AU235" s="7">
        <v>33</v>
      </c>
      <c r="AV235" s="17">
        <v>38</v>
      </c>
      <c r="AW235" s="17">
        <v>43</v>
      </c>
      <c r="AX235" s="28">
        <v>49</v>
      </c>
      <c r="AY235" s="17">
        <v>57</v>
      </c>
      <c r="AZ235" s="17">
        <v>57</v>
      </c>
      <c r="BA235" s="7">
        <v>57</v>
      </c>
      <c r="BB235" s="7">
        <v>57</v>
      </c>
      <c r="BC235" s="7">
        <v>57</v>
      </c>
      <c r="BD235" s="17">
        <v>57</v>
      </c>
      <c r="BE235" s="17">
        <v>58</v>
      </c>
      <c r="BF235" s="7">
        <v>63</v>
      </c>
      <c r="BG235" s="7">
        <v>64</v>
      </c>
      <c r="BH235" s="7">
        <v>67</v>
      </c>
      <c r="BI235" s="17">
        <v>67</v>
      </c>
      <c r="BJ235" s="7">
        <v>69</v>
      </c>
      <c r="BK235" s="7">
        <v>71</v>
      </c>
      <c r="BL235" s="7">
        <v>71</v>
      </c>
      <c r="BM235" s="7">
        <v>71</v>
      </c>
      <c r="BN235" s="7">
        <v>71</v>
      </c>
      <c r="BO235" s="132"/>
      <c r="BP235" s="132"/>
      <c r="BQ235" s="132"/>
      <c r="BR235" s="132"/>
      <c r="BS235" s="132"/>
      <c r="BT235" s="132"/>
      <c r="BU235" s="132"/>
      <c r="BV235" s="132"/>
      <c r="BW235" s="132"/>
      <c r="BX235" s="132"/>
      <c r="BY235" s="132"/>
    </row>
    <row r="236" spans="1:77" x14ac:dyDescent="0.25">
      <c r="A236" s="4" t="s">
        <v>478</v>
      </c>
      <c r="B236" s="6" t="s">
        <v>479</v>
      </c>
      <c r="H236" s="93">
        <v>20</v>
      </c>
      <c r="I236" s="94">
        <v>22</v>
      </c>
      <c r="J236" s="94">
        <v>22</v>
      </c>
      <c r="K236" s="94">
        <v>22</v>
      </c>
      <c r="L236" s="95">
        <v>22</v>
      </c>
      <c r="M236" s="95">
        <v>22</v>
      </c>
      <c r="N236" s="96">
        <v>26</v>
      </c>
      <c r="O236" s="95">
        <v>28</v>
      </c>
      <c r="P236" s="90">
        <v>33</v>
      </c>
      <c r="Q236" s="94">
        <v>34</v>
      </c>
      <c r="R236" s="94">
        <v>36</v>
      </c>
      <c r="S236" s="94">
        <v>36</v>
      </c>
      <c r="T236" s="95">
        <v>40</v>
      </c>
      <c r="U236" s="95">
        <v>41</v>
      </c>
      <c r="V236" s="94">
        <v>41</v>
      </c>
      <c r="W236" s="94">
        <v>41</v>
      </c>
      <c r="X236" s="94">
        <v>41</v>
      </c>
      <c r="Y236" s="95">
        <v>42</v>
      </c>
      <c r="Z236" s="94">
        <v>42</v>
      </c>
      <c r="AA236" s="94">
        <v>42</v>
      </c>
      <c r="AB236" s="94">
        <v>42</v>
      </c>
      <c r="AC236" s="94">
        <v>42</v>
      </c>
      <c r="AD236" s="94">
        <v>42</v>
      </c>
      <c r="AR236" s="4">
        <v>11</v>
      </c>
      <c r="AS236" s="7">
        <v>15</v>
      </c>
      <c r="AT236" s="7">
        <v>17</v>
      </c>
      <c r="AU236" s="7">
        <v>17</v>
      </c>
      <c r="AV236" s="17">
        <v>19</v>
      </c>
      <c r="AW236" s="17">
        <v>19</v>
      </c>
      <c r="AX236" s="28">
        <v>19</v>
      </c>
      <c r="AY236" s="17">
        <v>19</v>
      </c>
      <c r="AZ236" s="17">
        <v>19</v>
      </c>
      <c r="BA236" s="7">
        <v>19</v>
      </c>
      <c r="BB236" s="7">
        <v>23</v>
      </c>
      <c r="BC236" s="7">
        <v>23</v>
      </c>
      <c r="BD236" s="17">
        <v>28</v>
      </c>
      <c r="BE236" s="17">
        <v>38</v>
      </c>
      <c r="BF236" s="7">
        <v>38</v>
      </c>
      <c r="BG236" s="7">
        <v>38</v>
      </c>
      <c r="BH236" s="7">
        <v>38</v>
      </c>
      <c r="BI236" s="17">
        <v>38</v>
      </c>
      <c r="BJ236" s="7">
        <v>39</v>
      </c>
      <c r="BK236" s="7">
        <v>40</v>
      </c>
      <c r="BL236" s="7">
        <v>40</v>
      </c>
      <c r="BM236" s="7">
        <v>40</v>
      </c>
      <c r="BN236" s="7">
        <v>40</v>
      </c>
      <c r="BO236" s="132"/>
      <c r="BP236" s="132"/>
      <c r="BQ236" s="132"/>
      <c r="BR236" s="132"/>
      <c r="BS236" s="132"/>
      <c r="BT236" s="132"/>
      <c r="BU236" s="132"/>
      <c r="BV236" s="132"/>
      <c r="BW236" s="132"/>
      <c r="BX236" s="132"/>
      <c r="BY236" s="132"/>
    </row>
    <row r="237" spans="1:77" x14ac:dyDescent="0.25">
      <c r="A237" s="4" t="s">
        <v>480</v>
      </c>
      <c r="B237" s="6" t="s">
        <v>481</v>
      </c>
      <c r="H237" s="93">
        <v>42</v>
      </c>
      <c r="I237" s="94">
        <v>44</v>
      </c>
      <c r="J237" s="94">
        <v>51</v>
      </c>
      <c r="K237" s="94">
        <v>58</v>
      </c>
      <c r="L237" s="95">
        <v>61</v>
      </c>
      <c r="M237" s="95">
        <v>64</v>
      </c>
      <c r="N237" s="96">
        <v>64</v>
      </c>
      <c r="O237" s="95">
        <v>64</v>
      </c>
      <c r="P237" s="90">
        <v>67</v>
      </c>
      <c r="Q237" s="94">
        <v>68</v>
      </c>
      <c r="R237" s="94">
        <v>68</v>
      </c>
      <c r="S237" s="94">
        <v>70</v>
      </c>
      <c r="T237" s="95">
        <v>73</v>
      </c>
      <c r="U237" s="95">
        <v>73</v>
      </c>
      <c r="V237" s="94">
        <v>73</v>
      </c>
      <c r="W237" s="94">
        <v>78</v>
      </c>
      <c r="X237" s="94">
        <v>78</v>
      </c>
      <c r="Y237" s="95">
        <v>78</v>
      </c>
      <c r="Z237" s="94">
        <v>80</v>
      </c>
      <c r="AA237" s="94">
        <v>80</v>
      </c>
      <c r="AB237" s="94">
        <v>80</v>
      </c>
      <c r="AC237" s="94">
        <v>80</v>
      </c>
      <c r="AD237" s="94">
        <v>303</v>
      </c>
      <c r="AR237" s="4">
        <v>98</v>
      </c>
      <c r="AS237" s="7">
        <v>114</v>
      </c>
      <c r="AT237" s="7">
        <v>136</v>
      </c>
      <c r="AU237" s="7">
        <v>148</v>
      </c>
      <c r="AV237" s="17">
        <v>162</v>
      </c>
      <c r="AW237" s="17">
        <v>172</v>
      </c>
      <c r="AX237" s="28">
        <v>184</v>
      </c>
      <c r="AY237" s="17">
        <v>189</v>
      </c>
      <c r="AZ237" s="17">
        <v>198</v>
      </c>
      <c r="BA237" s="7">
        <v>204</v>
      </c>
      <c r="BB237" s="7">
        <v>210</v>
      </c>
      <c r="BC237" s="7">
        <v>212</v>
      </c>
      <c r="BD237" s="17">
        <v>212</v>
      </c>
      <c r="BE237" s="17">
        <v>217</v>
      </c>
      <c r="BF237" s="7">
        <v>227</v>
      </c>
      <c r="BG237" s="7">
        <v>230</v>
      </c>
      <c r="BH237" s="7">
        <v>237</v>
      </c>
      <c r="BI237" s="17">
        <v>243</v>
      </c>
      <c r="BJ237" s="7">
        <v>247</v>
      </c>
      <c r="BK237" s="7">
        <v>247</v>
      </c>
      <c r="BL237" s="7">
        <v>256</v>
      </c>
      <c r="BM237" s="7">
        <v>255</v>
      </c>
      <c r="BN237" s="7">
        <v>262</v>
      </c>
      <c r="BO237" s="132"/>
      <c r="BP237" s="132"/>
      <c r="BQ237" s="132"/>
      <c r="BR237" s="132"/>
      <c r="BS237" s="132"/>
      <c r="BT237" s="132"/>
      <c r="BU237" s="132"/>
      <c r="BV237" s="132"/>
      <c r="BW237" s="132"/>
      <c r="BX237" s="132"/>
      <c r="BY237" s="132"/>
    </row>
    <row r="238" spans="1:77" x14ac:dyDescent="0.25">
      <c r="A238" s="4" t="s">
        <v>482</v>
      </c>
      <c r="B238" s="6" t="s">
        <v>483</v>
      </c>
      <c r="H238" s="93">
        <v>20</v>
      </c>
      <c r="I238" s="94">
        <v>22</v>
      </c>
      <c r="J238" s="94">
        <v>22</v>
      </c>
      <c r="K238" s="94">
        <v>22</v>
      </c>
      <c r="L238" s="95">
        <v>22</v>
      </c>
      <c r="M238" s="95">
        <v>22</v>
      </c>
      <c r="N238" s="96">
        <v>26</v>
      </c>
      <c r="O238" s="95">
        <v>28</v>
      </c>
      <c r="P238" s="90">
        <v>33</v>
      </c>
      <c r="Q238" s="94">
        <v>34</v>
      </c>
      <c r="R238" s="94">
        <v>36</v>
      </c>
      <c r="S238" s="94">
        <v>36</v>
      </c>
      <c r="T238" s="95">
        <v>40</v>
      </c>
      <c r="U238" s="95">
        <v>41</v>
      </c>
      <c r="V238" s="94">
        <v>41</v>
      </c>
      <c r="W238" s="94">
        <v>41</v>
      </c>
      <c r="X238" s="94">
        <v>41</v>
      </c>
      <c r="Y238" s="95">
        <v>42</v>
      </c>
      <c r="Z238" s="94">
        <v>42</v>
      </c>
      <c r="AA238" s="94">
        <v>42</v>
      </c>
      <c r="AB238" s="94">
        <v>42</v>
      </c>
      <c r="AC238" s="94">
        <v>42</v>
      </c>
      <c r="AD238" s="94">
        <v>72</v>
      </c>
      <c r="AR238" s="4">
        <v>29</v>
      </c>
      <c r="AS238" s="7">
        <v>29</v>
      </c>
      <c r="AT238" s="7">
        <v>37</v>
      </c>
      <c r="AU238" s="7">
        <v>39</v>
      </c>
      <c r="AV238" s="17">
        <v>42</v>
      </c>
      <c r="AW238" s="17">
        <v>44</v>
      </c>
      <c r="AX238" s="28">
        <v>44</v>
      </c>
      <c r="AY238" s="17">
        <v>45</v>
      </c>
      <c r="AZ238" s="17">
        <v>47</v>
      </c>
      <c r="BA238" s="7">
        <v>49</v>
      </c>
      <c r="BB238" s="7">
        <v>49</v>
      </c>
      <c r="BC238" s="7">
        <v>49</v>
      </c>
      <c r="BD238" s="17">
        <v>53</v>
      </c>
      <c r="BE238" s="17">
        <v>53</v>
      </c>
      <c r="BF238" s="7">
        <v>53</v>
      </c>
      <c r="BG238" s="7">
        <v>53</v>
      </c>
      <c r="BH238" s="7">
        <v>53</v>
      </c>
      <c r="BI238" s="17">
        <v>53</v>
      </c>
      <c r="BJ238" s="7">
        <v>53</v>
      </c>
      <c r="BK238" s="7">
        <v>53</v>
      </c>
      <c r="BL238" s="7">
        <v>54</v>
      </c>
      <c r="BM238" s="7">
        <v>53</v>
      </c>
      <c r="BN238" s="7">
        <v>53</v>
      </c>
      <c r="BO238" s="132"/>
      <c r="BP238" s="132"/>
      <c r="BQ238" s="132"/>
      <c r="BR238" s="132"/>
      <c r="BS238" s="132"/>
      <c r="BT238" s="132"/>
      <c r="BU238" s="132"/>
      <c r="BV238" s="132"/>
      <c r="BW238" s="132"/>
      <c r="BX238" s="132"/>
      <c r="BY238" s="132"/>
    </row>
    <row r="239" spans="1:77" x14ac:dyDescent="0.25">
      <c r="A239" s="4" t="s">
        <v>484</v>
      </c>
      <c r="B239" s="6" t="s">
        <v>485</v>
      </c>
      <c r="H239" s="93">
        <v>58</v>
      </c>
      <c r="I239" s="94">
        <v>74</v>
      </c>
      <c r="J239" s="94">
        <v>93</v>
      </c>
      <c r="K239" s="94">
        <v>91</v>
      </c>
      <c r="L239" s="97">
        <v>93</v>
      </c>
      <c r="M239" s="97">
        <v>99</v>
      </c>
      <c r="N239" s="96">
        <v>105</v>
      </c>
      <c r="O239" s="97">
        <v>109</v>
      </c>
      <c r="P239" s="90">
        <v>115</v>
      </c>
      <c r="Q239" s="94">
        <v>116</v>
      </c>
      <c r="R239" s="94">
        <v>115</v>
      </c>
      <c r="S239" s="94">
        <v>116</v>
      </c>
      <c r="T239" s="97">
        <v>123</v>
      </c>
      <c r="U239" s="97">
        <v>124</v>
      </c>
      <c r="V239" s="94">
        <v>126</v>
      </c>
      <c r="W239" s="94">
        <v>127</v>
      </c>
      <c r="X239" s="94">
        <v>127</v>
      </c>
      <c r="Y239" s="97">
        <v>133</v>
      </c>
      <c r="Z239" s="94">
        <v>137</v>
      </c>
      <c r="AA239" s="94">
        <v>139</v>
      </c>
      <c r="AB239" s="94">
        <v>140</v>
      </c>
      <c r="AC239" s="94">
        <v>142</v>
      </c>
      <c r="AD239" s="94">
        <v>128</v>
      </c>
      <c r="AR239" s="4">
        <v>21</v>
      </c>
      <c r="AS239" s="7">
        <v>31</v>
      </c>
      <c r="AT239" s="7">
        <v>43</v>
      </c>
      <c r="AU239" s="7">
        <v>50</v>
      </c>
      <c r="AV239" s="17">
        <v>55</v>
      </c>
      <c r="AW239" s="17">
        <v>58</v>
      </c>
      <c r="AX239" s="28">
        <v>63</v>
      </c>
      <c r="AY239" s="17">
        <v>66</v>
      </c>
      <c r="AZ239" s="17">
        <v>74</v>
      </c>
      <c r="BA239" s="7">
        <v>79</v>
      </c>
      <c r="BB239" s="7">
        <v>79</v>
      </c>
      <c r="BC239" s="7">
        <v>82</v>
      </c>
      <c r="BD239" s="17">
        <v>82</v>
      </c>
      <c r="BE239" s="17">
        <v>86</v>
      </c>
      <c r="BF239" s="7">
        <v>87</v>
      </c>
      <c r="BG239" s="7">
        <v>91</v>
      </c>
      <c r="BH239" s="7">
        <v>91</v>
      </c>
      <c r="BI239" s="17">
        <v>91</v>
      </c>
      <c r="BJ239" s="7">
        <v>91</v>
      </c>
      <c r="BK239" s="7">
        <v>96</v>
      </c>
      <c r="BL239" s="7">
        <v>96</v>
      </c>
      <c r="BM239" s="7">
        <v>98</v>
      </c>
      <c r="BN239" s="7">
        <v>98</v>
      </c>
      <c r="BO239" s="132"/>
      <c r="BP239" s="132"/>
      <c r="BQ239" s="132"/>
      <c r="BR239" s="132"/>
      <c r="BS239" s="132"/>
      <c r="BT239" s="132"/>
      <c r="BU239" s="132"/>
      <c r="BV239" s="132"/>
      <c r="BW239" s="132"/>
      <c r="BX239" s="132"/>
      <c r="BY239" s="132"/>
    </row>
    <row r="240" spans="1:77" x14ac:dyDescent="0.25">
      <c r="A240" s="4" t="s">
        <v>486</v>
      </c>
      <c r="B240" s="6" t="s">
        <v>487</v>
      </c>
      <c r="H240" s="93">
        <v>156</v>
      </c>
      <c r="I240" s="94">
        <v>191</v>
      </c>
      <c r="J240" s="94">
        <v>196</v>
      </c>
      <c r="K240" s="94">
        <v>200</v>
      </c>
      <c r="L240" s="97">
        <v>202</v>
      </c>
      <c r="M240" s="97">
        <v>212</v>
      </c>
      <c r="N240" s="96">
        <v>246</v>
      </c>
      <c r="O240" s="97">
        <v>251</v>
      </c>
      <c r="P240" s="90">
        <v>251</v>
      </c>
      <c r="Q240" s="94">
        <v>258</v>
      </c>
      <c r="R240" s="94">
        <v>264</v>
      </c>
      <c r="S240" s="94">
        <v>267</v>
      </c>
      <c r="T240" s="97">
        <v>273</v>
      </c>
      <c r="U240" s="97">
        <v>276</v>
      </c>
      <c r="V240" s="94">
        <v>278</v>
      </c>
      <c r="W240" s="94">
        <v>278</v>
      </c>
      <c r="X240" s="94">
        <v>280</v>
      </c>
      <c r="Y240" s="97">
        <v>281</v>
      </c>
      <c r="Z240" s="94">
        <v>283</v>
      </c>
      <c r="AA240" s="94">
        <v>283</v>
      </c>
      <c r="AB240" s="94">
        <v>284</v>
      </c>
      <c r="AC240" s="94">
        <v>291</v>
      </c>
      <c r="AD240" s="94">
        <v>279</v>
      </c>
      <c r="AR240" s="4">
        <v>60</v>
      </c>
      <c r="AS240" s="7">
        <v>83</v>
      </c>
      <c r="AT240" s="7">
        <v>93</v>
      </c>
      <c r="AU240" s="7">
        <v>104</v>
      </c>
      <c r="AV240" s="17">
        <v>115</v>
      </c>
      <c r="AW240" s="17">
        <v>121</v>
      </c>
      <c r="AX240" s="28">
        <v>143</v>
      </c>
      <c r="AY240" s="17">
        <v>151</v>
      </c>
      <c r="AZ240" s="17">
        <v>164</v>
      </c>
      <c r="BA240" s="7">
        <v>176</v>
      </c>
      <c r="BB240" s="7">
        <v>182</v>
      </c>
      <c r="BC240" s="7">
        <v>189</v>
      </c>
      <c r="BD240" s="17">
        <v>198</v>
      </c>
      <c r="BE240" s="17">
        <v>199</v>
      </c>
      <c r="BF240" s="7">
        <v>206</v>
      </c>
      <c r="BG240" s="7">
        <v>206</v>
      </c>
      <c r="BH240" s="7">
        <v>215</v>
      </c>
      <c r="BI240" s="17">
        <v>215</v>
      </c>
      <c r="BJ240" s="7">
        <v>215</v>
      </c>
      <c r="BK240" s="7">
        <v>215</v>
      </c>
      <c r="BL240" s="7">
        <v>216</v>
      </c>
      <c r="BM240" s="7">
        <v>218</v>
      </c>
      <c r="BN240" s="7">
        <v>220</v>
      </c>
      <c r="BO240" s="132"/>
      <c r="BP240" s="132"/>
      <c r="BQ240" s="132"/>
      <c r="BR240" s="132"/>
      <c r="BS240" s="132"/>
      <c r="BT240" s="132"/>
      <c r="BU240" s="132"/>
      <c r="BV240" s="132"/>
      <c r="BW240" s="132"/>
      <c r="BX240" s="132"/>
      <c r="BY240" s="132"/>
    </row>
    <row r="241" spans="1:77" x14ac:dyDescent="0.25">
      <c r="A241" s="4" t="s">
        <v>488</v>
      </c>
      <c r="B241" s="6" t="s">
        <v>489</v>
      </c>
      <c r="H241" s="93">
        <v>144</v>
      </c>
      <c r="I241" s="94">
        <v>181</v>
      </c>
      <c r="J241" s="94">
        <v>188</v>
      </c>
      <c r="K241" s="94">
        <v>192</v>
      </c>
      <c r="L241" s="97">
        <v>195</v>
      </c>
      <c r="M241" s="97">
        <v>207</v>
      </c>
      <c r="N241" s="96">
        <v>231</v>
      </c>
      <c r="O241" s="97">
        <v>234</v>
      </c>
      <c r="P241" s="90">
        <v>238</v>
      </c>
      <c r="Q241" s="94">
        <v>245</v>
      </c>
      <c r="R241" s="94">
        <v>248</v>
      </c>
      <c r="S241" s="94">
        <v>253</v>
      </c>
      <c r="T241" s="97">
        <v>258</v>
      </c>
      <c r="U241" s="97">
        <v>260</v>
      </c>
      <c r="V241" s="94">
        <v>267</v>
      </c>
      <c r="W241" s="94">
        <v>265</v>
      </c>
      <c r="X241" s="94">
        <v>278</v>
      </c>
      <c r="Y241" s="97">
        <v>281</v>
      </c>
      <c r="Z241" s="94">
        <v>290</v>
      </c>
      <c r="AA241" s="94">
        <v>289</v>
      </c>
      <c r="AB241" s="94">
        <v>292</v>
      </c>
      <c r="AC241" s="94">
        <v>297</v>
      </c>
      <c r="AD241" s="94">
        <v>272</v>
      </c>
      <c r="AR241" s="4">
        <v>42</v>
      </c>
      <c r="AS241" s="7">
        <v>60</v>
      </c>
      <c r="AT241" s="7">
        <v>74</v>
      </c>
      <c r="AU241" s="7">
        <v>86</v>
      </c>
      <c r="AV241" s="17">
        <v>99</v>
      </c>
      <c r="AW241" s="17">
        <v>108</v>
      </c>
      <c r="AX241" s="28">
        <v>117</v>
      </c>
      <c r="AY241" s="17">
        <v>120</v>
      </c>
      <c r="AZ241" s="17">
        <v>135</v>
      </c>
      <c r="BA241" s="7">
        <v>145</v>
      </c>
      <c r="BB241" s="7">
        <v>146</v>
      </c>
      <c r="BC241" s="7">
        <v>152</v>
      </c>
      <c r="BD241" s="17">
        <v>165</v>
      </c>
      <c r="BE241" s="17">
        <v>171</v>
      </c>
      <c r="BF241" s="7">
        <v>178</v>
      </c>
      <c r="BG241" s="7">
        <v>180</v>
      </c>
      <c r="BH241" s="7">
        <v>189</v>
      </c>
      <c r="BI241" s="17">
        <v>197</v>
      </c>
      <c r="BJ241" s="7">
        <v>201</v>
      </c>
      <c r="BK241" s="7">
        <v>204</v>
      </c>
      <c r="BL241" s="7">
        <v>210</v>
      </c>
      <c r="BM241" s="7">
        <v>209</v>
      </c>
      <c r="BN241" s="7">
        <v>219</v>
      </c>
      <c r="BO241" s="132"/>
      <c r="BP241" s="132"/>
      <c r="BQ241" s="132"/>
      <c r="BR241" s="132"/>
      <c r="BS241" s="132"/>
      <c r="BT241" s="132"/>
      <c r="BU241" s="132"/>
      <c r="BV241" s="132"/>
      <c r="BW241" s="132"/>
      <c r="BX241" s="132"/>
      <c r="BY241" s="132"/>
    </row>
    <row r="242" spans="1:77" x14ac:dyDescent="0.25">
      <c r="A242" s="4" t="s">
        <v>490</v>
      </c>
      <c r="B242" s="6" t="s">
        <v>491</v>
      </c>
      <c r="H242" s="93">
        <v>59</v>
      </c>
      <c r="I242" s="94">
        <v>76</v>
      </c>
      <c r="J242" s="94">
        <v>87</v>
      </c>
      <c r="K242" s="94">
        <v>94</v>
      </c>
      <c r="L242" s="97">
        <v>96</v>
      </c>
      <c r="M242" s="97">
        <v>103</v>
      </c>
      <c r="N242" s="96">
        <v>130</v>
      </c>
      <c r="O242" s="97">
        <v>136</v>
      </c>
      <c r="P242" s="90">
        <v>144</v>
      </c>
      <c r="Q242" s="94">
        <v>146</v>
      </c>
      <c r="R242" s="94">
        <v>148</v>
      </c>
      <c r="S242" s="94">
        <v>149</v>
      </c>
      <c r="T242" s="97">
        <v>152</v>
      </c>
      <c r="U242" s="97">
        <v>154</v>
      </c>
      <c r="V242" s="94">
        <v>155</v>
      </c>
      <c r="W242" s="94">
        <v>156</v>
      </c>
      <c r="X242" s="94">
        <v>161</v>
      </c>
      <c r="Y242" s="97">
        <v>163</v>
      </c>
      <c r="Z242" s="94">
        <v>165</v>
      </c>
      <c r="AA242" s="94">
        <v>166</v>
      </c>
      <c r="AB242" s="94">
        <v>167</v>
      </c>
      <c r="AC242" s="94">
        <v>169</v>
      </c>
      <c r="AD242" s="94">
        <v>161</v>
      </c>
      <c r="AR242" s="4">
        <v>37</v>
      </c>
      <c r="AS242" s="7">
        <v>38</v>
      </c>
      <c r="AT242" s="7">
        <v>39</v>
      </c>
      <c r="AU242" s="7">
        <v>44</v>
      </c>
      <c r="AV242" s="17">
        <v>49</v>
      </c>
      <c r="AW242" s="17">
        <v>51</v>
      </c>
      <c r="AX242" s="28">
        <v>58</v>
      </c>
      <c r="AY242" s="17">
        <v>62</v>
      </c>
      <c r="AZ242" s="17">
        <v>65</v>
      </c>
      <c r="BA242" s="7">
        <v>75</v>
      </c>
      <c r="BB242" s="7">
        <v>77</v>
      </c>
      <c r="BC242" s="7">
        <v>83</v>
      </c>
      <c r="BD242" s="17">
        <v>91</v>
      </c>
      <c r="BE242" s="17">
        <v>97</v>
      </c>
      <c r="BF242" s="7">
        <v>97</v>
      </c>
      <c r="BG242" s="7">
        <v>100</v>
      </c>
      <c r="BH242" s="7">
        <v>106</v>
      </c>
      <c r="BI242" s="17">
        <v>109</v>
      </c>
      <c r="BJ242" s="7">
        <v>111</v>
      </c>
      <c r="BK242" s="7">
        <v>111</v>
      </c>
      <c r="BL242" s="7">
        <v>113</v>
      </c>
      <c r="BM242" s="7">
        <v>118</v>
      </c>
      <c r="BN242" s="7">
        <v>119</v>
      </c>
      <c r="BO242" s="132"/>
      <c r="BP242" s="132"/>
      <c r="BQ242" s="132"/>
      <c r="BR242" s="132"/>
      <c r="BS242" s="132"/>
      <c r="BT242" s="132"/>
      <c r="BU242" s="132"/>
      <c r="BV242" s="132"/>
      <c r="BW242" s="132"/>
      <c r="BX242" s="132"/>
      <c r="BY242" s="132"/>
    </row>
    <row r="243" spans="1:77" x14ac:dyDescent="0.25">
      <c r="A243" s="4" t="s">
        <v>492</v>
      </c>
      <c r="B243" s="6" t="s">
        <v>493</v>
      </c>
      <c r="H243" s="93">
        <v>137</v>
      </c>
      <c r="I243" s="94">
        <v>181</v>
      </c>
      <c r="J243" s="94">
        <v>194</v>
      </c>
      <c r="K243" s="94">
        <v>199</v>
      </c>
      <c r="L243" s="97">
        <v>195</v>
      </c>
      <c r="M243" s="97">
        <v>219</v>
      </c>
      <c r="N243" s="96">
        <v>239</v>
      </c>
      <c r="O243" s="97">
        <v>240</v>
      </c>
      <c r="P243" s="90">
        <v>239</v>
      </c>
      <c r="Q243" s="94">
        <v>247</v>
      </c>
      <c r="R243" s="94">
        <v>250</v>
      </c>
      <c r="S243" s="94">
        <v>254</v>
      </c>
      <c r="T243" s="97">
        <v>265</v>
      </c>
      <c r="U243" s="97">
        <v>270</v>
      </c>
      <c r="V243" s="94">
        <v>272</v>
      </c>
      <c r="W243" s="94">
        <v>272</v>
      </c>
      <c r="X243" s="94">
        <v>271</v>
      </c>
      <c r="Y243" s="97">
        <v>277</v>
      </c>
      <c r="Z243" s="94">
        <v>278</v>
      </c>
      <c r="AA243" s="94">
        <v>276</v>
      </c>
      <c r="AB243" s="94">
        <v>279</v>
      </c>
      <c r="AC243" s="94">
        <v>279</v>
      </c>
      <c r="AD243" s="94">
        <v>265</v>
      </c>
      <c r="AR243" s="4">
        <v>65</v>
      </c>
      <c r="AS243" s="7">
        <v>77</v>
      </c>
      <c r="AT243" s="7">
        <v>83</v>
      </c>
      <c r="AU243" s="7">
        <v>92</v>
      </c>
      <c r="AV243" s="17">
        <v>99</v>
      </c>
      <c r="AW243" s="17">
        <v>112</v>
      </c>
      <c r="AX243" s="28">
        <v>122</v>
      </c>
      <c r="AY243" s="17">
        <v>126</v>
      </c>
      <c r="AZ243" s="17">
        <v>136</v>
      </c>
      <c r="BA243" s="7">
        <v>144</v>
      </c>
      <c r="BB243" s="7">
        <v>150</v>
      </c>
      <c r="BC243" s="7">
        <v>156</v>
      </c>
      <c r="BD243" s="17">
        <v>160</v>
      </c>
      <c r="BE243" s="17">
        <v>169</v>
      </c>
      <c r="BF243" s="7">
        <v>170</v>
      </c>
      <c r="BG243" s="7">
        <v>183</v>
      </c>
      <c r="BH243" s="7">
        <v>186</v>
      </c>
      <c r="BI243" s="17">
        <v>190</v>
      </c>
      <c r="BJ243" s="7">
        <v>190</v>
      </c>
      <c r="BK243" s="7">
        <v>193</v>
      </c>
      <c r="BL243" s="7">
        <v>195</v>
      </c>
      <c r="BM243" s="7">
        <v>201</v>
      </c>
      <c r="BN243" s="7">
        <v>201</v>
      </c>
      <c r="BO243" s="132"/>
      <c r="BP243" s="132"/>
      <c r="BQ243" s="132"/>
      <c r="BR243" s="132"/>
      <c r="BS243" s="132"/>
      <c r="BT243" s="132"/>
      <c r="BU243" s="132"/>
      <c r="BV243" s="132"/>
      <c r="BW243" s="132"/>
      <c r="BX243" s="132"/>
      <c r="BY243" s="132"/>
    </row>
    <row r="244" spans="1:77" x14ac:dyDescent="0.25">
      <c r="A244" s="4" t="s">
        <v>494</v>
      </c>
      <c r="B244" s="6" t="s">
        <v>495</v>
      </c>
      <c r="H244" s="93">
        <v>58</v>
      </c>
      <c r="I244" s="94">
        <v>71</v>
      </c>
      <c r="J244" s="94">
        <v>73</v>
      </c>
      <c r="K244" s="94">
        <v>83</v>
      </c>
      <c r="L244" s="97">
        <v>86</v>
      </c>
      <c r="M244" s="97">
        <v>86</v>
      </c>
      <c r="N244" s="96">
        <v>88</v>
      </c>
      <c r="O244" s="97">
        <v>91</v>
      </c>
      <c r="P244" s="90">
        <v>92</v>
      </c>
      <c r="Q244" s="94">
        <v>95</v>
      </c>
      <c r="R244" s="94">
        <v>95</v>
      </c>
      <c r="S244" s="94">
        <v>94</v>
      </c>
      <c r="T244" s="97">
        <v>96</v>
      </c>
      <c r="U244" s="97">
        <v>98</v>
      </c>
      <c r="V244" s="94">
        <v>95</v>
      </c>
      <c r="W244" s="94">
        <v>97</v>
      </c>
      <c r="X244" s="94">
        <v>97</v>
      </c>
      <c r="Y244" s="97">
        <v>100</v>
      </c>
      <c r="Z244" s="94">
        <v>102</v>
      </c>
      <c r="AA244" s="94">
        <v>99</v>
      </c>
      <c r="AB244" s="94">
        <v>98</v>
      </c>
      <c r="AC244" s="94">
        <v>98</v>
      </c>
      <c r="AD244" s="94">
        <v>96</v>
      </c>
      <c r="AR244" s="4">
        <v>26</v>
      </c>
      <c r="AS244" s="7">
        <v>34</v>
      </c>
      <c r="AT244" s="7">
        <v>36</v>
      </c>
      <c r="AU244" s="7">
        <v>36</v>
      </c>
      <c r="AV244" s="17">
        <v>40</v>
      </c>
      <c r="AW244" s="17">
        <v>45</v>
      </c>
      <c r="AX244" s="28">
        <v>45</v>
      </c>
      <c r="AY244" s="17">
        <v>49</v>
      </c>
      <c r="AZ244" s="17">
        <v>49</v>
      </c>
      <c r="BA244" s="7">
        <v>52</v>
      </c>
      <c r="BB244" s="7">
        <v>52</v>
      </c>
      <c r="BC244" s="7">
        <v>52</v>
      </c>
      <c r="BD244" s="17">
        <v>58</v>
      </c>
      <c r="BE244" s="17">
        <v>60</v>
      </c>
      <c r="BF244" s="7">
        <v>62</v>
      </c>
      <c r="BG244" s="7">
        <v>62</v>
      </c>
      <c r="BH244" s="7">
        <v>62</v>
      </c>
      <c r="BI244" s="17">
        <v>62</v>
      </c>
      <c r="BJ244" s="7">
        <v>62</v>
      </c>
      <c r="BK244" s="7">
        <v>62</v>
      </c>
      <c r="BL244" s="7">
        <v>69</v>
      </c>
      <c r="BM244" s="7">
        <v>69</v>
      </c>
      <c r="BN244" s="7">
        <v>72</v>
      </c>
      <c r="BO244" s="132"/>
      <c r="BP244" s="132"/>
      <c r="BQ244" s="132"/>
      <c r="BR244" s="132"/>
      <c r="BS244" s="132"/>
      <c r="BT244" s="132"/>
      <c r="BU244" s="132"/>
      <c r="BV244" s="132"/>
      <c r="BW244" s="132"/>
      <c r="BX244" s="132"/>
      <c r="BY244" s="132"/>
    </row>
    <row r="245" spans="1:77" x14ac:dyDescent="0.25">
      <c r="A245" s="4" t="s">
        <v>496</v>
      </c>
      <c r="B245" s="6" t="s">
        <v>497</v>
      </c>
      <c r="H245" s="93">
        <v>140</v>
      </c>
      <c r="I245" s="94">
        <v>174</v>
      </c>
      <c r="J245" s="94">
        <v>179</v>
      </c>
      <c r="K245" s="94">
        <v>182</v>
      </c>
      <c r="L245" s="97">
        <v>190</v>
      </c>
      <c r="M245" s="97">
        <v>196</v>
      </c>
      <c r="N245" s="96">
        <v>214</v>
      </c>
      <c r="O245" s="97">
        <v>218</v>
      </c>
      <c r="P245" s="90">
        <v>224</v>
      </c>
      <c r="Q245" s="94">
        <v>228</v>
      </c>
      <c r="R245" s="94">
        <v>235</v>
      </c>
      <c r="S245" s="94">
        <v>238</v>
      </c>
      <c r="T245" s="97">
        <v>242</v>
      </c>
      <c r="U245" s="97">
        <v>240</v>
      </c>
      <c r="V245" s="94">
        <v>242</v>
      </c>
      <c r="W245" s="94">
        <v>245</v>
      </c>
      <c r="X245" s="94">
        <v>246</v>
      </c>
      <c r="Y245" s="97">
        <v>253</v>
      </c>
      <c r="Z245" s="94">
        <v>253</v>
      </c>
      <c r="AA245" s="94">
        <v>253</v>
      </c>
      <c r="AB245" s="94">
        <v>254</v>
      </c>
      <c r="AC245" s="94">
        <v>258</v>
      </c>
      <c r="AD245" s="94">
        <v>237</v>
      </c>
      <c r="AR245" s="4">
        <v>41</v>
      </c>
      <c r="AS245" s="7">
        <v>62</v>
      </c>
      <c r="AT245" s="7">
        <v>68</v>
      </c>
      <c r="AU245" s="7">
        <v>82</v>
      </c>
      <c r="AV245" s="17">
        <v>101</v>
      </c>
      <c r="AW245" s="17">
        <v>110</v>
      </c>
      <c r="AX245" s="28">
        <v>128</v>
      </c>
      <c r="AY245" s="17">
        <v>137</v>
      </c>
      <c r="AZ245" s="17">
        <v>141</v>
      </c>
      <c r="BA245" s="7">
        <v>150</v>
      </c>
      <c r="BB245" s="7">
        <v>152</v>
      </c>
      <c r="BC245" s="7">
        <v>161</v>
      </c>
      <c r="BD245" s="17">
        <v>164</v>
      </c>
      <c r="BE245" s="17">
        <v>171</v>
      </c>
      <c r="BF245" s="7">
        <v>178</v>
      </c>
      <c r="BG245" s="7">
        <v>180</v>
      </c>
      <c r="BH245" s="7">
        <v>183</v>
      </c>
      <c r="BI245" s="17">
        <v>188</v>
      </c>
      <c r="BJ245" s="7">
        <v>188</v>
      </c>
      <c r="BK245" s="7">
        <v>193</v>
      </c>
      <c r="BL245" s="7">
        <v>200</v>
      </c>
      <c r="BM245" s="7">
        <v>203</v>
      </c>
      <c r="BN245" s="7">
        <v>202</v>
      </c>
      <c r="BO245" s="132"/>
      <c r="BP245" s="132"/>
      <c r="BQ245" s="132"/>
      <c r="BR245" s="132"/>
      <c r="BS245" s="132"/>
      <c r="BT245" s="132"/>
      <c r="BU245" s="132"/>
      <c r="BV245" s="132"/>
      <c r="BW245" s="132"/>
      <c r="BX245" s="132"/>
      <c r="BY245" s="132"/>
    </row>
    <row r="246" spans="1:77" x14ac:dyDescent="0.25">
      <c r="A246" s="4" t="s">
        <v>498</v>
      </c>
      <c r="B246" s="6" t="s">
        <v>499</v>
      </c>
      <c r="H246" s="93">
        <v>85</v>
      </c>
      <c r="I246" s="94">
        <v>119</v>
      </c>
      <c r="J246" s="94">
        <v>121</v>
      </c>
      <c r="K246" s="94">
        <v>122</v>
      </c>
      <c r="L246" s="97">
        <v>122</v>
      </c>
      <c r="M246" s="97">
        <v>123</v>
      </c>
      <c r="N246" s="96">
        <v>129</v>
      </c>
      <c r="O246" s="97">
        <v>129</v>
      </c>
      <c r="P246" s="90">
        <v>132</v>
      </c>
      <c r="Q246" s="94">
        <v>134</v>
      </c>
      <c r="R246" s="94">
        <v>136</v>
      </c>
      <c r="S246" s="94">
        <v>136</v>
      </c>
      <c r="T246" s="97">
        <v>137</v>
      </c>
      <c r="U246" s="97">
        <v>139</v>
      </c>
      <c r="V246" s="94">
        <v>141</v>
      </c>
      <c r="W246" s="94">
        <v>144</v>
      </c>
      <c r="X246" s="94">
        <v>145</v>
      </c>
      <c r="Y246" s="97">
        <v>144</v>
      </c>
      <c r="Z246" s="94">
        <v>145</v>
      </c>
      <c r="AA246" s="94">
        <v>148</v>
      </c>
      <c r="AB246" s="94">
        <v>148</v>
      </c>
      <c r="AC246" s="94">
        <v>150</v>
      </c>
      <c r="AD246" s="94">
        <v>134</v>
      </c>
      <c r="AR246" s="4">
        <v>37</v>
      </c>
      <c r="AS246" s="7">
        <v>49</v>
      </c>
      <c r="AT246" s="7">
        <v>67</v>
      </c>
      <c r="AU246" s="7">
        <v>76</v>
      </c>
      <c r="AV246" s="17">
        <v>79</v>
      </c>
      <c r="AW246" s="17">
        <v>85</v>
      </c>
      <c r="AX246" s="28">
        <v>95</v>
      </c>
      <c r="AY246" s="17">
        <v>95</v>
      </c>
      <c r="AZ246" s="17">
        <v>101</v>
      </c>
      <c r="BA246" s="7">
        <v>102</v>
      </c>
      <c r="BB246" s="7">
        <v>102</v>
      </c>
      <c r="BC246" s="7">
        <v>102</v>
      </c>
      <c r="BD246" s="17">
        <v>106</v>
      </c>
      <c r="BE246" s="17">
        <v>106</v>
      </c>
      <c r="BF246" s="7">
        <v>107</v>
      </c>
      <c r="BG246" s="7">
        <v>107</v>
      </c>
      <c r="BH246" s="7">
        <v>107</v>
      </c>
      <c r="BI246" s="17">
        <v>108</v>
      </c>
      <c r="BJ246" s="7">
        <v>108</v>
      </c>
      <c r="BK246" s="7">
        <v>110</v>
      </c>
      <c r="BL246" s="7">
        <v>113</v>
      </c>
      <c r="BM246" s="7">
        <v>114</v>
      </c>
      <c r="BN246" s="7">
        <v>115</v>
      </c>
      <c r="BO246" s="132"/>
      <c r="BP246" s="132"/>
      <c r="BQ246" s="132"/>
      <c r="BR246" s="132"/>
      <c r="BS246" s="132"/>
      <c r="BT246" s="132"/>
      <c r="BU246" s="132"/>
      <c r="BV246" s="132"/>
      <c r="BW246" s="132"/>
      <c r="BX246" s="132"/>
      <c r="BY246" s="132"/>
    </row>
    <row r="247" spans="1:77" x14ac:dyDescent="0.25">
      <c r="A247" s="4"/>
      <c r="B247" s="6"/>
      <c r="F247" s="48" t="s">
        <v>585</v>
      </c>
      <c r="G247" s="48"/>
      <c r="H247" s="100">
        <f>SUM(H225:H246)</f>
        <v>1847</v>
      </c>
      <c r="I247" s="100">
        <f t="shared" ref="I247:AD247" si="13">SUM(I225:I246)</f>
        <v>2130</v>
      </c>
      <c r="J247" s="100">
        <f t="shared" si="13"/>
        <v>2280</v>
      </c>
      <c r="K247" s="100">
        <f t="shared" si="13"/>
        <v>2399</v>
      </c>
      <c r="L247" s="100">
        <f t="shared" si="13"/>
        <v>2453</v>
      </c>
      <c r="M247" s="100">
        <f t="shared" si="13"/>
        <v>2564</v>
      </c>
      <c r="N247" s="100">
        <f t="shared" si="13"/>
        <v>2789</v>
      </c>
      <c r="O247" s="100">
        <f t="shared" si="13"/>
        <v>2857</v>
      </c>
      <c r="P247" s="100">
        <f t="shared" si="13"/>
        <v>2947</v>
      </c>
      <c r="Q247" s="100">
        <f t="shared" si="13"/>
        <v>3039</v>
      </c>
      <c r="R247" s="100">
        <f t="shared" si="13"/>
        <v>3084</v>
      </c>
      <c r="S247" s="100">
        <f t="shared" si="13"/>
        <v>3130</v>
      </c>
      <c r="T247" s="100">
        <f t="shared" si="13"/>
        <v>3216</v>
      </c>
      <c r="U247" s="100">
        <f t="shared" si="13"/>
        <v>3265</v>
      </c>
      <c r="V247" s="100">
        <f t="shared" si="13"/>
        <v>3325</v>
      </c>
      <c r="W247" s="100">
        <f t="shared" si="13"/>
        <v>3356</v>
      </c>
      <c r="X247" s="100">
        <f t="shared" si="13"/>
        <v>3391</v>
      </c>
      <c r="Y247" s="100">
        <f t="shared" si="13"/>
        <v>3453</v>
      </c>
      <c r="Z247" s="100">
        <f t="shared" si="13"/>
        <v>3517</v>
      </c>
      <c r="AA247" s="100">
        <f t="shared" si="13"/>
        <v>3530</v>
      </c>
      <c r="AB247" s="100">
        <f t="shared" si="13"/>
        <v>3546</v>
      </c>
      <c r="AC247" s="100">
        <f t="shared" si="13"/>
        <v>3568</v>
      </c>
      <c r="AD247" s="100">
        <f t="shared" si="13"/>
        <v>3742</v>
      </c>
      <c r="AE247" s="100"/>
      <c r="AF247" s="100"/>
      <c r="AG247" s="100"/>
      <c r="AH247" s="100"/>
      <c r="AI247" s="100"/>
      <c r="AJ247" s="100"/>
      <c r="AK247" s="100"/>
      <c r="AL247" s="100"/>
      <c r="AM247" s="100"/>
      <c r="AN247" s="100"/>
      <c r="AO247" s="100"/>
      <c r="AQ247" s="154"/>
      <c r="AR247" s="4"/>
      <c r="AS247" s="4"/>
      <c r="AT247" s="4"/>
      <c r="AU247" s="4"/>
      <c r="AV247" s="4"/>
      <c r="AW247" s="4"/>
      <c r="AX247" s="4"/>
      <c r="AY247" s="4"/>
      <c r="AZ247" s="36"/>
      <c r="BA247" s="4"/>
      <c r="BB247" s="4"/>
      <c r="BC247" s="4"/>
      <c r="BD247" s="4"/>
      <c r="BE247" s="4"/>
      <c r="BF247" s="4"/>
      <c r="BG247" s="4"/>
      <c r="BH247" s="4"/>
      <c r="BI247" s="4"/>
      <c r="BJ247" s="4"/>
      <c r="BK247" s="4"/>
      <c r="BL247" s="4"/>
      <c r="BM247" s="4"/>
      <c r="BN247" s="4"/>
      <c r="BO247" s="142">
        <f t="shared" ref="BO247:BY247" si="14">SUM(BO225:BO246)</f>
        <v>0</v>
      </c>
      <c r="BP247" s="142">
        <f t="shared" ref="BP247:BX247" si="15">SUM(BP225:BP246)</f>
        <v>0</v>
      </c>
      <c r="BQ247" s="142">
        <f t="shared" si="14"/>
        <v>0</v>
      </c>
      <c r="BR247" s="142">
        <f t="shared" si="15"/>
        <v>0</v>
      </c>
      <c r="BS247" s="142">
        <f t="shared" si="14"/>
        <v>0</v>
      </c>
      <c r="BT247" s="142">
        <f t="shared" si="15"/>
        <v>0</v>
      </c>
      <c r="BU247" s="142">
        <f t="shared" si="14"/>
        <v>0</v>
      </c>
      <c r="BV247" s="142">
        <f t="shared" si="15"/>
        <v>0</v>
      </c>
      <c r="BW247" s="142">
        <f t="shared" si="14"/>
        <v>0</v>
      </c>
      <c r="BX247" s="142">
        <f t="shared" si="15"/>
        <v>0</v>
      </c>
      <c r="BY247" s="142">
        <f t="shared" si="14"/>
        <v>0</v>
      </c>
    </row>
    <row r="248" spans="1:77" x14ac:dyDescent="0.25">
      <c r="A248" s="8" t="s">
        <v>5</v>
      </c>
      <c r="B248" s="11"/>
      <c r="H248" s="92">
        <f>SUM(H225:H246)</f>
        <v>1847</v>
      </c>
      <c r="I248" s="92">
        <v>2536</v>
      </c>
      <c r="J248" s="92">
        <v>2685</v>
      </c>
      <c r="K248" s="92">
        <v>2802</v>
      </c>
      <c r="L248" s="92">
        <v>2839</v>
      </c>
      <c r="M248" s="92">
        <v>2959</v>
      </c>
      <c r="N248" s="92">
        <v>3260</v>
      </c>
      <c r="O248" s="92">
        <v>3340</v>
      </c>
      <c r="P248" s="99">
        <v>3410</v>
      </c>
      <c r="Q248" s="92">
        <f>SUM(Q225:Q246)</f>
        <v>3039</v>
      </c>
      <c r="R248" s="92">
        <v>3535</v>
      </c>
      <c r="S248" s="92">
        <f>SUM(S225:S246)</f>
        <v>3130</v>
      </c>
      <c r="T248" s="92">
        <v>3681</v>
      </c>
      <c r="U248" s="92">
        <v>3713</v>
      </c>
      <c r="V248" s="92">
        <v>3763</v>
      </c>
      <c r="W248" s="92">
        <v>3792</v>
      </c>
      <c r="X248" s="92">
        <v>3847</v>
      </c>
      <c r="Y248" s="92">
        <v>3922</v>
      </c>
      <c r="Z248" s="92">
        <v>3964</v>
      </c>
      <c r="AA248" s="92">
        <v>3978</v>
      </c>
      <c r="AB248" s="92">
        <v>4005</v>
      </c>
      <c r="AC248" s="92">
        <v>4038</v>
      </c>
      <c r="AD248" s="92">
        <v>3742</v>
      </c>
      <c r="AR248" s="18">
        <f>SUM(AR225:AR246)</f>
        <v>942</v>
      </c>
      <c r="AS248" s="18">
        <v>1143</v>
      </c>
      <c r="AT248" s="18">
        <v>1310</v>
      </c>
      <c r="AU248" s="18">
        <v>1481</v>
      </c>
      <c r="AV248" s="18">
        <v>1609</v>
      </c>
      <c r="AW248" s="18">
        <v>1725</v>
      </c>
      <c r="AX248" s="18">
        <v>1892</v>
      </c>
      <c r="AY248" s="18">
        <v>1999</v>
      </c>
      <c r="AZ248" s="35">
        <v>2121</v>
      </c>
      <c r="BA248" s="18">
        <f>SUM(BA225:BA246)</f>
        <v>2226</v>
      </c>
      <c r="BB248" s="18">
        <v>2279</v>
      </c>
      <c r="BC248" s="18">
        <f>SUM(BC225:BC246)</f>
        <v>2368</v>
      </c>
      <c r="BD248" s="18">
        <v>2456</v>
      </c>
      <c r="BE248" s="18">
        <v>2534</v>
      </c>
      <c r="BF248" s="18">
        <v>2615</v>
      </c>
      <c r="BG248" s="18">
        <v>2663</v>
      </c>
      <c r="BH248" s="18">
        <v>2720</v>
      </c>
      <c r="BI248" s="18">
        <v>2769</v>
      </c>
      <c r="BJ248" s="18">
        <v>2811</v>
      </c>
      <c r="BK248" s="18">
        <v>2860</v>
      </c>
      <c r="BL248" s="18">
        <v>2941</v>
      </c>
      <c r="BM248" s="18">
        <v>2965</v>
      </c>
      <c r="BN248" s="18">
        <v>3002</v>
      </c>
      <c r="BO248" s="132"/>
      <c r="BP248" s="132"/>
      <c r="BQ248" s="132"/>
      <c r="BR248" s="132"/>
      <c r="BS248" s="132"/>
      <c r="BT248" s="132"/>
      <c r="BU248" s="132"/>
      <c r="BV248" s="132"/>
      <c r="BW248" s="132"/>
      <c r="BX248" s="132"/>
      <c r="BY248" s="132"/>
    </row>
    <row r="249" spans="1:77" x14ac:dyDescent="0.25">
      <c r="A249" s="4"/>
      <c r="B249" s="6"/>
      <c r="F249" s="49" t="s">
        <v>584</v>
      </c>
      <c r="G249" s="49"/>
      <c r="H249" s="104">
        <f>H247-H248</f>
        <v>0</v>
      </c>
      <c r="I249" s="104">
        <f t="shared" ref="I249" si="16">I247-I248</f>
        <v>-406</v>
      </c>
      <c r="J249" s="104">
        <f t="shared" ref="J249" si="17">J247-J248</f>
        <v>-405</v>
      </c>
      <c r="K249" s="104">
        <f t="shared" ref="K249" si="18">K247-K248</f>
        <v>-403</v>
      </c>
      <c r="L249" s="104">
        <f t="shared" ref="L249" si="19">L247-L248</f>
        <v>-386</v>
      </c>
      <c r="M249" s="104">
        <f t="shared" ref="M249" si="20">M247-M248</f>
        <v>-395</v>
      </c>
      <c r="N249" s="104">
        <f t="shared" ref="N249" si="21">N247-N248</f>
        <v>-471</v>
      </c>
      <c r="O249" s="104">
        <f t="shared" ref="O249" si="22">O247-O248</f>
        <v>-483</v>
      </c>
      <c r="P249" s="104">
        <f t="shared" ref="P249" si="23">P247-P248</f>
        <v>-463</v>
      </c>
      <c r="Q249" s="104">
        <f t="shared" ref="Q249" si="24">Q247-Q248</f>
        <v>0</v>
      </c>
      <c r="R249" s="104">
        <f t="shared" ref="R249" si="25">R247-R248</f>
        <v>-451</v>
      </c>
      <c r="S249" s="104">
        <f t="shared" ref="S249" si="26">S247-S248</f>
        <v>0</v>
      </c>
      <c r="T249" s="104">
        <f t="shared" ref="T249" si="27">T247-T248</f>
        <v>-465</v>
      </c>
      <c r="U249" s="104">
        <f t="shared" ref="U249" si="28">U247-U248</f>
        <v>-448</v>
      </c>
      <c r="V249" s="104">
        <f t="shared" ref="V249" si="29">V247-V248</f>
        <v>-438</v>
      </c>
      <c r="W249" s="104">
        <f t="shared" ref="W249" si="30">W247-W248</f>
        <v>-436</v>
      </c>
      <c r="X249" s="104">
        <f t="shared" ref="X249" si="31">X247-X248</f>
        <v>-456</v>
      </c>
      <c r="Y249" s="104">
        <f t="shared" ref="Y249" si="32">Y247-Y248</f>
        <v>-469</v>
      </c>
      <c r="Z249" s="104">
        <f t="shared" ref="Z249" si="33">Z247-Z248</f>
        <v>-447</v>
      </c>
      <c r="AA249" s="104">
        <f t="shared" ref="AA249" si="34">AA247-AA248</f>
        <v>-448</v>
      </c>
      <c r="AB249" s="104">
        <f t="shared" ref="AB249:AD249" si="35">AB247-AB248</f>
        <v>-459</v>
      </c>
      <c r="AC249" s="104">
        <f t="shared" ref="AC249" si="36">AC247-AC248</f>
        <v>-470</v>
      </c>
      <c r="AD249" s="104">
        <f t="shared" si="35"/>
        <v>0</v>
      </c>
      <c r="AE249" s="104"/>
      <c r="AF249" s="104"/>
      <c r="AG249" s="104"/>
      <c r="AH249" s="104"/>
      <c r="AI249" s="104"/>
      <c r="AJ249" s="104"/>
      <c r="AK249" s="104"/>
      <c r="AL249" s="104"/>
      <c r="AM249" s="104"/>
      <c r="AN249" s="104"/>
      <c r="AO249" s="104"/>
      <c r="AQ249" s="155"/>
      <c r="AR249" s="4"/>
      <c r="AS249" s="4"/>
      <c r="AT249" s="4"/>
      <c r="AU249" s="4"/>
      <c r="AV249" s="4"/>
      <c r="AW249" s="4"/>
      <c r="AX249" s="4"/>
      <c r="AY249" s="4"/>
      <c r="AZ249" s="24"/>
      <c r="BA249" s="4"/>
      <c r="BB249" s="4"/>
      <c r="BC249" s="4"/>
      <c r="BD249" s="4"/>
      <c r="BE249" s="4"/>
      <c r="BF249" s="4"/>
      <c r="BG249" s="4"/>
      <c r="BH249" s="4"/>
      <c r="BI249" s="4"/>
      <c r="BJ249" s="4"/>
      <c r="BK249" s="4"/>
      <c r="BL249" s="4"/>
      <c r="BM249" s="4"/>
      <c r="BN249" s="4"/>
      <c r="BO249" s="148">
        <f t="shared" ref="BO249:BY249" si="37">BO247-BO248</f>
        <v>0</v>
      </c>
      <c r="BP249" s="148">
        <f t="shared" si="37"/>
        <v>0</v>
      </c>
      <c r="BQ249" s="148">
        <f t="shared" si="37"/>
        <v>0</v>
      </c>
      <c r="BR249" s="148">
        <f t="shared" si="37"/>
        <v>0</v>
      </c>
      <c r="BS249" s="148">
        <f t="shared" si="37"/>
        <v>0</v>
      </c>
      <c r="BT249" s="148">
        <f t="shared" si="37"/>
        <v>0</v>
      </c>
      <c r="BU249" s="148">
        <f t="shared" si="37"/>
        <v>0</v>
      </c>
      <c r="BV249" s="148">
        <f t="shared" si="37"/>
        <v>0</v>
      </c>
      <c r="BW249" s="148">
        <f t="shared" si="37"/>
        <v>0</v>
      </c>
      <c r="BX249" s="148">
        <f t="shared" si="37"/>
        <v>0</v>
      </c>
      <c r="BY249" s="148">
        <f t="shared" si="37"/>
        <v>0</v>
      </c>
    </row>
    <row r="250" spans="1:77" ht="75" x14ac:dyDescent="0.25">
      <c r="A250" s="33"/>
      <c r="B250" s="33"/>
      <c r="H250" s="101" t="s">
        <v>449</v>
      </c>
      <c r="I250" s="105" t="s">
        <v>450</v>
      </c>
      <c r="J250" s="105" t="s">
        <v>450</v>
      </c>
      <c r="K250" s="105" t="s">
        <v>450</v>
      </c>
      <c r="L250" s="105" t="s">
        <v>450</v>
      </c>
      <c r="M250" s="105" t="s">
        <v>450</v>
      </c>
      <c r="N250" s="105" t="s">
        <v>450</v>
      </c>
      <c r="O250" s="105" t="s">
        <v>450</v>
      </c>
      <c r="P250" s="92" t="s">
        <v>450</v>
      </c>
      <c r="Q250" s="105" t="s">
        <v>450</v>
      </c>
      <c r="R250" s="105" t="s">
        <v>450</v>
      </c>
      <c r="S250" s="101" t="s">
        <v>450</v>
      </c>
      <c r="T250" s="105" t="s">
        <v>450</v>
      </c>
      <c r="U250" s="105" t="s">
        <v>450</v>
      </c>
      <c r="V250" s="105" t="s">
        <v>450</v>
      </c>
      <c r="W250" s="105" t="s">
        <v>450</v>
      </c>
      <c r="X250" s="105" t="s">
        <v>450</v>
      </c>
      <c r="Y250" s="105" t="s">
        <v>450</v>
      </c>
      <c r="Z250" s="105" t="s">
        <v>450</v>
      </c>
      <c r="AA250" s="105" t="s">
        <v>450</v>
      </c>
      <c r="AB250" s="105" t="s">
        <v>450</v>
      </c>
      <c r="AC250" s="105" t="s">
        <v>450</v>
      </c>
      <c r="AD250" s="101" t="s">
        <v>449</v>
      </c>
      <c r="AR250" s="39" t="s">
        <v>530</v>
      </c>
      <c r="AS250" s="39" t="s">
        <v>530</v>
      </c>
      <c r="AT250" s="39" t="s">
        <v>530</v>
      </c>
      <c r="AU250" s="39" t="s">
        <v>530</v>
      </c>
      <c r="AV250" s="39" t="s">
        <v>530</v>
      </c>
      <c r="AW250" s="39" t="s">
        <v>530</v>
      </c>
      <c r="AX250" s="39" t="s">
        <v>530</v>
      </c>
      <c r="AY250" s="39" t="s">
        <v>530</v>
      </c>
      <c r="AZ250" s="18" t="s">
        <v>530</v>
      </c>
      <c r="BA250" s="39" t="s">
        <v>530</v>
      </c>
      <c r="BB250" s="39" t="s">
        <v>530</v>
      </c>
      <c r="BC250" s="39" t="s">
        <v>530</v>
      </c>
      <c r="BD250" s="39" t="s">
        <v>530</v>
      </c>
      <c r="BE250" s="39" t="s">
        <v>530</v>
      </c>
      <c r="BF250" s="39" t="s">
        <v>530</v>
      </c>
      <c r="BG250" s="39" t="s">
        <v>530</v>
      </c>
      <c r="BH250" s="39" t="s">
        <v>530</v>
      </c>
      <c r="BI250" s="39" t="s">
        <v>530</v>
      </c>
      <c r="BJ250" s="39" t="s">
        <v>530</v>
      </c>
      <c r="BK250" s="39" t="s">
        <v>530</v>
      </c>
      <c r="BL250" s="39" t="s">
        <v>530</v>
      </c>
      <c r="BM250" s="39" t="s">
        <v>530</v>
      </c>
      <c r="BN250" s="39" t="s">
        <v>530</v>
      </c>
      <c r="BO250" s="132"/>
      <c r="BP250" s="132"/>
      <c r="BQ250" s="132"/>
      <c r="BR250" s="132"/>
      <c r="BS250" s="132"/>
      <c r="BT250" s="132"/>
      <c r="BU250" s="132"/>
      <c r="BV250" s="132"/>
      <c r="BW250" s="132"/>
      <c r="BX250" s="132"/>
      <c r="BY250" s="132"/>
    </row>
    <row r="251" spans="1:77" x14ac:dyDescent="0.25">
      <c r="A251" s="4"/>
      <c r="B251" s="6"/>
      <c r="H251" s="93"/>
      <c r="I251" s="106"/>
      <c r="J251" s="106"/>
      <c r="K251" s="106"/>
      <c r="L251" s="106"/>
      <c r="M251" s="106"/>
      <c r="N251" s="106"/>
      <c r="O251" s="106"/>
      <c r="P251" s="91"/>
      <c r="Q251" s="106"/>
      <c r="R251" s="106"/>
      <c r="S251" s="106"/>
      <c r="T251" s="106"/>
      <c r="U251" s="106"/>
      <c r="V251" s="106"/>
      <c r="W251" s="106"/>
      <c r="X251" s="106"/>
      <c r="Y251" s="106"/>
      <c r="Z251" s="106"/>
      <c r="AA251" s="106"/>
      <c r="AB251" s="106"/>
      <c r="AC251" s="106"/>
      <c r="AD251" s="93"/>
      <c r="AR251" s="4"/>
      <c r="AS251" s="4"/>
      <c r="AT251" s="4"/>
      <c r="AU251" s="4"/>
      <c r="AV251" s="4"/>
      <c r="AW251" s="4"/>
      <c r="AX251" s="4"/>
      <c r="AY251" s="4"/>
      <c r="AZ251" s="24"/>
      <c r="BA251" s="4"/>
      <c r="BB251" s="4"/>
      <c r="BC251" s="4"/>
      <c r="BD251" s="4"/>
      <c r="BE251" s="4"/>
      <c r="BF251" s="4"/>
      <c r="BG251" s="4"/>
      <c r="BH251" s="4"/>
      <c r="BI251" s="4"/>
      <c r="BJ251" s="4"/>
      <c r="BK251" s="4"/>
      <c r="BL251" s="6"/>
      <c r="BM251" s="4"/>
      <c r="BN251" s="4"/>
      <c r="BO251" s="132"/>
      <c r="BP251" s="132"/>
      <c r="BQ251" s="132"/>
      <c r="BR251" s="132"/>
      <c r="BS251" s="132"/>
      <c r="BT251" s="132"/>
      <c r="BU251" s="132"/>
      <c r="BV251" s="132"/>
      <c r="BW251" s="132"/>
      <c r="BX251" s="132"/>
      <c r="BY251" s="132"/>
    </row>
    <row r="252" spans="1:77" x14ac:dyDescent="0.25">
      <c r="A252" s="8" t="s">
        <v>500</v>
      </c>
      <c r="B252" s="11"/>
      <c r="H252" s="99">
        <v>1317</v>
      </c>
      <c r="I252" s="92">
        <v>1939</v>
      </c>
      <c r="J252" s="92">
        <v>2418</v>
      </c>
      <c r="K252" s="92">
        <v>2866</v>
      </c>
      <c r="L252" s="92">
        <v>3116</v>
      </c>
      <c r="M252" s="92">
        <v>3613</v>
      </c>
      <c r="N252" s="92">
        <v>4878</v>
      </c>
      <c r="O252" s="92">
        <v>4898</v>
      </c>
      <c r="P252" s="99">
        <v>4900</v>
      </c>
      <c r="Q252" s="92">
        <v>4981</v>
      </c>
      <c r="R252" s="92">
        <v>4965</v>
      </c>
      <c r="S252" s="92">
        <v>4955</v>
      </c>
      <c r="T252" s="92">
        <v>4950</v>
      </c>
      <c r="U252" s="92">
        <v>4940</v>
      </c>
      <c r="V252" s="92">
        <v>4939</v>
      </c>
      <c r="W252" s="92">
        <v>4923</v>
      </c>
      <c r="X252" s="92">
        <v>4912</v>
      </c>
      <c r="Y252" s="92">
        <v>4904</v>
      </c>
      <c r="Z252" s="92">
        <v>4888</v>
      </c>
      <c r="AA252" s="92">
        <v>4884</v>
      </c>
      <c r="AB252" s="92">
        <v>4858</v>
      </c>
      <c r="AC252" s="92">
        <v>4849</v>
      </c>
      <c r="AD252" s="92">
        <v>4564</v>
      </c>
      <c r="AR252" s="8">
        <v>184</v>
      </c>
      <c r="AS252" s="18">
        <v>285</v>
      </c>
      <c r="AT252" s="18">
        <v>379</v>
      </c>
      <c r="AU252" s="18">
        <v>480</v>
      </c>
      <c r="AV252" s="18">
        <v>590</v>
      </c>
      <c r="AW252" s="18">
        <v>776</v>
      </c>
      <c r="AX252" s="18">
        <v>1087</v>
      </c>
      <c r="AY252" s="18">
        <v>1275</v>
      </c>
      <c r="AZ252" s="35">
        <v>1573</v>
      </c>
      <c r="BA252" s="18">
        <v>1750</v>
      </c>
      <c r="BB252" s="18">
        <v>1913</v>
      </c>
      <c r="BC252" s="18">
        <v>2079</v>
      </c>
      <c r="BD252" s="18">
        <v>2257</v>
      </c>
      <c r="BE252" s="18">
        <v>2365</v>
      </c>
      <c r="BF252" s="18">
        <v>2472</v>
      </c>
      <c r="BG252" s="18">
        <v>2563</v>
      </c>
      <c r="BH252" s="18">
        <v>2620</v>
      </c>
      <c r="BI252" s="18">
        <v>2663</v>
      </c>
      <c r="BJ252" s="18">
        <v>2723</v>
      </c>
      <c r="BK252" s="18">
        <v>2804</v>
      </c>
      <c r="BL252" s="18">
        <v>2869</v>
      </c>
      <c r="BM252" s="18">
        <v>2884</v>
      </c>
      <c r="BN252" s="18">
        <v>2904</v>
      </c>
      <c r="BO252" s="132"/>
      <c r="BP252" s="132"/>
      <c r="BQ252" s="132"/>
      <c r="BR252" s="132"/>
      <c r="BS252" s="132"/>
      <c r="BT252" s="132"/>
      <c r="BU252" s="132"/>
      <c r="BV252" s="132"/>
      <c r="BW252" s="132"/>
      <c r="BX252" s="132"/>
      <c r="BY252" s="132"/>
    </row>
    <row r="253" spans="1:77" x14ac:dyDescent="0.25">
      <c r="A253" s="4"/>
      <c r="B253" s="6"/>
      <c r="H253" s="98"/>
      <c r="I253" s="106"/>
      <c r="J253" s="106"/>
      <c r="K253" s="106"/>
      <c r="L253" s="106"/>
      <c r="M253" s="106"/>
      <c r="N253" s="106"/>
      <c r="O253" s="106"/>
      <c r="P253" s="100"/>
      <c r="Q253" s="106"/>
      <c r="R253" s="106"/>
      <c r="S253" s="106"/>
      <c r="T253" s="106"/>
      <c r="U253" s="106"/>
      <c r="V253" s="106"/>
      <c r="W253" s="106"/>
      <c r="X253" s="106"/>
      <c r="Y253" s="106"/>
      <c r="Z253" s="106"/>
      <c r="AA253" s="106"/>
      <c r="AB253" s="106"/>
      <c r="AC253" s="106"/>
      <c r="AD253" s="98"/>
      <c r="AR253" s="4"/>
      <c r="AS253" s="4"/>
      <c r="AT253" s="4"/>
      <c r="AU253" s="4"/>
      <c r="AV253" s="4"/>
      <c r="AW253" s="4"/>
      <c r="AX253" s="4"/>
      <c r="AY253" s="4"/>
      <c r="AZ253" s="36"/>
      <c r="BA253" s="4"/>
      <c r="BB253" s="4"/>
      <c r="BC253" s="4"/>
      <c r="BD253" s="4"/>
      <c r="BE253" s="4"/>
      <c r="BF253" s="4"/>
      <c r="BG253" s="4"/>
      <c r="BH253" s="4"/>
      <c r="BI253" s="4"/>
      <c r="BJ253" s="4"/>
      <c r="BK253" s="4"/>
      <c r="BL253" s="4"/>
      <c r="BM253" s="4"/>
      <c r="BN253" s="4"/>
      <c r="BO253" s="132"/>
      <c r="BP253" s="132"/>
      <c r="BQ253" s="132"/>
      <c r="BR253" s="132"/>
      <c r="BS253" s="132"/>
      <c r="BT253" s="132"/>
      <c r="BU253" s="132"/>
      <c r="BV253" s="132"/>
      <c r="BW253" s="132"/>
      <c r="BX253" s="132"/>
      <c r="BY253" s="132"/>
    </row>
    <row r="254" spans="1:77" x14ac:dyDescent="0.25">
      <c r="A254" s="8" t="s">
        <v>501</v>
      </c>
      <c r="B254" s="11"/>
      <c r="H254" s="92">
        <f>H252+H248</f>
        <v>3164</v>
      </c>
      <c r="I254" s="92">
        <v>4475</v>
      </c>
      <c r="J254" s="92">
        <v>5103</v>
      </c>
      <c r="K254" s="92">
        <v>5668</v>
      </c>
      <c r="L254" s="92">
        <v>5955</v>
      </c>
      <c r="M254" s="92">
        <v>6572</v>
      </c>
      <c r="N254" s="92">
        <v>8138</v>
      </c>
      <c r="O254" s="92">
        <v>8238</v>
      </c>
      <c r="P254" s="99">
        <v>8310</v>
      </c>
      <c r="Q254" s="92">
        <f>Q252+Q248</f>
        <v>8020</v>
      </c>
      <c r="R254" s="92">
        <v>8500</v>
      </c>
      <c r="S254" s="92">
        <f>S252+S248</f>
        <v>8085</v>
      </c>
      <c r="T254" s="92">
        <v>8631</v>
      </c>
      <c r="U254" s="92">
        <v>8653</v>
      </c>
      <c r="V254" s="92">
        <v>8702</v>
      </c>
      <c r="W254" s="92">
        <v>8715</v>
      </c>
      <c r="X254" s="92">
        <v>8759</v>
      </c>
      <c r="Y254" s="92">
        <v>8826</v>
      </c>
      <c r="Z254" s="92">
        <v>8852</v>
      </c>
      <c r="AA254" s="92">
        <v>8862</v>
      </c>
      <c r="AB254" s="92">
        <v>8863</v>
      </c>
      <c r="AC254" s="92">
        <v>8887</v>
      </c>
      <c r="AD254" s="92">
        <v>8306</v>
      </c>
      <c r="AR254" s="18">
        <f>AR252+AR248</f>
        <v>1126</v>
      </c>
      <c r="AS254" s="18">
        <v>1428</v>
      </c>
      <c r="AT254" s="18">
        <v>1689</v>
      </c>
      <c r="AU254" s="18">
        <v>1961</v>
      </c>
      <c r="AV254" s="18">
        <v>2199</v>
      </c>
      <c r="AW254" s="18">
        <v>2501</v>
      </c>
      <c r="AX254" s="18">
        <v>2979</v>
      </c>
      <c r="AY254" s="18">
        <v>3274</v>
      </c>
      <c r="AZ254" s="35">
        <v>3694</v>
      </c>
      <c r="BA254" s="18">
        <f>BA252+BA248</f>
        <v>3976</v>
      </c>
      <c r="BB254" s="18">
        <v>4192</v>
      </c>
      <c r="BC254" s="18">
        <f>BC252+BC248</f>
        <v>4447</v>
      </c>
      <c r="BD254" s="18">
        <v>4713</v>
      </c>
      <c r="BE254" s="18">
        <v>4899</v>
      </c>
      <c r="BF254" s="18">
        <v>5087</v>
      </c>
      <c r="BG254" s="18">
        <v>5226</v>
      </c>
      <c r="BH254" s="18">
        <v>5340</v>
      </c>
      <c r="BI254" s="18">
        <v>5432</v>
      </c>
      <c r="BJ254" s="18">
        <v>5534</v>
      </c>
      <c r="BK254" s="18">
        <v>5664</v>
      </c>
      <c r="BL254" s="18">
        <v>5810</v>
      </c>
      <c r="BM254" s="18">
        <v>5849</v>
      </c>
      <c r="BN254" s="18">
        <v>5906</v>
      </c>
      <c r="BO254" s="132"/>
      <c r="BP254" s="132"/>
      <c r="BQ254" s="132"/>
      <c r="BR254" s="132"/>
      <c r="BS254" s="132"/>
      <c r="BT254" s="132"/>
      <c r="BU254" s="132"/>
      <c r="BV254" s="132"/>
      <c r="BW254" s="132"/>
      <c r="BX254" s="132"/>
      <c r="BY254" s="132"/>
    </row>
    <row r="255" spans="1:77" ht="15.75" thickBot="1" x14ac:dyDescent="0.3">
      <c r="A255" s="12"/>
      <c r="B255" s="13"/>
      <c r="H255" s="102"/>
      <c r="I255" s="107"/>
      <c r="J255" s="107"/>
      <c r="K255" s="107"/>
      <c r="L255" s="107"/>
      <c r="M255" s="107"/>
      <c r="N255" s="107"/>
      <c r="O255" s="107"/>
      <c r="P255" s="103"/>
      <c r="Q255" s="107"/>
      <c r="R255" s="107"/>
      <c r="S255" s="107"/>
      <c r="T255" s="107"/>
      <c r="U255" s="107"/>
      <c r="V255" s="107"/>
      <c r="W255" s="107"/>
      <c r="X255" s="107"/>
      <c r="Y255" s="107"/>
      <c r="Z255" s="107"/>
      <c r="AA255" s="107"/>
      <c r="AB255" s="108"/>
      <c r="AC255" s="107"/>
      <c r="AD255" s="102"/>
      <c r="AR255" s="12"/>
      <c r="AS255" s="12"/>
      <c r="AT255" s="12"/>
      <c r="AU255" s="12"/>
      <c r="AV255" s="12"/>
      <c r="AW255" s="12"/>
      <c r="AX255" s="12"/>
      <c r="AY255" s="12"/>
      <c r="AZ255" s="37"/>
      <c r="BA255" s="12"/>
      <c r="BB255" s="12"/>
      <c r="BC255" s="12"/>
      <c r="BD255" s="12"/>
      <c r="BE255" s="12"/>
      <c r="BF255" s="12"/>
      <c r="BG255" s="12"/>
      <c r="BH255" s="12"/>
      <c r="BI255" s="12"/>
      <c r="BJ255" s="12"/>
      <c r="BK255" s="12"/>
      <c r="BL255" s="38"/>
      <c r="BM255" s="12"/>
      <c r="BN255" s="12"/>
      <c r="BO255" s="132"/>
      <c r="BP255" s="132"/>
      <c r="BQ255" s="132"/>
      <c r="BR255" s="132"/>
      <c r="BS255" s="132"/>
      <c r="BT255" s="132"/>
      <c r="BU255" s="132"/>
      <c r="BV255" s="132"/>
      <c r="BW255" s="132"/>
      <c r="BX255" s="132"/>
      <c r="BY255" s="132"/>
    </row>
    <row r="256" spans="1:77" x14ac:dyDescent="0.2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R256" s="132"/>
      <c r="AS256" s="132"/>
      <c r="AT256" s="132"/>
      <c r="AU256" s="132"/>
      <c r="AV256" s="132"/>
      <c r="AW256" s="132"/>
      <c r="AX256" s="132"/>
      <c r="AY256" s="132"/>
      <c r="AZ256" s="132"/>
      <c r="BA256" s="132"/>
      <c r="BB256" s="132"/>
      <c r="BC256" s="132"/>
      <c r="BD256" s="132"/>
      <c r="BE256" s="132"/>
      <c r="BF256" s="132"/>
      <c r="BG256" s="132"/>
      <c r="BH256" s="132"/>
      <c r="BI256" s="132"/>
      <c r="BJ256" s="132"/>
      <c r="BK256" s="132"/>
      <c r="BL256" s="132"/>
      <c r="BM256" s="132"/>
      <c r="BN256" s="132"/>
      <c r="BO256" s="132"/>
      <c r="BP256" s="132"/>
      <c r="BQ256" s="132"/>
      <c r="BR256" s="132"/>
      <c r="BS256" s="132"/>
      <c r="BT256" s="132"/>
      <c r="BU256" s="132"/>
      <c r="BV256" s="132"/>
      <c r="BW256" s="132"/>
      <c r="BX256" s="132"/>
      <c r="BY256" s="132"/>
    </row>
    <row r="257" spans="1:77" ht="20.25" x14ac:dyDescent="0.3">
      <c r="A257" s="1" t="s">
        <v>0</v>
      </c>
      <c r="B257" s="2"/>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R257" s="132"/>
      <c r="AS257" s="132"/>
      <c r="AT257" s="132"/>
      <c r="AU257" s="132"/>
      <c r="AV257" s="132"/>
      <c r="AW257" s="132"/>
      <c r="AX257" s="132"/>
      <c r="AY257" s="132"/>
      <c r="AZ257" s="132"/>
      <c r="BA257" s="132"/>
      <c r="BB257" s="132"/>
      <c r="BC257" s="132"/>
      <c r="BD257" s="132"/>
      <c r="BE257" s="132"/>
      <c r="BF257" s="132"/>
      <c r="BG257" s="132"/>
      <c r="BH257" s="132"/>
      <c r="BI257" s="132"/>
      <c r="BJ257" s="132"/>
      <c r="BK257" s="132"/>
      <c r="BL257" s="132"/>
      <c r="BM257" s="132"/>
      <c r="BN257" s="132"/>
      <c r="BO257" s="132"/>
      <c r="BP257" s="132"/>
      <c r="BQ257" s="132"/>
      <c r="BR257" s="132"/>
      <c r="BS257" s="132"/>
      <c r="BT257" s="132"/>
      <c r="BU257" s="132"/>
      <c r="BV257" s="132"/>
      <c r="BW257" s="132"/>
      <c r="BX257" s="132"/>
      <c r="BY257" s="132"/>
    </row>
    <row r="258" spans="1:77" x14ac:dyDescent="0.25">
      <c r="A258" s="3" t="s">
        <v>1</v>
      </c>
      <c r="B258" s="2"/>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c r="BS258" s="132"/>
      <c r="BT258" s="132"/>
      <c r="BU258" s="132"/>
      <c r="BV258" s="132"/>
      <c r="BW258" s="132"/>
      <c r="BX258" s="132"/>
      <c r="BY258" s="132"/>
    </row>
    <row r="259" spans="1:77" x14ac:dyDescent="0.25">
      <c r="A259" s="4" t="s">
        <v>2</v>
      </c>
      <c r="B259" s="2"/>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R259" s="132"/>
      <c r="AS259" s="132"/>
      <c r="AT259" s="132"/>
      <c r="AU259" s="132"/>
      <c r="AV259" s="132"/>
      <c r="AW259" s="132"/>
      <c r="AX259" s="132"/>
      <c r="AY259" s="132"/>
      <c r="AZ259" s="132"/>
      <c r="BA259" s="132"/>
      <c r="BB259" s="132"/>
      <c r="BC259" s="132"/>
      <c r="BD259" s="132"/>
      <c r="BE259" s="132"/>
      <c r="BF259" s="132"/>
      <c r="BG259" s="132"/>
      <c r="BH259" s="132"/>
      <c r="BI259" s="132"/>
      <c r="BJ259" s="132"/>
      <c r="BK259" s="132"/>
      <c r="BL259" s="132"/>
      <c r="BM259" s="132"/>
      <c r="BN259" s="132"/>
      <c r="BO259" s="132"/>
      <c r="BP259" s="132"/>
      <c r="BQ259" s="132"/>
      <c r="BR259" s="132"/>
      <c r="BS259" s="132"/>
      <c r="BT259" s="132"/>
      <c r="BU259" s="132"/>
      <c r="BV259" s="132"/>
      <c r="BW259" s="132"/>
      <c r="BX259" s="132"/>
      <c r="BY259" s="132"/>
    </row>
    <row r="260" spans="1:77" x14ac:dyDescent="0.25">
      <c r="A260" s="5" t="s">
        <v>558</v>
      </c>
      <c r="B260" s="6"/>
      <c r="H260" s="55"/>
      <c r="I260" s="55"/>
      <c r="J260" s="55"/>
      <c r="K260" s="55"/>
      <c r="L260" s="55"/>
      <c r="M260" s="55"/>
      <c r="N260" s="55"/>
      <c r="O260" s="55"/>
      <c r="P260" s="55"/>
      <c r="Q260" s="55"/>
      <c r="R260" s="55"/>
      <c r="S260" s="55"/>
      <c r="T260" s="55"/>
      <c r="U260" s="55"/>
      <c r="V260" s="55"/>
      <c r="W260" s="55"/>
      <c r="X260" s="55"/>
      <c r="Y260" s="55"/>
      <c r="Z260" s="55"/>
      <c r="AA260" s="55"/>
      <c r="AB260" s="55"/>
      <c r="AC260" s="55"/>
      <c r="AD260" s="55"/>
      <c r="AR260" s="132"/>
      <c r="AS260" s="132"/>
      <c r="AT260" s="132"/>
      <c r="AU260" s="132"/>
      <c r="AV260" s="132"/>
      <c r="AW260" s="132"/>
      <c r="AX260" s="132"/>
      <c r="AY260" s="132"/>
      <c r="AZ260" s="132"/>
      <c r="BA260" s="132"/>
      <c r="BB260" s="132"/>
      <c r="BC260" s="132"/>
      <c r="BD260" s="132"/>
      <c r="BE260" s="132"/>
      <c r="BF260" s="132"/>
      <c r="BG260" s="132"/>
      <c r="BH260" s="132"/>
      <c r="BI260" s="132"/>
      <c r="BJ260" s="132"/>
      <c r="BK260" s="132"/>
      <c r="BL260" s="132"/>
      <c r="BM260" s="132"/>
      <c r="BN260" s="132"/>
      <c r="BO260" s="132"/>
      <c r="BP260" s="132"/>
      <c r="BQ260" s="132"/>
      <c r="BR260" s="132"/>
      <c r="BS260" s="132"/>
      <c r="BT260" s="132"/>
      <c r="BU260" s="132"/>
      <c r="BV260" s="132"/>
      <c r="BW260" s="132"/>
      <c r="BX260" s="132"/>
      <c r="BY260" s="132"/>
    </row>
    <row r="261" spans="1:77" x14ac:dyDescent="0.25">
      <c r="A261" s="7"/>
      <c r="B261" s="41"/>
      <c r="H261" s="55"/>
      <c r="I261" s="55"/>
      <c r="J261" s="55"/>
      <c r="K261" s="55"/>
      <c r="L261" s="55"/>
      <c r="M261" s="55"/>
      <c r="N261" s="55"/>
      <c r="O261" s="55"/>
      <c r="P261" s="55"/>
      <c r="Q261" s="55"/>
      <c r="R261" s="55"/>
      <c r="S261" s="55"/>
      <c r="T261" s="55"/>
      <c r="U261" s="55"/>
      <c r="V261" s="55"/>
      <c r="W261" s="55"/>
      <c r="X261" s="55"/>
      <c r="Y261" s="55"/>
      <c r="Z261" s="55"/>
      <c r="AA261" s="55"/>
      <c r="AB261" s="55"/>
      <c r="AC261" s="55"/>
      <c r="AD261" s="55"/>
      <c r="AR261" s="132"/>
      <c r="AS261" s="132"/>
      <c r="AT261" s="132"/>
      <c r="AU261" s="132"/>
      <c r="AV261" s="132"/>
      <c r="AW261" s="132"/>
      <c r="AX261" s="132"/>
      <c r="AY261" s="132"/>
      <c r="AZ261" s="132"/>
      <c r="BA261" s="132"/>
      <c r="BB261" s="132"/>
      <c r="BC261" s="132"/>
      <c r="BD261" s="132"/>
      <c r="BE261" s="132"/>
      <c r="BF261" s="132"/>
      <c r="BG261" s="132"/>
      <c r="BH261" s="132"/>
      <c r="BI261" s="132"/>
      <c r="BJ261" s="132"/>
      <c r="BK261" s="132"/>
      <c r="BL261" s="132"/>
      <c r="BM261" s="132"/>
      <c r="BN261" s="132"/>
      <c r="BO261" s="132"/>
      <c r="BP261" s="132"/>
      <c r="BQ261" s="132"/>
      <c r="BR261" s="132"/>
      <c r="BS261" s="132"/>
      <c r="BT261" s="132"/>
      <c r="BU261" s="132"/>
      <c r="BV261" s="132"/>
      <c r="BW261" s="132"/>
      <c r="BX261" s="132"/>
      <c r="BY261" s="132"/>
    </row>
    <row r="262" spans="1:77" ht="30" x14ac:dyDescent="0.25">
      <c r="A262" s="42" t="s">
        <v>559</v>
      </c>
      <c r="B262" s="16" t="s">
        <v>4</v>
      </c>
      <c r="H262" s="55"/>
      <c r="I262" s="55"/>
      <c r="J262" s="55"/>
      <c r="K262" s="55"/>
      <c r="L262" s="55"/>
      <c r="M262" s="55"/>
      <c r="N262" s="55"/>
      <c r="O262" s="55"/>
      <c r="P262" s="55"/>
      <c r="Q262" s="55"/>
      <c r="R262" s="55"/>
      <c r="S262" s="55"/>
      <c r="T262" s="55"/>
      <c r="U262" s="55"/>
      <c r="V262" s="55"/>
      <c r="W262" s="55"/>
      <c r="X262" s="55"/>
      <c r="Y262" s="55"/>
      <c r="Z262" s="55"/>
      <c r="AA262" s="55"/>
      <c r="AB262" s="55"/>
      <c r="AC262" s="55"/>
      <c r="AD262" s="55"/>
      <c r="AR262" s="132"/>
      <c r="AS262" s="132"/>
      <c r="AT262" s="132"/>
      <c r="AU262" s="132"/>
      <c r="AV262" s="132"/>
      <c r="AW262" s="132"/>
      <c r="AX262" s="132"/>
      <c r="AY262" s="132"/>
      <c r="AZ262" s="132"/>
      <c r="BA262" s="132"/>
      <c r="BB262" s="132"/>
      <c r="BC262" s="132"/>
      <c r="BD262" s="132"/>
      <c r="BE262" s="132"/>
      <c r="BF262" s="132"/>
      <c r="BG262" s="132"/>
      <c r="BH262" s="132"/>
      <c r="BI262" s="132"/>
      <c r="BJ262" s="132"/>
      <c r="BK262" s="132"/>
      <c r="BL262" s="132"/>
      <c r="BM262" s="132"/>
      <c r="BN262" s="132"/>
      <c r="BO262" s="132"/>
      <c r="BP262" s="132"/>
      <c r="BQ262" s="132"/>
      <c r="BR262" s="132"/>
      <c r="BS262" s="132"/>
      <c r="BT262" s="132"/>
      <c r="BU262" s="132"/>
      <c r="BV262" s="132"/>
      <c r="BW262" s="132"/>
      <c r="BX262" s="132"/>
      <c r="BY262" s="132"/>
    </row>
    <row r="263" spans="1:77" x14ac:dyDescent="0.25">
      <c r="A263" s="9"/>
      <c r="B263" s="2"/>
      <c r="H263" s="55"/>
      <c r="I263" s="55"/>
      <c r="J263" s="55"/>
      <c r="K263" s="55"/>
      <c r="L263" s="55"/>
      <c r="M263" s="55"/>
      <c r="N263" s="55"/>
      <c r="O263" s="55"/>
      <c r="P263" s="55"/>
      <c r="Q263" s="55"/>
      <c r="R263" s="55"/>
      <c r="S263" s="55"/>
      <c r="T263" s="55"/>
      <c r="U263" s="55"/>
      <c r="V263" s="55"/>
      <c r="W263" s="55"/>
      <c r="X263" s="55"/>
      <c r="Y263" s="55"/>
      <c r="Z263" s="55"/>
      <c r="AA263" s="55"/>
      <c r="AB263" s="55"/>
      <c r="AC263" s="55"/>
      <c r="AD263" s="55"/>
      <c r="AR263" s="132"/>
      <c r="AS263" s="132"/>
      <c r="AT263" s="132"/>
      <c r="AU263" s="132"/>
      <c r="AV263" s="132"/>
      <c r="AW263" s="132"/>
      <c r="AX263" s="132"/>
      <c r="AY263" s="132"/>
      <c r="AZ263" s="132"/>
      <c r="BA263" s="132"/>
      <c r="BB263" s="132"/>
      <c r="BC263" s="132"/>
      <c r="BD263" s="132"/>
      <c r="BE263" s="132"/>
      <c r="BF263" s="132"/>
      <c r="BG263" s="132"/>
      <c r="BH263" s="132"/>
      <c r="BI263" s="132"/>
      <c r="BJ263" s="132"/>
      <c r="BK263" s="132"/>
      <c r="BL263" s="132"/>
      <c r="BM263" s="132"/>
      <c r="BN263" s="132"/>
      <c r="BO263" s="132"/>
      <c r="BP263" s="132"/>
      <c r="BQ263" s="132"/>
      <c r="BR263" s="132"/>
      <c r="BS263" s="132"/>
      <c r="BT263" s="132"/>
      <c r="BU263" s="132"/>
      <c r="BV263" s="132"/>
      <c r="BW263" s="132"/>
      <c r="BX263" s="132"/>
      <c r="BY263" s="132"/>
    </row>
    <row r="264" spans="1:77" x14ac:dyDescent="0.25">
      <c r="A264" s="4" t="s">
        <v>560</v>
      </c>
      <c r="B264" s="6" t="s">
        <v>561</v>
      </c>
      <c r="H264" s="4">
        <v>37</v>
      </c>
      <c r="I264" s="7">
        <v>50</v>
      </c>
      <c r="J264" s="7">
        <v>50</v>
      </c>
      <c r="K264" s="7">
        <v>54</v>
      </c>
      <c r="L264" s="247">
        <v>57</v>
      </c>
      <c r="M264" s="247">
        <v>57</v>
      </c>
      <c r="N264" s="28">
        <v>60</v>
      </c>
      <c r="O264" s="247">
        <v>62</v>
      </c>
      <c r="P264" s="17">
        <v>70</v>
      </c>
      <c r="Q264" s="7">
        <v>71</v>
      </c>
      <c r="R264" s="7">
        <v>71</v>
      </c>
      <c r="S264" s="7">
        <v>75</v>
      </c>
      <c r="T264" s="247">
        <v>78</v>
      </c>
      <c r="U264" s="247">
        <v>79</v>
      </c>
      <c r="V264" s="7">
        <v>84</v>
      </c>
      <c r="W264" s="7">
        <v>86</v>
      </c>
      <c r="X264" s="7">
        <v>87</v>
      </c>
      <c r="Y264" s="247">
        <v>91</v>
      </c>
      <c r="Z264" s="7">
        <v>99</v>
      </c>
      <c r="AA264" s="7">
        <v>99</v>
      </c>
      <c r="AB264" s="7">
        <v>103</v>
      </c>
      <c r="AC264" s="7">
        <v>103</v>
      </c>
      <c r="AD264" s="7">
        <v>104</v>
      </c>
      <c r="AE264" s="17"/>
      <c r="AF264" s="7"/>
      <c r="AG264" s="7"/>
      <c r="AH264" s="7"/>
      <c r="AI264" s="17"/>
      <c r="AJ264" s="7"/>
      <c r="AK264" s="7"/>
      <c r="AR264" s="4">
        <v>7</v>
      </c>
      <c r="AS264" s="7">
        <v>12</v>
      </c>
      <c r="AT264" s="7">
        <v>18</v>
      </c>
      <c r="AU264" s="7">
        <v>19</v>
      </c>
      <c r="AV264" s="17">
        <v>19</v>
      </c>
      <c r="AW264" s="17">
        <v>25</v>
      </c>
      <c r="AX264" s="28">
        <v>27</v>
      </c>
      <c r="AY264" s="17">
        <v>28</v>
      </c>
      <c r="AZ264" s="17">
        <v>28</v>
      </c>
      <c r="BA264" s="136">
        <v>30</v>
      </c>
      <c r="BB264" s="136">
        <v>30</v>
      </c>
      <c r="BC264" s="136">
        <v>33</v>
      </c>
      <c r="BD264" s="133">
        <v>37</v>
      </c>
      <c r="BE264" s="133">
        <v>38</v>
      </c>
      <c r="BF264" s="136">
        <v>38</v>
      </c>
      <c r="BG264" s="136">
        <v>38</v>
      </c>
      <c r="BH264" s="136">
        <v>39</v>
      </c>
      <c r="BI264" s="133">
        <v>39</v>
      </c>
      <c r="BJ264" s="136">
        <v>39</v>
      </c>
      <c r="BK264" s="136">
        <v>43</v>
      </c>
      <c r="BL264" s="7">
        <v>43</v>
      </c>
      <c r="BM264" s="7">
        <v>44</v>
      </c>
      <c r="BN264" s="7">
        <v>44</v>
      </c>
      <c r="BO264" s="132"/>
      <c r="BP264" s="132"/>
      <c r="BQ264" s="132"/>
      <c r="BR264" s="132"/>
      <c r="BS264" s="132"/>
      <c r="BT264" s="132"/>
      <c r="BU264" s="132"/>
      <c r="BV264" s="132"/>
      <c r="BW264" s="132"/>
      <c r="BX264" s="132"/>
      <c r="BY264" s="132"/>
    </row>
    <row r="265" spans="1:77" x14ac:dyDescent="0.25">
      <c r="A265" s="4" t="s">
        <v>562</v>
      </c>
      <c r="B265" s="6" t="s">
        <v>563</v>
      </c>
      <c r="H265" s="4">
        <v>71</v>
      </c>
      <c r="I265" s="7">
        <v>76</v>
      </c>
      <c r="J265" s="7">
        <v>83</v>
      </c>
      <c r="K265" s="7">
        <v>90</v>
      </c>
      <c r="L265" s="247">
        <v>93</v>
      </c>
      <c r="M265" s="247">
        <v>104</v>
      </c>
      <c r="N265" s="28">
        <v>110</v>
      </c>
      <c r="O265" s="247">
        <v>118</v>
      </c>
      <c r="P265" s="17">
        <v>123</v>
      </c>
      <c r="Q265" s="7">
        <v>142</v>
      </c>
      <c r="R265" s="7">
        <v>148</v>
      </c>
      <c r="S265" s="7">
        <v>149</v>
      </c>
      <c r="T265" s="247">
        <v>154</v>
      </c>
      <c r="U265" s="247">
        <v>156</v>
      </c>
      <c r="V265" s="7">
        <v>166</v>
      </c>
      <c r="W265" s="7">
        <v>169</v>
      </c>
      <c r="X265" s="7">
        <v>170</v>
      </c>
      <c r="Y265" s="247">
        <v>177</v>
      </c>
      <c r="Z265" s="7">
        <v>180</v>
      </c>
      <c r="AA265" s="7">
        <v>183</v>
      </c>
      <c r="AB265" s="7">
        <v>187</v>
      </c>
      <c r="AC265" s="7">
        <v>191</v>
      </c>
      <c r="AD265" s="7">
        <v>198</v>
      </c>
      <c r="AE265" s="17"/>
      <c r="AF265" s="7"/>
      <c r="AG265" s="7"/>
      <c r="AH265" s="7"/>
      <c r="AI265" s="17"/>
      <c r="AJ265" s="7"/>
      <c r="AK265" s="7"/>
      <c r="AR265" s="4">
        <v>12</v>
      </c>
      <c r="AS265" s="7">
        <v>12</v>
      </c>
      <c r="AT265" s="7">
        <v>15</v>
      </c>
      <c r="AU265" s="7">
        <v>18</v>
      </c>
      <c r="AV265" s="17">
        <v>18</v>
      </c>
      <c r="AW265" s="17">
        <v>21</v>
      </c>
      <c r="AX265" s="28">
        <v>23</v>
      </c>
      <c r="AY265" s="17">
        <v>27</v>
      </c>
      <c r="AZ265" s="17">
        <v>29</v>
      </c>
      <c r="BA265" s="136">
        <v>33</v>
      </c>
      <c r="BB265" s="136">
        <v>33</v>
      </c>
      <c r="BC265" s="136">
        <v>38</v>
      </c>
      <c r="BD265" s="133">
        <v>45</v>
      </c>
      <c r="BE265" s="133">
        <v>45</v>
      </c>
      <c r="BF265" s="136">
        <v>47</v>
      </c>
      <c r="BG265" s="136">
        <v>48</v>
      </c>
      <c r="BH265" s="136">
        <v>59</v>
      </c>
      <c r="BI265" s="133">
        <v>65</v>
      </c>
      <c r="BJ265" s="136">
        <v>66</v>
      </c>
      <c r="BK265" s="136">
        <v>66</v>
      </c>
      <c r="BL265" s="7">
        <v>70</v>
      </c>
      <c r="BM265" s="7">
        <v>71</v>
      </c>
      <c r="BN265" s="7">
        <v>78</v>
      </c>
      <c r="BO265" s="132"/>
      <c r="BP265" s="132"/>
      <c r="BQ265" s="132"/>
      <c r="BR265" s="132"/>
      <c r="BS265" s="132"/>
      <c r="BT265" s="132"/>
      <c r="BU265" s="132"/>
      <c r="BV265" s="132"/>
      <c r="BW265" s="132"/>
      <c r="BX265" s="132"/>
      <c r="BY265" s="132"/>
    </row>
    <row r="266" spans="1:77" x14ac:dyDescent="0.25">
      <c r="A266" s="4" t="s">
        <v>564</v>
      </c>
      <c r="B266" s="6" t="s">
        <v>565</v>
      </c>
      <c r="H266" s="4">
        <v>112</v>
      </c>
      <c r="I266" s="7">
        <v>119</v>
      </c>
      <c r="J266" s="7">
        <v>127</v>
      </c>
      <c r="K266" s="7">
        <v>136</v>
      </c>
      <c r="L266" s="247">
        <v>140</v>
      </c>
      <c r="M266" s="247">
        <v>151</v>
      </c>
      <c r="N266" s="28">
        <v>168</v>
      </c>
      <c r="O266" s="247">
        <v>176</v>
      </c>
      <c r="P266" s="17">
        <v>182</v>
      </c>
      <c r="Q266" s="7">
        <v>189</v>
      </c>
      <c r="R266" s="7">
        <v>190</v>
      </c>
      <c r="S266" s="7">
        <v>198</v>
      </c>
      <c r="T266" s="247">
        <v>206</v>
      </c>
      <c r="U266" s="247">
        <v>209</v>
      </c>
      <c r="V266" s="7">
        <v>212</v>
      </c>
      <c r="W266" s="7">
        <v>216</v>
      </c>
      <c r="X266" s="7">
        <v>217</v>
      </c>
      <c r="Y266" s="247">
        <v>223</v>
      </c>
      <c r="Z266" s="7">
        <v>229</v>
      </c>
      <c r="AA266" s="7">
        <v>234</v>
      </c>
      <c r="AB266" s="7">
        <v>238</v>
      </c>
      <c r="AC266" s="7">
        <v>237</v>
      </c>
      <c r="AD266" s="7">
        <v>237</v>
      </c>
      <c r="AE266" s="17"/>
      <c r="AF266" s="7"/>
      <c r="AG266" s="7"/>
      <c r="AH266" s="7"/>
      <c r="AI266" s="17"/>
      <c r="AJ266" s="7"/>
      <c r="AK266" s="7"/>
      <c r="AR266" s="4">
        <v>16</v>
      </c>
      <c r="AS266" s="7">
        <v>19</v>
      </c>
      <c r="AT266" s="7">
        <v>20</v>
      </c>
      <c r="AU266" s="7">
        <v>25</v>
      </c>
      <c r="AV266" s="17">
        <v>33</v>
      </c>
      <c r="AW266" s="17">
        <v>33</v>
      </c>
      <c r="AX266" s="28">
        <v>33</v>
      </c>
      <c r="AY266" s="17">
        <v>41</v>
      </c>
      <c r="AZ266" s="17">
        <v>41</v>
      </c>
      <c r="BA266" s="136">
        <v>43</v>
      </c>
      <c r="BB266" s="136">
        <v>43</v>
      </c>
      <c r="BC266" s="136">
        <v>48</v>
      </c>
      <c r="BD266" s="133">
        <v>64</v>
      </c>
      <c r="BE266" s="133">
        <v>64</v>
      </c>
      <c r="BF266" s="136">
        <v>68</v>
      </c>
      <c r="BG266" s="136">
        <v>70</v>
      </c>
      <c r="BH266" s="136">
        <v>72</v>
      </c>
      <c r="BI266" s="133">
        <v>74</v>
      </c>
      <c r="BJ266" s="136">
        <v>74</v>
      </c>
      <c r="BK266" s="136">
        <v>74</v>
      </c>
      <c r="BL266" s="7">
        <v>77</v>
      </c>
      <c r="BM266" s="7">
        <v>78</v>
      </c>
      <c r="BN266" s="7">
        <v>78</v>
      </c>
      <c r="BO266" s="132"/>
      <c r="BP266" s="132"/>
      <c r="BQ266" s="132"/>
      <c r="BR266" s="132"/>
      <c r="BS266" s="132"/>
      <c r="BT266" s="132"/>
      <c r="BU266" s="132"/>
      <c r="BV266" s="132"/>
      <c r="BW266" s="132"/>
      <c r="BX266" s="132"/>
      <c r="BY266" s="132"/>
    </row>
    <row r="267" spans="1:77" x14ac:dyDescent="0.25">
      <c r="A267" s="4" t="s">
        <v>566</v>
      </c>
      <c r="B267" s="6" t="s">
        <v>567</v>
      </c>
      <c r="H267" s="4">
        <v>119</v>
      </c>
      <c r="I267" s="7">
        <v>131</v>
      </c>
      <c r="J267" s="7">
        <v>136</v>
      </c>
      <c r="K267" s="7">
        <v>149</v>
      </c>
      <c r="L267" s="247">
        <v>161</v>
      </c>
      <c r="M267" s="247">
        <v>170</v>
      </c>
      <c r="N267" s="28">
        <v>177</v>
      </c>
      <c r="O267" s="247">
        <v>183</v>
      </c>
      <c r="P267" s="17">
        <v>202</v>
      </c>
      <c r="Q267" s="7">
        <v>206</v>
      </c>
      <c r="R267" s="7">
        <v>206</v>
      </c>
      <c r="S267" s="7">
        <v>205</v>
      </c>
      <c r="T267" s="247">
        <v>209</v>
      </c>
      <c r="U267" s="247">
        <v>216</v>
      </c>
      <c r="V267" s="7">
        <v>219</v>
      </c>
      <c r="W267" s="7">
        <v>227</v>
      </c>
      <c r="X267" s="7">
        <v>231</v>
      </c>
      <c r="Y267" s="247">
        <v>233</v>
      </c>
      <c r="Z267" s="7">
        <v>233</v>
      </c>
      <c r="AA267" s="7">
        <v>240</v>
      </c>
      <c r="AB267" s="7">
        <v>244</v>
      </c>
      <c r="AC267" s="7">
        <v>244</v>
      </c>
      <c r="AD267" s="7">
        <v>248</v>
      </c>
      <c r="AE267" s="17"/>
      <c r="AF267" s="7"/>
      <c r="AG267" s="7"/>
      <c r="AH267" s="7"/>
      <c r="AI267" s="17"/>
      <c r="AJ267" s="7"/>
      <c r="AK267" s="7"/>
      <c r="AR267" s="4">
        <v>19</v>
      </c>
      <c r="AS267" s="7">
        <v>34</v>
      </c>
      <c r="AT267" s="7">
        <v>45</v>
      </c>
      <c r="AU267" s="7">
        <v>48</v>
      </c>
      <c r="AV267" s="17">
        <v>49</v>
      </c>
      <c r="AW267" s="17">
        <v>51</v>
      </c>
      <c r="AX267" s="28">
        <v>51</v>
      </c>
      <c r="AY267" s="17">
        <v>51</v>
      </c>
      <c r="AZ267" s="17">
        <v>52</v>
      </c>
      <c r="BA267" s="136">
        <v>64</v>
      </c>
      <c r="BB267" s="136">
        <v>64</v>
      </c>
      <c r="BC267" s="136">
        <v>70</v>
      </c>
      <c r="BD267" s="133">
        <v>82</v>
      </c>
      <c r="BE267" s="133">
        <v>89</v>
      </c>
      <c r="BF267" s="136">
        <v>90</v>
      </c>
      <c r="BG267" s="136">
        <v>92</v>
      </c>
      <c r="BH267" s="136">
        <v>95</v>
      </c>
      <c r="BI267" s="133">
        <v>98</v>
      </c>
      <c r="BJ267" s="136">
        <v>100</v>
      </c>
      <c r="BK267" s="136">
        <v>100</v>
      </c>
      <c r="BL267" s="7">
        <v>104</v>
      </c>
      <c r="BM267" s="7">
        <v>103</v>
      </c>
      <c r="BN267" s="7">
        <v>106</v>
      </c>
      <c r="BO267" s="132"/>
      <c r="BP267" s="132"/>
      <c r="BQ267" s="132"/>
      <c r="BR267" s="132"/>
      <c r="BS267" s="132"/>
      <c r="BT267" s="132"/>
      <c r="BU267" s="132"/>
      <c r="BV267" s="132"/>
      <c r="BW267" s="132"/>
      <c r="BX267" s="132"/>
      <c r="BY267" s="132"/>
    </row>
    <row r="268" spans="1:77" x14ac:dyDescent="0.25">
      <c r="A268" s="4" t="s">
        <v>568</v>
      </c>
      <c r="B268" s="6" t="s">
        <v>569</v>
      </c>
      <c r="H268" s="4">
        <v>45</v>
      </c>
      <c r="I268" s="7">
        <v>46</v>
      </c>
      <c r="J268" s="7">
        <v>46</v>
      </c>
      <c r="K268" s="7">
        <v>51</v>
      </c>
      <c r="L268" s="247">
        <v>53</v>
      </c>
      <c r="M268" s="247">
        <v>53</v>
      </c>
      <c r="N268" s="28">
        <v>62</v>
      </c>
      <c r="O268" s="247">
        <v>63</v>
      </c>
      <c r="P268" s="17">
        <v>74</v>
      </c>
      <c r="Q268" s="7">
        <v>74</v>
      </c>
      <c r="R268" s="7">
        <v>74</v>
      </c>
      <c r="S268" s="7">
        <v>77</v>
      </c>
      <c r="T268" s="247">
        <v>77</v>
      </c>
      <c r="U268" s="247">
        <v>80</v>
      </c>
      <c r="V268" s="7">
        <v>84</v>
      </c>
      <c r="W268" s="7">
        <v>88</v>
      </c>
      <c r="X268" s="7">
        <v>88</v>
      </c>
      <c r="Y268" s="247">
        <v>90</v>
      </c>
      <c r="Z268" s="7">
        <v>94</v>
      </c>
      <c r="AA268" s="7">
        <v>95</v>
      </c>
      <c r="AB268" s="7">
        <v>95</v>
      </c>
      <c r="AC268" s="7">
        <v>95</v>
      </c>
      <c r="AD268" s="7">
        <v>96</v>
      </c>
      <c r="AE268" s="17"/>
      <c r="AF268" s="7"/>
      <c r="AG268" s="7"/>
      <c r="AH268" s="7"/>
      <c r="AI268" s="17"/>
      <c r="AJ268" s="7"/>
      <c r="AK268" s="7"/>
      <c r="AR268" s="4">
        <v>7</v>
      </c>
      <c r="AS268" s="7">
        <v>7</v>
      </c>
      <c r="AT268" s="7">
        <v>7</v>
      </c>
      <c r="AU268" s="7">
        <v>9</v>
      </c>
      <c r="AV268" s="17">
        <v>9</v>
      </c>
      <c r="AW268" s="17">
        <v>9</v>
      </c>
      <c r="AX268" s="28">
        <v>9</v>
      </c>
      <c r="AY268" s="17">
        <v>9</v>
      </c>
      <c r="AZ268" s="17">
        <v>14</v>
      </c>
      <c r="BA268" s="136">
        <v>17</v>
      </c>
      <c r="BB268" s="136">
        <v>24</v>
      </c>
      <c r="BC268" s="136">
        <v>24</v>
      </c>
      <c r="BD268" s="133">
        <v>26</v>
      </c>
      <c r="BE268" s="133">
        <v>27</v>
      </c>
      <c r="BF268" s="136">
        <v>28</v>
      </c>
      <c r="BG268" s="136">
        <v>30</v>
      </c>
      <c r="BH268" s="136">
        <v>33</v>
      </c>
      <c r="BI268" s="133">
        <v>35</v>
      </c>
      <c r="BJ268" s="136">
        <v>35</v>
      </c>
      <c r="BK268" s="136">
        <v>35</v>
      </c>
      <c r="BL268" s="7">
        <v>38</v>
      </c>
      <c r="BM268" s="7">
        <v>38</v>
      </c>
      <c r="BN268" s="7">
        <v>38</v>
      </c>
      <c r="BO268" s="132"/>
      <c r="BP268" s="132"/>
      <c r="BQ268" s="132"/>
      <c r="BR268" s="132"/>
      <c r="BS268" s="132"/>
      <c r="BT268" s="132"/>
      <c r="BU268" s="132"/>
      <c r="BV268" s="132"/>
      <c r="BW268" s="132"/>
      <c r="BX268" s="132"/>
      <c r="BY268" s="132"/>
    </row>
    <row r="269" spans="1:77" x14ac:dyDescent="0.25">
      <c r="A269" s="4" t="s">
        <v>570</v>
      </c>
      <c r="B269" s="6" t="s">
        <v>571</v>
      </c>
      <c r="H269" s="4">
        <v>30</v>
      </c>
      <c r="I269" s="7">
        <v>33</v>
      </c>
      <c r="J269" s="7">
        <v>33</v>
      </c>
      <c r="K269" s="7">
        <v>34</v>
      </c>
      <c r="L269" s="247">
        <v>34</v>
      </c>
      <c r="M269" s="247">
        <v>35</v>
      </c>
      <c r="N269" s="28">
        <v>35</v>
      </c>
      <c r="O269" s="247">
        <v>39</v>
      </c>
      <c r="P269" s="17">
        <v>47</v>
      </c>
      <c r="Q269" s="7">
        <v>47</v>
      </c>
      <c r="R269" s="7">
        <v>48</v>
      </c>
      <c r="S269" s="7">
        <v>49</v>
      </c>
      <c r="T269" s="247">
        <v>51</v>
      </c>
      <c r="U269" s="247">
        <v>52</v>
      </c>
      <c r="V269" s="7">
        <v>63</v>
      </c>
      <c r="W269" s="7">
        <v>63</v>
      </c>
      <c r="X269" s="7">
        <v>63</v>
      </c>
      <c r="Y269" s="247">
        <v>67</v>
      </c>
      <c r="Z269" s="7">
        <v>72</v>
      </c>
      <c r="AA269" s="7">
        <v>72</v>
      </c>
      <c r="AB269" s="7">
        <v>72</v>
      </c>
      <c r="AC269" s="7">
        <v>73</v>
      </c>
      <c r="AD269" s="7">
        <v>73</v>
      </c>
      <c r="AE269" s="17"/>
      <c r="AF269" s="7"/>
      <c r="AG269" s="7"/>
      <c r="AH269" s="7"/>
      <c r="AI269" s="17"/>
      <c r="AJ269" s="7"/>
      <c r="AK269" s="7"/>
      <c r="AR269" s="4">
        <v>5</v>
      </c>
      <c r="AS269" s="7">
        <v>5</v>
      </c>
      <c r="AT269" s="7">
        <v>5</v>
      </c>
      <c r="AU269" s="7">
        <v>6</v>
      </c>
      <c r="AV269" s="17">
        <v>6</v>
      </c>
      <c r="AW269" s="17">
        <v>9</v>
      </c>
      <c r="AX269" s="28">
        <v>10</v>
      </c>
      <c r="AY269" s="17">
        <v>10</v>
      </c>
      <c r="AZ269" s="17">
        <v>10</v>
      </c>
      <c r="BA269" s="136">
        <v>10</v>
      </c>
      <c r="BB269" s="136">
        <v>10</v>
      </c>
      <c r="BC269" s="136">
        <v>11</v>
      </c>
      <c r="BD269" s="133">
        <v>13</v>
      </c>
      <c r="BE269" s="133">
        <v>13</v>
      </c>
      <c r="BF269" s="136">
        <v>14</v>
      </c>
      <c r="BG269" s="136">
        <v>16</v>
      </c>
      <c r="BH269" s="136">
        <v>19</v>
      </c>
      <c r="BI269" s="133">
        <v>19</v>
      </c>
      <c r="BJ269" s="136">
        <v>19</v>
      </c>
      <c r="BK269" s="136">
        <v>29</v>
      </c>
      <c r="BL269" s="7">
        <v>29</v>
      </c>
      <c r="BM269" s="7">
        <v>31</v>
      </c>
      <c r="BN269" s="7">
        <v>31</v>
      </c>
      <c r="BO269" s="132"/>
      <c r="BP269" s="132"/>
      <c r="BQ269" s="132"/>
      <c r="BR269" s="132"/>
      <c r="BS269" s="132"/>
      <c r="BT269" s="132"/>
      <c r="BU269" s="132"/>
      <c r="BV269" s="132"/>
      <c r="BW269" s="132"/>
      <c r="BX269" s="132"/>
      <c r="BY269" s="132"/>
    </row>
    <row r="270" spans="1:77" x14ac:dyDescent="0.25">
      <c r="A270" s="4" t="s">
        <v>572</v>
      </c>
      <c r="B270" s="6" t="s">
        <v>573</v>
      </c>
      <c r="H270" s="4">
        <v>28</v>
      </c>
      <c r="I270" s="7">
        <v>29</v>
      </c>
      <c r="J270" s="7">
        <v>31</v>
      </c>
      <c r="K270" s="7">
        <v>35</v>
      </c>
      <c r="L270" s="247">
        <v>35</v>
      </c>
      <c r="M270" s="247">
        <v>34</v>
      </c>
      <c r="N270" s="28">
        <v>38</v>
      </c>
      <c r="O270" s="247">
        <v>38</v>
      </c>
      <c r="P270" s="17">
        <v>40</v>
      </c>
      <c r="Q270" s="7">
        <v>41</v>
      </c>
      <c r="R270" s="7">
        <v>42</v>
      </c>
      <c r="S270" s="7">
        <v>45</v>
      </c>
      <c r="T270" s="247">
        <v>47</v>
      </c>
      <c r="U270" s="247">
        <v>47</v>
      </c>
      <c r="V270" s="7">
        <v>47</v>
      </c>
      <c r="W270" s="7">
        <v>50</v>
      </c>
      <c r="X270" s="7">
        <v>51</v>
      </c>
      <c r="Y270" s="247">
        <v>55</v>
      </c>
      <c r="Z270" s="7">
        <v>58</v>
      </c>
      <c r="AA270" s="7">
        <v>60</v>
      </c>
      <c r="AB270" s="7">
        <v>60</v>
      </c>
      <c r="AC270" s="7">
        <v>60</v>
      </c>
      <c r="AD270" s="7">
        <v>66</v>
      </c>
      <c r="AE270" s="17"/>
      <c r="AF270" s="7"/>
      <c r="AG270" s="7"/>
      <c r="AH270" s="7"/>
      <c r="AI270" s="17"/>
      <c r="AJ270" s="7"/>
      <c r="AK270" s="7"/>
      <c r="AR270" s="4">
        <v>6</v>
      </c>
      <c r="AS270" s="7">
        <v>6</v>
      </c>
      <c r="AT270" s="7">
        <v>6</v>
      </c>
      <c r="AU270" s="7">
        <v>6</v>
      </c>
      <c r="AV270" s="17">
        <v>6</v>
      </c>
      <c r="AW270" s="17">
        <v>6</v>
      </c>
      <c r="AX270" s="28">
        <v>6</v>
      </c>
      <c r="AY270" s="17">
        <v>11</v>
      </c>
      <c r="AZ270" s="17">
        <v>11</v>
      </c>
      <c r="BA270" s="136">
        <v>12</v>
      </c>
      <c r="BB270" s="136">
        <v>12</v>
      </c>
      <c r="BC270" s="136">
        <v>14</v>
      </c>
      <c r="BD270" s="133">
        <v>14</v>
      </c>
      <c r="BE270" s="133">
        <v>15</v>
      </c>
      <c r="BF270" s="136">
        <v>15</v>
      </c>
      <c r="BG270" s="136">
        <v>15</v>
      </c>
      <c r="BH270" s="136">
        <v>19</v>
      </c>
      <c r="BI270" s="133">
        <v>19</v>
      </c>
      <c r="BJ270" s="136">
        <v>19</v>
      </c>
      <c r="BK270" s="136">
        <v>21</v>
      </c>
      <c r="BL270" s="7">
        <v>21</v>
      </c>
      <c r="BM270" s="7">
        <v>21</v>
      </c>
      <c r="BN270" s="7">
        <v>21</v>
      </c>
      <c r="BO270" s="132"/>
      <c r="BP270" s="132"/>
      <c r="BQ270" s="132"/>
      <c r="BR270" s="132"/>
      <c r="BS270" s="132"/>
      <c r="BT270" s="132"/>
      <c r="BU270" s="132"/>
      <c r="BV270" s="132"/>
      <c r="BW270" s="132"/>
      <c r="BX270" s="132"/>
      <c r="BY270" s="132"/>
    </row>
    <row r="271" spans="1:77" x14ac:dyDescent="0.25">
      <c r="A271" s="4" t="s">
        <v>574</v>
      </c>
      <c r="B271" s="6" t="s">
        <v>575</v>
      </c>
      <c r="H271" s="4">
        <v>47</v>
      </c>
      <c r="I271" s="7">
        <v>55</v>
      </c>
      <c r="J271" s="7">
        <v>56</v>
      </c>
      <c r="K271" s="7">
        <v>73</v>
      </c>
      <c r="L271" s="247">
        <v>80</v>
      </c>
      <c r="M271" s="247">
        <v>82</v>
      </c>
      <c r="N271" s="28">
        <v>87</v>
      </c>
      <c r="O271" s="247">
        <v>89</v>
      </c>
      <c r="P271" s="17">
        <v>89</v>
      </c>
      <c r="Q271" s="7">
        <v>96</v>
      </c>
      <c r="R271" s="7">
        <v>99</v>
      </c>
      <c r="S271" s="7">
        <v>99</v>
      </c>
      <c r="T271" s="247">
        <v>105</v>
      </c>
      <c r="U271" s="247">
        <v>108</v>
      </c>
      <c r="V271" s="7">
        <v>108</v>
      </c>
      <c r="W271" s="7">
        <v>116</v>
      </c>
      <c r="X271" s="7">
        <v>117</v>
      </c>
      <c r="Y271" s="247">
        <v>121</v>
      </c>
      <c r="Z271" s="7">
        <v>124</v>
      </c>
      <c r="AA271" s="7">
        <v>125</v>
      </c>
      <c r="AB271" s="7">
        <v>126</v>
      </c>
      <c r="AC271" s="7">
        <v>127</v>
      </c>
      <c r="AD271" s="7">
        <v>128</v>
      </c>
      <c r="AE271" s="17"/>
      <c r="AF271" s="7"/>
      <c r="AG271" s="7"/>
      <c r="AH271" s="7"/>
      <c r="AI271" s="17"/>
      <c r="AJ271" s="7"/>
      <c r="AK271" s="7"/>
      <c r="AR271" s="4">
        <v>6</v>
      </c>
      <c r="AS271" s="7">
        <v>6</v>
      </c>
      <c r="AT271" s="7">
        <v>6</v>
      </c>
      <c r="AU271" s="7">
        <v>6</v>
      </c>
      <c r="AV271" s="17">
        <v>12</v>
      </c>
      <c r="AW271" s="17">
        <v>16</v>
      </c>
      <c r="AX271" s="28">
        <v>18</v>
      </c>
      <c r="AY271" s="17">
        <v>23</v>
      </c>
      <c r="AZ271" s="17">
        <v>23</v>
      </c>
      <c r="BA271" s="136">
        <v>26</v>
      </c>
      <c r="BB271" s="136">
        <v>26</v>
      </c>
      <c r="BC271" s="136">
        <v>26</v>
      </c>
      <c r="BD271" s="133">
        <v>27</v>
      </c>
      <c r="BE271" s="133">
        <v>31</v>
      </c>
      <c r="BF271" s="136">
        <v>32</v>
      </c>
      <c r="BG271" s="136">
        <v>32</v>
      </c>
      <c r="BH271" s="136">
        <v>37</v>
      </c>
      <c r="BI271" s="133">
        <v>40</v>
      </c>
      <c r="BJ271" s="136">
        <v>41</v>
      </c>
      <c r="BK271" s="136">
        <v>41</v>
      </c>
      <c r="BL271" s="7">
        <v>41</v>
      </c>
      <c r="BM271" s="7">
        <v>49</v>
      </c>
      <c r="BN271" s="7">
        <v>51</v>
      </c>
      <c r="BO271" s="132"/>
      <c r="BP271" s="132"/>
      <c r="BQ271" s="132"/>
      <c r="BR271" s="132"/>
      <c r="BS271" s="132"/>
      <c r="BT271" s="132"/>
      <c r="BU271" s="132"/>
      <c r="BV271" s="132"/>
      <c r="BW271" s="132"/>
      <c r="BX271" s="132"/>
      <c r="BY271" s="132"/>
    </row>
    <row r="272" spans="1:77" x14ac:dyDescent="0.25">
      <c r="A272" s="4" t="s">
        <v>576</v>
      </c>
      <c r="B272" s="6" t="s">
        <v>577</v>
      </c>
      <c r="H272" s="4">
        <v>75</v>
      </c>
      <c r="I272" s="7">
        <v>81</v>
      </c>
      <c r="J272" s="7">
        <v>83</v>
      </c>
      <c r="K272" s="7">
        <v>93</v>
      </c>
      <c r="L272" s="247">
        <v>95</v>
      </c>
      <c r="M272" s="247">
        <v>98</v>
      </c>
      <c r="N272" s="28">
        <v>108</v>
      </c>
      <c r="O272" s="247">
        <v>111</v>
      </c>
      <c r="P272" s="17">
        <v>115</v>
      </c>
      <c r="Q272" s="7">
        <v>118</v>
      </c>
      <c r="R272" s="7">
        <v>119</v>
      </c>
      <c r="S272" s="7">
        <v>123</v>
      </c>
      <c r="T272" s="247">
        <v>129</v>
      </c>
      <c r="U272" s="247">
        <v>136</v>
      </c>
      <c r="V272" s="7">
        <v>138</v>
      </c>
      <c r="W272" s="7">
        <v>141</v>
      </c>
      <c r="X272" s="7">
        <v>143</v>
      </c>
      <c r="Y272" s="247">
        <v>148</v>
      </c>
      <c r="Z272" s="7">
        <v>153</v>
      </c>
      <c r="AA272" s="7">
        <v>156</v>
      </c>
      <c r="AB272" s="7">
        <v>158</v>
      </c>
      <c r="AC272" s="7">
        <v>159</v>
      </c>
      <c r="AD272" s="7">
        <v>163</v>
      </c>
      <c r="AE272" s="17"/>
      <c r="AF272" s="7"/>
      <c r="AG272" s="7"/>
      <c r="AH272" s="7"/>
      <c r="AI272" s="17"/>
      <c r="AJ272" s="7"/>
      <c r="AK272" s="7"/>
      <c r="AR272" s="4">
        <v>17</v>
      </c>
      <c r="AS272" s="7">
        <v>22</v>
      </c>
      <c r="AT272" s="7">
        <v>23</v>
      </c>
      <c r="AU272" s="7">
        <v>25</v>
      </c>
      <c r="AV272" s="17">
        <v>26</v>
      </c>
      <c r="AW272" s="17">
        <v>27</v>
      </c>
      <c r="AX272" s="28">
        <v>28</v>
      </c>
      <c r="AY272" s="17">
        <v>31</v>
      </c>
      <c r="AZ272" s="17">
        <v>32</v>
      </c>
      <c r="BA272" s="136">
        <v>32</v>
      </c>
      <c r="BB272" s="136">
        <v>36</v>
      </c>
      <c r="BC272" s="136">
        <v>39</v>
      </c>
      <c r="BD272" s="133">
        <v>45</v>
      </c>
      <c r="BE272" s="133">
        <v>48</v>
      </c>
      <c r="BF272" s="136">
        <v>55</v>
      </c>
      <c r="BG272" s="136">
        <v>57</v>
      </c>
      <c r="BH272" s="136">
        <v>60</v>
      </c>
      <c r="BI272" s="133">
        <v>67</v>
      </c>
      <c r="BJ272" s="136">
        <v>67</v>
      </c>
      <c r="BK272" s="136">
        <v>67</v>
      </c>
      <c r="BL272" s="7">
        <v>68</v>
      </c>
      <c r="BM272" s="7">
        <v>67</v>
      </c>
      <c r="BN272" s="7">
        <v>72</v>
      </c>
      <c r="BO272" s="132"/>
      <c r="BP272" s="132"/>
      <c r="BQ272" s="132"/>
      <c r="BR272" s="132"/>
      <c r="BS272" s="132"/>
      <c r="BT272" s="132"/>
      <c r="BU272" s="132"/>
      <c r="BV272" s="132"/>
      <c r="BW272" s="132"/>
      <c r="BX272" s="132"/>
      <c r="BY272" s="132"/>
    </row>
    <row r="273" spans="1:77" x14ac:dyDescent="0.25">
      <c r="A273" s="4" t="s">
        <v>578</v>
      </c>
      <c r="B273" s="6" t="s">
        <v>579</v>
      </c>
      <c r="H273" s="4">
        <v>86</v>
      </c>
      <c r="I273" s="7">
        <v>96</v>
      </c>
      <c r="J273" s="7">
        <v>100</v>
      </c>
      <c r="K273" s="7">
        <v>112</v>
      </c>
      <c r="L273" s="247">
        <v>119</v>
      </c>
      <c r="M273" s="247">
        <v>129</v>
      </c>
      <c r="N273" s="28">
        <v>135</v>
      </c>
      <c r="O273" s="247">
        <v>140</v>
      </c>
      <c r="P273" s="17">
        <v>150</v>
      </c>
      <c r="Q273" s="7">
        <v>151</v>
      </c>
      <c r="R273" s="7">
        <v>152</v>
      </c>
      <c r="S273" s="7">
        <v>156</v>
      </c>
      <c r="T273" s="247">
        <v>162</v>
      </c>
      <c r="U273" s="247">
        <v>167</v>
      </c>
      <c r="V273" s="7">
        <v>173</v>
      </c>
      <c r="W273" s="7">
        <v>174</v>
      </c>
      <c r="X273" s="7">
        <v>176</v>
      </c>
      <c r="Y273" s="247">
        <v>180</v>
      </c>
      <c r="Z273" s="7">
        <v>188</v>
      </c>
      <c r="AA273" s="7">
        <v>190</v>
      </c>
      <c r="AB273" s="7">
        <v>193</v>
      </c>
      <c r="AC273" s="7">
        <v>194</v>
      </c>
      <c r="AD273" s="7">
        <v>197</v>
      </c>
      <c r="AE273" s="17"/>
      <c r="AF273" s="7"/>
      <c r="AG273" s="7"/>
      <c r="AH273" s="7"/>
      <c r="AI273" s="17"/>
      <c r="AJ273" s="7"/>
      <c r="AK273" s="7"/>
      <c r="AR273" s="4">
        <v>12</v>
      </c>
      <c r="AS273" s="7">
        <v>19</v>
      </c>
      <c r="AT273" s="7">
        <v>21</v>
      </c>
      <c r="AU273" s="7">
        <v>21</v>
      </c>
      <c r="AV273" s="17">
        <v>25</v>
      </c>
      <c r="AW273" s="17">
        <v>25</v>
      </c>
      <c r="AX273" s="28">
        <v>27</v>
      </c>
      <c r="AY273" s="17">
        <v>30</v>
      </c>
      <c r="AZ273" s="17">
        <v>30</v>
      </c>
      <c r="BA273" s="136">
        <v>33</v>
      </c>
      <c r="BB273" s="136">
        <v>34</v>
      </c>
      <c r="BC273" s="136">
        <v>39</v>
      </c>
      <c r="BD273" s="133">
        <v>46</v>
      </c>
      <c r="BE273" s="133">
        <v>51</v>
      </c>
      <c r="BF273" s="136">
        <v>51</v>
      </c>
      <c r="BG273" s="136">
        <v>51</v>
      </c>
      <c r="BH273" s="136">
        <v>51</v>
      </c>
      <c r="BI273" s="133">
        <v>53</v>
      </c>
      <c r="BJ273" s="136">
        <v>57</v>
      </c>
      <c r="BK273" s="136">
        <v>64</v>
      </c>
      <c r="BL273" s="7">
        <v>67</v>
      </c>
      <c r="BM273" s="7">
        <v>73</v>
      </c>
      <c r="BN273" s="7">
        <v>76</v>
      </c>
      <c r="BO273" s="132"/>
      <c r="BP273" s="132"/>
      <c r="BQ273" s="132"/>
      <c r="BR273" s="132"/>
      <c r="BS273" s="132"/>
      <c r="BT273" s="132"/>
      <c r="BU273" s="132"/>
      <c r="BV273" s="132"/>
      <c r="BW273" s="132"/>
      <c r="BX273" s="132"/>
      <c r="BY273" s="132"/>
    </row>
    <row r="274" spans="1:77" x14ac:dyDescent="0.25">
      <c r="A274" s="4" t="s">
        <v>580</v>
      </c>
      <c r="B274" s="6" t="s">
        <v>581</v>
      </c>
      <c r="H274" s="4">
        <v>97</v>
      </c>
      <c r="I274" s="7">
        <v>105</v>
      </c>
      <c r="J274" s="7">
        <v>109</v>
      </c>
      <c r="K274" s="7">
        <v>120</v>
      </c>
      <c r="L274" s="247">
        <v>126</v>
      </c>
      <c r="M274" s="247">
        <v>126</v>
      </c>
      <c r="N274" s="28">
        <v>138</v>
      </c>
      <c r="O274" s="247">
        <v>144</v>
      </c>
      <c r="P274" s="17">
        <v>154</v>
      </c>
      <c r="Q274" s="7">
        <v>165</v>
      </c>
      <c r="R274" s="7">
        <v>165</v>
      </c>
      <c r="S274" s="7">
        <v>165</v>
      </c>
      <c r="T274" s="247">
        <v>167</v>
      </c>
      <c r="U274" s="247">
        <v>175</v>
      </c>
      <c r="V274" s="7">
        <v>184</v>
      </c>
      <c r="W274" s="7">
        <v>187</v>
      </c>
      <c r="X274" s="7">
        <v>188</v>
      </c>
      <c r="Y274" s="247">
        <v>194</v>
      </c>
      <c r="Z274" s="7">
        <v>200</v>
      </c>
      <c r="AA274" s="7">
        <v>201</v>
      </c>
      <c r="AB274" s="7">
        <v>205</v>
      </c>
      <c r="AC274" s="7">
        <v>209</v>
      </c>
      <c r="AD274" s="7">
        <v>212</v>
      </c>
      <c r="AE274" s="17"/>
      <c r="AF274" s="7"/>
      <c r="AG274" s="7"/>
      <c r="AH274" s="7"/>
      <c r="AI274" s="17"/>
      <c r="AJ274" s="7"/>
      <c r="AK274" s="7"/>
      <c r="AR274" s="4">
        <v>13</v>
      </c>
      <c r="AS274" s="7">
        <v>24</v>
      </c>
      <c r="AT274" s="7">
        <v>28</v>
      </c>
      <c r="AU274" s="7">
        <v>28</v>
      </c>
      <c r="AV274" s="17">
        <v>28</v>
      </c>
      <c r="AW274" s="17">
        <v>28</v>
      </c>
      <c r="AX274" s="28">
        <v>30</v>
      </c>
      <c r="AY274" s="17">
        <v>33</v>
      </c>
      <c r="AZ274" s="17">
        <v>35</v>
      </c>
      <c r="BA274" s="136">
        <v>35</v>
      </c>
      <c r="BB274" s="136">
        <v>35</v>
      </c>
      <c r="BC274" s="136">
        <v>35</v>
      </c>
      <c r="BD274" s="133">
        <v>42</v>
      </c>
      <c r="BE274" s="133">
        <v>42</v>
      </c>
      <c r="BF274" s="136">
        <v>42</v>
      </c>
      <c r="BG274" s="136">
        <v>42</v>
      </c>
      <c r="BH274" s="136">
        <v>42</v>
      </c>
      <c r="BI274" s="133">
        <v>42</v>
      </c>
      <c r="BJ274" s="136">
        <v>45</v>
      </c>
      <c r="BK274" s="136">
        <v>45</v>
      </c>
      <c r="BL274" s="7">
        <v>46</v>
      </c>
      <c r="BM274" s="7">
        <v>47</v>
      </c>
      <c r="BN274" s="7">
        <v>48</v>
      </c>
      <c r="BO274" s="132"/>
      <c r="BP274" s="132"/>
      <c r="BQ274" s="132"/>
      <c r="BR274" s="132"/>
      <c r="BS274" s="132"/>
      <c r="BT274" s="132"/>
      <c r="BU274" s="132"/>
      <c r="BV274" s="132"/>
      <c r="BW274" s="132"/>
      <c r="BX274" s="132"/>
      <c r="BY274" s="132"/>
    </row>
    <row r="275" spans="1:77" x14ac:dyDescent="0.25">
      <c r="A275" s="4"/>
      <c r="B275" s="6"/>
      <c r="F275" s="48" t="s">
        <v>585</v>
      </c>
      <c r="H275" s="34"/>
      <c r="I275" s="34"/>
      <c r="J275" s="34"/>
      <c r="K275" s="34"/>
      <c r="L275" s="34"/>
      <c r="M275" s="34"/>
      <c r="N275" s="34"/>
      <c r="O275" s="34"/>
      <c r="P275" s="36"/>
      <c r="Q275" s="34"/>
      <c r="R275" s="34"/>
      <c r="S275" s="34"/>
      <c r="T275" s="34"/>
      <c r="U275" s="34"/>
      <c r="V275" s="34"/>
      <c r="W275" s="34"/>
      <c r="X275" s="34"/>
      <c r="Y275" s="34"/>
      <c r="Z275" s="34"/>
      <c r="AA275" s="34"/>
      <c r="AB275" s="34"/>
      <c r="AC275" s="34"/>
      <c r="AD275" s="34"/>
      <c r="AE275" s="98"/>
      <c r="AF275" s="98"/>
      <c r="AG275" s="98"/>
      <c r="AH275" s="98"/>
      <c r="AI275" s="98"/>
      <c r="AJ275" s="98"/>
      <c r="AK275" s="98"/>
      <c r="AL275" s="98"/>
      <c r="AM275" s="98"/>
      <c r="AN275" s="98"/>
      <c r="AO275" s="98"/>
      <c r="AP275" s="98"/>
      <c r="AQ275" s="98"/>
      <c r="AR275" s="98">
        <f t="shared" ref="AR275:BT275" si="38">SUM(AR264:AR274)</f>
        <v>120</v>
      </c>
      <c r="AS275" s="98">
        <f t="shared" si="38"/>
        <v>166</v>
      </c>
      <c r="AT275" s="98">
        <f t="shared" si="38"/>
        <v>194</v>
      </c>
      <c r="AU275" s="98">
        <f t="shared" si="38"/>
        <v>211</v>
      </c>
      <c r="AV275" s="98">
        <f t="shared" si="38"/>
        <v>231</v>
      </c>
      <c r="AW275" s="98">
        <f t="shared" si="38"/>
        <v>250</v>
      </c>
      <c r="AX275" s="98">
        <f t="shared" si="38"/>
        <v>262</v>
      </c>
      <c r="AY275" s="98">
        <f t="shared" si="38"/>
        <v>294</v>
      </c>
      <c r="AZ275" s="98">
        <f t="shared" si="38"/>
        <v>305</v>
      </c>
      <c r="BA275" s="98">
        <f t="shared" si="38"/>
        <v>335</v>
      </c>
      <c r="BB275" s="98">
        <f t="shared" si="38"/>
        <v>347</v>
      </c>
      <c r="BC275" s="98">
        <f t="shared" si="38"/>
        <v>377</v>
      </c>
      <c r="BD275" s="98">
        <f t="shared" si="38"/>
        <v>441</v>
      </c>
      <c r="BE275" s="98">
        <f t="shared" si="38"/>
        <v>463</v>
      </c>
      <c r="BF275" s="98">
        <f t="shared" si="38"/>
        <v>480</v>
      </c>
      <c r="BG275" s="98">
        <f t="shared" si="38"/>
        <v>491</v>
      </c>
      <c r="BH275" s="98">
        <f t="shared" si="38"/>
        <v>526</v>
      </c>
      <c r="BI275" s="98">
        <f t="shared" si="38"/>
        <v>551</v>
      </c>
      <c r="BJ275" s="98">
        <f t="shared" si="38"/>
        <v>562</v>
      </c>
      <c r="BK275" s="98">
        <f t="shared" si="38"/>
        <v>585</v>
      </c>
      <c r="BL275" s="98">
        <f t="shared" si="38"/>
        <v>604</v>
      </c>
      <c r="BM275" s="98">
        <f t="shared" si="38"/>
        <v>622</v>
      </c>
      <c r="BN275" s="98">
        <f t="shared" si="38"/>
        <v>643</v>
      </c>
      <c r="BO275" s="98">
        <f t="shared" si="38"/>
        <v>0</v>
      </c>
      <c r="BP275" s="98">
        <f t="shared" si="38"/>
        <v>0</v>
      </c>
      <c r="BQ275" s="98">
        <f t="shared" si="38"/>
        <v>0</v>
      </c>
      <c r="BR275" s="98">
        <f t="shared" si="38"/>
        <v>0</v>
      </c>
      <c r="BS275" s="98">
        <f t="shared" si="38"/>
        <v>0</v>
      </c>
      <c r="BT275" s="98">
        <f t="shared" si="38"/>
        <v>0</v>
      </c>
      <c r="BU275" s="98">
        <f t="shared" ref="BU275:BY275" si="39">SUM(BU264:BU274)</f>
        <v>0</v>
      </c>
      <c r="BV275" s="98">
        <f t="shared" si="39"/>
        <v>0</v>
      </c>
      <c r="BW275" s="98">
        <f t="shared" si="39"/>
        <v>0</v>
      </c>
      <c r="BX275" s="98">
        <f t="shared" si="39"/>
        <v>0</v>
      </c>
      <c r="BY275" s="98">
        <f t="shared" si="39"/>
        <v>0</v>
      </c>
    </row>
    <row r="276" spans="1:77" x14ac:dyDescent="0.25">
      <c r="A276" s="8" t="s">
        <v>5</v>
      </c>
      <c r="B276" s="6"/>
      <c r="H276" s="33">
        <f>SUM(H264:H274)</f>
        <v>747</v>
      </c>
      <c r="I276" s="18">
        <v>821</v>
      </c>
      <c r="J276" s="18">
        <v>854</v>
      </c>
      <c r="K276" s="18">
        <v>947</v>
      </c>
      <c r="L276" s="18">
        <v>993</v>
      </c>
      <c r="M276" s="18">
        <v>1039</v>
      </c>
      <c r="N276" s="18">
        <v>1118</v>
      </c>
      <c r="O276" s="18">
        <v>1163</v>
      </c>
      <c r="P276" s="35">
        <v>1246</v>
      </c>
      <c r="Q276" s="18">
        <f>SUM(Q264:Q274)</f>
        <v>1300</v>
      </c>
      <c r="R276" s="18">
        <v>1314</v>
      </c>
      <c r="S276" s="18">
        <v>1341</v>
      </c>
      <c r="T276" s="18">
        <v>1385</v>
      </c>
      <c r="U276" s="18">
        <v>1425</v>
      </c>
      <c r="V276" s="18">
        <v>1478</v>
      </c>
      <c r="W276" s="18">
        <v>1517</v>
      </c>
      <c r="X276" s="18">
        <v>1531</v>
      </c>
      <c r="Y276" s="18">
        <v>1579</v>
      </c>
      <c r="Z276" s="18">
        <v>1630</v>
      </c>
      <c r="AA276" s="18">
        <v>1655</v>
      </c>
      <c r="AB276" s="18">
        <v>1681</v>
      </c>
      <c r="AC276" s="18">
        <v>1692</v>
      </c>
      <c r="AD276" s="18">
        <v>1722</v>
      </c>
      <c r="AE276" s="18"/>
      <c r="AF276" s="18"/>
      <c r="AG276" s="18"/>
      <c r="AH276" s="18"/>
      <c r="AI276" s="18"/>
      <c r="AJ276" s="18"/>
      <c r="AK276" s="18"/>
      <c r="AR276" s="33">
        <f>SUM(AR264:AR274)</f>
        <v>120</v>
      </c>
      <c r="AS276" s="18">
        <v>166</v>
      </c>
      <c r="AT276" s="18">
        <v>194</v>
      </c>
      <c r="AU276" s="18">
        <v>211</v>
      </c>
      <c r="AV276" s="18">
        <v>231</v>
      </c>
      <c r="AW276" s="18">
        <v>250</v>
      </c>
      <c r="AX276" s="18">
        <v>262</v>
      </c>
      <c r="AY276" s="18">
        <v>294</v>
      </c>
      <c r="AZ276" s="35">
        <v>305</v>
      </c>
      <c r="BA276" s="135">
        <f>SUM(BA264:BA274)</f>
        <v>335</v>
      </c>
      <c r="BB276" s="135">
        <v>347</v>
      </c>
      <c r="BC276" s="135">
        <v>377</v>
      </c>
      <c r="BD276" s="135">
        <v>441</v>
      </c>
      <c r="BE276" s="135">
        <v>463</v>
      </c>
      <c r="BF276" s="135">
        <v>480</v>
      </c>
      <c r="BG276" s="135">
        <v>491</v>
      </c>
      <c r="BH276" s="135">
        <v>526</v>
      </c>
      <c r="BI276" s="135">
        <v>551</v>
      </c>
      <c r="BJ276" s="135">
        <v>562</v>
      </c>
      <c r="BK276" s="135">
        <v>585</v>
      </c>
      <c r="BL276" s="18">
        <v>604</v>
      </c>
      <c r="BM276" s="18">
        <v>622</v>
      </c>
      <c r="BN276" s="18">
        <v>643</v>
      </c>
      <c r="BO276" s="132"/>
      <c r="BP276" s="132"/>
      <c r="BQ276" s="132"/>
      <c r="BR276" s="132"/>
      <c r="BS276" s="132"/>
      <c r="BT276" s="132"/>
      <c r="BU276" s="132"/>
      <c r="BV276" s="132"/>
      <c r="BW276" s="132"/>
      <c r="BX276" s="132"/>
      <c r="BY276" s="132"/>
    </row>
    <row r="277" spans="1:77" ht="15.75" thickBot="1" x14ac:dyDescent="0.3">
      <c r="A277" s="12"/>
      <c r="B277" s="43"/>
      <c r="F277" s="49" t="s">
        <v>584</v>
      </c>
      <c r="H277" s="12"/>
      <c r="I277" s="12"/>
      <c r="J277" s="12"/>
      <c r="K277" s="12"/>
      <c r="L277" s="12"/>
      <c r="M277" s="12"/>
      <c r="N277" s="12"/>
      <c r="O277" s="12"/>
      <c r="P277" s="37"/>
      <c r="Q277" s="12"/>
      <c r="R277" s="12"/>
      <c r="S277" s="12"/>
      <c r="T277" s="12"/>
      <c r="U277" s="12"/>
      <c r="V277" s="12"/>
      <c r="W277" s="12"/>
      <c r="X277" s="12"/>
      <c r="Y277" s="12"/>
      <c r="Z277" s="12"/>
      <c r="AA277" s="12"/>
      <c r="AB277" s="12"/>
      <c r="AC277" s="12"/>
      <c r="AD277" s="12"/>
      <c r="AE277" s="110"/>
      <c r="AF277" s="110"/>
      <c r="AG277" s="110"/>
      <c r="AH277" s="110"/>
      <c r="AI277" s="110"/>
      <c r="AJ277" s="110"/>
      <c r="AK277" s="110"/>
      <c r="AL277" s="110"/>
      <c r="AM277" s="110"/>
      <c r="AN277" s="110"/>
      <c r="AO277" s="110"/>
      <c r="AP277" s="110"/>
      <c r="AQ277" s="110"/>
      <c r="AR277" s="110">
        <f t="shared" ref="AR277:BT277" si="40">AR275-AR276</f>
        <v>0</v>
      </c>
      <c r="AS277" s="110">
        <f t="shared" si="40"/>
        <v>0</v>
      </c>
      <c r="AT277" s="110">
        <f t="shared" si="40"/>
        <v>0</v>
      </c>
      <c r="AU277" s="110">
        <f t="shared" si="40"/>
        <v>0</v>
      </c>
      <c r="AV277" s="110">
        <f t="shared" si="40"/>
        <v>0</v>
      </c>
      <c r="AW277" s="110">
        <f t="shared" si="40"/>
        <v>0</v>
      </c>
      <c r="AX277" s="110">
        <f t="shared" si="40"/>
        <v>0</v>
      </c>
      <c r="AY277" s="110">
        <f t="shared" si="40"/>
        <v>0</v>
      </c>
      <c r="AZ277" s="110">
        <f t="shared" si="40"/>
        <v>0</v>
      </c>
      <c r="BA277" s="110">
        <f t="shared" si="40"/>
        <v>0</v>
      </c>
      <c r="BB277" s="110">
        <f t="shared" si="40"/>
        <v>0</v>
      </c>
      <c r="BC277" s="110">
        <f t="shared" si="40"/>
        <v>0</v>
      </c>
      <c r="BD277" s="110">
        <f t="shared" si="40"/>
        <v>0</v>
      </c>
      <c r="BE277" s="110">
        <f t="shared" si="40"/>
        <v>0</v>
      </c>
      <c r="BF277" s="110">
        <f t="shared" si="40"/>
        <v>0</v>
      </c>
      <c r="BG277" s="110">
        <f t="shared" si="40"/>
        <v>0</v>
      </c>
      <c r="BH277" s="110">
        <f t="shared" si="40"/>
        <v>0</v>
      </c>
      <c r="BI277" s="110">
        <f t="shared" si="40"/>
        <v>0</v>
      </c>
      <c r="BJ277" s="110">
        <f t="shared" si="40"/>
        <v>0</v>
      </c>
      <c r="BK277" s="110">
        <f t="shared" si="40"/>
        <v>0</v>
      </c>
      <c r="BL277" s="110">
        <f t="shared" si="40"/>
        <v>0</v>
      </c>
      <c r="BM277" s="110">
        <f t="shared" si="40"/>
        <v>0</v>
      </c>
      <c r="BN277" s="110">
        <f t="shared" si="40"/>
        <v>0</v>
      </c>
      <c r="BO277" s="110">
        <f t="shared" si="40"/>
        <v>0</v>
      </c>
      <c r="BP277" s="110">
        <f t="shared" si="40"/>
        <v>0</v>
      </c>
      <c r="BQ277" s="110">
        <f t="shared" si="40"/>
        <v>0</v>
      </c>
      <c r="BR277" s="110">
        <f t="shared" si="40"/>
        <v>0</v>
      </c>
      <c r="BS277" s="110">
        <f t="shared" si="40"/>
        <v>0</v>
      </c>
      <c r="BT277" s="110">
        <f t="shared" si="40"/>
        <v>0</v>
      </c>
      <c r="BU277" s="110">
        <f t="shared" ref="BU277:BY277" si="41">BU275-BU276</f>
        <v>0</v>
      </c>
      <c r="BV277" s="110">
        <f t="shared" si="41"/>
        <v>0</v>
      </c>
      <c r="BW277" s="110">
        <f t="shared" si="41"/>
        <v>0</v>
      </c>
      <c r="BX277" s="110">
        <f t="shared" si="41"/>
        <v>0</v>
      </c>
      <c r="BY277" s="110">
        <f t="shared" si="41"/>
        <v>0</v>
      </c>
    </row>
    <row r="278" spans="1:77" x14ac:dyDescent="0.25">
      <c r="H278" s="55"/>
      <c r="I278" s="55"/>
      <c r="J278" s="55"/>
      <c r="K278" s="55"/>
      <c r="L278" s="55"/>
      <c r="M278" s="55"/>
      <c r="N278" s="55"/>
      <c r="O278" s="55"/>
      <c r="P278" s="55"/>
      <c r="Q278" s="55"/>
      <c r="R278" s="55"/>
      <c r="S278" s="55"/>
      <c r="T278" s="55"/>
      <c r="U278" s="55"/>
      <c r="V278" s="55"/>
      <c r="W278" s="55"/>
      <c r="X278" s="55"/>
      <c r="Y278" s="55"/>
      <c r="Z278" s="55"/>
      <c r="AA278" s="55"/>
      <c r="AB278" s="55"/>
      <c r="AC278" s="55"/>
      <c r="AD278" s="55"/>
      <c r="AR278" s="132"/>
      <c r="AS278" s="132"/>
      <c r="AT278" s="132"/>
      <c r="AU278" s="132"/>
      <c r="AV278" s="132"/>
      <c r="AW278" s="132"/>
      <c r="AX278" s="132"/>
      <c r="AY278" s="132"/>
      <c r="AZ278" s="132"/>
      <c r="BA278" s="132"/>
      <c r="BB278" s="132"/>
      <c r="BC278" s="132"/>
      <c r="BD278" s="132"/>
      <c r="BE278" s="132"/>
      <c r="BF278" s="132"/>
      <c r="BG278" s="132"/>
      <c r="BH278" s="132"/>
      <c r="BI278" s="132"/>
      <c r="BJ278" s="132"/>
      <c r="BK278" s="132"/>
      <c r="BL278" s="132"/>
      <c r="BM278" s="132"/>
      <c r="BN278" s="132"/>
      <c r="BO278" s="132"/>
      <c r="BP278" s="132"/>
      <c r="BQ278" s="132"/>
      <c r="BR278" s="132"/>
      <c r="BS278" s="132"/>
      <c r="BT278" s="132"/>
      <c r="BU278" s="132"/>
      <c r="BV278" s="132"/>
      <c r="BW278" s="132"/>
      <c r="BX278" s="132"/>
      <c r="BY278" s="132"/>
    </row>
    <row r="279" spans="1:77" x14ac:dyDescent="0.25">
      <c r="A279" t="s">
        <v>583</v>
      </c>
      <c r="H279" s="56">
        <f>H276+H254+H213+H162</f>
        <v>61693</v>
      </c>
      <c r="I279" s="56">
        <f t="shared" ref="I279:AD279" si="42">I276+I254+I213+I162</f>
        <v>67192</v>
      </c>
      <c r="J279" s="56">
        <f t="shared" si="42"/>
        <v>72278</v>
      </c>
      <c r="K279" s="56">
        <f t="shared" si="42"/>
        <v>78493</v>
      </c>
      <c r="L279" s="56">
        <f t="shared" si="42"/>
        <v>81141</v>
      </c>
      <c r="M279" s="56">
        <f t="shared" si="42"/>
        <v>83764</v>
      </c>
      <c r="N279" s="56">
        <f t="shared" si="42"/>
        <v>92479</v>
      </c>
      <c r="O279" s="56">
        <f t="shared" si="42"/>
        <v>96636</v>
      </c>
      <c r="P279" s="56">
        <f t="shared" si="42"/>
        <v>103299</v>
      </c>
      <c r="Q279" s="56">
        <f t="shared" si="42"/>
        <v>108388</v>
      </c>
      <c r="R279" s="56">
        <f t="shared" si="42"/>
        <v>113223</v>
      </c>
      <c r="S279" s="56">
        <f t="shared" si="42"/>
        <v>117490</v>
      </c>
      <c r="T279" s="56">
        <f t="shared" si="42"/>
        <v>122056</v>
      </c>
      <c r="U279" s="56">
        <f t="shared" si="42"/>
        <v>124708</v>
      </c>
      <c r="V279" s="56">
        <f t="shared" si="42"/>
        <v>126640</v>
      </c>
      <c r="W279" s="56">
        <f t="shared" si="42"/>
        <v>128009</v>
      </c>
      <c r="X279" s="56">
        <f t="shared" si="42"/>
        <v>129116</v>
      </c>
      <c r="Y279" s="56">
        <f t="shared" si="42"/>
        <v>130816</v>
      </c>
      <c r="Z279" s="56">
        <f t="shared" si="42"/>
        <v>132715</v>
      </c>
      <c r="AA279" s="56">
        <f t="shared" si="42"/>
        <v>133558</v>
      </c>
      <c r="AB279" s="56">
        <f t="shared" si="42"/>
        <v>134309</v>
      </c>
      <c r="AC279" s="56">
        <f t="shared" si="42"/>
        <v>134555</v>
      </c>
      <c r="AD279" s="56">
        <f t="shared" si="42"/>
        <v>136061</v>
      </c>
      <c r="AE279" s="56"/>
      <c r="AF279" s="56"/>
      <c r="AG279" s="56"/>
      <c r="AH279" s="56"/>
      <c r="AI279" s="56"/>
      <c r="AJ279" s="56"/>
      <c r="AK279" s="56"/>
      <c r="AL279" s="56"/>
      <c r="AM279" s="56"/>
      <c r="AN279" s="56"/>
      <c r="AO279" s="56"/>
      <c r="AQ279" s="45"/>
      <c r="AR279" s="149">
        <f t="shared" ref="AR279:BY279" si="43">AR276+AR254+AR213+AR162</f>
        <v>27923</v>
      </c>
      <c r="AS279" s="149">
        <f t="shared" si="43"/>
        <v>32957</v>
      </c>
      <c r="AT279" s="149">
        <f t="shared" si="43"/>
        <v>37443</v>
      </c>
      <c r="AU279" s="149">
        <f t="shared" si="43"/>
        <v>42934</v>
      </c>
      <c r="AV279" s="149">
        <f t="shared" si="43"/>
        <v>46786</v>
      </c>
      <c r="AW279" s="149">
        <f t="shared" si="43"/>
        <v>50462</v>
      </c>
      <c r="AX279" s="149">
        <f t="shared" si="43"/>
        <v>56078</v>
      </c>
      <c r="AY279" s="149">
        <f t="shared" si="43"/>
        <v>59121</v>
      </c>
      <c r="AZ279" s="149">
        <f t="shared" si="43"/>
        <v>63105</v>
      </c>
      <c r="BA279" s="149">
        <f t="shared" si="43"/>
        <v>66542</v>
      </c>
      <c r="BB279" s="149">
        <f t="shared" si="43"/>
        <v>69100</v>
      </c>
      <c r="BC279" s="149">
        <f t="shared" si="43"/>
        <v>73346</v>
      </c>
      <c r="BD279" s="149">
        <f t="shared" si="43"/>
        <v>77142</v>
      </c>
      <c r="BE279" s="149">
        <f t="shared" si="43"/>
        <v>80337</v>
      </c>
      <c r="BF279" s="149">
        <f t="shared" si="43"/>
        <v>83041</v>
      </c>
      <c r="BG279" s="149">
        <f t="shared" si="43"/>
        <v>85019</v>
      </c>
      <c r="BH279" s="149">
        <f t="shared" si="43"/>
        <v>87297</v>
      </c>
      <c r="BI279" s="149">
        <f t="shared" si="43"/>
        <v>89447</v>
      </c>
      <c r="BJ279" s="149">
        <f t="shared" si="43"/>
        <v>91898</v>
      </c>
      <c r="BK279" s="149">
        <f t="shared" si="43"/>
        <v>94214</v>
      </c>
      <c r="BL279" s="149">
        <f t="shared" si="43"/>
        <v>97374</v>
      </c>
      <c r="BM279" s="149">
        <f t="shared" si="43"/>
        <v>98494</v>
      </c>
      <c r="BN279" s="149">
        <f t="shared" si="43"/>
        <v>100176</v>
      </c>
      <c r="BO279" s="149">
        <f t="shared" si="43"/>
        <v>0</v>
      </c>
      <c r="BP279" s="149">
        <f t="shared" si="43"/>
        <v>0</v>
      </c>
      <c r="BQ279" s="149">
        <f t="shared" si="43"/>
        <v>0</v>
      </c>
      <c r="BR279" s="149">
        <f t="shared" si="43"/>
        <v>0</v>
      </c>
      <c r="BS279" s="149">
        <f t="shared" si="43"/>
        <v>0</v>
      </c>
      <c r="BT279" s="149">
        <f t="shared" si="43"/>
        <v>0</v>
      </c>
      <c r="BU279" s="149">
        <f t="shared" si="43"/>
        <v>0</v>
      </c>
      <c r="BV279" s="149">
        <f t="shared" si="43"/>
        <v>0</v>
      </c>
      <c r="BW279" s="149">
        <f t="shared" si="43"/>
        <v>0</v>
      </c>
      <c r="BX279" s="149">
        <f t="shared" si="43"/>
        <v>0</v>
      </c>
      <c r="BY279" s="149">
        <f t="shared" si="43"/>
        <v>0</v>
      </c>
    </row>
  </sheetData>
  <mergeCells count="2">
    <mergeCell ref="H6:L6"/>
    <mergeCell ref="AR6:AV6"/>
  </mergeCell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828F7-C557-4E14-8BD4-0D185DE3D237}">
  <sheetPr codeName="Sheet4"/>
  <dimension ref="A1:AX184"/>
  <sheetViews>
    <sheetView topLeftCell="K1" zoomScaleNormal="100" workbookViewId="0">
      <selection activeCell="AO10" sqref="AO10:AO184"/>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2:50" x14ac:dyDescent="0.25">
      <c r="B1" t="s">
        <v>329</v>
      </c>
    </row>
    <row r="3" spans="2:50" ht="78.75" customHeight="1" x14ac:dyDescent="0.25">
      <c r="B3" s="320" t="s">
        <v>330</v>
      </c>
      <c r="C3" s="320"/>
      <c r="D3" s="320"/>
      <c r="E3" s="320"/>
      <c r="F3" s="320"/>
      <c r="G3" s="320"/>
      <c r="H3" s="320"/>
      <c r="I3" s="320"/>
      <c r="J3" s="320"/>
      <c r="K3" s="320"/>
      <c r="L3" s="320"/>
      <c r="M3" s="320"/>
      <c r="N3" s="320"/>
      <c r="O3" s="320"/>
      <c r="P3" s="320"/>
    </row>
    <row r="5" spans="2:50" x14ac:dyDescent="0.25">
      <c r="V5" t="s">
        <v>331</v>
      </c>
      <c r="W5" t="s">
        <v>333</v>
      </c>
      <c r="AE5" s="316" t="s">
        <v>332</v>
      </c>
      <c r="AF5" s="316"/>
      <c r="AG5" s="316"/>
      <c r="AH5" s="316"/>
      <c r="AI5" s="316"/>
    </row>
    <row r="6" spans="2:50" x14ac:dyDescent="0.25">
      <c r="B6" t="s">
        <v>319</v>
      </c>
    </row>
    <row r="7" spans="2:50" x14ac:dyDescent="0.25">
      <c r="N7" t="s">
        <v>320</v>
      </c>
    </row>
    <row r="8" spans="2:50" x14ac:dyDescent="0.25">
      <c r="B8" t="s">
        <v>315</v>
      </c>
      <c r="AM8" t="s">
        <v>328</v>
      </c>
    </row>
    <row r="10" spans="2:50" x14ac:dyDescent="0.25">
      <c r="B10" t="s">
        <v>316</v>
      </c>
      <c r="N10" t="s">
        <v>321</v>
      </c>
      <c r="V10">
        <v>1</v>
      </c>
      <c r="Z10" t="s">
        <v>322</v>
      </c>
      <c r="AM10" t="str">
        <f>+_xlfn.CONCAT(N10&amp;V10&amp;Z10)</f>
        <v xml:space="preserve"> Workbooks.Open "A:\Homes for Ukraine data\Ukraine_sponsorship_data_1.ods"</v>
      </c>
      <c r="AO10" t="s">
        <v>334</v>
      </c>
    </row>
    <row r="11" spans="2:50" x14ac:dyDescent="0.25">
      <c r="B11" t="s">
        <v>317</v>
      </c>
      <c r="N11" t="s">
        <v>323</v>
      </c>
      <c r="V11">
        <v>1</v>
      </c>
      <c r="Z11" t="s">
        <v>326</v>
      </c>
      <c r="AE11" t="s">
        <v>312</v>
      </c>
      <c r="AF11">
        <v>1</v>
      </c>
      <c r="AG11" t="s">
        <v>327</v>
      </c>
      <c r="AH11" t="s">
        <v>313</v>
      </c>
      <c r="AI11">
        <v>3</v>
      </c>
      <c r="AK11" t="s">
        <v>325</v>
      </c>
      <c r="AM11" t="str">
        <f>_xlfn.CONCAT(N11&amp;V11&amp;Z11&amp;AE11&amp;AF11&amp;AG11&amp;AH11&amp;AI11&amp;AK11)</f>
        <v xml:space="preserve"> Workbooks("Ukraine_sponsorship_data_1.ods").Worksheets("UTLA_-_England").Range("A1:B3").Copy _</v>
      </c>
      <c r="AO11" t="s">
        <v>337</v>
      </c>
    </row>
    <row r="12" spans="2:50" x14ac:dyDescent="0.25">
      <c r="B12" t="s">
        <v>808</v>
      </c>
      <c r="N12" t="s">
        <v>809</v>
      </c>
      <c r="W12" t="s">
        <v>312</v>
      </c>
      <c r="Y12" s="20">
        <v>1</v>
      </c>
      <c r="Z12" t="s">
        <v>324</v>
      </c>
      <c r="AM12" t="str">
        <f>_xlfn.CONCAT(N12&amp;W12&amp;Y12&amp;Z12)</f>
        <v>Workbooks("HFU Forecast UTLA 1.0.xlsm").Worksheets("Combined data").Range("A1")</v>
      </c>
      <c r="AO12" t="s">
        <v>810</v>
      </c>
    </row>
    <row r="13" spans="2:50" x14ac:dyDescent="0.25">
      <c r="B13" t="s">
        <v>317</v>
      </c>
      <c r="N13" t="s">
        <v>323</v>
      </c>
      <c r="V13">
        <v>1</v>
      </c>
      <c r="Z13" t="s">
        <v>326</v>
      </c>
      <c r="AE13" t="s">
        <v>312</v>
      </c>
      <c r="AF13">
        <v>6</v>
      </c>
      <c r="AG13" t="s">
        <v>327</v>
      </c>
      <c r="AH13" t="s">
        <v>313</v>
      </c>
      <c r="AI13">
        <v>165</v>
      </c>
      <c r="AK13" t="s">
        <v>325</v>
      </c>
      <c r="AM13" t="str">
        <f>_xlfn.CONCAT(N13&amp;V13&amp;Z13&amp;AE13&amp;AF13&amp;AG13&amp;AH13&amp;AI13&amp;AK13)</f>
        <v xml:space="preserve"> Workbooks("Ukraine_sponsorship_data_1.ods").Worksheets("UTLA_-_England").Range("A6:B165").Copy _</v>
      </c>
      <c r="AO13" t="s">
        <v>338</v>
      </c>
    </row>
    <row r="14" spans="2:50" x14ac:dyDescent="0.25">
      <c r="B14" t="s">
        <v>808</v>
      </c>
      <c r="N14" t="s">
        <v>809</v>
      </c>
      <c r="W14" t="s">
        <v>312</v>
      </c>
      <c r="Y14" s="20">
        <v>4</v>
      </c>
      <c r="Z14" t="s">
        <v>324</v>
      </c>
      <c r="AM14" t="str">
        <f>_xlfn.CONCAT(N14&amp;W14&amp;Y14&amp;Z14)</f>
        <v>Workbooks("HFU Forecast UTLA 1.0.xlsm").Worksheets("Combined data").Range("A4")</v>
      </c>
      <c r="AO14" t="s">
        <v>811</v>
      </c>
    </row>
    <row r="16" spans="2:50" x14ac:dyDescent="0.25">
      <c r="B16" t="s">
        <v>316</v>
      </c>
      <c r="N16" t="s">
        <v>321</v>
      </c>
      <c r="V16">
        <v>1</v>
      </c>
      <c r="Z16" t="s">
        <v>322</v>
      </c>
      <c r="AM16" t="str">
        <f>+_xlfn.CONCAT(N16&amp;V16&amp;Z16)</f>
        <v xml:space="preserve"> Workbooks.Open "A:\Homes for Ukraine data\Ukraine_sponsorship_data_1.ods"</v>
      </c>
      <c r="AO16" t="s">
        <v>334</v>
      </c>
      <c r="AX16" t="s">
        <v>334</v>
      </c>
    </row>
    <row r="17" spans="1:50" x14ac:dyDescent="0.25">
      <c r="B17" t="s">
        <v>318</v>
      </c>
      <c r="N17" t="s">
        <v>323</v>
      </c>
      <c r="V17">
        <v>1</v>
      </c>
      <c r="Z17" t="s">
        <v>326</v>
      </c>
      <c r="AE17" t="s">
        <v>314</v>
      </c>
      <c r="AF17">
        <v>11</v>
      </c>
      <c r="AG17" t="s">
        <v>327</v>
      </c>
      <c r="AH17" t="s">
        <v>314</v>
      </c>
      <c r="AI17">
        <v>165</v>
      </c>
      <c r="AK17" t="s">
        <v>325</v>
      </c>
      <c r="AM17" t="str">
        <f>_xlfn.CONCAT(N17&amp;V17&amp;Z17&amp;AE17&amp;AF17&amp;AG17&amp;AE17&amp;AI17&amp;AK17)</f>
        <v xml:space="preserve"> Workbooks("Ukraine_sponsorship_data_1.ods").Worksheets("UTLA_-_England").Range("C11:C165").Copy _</v>
      </c>
      <c r="AO17" t="s">
        <v>1048</v>
      </c>
      <c r="AX17" t="s">
        <v>637</v>
      </c>
    </row>
    <row r="18" spans="1:50" x14ac:dyDescent="0.25">
      <c r="B18" t="s">
        <v>808</v>
      </c>
      <c r="N18" t="s">
        <v>809</v>
      </c>
      <c r="W18" t="s">
        <v>311</v>
      </c>
      <c r="Y18" s="20">
        <v>9</v>
      </c>
      <c r="Z18" t="s">
        <v>324</v>
      </c>
      <c r="AM18" t="str">
        <f>_xlfn.CONCAT(N18&amp;W18&amp;Y18&amp;Z18)</f>
        <v>Workbooks("HFU Forecast UTLA 1.0.xlsm").Worksheets("Combined data").Range("H9")</v>
      </c>
      <c r="AO18" t="s">
        <v>812</v>
      </c>
      <c r="AX18" t="s">
        <v>813</v>
      </c>
    </row>
    <row r="19" spans="1:50" ht="17.25" customHeight="1" x14ac:dyDescent="0.25">
      <c r="B19" t="s">
        <v>339</v>
      </c>
      <c r="AM19" t="str">
        <f>B19</f>
        <v>ActiveWorkbook.Close SaveChanges:=False</v>
      </c>
      <c r="AO19" t="s">
        <v>339</v>
      </c>
      <c r="AX19" t="s">
        <v>638</v>
      </c>
    </row>
    <row r="21" spans="1:50" ht="17.25" customHeight="1" x14ac:dyDescent="0.25">
      <c r="A21" s="19"/>
      <c r="B21" s="22" t="s">
        <v>316</v>
      </c>
      <c r="C21" s="22"/>
      <c r="D21" s="22"/>
      <c r="E21" s="22"/>
      <c r="F21" s="22"/>
      <c r="G21" s="22"/>
      <c r="H21" s="22"/>
      <c r="I21" s="22"/>
      <c r="J21" s="22"/>
      <c r="K21" s="22"/>
      <c r="L21" s="22"/>
      <c r="M21" s="22"/>
      <c r="N21" s="22" t="s">
        <v>321</v>
      </c>
      <c r="O21" s="22"/>
      <c r="P21" s="22"/>
      <c r="Q21" s="22"/>
      <c r="R21" s="22"/>
      <c r="S21" s="22"/>
      <c r="T21" s="22"/>
      <c r="U21" s="22"/>
      <c r="V21" s="22">
        <f>V16+1</f>
        <v>2</v>
      </c>
      <c r="W21" s="22"/>
      <c r="X21" s="22"/>
      <c r="Y21" s="23"/>
      <c r="Z21" s="22" t="s">
        <v>322</v>
      </c>
      <c r="AA21" s="22"/>
      <c r="AB21" s="22"/>
      <c r="AC21" s="22"/>
      <c r="AD21" s="22"/>
      <c r="AE21" s="22"/>
      <c r="AF21" s="22"/>
      <c r="AG21" s="22"/>
      <c r="AH21" s="22"/>
      <c r="AI21" s="22"/>
      <c r="AJ21" s="22"/>
      <c r="AK21" s="22"/>
      <c r="AL21" s="22"/>
      <c r="AM21" s="22" t="str">
        <f>+_xlfn.CONCAT(N21&amp;V21&amp;Z21)</f>
        <v xml:space="preserve"> Workbooks.Open "A:\Homes for Ukraine data\Ukraine_sponsorship_data_2.ods"</v>
      </c>
      <c r="AO21" t="s">
        <v>335</v>
      </c>
      <c r="AX21" t="s">
        <v>639</v>
      </c>
    </row>
    <row r="22" spans="1:50" x14ac:dyDescent="0.25">
      <c r="A22" s="19"/>
      <c r="B22" s="22" t="s">
        <v>318</v>
      </c>
      <c r="C22" s="22"/>
      <c r="D22" s="22"/>
      <c r="E22" s="22"/>
      <c r="F22" s="22"/>
      <c r="G22" s="22"/>
      <c r="H22" s="22"/>
      <c r="I22" s="22"/>
      <c r="J22" s="22"/>
      <c r="K22" s="22"/>
      <c r="L22" s="22"/>
      <c r="M22" s="22"/>
      <c r="N22" s="22" t="s">
        <v>323</v>
      </c>
      <c r="O22" s="22"/>
      <c r="P22" s="22"/>
      <c r="Q22" s="22"/>
      <c r="R22" s="22"/>
      <c r="S22" s="22"/>
      <c r="T22" s="22"/>
      <c r="U22" s="22"/>
      <c r="V22" s="22">
        <f>V17+1</f>
        <v>2</v>
      </c>
      <c r="W22" s="22"/>
      <c r="X22" s="22"/>
      <c r="Y22" s="23"/>
      <c r="Z22" s="22" t="s">
        <v>326</v>
      </c>
      <c r="AA22" s="22"/>
      <c r="AB22" s="22"/>
      <c r="AC22" s="22"/>
      <c r="AD22" s="22"/>
      <c r="AE22" s="22" t="s">
        <v>382</v>
      </c>
      <c r="AF22" s="22">
        <v>11</v>
      </c>
      <c r="AG22" s="22" t="s">
        <v>327</v>
      </c>
      <c r="AH22" s="22"/>
      <c r="AI22" s="22">
        <v>165</v>
      </c>
      <c r="AJ22" s="22"/>
      <c r="AK22" s="22" t="s">
        <v>325</v>
      </c>
      <c r="AL22" s="22"/>
      <c r="AM22" s="22" t="str">
        <f>_xlfn.CONCAT(N22&amp;V22&amp;Z22&amp;AE22&amp;AF22&amp;AG22&amp;AE22&amp;AI22&amp;AK22)</f>
        <v xml:space="preserve"> Workbooks("Ukraine_sponsorship_data_2.ods").Worksheets("UTLA_-_England").Range("D11:D165").Copy _</v>
      </c>
      <c r="AO22" t="s">
        <v>359</v>
      </c>
      <c r="AX22" t="s">
        <v>640</v>
      </c>
    </row>
    <row r="23" spans="1:50" ht="17.25" customHeight="1" x14ac:dyDescent="0.25">
      <c r="A23" s="19"/>
      <c r="B23" s="22" t="s">
        <v>808</v>
      </c>
      <c r="C23" s="22"/>
      <c r="D23" s="22"/>
      <c r="E23" s="22"/>
      <c r="F23" s="22"/>
      <c r="G23" s="22"/>
      <c r="H23" s="22"/>
      <c r="I23" s="22"/>
      <c r="J23" s="22"/>
      <c r="K23" s="22"/>
      <c r="L23" s="22"/>
      <c r="M23" s="22"/>
      <c r="N23" s="22" t="s">
        <v>809</v>
      </c>
      <c r="O23" s="22"/>
      <c r="P23" s="22"/>
      <c r="Q23" s="22"/>
      <c r="R23" s="22"/>
      <c r="S23" s="22"/>
      <c r="T23" s="22"/>
      <c r="U23" s="22"/>
      <c r="V23" s="22"/>
      <c r="W23" s="22" t="str">
        <f>CHAR(CODE(W18)+1)</f>
        <v>I</v>
      </c>
      <c r="X23" s="22"/>
      <c r="Y23" s="23">
        <v>9</v>
      </c>
      <c r="Z23" s="22" t="s">
        <v>324</v>
      </c>
      <c r="AA23" s="22"/>
      <c r="AB23" s="22"/>
      <c r="AC23" s="22"/>
      <c r="AD23" s="22"/>
      <c r="AE23" s="22"/>
      <c r="AF23" s="22"/>
      <c r="AG23" s="22"/>
      <c r="AH23" s="22"/>
      <c r="AI23" s="22"/>
      <c r="AJ23" s="22"/>
      <c r="AK23" s="22"/>
      <c r="AL23" s="22"/>
      <c r="AM23" s="22" t="str">
        <f>_xlfn.CONCAT(N23&amp;W23&amp;Y23&amp;Z23)</f>
        <v>Workbooks("HFU Forecast UTLA 1.0.xlsm").Worksheets("Combined data").Range("I9")</v>
      </c>
      <c r="AO23" t="s">
        <v>814</v>
      </c>
      <c r="AX23" t="s">
        <v>815</v>
      </c>
    </row>
    <row r="24" spans="1:50" ht="17.25" customHeight="1" x14ac:dyDescent="0.25">
      <c r="A24" s="19"/>
      <c r="B24" s="22" t="s">
        <v>339</v>
      </c>
      <c r="C24" s="22"/>
      <c r="D24" s="22"/>
      <c r="E24" s="22"/>
      <c r="F24" s="22"/>
      <c r="G24" s="22"/>
      <c r="H24" s="22"/>
      <c r="I24" s="22"/>
      <c r="J24" s="22"/>
      <c r="K24" s="22"/>
      <c r="L24" s="22"/>
      <c r="M24" s="22"/>
      <c r="N24" s="22"/>
      <c r="O24" s="22"/>
      <c r="P24" s="22"/>
      <c r="Q24" s="22"/>
      <c r="R24" s="22"/>
      <c r="S24" s="22"/>
      <c r="T24" s="22"/>
      <c r="U24" s="22"/>
      <c r="V24" s="22"/>
      <c r="W24" s="22"/>
      <c r="X24" s="22"/>
      <c r="Y24" s="23"/>
      <c r="Z24" s="22"/>
      <c r="AA24" s="22"/>
      <c r="AB24" s="22"/>
      <c r="AC24" s="22"/>
      <c r="AD24" s="22"/>
      <c r="AE24" s="22"/>
      <c r="AF24" s="22"/>
      <c r="AG24" s="22"/>
      <c r="AH24" s="22"/>
      <c r="AI24" s="22"/>
      <c r="AJ24" s="22"/>
      <c r="AK24" s="22"/>
      <c r="AL24" s="22"/>
      <c r="AM24" s="22" t="str">
        <f>B24</f>
        <v>ActiveWorkbook.Close SaveChanges:=False</v>
      </c>
      <c r="AO24" t="s">
        <v>339</v>
      </c>
      <c r="AX24" t="s">
        <v>638</v>
      </c>
    </row>
    <row r="25" spans="1:50" x14ac:dyDescent="0.25">
      <c r="AX25" t="s">
        <v>641</v>
      </c>
    </row>
    <row r="26" spans="1:50" x14ac:dyDescent="0.25">
      <c r="B26" s="19" t="s">
        <v>316</v>
      </c>
      <c r="C26" s="19"/>
      <c r="D26" s="19"/>
      <c r="E26" s="19"/>
      <c r="F26" s="19"/>
      <c r="G26" s="19"/>
      <c r="H26" s="19"/>
      <c r="I26" s="19"/>
      <c r="J26" s="19"/>
      <c r="K26" s="19"/>
      <c r="L26" s="19"/>
      <c r="M26" s="19"/>
      <c r="N26" s="19" t="s">
        <v>321</v>
      </c>
      <c r="O26" s="19"/>
      <c r="P26" s="19"/>
      <c r="Q26" s="19"/>
      <c r="R26" s="19"/>
      <c r="S26" s="19"/>
      <c r="T26" s="19"/>
      <c r="U26" s="19"/>
      <c r="V26" s="19">
        <f>V21+1</f>
        <v>3</v>
      </c>
      <c r="W26" s="19"/>
      <c r="X26" s="19"/>
      <c r="Y26" s="21"/>
      <c r="Z26" s="19" t="s">
        <v>322</v>
      </c>
      <c r="AA26" s="19"/>
      <c r="AB26" s="19"/>
      <c r="AC26" s="19"/>
      <c r="AD26" s="19"/>
      <c r="AE26" s="19"/>
      <c r="AF26" s="19"/>
      <c r="AG26" s="19"/>
      <c r="AH26" s="19"/>
      <c r="AI26" s="19"/>
      <c r="AJ26" s="19"/>
      <c r="AK26" s="19"/>
      <c r="AL26" s="19"/>
      <c r="AM26" s="19" t="str">
        <f>+_xlfn.CONCAT(N26&amp;V26&amp;Z26)</f>
        <v xml:space="preserve"> Workbooks.Open "A:\Homes for Ukraine data\Ukraine_sponsorship_data_3.ods"</v>
      </c>
      <c r="AO26" t="s">
        <v>336</v>
      </c>
    </row>
    <row r="27" spans="1:50" x14ac:dyDescent="0.25">
      <c r="B27" s="19" t="s">
        <v>318</v>
      </c>
      <c r="C27" s="19"/>
      <c r="D27" s="19"/>
      <c r="E27" s="19"/>
      <c r="F27" s="19"/>
      <c r="G27" s="19"/>
      <c r="H27" s="19"/>
      <c r="I27" s="19"/>
      <c r="J27" s="19"/>
      <c r="K27" s="19"/>
      <c r="L27" s="19"/>
      <c r="M27" s="19"/>
      <c r="N27" s="19" t="s">
        <v>323</v>
      </c>
      <c r="O27" s="19"/>
      <c r="P27" s="19"/>
      <c r="Q27" s="19"/>
      <c r="R27" s="19"/>
      <c r="S27" s="19"/>
      <c r="T27" s="19"/>
      <c r="U27" s="19"/>
      <c r="V27" s="19">
        <f>V22+1</f>
        <v>3</v>
      </c>
      <c r="W27" s="19"/>
      <c r="X27" s="19"/>
      <c r="Y27" s="21"/>
      <c r="Z27" s="19" t="s">
        <v>326</v>
      </c>
      <c r="AA27" s="19"/>
      <c r="AB27" s="19"/>
      <c r="AC27" s="19"/>
      <c r="AD27" s="19"/>
      <c r="AE27" s="19" t="s">
        <v>382</v>
      </c>
      <c r="AF27" s="19">
        <v>11</v>
      </c>
      <c r="AG27" s="19" t="s">
        <v>327</v>
      </c>
      <c r="AH27" s="19"/>
      <c r="AI27" s="19">
        <v>165</v>
      </c>
      <c r="AJ27" s="19"/>
      <c r="AK27" s="19" t="s">
        <v>325</v>
      </c>
      <c r="AL27" s="19"/>
      <c r="AM27" s="19" t="str">
        <f>_xlfn.CONCAT(N27&amp;V27&amp;Z27&amp;AE27&amp;AF27&amp;AG27&amp;AE27&amp;AI27&amp;AK27)</f>
        <v xml:space="preserve"> Workbooks("Ukraine_sponsorship_data_3.ods").Worksheets("UTLA_-_England").Range("D11:D165").Copy _</v>
      </c>
      <c r="AO27" t="s">
        <v>360</v>
      </c>
    </row>
    <row r="28" spans="1:50" x14ac:dyDescent="0.25">
      <c r="B28" s="19" t="s">
        <v>808</v>
      </c>
      <c r="C28" s="19"/>
      <c r="D28" s="19"/>
      <c r="E28" s="19"/>
      <c r="F28" s="19"/>
      <c r="G28" s="19"/>
      <c r="H28" s="19"/>
      <c r="I28" s="19"/>
      <c r="J28" s="19"/>
      <c r="K28" s="19"/>
      <c r="L28" s="19"/>
      <c r="M28" s="19"/>
      <c r="N28" s="19" t="s">
        <v>809</v>
      </c>
      <c r="O28" s="19"/>
      <c r="P28" s="19"/>
      <c r="Q28" s="19"/>
      <c r="R28" s="19"/>
      <c r="S28" s="19"/>
      <c r="T28" s="19"/>
      <c r="U28" s="19"/>
      <c r="V28" s="19"/>
      <c r="W28" s="19" t="str">
        <f>CHAR(CODE(W23)+1)</f>
        <v>J</v>
      </c>
      <c r="X28" s="19"/>
      <c r="Y28" s="21">
        <v>9</v>
      </c>
      <c r="Z28" s="19" t="s">
        <v>324</v>
      </c>
      <c r="AA28" s="19"/>
      <c r="AB28" s="19"/>
      <c r="AC28" s="19"/>
      <c r="AD28" s="19"/>
      <c r="AE28" s="19"/>
      <c r="AF28" s="19"/>
      <c r="AG28" s="19"/>
      <c r="AH28" s="19"/>
      <c r="AI28" s="19"/>
      <c r="AJ28" s="19"/>
      <c r="AK28" s="19"/>
      <c r="AL28" s="19"/>
      <c r="AM28" s="19" t="str">
        <f>_xlfn.CONCAT(N28&amp;W28&amp;Y28&amp;Z28)</f>
        <v>Workbooks("HFU Forecast UTLA 1.0.xlsm").Worksheets("Combined data").Range("J9")</v>
      </c>
      <c r="AO28" t="s">
        <v>816</v>
      </c>
    </row>
    <row r="29" spans="1:50" x14ac:dyDescent="0.25">
      <c r="B29" s="19" t="s">
        <v>339</v>
      </c>
      <c r="C29" s="19"/>
      <c r="D29" s="19"/>
      <c r="E29" s="19"/>
      <c r="F29" s="19"/>
      <c r="G29" s="19"/>
      <c r="H29" s="19"/>
      <c r="I29" s="19"/>
      <c r="J29" s="19"/>
      <c r="K29" s="19"/>
      <c r="L29" s="19"/>
      <c r="M29" s="19"/>
      <c r="N29" s="19"/>
      <c r="O29" s="19"/>
      <c r="P29" s="19"/>
      <c r="Q29" s="19"/>
      <c r="R29" s="19"/>
      <c r="S29" s="19"/>
      <c r="T29" s="19"/>
      <c r="U29" s="19"/>
      <c r="V29" s="19"/>
      <c r="W29" s="19"/>
      <c r="X29" s="19"/>
      <c r="Y29" s="21"/>
      <c r="Z29" s="19"/>
      <c r="AA29" s="19"/>
      <c r="AB29" s="19"/>
      <c r="AC29" s="19"/>
      <c r="AD29" s="19"/>
      <c r="AE29" s="19"/>
      <c r="AF29" s="19"/>
      <c r="AG29" s="19"/>
      <c r="AH29" s="19"/>
      <c r="AI29" s="19"/>
      <c r="AJ29" s="19"/>
      <c r="AK29" s="19"/>
      <c r="AL29" s="19"/>
      <c r="AM29" s="19" t="str">
        <f>B29</f>
        <v>ActiveWorkbook.Close SaveChanges:=False</v>
      </c>
      <c r="AO29" t="s">
        <v>339</v>
      </c>
    </row>
    <row r="31" spans="1:50" x14ac:dyDescent="0.25">
      <c r="B31" s="22" t="s">
        <v>316</v>
      </c>
      <c r="C31" s="22"/>
      <c r="D31" s="22"/>
      <c r="E31" s="22"/>
      <c r="F31" s="22"/>
      <c r="G31" s="22"/>
      <c r="H31" s="22"/>
      <c r="I31" s="22"/>
      <c r="J31" s="22"/>
      <c r="K31" s="22"/>
      <c r="L31" s="22"/>
      <c r="M31" s="22"/>
      <c r="N31" s="22" t="s">
        <v>321</v>
      </c>
      <c r="O31" s="22"/>
      <c r="P31" s="22"/>
      <c r="Q31" s="22"/>
      <c r="R31" s="22"/>
      <c r="S31" s="22"/>
      <c r="T31" s="22"/>
      <c r="U31" s="22"/>
      <c r="V31" s="22">
        <f>V26+1</f>
        <v>4</v>
      </c>
      <c r="W31" s="22"/>
      <c r="X31" s="22"/>
      <c r="Y31" s="23"/>
      <c r="Z31" s="22" t="s">
        <v>322</v>
      </c>
      <c r="AA31" s="22"/>
      <c r="AB31" s="22"/>
      <c r="AC31" s="22"/>
      <c r="AD31" s="22"/>
      <c r="AE31" s="22"/>
      <c r="AF31" s="22"/>
      <c r="AG31" s="22"/>
      <c r="AH31" s="22"/>
      <c r="AI31" s="22"/>
      <c r="AJ31" s="22"/>
      <c r="AK31" s="22"/>
      <c r="AL31" s="22"/>
      <c r="AM31" s="22" t="str">
        <f>+_xlfn.CONCAT(N31&amp;V31&amp;Z31)</f>
        <v xml:space="preserve"> Workbooks.Open "A:\Homes for Ukraine data\Ukraine_sponsorship_data_4.ods"</v>
      </c>
      <c r="AO31" t="s">
        <v>340</v>
      </c>
    </row>
    <row r="32" spans="1:50" x14ac:dyDescent="0.25">
      <c r="B32" s="22" t="s">
        <v>318</v>
      </c>
      <c r="C32" s="22"/>
      <c r="D32" s="22"/>
      <c r="E32" s="22"/>
      <c r="F32" s="22"/>
      <c r="G32" s="22"/>
      <c r="H32" s="22"/>
      <c r="I32" s="22"/>
      <c r="J32" s="22"/>
      <c r="K32" s="22"/>
      <c r="L32" s="22"/>
      <c r="M32" s="22"/>
      <c r="N32" s="22" t="s">
        <v>323</v>
      </c>
      <c r="O32" s="22"/>
      <c r="P32" s="22"/>
      <c r="Q32" s="22"/>
      <c r="R32" s="22"/>
      <c r="S32" s="22"/>
      <c r="T32" s="22"/>
      <c r="U32" s="22"/>
      <c r="V32" s="22">
        <f>V27+1</f>
        <v>4</v>
      </c>
      <c r="W32" s="22"/>
      <c r="X32" s="22"/>
      <c r="Y32" s="23"/>
      <c r="Z32" s="22" t="s">
        <v>326</v>
      </c>
      <c r="AA32" s="22"/>
      <c r="AB32" s="22"/>
      <c r="AC32" s="22"/>
      <c r="AD32" s="22"/>
      <c r="AE32" s="22" t="s">
        <v>382</v>
      </c>
      <c r="AF32" s="22">
        <v>11</v>
      </c>
      <c r="AG32" s="22" t="s">
        <v>327</v>
      </c>
      <c r="AH32" s="22"/>
      <c r="AI32" s="22">
        <v>165</v>
      </c>
      <c r="AJ32" s="22"/>
      <c r="AK32" s="22" t="s">
        <v>325</v>
      </c>
      <c r="AL32" s="22"/>
      <c r="AM32" s="22" t="str">
        <f>_xlfn.CONCAT(N32&amp;V32&amp;Z32&amp;AE32&amp;AF32&amp;AG32&amp;AE32&amp;AI32&amp;AK32)</f>
        <v xml:space="preserve"> Workbooks("Ukraine_sponsorship_data_4.ods").Worksheets("UTLA_-_England").Range("D11:D165").Copy _</v>
      </c>
      <c r="AO32" t="s">
        <v>361</v>
      </c>
    </row>
    <row r="33" spans="2:41" x14ac:dyDescent="0.25">
      <c r="B33" s="22" t="s">
        <v>808</v>
      </c>
      <c r="C33" s="22"/>
      <c r="D33" s="22"/>
      <c r="E33" s="22"/>
      <c r="F33" s="22"/>
      <c r="G33" s="22"/>
      <c r="H33" s="22"/>
      <c r="I33" s="22"/>
      <c r="J33" s="22"/>
      <c r="K33" s="22"/>
      <c r="L33" s="22"/>
      <c r="M33" s="22"/>
      <c r="N33" s="22" t="s">
        <v>809</v>
      </c>
      <c r="O33" s="22"/>
      <c r="P33" s="22"/>
      <c r="Q33" s="22"/>
      <c r="R33" s="22"/>
      <c r="S33" s="22"/>
      <c r="T33" s="22"/>
      <c r="U33" s="22"/>
      <c r="V33" s="22"/>
      <c r="W33" s="22" t="str">
        <f>CHAR(CODE(W28)+1)</f>
        <v>K</v>
      </c>
      <c r="X33" s="22"/>
      <c r="Y33" s="23">
        <v>9</v>
      </c>
      <c r="Z33" s="22" t="s">
        <v>324</v>
      </c>
      <c r="AA33" s="22"/>
      <c r="AB33" s="22"/>
      <c r="AC33" s="22"/>
      <c r="AD33" s="22"/>
      <c r="AE33" s="22"/>
      <c r="AF33" s="22"/>
      <c r="AG33" s="22"/>
      <c r="AH33" s="22"/>
      <c r="AI33" s="22"/>
      <c r="AJ33" s="22"/>
      <c r="AK33" s="22"/>
      <c r="AL33" s="22"/>
      <c r="AM33" s="22" t="str">
        <f>_xlfn.CONCAT(N33&amp;W33&amp;Y33&amp;Z33)</f>
        <v>Workbooks("HFU Forecast UTLA 1.0.xlsm").Worksheets("Combined data").Range("K9")</v>
      </c>
      <c r="AO33" t="s">
        <v>817</v>
      </c>
    </row>
    <row r="34" spans="2:41" x14ac:dyDescent="0.25">
      <c r="B34" s="22" t="s">
        <v>339</v>
      </c>
      <c r="C34" s="22"/>
      <c r="D34" s="22"/>
      <c r="E34" s="22"/>
      <c r="F34" s="22"/>
      <c r="G34" s="22"/>
      <c r="H34" s="22"/>
      <c r="I34" s="22"/>
      <c r="J34" s="22"/>
      <c r="K34" s="22"/>
      <c r="L34" s="22"/>
      <c r="M34" s="22"/>
      <c r="N34" s="22"/>
      <c r="O34" s="22"/>
      <c r="P34" s="22"/>
      <c r="Q34" s="22"/>
      <c r="R34" s="22"/>
      <c r="S34" s="22"/>
      <c r="T34" s="22"/>
      <c r="U34" s="22"/>
      <c r="V34" s="22"/>
      <c r="W34" s="22"/>
      <c r="X34" s="22"/>
      <c r="Y34" s="23"/>
      <c r="Z34" s="22"/>
      <c r="AA34" s="22"/>
      <c r="AB34" s="22"/>
      <c r="AC34" s="22"/>
      <c r="AD34" s="22"/>
      <c r="AE34" s="22"/>
      <c r="AF34" s="22"/>
      <c r="AG34" s="22"/>
      <c r="AH34" s="22"/>
      <c r="AI34" s="22"/>
      <c r="AJ34" s="22"/>
      <c r="AK34" s="22"/>
      <c r="AL34" s="22"/>
      <c r="AM34" s="22" t="str">
        <f>B34</f>
        <v>ActiveWorkbook.Close SaveChanges:=False</v>
      </c>
      <c r="AO34" t="s">
        <v>339</v>
      </c>
    </row>
    <row r="36" spans="2:41" x14ac:dyDescent="0.25">
      <c r="B36" s="19" t="s">
        <v>316</v>
      </c>
      <c r="C36" s="19"/>
      <c r="D36" s="19"/>
      <c r="E36" s="19"/>
      <c r="F36" s="19"/>
      <c r="G36" s="19"/>
      <c r="H36" s="19"/>
      <c r="I36" s="19"/>
      <c r="J36" s="19"/>
      <c r="K36" s="19"/>
      <c r="L36" s="19"/>
      <c r="M36" s="19"/>
      <c r="N36" s="19" t="s">
        <v>321</v>
      </c>
      <c r="O36" s="19"/>
      <c r="P36" s="19"/>
      <c r="Q36" s="19"/>
      <c r="R36" s="19"/>
      <c r="S36" s="19"/>
      <c r="T36" s="19"/>
      <c r="U36" s="19"/>
      <c r="V36" s="19">
        <f t="shared" ref="V36:V37" si="0">V31+1</f>
        <v>5</v>
      </c>
      <c r="W36" s="19"/>
      <c r="X36" s="19"/>
      <c r="Y36" s="21"/>
      <c r="Z36" s="19" t="s">
        <v>322</v>
      </c>
      <c r="AA36" s="19"/>
      <c r="AB36" s="19"/>
      <c r="AC36" s="19"/>
      <c r="AD36" s="19"/>
      <c r="AE36" s="19"/>
      <c r="AF36" s="19"/>
      <c r="AG36" s="19"/>
      <c r="AH36" s="19"/>
      <c r="AI36" s="19"/>
      <c r="AJ36" s="19"/>
      <c r="AK36" s="19"/>
      <c r="AL36" s="19"/>
      <c r="AM36" s="19" t="str">
        <f t="shared" ref="AM36" si="1">+_xlfn.CONCAT(N36&amp;V36&amp;Z36)</f>
        <v xml:space="preserve"> Workbooks.Open "A:\Homes for Ukraine data\Ukraine_sponsorship_data_5.ods"</v>
      </c>
      <c r="AO36" t="s">
        <v>341</v>
      </c>
    </row>
    <row r="37" spans="2:41" x14ac:dyDescent="0.25">
      <c r="B37" s="19" t="s">
        <v>318</v>
      </c>
      <c r="C37" s="19"/>
      <c r="D37" s="19"/>
      <c r="E37" s="19"/>
      <c r="F37" s="19"/>
      <c r="G37" s="19"/>
      <c r="H37" s="19"/>
      <c r="I37" s="19"/>
      <c r="J37" s="19"/>
      <c r="K37" s="19"/>
      <c r="L37" s="19"/>
      <c r="M37" s="19"/>
      <c r="N37" s="19" t="s">
        <v>323</v>
      </c>
      <c r="O37" s="19"/>
      <c r="P37" s="19"/>
      <c r="Q37" s="19"/>
      <c r="R37" s="19"/>
      <c r="S37" s="19"/>
      <c r="T37" s="19"/>
      <c r="U37" s="19"/>
      <c r="V37" s="19">
        <f t="shared" si="0"/>
        <v>5</v>
      </c>
      <c r="W37" s="19"/>
      <c r="X37" s="19"/>
      <c r="Y37" s="21"/>
      <c r="Z37" s="19" t="s">
        <v>326</v>
      </c>
      <c r="AA37" s="19"/>
      <c r="AB37" s="19"/>
      <c r="AC37" s="19"/>
      <c r="AD37" s="19"/>
      <c r="AE37" s="19" t="s">
        <v>382</v>
      </c>
      <c r="AF37" s="19">
        <v>11</v>
      </c>
      <c r="AG37" s="19" t="s">
        <v>327</v>
      </c>
      <c r="AH37" s="19"/>
      <c r="AI37" s="19">
        <v>165</v>
      </c>
      <c r="AJ37" s="19"/>
      <c r="AK37" s="19" t="s">
        <v>325</v>
      </c>
      <c r="AL37" s="19"/>
      <c r="AM37" s="19" t="str">
        <f t="shared" ref="AM37" si="2">_xlfn.CONCAT(N37&amp;V37&amp;Z37&amp;AE37&amp;AF37&amp;AG37&amp;AE37&amp;AI37&amp;AK37)</f>
        <v xml:space="preserve"> Workbooks("Ukraine_sponsorship_data_5.ods").Worksheets("UTLA_-_England").Range("D11:D165").Copy _</v>
      </c>
      <c r="AO37" t="s">
        <v>362</v>
      </c>
    </row>
    <row r="38" spans="2:41" x14ac:dyDescent="0.25">
      <c r="B38" s="19" t="s">
        <v>808</v>
      </c>
      <c r="C38" s="19"/>
      <c r="D38" s="19"/>
      <c r="E38" s="19"/>
      <c r="F38" s="19"/>
      <c r="G38" s="19"/>
      <c r="H38" s="19"/>
      <c r="I38" s="19"/>
      <c r="J38" s="19"/>
      <c r="K38" s="19"/>
      <c r="L38" s="19"/>
      <c r="M38" s="19"/>
      <c r="N38" s="19" t="s">
        <v>809</v>
      </c>
      <c r="O38" s="19"/>
      <c r="P38" s="19"/>
      <c r="Q38" s="19"/>
      <c r="R38" s="19"/>
      <c r="S38" s="19"/>
      <c r="T38" s="19"/>
      <c r="U38" s="19"/>
      <c r="V38" s="19"/>
      <c r="W38" s="19" t="str">
        <f t="shared" ref="W38" si="3">CHAR(CODE(W33)+1)</f>
        <v>L</v>
      </c>
      <c r="X38" s="19"/>
      <c r="Y38" s="21">
        <v>9</v>
      </c>
      <c r="Z38" s="19" t="s">
        <v>324</v>
      </c>
      <c r="AA38" s="19"/>
      <c r="AB38" s="19"/>
      <c r="AC38" s="19"/>
      <c r="AD38" s="19"/>
      <c r="AE38" s="19"/>
      <c r="AF38" s="19"/>
      <c r="AG38" s="19"/>
      <c r="AH38" s="19"/>
      <c r="AI38" s="19"/>
      <c r="AJ38" s="19"/>
      <c r="AK38" s="19"/>
      <c r="AL38" s="19"/>
      <c r="AM38" s="19" t="str">
        <f t="shared" ref="AM38" si="4">_xlfn.CONCAT(N38&amp;W38&amp;Y38&amp;Z38)</f>
        <v>Workbooks("HFU Forecast UTLA 1.0.xlsm").Worksheets("Combined data").Range("L9")</v>
      </c>
      <c r="AO38" t="s">
        <v>818</v>
      </c>
    </row>
    <row r="39" spans="2:41" x14ac:dyDescent="0.25">
      <c r="B39" s="19" t="s">
        <v>339</v>
      </c>
      <c r="C39" s="19"/>
      <c r="D39" s="19"/>
      <c r="E39" s="19"/>
      <c r="F39" s="19"/>
      <c r="G39" s="19"/>
      <c r="H39" s="19"/>
      <c r="I39" s="19"/>
      <c r="J39" s="19"/>
      <c r="K39" s="19"/>
      <c r="L39" s="19"/>
      <c r="M39" s="19"/>
      <c r="N39" s="19"/>
      <c r="O39" s="19"/>
      <c r="P39" s="19"/>
      <c r="Q39" s="19"/>
      <c r="R39" s="19"/>
      <c r="S39" s="19"/>
      <c r="T39" s="19"/>
      <c r="U39" s="19"/>
      <c r="V39" s="19"/>
      <c r="W39" s="19"/>
      <c r="X39" s="19"/>
      <c r="Y39" s="21"/>
      <c r="Z39" s="19"/>
      <c r="AA39" s="19"/>
      <c r="AB39" s="19"/>
      <c r="AC39" s="19"/>
      <c r="AD39" s="19"/>
      <c r="AE39" s="19"/>
      <c r="AF39" s="19"/>
      <c r="AG39" s="19"/>
      <c r="AH39" s="19"/>
      <c r="AI39" s="19"/>
      <c r="AJ39" s="19"/>
      <c r="AK39" s="19"/>
      <c r="AL39" s="19"/>
      <c r="AM39" s="19" t="str">
        <f t="shared" ref="AM39" si="5">B39</f>
        <v>ActiveWorkbook.Close SaveChanges:=False</v>
      </c>
      <c r="AO39" t="s">
        <v>339</v>
      </c>
    </row>
    <row r="41" spans="2:41" x14ac:dyDescent="0.25">
      <c r="B41" s="22" t="s">
        <v>316</v>
      </c>
      <c r="C41" s="22"/>
      <c r="D41" s="22"/>
      <c r="E41" s="22"/>
      <c r="F41" s="22"/>
      <c r="G41" s="22"/>
      <c r="H41" s="22"/>
      <c r="I41" s="22"/>
      <c r="J41" s="22"/>
      <c r="K41" s="22"/>
      <c r="L41" s="22"/>
      <c r="M41" s="22"/>
      <c r="N41" s="22" t="s">
        <v>321</v>
      </c>
      <c r="O41" s="22"/>
      <c r="P41" s="22"/>
      <c r="Q41" s="22"/>
      <c r="R41" s="22"/>
      <c r="S41" s="22"/>
      <c r="T41" s="22"/>
      <c r="U41" s="22"/>
      <c r="V41" s="22">
        <f t="shared" ref="V41:V42" si="6">V36+1</f>
        <v>6</v>
      </c>
      <c r="W41" s="22"/>
      <c r="X41" s="22"/>
      <c r="Y41" s="23"/>
      <c r="Z41" s="22" t="s">
        <v>322</v>
      </c>
      <c r="AA41" s="22"/>
      <c r="AB41" s="22"/>
      <c r="AC41" s="22"/>
      <c r="AD41" s="22"/>
      <c r="AE41" s="22"/>
      <c r="AF41" s="22"/>
      <c r="AG41" s="22"/>
      <c r="AH41" s="22"/>
      <c r="AI41" s="22"/>
      <c r="AJ41" s="22"/>
      <c r="AK41" s="22"/>
      <c r="AL41" s="22"/>
      <c r="AM41" s="22" t="str">
        <f t="shared" ref="AM41" si="7">+_xlfn.CONCAT(N41&amp;V41&amp;Z41)</f>
        <v xml:space="preserve"> Workbooks.Open "A:\Homes for Ukraine data\Ukraine_sponsorship_data_6.ods"</v>
      </c>
      <c r="AO41" t="s">
        <v>342</v>
      </c>
    </row>
    <row r="42" spans="2:41" x14ac:dyDescent="0.25">
      <c r="B42" s="22" t="s">
        <v>318</v>
      </c>
      <c r="C42" s="22"/>
      <c r="D42" s="22"/>
      <c r="E42" s="22"/>
      <c r="F42" s="22"/>
      <c r="G42" s="22"/>
      <c r="H42" s="22"/>
      <c r="I42" s="22"/>
      <c r="J42" s="22"/>
      <c r="K42" s="22"/>
      <c r="L42" s="22"/>
      <c r="M42" s="22"/>
      <c r="N42" s="22" t="s">
        <v>323</v>
      </c>
      <c r="O42" s="22"/>
      <c r="P42" s="22"/>
      <c r="Q42" s="22"/>
      <c r="R42" s="22"/>
      <c r="S42" s="22"/>
      <c r="T42" s="22"/>
      <c r="U42" s="22"/>
      <c r="V42" s="22">
        <f t="shared" si="6"/>
        <v>6</v>
      </c>
      <c r="W42" s="22"/>
      <c r="X42" s="22"/>
      <c r="Y42" s="23"/>
      <c r="Z42" s="22" t="s">
        <v>326</v>
      </c>
      <c r="AA42" s="22"/>
      <c r="AB42" s="22"/>
      <c r="AC42" s="22"/>
      <c r="AD42" s="22"/>
      <c r="AE42" s="22" t="s">
        <v>382</v>
      </c>
      <c r="AF42" s="22">
        <v>11</v>
      </c>
      <c r="AG42" s="22" t="s">
        <v>327</v>
      </c>
      <c r="AH42" s="22"/>
      <c r="AI42" s="22">
        <v>165</v>
      </c>
      <c r="AJ42" s="22"/>
      <c r="AK42" s="22" t="s">
        <v>325</v>
      </c>
      <c r="AL42" s="22"/>
      <c r="AM42" s="22" t="str">
        <f t="shared" ref="AM42" si="8">_xlfn.CONCAT(N42&amp;V42&amp;Z42&amp;AE42&amp;AF42&amp;AG42&amp;AE42&amp;AI42&amp;AK42)</f>
        <v xml:space="preserve"> Workbooks("Ukraine_sponsorship_data_6.ods").Worksheets("UTLA_-_England").Range("D11:D165").Copy _</v>
      </c>
      <c r="AO42" t="s">
        <v>363</v>
      </c>
    </row>
    <row r="43" spans="2:41" x14ac:dyDescent="0.25">
      <c r="B43" s="22" t="s">
        <v>808</v>
      </c>
      <c r="C43" s="22"/>
      <c r="D43" s="22"/>
      <c r="E43" s="22"/>
      <c r="F43" s="22"/>
      <c r="G43" s="22"/>
      <c r="H43" s="22"/>
      <c r="I43" s="22"/>
      <c r="J43" s="22"/>
      <c r="K43" s="22"/>
      <c r="L43" s="22"/>
      <c r="M43" s="22"/>
      <c r="N43" s="22" t="s">
        <v>809</v>
      </c>
      <c r="O43" s="22"/>
      <c r="P43" s="22"/>
      <c r="Q43" s="22"/>
      <c r="R43" s="22"/>
      <c r="S43" s="22"/>
      <c r="T43" s="22"/>
      <c r="U43" s="22"/>
      <c r="V43" s="22"/>
      <c r="W43" s="22" t="str">
        <f t="shared" ref="W43" si="9">CHAR(CODE(W38)+1)</f>
        <v>M</v>
      </c>
      <c r="X43" s="22"/>
      <c r="Y43" s="23">
        <v>9</v>
      </c>
      <c r="Z43" s="22" t="s">
        <v>324</v>
      </c>
      <c r="AA43" s="22"/>
      <c r="AB43" s="22"/>
      <c r="AC43" s="22"/>
      <c r="AD43" s="22"/>
      <c r="AE43" s="22"/>
      <c r="AF43" s="22"/>
      <c r="AG43" s="22"/>
      <c r="AH43" s="22"/>
      <c r="AI43" s="22"/>
      <c r="AJ43" s="22"/>
      <c r="AK43" s="22"/>
      <c r="AL43" s="22"/>
      <c r="AM43" s="22" t="str">
        <f t="shared" ref="AM43" si="10">_xlfn.CONCAT(N43&amp;W43&amp;Y43&amp;Z43)</f>
        <v>Workbooks("HFU Forecast UTLA 1.0.xlsm").Worksheets("Combined data").Range("M9")</v>
      </c>
      <c r="AO43" t="s">
        <v>819</v>
      </c>
    </row>
    <row r="44" spans="2:41" x14ac:dyDescent="0.25">
      <c r="B44" s="22" t="s">
        <v>339</v>
      </c>
      <c r="C44" s="22"/>
      <c r="D44" s="22"/>
      <c r="E44" s="22"/>
      <c r="F44" s="22"/>
      <c r="G44" s="22"/>
      <c r="H44" s="22"/>
      <c r="I44" s="22"/>
      <c r="J44" s="22"/>
      <c r="K44" s="22"/>
      <c r="L44" s="22"/>
      <c r="M44" s="22"/>
      <c r="N44" s="22"/>
      <c r="O44" s="22"/>
      <c r="P44" s="22"/>
      <c r="Q44" s="22"/>
      <c r="R44" s="22"/>
      <c r="S44" s="22"/>
      <c r="T44" s="22"/>
      <c r="U44" s="22"/>
      <c r="V44" s="22"/>
      <c r="W44" s="22"/>
      <c r="X44" s="22"/>
      <c r="Y44" s="23"/>
      <c r="Z44" s="22"/>
      <c r="AA44" s="22"/>
      <c r="AB44" s="22"/>
      <c r="AC44" s="22"/>
      <c r="AD44" s="22"/>
      <c r="AE44" s="22"/>
      <c r="AF44" s="22"/>
      <c r="AG44" s="22"/>
      <c r="AH44" s="22"/>
      <c r="AI44" s="22"/>
      <c r="AJ44" s="22"/>
      <c r="AK44" s="22"/>
      <c r="AL44" s="22"/>
      <c r="AM44" s="22" t="str">
        <f t="shared" ref="AM44" si="11">B44</f>
        <v>ActiveWorkbook.Close SaveChanges:=False</v>
      </c>
      <c r="AO44" t="s">
        <v>339</v>
      </c>
    </row>
    <row r="46" spans="2:41" x14ac:dyDescent="0.25">
      <c r="B46" s="19" t="s">
        <v>316</v>
      </c>
      <c r="C46" s="19"/>
      <c r="D46" s="19"/>
      <c r="E46" s="19"/>
      <c r="F46" s="19"/>
      <c r="G46" s="19"/>
      <c r="H46" s="19"/>
      <c r="I46" s="19"/>
      <c r="J46" s="19"/>
      <c r="K46" s="19"/>
      <c r="L46" s="19"/>
      <c r="M46" s="19"/>
      <c r="N46" s="19" t="s">
        <v>321</v>
      </c>
      <c r="O46" s="19"/>
      <c r="P46" s="19"/>
      <c r="Q46" s="19"/>
      <c r="R46" s="19"/>
      <c r="S46" s="19"/>
      <c r="T46" s="19"/>
      <c r="U46" s="19"/>
      <c r="V46" s="19">
        <f t="shared" ref="V46:V47" si="12">V41+1</f>
        <v>7</v>
      </c>
      <c r="W46" s="19"/>
      <c r="X46" s="19"/>
      <c r="Y46" s="21"/>
      <c r="Z46" s="19" t="s">
        <v>322</v>
      </c>
      <c r="AA46" s="19"/>
      <c r="AB46" s="19"/>
      <c r="AC46" s="19"/>
      <c r="AD46" s="19"/>
      <c r="AE46" s="19"/>
      <c r="AF46" s="19"/>
      <c r="AG46" s="19"/>
      <c r="AH46" s="19"/>
      <c r="AI46" s="19"/>
      <c r="AJ46" s="19"/>
      <c r="AK46" s="19"/>
      <c r="AL46" s="19"/>
      <c r="AM46" s="19" t="str">
        <f t="shared" ref="AM46" si="13">+_xlfn.CONCAT(N46&amp;V46&amp;Z46)</f>
        <v xml:space="preserve"> Workbooks.Open "A:\Homes for Ukraine data\Ukraine_sponsorship_data_7.ods"</v>
      </c>
      <c r="AO46" t="s">
        <v>343</v>
      </c>
    </row>
    <row r="47" spans="2:41" x14ac:dyDescent="0.25">
      <c r="B47" s="19" t="s">
        <v>318</v>
      </c>
      <c r="C47" s="19"/>
      <c r="D47" s="19"/>
      <c r="E47" s="19"/>
      <c r="F47" s="19"/>
      <c r="G47" s="19"/>
      <c r="H47" s="19"/>
      <c r="I47" s="19"/>
      <c r="J47" s="19"/>
      <c r="K47" s="19"/>
      <c r="L47" s="19"/>
      <c r="M47" s="19"/>
      <c r="N47" s="19" t="s">
        <v>323</v>
      </c>
      <c r="O47" s="19"/>
      <c r="P47" s="19"/>
      <c r="Q47" s="19"/>
      <c r="R47" s="19"/>
      <c r="S47" s="19"/>
      <c r="T47" s="19"/>
      <c r="U47" s="19"/>
      <c r="V47" s="19">
        <f t="shared" si="12"/>
        <v>7</v>
      </c>
      <c r="W47" s="19"/>
      <c r="X47" s="19"/>
      <c r="Y47" s="21"/>
      <c r="Z47" s="19" t="s">
        <v>326</v>
      </c>
      <c r="AA47" s="19"/>
      <c r="AB47" s="19"/>
      <c r="AC47" s="19"/>
      <c r="AD47" s="19"/>
      <c r="AE47" s="19" t="s">
        <v>382</v>
      </c>
      <c r="AF47" s="19">
        <v>11</v>
      </c>
      <c r="AG47" s="19" t="s">
        <v>327</v>
      </c>
      <c r="AH47" s="19"/>
      <c r="AI47" s="19">
        <v>165</v>
      </c>
      <c r="AJ47" s="19"/>
      <c r="AK47" s="19" t="s">
        <v>325</v>
      </c>
      <c r="AL47" s="19"/>
      <c r="AM47" s="19" t="str">
        <f t="shared" ref="AM47" si="14">_xlfn.CONCAT(N47&amp;V47&amp;Z47&amp;AE47&amp;AF47&amp;AG47&amp;AE47&amp;AI47&amp;AK47)</f>
        <v xml:space="preserve"> Workbooks("Ukraine_sponsorship_data_7.ods").Worksheets("UTLA_-_England").Range("D11:D165").Copy _</v>
      </c>
      <c r="AO47" t="s">
        <v>364</v>
      </c>
    </row>
    <row r="48" spans="2:41" x14ac:dyDescent="0.25">
      <c r="B48" s="19" t="s">
        <v>808</v>
      </c>
      <c r="C48" s="19"/>
      <c r="D48" s="19"/>
      <c r="E48" s="19"/>
      <c r="F48" s="19"/>
      <c r="G48" s="19"/>
      <c r="H48" s="19"/>
      <c r="I48" s="19"/>
      <c r="J48" s="19"/>
      <c r="K48" s="19"/>
      <c r="L48" s="19"/>
      <c r="M48" s="19"/>
      <c r="N48" s="19" t="s">
        <v>809</v>
      </c>
      <c r="O48" s="19"/>
      <c r="P48" s="19"/>
      <c r="Q48" s="19"/>
      <c r="R48" s="19"/>
      <c r="S48" s="19"/>
      <c r="T48" s="19"/>
      <c r="U48" s="19"/>
      <c r="V48" s="19"/>
      <c r="W48" s="19" t="str">
        <f t="shared" ref="W48" si="15">CHAR(CODE(W43)+1)</f>
        <v>N</v>
      </c>
      <c r="X48" s="19"/>
      <c r="Y48" s="21">
        <v>9</v>
      </c>
      <c r="Z48" s="19" t="s">
        <v>324</v>
      </c>
      <c r="AA48" s="19"/>
      <c r="AB48" s="19"/>
      <c r="AC48" s="19"/>
      <c r="AD48" s="19"/>
      <c r="AE48" s="19"/>
      <c r="AF48" s="19"/>
      <c r="AG48" s="19"/>
      <c r="AH48" s="19"/>
      <c r="AI48" s="19"/>
      <c r="AJ48" s="19"/>
      <c r="AK48" s="19"/>
      <c r="AL48" s="19"/>
      <c r="AM48" s="19" t="str">
        <f t="shared" ref="AM48" si="16">_xlfn.CONCAT(N48&amp;W48&amp;Y48&amp;Z48)</f>
        <v>Workbooks("HFU Forecast UTLA 1.0.xlsm").Worksheets("Combined data").Range("N9")</v>
      </c>
      <c r="AO48" t="s">
        <v>820</v>
      </c>
    </row>
    <row r="49" spans="2:41" x14ac:dyDescent="0.25">
      <c r="B49" s="19" t="s">
        <v>339</v>
      </c>
      <c r="C49" s="19"/>
      <c r="D49" s="19"/>
      <c r="E49" s="19"/>
      <c r="F49" s="19"/>
      <c r="G49" s="19"/>
      <c r="H49" s="19"/>
      <c r="I49" s="19"/>
      <c r="J49" s="19"/>
      <c r="K49" s="19"/>
      <c r="L49" s="19"/>
      <c r="M49" s="19"/>
      <c r="N49" s="19"/>
      <c r="O49" s="19"/>
      <c r="P49" s="19"/>
      <c r="Q49" s="19"/>
      <c r="R49" s="19"/>
      <c r="S49" s="19"/>
      <c r="T49" s="19"/>
      <c r="U49" s="19"/>
      <c r="V49" s="19"/>
      <c r="W49" s="19"/>
      <c r="X49" s="19"/>
      <c r="Y49" s="21"/>
      <c r="Z49" s="19"/>
      <c r="AA49" s="19"/>
      <c r="AB49" s="19"/>
      <c r="AC49" s="19"/>
      <c r="AD49" s="19"/>
      <c r="AE49" s="19"/>
      <c r="AF49" s="19"/>
      <c r="AG49" s="19"/>
      <c r="AH49" s="19"/>
      <c r="AI49" s="19"/>
      <c r="AJ49" s="19"/>
      <c r="AK49" s="19"/>
      <c r="AL49" s="19"/>
      <c r="AM49" s="19" t="str">
        <f t="shared" ref="AM49" si="17">B49</f>
        <v>ActiveWorkbook.Close SaveChanges:=False</v>
      </c>
      <c r="AO49" t="s">
        <v>339</v>
      </c>
    </row>
    <row r="51" spans="2:41" x14ac:dyDescent="0.25">
      <c r="B51" s="22" t="s">
        <v>316</v>
      </c>
      <c r="C51" s="22"/>
      <c r="D51" s="22"/>
      <c r="E51" s="22"/>
      <c r="F51" s="22"/>
      <c r="G51" s="22"/>
      <c r="H51" s="22"/>
      <c r="I51" s="22"/>
      <c r="J51" s="22"/>
      <c r="K51" s="22"/>
      <c r="L51" s="22"/>
      <c r="M51" s="22"/>
      <c r="N51" s="22" t="s">
        <v>321</v>
      </c>
      <c r="O51" s="22"/>
      <c r="P51" s="22"/>
      <c r="Q51" s="22"/>
      <c r="R51" s="22"/>
      <c r="S51" s="22"/>
      <c r="T51" s="22"/>
      <c r="U51" s="22"/>
      <c r="V51" s="22">
        <f t="shared" ref="V51:V52" si="18">V46+1</f>
        <v>8</v>
      </c>
      <c r="W51" s="22"/>
      <c r="X51" s="22"/>
      <c r="Y51" s="23"/>
      <c r="Z51" s="22" t="s">
        <v>322</v>
      </c>
      <c r="AA51" s="22"/>
      <c r="AB51" s="22"/>
      <c r="AC51" s="22"/>
      <c r="AD51" s="22"/>
      <c r="AE51" s="22"/>
      <c r="AF51" s="22"/>
      <c r="AG51" s="22"/>
      <c r="AH51" s="22"/>
      <c r="AI51" s="22"/>
      <c r="AJ51" s="22"/>
      <c r="AK51" s="22"/>
      <c r="AL51" s="22"/>
      <c r="AM51" s="22" t="str">
        <f t="shared" ref="AM51" si="19">+_xlfn.CONCAT(N51&amp;V51&amp;Z51)</f>
        <v xml:space="preserve"> Workbooks.Open "A:\Homes for Ukraine data\Ukraine_sponsorship_data_8.ods"</v>
      </c>
      <c r="AO51" t="s">
        <v>344</v>
      </c>
    </row>
    <row r="52" spans="2:41" x14ac:dyDescent="0.25">
      <c r="B52" s="22" t="s">
        <v>318</v>
      </c>
      <c r="C52" s="22"/>
      <c r="D52" s="22"/>
      <c r="E52" s="22"/>
      <c r="F52" s="22"/>
      <c r="G52" s="22"/>
      <c r="H52" s="22"/>
      <c r="I52" s="22"/>
      <c r="J52" s="22"/>
      <c r="K52" s="22"/>
      <c r="L52" s="22"/>
      <c r="M52" s="22"/>
      <c r="N52" s="22" t="s">
        <v>323</v>
      </c>
      <c r="O52" s="22"/>
      <c r="P52" s="22"/>
      <c r="Q52" s="22"/>
      <c r="R52" s="22"/>
      <c r="S52" s="22"/>
      <c r="T52" s="22"/>
      <c r="U52" s="22"/>
      <c r="V52" s="22">
        <f t="shared" si="18"/>
        <v>8</v>
      </c>
      <c r="W52" s="22"/>
      <c r="X52" s="22"/>
      <c r="Y52" s="23"/>
      <c r="Z52" s="22" t="s">
        <v>326</v>
      </c>
      <c r="AA52" s="22"/>
      <c r="AB52" s="22"/>
      <c r="AC52" s="22"/>
      <c r="AD52" s="22"/>
      <c r="AE52" s="22" t="s">
        <v>382</v>
      </c>
      <c r="AF52" s="22">
        <v>11</v>
      </c>
      <c r="AG52" s="22" t="s">
        <v>327</v>
      </c>
      <c r="AH52" s="22"/>
      <c r="AI52" s="22">
        <v>165</v>
      </c>
      <c r="AJ52" s="22"/>
      <c r="AK52" s="22" t="s">
        <v>325</v>
      </c>
      <c r="AL52" s="22"/>
      <c r="AM52" s="22" t="str">
        <f t="shared" ref="AM52" si="20">_xlfn.CONCAT(N52&amp;V52&amp;Z52&amp;AE52&amp;AF52&amp;AG52&amp;AE52&amp;AI52&amp;AK52)</f>
        <v xml:space="preserve"> Workbooks("Ukraine_sponsorship_data_8.ods").Worksheets("UTLA_-_England").Range("D11:D165").Copy _</v>
      </c>
      <c r="AO52" t="s">
        <v>365</v>
      </c>
    </row>
    <row r="53" spans="2:41" x14ac:dyDescent="0.25">
      <c r="B53" s="22" t="s">
        <v>808</v>
      </c>
      <c r="C53" s="22"/>
      <c r="D53" s="22"/>
      <c r="E53" s="22"/>
      <c r="F53" s="22"/>
      <c r="G53" s="22"/>
      <c r="H53" s="22"/>
      <c r="I53" s="22"/>
      <c r="J53" s="22"/>
      <c r="K53" s="22"/>
      <c r="L53" s="22"/>
      <c r="M53" s="22"/>
      <c r="N53" s="22" t="s">
        <v>809</v>
      </c>
      <c r="O53" s="22"/>
      <c r="P53" s="22"/>
      <c r="Q53" s="22"/>
      <c r="R53" s="22"/>
      <c r="S53" s="22"/>
      <c r="T53" s="22"/>
      <c r="U53" s="22"/>
      <c r="V53" s="22"/>
      <c r="W53" s="22" t="str">
        <f t="shared" ref="W53" si="21">CHAR(CODE(W48)+1)</f>
        <v>O</v>
      </c>
      <c r="X53" s="22"/>
      <c r="Y53" s="23">
        <v>9</v>
      </c>
      <c r="Z53" s="22" t="s">
        <v>324</v>
      </c>
      <c r="AA53" s="22"/>
      <c r="AB53" s="22"/>
      <c r="AC53" s="22"/>
      <c r="AD53" s="22"/>
      <c r="AE53" s="22"/>
      <c r="AF53" s="22"/>
      <c r="AG53" s="22"/>
      <c r="AH53" s="22"/>
      <c r="AI53" s="22"/>
      <c r="AJ53" s="22"/>
      <c r="AK53" s="22"/>
      <c r="AL53" s="22"/>
      <c r="AM53" s="22" t="str">
        <f t="shared" ref="AM53" si="22">_xlfn.CONCAT(N53&amp;W53&amp;Y53&amp;Z53)</f>
        <v>Workbooks("HFU Forecast UTLA 1.0.xlsm").Worksheets("Combined data").Range("O9")</v>
      </c>
      <c r="AO53" t="s">
        <v>821</v>
      </c>
    </row>
    <row r="54" spans="2:41" x14ac:dyDescent="0.25">
      <c r="B54" s="22" t="s">
        <v>339</v>
      </c>
      <c r="C54" s="22"/>
      <c r="D54" s="22"/>
      <c r="E54" s="22"/>
      <c r="F54" s="22"/>
      <c r="G54" s="22"/>
      <c r="H54" s="22"/>
      <c r="I54" s="22"/>
      <c r="J54" s="22"/>
      <c r="K54" s="22"/>
      <c r="L54" s="22"/>
      <c r="M54" s="22"/>
      <c r="N54" s="22"/>
      <c r="O54" s="22"/>
      <c r="P54" s="22"/>
      <c r="Q54" s="22"/>
      <c r="R54" s="22"/>
      <c r="S54" s="22"/>
      <c r="T54" s="22"/>
      <c r="U54" s="22"/>
      <c r="V54" s="22"/>
      <c r="W54" s="22"/>
      <c r="X54" s="22"/>
      <c r="Y54" s="23"/>
      <c r="Z54" s="22"/>
      <c r="AA54" s="22"/>
      <c r="AB54" s="22"/>
      <c r="AC54" s="22"/>
      <c r="AD54" s="22"/>
      <c r="AE54" s="22"/>
      <c r="AF54" s="22"/>
      <c r="AG54" s="22"/>
      <c r="AH54" s="22"/>
      <c r="AI54" s="22"/>
      <c r="AJ54" s="22"/>
      <c r="AK54" s="22"/>
      <c r="AL54" s="22"/>
      <c r="AM54" s="22" t="str">
        <f t="shared" ref="AM54" si="23">B54</f>
        <v>ActiveWorkbook.Close SaveChanges:=False</v>
      </c>
      <c r="AO54" t="s">
        <v>339</v>
      </c>
    </row>
    <row r="56" spans="2:41" x14ac:dyDescent="0.25">
      <c r="B56" s="19" t="s">
        <v>316</v>
      </c>
      <c r="C56" s="19"/>
      <c r="D56" s="19"/>
      <c r="E56" s="19"/>
      <c r="F56" s="19"/>
      <c r="G56" s="19"/>
      <c r="H56" s="19"/>
      <c r="I56" s="19"/>
      <c r="J56" s="19"/>
      <c r="K56" s="19"/>
      <c r="L56" s="19"/>
      <c r="M56" s="19"/>
      <c r="N56" s="19" t="s">
        <v>321</v>
      </c>
      <c r="O56" s="19"/>
      <c r="P56" s="19"/>
      <c r="Q56" s="19"/>
      <c r="R56" s="19"/>
      <c r="S56" s="19"/>
      <c r="T56" s="19"/>
      <c r="U56" s="19"/>
      <c r="V56" s="19">
        <f t="shared" ref="V56:V57" si="24">V51+1</f>
        <v>9</v>
      </c>
      <c r="W56" s="19"/>
      <c r="X56" s="19"/>
      <c r="Y56" s="21"/>
      <c r="Z56" s="19" t="s">
        <v>322</v>
      </c>
      <c r="AA56" s="19"/>
      <c r="AB56" s="19"/>
      <c r="AC56" s="19"/>
      <c r="AD56" s="19"/>
      <c r="AE56" s="19"/>
      <c r="AF56" s="19"/>
      <c r="AG56" s="19"/>
      <c r="AH56" s="19"/>
      <c r="AI56" s="19"/>
      <c r="AJ56" s="19"/>
      <c r="AK56" s="19"/>
      <c r="AL56" s="19"/>
      <c r="AM56" s="19" t="str">
        <f t="shared" ref="AM56" si="25">+_xlfn.CONCAT(N56&amp;V56&amp;Z56)</f>
        <v xml:space="preserve"> Workbooks.Open "A:\Homes for Ukraine data\Ukraine_sponsorship_data_9.ods"</v>
      </c>
      <c r="AO56" t="s">
        <v>345</v>
      </c>
    </row>
    <row r="57" spans="2:41" x14ac:dyDescent="0.25">
      <c r="B57" s="19" t="s">
        <v>318</v>
      </c>
      <c r="C57" s="19"/>
      <c r="D57" s="19"/>
      <c r="E57" s="19"/>
      <c r="F57" s="19"/>
      <c r="G57" s="19"/>
      <c r="H57" s="19"/>
      <c r="I57" s="19"/>
      <c r="J57" s="19"/>
      <c r="K57" s="19"/>
      <c r="L57" s="19"/>
      <c r="M57" s="19"/>
      <c r="N57" s="19" t="s">
        <v>323</v>
      </c>
      <c r="O57" s="19"/>
      <c r="P57" s="19"/>
      <c r="Q57" s="19"/>
      <c r="R57" s="19"/>
      <c r="S57" s="19"/>
      <c r="T57" s="19"/>
      <c r="U57" s="19"/>
      <c r="V57" s="19">
        <f t="shared" si="24"/>
        <v>9</v>
      </c>
      <c r="W57" s="19"/>
      <c r="X57" s="19"/>
      <c r="Y57" s="21"/>
      <c r="Z57" s="19" t="s">
        <v>326</v>
      </c>
      <c r="AA57" s="19"/>
      <c r="AB57" s="19"/>
      <c r="AC57" s="19"/>
      <c r="AD57" s="19"/>
      <c r="AE57" s="19" t="s">
        <v>382</v>
      </c>
      <c r="AF57" s="19">
        <v>11</v>
      </c>
      <c r="AG57" s="19" t="s">
        <v>327</v>
      </c>
      <c r="AH57" s="19"/>
      <c r="AI57" s="19">
        <v>165</v>
      </c>
      <c r="AJ57" s="19"/>
      <c r="AK57" s="19" t="s">
        <v>325</v>
      </c>
      <c r="AL57" s="19"/>
      <c r="AM57" s="19" t="str">
        <f t="shared" ref="AM57" si="26">_xlfn.CONCAT(N57&amp;V57&amp;Z57&amp;AE57&amp;AF57&amp;AG57&amp;AE57&amp;AI57&amp;AK57)</f>
        <v xml:space="preserve"> Workbooks("Ukraine_sponsorship_data_9.ods").Worksheets("UTLA_-_England").Range("D11:D165").Copy _</v>
      </c>
      <c r="AO57" t="s">
        <v>366</v>
      </c>
    </row>
    <row r="58" spans="2:41" x14ac:dyDescent="0.25">
      <c r="B58" s="19" t="s">
        <v>808</v>
      </c>
      <c r="C58" s="19"/>
      <c r="D58" s="19"/>
      <c r="E58" s="19"/>
      <c r="F58" s="19"/>
      <c r="G58" s="19"/>
      <c r="H58" s="19"/>
      <c r="I58" s="19"/>
      <c r="J58" s="19"/>
      <c r="K58" s="19"/>
      <c r="L58" s="19"/>
      <c r="M58" s="19"/>
      <c r="N58" s="19" t="s">
        <v>809</v>
      </c>
      <c r="O58" s="19"/>
      <c r="P58" s="19"/>
      <c r="Q58" s="19"/>
      <c r="R58" s="19"/>
      <c r="S58" s="19"/>
      <c r="T58" s="19"/>
      <c r="U58" s="19"/>
      <c r="V58" s="19"/>
      <c r="W58" s="19" t="str">
        <f t="shared" ref="W58" si="27">CHAR(CODE(W53)+1)</f>
        <v>P</v>
      </c>
      <c r="X58" s="19"/>
      <c r="Y58" s="21">
        <v>9</v>
      </c>
      <c r="Z58" s="19" t="s">
        <v>324</v>
      </c>
      <c r="AA58" s="19"/>
      <c r="AB58" s="19"/>
      <c r="AC58" s="19"/>
      <c r="AD58" s="19"/>
      <c r="AE58" s="19"/>
      <c r="AF58" s="19"/>
      <c r="AG58" s="19"/>
      <c r="AH58" s="19"/>
      <c r="AI58" s="19"/>
      <c r="AJ58" s="19"/>
      <c r="AK58" s="19"/>
      <c r="AL58" s="19"/>
      <c r="AM58" s="19" t="str">
        <f t="shared" ref="AM58" si="28">_xlfn.CONCAT(N58&amp;W58&amp;Y58&amp;Z58)</f>
        <v>Workbooks("HFU Forecast UTLA 1.0.xlsm").Worksheets("Combined data").Range("P9")</v>
      </c>
      <c r="AO58" t="s">
        <v>822</v>
      </c>
    </row>
    <row r="59" spans="2:41" x14ac:dyDescent="0.25">
      <c r="B59" s="19" t="s">
        <v>339</v>
      </c>
      <c r="C59" s="19"/>
      <c r="D59" s="19"/>
      <c r="E59" s="19"/>
      <c r="F59" s="19"/>
      <c r="G59" s="19"/>
      <c r="H59" s="19"/>
      <c r="I59" s="19"/>
      <c r="J59" s="19"/>
      <c r="K59" s="19"/>
      <c r="L59" s="19"/>
      <c r="M59" s="19"/>
      <c r="N59" s="19"/>
      <c r="O59" s="19"/>
      <c r="P59" s="19"/>
      <c r="Q59" s="19"/>
      <c r="R59" s="19"/>
      <c r="S59" s="19"/>
      <c r="T59" s="19"/>
      <c r="U59" s="19"/>
      <c r="V59" s="19"/>
      <c r="W59" s="19"/>
      <c r="X59" s="19"/>
      <c r="Y59" s="21"/>
      <c r="Z59" s="19"/>
      <c r="AA59" s="19"/>
      <c r="AB59" s="19"/>
      <c r="AC59" s="19"/>
      <c r="AD59" s="19"/>
      <c r="AE59" s="19"/>
      <c r="AF59" s="19"/>
      <c r="AG59" s="19"/>
      <c r="AH59" s="19"/>
      <c r="AI59" s="19"/>
      <c r="AJ59" s="19"/>
      <c r="AK59" s="19"/>
      <c r="AL59" s="19"/>
      <c r="AM59" s="19" t="str">
        <f t="shared" ref="AM59" si="29">B59</f>
        <v>ActiveWorkbook.Close SaveChanges:=False</v>
      </c>
      <c r="AO59" t="s">
        <v>339</v>
      </c>
    </row>
    <row r="61" spans="2:41" x14ac:dyDescent="0.25">
      <c r="B61" s="22" t="s">
        <v>316</v>
      </c>
      <c r="C61" s="22"/>
      <c r="D61" s="22"/>
      <c r="E61" s="22"/>
      <c r="F61" s="22"/>
      <c r="G61" s="22"/>
      <c r="H61" s="22"/>
      <c r="I61" s="22"/>
      <c r="J61" s="22"/>
      <c r="K61" s="22"/>
      <c r="L61" s="22"/>
      <c r="M61" s="22"/>
      <c r="N61" s="22" t="s">
        <v>321</v>
      </c>
      <c r="O61" s="22"/>
      <c r="P61" s="22"/>
      <c r="Q61" s="22"/>
      <c r="R61" s="22"/>
      <c r="S61" s="22"/>
      <c r="T61" s="22"/>
      <c r="U61" s="22"/>
      <c r="V61" s="22">
        <f t="shared" ref="V61:V62" si="30">V56+1</f>
        <v>10</v>
      </c>
      <c r="W61" s="22"/>
      <c r="X61" s="22"/>
      <c r="Y61" s="23"/>
      <c r="Z61" s="22" t="s">
        <v>322</v>
      </c>
      <c r="AA61" s="22"/>
      <c r="AB61" s="22"/>
      <c r="AC61" s="22"/>
      <c r="AD61" s="22"/>
      <c r="AE61" s="22"/>
      <c r="AF61" s="22"/>
      <c r="AG61" s="22"/>
      <c r="AH61" s="22"/>
      <c r="AI61" s="22"/>
      <c r="AJ61" s="22"/>
      <c r="AK61" s="22"/>
      <c r="AL61" s="22"/>
      <c r="AM61" s="22" t="str">
        <f t="shared" ref="AM61" si="31">+_xlfn.CONCAT(N61&amp;V61&amp;Z61)</f>
        <v xml:space="preserve"> Workbooks.Open "A:\Homes for Ukraine data\Ukraine_sponsorship_data_10.ods"</v>
      </c>
      <c r="AO61" t="s">
        <v>346</v>
      </c>
    </row>
    <row r="62" spans="2:41" x14ac:dyDescent="0.25">
      <c r="B62" s="22" t="s">
        <v>318</v>
      </c>
      <c r="C62" s="22"/>
      <c r="D62" s="22"/>
      <c r="E62" s="22"/>
      <c r="F62" s="22"/>
      <c r="G62" s="22"/>
      <c r="H62" s="22"/>
      <c r="I62" s="22"/>
      <c r="J62" s="22"/>
      <c r="K62" s="22"/>
      <c r="L62" s="22"/>
      <c r="M62" s="22"/>
      <c r="N62" s="22" t="s">
        <v>323</v>
      </c>
      <c r="O62" s="22"/>
      <c r="P62" s="22"/>
      <c r="Q62" s="22"/>
      <c r="R62" s="22"/>
      <c r="S62" s="22"/>
      <c r="T62" s="22"/>
      <c r="U62" s="22"/>
      <c r="V62" s="22">
        <f t="shared" si="30"/>
        <v>10</v>
      </c>
      <c r="W62" s="22"/>
      <c r="X62" s="22"/>
      <c r="Y62" s="23"/>
      <c r="Z62" s="22" t="s">
        <v>326</v>
      </c>
      <c r="AA62" s="22"/>
      <c r="AB62" s="22"/>
      <c r="AC62" s="22"/>
      <c r="AD62" s="22"/>
      <c r="AE62" s="22" t="s">
        <v>382</v>
      </c>
      <c r="AF62" s="22">
        <v>11</v>
      </c>
      <c r="AG62" s="22" t="s">
        <v>327</v>
      </c>
      <c r="AH62" s="22"/>
      <c r="AI62" s="22">
        <v>165</v>
      </c>
      <c r="AJ62" s="22"/>
      <c r="AK62" s="22" t="s">
        <v>325</v>
      </c>
      <c r="AL62" s="22"/>
      <c r="AM62" s="22" t="str">
        <f t="shared" ref="AM62" si="32">_xlfn.CONCAT(N62&amp;V62&amp;Z62&amp;AE62&amp;AF62&amp;AG62&amp;AE62&amp;AI62&amp;AK62)</f>
        <v xml:space="preserve"> Workbooks("Ukraine_sponsorship_data_10.ods").Worksheets("UTLA_-_England").Range("D11:D165").Copy _</v>
      </c>
      <c r="AO62" t="s">
        <v>367</v>
      </c>
    </row>
    <row r="63" spans="2:41" x14ac:dyDescent="0.25">
      <c r="B63" s="22" t="s">
        <v>808</v>
      </c>
      <c r="C63" s="22"/>
      <c r="D63" s="22"/>
      <c r="E63" s="22"/>
      <c r="F63" s="22"/>
      <c r="G63" s="22"/>
      <c r="H63" s="22"/>
      <c r="I63" s="22"/>
      <c r="J63" s="22"/>
      <c r="K63" s="22"/>
      <c r="L63" s="22"/>
      <c r="M63" s="22"/>
      <c r="N63" s="22" t="s">
        <v>809</v>
      </c>
      <c r="O63" s="22"/>
      <c r="P63" s="22"/>
      <c r="Q63" s="22"/>
      <c r="R63" s="22"/>
      <c r="S63" s="22"/>
      <c r="T63" s="22"/>
      <c r="U63" s="22"/>
      <c r="V63" s="22"/>
      <c r="W63" s="22" t="str">
        <f t="shared" ref="W63" si="33">CHAR(CODE(W58)+1)</f>
        <v>Q</v>
      </c>
      <c r="X63" s="22"/>
      <c r="Y63" s="23">
        <v>9</v>
      </c>
      <c r="Z63" s="22" t="s">
        <v>324</v>
      </c>
      <c r="AA63" s="22"/>
      <c r="AB63" s="22"/>
      <c r="AC63" s="22"/>
      <c r="AD63" s="22"/>
      <c r="AE63" s="22"/>
      <c r="AF63" s="22"/>
      <c r="AG63" s="22"/>
      <c r="AH63" s="22"/>
      <c r="AI63" s="22"/>
      <c r="AJ63" s="22"/>
      <c r="AK63" s="22"/>
      <c r="AL63" s="22"/>
      <c r="AM63" s="22" t="str">
        <f t="shared" ref="AM63" si="34">_xlfn.CONCAT(N63&amp;W63&amp;Y63&amp;Z63)</f>
        <v>Workbooks("HFU Forecast UTLA 1.0.xlsm").Worksheets("Combined data").Range("Q9")</v>
      </c>
      <c r="AO63" t="s">
        <v>823</v>
      </c>
    </row>
    <row r="64" spans="2:41" x14ac:dyDescent="0.25">
      <c r="B64" s="22" t="s">
        <v>339</v>
      </c>
      <c r="C64" s="22"/>
      <c r="D64" s="22"/>
      <c r="E64" s="22"/>
      <c r="F64" s="22"/>
      <c r="G64" s="22"/>
      <c r="H64" s="22"/>
      <c r="I64" s="22"/>
      <c r="J64" s="22"/>
      <c r="K64" s="22"/>
      <c r="L64" s="22"/>
      <c r="M64" s="22"/>
      <c r="N64" s="22"/>
      <c r="O64" s="22"/>
      <c r="P64" s="22"/>
      <c r="Q64" s="22"/>
      <c r="R64" s="22"/>
      <c r="S64" s="22"/>
      <c r="T64" s="22"/>
      <c r="U64" s="22"/>
      <c r="V64" s="22"/>
      <c r="W64" s="22"/>
      <c r="X64" s="22"/>
      <c r="Y64" s="23"/>
      <c r="Z64" s="22"/>
      <c r="AA64" s="22"/>
      <c r="AB64" s="22"/>
      <c r="AC64" s="22"/>
      <c r="AD64" s="22"/>
      <c r="AE64" s="22"/>
      <c r="AF64" s="22"/>
      <c r="AG64" s="22"/>
      <c r="AH64" s="22"/>
      <c r="AI64" s="22"/>
      <c r="AJ64" s="22"/>
      <c r="AK64" s="22"/>
      <c r="AL64" s="22"/>
      <c r="AM64" s="22" t="str">
        <f t="shared" ref="AM64" si="35">B64</f>
        <v>ActiveWorkbook.Close SaveChanges:=False</v>
      </c>
      <c r="AO64" t="s">
        <v>339</v>
      </c>
    </row>
    <row r="66" spans="2:41" x14ac:dyDescent="0.25">
      <c r="B66" s="19" t="s">
        <v>316</v>
      </c>
      <c r="C66" s="19"/>
      <c r="D66" s="19"/>
      <c r="E66" s="19"/>
      <c r="F66" s="19"/>
      <c r="G66" s="19"/>
      <c r="H66" s="19"/>
      <c r="I66" s="19"/>
      <c r="J66" s="19"/>
      <c r="K66" s="19"/>
      <c r="L66" s="19"/>
      <c r="M66" s="19"/>
      <c r="N66" s="19" t="s">
        <v>321</v>
      </c>
      <c r="O66" s="19"/>
      <c r="P66" s="19"/>
      <c r="Q66" s="19"/>
      <c r="R66" s="19"/>
      <c r="S66" s="19"/>
      <c r="T66" s="19"/>
      <c r="U66" s="19"/>
      <c r="V66" s="19">
        <f t="shared" ref="V66:V67" si="36">V61+1</f>
        <v>11</v>
      </c>
      <c r="W66" s="19"/>
      <c r="X66" s="19"/>
      <c r="Y66" s="21"/>
      <c r="Z66" s="19" t="s">
        <v>322</v>
      </c>
      <c r="AA66" s="19"/>
      <c r="AB66" s="19"/>
      <c r="AC66" s="19"/>
      <c r="AD66" s="19"/>
      <c r="AE66" s="19"/>
      <c r="AF66" s="19"/>
      <c r="AG66" s="19"/>
      <c r="AH66" s="19"/>
      <c r="AI66" s="19"/>
      <c r="AJ66" s="19"/>
      <c r="AK66" s="19"/>
      <c r="AL66" s="19"/>
      <c r="AM66" s="19" t="str">
        <f t="shared" ref="AM66" si="37">+_xlfn.CONCAT(N66&amp;V66&amp;Z66)</f>
        <v xml:space="preserve"> Workbooks.Open "A:\Homes for Ukraine data\Ukraine_sponsorship_data_11.ods"</v>
      </c>
      <c r="AO66" t="s">
        <v>347</v>
      </c>
    </row>
    <row r="67" spans="2:41" x14ac:dyDescent="0.25">
      <c r="B67" s="19" t="s">
        <v>318</v>
      </c>
      <c r="C67" s="19"/>
      <c r="D67" s="19"/>
      <c r="E67" s="19"/>
      <c r="F67" s="19"/>
      <c r="G67" s="19"/>
      <c r="H67" s="19"/>
      <c r="I67" s="19"/>
      <c r="J67" s="19"/>
      <c r="K67" s="19"/>
      <c r="L67" s="19"/>
      <c r="M67" s="19"/>
      <c r="N67" s="19" t="s">
        <v>323</v>
      </c>
      <c r="O67" s="19"/>
      <c r="P67" s="19"/>
      <c r="Q67" s="19"/>
      <c r="R67" s="19"/>
      <c r="S67" s="19"/>
      <c r="T67" s="19"/>
      <c r="U67" s="19"/>
      <c r="V67" s="19">
        <f t="shared" si="36"/>
        <v>11</v>
      </c>
      <c r="W67" s="19"/>
      <c r="X67" s="19"/>
      <c r="Y67" s="21"/>
      <c r="Z67" s="19" t="s">
        <v>326</v>
      </c>
      <c r="AA67" s="19"/>
      <c r="AB67" s="19"/>
      <c r="AC67" s="19"/>
      <c r="AD67" s="19"/>
      <c r="AE67" s="19" t="s">
        <v>382</v>
      </c>
      <c r="AF67" s="19">
        <v>11</v>
      </c>
      <c r="AG67" s="19" t="s">
        <v>327</v>
      </c>
      <c r="AH67" s="19"/>
      <c r="AI67" s="19">
        <v>165</v>
      </c>
      <c r="AJ67" s="19"/>
      <c r="AK67" s="19" t="s">
        <v>325</v>
      </c>
      <c r="AL67" s="19"/>
      <c r="AM67" s="19" t="str">
        <f t="shared" ref="AM67" si="38">_xlfn.CONCAT(N67&amp;V67&amp;Z67&amp;AE67&amp;AF67&amp;AG67&amp;AE67&amp;AI67&amp;AK67)</f>
        <v xml:space="preserve"> Workbooks("Ukraine_sponsorship_data_11.ods").Worksheets("UTLA_-_England").Range("D11:D165").Copy _</v>
      </c>
      <c r="AO67" t="s">
        <v>368</v>
      </c>
    </row>
    <row r="68" spans="2:41" x14ac:dyDescent="0.25">
      <c r="B68" s="19" t="s">
        <v>808</v>
      </c>
      <c r="C68" s="19"/>
      <c r="D68" s="19"/>
      <c r="E68" s="19"/>
      <c r="F68" s="19"/>
      <c r="G68" s="19"/>
      <c r="H68" s="19"/>
      <c r="I68" s="19"/>
      <c r="J68" s="19"/>
      <c r="K68" s="19"/>
      <c r="L68" s="19"/>
      <c r="M68" s="19"/>
      <c r="N68" s="19" t="s">
        <v>809</v>
      </c>
      <c r="O68" s="19"/>
      <c r="P68" s="19"/>
      <c r="Q68" s="19"/>
      <c r="R68" s="19"/>
      <c r="S68" s="19"/>
      <c r="T68" s="19"/>
      <c r="U68" s="19"/>
      <c r="V68" s="19"/>
      <c r="W68" s="19" t="str">
        <f t="shared" ref="W68" si="39">CHAR(CODE(W63)+1)</f>
        <v>R</v>
      </c>
      <c r="X68" s="19"/>
      <c r="Y68" s="21">
        <v>9</v>
      </c>
      <c r="Z68" s="19" t="s">
        <v>324</v>
      </c>
      <c r="AA68" s="19"/>
      <c r="AB68" s="19"/>
      <c r="AC68" s="19"/>
      <c r="AD68" s="19"/>
      <c r="AE68" s="19"/>
      <c r="AF68" s="19"/>
      <c r="AG68" s="19"/>
      <c r="AH68" s="19"/>
      <c r="AI68" s="19"/>
      <c r="AJ68" s="19"/>
      <c r="AK68" s="19"/>
      <c r="AL68" s="19"/>
      <c r="AM68" s="19" t="str">
        <f t="shared" ref="AM68" si="40">_xlfn.CONCAT(N68&amp;W68&amp;Y68&amp;Z68)</f>
        <v>Workbooks("HFU Forecast UTLA 1.0.xlsm").Worksheets("Combined data").Range("R9")</v>
      </c>
      <c r="AO68" t="s">
        <v>824</v>
      </c>
    </row>
    <row r="69" spans="2:41" x14ac:dyDescent="0.25">
      <c r="B69" s="19" t="s">
        <v>339</v>
      </c>
      <c r="C69" s="19"/>
      <c r="D69" s="19"/>
      <c r="E69" s="19"/>
      <c r="F69" s="19"/>
      <c r="G69" s="19"/>
      <c r="H69" s="19"/>
      <c r="I69" s="19"/>
      <c r="J69" s="19"/>
      <c r="K69" s="19"/>
      <c r="L69" s="19"/>
      <c r="M69" s="19"/>
      <c r="N69" s="19"/>
      <c r="O69" s="19"/>
      <c r="P69" s="19"/>
      <c r="Q69" s="19"/>
      <c r="R69" s="19"/>
      <c r="S69" s="19"/>
      <c r="T69" s="19"/>
      <c r="U69" s="19"/>
      <c r="V69" s="19"/>
      <c r="W69" s="19"/>
      <c r="X69" s="19"/>
      <c r="Y69" s="21"/>
      <c r="Z69" s="19"/>
      <c r="AA69" s="19"/>
      <c r="AB69" s="19"/>
      <c r="AC69" s="19"/>
      <c r="AD69" s="19"/>
      <c r="AE69" s="19"/>
      <c r="AF69" s="19"/>
      <c r="AG69" s="19"/>
      <c r="AH69" s="19"/>
      <c r="AI69" s="19"/>
      <c r="AJ69" s="19"/>
      <c r="AK69" s="19"/>
      <c r="AL69" s="19"/>
      <c r="AM69" s="19" t="str">
        <f t="shared" ref="AM69" si="41">B69</f>
        <v>ActiveWorkbook.Close SaveChanges:=False</v>
      </c>
      <c r="AO69" t="s">
        <v>339</v>
      </c>
    </row>
    <row r="71" spans="2:41" x14ac:dyDescent="0.25">
      <c r="B71" s="22" t="s">
        <v>316</v>
      </c>
      <c r="C71" s="22"/>
      <c r="D71" s="22"/>
      <c r="E71" s="22"/>
      <c r="F71" s="22"/>
      <c r="G71" s="22"/>
      <c r="H71" s="22"/>
      <c r="I71" s="22"/>
      <c r="J71" s="22"/>
      <c r="K71" s="22"/>
      <c r="L71" s="22"/>
      <c r="M71" s="22"/>
      <c r="N71" s="22" t="s">
        <v>321</v>
      </c>
      <c r="O71" s="22"/>
      <c r="P71" s="22"/>
      <c r="Q71" s="22"/>
      <c r="R71" s="22"/>
      <c r="S71" s="22"/>
      <c r="T71" s="22"/>
      <c r="U71" s="22"/>
      <c r="V71" s="22">
        <f t="shared" ref="V71:V72" si="42">V66+1</f>
        <v>12</v>
      </c>
      <c r="W71" s="22"/>
      <c r="X71" s="22"/>
      <c r="Y71" s="23"/>
      <c r="Z71" s="22" t="s">
        <v>322</v>
      </c>
      <c r="AA71" s="22"/>
      <c r="AB71" s="22"/>
      <c r="AC71" s="22"/>
      <c r="AD71" s="22"/>
      <c r="AE71" s="22"/>
      <c r="AF71" s="22"/>
      <c r="AG71" s="22"/>
      <c r="AH71" s="22"/>
      <c r="AI71" s="22"/>
      <c r="AJ71" s="22"/>
      <c r="AK71" s="22"/>
      <c r="AL71" s="22"/>
      <c r="AM71" s="22" t="str">
        <f t="shared" ref="AM71" si="43">+_xlfn.CONCAT(N71&amp;V71&amp;Z71)</f>
        <v xml:space="preserve"> Workbooks.Open "A:\Homes for Ukraine data\Ukraine_sponsorship_data_12.ods"</v>
      </c>
      <c r="AO71" t="s">
        <v>348</v>
      </c>
    </row>
    <row r="72" spans="2:41" x14ac:dyDescent="0.25">
      <c r="B72" s="22" t="s">
        <v>318</v>
      </c>
      <c r="C72" s="22"/>
      <c r="D72" s="22"/>
      <c r="E72" s="22"/>
      <c r="F72" s="22"/>
      <c r="G72" s="22"/>
      <c r="H72" s="22"/>
      <c r="I72" s="22"/>
      <c r="J72" s="22"/>
      <c r="K72" s="22"/>
      <c r="L72" s="22"/>
      <c r="M72" s="22"/>
      <c r="N72" s="22" t="s">
        <v>323</v>
      </c>
      <c r="O72" s="22"/>
      <c r="P72" s="22"/>
      <c r="Q72" s="22"/>
      <c r="R72" s="22"/>
      <c r="S72" s="22"/>
      <c r="T72" s="22"/>
      <c r="U72" s="22"/>
      <c r="V72" s="22">
        <f t="shared" si="42"/>
        <v>12</v>
      </c>
      <c r="W72" s="22"/>
      <c r="X72" s="22"/>
      <c r="Y72" s="23"/>
      <c r="Z72" s="22" t="s">
        <v>326</v>
      </c>
      <c r="AA72" s="22"/>
      <c r="AB72" s="22"/>
      <c r="AC72" s="22"/>
      <c r="AD72" s="22"/>
      <c r="AE72" s="22" t="s">
        <v>382</v>
      </c>
      <c r="AF72" s="22">
        <v>11</v>
      </c>
      <c r="AG72" s="22" t="s">
        <v>327</v>
      </c>
      <c r="AH72" s="22"/>
      <c r="AI72" s="22">
        <v>165</v>
      </c>
      <c r="AJ72" s="22"/>
      <c r="AK72" s="22" t="s">
        <v>325</v>
      </c>
      <c r="AL72" s="22"/>
      <c r="AM72" s="22" t="str">
        <f t="shared" ref="AM72" si="44">_xlfn.CONCAT(N72&amp;V72&amp;Z72&amp;AE72&amp;AF72&amp;AG72&amp;AE72&amp;AI72&amp;AK72)</f>
        <v xml:space="preserve"> Workbooks("Ukraine_sponsorship_data_12.ods").Worksheets("UTLA_-_England").Range("D11:D165").Copy _</v>
      </c>
      <c r="AO72" t="s">
        <v>369</v>
      </c>
    </row>
    <row r="73" spans="2:41" x14ac:dyDescent="0.25">
      <c r="B73" s="22" t="s">
        <v>808</v>
      </c>
      <c r="C73" s="22"/>
      <c r="D73" s="22"/>
      <c r="E73" s="22"/>
      <c r="F73" s="22"/>
      <c r="G73" s="22"/>
      <c r="H73" s="22"/>
      <c r="I73" s="22"/>
      <c r="J73" s="22"/>
      <c r="K73" s="22"/>
      <c r="L73" s="22"/>
      <c r="M73" s="22"/>
      <c r="N73" s="22" t="s">
        <v>809</v>
      </c>
      <c r="O73" s="22"/>
      <c r="P73" s="22"/>
      <c r="Q73" s="22"/>
      <c r="R73" s="22"/>
      <c r="S73" s="22"/>
      <c r="T73" s="22"/>
      <c r="U73" s="22"/>
      <c r="V73" s="22"/>
      <c r="W73" s="22" t="str">
        <f t="shared" ref="W73" si="45">CHAR(CODE(W68)+1)</f>
        <v>S</v>
      </c>
      <c r="X73" s="22"/>
      <c r="Y73" s="23">
        <v>9</v>
      </c>
      <c r="Z73" s="22" t="s">
        <v>324</v>
      </c>
      <c r="AA73" s="22"/>
      <c r="AB73" s="22"/>
      <c r="AC73" s="22"/>
      <c r="AD73" s="22"/>
      <c r="AE73" s="22"/>
      <c r="AF73" s="22"/>
      <c r="AG73" s="22"/>
      <c r="AH73" s="22"/>
      <c r="AI73" s="22"/>
      <c r="AJ73" s="22"/>
      <c r="AK73" s="22"/>
      <c r="AL73" s="22"/>
      <c r="AM73" s="22" t="str">
        <f t="shared" ref="AM73" si="46">_xlfn.CONCAT(N73&amp;W73&amp;Y73&amp;Z73)</f>
        <v>Workbooks("HFU Forecast UTLA 1.0.xlsm").Worksheets("Combined data").Range("S9")</v>
      </c>
      <c r="AO73" t="s">
        <v>825</v>
      </c>
    </row>
    <row r="74" spans="2:41" x14ac:dyDescent="0.25">
      <c r="B74" s="22" t="s">
        <v>339</v>
      </c>
      <c r="C74" s="22"/>
      <c r="D74" s="22"/>
      <c r="E74" s="22"/>
      <c r="F74" s="22"/>
      <c r="G74" s="22"/>
      <c r="H74" s="22"/>
      <c r="I74" s="22"/>
      <c r="J74" s="22"/>
      <c r="K74" s="22"/>
      <c r="L74" s="22"/>
      <c r="M74" s="22"/>
      <c r="N74" s="22"/>
      <c r="O74" s="22"/>
      <c r="P74" s="22"/>
      <c r="Q74" s="22"/>
      <c r="R74" s="22"/>
      <c r="S74" s="22"/>
      <c r="T74" s="22"/>
      <c r="U74" s="22"/>
      <c r="V74" s="22"/>
      <c r="W74" s="22"/>
      <c r="X74" s="22"/>
      <c r="Y74" s="23"/>
      <c r="Z74" s="22"/>
      <c r="AA74" s="22"/>
      <c r="AB74" s="22"/>
      <c r="AC74" s="22"/>
      <c r="AD74" s="22"/>
      <c r="AE74" s="22"/>
      <c r="AF74" s="22"/>
      <c r="AG74" s="22"/>
      <c r="AH74" s="22"/>
      <c r="AI74" s="22"/>
      <c r="AJ74" s="22"/>
      <c r="AK74" s="22"/>
      <c r="AL74" s="22"/>
      <c r="AM74" s="22" t="str">
        <f t="shared" ref="AM74" si="47">B74</f>
        <v>ActiveWorkbook.Close SaveChanges:=False</v>
      </c>
      <c r="AO74" t="s">
        <v>339</v>
      </c>
    </row>
    <row r="76" spans="2:41" x14ac:dyDescent="0.25">
      <c r="B76" s="19" t="s">
        <v>316</v>
      </c>
      <c r="C76" s="19"/>
      <c r="D76" s="19"/>
      <c r="E76" s="19"/>
      <c r="F76" s="19"/>
      <c r="G76" s="19"/>
      <c r="H76" s="19"/>
      <c r="I76" s="19"/>
      <c r="J76" s="19"/>
      <c r="K76" s="19"/>
      <c r="L76" s="19"/>
      <c r="M76" s="19"/>
      <c r="N76" s="19" t="s">
        <v>321</v>
      </c>
      <c r="O76" s="19"/>
      <c r="P76" s="19"/>
      <c r="Q76" s="19"/>
      <c r="R76" s="19"/>
      <c r="S76" s="19"/>
      <c r="T76" s="19"/>
      <c r="U76" s="19"/>
      <c r="V76" s="19">
        <f t="shared" ref="V76:V77" si="48">V71+1</f>
        <v>13</v>
      </c>
      <c r="W76" s="19"/>
      <c r="X76" s="19"/>
      <c r="Y76" s="21"/>
      <c r="Z76" s="19" t="s">
        <v>322</v>
      </c>
      <c r="AA76" s="19"/>
      <c r="AB76" s="19"/>
      <c r="AC76" s="19"/>
      <c r="AD76" s="19"/>
      <c r="AE76" s="19"/>
      <c r="AF76" s="19"/>
      <c r="AG76" s="19"/>
      <c r="AH76" s="19"/>
      <c r="AI76" s="19"/>
      <c r="AJ76" s="19"/>
      <c r="AK76" s="19"/>
      <c r="AL76" s="19"/>
      <c r="AM76" s="19" t="str">
        <f t="shared" ref="AM76" si="49">+_xlfn.CONCAT(N76&amp;V76&amp;Z76)</f>
        <v xml:space="preserve"> Workbooks.Open "A:\Homes for Ukraine data\Ukraine_sponsorship_data_13.ods"</v>
      </c>
      <c r="AO76" t="s">
        <v>349</v>
      </c>
    </row>
    <row r="77" spans="2:41" x14ac:dyDescent="0.25">
      <c r="B77" s="19" t="s">
        <v>318</v>
      </c>
      <c r="C77" s="19"/>
      <c r="D77" s="19"/>
      <c r="E77" s="19"/>
      <c r="F77" s="19"/>
      <c r="G77" s="19"/>
      <c r="H77" s="19"/>
      <c r="I77" s="19"/>
      <c r="J77" s="19"/>
      <c r="K77" s="19"/>
      <c r="L77" s="19"/>
      <c r="M77" s="19"/>
      <c r="N77" s="19" t="s">
        <v>323</v>
      </c>
      <c r="O77" s="19"/>
      <c r="P77" s="19"/>
      <c r="Q77" s="19"/>
      <c r="R77" s="19"/>
      <c r="S77" s="19"/>
      <c r="T77" s="19"/>
      <c r="U77" s="19"/>
      <c r="V77" s="19">
        <f t="shared" si="48"/>
        <v>13</v>
      </c>
      <c r="W77" s="19"/>
      <c r="X77" s="19"/>
      <c r="Y77" s="21"/>
      <c r="Z77" s="19" t="s">
        <v>326</v>
      </c>
      <c r="AA77" s="19"/>
      <c r="AB77" s="19"/>
      <c r="AC77" s="19"/>
      <c r="AD77" s="19"/>
      <c r="AE77" s="19" t="s">
        <v>382</v>
      </c>
      <c r="AF77" s="19">
        <v>11</v>
      </c>
      <c r="AG77" s="19" t="s">
        <v>327</v>
      </c>
      <c r="AH77" s="19"/>
      <c r="AI77" s="19">
        <v>165</v>
      </c>
      <c r="AJ77" s="19"/>
      <c r="AK77" s="19" t="s">
        <v>325</v>
      </c>
      <c r="AL77" s="19"/>
      <c r="AM77" s="19" t="str">
        <f t="shared" ref="AM77" si="50">_xlfn.CONCAT(N77&amp;V77&amp;Z77&amp;AE77&amp;AF77&amp;AG77&amp;AE77&amp;AI77&amp;AK77)</f>
        <v xml:space="preserve"> Workbooks("Ukraine_sponsorship_data_13.ods").Worksheets("UTLA_-_England").Range("D11:D165").Copy _</v>
      </c>
      <c r="AO77" t="s">
        <v>370</v>
      </c>
    </row>
    <row r="78" spans="2:41" x14ac:dyDescent="0.25">
      <c r="B78" s="19" t="s">
        <v>808</v>
      </c>
      <c r="C78" s="19"/>
      <c r="D78" s="19"/>
      <c r="E78" s="19"/>
      <c r="F78" s="19"/>
      <c r="G78" s="19"/>
      <c r="H78" s="19"/>
      <c r="I78" s="19"/>
      <c r="J78" s="19"/>
      <c r="K78" s="19"/>
      <c r="L78" s="19"/>
      <c r="M78" s="19"/>
      <c r="N78" s="19" t="s">
        <v>809</v>
      </c>
      <c r="O78" s="19"/>
      <c r="P78" s="19"/>
      <c r="Q78" s="19"/>
      <c r="R78" s="19"/>
      <c r="S78" s="19"/>
      <c r="T78" s="19"/>
      <c r="U78" s="19"/>
      <c r="V78" s="19"/>
      <c r="W78" s="19" t="str">
        <f t="shared" ref="W78" si="51">CHAR(CODE(W73)+1)</f>
        <v>T</v>
      </c>
      <c r="X78" s="19"/>
      <c r="Y78" s="21">
        <v>9</v>
      </c>
      <c r="Z78" s="19" t="s">
        <v>324</v>
      </c>
      <c r="AA78" s="19"/>
      <c r="AB78" s="19"/>
      <c r="AC78" s="19"/>
      <c r="AD78" s="19"/>
      <c r="AE78" s="19"/>
      <c r="AF78" s="19"/>
      <c r="AG78" s="19"/>
      <c r="AH78" s="19"/>
      <c r="AI78" s="19"/>
      <c r="AJ78" s="19"/>
      <c r="AK78" s="19"/>
      <c r="AL78" s="19"/>
      <c r="AM78" s="19" t="str">
        <f t="shared" ref="AM78" si="52">_xlfn.CONCAT(N78&amp;W78&amp;Y78&amp;Z78)</f>
        <v>Workbooks("HFU Forecast UTLA 1.0.xlsm").Worksheets("Combined data").Range("T9")</v>
      </c>
      <c r="AO78" t="s">
        <v>826</v>
      </c>
    </row>
    <row r="79" spans="2:41" x14ac:dyDescent="0.25">
      <c r="B79" s="19" t="s">
        <v>339</v>
      </c>
      <c r="C79" s="19"/>
      <c r="D79" s="19"/>
      <c r="E79" s="19"/>
      <c r="F79" s="19"/>
      <c r="G79" s="19"/>
      <c r="H79" s="19"/>
      <c r="I79" s="19"/>
      <c r="J79" s="19"/>
      <c r="K79" s="19"/>
      <c r="L79" s="19"/>
      <c r="M79" s="19"/>
      <c r="N79" s="19"/>
      <c r="O79" s="19"/>
      <c r="P79" s="19"/>
      <c r="Q79" s="19"/>
      <c r="R79" s="19"/>
      <c r="S79" s="19"/>
      <c r="T79" s="19"/>
      <c r="U79" s="19"/>
      <c r="V79" s="19"/>
      <c r="W79" s="19"/>
      <c r="X79" s="19"/>
      <c r="Y79" s="21"/>
      <c r="Z79" s="19"/>
      <c r="AA79" s="19"/>
      <c r="AB79" s="19"/>
      <c r="AC79" s="19"/>
      <c r="AD79" s="19"/>
      <c r="AE79" s="19"/>
      <c r="AF79" s="19"/>
      <c r="AG79" s="19"/>
      <c r="AH79" s="19"/>
      <c r="AI79" s="19"/>
      <c r="AJ79" s="19"/>
      <c r="AK79" s="19"/>
      <c r="AL79" s="19"/>
      <c r="AM79" s="19" t="str">
        <f t="shared" ref="AM79" si="53">B79</f>
        <v>ActiveWorkbook.Close SaveChanges:=False</v>
      </c>
      <c r="AO79" t="s">
        <v>339</v>
      </c>
    </row>
    <row r="81" spans="2:41" x14ac:dyDescent="0.25">
      <c r="B81" s="22" t="s">
        <v>316</v>
      </c>
      <c r="C81" s="22"/>
      <c r="D81" s="22"/>
      <c r="E81" s="22"/>
      <c r="F81" s="22"/>
      <c r="G81" s="22"/>
      <c r="H81" s="22"/>
      <c r="I81" s="22"/>
      <c r="J81" s="22"/>
      <c r="K81" s="22"/>
      <c r="L81" s="22"/>
      <c r="M81" s="22"/>
      <c r="N81" s="22" t="s">
        <v>321</v>
      </c>
      <c r="O81" s="22"/>
      <c r="P81" s="22"/>
      <c r="Q81" s="22"/>
      <c r="R81" s="22"/>
      <c r="S81" s="22"/>
      <c r="T81" s="22"/>
      <c r="U81" s="22"/>
      <c r="V81" s="22">
        <f t="shared" ref="V81:V82" si="54">V76+1</f>
        <v>14</v>
      </c>
      <c r="W81" s="22"/>
      <c r="X81" s="22"/>
      <c r="Y81" s="23"/>
      <c r="Z81" s="22" t="s">
        <v>322</v>
      </c>
      <c r="AA81" s="22"/>
      <c r="AB81" s="22"/>
      <c r="AC81" s="22"/>
      <c r="AD81" s="22"/>
      <c r="AE81" s="22"/>
      <c r="AF81" s="22"/>
      <c r="AG81" s="22"/>
      <c r="AH81" s="22"/>
      <c r="AI81" s="22"/>
      <c r="AJ81" s="22"/>
      <c r="AK81" s="22"/>
      <c r="AL81" s="22"/>
      <c r="AM81" s="22" t="str">
        <f t="shared" ref="AM81" si="55">+_xlfn.CONCAT(N81&amp;V81&amp;Z81)</f>
        <v xml:space="preserve"> Workbooks.Open "A:\Homes for Ukraine data\Ukraine_sponsorship_data_14.ods"</v>
      </c>
      <c r="AO81" t="s">
        <v>350</v>
      </c>
    </row>
    <row r="82" spans="2:41" x14ac:dyDescent="0.25">
      <c r="B82" s="22" t="s">
        <v>318</v>
      </c>
      <c r="C82" s="22"/>
      <c r="D82" s="22"/>
      <c r="E82" s="22"/>
      <c r="F82" s="22"/>
      <c r="G82" s="22"/>
      <c r="H82" s="22"/>
      <c r="I82" s="22"/>
      <c r="J82" s="22"/>
      <c r="K82" s="22"/>
      <c r="L82" s="22"/>
      <c r="M82" s="22"/>
      <c r="N82" s="22" t="s">
        <v>323</v>
      </c>
      <c r="O82" s="22"/>
      <c r="P82" s="22"/>
      <c r="Q82" s="22"/>
      <c r="R82" s="22"/>
      <c r="S82" s="22"/>
      <c r="T82" s="22"/>
      <c r="U82" s="22"/>
      <c r="V82" s="22">
        <f t="shared" si="54"/>
        <v>14</v>
      </c>
      <c r="W82" s="22"/>
      <c r="X82" s="22"/>
      <c r="Y82" s="23"/>
      <c r="Z82" s="22" t="s">
        <v>326</v>
      </c>
      <c r="AA82" s="22"/>
      <c r="AB82" s="22"/>
      <c r="AC82" s="22"/>
      <c r="AD82" s="22"/>
      <c r="AE82" s="22" t="s">
        <v>382</v>
      </c>
      <c r="AF82" s="22">
        <v>11</v>
      </c>
      <c r="AG82" s="22" t="s">
        <v>327</v>
      </c>
      <c r="AH82" s="22"/>
      <c r="AI82" s="22">
        <v>165</v>
      </c>
      <c r="AJ82" s="22"/>
      <c r="AK82" s="22" t="s">
        <v>325</v>
      </c>
      <c r="AL82" s="22"/>
      <c r="AM82" s="22" t="str">
        <f t="shared" ref="AM82" si="56">_xlfn.CONCAT(N82&amp;V82&amp;Z82&amp;AE82&amp;AF82&amp;AG82&amp;AE82&amp;AI82&amp;AK82)</f>
        <v xml:space="preserve"> Workbooks("Ukraine_sponsorship_data_14.ods").Worksheets("UTLA_-_England").Range("D11:D165").Copy _</v>
      </c>
      <c r="AO82" t="s">
        <v>371</v>
      </c>
    </row>
    <row r="83" spans="2:41" x14ac:dyDescent="0.25">
      <c r="B83" s="22" t="s">
        <v>808</v>
      </c>
      <c r="C83" s="22"/>
      <c r="D83" s="22"/>
      <c r="E83" s="22"/>
      <c r="F83" s="22"/>
      <c r="G83" s="22"/>
      <c r="H83" s="22"/>
      <c r="I83" s="22"/>
      <c r="J83" s="22"/>
      <c r="K83" s="22"/>
      <c r="L83" s="22"/>
      <c r="M83" s="22"/>
      <c r="N83" s="22" t="s">
        <v>809</v>
      </c>
      <c r="O83" s="22"/>
      <c r="P83" s="22"/>
      <c r="Q83" s="22"/>
      <c r="R83" s="22"/>
      <c r="S83" s="22"/>
      <c r="T83" s="22"/>
      <c r="U83" s="22"/>
      <c r="V83" s="22"/>
      <c r="W83" s="22" t="str">
        <f t="shared" ref="W83" si="57">CHAR(CODE(W78)+1)</f>
        <v>U</v>
      </c>
      <c r="X83" s="22"/>
      <c r="Y83" s="23">
        <v>9</v>
      </c>
      <c r="Z83" s="22" t="s">
        <v>324</v>
      </c>
      <c r="AA83" s="22"/>
      <c r="AB83" s="22"/>
      <c r="AC83" s="22"/>
      <c r="AD83" s="22"/>
      <c r="AE83" s="22"/>
      <c r="AF83" s="22"/>
      <c r="AG83" s="22"/>
      <c r="AH83" s="22"/>
      <c r="AI83" s="22"/>
      <c r="AJ83" s="22"/>
      <c r="AK83" s="22"/>
      <c r="AL83" s="22"/>
      <c r="AM83" s="22" t="str">
        <f t="shared" ref="AM83" si="58">_xlfn.CONCAT(N83&amp;W83&amp;Y83&amp;Z83)</f>
        <v>Workbooks("HFU Forecast UTLA 1.0.xlsm").Worksheets("Combined data").Range("U9")</v>
      </c>
      <c r="AO83" t="s">
        <v>827</v>
      </c>
    </row>
    <row r="84" spans="2:41" x14ac:dyDescent="0.25">
      <c r="B84" s="22" t="s">
        <v>339</v>
      </c>
      <c r="C84" s="22"/>
      <c r="D84" s="22"/>
      <c r="E84" s="22"/>
      <c r="F84" s="22"/>
      <c r="G84" s="22"/>
      <c r="H84" s="22"/>
      <c r="I84" s="22"/>
      <c r="J84" s="22"/>
      <c r="K84" s="22"/>
      <c r="L84" s="22"/>
      <c r="M84" s="22"/>
      <c r="N84" s="22"/>
      <c r="O84" s="22"/>
      <c r="P84" s="22"/>
      <c r="Q84" s="22"/>
      <c r="R84" s="22"/>
      <c r="S84" s="22"/>
      <c r="T84" s="22"/>
      <c r="U84" s="22"/>
      <c r="V84" s="22"/>
      <c r="W84" s="22"/>
      <c r="X84" s="22"/>
      <c r="Y84" s="23"/>
      <c r="Z84" s="22"/>
      <c r="AA84" s="22"/>
      <c r="AB84" s="22"/>
      <c r="AC84" s="22"/>
      <c r="AD84" s="22"/>
      <c r="AE84" s="22"/>
      <c r="AF84" s="22"/>
      <c r="AG84" s="22"/>
      <c r="AH84" s="22"/>
      <c r="AI84" s="22"/>
      <c r="AJ84" s="22"/>
      <c r="AK84" s="22"/>
      <c r="AL84" s="22"/>
      <c r="AM84" s="22" t="str">
        <f t="shared" ref="AM84" si="59">B84</f>
        <v>ActiveWorkbook.Close SaveChanges:=False</v>
      </c>
      <c r="AO84" t="s">
        <v>339</v>
      </c>
    </row>
    <row r="86" spans="2:41" x14ac:dyDescent="0.25">
      <c r="B86" s="19" t="s">
        <v>316</v>
      </c>
      <c r="C86" s="19"/>
      <c r="D86" s="19"/>
      <c r="E86" s="19"/>
      <c r="F86" s="19"/>
      <c r="G86" s="19"/>
      <c r="H86" s="19"/>
      <c r="I86" s="19"/>
      <c r="J86" s="19"/>
      <c r="K86" s="19"/>
      <c r="L86" s="19"/>
      <c r="M86" s="19"/>
      <c r="N86" s="19" t="s">
        <v>321</v>
      </c>
      <c r="O86" s="19"/>
      <c r="P86" s="19"/>
      <c r="Q86" s="19"/>
      <c r="R86" s="19"/>
      <c r="S86" s="19"/>
      <c r="T86" s="19"/>
      <c r="U86" s="19"/>
      <c r="V86" s="19">
        <f t="shared" ref="V86:V87" si="60">V81+1</f>
        <v>15</v>
      </c>
      <c r="W86" s="19"/>
      <c r="X86" s="19"/>
      <c r="Y86" s="21"/>
      <c r="Z86" s="19" t="s">
        <v>322</v>
      </c>
      <c r="AA86" s="19"/>
      <c r="AB86" s="19"/>
      <c r="AC86" s="19"/>
      <c r="AD86" s="19"/>
      <c r="AE86" s="19"/>
      <c r="AF86" s="19"/>
      <c r="AG86" s="19"/>
      <c r="AH86" s="19"/>
      <c r="AI86" s="19"/>
      <c r="AJ86" s="19"/>
      <c r="AK86" s="19"/>
      <c r="AL86" s="19"/>
      <c r="AM86" s="19" t="str">
        <f t="shared" ref="AM86" si="61">+_xlfn.CONCAT(N86&amp;V86&amp;Z86)</f>
        <v xml:space="preserve"> Workbooks.Open "A:\Homes for Ukraine data\Ukraine_sponsorship_data_15.ods"</v>
      </c>
      <c r="AO86" t="s">
        <v>351</v>
      </c>
    </row>
    <row r="87" spans="2:41" x14ac:dyDescent="0.25">
      <c r="B87" s="19" t="s">
        <v>318</v>
      </c>
      <c r="C87" s="19"/>
      <c r="D87" s="19"/>
      <c r="E87" s="19"/>
      <c r="F87" s="19"/>
      <c r="G87" s="19"/>
      <c r="H87" s="19"/>
      <c r="I87" s="19"/>
      <c r="J87" s="19"/>
      <c r="K87" s="19"/>
      <c r="L87" s="19"/>
      <c r="M87" s="19"/>
      <c r="N87" s="19" t="s">
        <v>323</v>
      </c>
      <c r="O87" s="19"/>
      <c r="P87" s="19"/>
      <c r="Q87" s="19"/>
      <c r="R87" s="19"/>
      <c r="S87" s="19"/>
      <c r="T87" s="19"/>
      <c r="U87" s="19"/>
      <c r="V87" s="19">
        <f t="shared" si="60"/>
        <v>15</v>
      </c>
      <c r="W87" s="19"/>
      <c r="X87" s="19"/>
      <c r="Y87" s="21"/>
      <c r="Z87" s="19" t="s">
        <v>326</v>
      </c>
      <c r="AA87" s="19"/>
      <c r="AB87" s="19"/>
      <c r="AC87" s="19"/>
      <c r="AD87" s="19"/>
      <c r="AE87" s="19" t="s">
        <v>382</v>
      </c>
      <c r="AF87" s="19">
        <v>11</v>
      </c>
      <c r="AG87" s="19" t="s">
        <v>327</v>
      </c>
      <c r="AH87" s="19"/>
      <c r="AI87" s="19">
        <v>165</v>
      </c>
      <c r="AJ87" s="19"/>
      <c r="AK87" s="19" t="s">
        <v>325</v>
      </c>
      <c r="AL87" s="19"/>
      <c r="AM87" s="19" t="str">
        <f t="shared" ref="AM87" si="62">_xlfn.CONCAT(N87&amp;V87&amp;Z87&amp;AE87&amp;AF87&amp;AG87&amp;AE87&amp;AI87&amp;AK87)</f>
        <v xml:space="preserve"> Workbooks("Ukraine_sponsorship_data_15.ods").Worksheets("UTLA_-_England").Range("D11:D165").Copy _</v>
      </c>
      <c r="AO87" t="s">
        <v>372</v>
      </c>
    </row>
    <row r="88" spans="2:41" x14ac:dyDescent="0.25">
      <c r="B88" s="19" t="s">
        <v>808</v>
      </c>
      <c r="C88" s="19"/>
      <c r="D88" s="19"/>
      <c r="E88" s="19"/>
      <c r="F88" s="19"/>
      <c r="G88" s="19"/>
      <c r="H88" s="19"/>
      <c r="I88" s="19"/>
      <c r="J88" s="19"/>
      <c r="K88" s="19"/>
      <c r="L88" s="19"/>
      <c r="M88" s="19"/>
      <c r="N88" s="19" t="s">
        <v>809</v>
      </c>
      <c r="O88" s="19"/>
      <c r="P88" s="19"/>
      <c r="Q88" s="19"/>
      <c r="R88" s="19"/>
      <c r="S88" s="19"/>
      <c r="T88" s="19"/>
      <c r="U88" s="19"/>
      <c r="V88" s="19"/>
      <c r="W88" s="19" t="str">
        <f t="shared" ref="W88" si="63">CHAR(CODE(W83)+1)</f>
        <v>V</v>
      </c>
      <c r="X88" s="19"/>
      <c r="Y88" s="21">
        <v>9</v>
      </c>
      <c r="Z88" s="19" t="s">
        <v>324</v>
      </c>
      <c r="AA88" s="19"/>
      <c r="AB88" s="19"/>
      <c r="AC88" s="19"/>
      <c r="AD88" s="19"/>
      <c r="AE88" s="19"/>
      <c r="AF88" s="19"/>
      <c r="AG88" s="19"/>
      <c r="AH88" s="19"/>
      <c r="AI88" s="19"/>
      <c r="AJ88" s="19"/>
      <c r="AK88" s="19"/>
      <c r="AL88" s="19"/>
      <c r="AM88" s="19" t="str">
        <f t="shared" ref="AM88" si="64">_xlfn.CONCAT(N88&amp;W88&amp;Y88&amp;Z88)</f>
        <v>Workbooks("HFU Forecast UTLA 1.0.xlsm").Worksheets("Combined data").Range("V9")</v>
      </c>
      <c r="AO88" t="s">
        <v>828</v>
      </c>
    </row>
    <row r="89" spans="2:41" x14ac:dyDescent="0.25">
      <c r="B89" s="19" t="s">
        <v>339</v>
      </c>
      <c r="C89" s="19"/>
      <c r="D89" s="19"/>
      <c r="E89" s="19"/>
      <c r="F89" s="19"/>
      <c r="G89" s="19"/>
      <c r="H89" s="19"/>
      <c r="I89" s="19"/>
      <c r="J89" s="19"/>
      <c r="K89" s="19"/>
      <c r="L89" s="19"/>
      <c r="M89" s="19"/>
      <c r="N89" s="19"/>
      <c r="O89" s="19"/>
      <c r="P89" s="19"/>
      <c r="Q89" s="19"/>
      <c r="R89" s="19"/>
      <c r="S89" s="19"/>
      <c r="T89" s="19"/>
      <c r="U89" s="19"/>
      <c r="V89" s="19"/>
      <c r="W89" s="19"/>
      <c r="X89" s="19"/>
      <c r="Y89" s="21"/>
      <c r="Z89" s="19"/>
      <c r="AA89" s="19"/>
      <c r="AB89" s="19"/>
      <c r="AC89" s="19"/>
      <c r="AD89" s="19"/>
      <c r="AE89" s="19"/>
      <c r="AF89" s="19"/>
      <c r="AG89" s="19"/>
      <c r="AH89" s="19"/>
      <c r="AI89" s="19"/>
      <c r="AJ89" s="19"/>
      <c r="AK89" s="19"/>
      <c r="AL89" s="19"/>
      <c r="AM89" s="19" t="str">
        <f t="shared" ref="AM89" si="65">B89</f>
        <v>ActiveWorkbook.Close SaveChanges:=False</v>
      </c>
      <c r="AO89" t="s">
        <v>339</v>
      </c>
    </row>
    <row r="91" spans="2:41" x14ac:dyDescent="0.25">
      <c r="B91" s="22" t="s">
        <v>316</v>
      </c>
      <c r="C91" s="22"/>
      <c r="D91" s="22"/>
      <c r="E91" s="22"/>
      <c r="F91" s="22"/>
      <c r="G91" s="22"/>
      <c r="H91" s="22"/>
      <c r="I91" s="22"/>
      <c r="J91" s="22"/>
      <c r="K91" s="22"/>
      <c r="L91" s="22"/>
      <c r="M91" s="22"/>
      <c r="N91" s="22" t="s">
        <v>321</v>
      </c>
      <c r="O91" s="22"/>
      <c r="P91" s="22"/>
      <c r="Q91" s="22"/>
      <c r="R91" s="22"/>
      <c r="S91" s="22"/>
      <c r="T91" s="22"/>
      <c r="U91" s="22"/>
      <c r="V91" s="22">
        <f t="shared" ref="V91:V92" si="66">V86+1</f>
        <v>16</v>
      </c>
      <c r="W91" s="22"/>
      <c r="X91" s="22"/>
      <c r="Y91" s="23"/>
      <c r="Z91" s="22" t="s">
        <v>322</v>
      </c>
      <c r="AA91" s="22"/>
      <c r="AB91" s="22"/>
      <c r="AC91" s="22"/>
      <c r="AD91" s="22"/>
      <c r="AE91" s="22"/>
      <c r="AF91" s="22"/>
      <c r="AG91" s="22"/>
      <c r="AH91" s="22"/>
      <c r="AI91" s="22"/>
      <c r="AJ91" s="22"/>
      <c r="AK91" s="22"/>
      <c r="AL91" s="22"/>
      <c r="AM91" s="22" t="str">
        <f t="shared" ref="AM91" si="67">+_xlfn.CONCAT(N91&amp;V91&amp;Z91)</f>
        <v xml:space="preserve"> Workbooks.Open "A:\Homes for Ukraine data\Ukraine_sponsorship_data_16.ods"</v>
      </c>
      <c r="AO91" t="s">
        <v>352</v>
      </c>
    </row>
    <row r="92" spans="2:41" x14ac:dyDescent="0.25">
      <c r="B92" s="22" t="s">
        <v>318</v>
      </c>
      <c r="C92" s="22"/>
      <c r="D92" s="22"/>
      <c r="E92" s="22"/>
      <c r="F92" s="22"/>
      <c r="G92" s="22"/>
      <c r="H92" s="22"/>
      <c r="I92" s="22"/>
      <c r="J92" s="22"/>
      <c r="K92" s="22"/>
      <c r="L92" s="22"/>
      <c r="M92" s="22"/>
      <c r="N92" s="22" t="s">
        <v>323</v>
      </c>
      <c r="O92" s="22"/>
      <c r="P92" s="22"/>
      <c r="Q92" s="22"/>
      <c r="R92" s="22"/>
      <c r="S92" s="22"/>
      <c r="T92" s="22"/>
      <c r="U92" s="22"/>
      <c r="V92" s="22">
        <f t="shared" si="66"/>
        <v>16</v>
      </c>
      <c r="W92" s="22"/>
      <c r="X92" s="22"/>
      <c r="Y92" s="23"/>
      <c r="Z92" s="22" t="s">
        <v>326</v>
      </c>
      <c r="AA92" s="22"/>
      <c r="AB92" s="22"/>
      <c r="AC92" s="22"/>
      <c r="AD92" s="22"/>
      <c r="AE92" s="22" t="s">
        <v>382</v>
      </c>
      <c r="AF92" s="22">
        <v>11</v>
      </c>
      <c r="AG92" s="22" t="s">
        <v>327</v>
      </c>
      <c r="AH92" s="22"/>
      <c r="AI92" s="22">
        <v>165</v>
      </c>
      <c r="AJ92" s="22"/>
      <c r="AK92" s="22" t="s">
        <v>325</v>
      </c>
      <c r="AL92" s="22"/>
      <c r="AM92" s="22" t="str">
        <f t="shared" ref="AM92" si="68">_xlfn.CONCAT(N92&amp;V92&amp;Z92&amp;AE92&amp;AF92&amp;AG92&amp;AE92&amp;AI92&amp;AK92)</f>
        <v xml:space="preserve"> Workbooks("Ukraine_sponsorship_data_16.ods").Worksheets("UTLA_-_England").Range("D11:D165").Copy _</v>
      </c>
      <c r="AO92" t="s">
        <v>373</v>
      </c>
    </row>
    <row r="93" spans="2:41" x14ac:dyDescent="0.25">
      <c r="B93" s="22" t="s">
        <v>808</v>
      </c>
      <c r="C93" s="22"/>
      <c r="D93" s="22"/>
      <c r="E93" s="22"/>
      <c r="F93" s="22"/>
      <c r="G93" s="22"/>
      <c r="H93" s="22"/>
      <c r="I93" s="22"/>
      <c r="J93" s="22"/>
      <c r="K93" s="22"/>
      <c r="L93" s="22"/>
      <c r="M93" s="22"/>
      <c r="N93" s="22" t="s">
        <v>809</v>
      </c>
      <c r="O93" s="22"/>
      <c r="P93" s="22"/>
      <c r="Q93" s="22"/>
      <c r="R93" s="22"/>
      <c r="S93" s="22"/>
      <c r="T93" s="22"/>
      <c r="U93" s="22"/>
      <c r="V93" s="22"/>
      <c r="W93" s="22" t="str">
        <f t="shared" ref="W93" si="69">CHAR(CODE(W88)+1)</f>
        <v>W</v>
      </c>
      <c r="X93" s="22"/>
      <c r="Y93" s="23">
        <v>9</v>
      </c>
      <c r="Z93" s="22" t="s">
        <v>324</v>
      </c>
      <c r="AA93" s="22"/>
      <c r="AB93" s="22"/>
      <c r="AC93" s="22"/>
      <c r="AD93" s="22"/>
      <c r="AE93" s="22"/>
      <c r="AF93" s="22"/>
      <c r="AG93" s="22"/>
      <c r="AH93" s="22"/>
      <c r="AI93" s="22"/>
      <c r="AJ93" s="22"/>
      <c r="AK93" s="22"/>
      <c r="AL93" s="22"/>
      <c r="AM93" s="22" t="str">
        <f t="shared" ref="AM93" si="70">_xlfn.CONCAT(N93&amp;W93&amp;Y93&amp;Z93)</f>
        <v>Workbooks("HFU Forecast UTLA 1.0.xlsm").Worksheets("Combined data").Range("W9")</v>
      </c>
      <c r="AO93" t="s">
        <v>829</v>
      </c>
    </row>
    <row r="94" spans="2:41" x14ac:dyDescent="0.25">
      <c r="B94" s="22" t="s">
        <v>339</v>
      </c>
      <c r="C94" s="22"/>
      <c r="D94" s="22"/>
      <c r="E94" s="22"/>
      <c r="F94" s="22"/>
      <c r="G94" s="22"/>
      <c r="H94" s="22"/>
      <c r="I94" s="22"/>
      <c r="J94" s="22"/>
      <c r="K94" s="22"/>
      <c r="L94" s="22"/>
      <c r="M94" s="22"/>
      <c r="N94" s="22"/>
      <c r="O94" s="22"/>
      <c r="P94" s="22"/>
      <c r="Q94" s="22"/>
      <c r="R94" s="22"/>
      <c r="S94" s="22"/>
      <c r="T94" s="22"/>
      <c r="U94" s="22"/>
      <c r="V94" s="22"/>
      <c r="W94" s="22"/>
      <c r="X94" s="22"/>
      <c r="Y94" s="23"/>
      <c r="Z94" s="22"/>
      <c r="AA94" s="22"/>
      <c r="AB94" s="22"/>
      <c r="AC94" s="22"/>
      <c r="AD94" s="22"/>
      <c r="AE94" s="22"/>
      <c r="AF94" s="22"/>
      <c r="AG94" s="22"/>
      <c r="AH94" s="22"/>
      <c r="AI94" s="22"/>
      <c r="AJ94" s="22"/>
      <c r="AK94" s="22"/>
      <c r="AL94" s="22"/>
      <c r="AM94" s="22" t="str">
        <f t="shared" ref="AM94" si="71">B94</f>
        <v>ActiveWorkbook.Close SaveChanges:=False</v>
      </c>
      <c r="AO94" t="s">
        <v>339</v>
      </c>
    </row>
    <row r="96" spans="2:41" x14ac:dyDescent="0.25">
      <c r="B96" s="19" t="s">
        <v>316</v>
      </c>
      <c r="C96" s="19"/>
      <c r="D96" s="19"/>
      <c r="E96" s="19"/>
      <c r="F96" s="19"/>
      <c r="G96" s="19"/>
      <c r="H96" s="19"/>
      <c r="I96" s="19"/>
      <c r="J96" s="19"/>
      <c r="K96" s="19"/>
      <c r="L96" s="19"/>
      <c r="M96" s="19"/>
      <c r="N96" s="19" t="s">
        <v>321</v>
      </c>
      <c r="O96" s="19"/>
      <c r="P96" s="19"/>
      <c r="Q96" s="19"/>
      <c r="R96" s="19"/>
      <c r="S96" s="19"/>
      <c r="T96" s="19"/>
      <c r="U96" s="19"/>
      <c r="V96" s="19">
        <f t="shared" ref="V96:V97" si="72">V91+1</f>
        <v>17</v>
      </c>
      <c r="W96" s="19"/>
      <c r="X96" s="19"/>
      <c r="Y96" s="21"/>
      <c r="Z96" s="19" t="s">
        <v>322</v>
      </c>
      <c r="AA96" s="19"/>
      <c r="AB96" s="19"/>
      <c r="AC96" s="19"/>
      <c r="AD96" s="19"/>
      <c r="AE96" s="19"/>
      <c r="AF96" s="19"/>
      <c r="AG96" s="19"/>
      <c r="AH96" s="19"/>
      <c r="AI96" s="19"/>
      <c r="AJ96" s="19"/>
      <c r="AK96" s="19"/>
      <c r="AL96" s="19"/>
      <c r="AM96" s="19" t="str">
        <f t="shared" ref="AM96" si="73">+_xlfn.CONCAT(N96&amp;V96&amp;Z96)</f>
        <v xml:space="preserve"> Workbooks.Open "A:\Homes for Ukraine data\Ukraine_sponsorship_data_17.ods"</v>
      </c>
      <c r="AO96" t="s">
        <v>353</v>
      </c>
    </row>
    <row r="97" spans="2:41" x14ac:dyDescent="0.25">
      <c r="B97" s="19" t="s">
        <v>318</v>
      </c>
      <c r="C97" s="19"/>
      <c r="D97" s="19"/>
      <c r="E97" s="19"/>
      <c r="F97" s="19"/>
      <c r="G97" s="19"/>
      <c r="H97" s="19"/>
      <c r="I97" s="19"/>
      <c r="J97" s="19"/>
      <c r="K97" s="19"/>
      <c r="L97" s="19"/>
      <c r="M97" s="19"/>
      <c r="N97" s="19" t="s">
        <v>323</v>
      </c>
      <c r="O97" s="19"/>
      <c r="P97" s="19"/>
      <c r="Q97" s="19"/>
      <c r="R97" s="19"/>
      <c r="S97" s="19"/>
      <c r="T97" s="19"/>
      <c r="U97" s="19"/>
      <c r="V97" s="19">
        <f t="shared" si="72"/>
        <v>17</v>
      </c>
      <c r="W97" s="19"/>
      <c r="X97" s="19"/>
      <c r="Y97" s="21"/>
      <c r="Z97" s="19" t="s">
        <v>326</v>
      </c>
      <c r="AA97" s="19"/>
      <c r="AB97" s="19"/>
      <c r="AC97" s="19"/>
      <c r="AD97" s="19"/>
      <c r="AE97" s="19" t="s">
        <v>382</v>
      </c>
      <c r="AF97" s="19">
        <v>11</v>
      </c>
      <c r="AG97" s="19" t="s">
        <v>327</v>
      </c>
      <c r="AH97" s="19"/>
      <c r="AI97" s="19">
        <v>165</v>
      </c>
      <c r="AJ97" s="19"/>
      <c r="AK97" s="19" t="s">
        <v>325</v>
      </c>
      <c r="AL97" s="19"/>
      <c r="AM97" s="19" t="str">
        <f t="shared" ref="AM97" si="74">_xlfn.CONCAT(N97&amp;V97&amp;Z97&amp;AE97&amp;AF97&amp;AG97&amp;AE97&amp;AI97&amp;AK97)</f>
        <v xml:space="preserve"> Workbooks("Ukraine_sponsorship_data_17.ods").Worksheets("UTLA_-_England").Range("D11:D165").Copy _</v>
      </c>
      <c r="AO97" t="s">
        <v>374</v>
      </c>
    </row>
    <row r="98" spans="2:41" x14ac:dyDescent="0.25">
      <c r="B98" s="19" t="s">
        <v>808</v>
      </c>
      <c r="C98" s="19"/>
      <c r="D98" s="19"/>
      <c r="E98" s="19"/>
      <c r="F98" s="19"/>
      <c r="G98" s="19"/>
      <c r="H98" s="19"/>
      <c r="I98" s="19"/>
      <c r="J98" s="19"/>
      <c r="K98" s="19"/>
      <c r="L98" s="19"/>
      <c r="M98" s="19"/>
      <c r="N98" s="19" t="s">
        <v>809</v>
      </c>
      <c r="O98" s="19"/>
      <c r="P98" s="19"/>
      <c r="Q98" s="19"/>
      <c r="R98" s="19"/>
      <c r="S98" s="19"/>
      <c r="T98" s="19"/>
      <c r="U98" s="19"/>
      <c r="V98" s="19"/>
      <c r="W98" s="19" t="str">
        <f t="shared" ref="W98" si="75">CHAR(CODE(W93)+1)</f>
        <v>X</v>
      </c>
      <c r="X98" s="19"/>
      <c r="Y98" s="21">
        <v>9</v>
      </c>
      <c r="Z98" s="19" t="s">
        <v>324</v>
      </c>
      <c r="AA98" s="19"/>
      <c r="AB98" s="19"/>
      <c r="AC98" s="19"/>
      <c r="AD98" s="19"/>
      <c r="AE98" s="19"/>
      <c r="AF98" s="19"/>
      <c r="AG98" s="19"/>
      <c r="AH98" s="19"/>
      <c r="AI98" s="19"/>
      <c r="AJ98" s="19"/>
      <c r="AK98" s="19"/>
      <c r="AL98" s="19"/>
      <c r="AM98" s="19" t="str">
        <f t="shared" ref="AM98" si="76">_xlfn.CONCAT(N98&amp;W98&amp;Y98&amp;Z98)</f>
        <v>Workbooks("HFU Forecast UTLA 1.0.xlsm").Worksheets("Combined data").Range("X9")</v>
      </c>
      <c r="AO98" t="s">
        <v>830</v>
      </c>
    </row>
    <row r="99" spans="2:41" x14ac:dyDescent="0.25">
      <c r="B99" s="19" t="s">
        <v>339</v>
      </c>
      <c r="C99" s="19"/>
      <c r="D99" s="19"/>
      <c r="E99" s="19"/>
      <c r="F99" s="19"/>
      <c r="G99" s="19"/>
      <c r="H99" s="19"/>
      <c r="I99" s="19"/>
      <c r="J99" s="19"/>
      <c r="K99" s="19"/>
      <c r="L99" s="19"/>
      <c r="M99" s="19"/>
      <c r="N99" s="19"/>
      <c r="O99" s="19"/>
      <c r="P99" s="19"/>
      <c r="Q99" s="19"/>
      <c r="R99" s="19"/>
      <c r="S99" s="19"/>
      <c r="T99" s="19"/>
      <c r="U99" s="19"/>
      <c r="V99" s="19"/>
      <c r="W99" s="19"/>
      <c r="X99" s="19"/>
      <c r="Y99" s="21"/>
      <c r="Z99" s="19"/>
      <c r="AA99" s="19"/>
      <c r="AB99" s="19"/>
      <c r="AC99" s="19"/>
      <c r="AD99" s="19"/>
      <c r="AE99" s="19"/>
      <c r="AF99" s="19"/>
      <c r="AG99" s="19"/>
      <c r="AH99" s="19"/>
      <c r="AI99" s="19"/>
      <c r="AJ99" s="19"/>
      <c r="AK99" s="19"/>
      <c r="AL99" s="19"/>
      <c r="AM99" s="19" t="str">
        <f t="shared" ref="AM99" si="77">B99</f>
        <v>ActiveWorkbook.Close SaveChanges:=False</v>
      </c>
      <c r="AO99" t="s">
        <v>339</v>
      </c>
    </row>
    <row r="101" spans="2:41" x14ac:dyDescent="0.25">
      <c r="B101" s="22" t="s">
        <v>316</v>
      </c>
      <c r="C101" s="22"/>
      <c r="D101" s="22"/>
      <c r="E101" s="22"/>
      <c r="F101" s="22"/>
      <c r="G101" s="22"/>
      <c r="H101" s="22"/>
      <c r="I101" s="22"/>
      <c r="J101" s="22"/>
      <c r="K101" s="22"/>
      <c r="L101" s="22"/>
      <c r="M101" s="22"/>
      <c r="N101" s="22" t="s">
        <v>321</v>
      </c>
      <c r="O101" s="22"/>
      <c r="P101" s="22"/>
      <c r="Q101" s="22"/>
      <c r="R101" s="22"/>
      <c r="S101" s="22"/>
      <c r="T101" s="22"/>
      <c r="U101" s="22"/>
      <c r="V101" s="22">
        <f t="shared" ref="V101:V102" si="78">V96+1</f>
        <v>18</v>
      </c>
      <c r="W101" s="22"/>
      <c r="X101" s="22"/>
      <c r="Y101" s="23"/>
      <c r="Z101" s="22" t="s">
        <v>322</v>
      </c>
      <c r="AA101" s="22"/>
      <c r="AB101" s="22"/>
      <c r="AC101" s="22"/>
      <c r="AD101" s="22"/>
      <c r="AE101" s="22"/>
      <c r="AF101" s="22"/>
      <c r="AG101" s="22"/>
      <c r="AH101" s="22"/>
      <c r="AI101" s="22"/>
      <c r="AJ101" s="22"/>
      <c r="AK101" s="22"/>
      <c r="AL101" s="22"/>
      <c r="AM101" s="22" t="str">
        <f t="shared" ref="AM101" si="79">+_xlfn.CONCAT(N101&amp;V101&amp;Z101)</f>
        <v xml:space="preserve"> Workbooks.Open "A:\Homes for Ukraine data\Ukraine_sponsorship_data_18.ods"</v>
      </c>
      <c r="AO101" t="s">
        <v>354</v>
      </c>
    </row>
    <row r="102" spans="2:41" x14ac:dyDescent="0.25">
      <c r="B102" s="22" t="s">
        <v>318</v>
      </c>
      <c r="C102" s="22"/>
      <c r="D102" s="22"/>
      <c r="E102" s="22"/>
      <c r="F102" s="22"/>
      <c r="G102" s="22"/>
      <c r="H102" s="22"/>
      <c r="I102" s="22"/>
      <c r="J102" s="22"/>
      <c r="K102" s="22"/>
      <c r="L102" s="22"/>
      <c r="M102" s="22"/>
      <c r="N102" s="22" t="s">
        <v>323</v>
      </c>
      <c r="O102" s="22"/>
      <c r="P102" s="22"/>
      <c r="Q102" s="22"/>
      <c r="R102" s="22"/>
      <c r="S102" s="22"/>
      <c r="T102" s="22"/>
      <c r="U102" s="22"/>
      <c r="V102" s="22">
        <f t="shared" si="78"/>
        <v>18</v>
      </c>
      <c r="W102" s="22"/>
      <c r="X102" s="22"/>
      <c r="Y102" s="23"/>
      <c r="Z102" s="22" t="s">
        <v>326</v>
      </c>
      <c r="AA102" s="22"/>
      <c r="AB102" s="22"/>
      <c r="AC102" s="22"/>
      <c r="AD102" s="22"/>
      <c r="AE102" s="22" t="s">
        <v>382</v>
      </c>
      <c r="AF102" s="22">
        <v>11</v>
      </c>
      <c r="AG102" s="22" t="s">
        <v>327</v>
      </c>
      <c r="AH102" s="22"/>
      <c r="AI102" s="22">
        <v>165</v>
      </c>
      <c r="AJ102" s="22"/>
      <c r="AK102" s="22" t="s">
        <v>325</v>
      </c>
      <c r="AL102" s="22"/>
      <c r="AM102" s="22" t="str">
        <f t="shared" ref="AM102" si="80">_xlfn.CONCAT(N102&amp;V102&amp;Z102&amp;AE102&amp;AF102&amp;AG102&amp;AE102&amp;AI102&amp;AK102)</f>
        <v xml:space="preserve"> Workbooks("Ukraine_sponsorship_data_18.ods").Worksheets("UTLA_-_England").Range("D11:D165").Copy _</v>
      </c>
      <c r="AO102" t="s">
        <v>375</v>
      </c>
    </row>
    <row r="103" spans="2:41" x14ac:dyDescent="0.25">
      <c r="B103" s="22" t="s">
        <v>808</v>
      </c>
      <c r="C103" s="22"/>
      <c r="D103" s="22"/>
      <c r="E103" s="22"/>
      <c r="F103" s="22"/>
      <c r="G103" s="22"/>
      <c r="H103" s="22"/>
      <c r="I103" s="22"/>
      <c r="J103" s="22"/>
      <c r="K103" s="22"/>
      <c r="L103" s="22"/>
      <c r="M103" s="22"/>
      <c r="N103" s="22" t="s">
        <v>809</v>
      </c>
      <c r="O103" s="22"/>
      <c r="P103" s="22"/>
      <c r="Q103" s="22"/>
      <c r="R103" s="22"/>
      <c r="S103" s="22"/>
      <c r="T103" s="22"/>
      <c r="U103" s="22"/>
      <c r="V103" s="22"/>
      <c r="W103" s="22" t="str">
        <f t="shared" ref="W103" si="81">CHAR(CODE(W98)+1)</f>
        <v>Y</v>
      </c>
      <c r="X103" s="22"/>
      <c r="Y103" s="23">
        <v>9</v>
      </c>
      <c r="Z103" s="22" t="s">
        <v>324</v>
      </c>
      <c r="AA103" s="22"/>
      <c r="AB103" s="22"/>
      <c r="AC103" s="22"/>
      <c r="AD103" s="22"/>
      <c r="AE103" s="22"/>
      <c r="AF103" s="22"/>
      <c r="AG103" s="22"/>
      <c r="AH103" s="22"/>
      <c r="AI103" s="22"/>
      <c r="AJ103" s="22"/>
      <c r="AK103" s="22"/>
      <c r="AL103" s="22"/>
      <c r="AM103" s="22" t="str">
        <f t="shared" ref="AM103" si="82">_xlfn.CONCAT(N103&amp;W103&amp;Y103&amp;Z103)</f>
        <v>Workbooks("HFU Forecast UTLA 1.0.xlsm").Worksheets("Combined data").Range("Y9")</v>
      </c>
      <c r="AO103" t="s">
        <v>831</v>
      </c>
    </row>
    <row r="104" spans="2:41" x14ac:dyDescent="0.25">
      <c r="B104" s="22" t="s">
        <v>339</v>
      </c>
      <c r="C104" s="22"/>
      <c r="D104" s="22"/>
      <c r="E104" s="22"/>
      <c r="F104" s="22"/>
      <c r="G104" s="22"/>
      <c r="H104" s="22"/>
      <c r="I104" s="22"/>
      <c r="J104" s="22"/>
      <c r="K104" s="22"/>
      <c r="L104" s="22"/>
      <c r="M104" s="22"/>
      <c r="N104" s="22"/>
      <c r="O104" s="22"/>
      <c r="P104" s="22"/>
      <c r="Q104" s="22"/>
      <c r="R104" s="22"/>
      <c r="S104" s="22"/>
      <c r="T104" s="22"/>
      <c r="U104" s="22"/>
      <c r="V104" s="22"/>
      <c r="W104" s="22"/>
      <c r="X104" s="22"/>
      <c r="Y104" s="23"/>
      <c r="Z104" s="22"/>
      <c r="AA104" s="22"/>
      <c r="AB104" s="22"/>
      <c r="AC104" s="22"/>
      <c r="AD104" s="22"/>
      <c r="AE104" s="22"/>
      <c r="AF104" s="22"/>
      <c r="AG104" s="22"/>
      <c r="AH104" s="22"/>
      <c r="AI104" s="22"/>
      <c r="AJ104" s="22"/>
      <c r="AK104" s="22"/>
      <c r="AL104" s="22"/>
      <c r="AM104" s="22" t="str">
        <f t="shared" ref="AM104" si="83">B104</f>
        <v>ActiveWorkbook.Close SaveChanges:=False</v>
      </c>
      <c r="AO104" t="s">
        <v>339</v>
      </c>
    </row>
    <row r="106" spans="2:41" x14ac:dyDescent="0.25">
      <c r="B106" s="19" t="s">
        <v>316</v>
      </c>
      <c r="C106" s="19"/>
      <c r="D106" s="19"/>
      <c r="E106" s="19"/>
      <c r="F106" s="19"/>
      <c r="G106" s="19"/>
      <c r="H106" s="19"/>
      <c r="I106" s="19"/>
      <c r="J106" s="19"/>
      <c r="K106" s="19"/>
      <c r="L106" s="19"/>
      <c r="M106" s="19"/>
      <c r="N106" s="19" t="s">
        <v>321</v>
      </c>
      <c r="O106" s="19"/>
      <c r="P106" s="19"/>
      <c r="Q106" s="19"/>
      <c r="R106" s="19"/>
      <c r="S106" s="19"/>
      <c r="T106" s="19"/>
      <c r="U106" s="19"/>
      <c r="V106" s="19">
        <f t="shared" ref="V106:V107" si="84">V101+1</f>
        <v>19</v>
      </c>
      <c r="W106" s="19"/>
      <c r="X106" s="19"/>
      <c r="Y106" s="21"/>
      <c r="Z106" s="19" t="s">
        <v>322</v>
      </c>
      <c r="AA106" s="19"/>
      <c r="AB106" s="19"/>
      <c r="AC106" s="19"/>
      <c r="AD106" s="19"/>
      <c r="AE106" s="19"/>
      <c r="AF106" s="19"/>
      <c r="AG106" s="19"/>
      <c r="AH106" s="19"/>
      <c r="AI106" s="19"/>
      <c r="AJ106" s="19"/>
      <c r="AK106" s="19"/>
      <c r="AL106" s="19"/>
      <c r="AM106" s="19" t="str">
        <f t="shared" ref="AM106" si="85">+_xlfn.CONCAT(N106&amp;V106&amp;Z106)</f>
        <v xml:space="preserve"> Workbooks.Open "A:\Homes for Ukraine data\Ukraine_sponsorship_data_19.ods"</v>
      </c>
      <c r="AO106" t="s">
        <v>355</v>
      </c>
    </row>
    <row r="107" spans="2:41" x14ac:dyDescent="0.25">
      <c r="B107" s="19" t="s">
        <v>318</v>
      </c>
      <c r="C107" s="19"/>
      <c r="D107" s="19"/>
      <c r="E107" s="19"/>
      <c r="F107" s="19"/>
      <c r="G107" s="19"/>
      <c r="H107" s="19"/>
      <c r="I107" s="19"/>
      <c r="J107" s="19"/>
      <c r="K107" s="19"/>
      <c r="L107" s="19"/>
      <c r="M107" s="19"/>
      <c r="N107" s="19" t="s">
        <v>323</v>
      </c>
      <c r="O107" s="19"/>
      <c r="P107" s="19"/>
      <c r="Q107" s="19"/>
      <c r="R107" s="19"/>
      <c r="S107" s="19"/>
      <c r="T107" s="19"/>
      <c r="U107" s="19"/>
      <c r="V107" s="19">
        <f t="shared" si="84"/>
        <v>19</v>
      </c>
      <c r="W107" s="19"/>
      <c r="X107" s="19"/>
      <c r="Y107" s="21"/>
      <c r="Z107" s="19" t="s">
        <v>326</v>
      </c>
      <c r="AA107" s="19"/>
      <c r="AB107" s="19"/>
      <c r="AC107" s="19"/>
      <c r="AD107" s="19"/>
      <c r="AE107" s="19" t="s">
        <v>382</v>
      </c>
      <c r="AF107" s="19">
        <v>11</v>
      </c>
      <c r="AG107" s="19" t="s">
        <v>327</v>
      </c>
      <c r="AH107" s="19"/>
      <c r="AI107" s="19">
        <v>165</v>
      </c>
      <c r="AJ107" s="19"/>
      <c r="AK107" s="19" t="s">
        <v>325</v>
      </c>
      <c r="AL107" s="19"/>
      <c r="AM107" s="19" t="str">
        <f t="shared" ref="AM107" si="86">_xlfn.CONCAT(N107&amp;V107&amp;Z107&amp;AE107&amp;AF107&amp;AG107&amp;AE107&amp;AI107&amp;AK107)</f>
        <v xml:space="preserve"> Workbooks("Ukraine_sponsorship_data_19.ods").Worksheets("UTLA_-_England").Range("D11:D165").Copy _</v>
      </c>
      <c r="AO107" t="s">
        <v>376</v>
      </c>
    </row>
    <row r="108" spans="2:41" x14ac:dyDescent="0.25">
      <c r="B108" s="19" t="s">
        <v>808</v>
      </c>
      <c r="C108" s="19"/>
      <c r="D108" s="19"/>
      <c r="E108" s="19"/>
      <c r="F108" s="19"/>
      <c r="G108" s="19"/>
      <c r="H108" s="19"/>
      <c r="I108" s="19"/>
      <c r="J108" s="19"/>
      <c r="K108" s="19"/>
      <c r="L108" s="19"/>
      <c r="M108" s="19"/>
      <c r="N108" s="19" t="s">
        <v>809</v>
      </c>
      <c r="O108" s="19"/>
      <c r="P108" s="19"/>
      <c r="Q108" s="19"/>
      <c r="R108" s="19"/>
      <c r="S108" s="19"/>
      <c r="T108" s="19"/>
      <c r="U108" s="19"/>
      <c r="V108" s="19"/>
      <c r="W108" s="19" t="str">
        <f t="shared" ref="W108" si="87">CHAR(CODE(W103)+1)</f>
        <v>Z</v>
      </c>
      <c r="X108" s="19"/>
      <c r="Y108" s="21">
        <v>9</v>
      </c>
      <c r="Z108" s="19" t="s">
        <v>324</v>
      </c>
      <c r="AA108" s="19"/>
      <c r="AB108" s="19"/>
      <c r="AC108" s="19"/>
      <c r="AD108" s="19"/>
      <c r="AE108" s="19"/>
      <c r="AF108" s="19"/>
      <c r="AG108" s="19"/>
      <c r="AH108" s="19"/>
      <c r="AI108" s="19"/>
      <c r="AJ108" s="19"/>
      <c r="AK108" s="19"/>
      <c r="AL108" s="19"/>
      <c r="AM108" s="19" t="str">
        <f t="shared" ref="AM108" si="88">_xlfn.CONCAT(N108&amp;W108&amp;Y108&amp;Z108)</f>
        <v>Workbooks("HFU Forecast UTLA 1.0.xlsm").Worksheets("Combined data").Range("Z9")</v>
      </c>
      <c r="AO108" t="s">
        <v>832</v>
      </c>
    </row>
    <row r="109" spans="2:41" x14ac:dyDescent="0.25">
      <c r="B109" s="19" t="s">
        <v>339</v>
      </c>
      <c r="C109" s="19"/>
      <c r="D109" s="19"/>
      <c r="E109" s="19"/>
      <c r="F109" s="19"/>
      <c r="G109" s="19"/>
      <c r="H109" s="19"/>
      <c r="I109" s="19"/>
      <c r="J109" s="19"/>
      <c r="K109" s="19"/>
      <c r="L109" s="19"/>
      <c r="M109" s="19"/>
      <c r="N109" s="19"/>
      <c r="O109" s="19"/>
      <c r="P109" s="19"/>
      <c r="Q109" s="19"/>
      <c r="R109" s="19"/>
      <c r="S109" s="19"/>
      <c r="T109" s="19"/>
      <c r="U109" s="19"/>
      <c r="V109" s="19"/>
      <c r="W109" s="19"/>
      <c r="X109" s="19"/>
      <c r="Y109" s="21"/>
      <c r="Z109" s="19"/>
      <c r="AA109" s="19"/>
      <c r="AB109" s="19"/>
      <c r="AC109" s="19"/>
      <c r="AD109" s="19"/>
      <c r="AE109" s="19"/>
      <c r="AF109" s="19"/>
      <c r="AG109" s="19"/>
      <c r="AH109" s="19"/>
      <c r="AI109" s="19"/>
      <c r="AJ109" s="19"/>
      <c r="AK109" s="19"/>
      <c r="AL109" s="19"/>
      <c r="AM109" s="19" t="str">
        <f t="shared" ref="AM109" si="89">B109</f>
        <v>ActiveWorkbook.Close SaveChanges:=False</v>
      </c>
      <c r="AO109" t="s">
        <v>339</v>
      </c>
    </row>
    <row r="111" spans="2:41" x14ac:dyDescent="0.25">
      <c r="B111" s="22" t="s">
        <v>316</v>
      </c>
      <c r="C111" s="22"/>
      <c r="D111" s="22"/>
      <c r="E111" s="22"/>
      <c r="F111" s="22"/>
      <c r="G111" s="22"/>
      <c r="H111" s="22"/>
      <c r="I111" s="22"/>
      <c r="J111" s="22"/>
      <c r="K111" s="22"/>
      <c r="L111" s="22"/>
      <c r="M111" s="22"/>
      <c r="N111" s="22" t="s">
        <v>321</v>
      </c>
      <c r="O111" s="22"/>
      <c r="P111" s="22"/>
      <c r="Q111" s="22"/>
      <c r="R111" s="22"/>
      <c r="S111" s="22"/>
      <c r="T111" s="22"/>
      <c r="U111" s="22"/>
      <c r="V111" s="22">
        <f t="shared" ref="V111:V112" si="90">V106+1</f>
        <v>20</v>
      </c>
      <c r="W111" s="22"/>
      <c r="X111" s="22"/>
      <c r="Y111" s="23"/>
      <c r="Z111" s="22" t="s">
        <v>322</v>
      </c>
      <c r="AA111" s="22"/>
      <c r="AB111" s="22"/>
      <c r="AC111" s="22"/>
      <c r="AD111" s="22"/>
      <c r="AE111" s="22"/>
      <c r="AF111" s="22"/>
      <c r="AG111" s="22"/>
      <c r="AH111" s="22"/>
      <c r="AI111" s="22"/>
      <c r="AJ111" s="22"/>
      <c r="AK111" s="22"/>
      <c r="AL111" s="22"/>
      <c r="AM111" s="22" t="str">
        <f t="shared" ref="AM111" si="91">+_xlfn.CONCAT(N111&amp;V111&amp;Z111)</f>
        <v xml:space="preserve"> Workbooks.Open "A:\Homes for Ukraine data\Ukraine_sponsorship_data_20.ods"</v>
      </c>
      <c r="AO111" t="s">
        <v>356</v>
      </c>
    </row>
    <row r="112" spans="2:41" x14ac:dyDescent="0.25">
      <c r="B112" s="22" t="s">
        <v>318</v>
      </c>
      <c r="C112" s="22"/>
      <c r="D112" s="22"/>
      <c r="E112" s="22"/>
      <c r="F112" s="22"/>
      <c r="G112" s="22"/>
      <c r="H112" s="22"/>
      <c r="I112" s="22"/>
      <c r="J112" s="22"/>
      <c r="K112" s="22"/>
      <c r="L112" s="22"/>
      <c r="M112" s="22"/>
      <c r="N112" s="22" t="s">
        <v>323</v>
      </c>
      <c r="O112" s="22"/>
      <c r="P112" s="22"/>
      <c r="Q112" s="22"/>
      <c r="R112" s="22"/>
      <c r="S112" s="22"/>
      <c r="T112" s="22"/>
      <c r="U112" s="22"/>
      <c r="V112" s="22">
        <f t="shared" si="90"/>
        <v>20</v>
      </c>
      <c r="W112" s="22"/>
      <c r="X112" s="22"/>
      <c r="Y112" s="23"/>
      <c r="Z112" s="22" t="s">
        <v>326</v>
      </c>
      <c r="AA112" s="22"/>
      <c r="AB112" s="22"/>
      <c r="AC112" s="22"/>
      <c r="AD112" s="22"/>
      <c r="AE112" s="22" t="s">
        <v>382</v>
      </c>
      <c r="AF112" s="22">
        <v>11</v>
      </c>
      <c r="AG112" s="22" t="s">
        <v>327</v>
      </c>
      <c r="AH112" s="22"/>
      <c r="AI112" s="22">
        <v>165</v>
      </c>
      <c r="AJ112" s="22"/>
      <c r="AK112" s="22" t="s">
        <v>325</v>
      </c>
      <c r="AL112" s="22"/>
      <c r="AM112" s="22" t="str">
        <f t="shared" ref="AM112" si="92">_xlfn.CONCAT(N112&amp;V112&amp;Z112&amp;AE112&amp;AF112&amp;AG112&amp;AE112&amp;AI112&amp;AK112)</f>
        <v xml:space="preserve"> Workbooks("Ukraine_sponsorship_data_20.ods").Worksheets("UTLA_-_England").Range("D11:D165").Copy _</v>
      </c>
      <c r="AO112" t="s">
        <v>377</v>
      </c>
    </row>
    <row r="113" spans="2:41" x14ac:dyDescent="0.25">
      <c r="B113" s="22" t="s">
        <v>808</v>
      </c>
      <c r="C113" s="22"/>
      <c r="D113" s="22"/>
      <c r="E113" s="22"/>
      <c r="F113" s="22"/>
      <c r="G113" s="22"/>
      <c r="H113" s="22"/>
      <c r="I113" s="22"/>
      <c r="J113" s="22"/>
      <c r="K113" s="22"/>
      <c r="L113" s="22"/>
      <c r="M113" s="22"/>
      <c r="N113" s="22" t="s">
        <v>809</v>
      </c>
      <c r="O113" s="22"/>
      <c r="P113" s="22"/>
      <c r="Q113" s="22"/>
      <c r="R113" s="22"/>
      <c r="S113" s="22"/>
      <c r="T113" s="22"/>
      <c r="U113" s="22"/>
      <c r="V113" s="22"/>
      <c r="W113" s="22" t="s">
        <v>312</v>
      </c>
      <c r="X113" s="22" t="s">
        <v>312</v>
      </c>
      <c r="Y113" s="23">
        <v>9</v>
      </c>
      <c r="Z113" s="22" t="s">
        <v>324</v>
      </c>
      <c r="AA113" s="22"/>
      <c r="AB113" s="22"/>
      <c r="AC113" s="22"/>
      <c r="AD113" s="22"/>
      <c r="AE113" s="22"/>
      <c r="AF113" s="22"/>
      <c r="AG113" s="22"/>
      <c r="AH113" s="22"/>
      <c r="AI113" s="22"/>
      <c r="AJ113" s="22"/>
      <c r="AK113" s="22"/>
      <c r="AL113" s="22"/>
      <c r="AM113" s="22" t="str">
        <f>_xlfn.CONCAT(N113&amp;W113&amp;X113&amp;Y113&amp;Z113)</f>
        <v>Workbooks("HFU Forecast UTLA 1.0.xlsm").Worksheets("Combined data").Range("AA9")</v>
      </c>
      <c r="AO113" t="s">
        <v>833</v>
      </c>
    </row>
    <row r="114" spans="2:41" x14ac:dyDescent="0.25">
      <c r="B114" s="22" t="s">
        <v>339</v>
      </c>
      <c r="C114" s="22"/>
      <c r="D114" s="22"/>
      <c r="E114" s="22"/>
      <c r="F114" s="22"/>
      <c r="G114" s="22"/>
      <c r="H114" s="22"/>
      <c r="I114" s="22"/>
      <c r="J114" s="22"/>
      <c r="K114" s="22"/>
      <c r="L114" s="22"/>
      <c r="M114" s="22"/>
      <c r="N114" s="22"/>
      <c r="O114" s="22"/>
      <c r="P114" s="22"/>
      <c r="Q114" s="22"/>
      <c r="R114" s="22"/>
      <c r="S114" s="22"/>
      <c r="T114" s="22"/>
      <c r="U114" s="22"/>
      <c r="V114" s="22"/>
      <c r="W114" s="22"/>
      <c r="X114" s="22"/>
      <c r="Y114" s="23"/>
      <c r="Z114" s="22"/>
      <c r="AA114" s="22"/>
      <c r="AB114" s="22"/>
      <c r="AC114" s="22"/>
      <c r="AD114" s="22"/>
      <c r="AE114" s="22"/>
      <c r="AF114" s="22"/>
      <c r="AG114" s="22"/>
      <c r="AH114" s="22"/>
      <c r="AI114" s="22"/>
      <c r="AJ114" s="22"/>
      <c r="AK114" s="22"/>
      <c r="AL114" s="22"/>
      <c r="AM114" s="22" t="str">
        <f t="shared" ref="AM114" si="93">B114</f>
        <v>ActiveWorkbook.Close SaveChanges:=False</v>
      </c>
      <c r="AO114" t="s">
        <v>339</v>
      </c>
    </row>
    <row r="116" spans="2:41" ht="18.75" customHeight="1" x14ac:dyDescent="0.25">
      <c r="B116" s="19" t="s">
        <v>316</v>
      </c>
      <c r="C116" s="19"/>
      <c r="D116" s="19"/>
      <c r="E116" s="19"/>
      <c r="F116" s="19"/>
      <c r="G116" s="19"/>
      <c r="H116" s="19"/>
      <c r="I116" s="19"/>
      <c r="J116" s="19"/>
      <c r="K116" s="19"/>
      <c r="L116" s="19"/>
      <c r="M116" s="19"/>
      <c r="N116" s="19" t="s">
        <v>321</v>
      </c>
      <c r="O116" s="19"/>
      <c r="P116" s="19"/>
      <c r="Q116" s="19"/>
      <c r="R116" s="19"/>
      <c r="S116" s="19"/>
      <c r="T116" s="19"/>
      <c r="U116" s="19"/>
      <c r="V116" s="19">
        <f t="shared" ref="V116:V117" si="94">V111+1</f>
        <v>21</v>
      </c>
      <c r="W116" s="19"/>
      <c r="X116" s="19"/>
      <c r="Y116" s="21"/>
      <c r="Z116" s="19" t="s">
        <v>322</v>
      </c>
      <c r="AA116" s="19"/>
      <c r="AB116" s="19"/>
      <c r="AC116" s="19"/>
      <c r="AD116" s="19"/>
      <c r="AE116" s="19"/>
      <c r="AF116" s="19"/>
      <c r="AG116" s="19"/>
      <c r="AH116" s="19"/>
      <c r="AI116" s="19"/>
      <c r="AJ116" s="19"/>
      <c r="AK116" s="19"/>
      <c r="AL116" s="19"/>
      <c r="AM116" s="19" t="str">
        <f t="shared" ref="AM116" si="95">+_xlfn.CONCAT(N116&amp;V116&amp;Z116)</f>
        <v xml:space="preserve"> Workbooks.Open "A:\Homes for Ukraine data\Ukraine_sponsorship_data_21.ods"</v>
      </c>
      <c r="AO116" t="s">
        <v>357</v>
      </c>
    </row>
    <row r="117" spans="2:41" x14ac:dyDescent="0.25">
      <c r="B117" s="19" t="s">
        <v>318</v>
      </c>
      <c r="C117" s="19"/>
      <c r="D117" s="19"/>
      <c r="E117" s="19"/>
      <c r="F117" s="19"/>
      <c r="G117" s="19"/>
      <c r="H117" s="19"/>
      <c r="I117" s="19"/>
      <c r="J117" s="19"/>
      <c r="K117" s="19"/>
      <c r="L117" s="19"/>
      <c r="M117" s="19"/>
      <c r="N117" s="19" t="s">
        <v>323</v>
      </c>
      <c r="O117" s="19"/>
      <c r="P117" s="19"/>
      <c r="Q117" s="19"/>
      <c r="R117" s="19"/>
      <c r="S117" s="19"/>
      <c r="T117" s="19"/>
      <c r="U117" s="19"/>
      <c r="V117" s="19">
        <f t="shared" si="94"/>
        <v>21</v>
      </c>
      <c r="W117" s="19"/>
      <c r="X117" s="19"/>
      <c r="Y117" s="21"/>
      <c r="Z117" s="19" t="s">
        <v>326</v>
      </c>
      <c r="AA117" s="19"/>
      <c r="AB117" s="19"/>
      <c r="AC117" s="19"/>
      <c r="AD117" s="19"/>
      <c r="AE117" s="19" t="s">
        <v>382</v>
      </c>
      <c r="AF117" s="19">
        <v>11</v>
      </c>
      <c r="AG117" s="19" t="s">
        <v>327</v>
      </c>
      <c r="AH117" s="19"/>
      <c r="AI117" s="19">
        <v>165</v>
      </c>
      <c r="AJ117" s="19"/>
      <c r="AK117" s="19" t="s">
        <v>325</v>
      </c>
      <c r="AL117" s="19"/>
      <c r="AM117" s="19" t="str">
        <f t="shared" ref="AM117" si="96">_xlfn.CONCAT(N117&amp;V117&amp;Z117&amp;AE117&amp;AF117&amp;AG117&amp;AE117&amp;AI117&amp;AK117)</f>
        <v xml:space="preserve"> Workbooks("Ukraine_sponsorship_data_21.ods").Worksheets("UTLA_-_England").Range("D11:D165").Copy _</v>
      </c>
      <c r="AO117" t="s">
        <v>378</v>
      </c>
    </row>
    <row r="118" spans="2:41" x14ac:dyDescent="0.25">
      <c r="B118" s="19" t="s">
        <v>808</v>
      </c>
      <c r="C118" s="19"/>
      <c r="D118" s="19"/>
      <c r="E118" s="19"/>
      <c r="F118" s="19"/>
      <c r="G118" s="19"/>
      <c r="H118" s="19"/>
      <c r="I118" s="19"/>
      <c r="J118" s="19"/>
      <c r="K118" s="19"/>
      <c r="L118" s="19"/>
      <c r="M118" s="19"/>
      <c r="N118" s="19" t="s">
        <v>809</v>
      </c>
      <c r="O118" s="19"/>
      <c r="P118" s="19"/>
      <c r="Q118" s="19"/>
      <c r="R118" s="19"/>
      <c r="S118" s="19"/>
      <c r="T118" s="19"/>
      <c r="U118" s="19"/>
      <c r="V118" s="19"/>
      <c r="W118" s="19" t="s">
        <v>312</v>
      </c>
      <c r="X118" s="19" t="str">
        <f>CHAR(CODE(X113)+1)</f>
        <v>B</v>
      </c>
      <c r="Y118" s="21">
        <v>9</v>
      </c>
      <c r="Z118" s="19" t="s">
        <v>324</v>
      </c>
      <c r="AA118" s="19"/>
      <c r="AB118" s="19"/>
      <c r="AC118" s="19"/>
      <c r="AD118" s="19"/>
      <c r="AE118" s="19"/>
      <c r="AF118" s="19"/>
      <c r="AG118" s="19"/>
      <c r="AH118" s="19"/>
      <c r="AI118" s="19"/>
      <c r="AJ118" s="19"/>
      <c r="AK118" s="19"/>
      <c r="AL118" s="19"/>
      <c r="AM118" s="19" t="str">
        <f>_xlfn.CONCAT(N118&amp;W118&amp;X118&amp;Y118&amp;Z118)</f>
        <v>Workbooks("HFU Forecast UTLA 1.0.xlsm").Worksheets("Combined data").Range("AB9")</v>
      </c>
      <c r="AO118" t="s">
        <v>834</v>
      </c>
    </row>
    <row r="119" spans="2:41" x14ac:dyDescent="0.25">
      <c r="B119" s="19" t="s">
        <v>339</v>
      </c>
      <c r="C119" s="19"/>
      <c r="D119" s="19"/>
      <c r="E119" s="19"/>
      <c r="F119" s="19"/>
      <c r="G119" s="19"/>
      <c r="H119" s="19"/>
      <c r="I119" s="19"/>
      <c r="J119" s="19"/>
      <c r="K119" s="19"/>
      <c r="L119" s="19"/>
      <c r="M119" s="19"/>
      <c r="N119" s="19"/>
      <c r="O119" s="19"/>
      <c r="P119" s="19"/>
      <c r="Q119" s="19"/>
      <c r="R119" s="19"/>
      <c r="S119" s="19"/>
      <c r="T119" s="19"/>
      <c r="U119" s="19"/>
      <c r="V119" s="19"/>
      <c r="W119" s="19"/>
      <c r="X119" s="19"/>
      <c r="Y119" s="21"/>
      <c r="Z119" s="19"/>
      <c r="AA119" s="19"/>
      <c r="AB119" s="19"/>
      <c r="AC119" s="19"/>
      <c r="AD119" s="19"/>
      <c r="AE119" s="19"/>
      <c r="AF119" s="19"/>
      <c r="AG119" s="19"/>
      <c r="AH119" s="19"/>
      <c r="AI119" s="19"/>
      <c r="AJ119" s="19"/>
      <c r="AK119" s="19"/>
      <c r="AL119" s="19"/>
      <c r="AM119" s="19" t="str">
        <f t="shared" ref="AM119" si="97">B119</f>
        <v>ActiveWorkbook.Close SaveChanges:=False</v>
      </c>
      <c r="AO119" t="s">
        <v>339</v>
      </c>
    </row>
    <row r="121" spans="2:41" x14ac:dyDescent="0.25">
      <c r="B121" s="22" t="s">
        <v>316</v>
      </c>
      <c r="C121" s="22"/>
      <c r="D121" s="22"/>
      <c r="E121" s="22"/>
      <c r="F121" s="22"/>
      <c r="G121" s="22"/>
      <c r="H121" s="22"/>
      <c r="I121" s="22"/>
      <c r="J121" s="22"/>
      <c r="K121" s="22"/>
      <c r="L121" s="22"/>
      <c r="M121" s="22"/>
      <c r="N121" s="22" t="s">
        <v>321</v>
      </c>
      <c r="O121" s="22"/>
      <c r="P121" s="22"/>
      <c r="Q121" s="22"/>
      <c r="R121" s="22"/>
      <c r="S121" s="22"/>
      <c r="T121" s="22"/>
      <c r="U121" s="22"/>
      <c r="V121" s="22">
        <f t="shared" ref="V121:V122" si="98">V116+1</f>
        <v>22</v>
      </c>
      <c r="W121" s="22"/>
      <c r="X121" s="22"/>
      <c r="Y121" s="23"/>
      <c r="Z121" s="22" t="s">
        <v>322</v>
      </c>
      <c r="AA121" s="22"/>
      <c r="AB121" s="22"/>
      <c r="AC121" s="22"/>
      <c r="AD121" s="22"/>
      <c r="AE121" s="22"/>
      <c r="AF121" s="22"/>
      <c r="AG121" s="22"/>
      <c r="AH121" s="22"/>
      <c r="AI121" s="22"/>
      <c r="AJ121" s="22"/>
      <c r="AK121" s="22"/>
      <c r="AL121" s="22"/>
      <c r="AM121" s="22" t="str">
        <f t="shared" ref="AM121" si="99">+_xlfn.CONCAT(N121&amp;V121&amp;Z121)</f>
        <v xml:space="preserve"> Workbooks.Open "A:\Homes for Ukraine data\Ukraine_sponsorship_data_22.ods"</v>
      </c>
      <c r="AO121" t="s">
        <v>358</v>
      </c>
    </row>
    <row r="122" spans="2:41" x14ac:dyDescent="0.25">
      <c r="B122" s="22" t="s">
        <v>318</v>
      </c>
      <c r="C122" s="22"/>
      <c r="D122" s="22"/>
      <c r="E122" s="22"/>
      <c r="F122" s="22"/>
      <c r="G122" s="22"/>
      <c r="H122" s="22"/>
      <c r="I122" s="22"/>
      <c r="J122" s="22"/>
      <c r="K122" s="22"/>
      <c r="L122" s="22"/>
      <c r="M122" s="22"/>
      <c r="N122" s="22" t="s">
        <v>323</v>
      </c>
      <c r="O122" s="22"/>
      <c r="P122" s="22"/>
      <c r="Q122" s="22"/>
      <c r="R122" s="22"/>
      <c r="S122" s="22"/>
      <c r="T122" s="22"/>
      <c r="U122" s="22"/>
      <c r="V122" s="22">
        <f t="shared" si="98"/>
        <v>22</v>
      </c>
      <c r="W122" s="22"/>
      <c r="X122" s="22"/>
      <c r="Y122" s="23"/>
      <c r="Z122" s="22" t="s">
        <v>326</v>
      </c>
      <c r="AA122" s="22"/>
      <c r="AB122" s="22"/>
      <c r="AC122" s="22"/>
      <c r="AD122" s="22"/>
      <c r="AE122" s="22" t="s">
        <v>382</v>
      </c>
      <c r="AF122" s="22">
        <v>11</v>
      </c>
      <c r="AG122" s="22" t="s">
        <v>327</v>
      </c>
      <c r="AH122" s="22"/>
      <c r="AI122" s="22">
        <v>165</v>
      </c>
      <c r="AJ122" s="22"/>
      <c r="AK122" s="22" t="s">
        <v>325</v>
      </c>
      <c r="AL122" s="22"/>
      <c r="AM122" s="22" t="str">
        <f t="shared" ref="AM122" si="100">_xlfn.CONCAT(N122&amp;V122&amp;Z122&amp;AE122&amp;AF122&amp;AG122&amp;AE122&amp;AI122&amp;AK122)</f>
        <v xml:space="preserve"> Workbooks("Ukraine_sponsorship_data_22.ods").Worksheets("UTLA_-_England").Range("D11:D165").Copy _</v>
      </c>
      <c r="AO122" t="s">
        <v>379</v>
      </c>
    </row>
    <row r="123" spans="2:41" x14ac:dyDescent="0.25">
      <c r="B123" s="22" t="s">
        <v>808</v>
      </c>
      <c r="C123" s="22"/>
      <c r="D123" s="22"/>
      <c r="E123" s="22"/>
      <c r="F123" s="22"/>
      <c r="G123" s="22"/>
      <c r="H123" s="22"/>
      <c r="I123" s="22"/>
      <c r="J123" s="22"/>
      <c r="K123" s="22"/>
      <c r="L123" s="22"/>
      <c r="M123" s="22"/>
      <c r="N123" s="22" t="s">
        <v>809</v>
      </c>
      <c r="O123" s="22"/>
      <c r="P123" s="22"/>
      <c r="Q123" s="22"/>
      <c r="R123" s="22"/>
      <c r="S123" s="22"/>
      <c r="T123" s="22"/>
      <c r="U123" s="22"/>
      <c r="V123" s="22"/>
      <c r="W123" s="22" t="s">
        <v>312</v>
      </c>
      <c r="X123" s="22" t="str">
        <f>CHAR(CODE(X118)+1)</f>
        <v>C</v>
      </c>
      <c r="Y123" s="23">
        <v>9</v>
      </c>
      <c r="Z123" s="22" t="s">
        <v>324</v>
      </c>
      <c r="AA123" s="22"/>
      <c r="AB123" s="22"/>
      <c r="AC123" s="22"/>
      <c r="AD123" s="22"/>
      <c r="AE123" s="22"/>
      <c r="AF123" s="22"/>
      <c r="AG123" s="22"/>
      <c r="AH123" s="22"/>
      <c r="AI123" s="22"/>
      <c r="AJ123" s="22"/>
      <c r="AK123" s="22"/>
      <c r="AL123" s="22"/>
      <c r="AM123" s="22" t="str">
        <f>_xlfn.CONCAT(N123&amp;W123&amp;X123&amp;Y123&amp;Z123)</f>
        <v>Workbooks("HFU Forecast UTLA 1.0.xlsm").Worksheets("Combined data").Range("AC9")</v>
      </c>
      <c r="AO123" t="s">
        <v>835</v>
      </c>
    </row>
    <row r="124" spans="2:41" x14ac:dyDescent="0.25">
      <c r="B124" s="22" t="s">
        <v>339</v>
      </c>
      <c r="C124" s="22"/>
      <c r="D124" s="22"/>
      <c r="E124" s="22"/>
      <c r="F124" s="22"/>
      <c r="G124" s="22"/>
      <c r="H124" s="22"/>
      <c r="I124" s="22"/>
      <c r="J124" s="22"/>
      <c r="K124" s="22"/>
      <c r="L124" s="22"/>
      <c r="M124" s="22"/>
      <c r="N124" s="22"/>
      <c r="O124" s="22"/>
      <c r="P124" s="22"/>
      <c r="Q124" s="22"/>
      <c r="R124" s="22"/>
      <c r="S124" s="22"/>
      <c r="T124" s="22"/>
      <c r="U124" s="22"/>
      <c r="V124" s="22"/>
      <c r="W124" s="22"/>
      <c r="X124" s="22"/>
      <c r="Y124" s="23"/>
      <c r="Z124" s="22"/>
      <c r="AA124" s="22"/>
      <c r="AB124" s="22"/>
      <c r="AC124" s="22"/>
      <c r="AD124" s="22"/>
      <c r="AE124" s="22"/>
      <c r="AF124" s="22"/>
      <c r="AG124" s="22"/>
      <c r="AH124" s="22"/>
      <c r="AI124" s="22"/>
      <c r="AJ124" s="22"/>
      <c r="AK124" s="22"/>
      <c r="AL124" s="22"/>
      <c r="AM124" s="22" t="str">
        <f t="shared" ref="AM124" si="101">B124</f>
        <v>ActiveWorkbook.Close SaveChanges:=False</v>
      </c>
      <c r="AO124" t="s">
        <v>339</v>
      </c>
    </row>
    <row r="126" spans="2:41" x14ac:dyDescent="0.25">
      <c r="B126" s="19" t="s">
        <v>316</v>
      </c>
      <c r="C126" s="19"/>
      <c r="D126" s="19"/>
      <c r="E126" s="19"/>
      <c r="F126" s="19"/>
      <c r="G126" s="19"/>
      <c r="H126" s="19"/>
      <c r="I126" s="19"/>
      <c r="J126" s="19"/>
      <c r="K126" s="19"/>
      <c r="L126" s="19"/>
      <c r="M126" s="19"/>
      <c r="N126" s="19" t="s">
        <v>321</v>
      </c>
      <c r="O126" s="19"/>
      <c r="P126" s="19"/>
      <c r="Q126" s="19"/>
      <c r="R126" s="19"/>
      <c r="S126" s="19"/>
      <c r="T126" s="19"/>
      <c r="U126" s="19"/>
      <c r="V126" s="19">
        <f t="shared" ref="V126:V177" si="102">V121+1</f>
        <v>23</v>
      </c>
      <c r="W126" s="19"/>
      <c r="X126" s="19"/>
      <c r="Y126" s="21"/>
      <c r="Z126" s="19" t="s">
        <v>322</v>
      </c>
      <c r="AA126" s="19"/>
      <c r="AB126" s="19"/>
      <c r="AC126" s="19"/>
      <c r="AD126" s="19"/>
      <c r="AE126" s="19"/>
      <c r="AF126" s="19"/>
      <c r="AG126" s="19"/>
      <c r="AH126" s="19"/>
      <c r="AI126" s="19"/>
      <c r="AJ126" s="19"/>
      <c r="AK126" s="19"/>
      <c r="AL126" s="19"/>
      <c r="AM126" s="19" t="str">
        <f t="shared" ref="AM126" si="103">+_xlfn.CONCAT(N126&amp;V126&amp;Z126)</f>
        <v xml:space="preserve"> Workbooks.Open "A:\Homes for Ukraine data\Ukraine_sponsorship_data_23.ods"</v>
      </c>
      <c r="AO126" t="s">
        <v>721</v>
      </c>
    </row>
    <row r="127" spans="2:41" x14ac:dyDescent="0.25">
      <c r="B127" s="19" t="s">
        <v>318</v>
      </c>
      <c r="C127" s="19"/>
      <c r="D127" s="19"/>
      <c r="E127" s="19"/>
      <c r="F127" s="19"/>
      <c r="G127" s="19"/>
      <c r="H127" s="19"/>
      <c r="I127" s="19"/>
      <c r="J127" s="19"/>
      <c r="K127" s="19"/>
      <c r="L127" s="19"/>
      <c r="M127" s="19"/>
      <c r="N127" s="19" t="s">
        <v>323</v>
      </c>
      <c r="O127" s="19"/>
      <c r="P127" s="19"/>
      <c r="Q127" s="19"/>
      <c r="R127" s="19"/>
      <c r="S127" s="19"/>
      <c r="T127" s="19"/>
      <c r="U127" s="19"/>
      <c r="V127" s="19">
        <f t="shared" si="102"/>
        <v>23</v>
      </c>
      <c r="W127" s="19"/>
      <c r="X127" s="19"/>
      <c r="Y127" s="21"/>
      <c r="Z127" s="19" t="s">
        <v>326</v>
      </c>
      <c r="AA127" s="19"/>
      <c r="AB127" s="19"/>
      <c r="AC127" s="19"/>
      <c r="AD127" s="19"/>
      <c r="AE127" s="19" t="s">
        <v>382</v>
      </c>
      <c r="AF127" s="19">
        <v>11</v>
      </c>
      <c r="AG127" s="19" t="s">
        <v>327</v>
      </c>
      <c r="AH127" s="19"/>
      <c r="AI127" s="19">
        <v>165</v>
      </c>
      <c r="AJ127" s="19"/>
      <c r="AK127" s="19" t="s">
        <v>325</v>
      </c>
      <c r="AL127" s="19"/>
      <c r="AM127" s="19" t="str">
        <f t="shared" ref="AM127" si="104">_xlfn.CONCAT(N127&amp;V127&amp;Z127&amp;AE127&amp;AF127&amp;AG127&amp;AE127&amp;AI127&amp;AK127)</f>
        <v xml:space="preserve"> Workbooks("Ukraine_sponsorship_data_23.ods").Worksheets("UTLA_-_England").Range("D11:D165").Copy _</v>
      </c>
      <c r="AO127" t="s">
        <v>722</v>
      </c>
    </row>
    <row r="128" spans="2:41" x14ac:dyDescent="0.25">
      <c r="B128" s="19" t="s">
        <v>808</v>
      </c>
      <c r="C128" s="19"/>
      <c r="D128" s="19"/>
      <c r="E128" s="19"/>
      <c r="F128" s="19"/>
      <c r="G128" s="19"/>
      <c r="H128" s="19"/>
      <c r="I128" s="19"/>
      <c r="J128" s="19"/>
      <c r="K128" s="19"/>
      <c r="L128" s="19"/>
      <c r="M128" s="19"/>
      <c r="N128" s="19" t="s">
        <v>809</v>
      </c>
      <c r="O128" s="19"/>
      <c r="P128" s="19"/>
      <c r="Q128" s="19"/>
      <c r="R128" s="19"/>
      <c r="S128" s="19"/>
      <c r="T128" s="19"/>
      <c r="U128" s="19"/>
      <c r="V128" s="19"/>
      <c r="W128" s="19" t="s">
        <v>312</v>
      </c>
      <c r="X128" s="19" t="str">
        <f t="shared" ref="X128" si="105">CHAR(CODE(X123)+1)</f>
        <v>D</v>
      </c>
      <c r="Y128" s="21">
        <v>9</v>
      </c>
      <c r="Z128" s="19" t="s">
        <v>324</v>
      </c>
      <c r="AA128" s="19"/>
      <c r="AB128" s="19"/>
      <c r="AC128" s="19"/>
      <c r="AD128" s="19"/>
      <c r="AE128" s="19"/>
      <c r="AF128" s="19"/>
      <c r="AG128" s="19"/>
      <c r="AH128" s="19"/>
      <c r="AI128" s="19"/>
      <c r="AJ128" s="19"/>
      <c r="AK128" s="19"/>
      <c r="AL128" s="19"/>
      <c r="AM128" s="19" t="str">
        <f t="shared" ref="AM128" si="106">_xlfn.CONCAT(N128&amp;W128&amp;X128&amp;Y128&amp;Z128)</f>
        <v>Workbooks("HFU Forecast UTLA 1.0.xlsm").Worksheets("Combined data").Range("AD9")</v>
      </c>
      <c r="AO128" t="s">
        <v>836</v>
      </c>
    </row>
    <row r="129" spans="2:41" x14ac:dyDescent="0.25">
      <c r="B129" s="19" t="s">
        <v>339</v>
      </c>
      <c r="C129" s="19"/>
      <c r="D129" s="19"/>
      <c r="E129" s="19"/>
      <c r="F129" s="19"/>
      <c r="G129" s="19"/>
      <c r="H129" s="19"/>
      <c r="I129" s="19"/>
      <c r="J129" s="19"/>
      <c r="K129" s="19"/>
      <c r="L129" s="19"/>
      <c r="M129" s="19"/>
      <c r="N129" s="19"/>
      <c r="O129" s="19"/>
      <c r="P129" s="19"/>
      <c r="Q129" s="19"/>
      <c r="R129" s="19"/>
      <c r="S129" s="19"/>
      <c r="T129" s="19"/>
      <c r="U129" s="19"/>
      <c r="V129" s="19"/>
      <c r="W129" s="19"/>
      <c r="X129" s="19"/>
      <c r="Y129" s="21"/>
      <c r="Z129" s="19"/>
      <c r="AA129" s="19"/>
      <c r="AB129" s="19"/>
      <c r="AC129" s="19"/>
      <c r="AD129" s="19"/>
      <c r="AE129" s="19"/>
      <c r="AF129" s="19"/>
      <c r="AG129" s="19"/>
      <c r="AH129" s="19"/>
      <c r="AI129" s="19"/>
      <c r="AJ129" s="19"/>
      <c r="AK129" s="19"/>
      <c r="AL129" s="19"/>
      <c r="AM129" s="19" t="str">
        <f t="shared" ref="AM129" si="107">B129</f>
        <v>ActiveWorkbook.Close SaveChanges:=False</v>
      </c>
      <c r="AO129" t="s">
        <v>339</v>
      </c>
    </row>
    <row r="131" spans="2:41" x14ac:dyDescent="0.25">
      <c r="B131" s="22" t="s">
        <v>316</v>
      </c>
      <c r="C131" s="22"/>
      <c r="D131" s="22"/>
      <c r="E131" s="22"/>
      <c r="F131" s="22"/>
      <c r="G131" s="22"/>
      <c r="H131" s="22"/>
      <c r="I131" s="22"/>
      <c r="J131" s="22"/>
      <c r="K131" s="22"/>
      <c r="L131" s="22"/>
      <c r="M131" s="22"/>
      <c r="N131" s="22" t="s">
        <v>321</v>
      </c>
      <c r="O131" s="22"/>
      <c r="P131" s="22"/>
      <c r="Q131" s="22"/>
      <c r="R131" s="22"/>
      <c r="S131" s="22"/>
      <c r="T131" s="22"/>
      <c r="U131" s="22"/>
      <c r="V131" s="22">
        <f t="shared" ref="V131:V172" si="108">V126+1</f>
        <v>24</v>
      </c>
      <c r="W131" s="22"/>
      <c r="X131" s="22"/>
      <c r="Y131" s="23"/>
      <c r="Z131" s="22" t="s">
        <v>322</v>
      </c>
      <c r="AA131" s="22"/>
      <c r="AB131" s="22"/>
      <c r="AC131" s="22"/>
      <c r="AD131" s="22"/>
      <c r="AE131" s="22"/>
      <c r="AF131" s="22"/>
      <c r="AG131" s="22"/>
      <c r="AH131" s="22"/>
      <c r="AI131" s="22"/>
      <c r="AJ131" s="22"/>
      <c r="AK131" s="22"/>
      <c r="AL131" s="22"/>
      <c r="AM131" s="22" t="str">
        <f t="shared" ref="AM131" si="109">+_xlfn.CONCAT(N131&amp;V131&amp;Z131)</f>
        <v xml:space="preserve"> Workbooks.Open "A:\Homes for Ukraine data\Ukraine_sponsorship_data_24.ods"</v>
      </c>
      <c r="AO131" t="s">
        <v>723</v>
      </c>
    </row>
    <row r="132" spans="2:41" x14ac:dyDescent="0.25">
      <c r="B132" s="22" t="s">
        <v>318</v>
      </c>
      <c r="C132" s="22"/>
      <c r="D132" s="22"/>
      <c r="E132" s="22"/>
      <c r="F132" s="22"/>
      <c r="G132" s="22"/>
      <c r="H132" s="22"/>
      <c r="I132" s="22"/>
      <c r="J132" s="22"/>
      <c r="K132" s="22"/>
      <c r="L132" s="22"/>
      <c r="M132" s="22"/>
      <c r="N132" s="22" t="s">
        <v>323</v>
      </c>
      <c r="O132" s="22"/>
      <c r="P132" s="22"/>
      <c r="Q132" s="22"/>
      <c r="R132" s="22"/>
      <c r="S132" s="22"/>
      <c r="T132" s="22"/>
      <c r="U132" s="22"/>
      <c r="V132" s="22">
        <f t="shared" si="108"/>
        <v>24</v>
      </c>
      <c r="W132" s="22"/>
      <c r="X132" s="22"/>
      <c r="Y132" s="23"/>
      <c r="Z132" s="22" t="s">
        <v>326</v>
      </c>
      <c r="AA132" s="22"/>
      <c r="AB132" s="22"/>
      <c r="AC132" s="22"/>
      <c r="AD132" s="22"/>
      <c r="AE132" s="22" t="s">
        <v>382</v>
      </c>
      <c r="AF132" s="22">
        <v>11</v>
      </c>
      <c r="AG132" s="22" t="s">
        <v>327</v>
      </c>
      <c r="AH132" s="22"/>
      <c r="AI132" s="22">
        <v>165</v>
      </c>
      <c r="AJ132" s="22"/>
      <c r="AK132" s="22" t="s">
        <v>325</v>
      </c>
      <c r="AL132" s="22"/>
      <c r="AM132" s="22" t="str">
        <f t="shared" ref="AM132" si="110">_xlfn.CONCAT(N132&amp;V132&amp;Z132&amp;AE132&amp;AF132&amp;AG132&amp;AE132&amp;AI132&amp;AK132)</f>
        <v xml:space="preserve"> Workbooks("Ukraine_sponsorship_data_24.ods").Worksheets("UTLA_-_England").Range("D11:D165").Copy _</v>
      </c>
      <c r="AO132" t="s">
        <v>724</v>
      </c>
    </row>
    <row r="133" spans="2:41" x14ac:dyDescent="0.25">
      <c r="B133" s="22" t="s">
        <v>808</v>
      </c>
      <c r="C133" s="22"/>
      <c r="D133" s="22"/>
      <c r="E133" s="22"/>
      <c r="F133" s="22"/>
      <c r="G133" s="22"/>
      <c r="H133" s="22"/>
      <c r="I133" s="22"/>
      <c r="J133" s="22"/>
      <c r="K133" s="22"/>
      <c r="L133" s="22"/>
      <c r="M133" s="22"/>
      <c r="N133" s="22" t="s">
        <v>809</v>
      </c>
      <c r="O133" s="22"/>
      <c r="P133" s="22"/>
      <c r="Q133" s="22"/>
      <c r="R133" s="22"/>
      <c r="S133" s="22"/>
      <c r="T133" s="22"/>
      <c r="U133" s="22"/>
      <c r="V133" s="22"/>
      <c r="W133" s="22" t="s">
        <v>312</v>
      </c>
      <c r="X133" s="22" t="str">
        <f t="shared" ref="X133" si="111">CHAR(CODE(X128)+1)</f>
        <v>E</v>
      </c>
      <c r="Y133" s="23">
        <v>9</v>
      </c>
      <c r="Z133" s="22" t="s">
        <v>324</v>
      </c>
      <c r="AA133" s="22"/>
      <c r="AB133" s="22"/>
      <c r="AC133" s="22"/>
      <c r="AD133" s="22"/>
      <c r="AE133" s="22"/>
      <c r="AF133" s="22"/>
      <c r="AG133" s="22"/>
      <c r="AH133" s="22"/>
      <c r="AI133" s="22"/>
      <c r="AJ133" s="22"/>
      <c r="AK133" s="22"/>
      <c r="AL133" s="22"/>
      <c r="AM133" s="22" t="str">
        <f t="shared" ref="AM133" si="112">_xlfn.CONCAT(N133&amp;W133&amp;X133&amp;Y133&amp;Z133)</f>
        <v>Workbooks("HFU Forecast UTLA 1.0.xlsm").Worksheets("Combined data").Range("AE9")</v>
      </c>
      <c r="AO133" t="s">
        <v>837</v>
      </c>
    </row>
    <row r="134" spans="2:41" x14ac:dyDescent="0.25">
      <c r="B134" s="22" t="s">
        <v>339</v>
      </c>
      <c r="C134" s="22"/>
      <c r="D134" s="22"/>
      <c r="E134" s="22"/>
      <c r="F134" s="22"/>
      <c r="G134" s="22"/>
      <c r="H134" s="22"/>
      <c r="I134" s="22"/>
      <c r="J134" s="22"/>
      <c r="K134" s="22"/>
      <c r="L134" s="22"/>
      <c r="M134" s="22"/>
      <c r="N134" s="22"/>
      <c r="O134" s="22"/>
      <c r="P134" s="22"/>
      <c r="Q134" s="22"/>
      <c r="R134" s="22"/>
      <c r="S134" s="22"/>
      <c r="T134" s="22"/>
      <c r="U134" s="22"/>
      <c r="V134" s="22"/>
      <c r="W134" s="22"/>
      <c r="X134" s="22"/>
      <c r="Y134" s="23"/>
      <c r="Z134" s="22"/>
      <c r="AA134" s="22"/>
      <c r="AB134" s="22"/>
      <c r="AC134" s="22"/>
      <c r="AD134" s="22"/>
      <c r="AE134" s="22"/>
      <c r="AF134" s="22"/>
      <c r="AG134" s="22"/>
      <c r="AH134" s="22"/>
      <c r="AI134" s="22"/>
      <c r="AJ134" s="22"/>
      <c r="AK134" s="22"/>
      <c r="AL134" s="22"/>
      <c r="AM134" s="22" t="str">
        <f t="shared" ref="AM134" si="113">B134</f>
        <v>ActiveWorkbook.Close SaveChanges:=False</v>
      </c>
      <c r="AO134" t="s">
        <v>339</v>
      </c>
    </row>
    <row r="136" spans="2:41" x14ac:dyDescent="0.25">
      <c r="B136" s="19" t="s">
        <v>316</v>
      </c>
      <c r="C136" s="19"/>
      <c r="D136" s="19"/>
      <c r="E136" s="19"/>
      <c r="F136" s="19"/>
      <c r="G136" s="19"/>
      <c r="H136" s="19"/>
      <c r="I136" s="19"/>
      <c r="J136" s="19"/>
      <c r="K136" s="19"/>
      <c r="L136" s="19"/>
      <c r="M136" s="19"/>
      <c r="N136" s="19" t="s">
        <v>321</v>
      </c>
      <c r="O136" s="19"/>
      <c r="P136" s="19"/>
      <c r="Q136" s="19"/>
      <c r="R136" s="19"/>
      <c r="S136" s="19"/>
      <c r="T136" s="19"/>
      <c r="U136" s="19"/>
      <c r="V136" s="19">
        <f t="shared" si="102"/>
        <v>25</v>
      </c>
      <c r="W136" s="19"/>
      <c r="X136" s="19"/>
      <c r="Y136" s="21"/>
      <c r="Z136" s="19" t="s">
        <v>322</v>
      </c>
      <c r="AA136" s="19"/>
      <c r="AB136" s="19"/>
      <c r="AC136" s="19"/>
      <c r="AD136" s="19"/>
      <c r="AE136" s="19"/>
      <c r="AF136" s="19"/>
      <c r="AG136" s="19"/>
      <c r="AH136" s="19"/>
      <c r="AI136" s="19"/>
      <c r="AJ136" s="19"/>
      <c r="AK136" s="19"/>
      <c r="AL136" s="19"/>
      <c r="AM136" s="19" t="str">
        <f t="shared" ref="AM136" si="114">+_xlfn.CONCAT(N136&amp;V136&amp;Z136)</f>
        <v xml:space="preserve"> Workbooks.Open "A:\Homes for Ukraine data\Ukraine_sponsorship_data_25.ods"</v>
      </c>
      <c r="AO136" t="s">
        <v>725</v>
      </c>
    </row>
    <row r="137" spans="2:41" x14ac:dyDescent="0.25">
      <c r="B137" s="19" t="s">
        <v>318</v>
      </c>
      <c r="C137" s="19"/>
      <c r="D137" s="19"/>
      <c r="E137" s="19"/>
      <c r="F137" s="19"/>
      <c r="G137" s="19"/>
      <c r="H137" s="19"/>
      <c r="I137" s="19"/>
      <c r="J137" s="19"/>
      <c r="K137" s="19"/>
      <c r="L137" s="19"/>
      <c r="M137" s="19"/>
      <c r="N137" s="19" t="s">
        <v>323</v>
      </c>
      <c r="O137" s="19"/>
      <c r="P137" s="19"/>
      <c r="Q137" s="19"/>
      <c r="R137" s="19"/>
      <c r="S137" s="19"/>
      <c r="T137" s="19"/>
      <c r="U137" s="19"/>
      <c r="V137" s="19">
        <f t="shared" si="102"/>
        <v>25</v>
      </c>
      <c r="W137" s="19"/>
      <c r="X137" s="19"/>
      <c r="Y137" s="21"/>
      <c r="Z137" s="19" t="s">
        <v>326</v>
      </c>
      <c r="AA137" s="19"/>
      <c r="AB137" s="19"/>
      <c r="AC137" s="19"/>
      <c r="AD137" s="19"/>
      <c r="AE137" s="19" t="s">
        <v>382</v>
      </c>
      <c r="AF137" s="19">
        <v>11</v>
      </c>
      <c r="AG137" s="19" t="s">
        <v>327</v>
      </c>
      <c r="AH137" s="19"/>
      <c r="AI137" s="19">
        <v>165</v>
      </c>
      <c r="AJ137" s="19"/>
      <c r="AK137" s="19" t="s">
        <v>325</v>
      </c>
      <c r="AL137" s="19"/>
      <c r="AM137" s="19" t="str">
        <f t="shared" ref="AM137" si="115">_xlfn.CONCAT(N137&amp;V137&amp;Z137&amp;AE137&amp;AF137&amp;AG137&amp;AE137&amp;AI137&amp;AK137)</f>
        <v xml:space="preserve"> Workbooks("Ukraine_sponsorship_data_25.ods").Worksheets("UTLA_-_England").Range("D11:D165").Copy _</v>
      </c>
      <c r="AO137" t="s">
        <v>726</v>
      </c>
    </row>
    <row r="138" spans="2:41" x14ac:dyDescent="0.25">
      <c r="B138" s="19" t="s">
        <v>808</v>
      </c>
      <c r="C138" s="19"/>
      <c r="D138" s="19"/>
      <c r="E138" s="19"/>
      <c r="F138" s="19"/>
      <c r="G138" s="19"/>
      <c r="H138" s="19"/>
      <c r="I138" s="19"/>
      <c r="J138" s="19"/>
      <c r="K138" s="19"/>
      <c r="L138" s="19"/>
      <c r="M138" s="19"/>
      <c r="N138" s="19" t="s">
        <v>809</v>
      </c>
      <c r="O138" s="19"/>
      <c r="P138" s="19"/>
      <c r="Q138" s="19"/>
      <c r="R138" s="19"/>
      <c r="S138" s="19"/>
      <c r="T138" s="19"/>
      <c r="U138" s="19"/>
      <c r="V138" s="19"/>
      <c r="W138" s="19" t="s">
        <v>312</v>
      </c>
      <c r="X138" s="19" t="str">
        <f t="shared" ref="X138" si="116">CHAR(CODE(X133)+1)</f>
        <v>F</v>
      </c>
      <c r="Y138" s="21">
        <v>9</v>
      </c>
      <c r="Z138" s="19" t="s">
        <v>324</v>
      </c>
      <c r="AA138" s="19"/>
      <c r="AB138" s="19"/>
      <c r="AC138" s="19"/>
      <c r="AD138" s="19"/>
      <c r="AE138" s="19"/>
      <c r="AF138" s="19"/>
      <c r="AG138" s="19"/>
      <c r="AH138" s="19"/>
      <c r="AI138" s="19"/>
      <c r="AJ138" s="19"/>
      <c r="AK138" s="19"/>
      <c r="AL138" s="19"/>
      <c r="AM138" s="19" t="str">
        <f t="shared" ref="AM138" si="117">_xlfn.CONCAT(N138&amp;W138&amp;X138&amp;Y138&amp;Z138)</f>
        <v>Workbooks("HFU Forecast UTLA 1.0.xlsm").Worksheets("Combined data").Range("AF9")</v>
      </c>
      <c r="AO138" t="s">
        <v>838</v>
      </c>
    </row>
    <row r="139" spans="2:41" x14ac:dyDescent="0.25">
      <c r="B139" s="19" t="s">
        <v>339</v>
      </c>
      <c r="C139" s="19"/>
      <c r="D139" s="19"/>
      <c r="E139" s="19"/>
      <c r="F139" s="19"/>
      <c r="G139" s="19"/>
      <c r="H139" s="19"/>
      <c r="I139" s="19"/>
      <c r="J139" s="19"/>
      <c r="K139" s="19"/>
      <c r="L139" s="19"/>
      <c r="M139" s="19"/>
      <c r="N139" s="19"/>
      <c r="O139" s="19"/>
      <c r="P139" s="19"/>
      <c r="Q139" s="19"/>
      <c r="R139" s="19"/>
      <c r="S139" s="19"/>
      <c r="T139" s="19"/>
      <c r="U139" s="19"/>
      <c r="V139" s="19"/>
      <c r="W139" s="19"/>
      <c r="X139" s="19"/>
      <c r="Y139" s="21"/>
      <c r="Z139" s="19"/>
      <c r="AA139" s="19"/>
      <c r="AB139" s="19"/>
      <c r="AC139" s="19"/>
      <c r="AD139" s="19"/>
      <c r="AE139" s="19"/>
      <c r="AF139" s="19"/>
      <c r="AG139" s="19"/>
      <c r="AH139" s="19"/>
      <c r="AI139" s="19"/>
      <c r="AJ139" s="19"/>
      <c r="AK139" s="19"/>
      <c r="AL139" s="19"/>
      <c r="AM139" s="19" t="str">
        <f t="shared" ref="AM139" si="118">B139</f>
        <v>ActiveWorkbook.Close SaveChanges:=False</v>
      </c>
      <c r="AO139" t="s">
        <v>339</v>
      </c>
    </row>
    <row r="141" spans="2:41" x14ac:dyDescent="0.25">
      <c r="B141" s="22" t="s">
        <v>316</v>
      </c>
      <c r="C141" s="22"/>
      <c r="D141" s="22"/>
      <c r="E141" s="22"/>
      <c r="F141" s="22"/>
      <c r="G141" s="22"/>
      <c r="H141" s="22"/>
      <c r="I141" s="22"/>
      <c r="J141" s="22"/>
      <c r="K141" s="22"/>
      <c r="L141" s="22"/>
      <c r="M141" s="22"/>
      <c r="N141" s="22" t="s">
        <v>321</v>
      </c>
      <c r="O141" s="22"/>
      <c r="P141" s="22"/>
      <c r="Q141" s="22"/>
      <c r="R141" s="22"/>
      <c r="S141" s="22"/>
      <c r="T141" s="22"/>
      <c r="U141" s="22"/>
      <c r="V141" s="22">
        <f t="shared" si="108"/>
        <v>26</v>
      </c>
      <c r="W141" s="22"/>
      <c r="X141" s="22"/>
      <c r="Y141" s="23"/>
      <c r="Z141" s="22" t="s">
        <v>322</v>
      </c>
      <c r="AA141" s="22"/>
      <c r="AB141" s="22"/>
      <c r="AC141" s="22"/>
      <c r="AD141" s="22"/>
      <c r="AE141" s="22"/>
      <c r="AF141" s="22"/>
      <c r="AG141" s="22"/>
      <c r="AH141" s="22"/>
      <c r="AI141" s="22"/>
      <c r="AJ141" s="22"/>
      <c r="AK141" s="22"/>
      <c r="AL141" s="22"/>
      <c r="AM141" s="22" t="str">
        <f t="shared" ref="AM141" si="119">+_xlfn.CONCAT(N141&amp;V141&amp;Z141)</f>
        <v xml:space="preserve"> Workbooks.Open "A:\Homes for Ukraine data\Ukraine_sponsorship_data_26.ods"</v>
      </c>
      <c r="AO141" t="s">
        <v>727</v>
      </c>
    </row>
    <row r="142" spans="2:41" x14ac:dyDescent="0.25">
      <c r="B142" s="22" t="s">
        <v>318</v>
      </c>
      <c r="C142" s="22"/>
      <c r="D142" s="22"/>
      <c r="E142" s="22"/>
      <c r="F142" s="22"/>
      <c r="G142" s="22"/>
      <c r="H142" s="22"/>
      <c r="I142" s="22"/>
      <c r="J142" s="22"/>
      <c r="K142" s="22"/>
      <c r="L142" s="22"/>
      <c r="M142" s="22"/>
      <c r="N142" s="22" t="s">
        <v>323</v>
      </c>
      <c r="O142" s="22"/>
      <c r="P142" s="22"/>
      <c r="Q142" s="22"/>
      <c r="R142" s="22"/>
      <c r="S142" s="22"/>
      <c r="T142" s="22"/>
      <c r="U142" s="22"/>
      <c r="V142" s="22">
        <f t="shared" si="108"/>
        <v>26</v>
      </c>
      <c r="W142" s="22"/>
      <c r="X142" s="22"/>
      <c r="Y142" s="23"/>
      <c r="Z142" s="22" t="s">
        <v>326</v>
      </c>
      <c r="AA142" s="22"/>
      <c r="AB142" s="22"/>
      <c r="AC142" s="22"/>
      <c r="AD142" s="22"/>
      <c r="AE142" s="22" t="s">
        <v>382</v>
      </c>
      <c r="AF142" s="22">
        <v>11</v>
      </c>
      <c r="AG142" s="22" t="s">
        <v>327</v>
      </c>
      <c r="AH142" s="22"/>
      <c r="AI142" s="22">
        <v>165</v>
      </c>
      <c r="AJ142" s="22"/>
      <c r="AK142" s="22" t="s">
        <v>325</v>
      </c>
      <c r="AL142" s="22"/>
      <c r="AM142" s="22" t="str">
        <f t="shared" ref="AM142" si="120">_xlfn.CONCAT(N142&amp;V142&amp;Z142&amp;AE142&amp;AF142&amp;AG142&amp;AE142&amp;AI142&amp;AK142)</f>
        <v xml:space="preserve"> Workbooks("Ukraine_sponsorship_data_26.ods").Worksheets("UTLA_-_England").Range("D11:D165").Copy _</v>
      </c>
      <c r="AO142" t="s">
        <v>728</v>
      </c>
    </row>
    <row r="143" spans="2:41" x14ac:dyDescent="0.25">
      <c r="B143" s="22" t="s">
        <v>808</v>
      </c>
      <c r="C143" s="22"/>
      <c r="D143" s="22"/>
      <c r="E143" s="22"/>
      <c r="F143" s="22"/>
      <c r="G143" s="22"/>
      <c r="H143" s="22"/>
      <c r="I143" s="22"/>
      <c r="J143" s="22"/>
      <c r="K143" s="22"/>
      <c r="L143" s="22"/>
      <c r="M143" s="22"/>
      <c r="N143" s="22" t="s">
        <v>809</v>
      </c>
      <c r="O143" s="22"/>
      <c r="P143" s="22"/>
      <c r="Q143" s="22"/>
      <c r="R143" s="22"/>
      <c r="S143" s="22"/>
      <c r="T143" s="22"/>
      <c r="U143" s="22"/>
      <c r="V143" s="22"/>
      <c r="W143" s="22" t="s">
        <v>312</v>
      </c>
      <c r="X143" s="22" t="str">
        <f t="shared" ref="X143" si="121">CHAR(CODE(X138)+1)</f>
        <v>G</v>
      </c>
      <c r="Y143" s="23">
        <v>9</v>
      </c>
      <c r="Z143" s="22" t="s">
        <v>324</v>
      </c>
      <c r="AA143" s="22"/>
      <c r="AB143" s="22"/>
      <c r="AC143" s="22"/>
      <c r="AD143" s="22"/>
      <c r="AE143" s="22"/>
      <c r="AF143" s="22"/>
      <c r="AG143" s="22"/>
      <c r="AH143" s="22"/>
      <c r="AI143" s="22"/>
      <c r="AJ143" s="22"/>
      <c r="AK143" s="22"/>
      <c r="AL143" s="22"/>
      <c r="AM143" s="22" t="str">
        <f t="shared" ref="AM143" si="122">_xlfn.CONCAT(N143&amp;W143&amp;X143&amp;Y143&amp;Z143)</f>
        <v>Workbooks("HFU Forecast UTLA 1.0.xlsm").Worksheets("Combined data").Range("AG9")</v>
      </c>
      <c r="AO143" t="s">
        <v>839</v>
      </c>
    </row>
    <row r="144" spans="2:41" x14ac:dyDescent="0.25">
      <c r="B144" s="22" t="s">
        <v>339</v>
      </c>
      <c r="C144" s="22"/>
      <c r="D144" s="22"/>
      <c r="E144" s="22"/>
      <c r="F144" s="22"/>
      <c r="G144" s="22"/>
      <c r="H144" s="22"/>
      <c r="I144" s="22"/>
      <c r="J144" s="22"/>
      <c r="K144" s="22"/>
      <c r="L144" s="22"/>
      <c r="M144" s="22"/>
      <c r="N144" s="22"/>
      <c r="O144" s="22"/>
      <c r="P144" s="22"/>
      <c r="Q144" s="22"/>
      <c r="R144" s="22"/>
      <c r="S144" s="22"/>
      <c r="T144" s="22"/>
      <c r="U144" s="22"/>
      <c r="V144" s="22"/>
      <c r="W144" s="22"/>
      <c r="X144" s="22"/>
      <c r="Y144" s="23"/>
      <c r="Z144" s="22"/>
      <c r="AA144" s="22"/>
      <c r="AB144" s="22"/>
      <c r="AC144" s="22"/>
      <c r="AD144" s="22"/>
      <c r="AE144" s="22"/>
      <c r="AF144" s="22"/>
      <c r="AG144" s="22"/>
      <c r="AH144" s="22"/>
      <c r="AI144" s="22"/>
      <c r="AJ144" s="22"/>
      <c r="AK144" s="22"/>
      <c r="AL144" s="22"/>
      <c r="AM144" s="22" t="str">
        <f t="shared" ref="AM144" si="123">B144</f>
        <v>ActiveWorkbook.Close SaveChanges:=False</v>
      </c>
      <c r="AO144" t="s">
        <v>339</v>
      </c>
    </row>
    <row r="146" spans="2:41" x14ac:dyDescent="0.25">
      <c r="B146" s="19" t="s">
        <v>316</v>
      </c>
      <c r="C146" s="19"/>
      <c r="D146" s="19"/>
      <c r="E146" s="19"/>
      <c r="F146" s="19"/>
      <c r="G146" s="19"/>
      <c r="H146" s="19"/>
      <c r="I146" s="19"/>
      <c r="J146" s="19"/>
      <c r="K146" s="19"/>
      <c r="L146" s="19"/>
      <c r="M146" s="19"/>
      <c r="N146" s="19" t="s">
        <v>321</v>
      </c>
      <c r="O146" s="19"/>
      <c r="P146" s="19"/>
      <c r="Q146" s="19"/>
      <c r="R146" s="19"/>
      <c r="S146" s="19"/>
      <c r="T146" s="19"/>
      <c r="U146" s="19"/>
      <c r="V146" s="19">
        <f t="shared" si="102"/>
        <v>27</v>
      </c>
      <c r="W146" s="19"/>
      <c r="X146" s="19"/>
      <c r="Y146" s="21"/>
      <c r="Z146" s="19" t="s">
        <v>322</v>
      </c>
      <c r="AA146" s="19"/>
      <c r="AB146" s="19"/>
      <c r="AC146" s="19"/>
      <c r="AD146" s="19"/>
      <c r="AE146" s="19"/>
      <c r="AF146" s="19"/>
      <c r="AG146" s="19"/>
      <c r="AH146" s="19"/>
      <c r="AI146" s="19"/>
      <c r="AJ146" s="19"/>
      <c r="AK146" s="19"/>
      <c r="AL146" s="19"/>
      <c r="AM146" s="19" t="str">
        <f t="shared" ref="AM146" si="124">+_xlfn.CONCAT(N146&amp;V146&amp;Z146)</f>
        <v xml:space="preserve"> Workbooks.Open "A:\Homes for Ukraine data\Ukraine_sponsorship_data_27.ods"</v>
      </c>
      <c r="AO146" t="s">
        <v>729</v>
      </c>
    </row>
    <row r="147" spans="2:41" x14ac:dyDescent="0.25">
      <c r="B147" s="19" t="s">
        <v>318</v>
      </c>
      <c r="C147" s="19"/>
      <c r="D147" s="19"/>
      <c r="E147" s="19"/>
      <c r="F147" s="19"/>
      <c r="G147" s="19"/>
      <c r="H147" s="19"/>
      <c r="I147" s="19"/>
      <c r="J147" s="19"/>
      <c r="K147" s="19"/>
      <c r="L147" s="19"/>
      <c r="M147" s="19"/>
      <c r="N147" s="19" t="s">
        <v>323</v>
      </c>
      <c r="O147" s="19"/>
      <c r="P147" s="19"/>
      <c r="Q147" s="19"/>
      <c r="R147" s="19"/>
      <c r="S147" s="19"/>
      <c r="T147" s="19"/>
      <c r="U147" s="19"/>
      <c r="V147" s="19">
        <f t="shared" si="102"/>
        <v>27</v>
      </c>
      <c r="W147" s="19"/>
      <c r="X147" s="19"/>
      <c r="Y147" s="21"/>
      <c r="Z147" s="19" t="s">
        <v>326</v>
      </c>
      <c r="AA147" s="19"/>
      <c r="AB147" s="19"/>
      <c r="AC147" s="19"/>
      <c r="AD147" s="19"/>
      <c r="AE147" s="19" t="s">
        <v>382</v>
      </c>
      <c r="AF147" s="19">
        <v>11</v>
      </c>
      <c r="AG147" s="19" t="s">
        <v>327</v>
      </c>
      <c r="AH147" s="19"/>
      <c r="AI147" s="19">
        <v>165</v>
      </c>
      <c r="AJ147" s="19"/>
      <c r="AK147" s="19" t="s">
        <v>325</v>
      </c>
      <c r="AL147" s="19"/>
      <c r="AM147" s="19" t="str">
        <f t="shared" ref="AM147" si="125">_xlfn.CONCAT(N147&amp;V147&amp;Z147&amp;AE147&amp;AF147&amp;AG147&amp;AE147&amp;AI147&amp;AK147)</f>
        <v xml:space="preserve"> Workbooks("Ukraine_sponsorship_data_27.ods").Worksheets("UTLA_-_England").Range("D11:D165").Copy _</v>
      </c>
      <c r="AO147" t="s">
        <v>730</v>
      </c>
    </row>
    <row r="148" spans="2:41" x14ac:dyDescent="0.25">
      <c r="B148" s="19" t="s">
        <v>808</v>
      </c>
      <c r="C148" s="19"/>
      <c r="D148" s="19"/>
      <c r="E148" s="19"/>
      <c r="F148" s="19"/>
      <c r="G148" s="19"/>
      <c r="H148" s="19"/>
      <c r="I148" s="19"/>
      <c r="J148" s="19"/>
      <c r="K148" s="19"/>
      <c r="L148" s="19"/>
      <c r="M148" s="19"/>
      <c r="N148" s="19" t="s">
        <v>809</v>
      </c>
      <c r="O148" s="19"/>
      <c r="P148" s="19"/>
      <c r="Q148" s="19"/>
      <c r="R148" s="19"/>
      <c r="S148" s="19"/>
      <c r="T148" s="19"/>
      <c r="U148" s="19"/>
      <c r="V148" s="19"/>
      <c r="W148" s="19" t="s">
        <v>312</v>
      </c>
      <c r="X148" s="19" t="str">
        <f t="shared" ref="X148" si="126">CHAR(CODE(X143)+1)</f>
        <v>H</v>
      </c>
      <c r="Y148" s="21">
        <v>9</v>
      </c>
      <c r="Z148" s="19" t="s">
        <v>324</v>
      </c>
      <c r="AA148" s="19"/>
      <c r="AB148" s="19"/>
      <c r="AC148" s="19"/>
      <c r="AD148" s="19"/>
      <c r="AE148" s="19"/>
      <c r="AF148" s="19"/>
      <c r="AG148" s="19"/>
      <c r="AH148" s="19"/>
      <c r="AI148" s="19"/>
      <c r="AJ148" s="19"/>
      <c r="AK148" s="19"/>
      <c r="AL148" s="19"/>
      <c r="AM148" s="19" t="str">
        <f t="shared" ref="AM148" si="127">_xlfn.CONCAT(N148&amp;W148&amp;X148&amp;Y148&amp;Z148)</f>
        <v>Workbooks("HFU Forecast UTLA 1.0.xlsm").Worksheets("Combined data").Range("AH9")</v>
      </c>
      <c r="AO148" t="s">
        <v>840</v>
      </c>
    </row>
    <row r="149" spans="2:41" x14ac:dyDescent="0.25">
      <c r="B149" s="19" t="s">
        <v>339</v>
      </c>
      <c r="C149" s="19"/>
      <c r="D149" s="19"/>
      <c r="E149" s="19"/>
      <c r="F149" s="19"/>
      <c r="G149" s="19"/>
      <c r="H149" s="19"/>
      <c r="I149" s="19"/>
      <c r="J149" s="19"/>
      <c r="K149" s="19"/>
      <c r="L149" s="19"/>
      <c r="M149" s="19"/>
      <c r="N149" s="19"/>
      <c r="O149" s="19"/>
      <c r="P149" s="19"/>
      <c r="Q149" s="19"/>
      <c r="R149" s="19"/>
      <c r="S149" s="19"/>
      <c r="T149" s="19"/>
      <c r="U149" s="19"/>
      <c r="V149" s="19"/>
      <c r="W149" s="19"/>
      <c r="X149" s="19"/>
      <c r="Y149" s="21"/>
      <c r="Z149" s="19"/>
      <c r="AA149" s="19"/>
      <c r="AB149" s="19"/>
      <c r="AC149" s="19"/>
      <c r="AD149" s="19"/>
      <c r="AE149" s="19"/>
      <c r="AF149" s="19"/>
      <c r="AG149" s="19"/>
      <c r="AH149" s="19"/>
      <c r="AI149" s="19"/>
      <c r="AJ149" s="19"/>
      <c r="AK149" s="19"/>
      <c r="AL149" s="19"/>
      <c r="AM149" s="19" t="str">
        <f t="shared" ref="AM149" si="128">B149</f>
        <v>ActiveWorkbook.Close SaveChanges:=False</v>
      </c>
      <c r="AO149" t="s">
        <v>339</v>
      </c>
    </row>
    <row r="151" spans="2:41" x14ac:dyDescent="0.25">
      <c r="B151" s="22" t="s">
        <v>316</v>
      </c>
      <c r="C151" s="22"/>
      <c r="D151" s="22"/>
      <c r="E151" s="22"/>
      <c r="F151" s="22"/>
      <c r="G151" s="22"/>
      <c r="H151" s="22"/>
      <c r="I151" s="22"/>
      <c r="J151" s="22"/>
      <c r="K151" s="22"/>
      <c r="L151" s="22"/>
      <c r="M151" s="22"/>
      <c r="N151" s="22" t="s">
        <v>321</v>
      </c>
      <c r="O151" s="22"/>
      <c r="P151" s="22"/>
      <c r="Q151" s="22"/>
      <c r="R151" s="22"/>
      <c r="S151" s="22"/>
      <c r="T151" s="22"/>
      <c r="U151" s="22"/>
      <c r="V151" s="22">
        <f t="shared" si="108"/>
        <v>28</v>
      </c>
      <c r="W151" s="22"/>
      <c r="X151" s="22"/>
      <c r="Y151" s="23"/>
      <c r="Z151" s="22" t="s">
        <v>322</v>
      </c>
      <c r="AA151" s="22"/>
      <c r="AB151" s="22"/>
      <c r="AC151" s="22"/>
      <c r="AD151" s="22"/>
      <c r="AE151" s="22"/>
      <c r="AF151" s="22"/>
      <c r="AG151" s="22"/>
      <c r="AH151" s="22"/>
      <c r="AI151" s="22"/>
      <c r="AJ151" s="22"/>
      <c r="AK151" s="22"/>
      <c r="AL151" s="22"/>
      <c r="AM151" s="22" t="str">
        <f t="shared" ref="AM151" si="129">+_xlfn.CONCAT(N151&amp;V151&amp;Z151)</f>
        <v xml:space="preserve"> Workbooks.Open "A:\Homes for Ukraine data\Ukraine_sponsorship_data_28.ods"</v>
      </c>
      <c r="AO151" t="s">
        <v>731</v>
      </c>
    </row>
    <row r="152" spans="2:41" x14ac:dyDescent="0.25">
      <c r="B152" s="22" t="s">
        <v>318</v>
      </c>
      <c r="C152" s="22"/>
      <c r="D152" s="22"/>
      <c r="E152" s="22"/>
      <c r="F152" s="22"/>
      <c r="G152" s="22"/>
      <c r="H152" s="22"/>
      <c r="I152" s="22"/>
      <c r="J152" s="22"/>
      <c r="K152" s="22"/>
      <c r="L152" s="22"/>
      <c r="M152" s="22"/>
      <c r="N152" s="22" t="s">
        <v>323</v>
      </c>
      <c r="O152" s="22"/>
      <c r="P152" s="22"/>
      <c r="Q152" s="22"/>
      <c r="R152" s="22"/>
      <c r="S152" s="22"/>
      <c r="T152" s="22"/>
      <c r="U152" s="22"/>
      <c r="V152" s="22">
        <f t="shared" si="108"/>
        <v>28</v>
      </c>
      <c r="W152" s="22"/>
      <c r="X152" s="22"/>
      <c r="Y152" s="23"/>
      <c r="Z152" s="22" t="s">
        <v>326</v>
      </c>
      <c r="AA152" s="22"/>
      <c r="AB152" s="22"/>
      <c r="AC152" s="22"/>
      <c r="AD152" s="22"/>
      <c r="AE152" s="22" t="s">
        <v>382</v>
      </c>
      <c r="AF152" s="22">
        <v>11</v>
      </c>
      <c r="AG152" s="22" t="s">
        <v>327</v>
      </c>
      <c r="AH152" s="22"/>
      <c r="AI152" s="22">
        <v>165</v>
      </c>
      <c r="AJ152" s="22"/>
      <c r="AK152" s="22" t="s">
        <v>325</v>
      </c>
      <c r="AL152" s="22"/>
      <c r="AM152" s="22" t="str">
        <f t="shared" ref="AM152" si="130">_xlfn.CONCAT(N152&amp;V152&amp;Z152&amp;AE152&amp;AF152&amp;AG152&amp;AE152&amp;AI152&amp;AK152)</f>
        <v xml:space="preserve"> Workbooks("Ukraine_sponsorship_data_28.ods").Worksheets("UTLA_-_England").Range("D11:D165").Copy _</v>
      </c>
      <c r="AO152" t="s">
        <v>732</v>
      </c>
    </row>
    <row r="153" spans="2:41" x14ac:dyDescent="0.25">
      <c r="B153" s="22" t="s">
        <v>808</v>
      </c>
      <c r="C153" s="22"/>
      <c r="D153" s="22"/>
      <c r="E153" s="22"/>
      <c r="F153" s="22"/>
      <c r="G153" s="22"/>
      <c r="H153" s="22"/>
      <c r="I153" s="22"/>
      <c r="J153" s="22"/>
      <c r="K153" s="22"/>
      <c r="L153" s="22"/>
      <c r="M153" s="22"/>
      <c r="N153" s="22" t="s">
        <v>809</v>
      </c>
      <c r="O153" s="22"/>
      <c r="P153" s="22"/>
      <c r="Q153" s="22"/>
      <c r="R153" s="22"/>
      <c r="S153" s="22"/>
      <c r="T153" s="22"/>
      <c r="U153" s="22"/>
      <c r="V153" s="22"/>
      <c r="W153" s="22" t="s">
        <v>312</v>
      </c>
      <c r="X153" s="22" t="str">
        <f t="shared" ref="X153" si="131">CHAR(CODE(X148)+1)</f>
        <v>I</v>
      </c>
      <c r="Y153" s="23">
        <v>9</v>
      </c>
      <c r="Z153" s="22" t="s">
        <v>324</v>
      </c>
      <c r="AA153" s="22"/>
      <c r="AB153" s="22"/>
      <c r="AC153" s="22"/>
      <c r="AD153" s="22"/>
      <c r="AE153" s="22"/>
      <c r="AF153" s="22"/>
      <c r="AG153" s="22"/>
      <c r="AH153" s="22"/>
      <c r="AI153" s="22"/>
      <c r="AJ153" s="22"/>
      <c r="AK153" s="22"/>
      <c r="AL153" s="22"/>
      <c r="AM153" s="22" t="str">
        <f t="shared" ref="AM153" si="132">_xlfn.CONCAT(N153&amp;W153&amp;X153&amp;Y153&amp;Z153)</f>
        <v>Workbooks("HFU Forecast UTLA 1.0.xlsm").Worksheets("Combined data").Range("AI9")</v>
      </c>
      <c r="AO153" t="s">
        <v>841</v>
      </c>
    </row>
    <row r="154" spans="2:41" x14ac:dyDescent="0.25">
      <c r="B154" s="22" t="s">
        <v>339</v>
      </c>
      <c r="C154" s="22"/>
      <c r="D154" s="22"/>
      <c r="E154" s="22"/>
      <c r="F154" s="22"/>
      <c r="G154" s="22"/>
      <c r="H154" s="22"/>
      <c r="I154" s="22"/>
      <c r="J154" s="22"/>
      <c r="K154" s="22"/>
      <c r="L154" s="22"/>
      <c r="M154" s="22"/>
      <c r="N154" s="22"/>
      <c r="O154" s="22"/>
      <c r="P154" s="22"/>
      <c r="Q154" s="22"/>
      <c r="R154" s="22"/>
      <c r="S154" s="22"/>
      <c r="T154" s="22"/>
      <c r="U154" s="22"/>
      <c r="V154" s="22"/>
      <c r="W154" s="22"/>
      <c r="X154" s="22"/>
      <c r="Y154" s="23"/>
      <c r="Z154" s="22"/>
      <c r="AA154" s="22"/>
      <c r="AB154" s="22"/>
      <c r="AC154" s="22"/>
      <c r="AD154" s="22"/>
      <c r="AE154" s="22"/>
      <c r="AF154" s="22"/>
      <c r="AG154" s="22"/>
      <c r="AH154" s="22"/>
      <c r="AI154" s="22"/>
      <c r="AJ154" s="22"/>
      <c r="AK154" s="22"/>
      <c r="AL154" s="22"/>
      <c r="AM154" s="22" t="str">
        <f t="shared" ref="AM154" si="133">B154</f>
        <v>ActiveWorkbook.Close SaveChanges:=False</v>
      </c>
      <c r="AO154" t="s">
        <v>339</v>
      </c>
    </row>
    <row r="156" spans="2:41" x14ac:dyDescent="0.25">
      <c r="B156" s="19" t="s">
        <v>316</v>
      </c>
      <c r="C156" s="19"/>
      <c r="D156" s="19"/>
      <c r="E156" s="19"/>
      <c r="F156" s="19"/>
      <c r="G156" s="19"/>
      <c r="H156" s="19"/>
      <c r="I156" s="19"/>
      <c r="J156" s="19"/>
      <c r="K156" s="19"/>
      <c r="L156" s="19"/>
      <c r="M156" s="19"/>
      <c r="N156" s="19" t="s">
        <v>321</v>
      </c>
      <c r="O156" s="19"/>
      <c r="P156" s="19"/>
      <c r="Q156" s="19"/>
      <c r="R156" s="19"/>
      <c r="S156" s="19"/>
      <c r="T156" s="19"/>
      <c r="U156" s="19"/>
      <c r="V156" s="19">
        <f t="shared" si="102"/>
        <v>29</v>
      </c>
      <c r="W156" s="19"/>
      <c r="X156" s="19"/>
      <c r="Y156" s="21"/>
      <c r="Z156" s="19" t="s">
        <v>322</v>
      </c>
      <c r="AA156" s="19"/>
      <c r="AB156" s="19"/>
      <c r="AC156" s="19"/>
      <c r="AD156" s="19"/>
      <c r="AE156" s="19"/>
      <c r="AF156" s="19"/>
      <c r="AG156" s="19"/>
      <c r="AH156" s="19"/>
      <c r="AI156" s="19"/>
      <c r="AJ156" s="19"/>
      <c r="AK156" s="19"/>
      <c r="AL156" s="19"/>
      <c r="AM156" s="19" t="str">
        <f t="shared" ref="AM156" si="134">+_xlfn.CONCAT(N156&amp;V156&amp;Z156)</f>
        <v xml:space="preserve"> Workbooks.Open "A:\Homes for Ukraine data\Ukraine_sponsorship_data_29.ods"</v>
      </c>
      <c r="AO156" t="s">
        <v>733</v>
      </c>
    </row>
    <row r="157" spans="2:41" x14ac:dyDescent="0.25">
      <c r="B157" s="19" t="s">
        <v>318</v>
      </c>
      <c r="C157" s="19"/>
      <c r="D157" s="19"/>
      <c r="E157" s="19"/>
      <c r="F157" s="19"/>
      <c r="G157" s="19"/>
      <c r="H157" s="19"/>
      <c r="I157" s="19"/>
      <c r="J157" s="19"/>
      <c r="K157" s="19"/>
      <c r="L157" s="19"/>
      <c r="M157" s="19"/>
      <c r="N157" s="19" t="s">
        <v>323</v>
      </c>
      <c r="O157" s="19"/>
      <c r="P157" s="19"/>
      <c r="Q157" s="19"/>
      <c r="R157" s="19"/>
      <c r="S157" s="19"/>
      <c r="T157" s="19"/>
      <c r="U157" s="19"/>
      <c r="V157" s="19">
        <f t="shared" si="102"/>
        <v>29</v>
      </c>
      <c r="W157" s="19"/>
      <c r="X157" s="19"/>
      <c r="Y157" s="21"/>
      <c r="Z157" s="19" t="s">
        <v>326</v>
      </c>
      <c r="AA157" s="19"/>
      <c r="AB157" s="19"/>
      <c r="AC157" s="19"/>
      <c r="AD157" s="19"/>
      <c r="AE157" s="19" t="s">
        <v>382</v>
      </c>
      <c r="AF157" s="19">
        <v>11</v>
      </c>
      <c r="AG157" s="19" t="s">
        <v>327</v>
      </c>
      <c r="AH157" s="19"/>
      <c r="AI157" s="19">
        <v>165</v>
      </c>
      <c r="AJ157" s="19"/>
      <c r="AK157" s="19" t="s">
        <v>325</v>
      </c>
      <c r="AL157" s="19"/>
      <c r="AM157" s="19" t="str">
        <f t="shared" ref="AM157" si="135">_xlfn.CONCAT(N157&amp;V157&amp;Z157&amp;AE157&amp;AF157&amp;AG157&amp;AE157&amp;AI157&amp;AK157)</f>
        <v xml:space="preserve"> Workbooks("Ukraine_sponsorship_data_29.ods").Worksheets("UTLA_-_England").Range("D11:D165").Copy _</v>
      </c>
      <c r="AO157" t="s">
        <v>734</v>
      </c>
    </row>
    <row r="158" spans="2:41" x14ac:dyDescent="0.25">
      <c r="B158" s="19" t="s">
        <v>808</v>
      </c>
      <c r="C158" s="19"/>
      <c r="D158" s="19"/>
      <c r="E158" s="19"/>
      <c r="F158" s="19"/>
      <c r="G158" s="19"/>
      <c r="H158" s="19"/>
      <c r="I158" s="19"/>
      <c r="J158" s="19"/>
      <c r="K158" s="19"/>
      <c r="L158" s="19"/>
      <c r="M158" s="19"/>
      <c r="N158" s="19" t="s">
        <v>809</v>
      </c>
      <c r="O158" s="19"/>
      <c r="P158" s="19"/>
      <c r="Q158" s="19"/>
      <c r="R158" s="19"/>
      <c r="S158" s="19"/>
      <c r="T158" s="19"/>
      <c r="U158" s="19"/>
      <c r="V158" s="19"/>
      <c r="W158" s="19" t="s">
        <v>312</v>
      </c>
      <c r="X158" s="19" t="str">
        <f t="shared" ref="X158" si="136">CHAR(CODE(X153)+1)</f>
        <v>J</v>
      </c>
      <c r="Y158" s="21">
        <v>9</v>
      </c>
      <c r="Z158" s="19" t="s">
        <v>324</v>
      </c>
      <c r="AA158" s="19"/>
      <c r="AB158" s="19"/>
      <c r="AC158" s="19"/>
      <c r="AD158" s="19"/>
      <c r="AE158" s="19"/>
      <c r="AF158" s="19"/>
      <c r="AG158" s="19"/>
      <c r="AH158" s="19"/>
      <c r="AI158" s="19"/>
      <c r="AJ158" s="19"/>
      <c r="AK158" s="19"/>
      <c r="AL158" s="19"/>
      <c r="AM158" s="19" t="str">
        <f t="shared" ref="AM158" si="137">_xlfn.CONCAT(N158&amp;W158&amp;X158&amp;Y158&amp;Z158)</f>
        <v>Workbooks("HFU Forecast UTLA 1.0.xlsm").Worksheets("Combined data").Range("AJ9")</v>
      </c>
      <c r="AO158" t="s">
        <v>842</v>
      </c>
    </row>
    <row r="159" spans="2:41" x14ac:dyDescent="0.25">
      <c r="B159" s="19" t="s">
        <v>339</v>
      </c>
      <c r="C159" s="19"/>
      <c r="D159" s="19"/>
      <c r="E159" s="19"/>
      <c r="F159" s="19"/>
      <c r="G159" s="19"/>
      <c r="H159" s="19"/>
      <c r="I159" s="19"/>
      <c r="J159" s="19"/>
      <c r="K159" s="19"/>
      <c r="L159" s="19"/>
      <c r="M159" s="19"/>
      <c r="N159" s="19"/>
      <c r="O159" s="19"/>
      <c r="P159" s="19"/>
      <c r="Q159" s="19"/>
      <c r="R159" s="19"/>
      <c r="S159" s="19"/>
      <c r="T159" s="19"/>
      <c r="U159" s="19"/>
      <c r="V159" s="19"/>
      <c r="W159" s="19"/>
      <c r="X159" s="19"/>
      <c r="Y159" s="21"/>
      <c r="Z159" s="19"/>
      <c r="AA159" s="19"/>
      <c r="AB159" s="19"/>
      <c r="AC159" s="19"/>
      <c r="AD159" s="19"/>
      <c r="AE159" s="19"/>
      <c r="AF159" s="19"/>
      <c r="AG159" s="19"/>
      <c r="AH159" s="19"/>
      <c r="AI159" s="19"/>
      <c r="AJ159" s="19"/>
      <c r="AK159" s="19"/>
      <c r="AL159" s="19"/>
      <c r="AM159" s="19" t="str">
        <f t="shared" ref="AM159" si="138">B159</f>
        <v>ActiveWorkbook.Close SaveChanges:=False</v>
      </c>
      <c r="AO159" t="s">
        <v>339</v>
      </c>
    </row>
    <row r="161" spans="2:41" x14ac:dyDescent="0.25">
      <c r="B161" s="22" t="s">
        <v>316</v>
      </c>
      <c r="C161" s="22"/>
      <c r="D161" s="22"/>
      <c r="E161" s="22"/>
      <c r="F161" s="22"/>
      <c r="G161" s="22"/>
      <c r="H161" s="22"/>
      <c r="I161" s="22"/>
      <c r="J161" s="22"/>
      <c r="K161" s="22"/>
      <c r="L161" s="22"/>
      <c r="M161" s="22"/>
      <c r="N161" s="22" t="s">
        <v>321</v>
      </c>
      <c r="O161" s="22"/>
      <c r="P161" s="22"/>
      <c r="Q161" s="22"/>
      <c r="R161" s="22"/>
      <c r="S161" s="22"/>
      <c r="T161" s="22"/>
      <c r="U161" s="22"/>
      <c r="V161" s="22">
        <f t="shared" si="108"/>
        <v>30</v>
      </c>
      <c r="W161" s="22"/>
      <c r="X161" s="22"/>
      <c r="Y161" s="23"/>
      <c r="Z161" s="22" t="s">
        <v>322</v>
      </c>
      <c r="AA161" s="22"/>
      <c r="AB161" s="22"/>
      <c r="AC161" s="22"/>
      <c r="AD161" s="22"/>
      <c r="AE161" s="22"/>
      <c r="AF161" s="22"/>
      <c r="AG161" s="22"/>
      <c r="AH161" s="22"/>
      <c r="AI161" s="22"/>
      <c r="AJ161" s="22"/>
      <c r="AK161" s="22"/>
      <c r="AL161" s="22"/>
      <c r="AM161" s="22" t="str">
        <f t="shared" ref="AM161" si="139">+_xlfn.CONCAT(N161&amp;V161&amp;Z161)</f>
        <v xml:space="preserve"> Workbooks.Open "A:\Homes for Ukraine data\Ukraine_sponsorship_data_30.ods"</v>
      </c>
      <c r="AO161" t="s">
        <v>735</v>
      </c>
    </row>
    <row r="162" spans="2:41" x14ac:dyDescent="0.25">
      <c r="B162" s="22" t="s">
        <v>318</v>
      </c>
      <c r="C162" s="22"/>
      <c r="D162" s="22"/>
      <c r="E162" s="22"/>
      <c r="F162" s="22"/>
      <c r="G162" s="22"/>
      <c r="H162" s="22"/>
      <c r="I162" s="22"/>
      <c r="J162" s="22"/>
      <c r="K162" s="22"/>
      <c r="L162" s="22"/>
      <c r="M162" s="22"/>
      <c r="N162" s="22" t="s">
        <v>323</v>
      </c>
      <c r="O162" s="22"/>
      <c r="P162" s="22"/>
      <c r="Q162" s="22"/>
      <c r="R162" s="22"/>
      <c r="S162" s="22"/>
      <c r="T162" s="22"/>
      <c r="U162" s="22"/>
      <c r="V162" s="22">
        <f t="shared" si="108"/>
        <v>30</v>
      </c>
      <c r="W162" s="22"/>
      <c r="X162" s="22"/>
      <c r="Y162" s="23"/>
      <c r="Z162" s="22" t="s">
        <v>326</v>
      </c>
      <c r="AA162" s="22"/>
      <c r="AB162" s="22"/>
      <c r="AC162" s="22"/>
      <c r="AD162" s="22"/>
      <c r="AE162" s="22" t="s">
        <v>382</v>
      </c>
      <c r="AF162" s="22">
        <v>11</v>
      </c>
      <c r="AG162" s="22" t="s">
        <v>327</v>
      </c>
      <c r="AH162" s="22"/>
      <c r="AI162" s="22">
        <v>165</v>
      </c>
      <c r="AJ162" s="22"/>
      <c r="AK162" s="22" t="s">
        <v>325</v>
      </c>
      <c r="AL162" s="22"/>
      <c r="AM162" s="22" t="str">
        <f t="shared" ref="AM162" si="140">_xlfn.CONCAT(N162&amp;V162&amp;Z162&amp;AE162&amp;AF162&amp;AG162&amp;AE162&amp;AI162&amp;AK162)</f>
        <v xml:space="preserve"> Workbooks("Ukraine_sponsorship_data_30.ods").Worksheets("UTLA_-_England").Range("D11:D165").Copy _</v>
      </c>
      <c r="AO162" t="s">
        <v>736</v>
      </c>
    </row>
    <row r="163" spans="2:41" x14ac:dyDescent="0.25">
      <c r="B163" s="22" t="s">
        <v>808</v>
      </c>
      <c r="C163" s="22"/>
      <c r="D163" s="22"/>
      <c r="E163" s="22"/>
      <c r="F163" s="22"/>
      <c r="G163" s="22"/>
      <c r="H163" s="22"/>
      <c r="I163" s="22"/>
      <c r="J163" s="22"/>
      <c r="K163" s="22"/>
      <c r="L163" s="22"/>
      <c r="M163" s="22"/>
      <c r="N163" s="22" t="s">
        <v>809</v>
      </c>
      <c r="O163" s="22"/>
      <c r="P163" s="22"/>
      <c r="Q163" s="22"/>
      <c r="R163" s="22"/>
      <c r="S163" s="22"/>
      <c r="T163" s="22"/>
      <c r="U163" s="22"/>
      <c r="V163" s="22"/>
      <c r="W163" s="22" t="s">
        <v>312</v>
      </c>
      <c r="X163" s="22" t="str">
        <f t="shared" ref="X163" si="141">CHAR(CODE(X158)+1)</f>
        <v>K</v>
      </c>
      <c r="Y163" s="23">
        <v>9</v>
      </c>
      <c r="Z163" s="22" t="s">
        <v>324</v>
      </c>
      <c r="AA163" s="22"/>
      <c r="AB163" s="22"/>
      <c r="AC163" s="22"/>
      <c r="AD163" s="22"/>
      <c r="AE163" s="22"/>
      <c r="AF163" s="22"/>
      <c r="AG163" s="22"/>
      <c r="AH163" s="22"/>
      <c r="AI163" s="22"/>
      <c r="AJ163" s="22"/>
      <c r="AK163" s="22"/>
      <c r="AL163" s="22"/>
      <c r="AM163" s="22" t="str">
        <f t="shared" ref="AM163" si="142">_xlfn.CONCAT(N163&amp;W163&amp;X163&amp;Y163&amp;Z163)</f>
        <v>Workbooks("HFU Forecast UTLA 1.0.xlsm").Worksheets("Combined data").Range("AK9")</v>
      </c>
      <c r="AO163" t="s">
        <v>843</v>
      </c>
    </row>
    <row r="164" spans="2:41" x14ac:dyDescent="0.25">
      <c r="B164" s="22" t="s">
        <v>339</v>
      </c>
      <c r="C164" s="22"/>
      <c r="D164" s="22"/>
      <c r="E164" s="22"/>
      <c r="F164" s="22"/>
      <c r="G164" s="22"/>
      <c r="H164" s="22"/>
      <c r="I164" s="22"/>
      <c r="J164" s="22"/>
      <c r="K164" s="22"/>
      <c r="L164" s="22"/>
      <c r="M164" s="22"/>
      <c r="N164" s="22"/>
      <c r="O164" s="22"/>
      <c r="P164" s="22"/>
      <c r="Q164" s="22"/>
      <c r="R164" s="22"/>
      <c r="S164" s="22"/>
      <c r="T164" s="22"/>
      <c r="U164" s="22"/>
      <c r="V164" s="22"/>
      <c r="W164" s="22"/>
      <c r="X164" s="22"/>
      <c r="Y164" s="23"/>
      <c r="Z164" s="22"/>
      <c r="AA164" s="22"/>
      <c r="AB164" s="22"/>
      <c r="AC164" s="22"/>
      <c r="AD164" s="22"/>
      <c r="AE164" s="22"/>
      <c r="AF164" s="22"/>
      <c r="AG164" s="22"/>
      <c r="AH164" s="22"/>
      <c r="AI164" s="22"/>
      <c r="AJ164" s="22"/>
      <c r="AK164" s="22"/>
      <c r="AL164" s="22"/>
      <c r="AM164" s="22" t="str">
        <f t="shared" ref="AM164" si="143">B164</f>
        <v>ActiveWorkbook.Close SaveChanges:=False</v>
      </c>
      <c r="AO164" t="s">
        <v>339</v>
      </c>
    </row>
    <row r="166" spans="2:41" x14ac:dyDescent="0.25">
      <c r="B166" s="19" t="s">
        <v>316</v>
      </c>
      <c r="C166" s="19"/>
      <c r="D166" s="19"/>
      <c r="E166" s="19"/>
      <c r="F166" s="19"/>
      <c r="G166" s="19"/>
      <c r="H166" s="19"/>
      <c r="I166" s="19"/>
      <c r="J166" s="19"/>
      <c r="K166" s="19"/>
      <c r="L166" s="19"/>
      <c r="M166" s="19"/>
      <c r="N166" s="19" t="s">
        <v>321</v>
      </c>
      <c r="O166" s="19"/>
      <c r="P166" s="19"/>
      <c r="Q166" s="19"/>
      <c r="R166" s="19"/>
      <c r="S166" s="19"/>
      <c r="T166" s="19"/>
      <c r="U166" s="19"/>
      <c r="V166" s="19">
        <f t="shared" si="102"/>
        <v>31</v>
      </c>
      <c r="W166" s="19"/>
      <c r="X166" s="19"/>
      <c r="Y166" s="21"/>
      <c r="Z166" s="19" t="s">
        <v>322</v>
      </c>
      <c r="AA166" s="19"/>
      <c r="AB166" s="19"/>
      <c r="AC166" s="19"/>
      <c r="AD166" s="19"/>
      <c r="AE166" s="19"/>
      <c r="AF166" s="19"/>
      <c r="AG166" s="19"/>
      <c r="AH166" s="19"/>
      <c r="AI166" s="19"/>
      <c r="AJ166" s="19"/>
      <c r="AK166" s="19"/>
      <c r="AL166" s="19"/>
      <c r="AM166" s="19" t="str">
        <f t="shared" ref="AM166" si="144">+_xlfn.CONCAT(N166&amp;V166&amp;Z166)</f>
        <v xml:space="preserve"> Workbooks.Open "A:\Homes for Ukraine data\Ukraine_sponsorship_data_31.ods"</v>
      </c>
      <c r="AO166" t="s">
        <v>737</v>
      </c>
    </row>
    <row r="167" spans="2:41" x14ac:dyDescent="0.25">
      <c r="B167" s="19" t="s">
        <v>318</v>
      </c>
      <c r="C167" s="19"/>
      <c r="D167" s="19"/>
      <c r="E167" s="19"/>
      <c r="F167" s="19"/>
      <c r="G167" s="19"/>
      <c r="H167" s="19"/>
      <c r="I167" s="19"/>
      <c r="J167" s="19"/>
      <c r="K167" s="19"/>
      <c r="L167" s="19"/>
      <c r="M167" s="19"/>
      <c r="N167" s="19" t="s">
        <v>323</v>
      </c>
      <c r="O167" s="19"/>
      <c r="P167" s="19"/>
      <c r="Q167" s="19"/>
      <c r="R167" s="19"/>
      <c r="S167" s="19"/>
      <c r="T167" s="19"/>
      <c r="U167" s="19"/>
      <c r="V167" s="19">
        <f t="shared" si="102"/>
        <v>31</v>
      </c>
      <c r="W167" s="19"/>
      <c r="X167" s="19"/>
      <c r="Y167" s="21"/>
      <c r="Z167" s="19" t="s">
        <v>326</v>
      </c>
      <c r="AA167" s="19"/>
      <c r="AB167" s="19"/>
      <c r="AC167" s="19"/>
      <c r="AD167" s="19"/>
      <c r="AE167" s="19" t="s">
        <v>382</v>
      </c>
      <c r="AF167" s="19">
        <v>11</v>
      </c>
      <c r="AG167" s="19" t="s">
        <v>327</v>
      </c>
      <c r="AH167" s="19"/>
      <c r="AI167" s="19">
        <v>165</v>
      </c>
      <c r="AJ167" s="19"/>
      <c r="AK167" s="19" t="s">
        <v>325</v>
      </c>
      <c r="AL167" s="19"/>
      <c r="AM167" s="19" t="str">
        <f t="shared" ref="AM167" si="145">_xlfn.CONCAT(N167&amp;V167&amp;Z167&amp;AE167&amp;AF167&amp;AG167&amp;AE167&amp;AI167&amp;AK167)</f>
        <v xml:space="preserve"> Workbooks("Ukraine_sponsorship_data_31.ods").Worksheets("UTLA_-_England").Range("D11:D165").Copy _</v>
      </c>
      <c r="AO167" t="s">
        <v>738</v>
      </c>
    </row>
    <row r="168" spans="2:41" x14ac:dyDescent="0.25">
      <c r="B168" s="19" t="s">
        <v>808</v>
      </c>
      <c r="C168" s="19"/>
      <c r="D168" s="19"/>
      <c r="E168" s="19"/>
      <c r="F168" s="19"/>
      <c r="G168" s="19"/>
      <c r="H168" s="19"/>
      <c r="I168" s="19"/>
      <c r="J168" s="19"/>
      <c r="K168" s="19"/>
      <c r="L168" s="19"/>
      <c r="M168" s="19"/>
      <c r="N168" s="19" t="s">
        <v>809</v>
      </c>
      <c r="O168" s="19"/>
      <c r="P168" s="19"/>
      <c r="Q168" s="19"/>
      <c r="R168" s="19"/>
      <c r="S168" s="19"/>
      <c r="T168" s="19"/>
      <c r="U168" s="19"/>
      <c r="V168" s="19"/>
      <c r="W168" s="19" t="s">
        <v>312</v>
      </c>
      <c r="X168" s="19" t="str">
        <f t="shared" ref="X168" si="146">CHAR(CODE(X163)+1)</f>
        <v>L</v>
      </c>
      <c r="Y168" s="21">
        <v>9</v>
      </c>
      <c r="Z168" s="19" t="s">
        <v>324</v>
      </c>
      <c r="AA168" s="19"/>
      <c r="AB168" s="19"/>
      <c r="AC168" s="19"/>
      <c r="AD168" s="19"/>
      <c r="AE168" s="19"/>
      <c r="AF168" s="19"/>
      <c r="AG168" s="19"/>
      <c r="AH168" s="19"/>
      <c r="AI168" s="19"/>
      <c r="AJ168" s="19"/>
      <c r="AK168" s="19"/>
      <c r="AL168" s="19"/>
      <c r="AM168" s="19" t="str">
        <f t="shared" ref="AM168" si="147">_xlfn.CONCAT(N168&amp;W168&amp;X168&amp;Y168&amp;Z168)</f>
        <v>Workbooks("HFU Forecast UTLA 1.0.xlsm").Worksheets("Combined data").Range("AL9")</v>
      </c>
      <c r="AO168" t="s">
        <v>844</v>
      </c>
    </row>
    <row r="169" spans="2:41" x14ac:dyDescent="0.25">
      <c r="B169" s="19" t="s">
        <v>339</v>
      </c>
      <c r="C169" s="19"/>
      <c r="D169" s="19"/>
      <c r="E169" s="19"/>
      <c r="F169" s="19"/>
      <c r="G169" s="19"/>
      <c r="H169" s="19"/>
      <c r="I169" s="19"/>
      <c r="J169" s="19"/>
      <c r="K169" s="19"/>
      <c r="L169" s="19"/>
      <c r="M169" s="19"/>
      <c r="N169" s="19"/>
      <c r="O169" s="19"/>
      <c r="P169" s="19"/>
      <c r="Q169" s="19"/>
      <c r="R169" s="19"/>
      <c r="S169" s="19"/>
      <c r="T169" s="19"/>
      <c r="U169" s="19"/>
      <c r="V169" s="19"/>
      <c r="W169" s="19"/>
      <c r="X169" s="19"/>
      <c r="Y169" s="21"/>
      <c r="Z169" s="19"/>
      <c r="AA169" s="19"/>
      <c r="AB169" s="19"/>
      <c r="AC169" s="19"/>
      <c r="AD169" s="19"/>
      <c r="AE169" s="19"/>
      <c r="AF169" s="19"/>
      <c r="AG169" s="19"/>
      <c r="AH169" s="19"/>
      <c r="AI169" s="19"/>
      <c r="AJ169" s="19"/>
      <c r="AK169" s="19"/>
      <c r="AL169" s="19"/>
      <c r="AM169" s="19" t="str">
        <f t="shared" ref="AM169" si="148">B169</f>
        <v>ActiveWorkbook.Close SaveChanges:=False</v>
      </c>
      <c r="AO169" t="s">
        <v>339</v>
      </c>
    </row>
    <row r="171" spans="2:41" x14ac:dyDescent="0.25">
      <c r="B171" s="22" t="s">
        <v>316</v>
      </c>
      <c r="C171" s="22"/>
      <c r="D171" s="22"/>
      <c r="E171" s="22"/>
      <c r="F171" s="22"/>
      <c r="G171" s="22"/>
      <c r="H171" s="22"/>
      <c r="I171" s="22"/>
      <c r="J171" s="22"/>
      <c r="K171" s="22"/>
      <c r="L171" s="22"/>
      <c r="M171" s="22"/>
      <c r="N171" s="22" t="s">
        <v>321</v>
      </c>
      <c r="O171" s="22"/>
      <c r="P171" s="22"/>
      <c r="Q171" s="22"/>
      <c r="R171" s="22"/>
      <c r="S171" s="22"/>
      <c r="T171" s="22"/>
      <c r="U171" s="22"/>
      <c r="V171" s="22">
        <f t="shared" si="108"/>
        <v>32</v>
      </c>
      <c r="W171" s="22"/>
      <c r="X171" s="22"/>
      <c r="Y171" s="23"/>
      <c r="Z171" s="22" t="s">
        <v>322</v>
      </c>
      <c r="AA171" s="22"/>
      <c r="AB171" s="22"/>
      <c r="AC171" s="22"/>
      <c r="AD171" s="22"/>
      <c r="AE171" s="22"/>
      <c r="AF171" s="22"/>
      <c r="AG171" s="22"/>
      <c r="AH171" s="22"/>
      <c r="AI171" s="22"/>
      <c r="AJ171" s="22"/>
      <c r="AK171" s="22"/>
      <c r="AL171" s="22"/>
      <c r="AM171" s="22" t="str">
        <f t="shared" ref="AM171" si="149">+_xlfn.CONCAT(N171&amp;V171&amp;Z171)</f>
        <v xml:space="preserve"> Workbooks.Open "A:\Homes for Ukraine data\Ukraine_sponsorship_data_32.ods"</v>
      </c>
      <c r="AO171" t="s">
        <v>739</v>
      </c>
    </row>
    <row r="172" spans="2:41" x14ac:dyDescent="0.25">
      <c r="B172" s="22" t="s">
        <v>318</v>
      </c>
      <c r="C172" s="22"/>
      <c r="D172" s="22"/>
      <c r="E172" s="22"/>
      <c r="F172" s="22"/>
      <c r="G172" s="22"/>
      <c r="H172" s="22"/>
      <c r="I172" s="22"/>
      <c r="J172" s="22"/>
      <c r="K172" s="22"/>
      <c r="L172" s="22"/>
      <c r="M172" s="22"/>
      <c r="N172" s="22" t="s">
        <v>323</v>
      </c>
      <c r="O172" s="22"/>
      <c r="P172" s="22"/>
      <c r="Q172" s="22"/>
      <c r="R172" s="22"/>
      <c r="S172" s="22"/>
      <c r="T172" s="22"/>
      <c r="U172" s="22"/>
      <c r="V172" s="22">
        <f t="shared" si="108"/>
        <v>32</v>
      </c>
      <c r="W172" s="22"/>
      <c r="X172" s="22"/>
      <c r="Y172" s="23"/>
      <c r="Z172" s="22" t="s">
        <v>326</v>
      </c>
      <c r="AA172" s="22"/>
      <c r="AB172" s="22"/>
      <c r="AC172" s="22"/>
      <c r="AD172" s="22"/>
      <c r="AE172" s="22" t="s">
        <v>382</v>
      </c>
      <c r="AF172" s="22">
        <v>11</v>
      </c>
      <c r="AG172" s="22" t="s">
        <v>327</v>
      </c>
      <c r="AH172" s="22"/>
      <c r="AI172" s="22">
        <v>165</v>
      </c>
      <c r="AJ172" s="22"/>
      <c r="AK172" s="22" t="s">
        <v>325</v>
      </c>
      <c r="AL172" s="22"/>
      <c r="AM172" s="22" t="str">
        <f t="shared" ref="AM172" si="150">_xlfn.CONCAT(N172&amp;V172&amp;Z172&amp;AE172&amp;AF172&amp;AG172&amp;AE172&amp;AI172&amp;AK172)</f>
        <v xml:space="preserve"> Workbooks("Ukraine_sponsorship_data_32.ods").Worksheets("UTLA_-_England").Range("D11:D165").Copy _</v>
      </c>
      <c r="AO172" t="s">
        <v>740</v>
      </c>
    </row>
    <row r="173" spans="2:41" x14ac:dyDescent="0.25">
      <c r="B173" s="22" t="s">
        <v>808</v>
      </c>
      <c r="C173" s="22"/>
      <c r="D173" s="22"/>
      <c r="E173" s="22"/>
      <c r="F173" s="22"/>
      <c r="G173" s="22"/>
      <c r="H173" s="22"/>
      <c r="I173" s="22"/>
      <c r="J173" s="22"/>
      <c r="K173" s="22"/>
      <c r="L173" s="22"/>
      <c r="M173" s="22"/>
      <c r="N173" s="22" t="s">
        <v>809</v>
      </c>
      <c r="O173" s="22"/>
      <c r="P173" s="22"/>
      <c r="Q173" s="22"/>
      <c r="R173" s="22"/>
      <c r="S173" s="22"/>
      <c r="T173" s="22"/>
      <c r="U173" s="22"/>
      <c r="V173" s="22"/>
      <c r="W173" s="22" t="s">
        <v>312</v>
      </c>
      <c r="X173" s="22" t="str">
        <f t="shared" ref="X173" si="151">CHAR(CODE(X168)+1)</f>
        <v>M</v>
      </c>
      <c r="Y173" s="23">
        <v>9</v>
      </c>
      <c r="Z173" s="22" t="s">
        <v>324</v>
      </c>
      <c r="AA173" s="22"/>
      <c r="AB173" s="22"/>
      <c r="AC173" s="22"/>
      <c r="AD173" s="22"/>
      <c r="AE173" s="22"/>
      <c r="AF173" s="22"/>
      <c r="AG173" s="22"/>
      <c r="AH173" s="22"/>
      <c r="AI173" s="22"/>
      <c r="AJ173" s="22"/>
      <c r="AK173" s="22"/>
      <c r="AL173" s="22"/>
      <c r="AM173" s="22" t="str">
        <f t="shared" ref="AM173" si="152">_xlfn.CONCAT(N173&amp;W173&amp;X173&amp;Y173&amp;Z173)</f>
        <v>Workbooks("HFU Forecast UTLA 1.0.xlsm").Worksheets("Combined data").Range("AM9")</v>
      </c>
      <c r="AO173" t="s">
        <v>845</v>
      </c>
    </row>
    <row r="174" spans="2:41" x14ac:dyDescent="0.25">
      <c r="B174" s="22" t="s">
        <v>339</v>
      </c>
      <c r="C174" s="22"/>
      <c r="D174" s="22"/>
      <c r="E174" s="22"/>
      <c r="F174" s="22"/>
      <c r="G174" s="22"/>
      <c r="H174" s="22"/>
      <c r="I174" s="22"/>
      <c r="J174" s="22"/>
      <c r="K174" s="22"/>
      <c r="L174" s="22"/>
      <c r="M174" s="22"/>
      <c r="N174" s="22"/>
      <c r="O174" s="22"/>
      <c r="P174" s="22"/>
      <c r="Q174" s="22"/>
      <c r="R174" s="22"/>
      <c r="S174" s="22"/>
      <c r="T174" s="22"/>
      <c r="U174" s="22"/>
      <c r="V174" s="22"/>
      <c r="W174" s="22"/>
      <c r="X174" s="22"/>
      <c r="Y174" s="23"/>
      <c r="Z174" s="22"/>
      <c r="AA174" s="22"/>
      <c r="AB174" s="22"/>
      <c r="AC174" s="22"/>
      <c r="AD174" s="22"/>
      <c r="AE174" s="22"/>
      <c r="AF174" s="22"/>
      <c r="AG174" s="22"/>
      <c r="AH174" s="22"/>
      <c r="AI174" s="22"/>
      <c r="AJ174" s="22"/>
      <c r="AK174" s="22"/>
      <c r="AL174" s="22"/>
      <c r="AM174" s="22" t="str">
        <f t="shared" ref="AM174" si="153">B174</f>
        <v>ActiveWorkbook.Close SaveChanges:=False</v>
      </c>
      <c r="AO174" t="s">
        <v>339</v>
      </c>
    </row>
    <row r="176" spans="2:41" x14ac:dyDescent="0.25">
      <c r="B176" s="19" t="s">
        <v>316</v>
      </c>
      <c r="C176" s="19"/>
      <c r="D176" s="19"/>
      <c r="E176" s="19"/>
      <c r="F176" s="19"/>
      <c r="G176" s="19"/>
      <c r="H176" s="19"/>
      <c r="I176" s="19"/>
      <c r="J176" s="19"/>
      <c r="K176" s="19"/>
      <c r="L176" s="19"/>
      <c r="M176" s="19"/>
      <c r="N176" s="19" t="s">
        <v>321</v>
      </c>
      <c r="O176" s="19"/>
      <c r="P176" s="19"/>
      <c r="Q176" s="19"/>
      <c r="R176" s="19"/>
      <c r="S176" s="19"/>
      <c r="T176" s="19"/>
      <c r="U176" s="19"/>
      <c r="V176" s="19">
        <f t="shared" si="102"/>
        <v>33</v>
      </c>
      <c r="W176" s="19"/>
      <c r="X176" s="19"/>
      <c r="Y176" s="21"/>
      <c r="Z176" s="19" t="s">
        <v>322</v>
      </c>
      <c r="AA176" s="19"/>
      <c r="AB176" s="19"/>
      <c r="AC176" s="19"/>
      <c r="AD176" s="19"/>
      <c r="AE176" s="19"/>
      <c r="AF176" s="19"/>
      <c r="AG176" s="19"/>
      <c r="AH176" s="19"/>
      <c r="AI176" s="19"/>
      <c r="AJ176" s="19"/>
      <c r="AK176" s="19"/>
      <c r="AL176" s="19"/>
      <c r="AM176" s="19" t="str">
        <f t="shared" ref="AM176" si="154">+_xlfn.CONCAT(N176&amp;V176&amp;Z176)</f>
        <v xml:space="preserve"> Workbooks.Open "A:\Homes for Ukraine data\Ukraine_sponsorship_data_33.ods"</v>
      </c>
      <c r="AO176" t="s">
        <v>741</v>
      </c>
    </row>
    <row r="177" spans="2:41" x14ac:dyDescent="0.25">
      <c r="B177" s="19" t="s">
        <v>318</v>
      </c>
      <c r="C177" s="19"/>
      <c r="D177" s="19"/>
      <c r="E177" s="19"/>
      <c r="F177" s="19"/>
      <c r="G177" s="19"/>
      <c r="H177" s="19"/>
      <c r="I177" s="19"/>
      <c r="J177" s="19"/>
      <c r="K177" s="19"/>
      <c r="L177" s="19"/>
      <c r="M177" s="19"/>
      <c r="N177" s="19" t="s">
        <v>323</v>
      </c>
      <c r="O177" s="19"/>
      <c r="P177" s="19"/>
      <c r="Q177" s="19"/>
      <c r="R177" s="19"/>
      <c r="S177" s="19"/>
      <c r="T177" s="19"/>
      <c r="U177" s="19"/>
      <c r="V177" s="19">
        <f t="shared" si="102"/>
        <v>33</v>
      </c>
      <c r="W177" s="19"/>
      <c r="X177" s="19"/>
      <c r="Y177" s="21"/>
      <c r="Z177" s="19" t="s">
        <v>326</v>
      </c>
      <c r="AA177" s="19"/>
      <c r="AB177" s="19"/>
      <c r="AC177" s="19"/>
      <c r="AD177" s="19"/>
      <c r="AE177" s="19" t="s">
        <v>382</v>
      </c>
      <c r="AF177" s="19">
        <v>11</v>
      </c>
      <c r="AG177" s="19" t="s">
        <v>327</v>
      </c>
      <c r="AH177" s="19"/>
      <c r="AI177" s="19">
        <v>165</v>
      </c>
      <c r="AJ177" s="19"/>
      <c r="AK177" s="19" t="s">
        <v>325</v>
      </c>
      <c r="AL177" s="19"/>
      <c r="AM177" s="19" t="str">
        <f t="shared" ref="AM177" si="155">_xlfn.CONCAT(N177&amp;V177&amp;Z177&amp;AE177&amp;AF177&amp;AG177&amp;AE177&amp;AI177&amp;AK177)</f>
        <v xml:space="preserve"> Workbooks("Ukraine_sponsorship_data_33.ods").Worksheets("UTLA_-_England").Range("D11:D165").Copy _</v>
      </c>
      <c r="AO177" t="s">
        <v>742</v>
      </c>
    </row>
    <row r="178" spans="2:41" x14ac:dyDescent="0.25">
      <c r="B178" s="19" t="s">
        <v>808</v>
      </c>
      <c r="C178" s="19"/>
      <c r="D178" s="19"/>
      <c r="E178" s="19"/>
      <c r="F178" s="19"/>
      <c r="G178" s="19"/>
      <c r="H178" s="19"/>
      <c r="I178" s="19"/>
      <c r="J178" s="19"/>
      <c r="K178" s="19"/>
      <c r="L178" s="19"/>
      <c r="M178" s="19"/>
      <c r="N178" s="19" t="s">
        <v>809</v>
      </c>
      <c r="O178" s="19"/>
      <c r="P178" s="19"/>
      <c r="Q178" s="19"/>
      <c r="R178" s="19"/>
      <c r="S178" s="19"/>
      <c r="T178" s="19"/>
      <c r="U178" s="19"/>
      <c r="V178" s="19"/>
      <c r="W178" s="19" t="s">
        <v>312</v>
      </c>
      <c r="X178" s="19" t="str">
        <f t="shared" ref="X178" si="156">CHAR(CODE(X173)+1)</f>
        <v>N</v>
      </c>
      <c r="Y178" s="21">
        <v>9</v>
      </c>
      <c r="Z178" s="19" t="s">
        <v>324</v>
      </c>
      <c r="AA178" s="19"/>
      <c r="AB178" s="19"/>
      <c r="AC178" s="19"/>
      <c r="AD178" s="19"/>
      <c r="AE178" s="19"/>
      <c r="AF178" s="19"/>
      <c r="AG178" s="19"/>
      <c r="AH178" s="19"/>
      <c r="AI178" s="19"/>
      <c r="AJ178" s="19"/>
      <c r="AK178" s="19"/>
      <c r="AL178" s="19"/>
      <c r="AM178" s="19" t="str">
        <f t="shared" ref="AM178" si="157">_xlfn.CONCAT(N178&amp;W178&amp;X178&amp;Y178&amp;Z178)</f>
        <v>Workbooks("HFU Forecast UTLA 1.0.xlsm").Worksheets("Combined data").Range("AN9")</v>
      </c>
      <c r="AO178" t="s">
        <v>846</v>
      </c>
    </row>
    <row r="179" spans="2:41" x14ac:dyDescent="0.25">
      <c r="B179" s="19" t="s">
        <v>339</v>
      </c>
      <c r="C179" s="19"/>
      <c r="D179" s="19"/>
      <c r="E179" s="19"/>
      <c r="F179" s="19"/>
      <c r="G179" s="19"/>
      <c r="H179" s="19"/>
      <c r="I179" s="19"/>
      <c r="J179" s="19"/>
      <c r="K179" s="19"/>
      <c r="L179" s="19"/>
      <c r="M179" s="19"/>
      <c r="N179" s="19"/>
      <c r="O179" s="19"/>
      <c r="P179" s="19"/>
      <c r="Q179" s="19"/>
      <c r="R179" s="19"/>
      <c r="S179" s="19"/>
      <c r="T179" s="19"/>
      <c r="U179" s="19"/>
      <c r="V179" s="19"/>
      <c r="W179" s="19"/>
      <c r="X179" s="19"/>
      <c r="Y179" s="21"/>
      <c r="Z179" s="19"/>
      <c r="AA179" s="19"/>
      <c r="AB179" s="19"/>
      <c r="AC179" s="19"/>
      <c r="AD179" s="19"/>
      <c r="AE179" s="19"/>
      <c r="AF179" s="19"/>
      <c r="AG179" s="19"/>
      <c r="AH179" s="19"/>
      <c r="AI179" s="19"/>
      <c r="AJ179" s="19"/>
      <c r="AK179" s="19"/>
      <c r="AL179" s="19"/>
      <c r="AM179" s="19" t="str">
        <f t="shared" ref="AM179" si="158">B179</f>
        <v>ActiveWorkbook.Close SaveChanges:=False</v>
      </c>
      <c r="AO179" t="s">
        <v>339</v>
      </c>
    </row>
    <row r="181" spans="2:41" x14ac:dyDescent="0.25">
      <c r="B181" s="19" t="s">
        <v>316</v>
      </c>
      <c r="C181" s="19"/>
      <c r="D181" s="19"/>
      <c r="E181" s="19"/>
      <c r="F181" s="19"/>
      <c r="G181" s="19"/>
      <c r="H181" s="19"/>
      <c r="I181" s="19"/>
      <c r="J181" s="19"/>
      <c r="K181" s="19"/>
      <c r="L181" s="19"/>
      <c r="M181" s="19"/>
      <c r="N181" s="19" t="s">
        <v>321</v>
      </c>
      <c r="O181" s="19"/>
      <c r="P181" s="19"/>
      <c r="Q181" s="19"/>
      <c r="R181" s="19"/>
      <c r="S181" s="19"/>
      <c r="T181" s="19"/>
      <c r="U181" s="19"/>
      <c r="V181" s="19">
        <f t="shared" ref="V181:V182" si="159">V176+1</f>
        <v>34</v>
      </c>
      <c r="W181" s="19"/>
      <c r="X181" s="19"/>
      <c r="Y181" s="21"/>
      <c r="Z181" s="19" t="s">
        <v>322</v>
      </c>
      <c r="AA181" s="19"/>
      <c r="AB181" s="19"/>
      <c r="AC181" s="19"/>
      <c r="AD181" s="19"/>
      <c r="AE181" s="19"/>
      <c r="AF181" s="19"/>
      <c r="AG181" s="19"/>
      <c r="AH181" s="19"/>
      <c r="AI181" s="19"/>
      <c r="AJ181" s="19"/>
      <c r="AK181" s="19"/>
      <c r="AL181" s="19"/>
      <c r="AM181" s="19" t="str">
        <f t="shared" ref="AM181" si="160">+_xlfn.CONCAT(N181&amp;V181&amp;Z181)</f>
        <v xml:space="preserve"> Workbooks.Open "A:\Homes for Ukraine data\Ukraine_sponsorship_data_34.ods"</v>
      </c>
      <c r="AO181" t="s">
        <v>743</v>
      </c>
    </row>
    <row r="182" spans="2:41" x14ac:dyDescent="0.25">
      <c r="B182" s="19" t="s">
        <v>318</v>
      </c>
      <c r="C182" s="19"/>
      <c r="D182" s="19"/>
      <c r="E182" s="19"/>
      <c r="F182" s="19"/>
      <c r="G182" s="19"/>
      <c r="H182" s="19"/>
      <c r="I182" s="19"/>
      <c r="J182" s="19"/>
      <c r="K182" s="19"/>
      <c r="L182" s="19"/>
      <c r="M182" s="19"/>
      <c r="N182" s="19" t="s">
        <v>323</v>
      </c>
      <c r="O182" s="19"/>
      <c r="P182" s="19"/>
      <c r="Q182" s="19"/>
      <c r="R182" s="19"/>
      <c r="S182" s="19"/>
      <c r="T182" s="19"/>
      <c r="U182" s="19"/>
      <c r="V182" s="19">
        <f t="shared" si="159"/>
        <v>34</v>
      </c>
      <c r="W182" s="19"/>
      <c r="X182" s="19"/>
      <c r="Y182" s="21"/>
      <c r="Z182" s="19" t="s">
        <v>326</v>
      </c>
      <c r="AA182" s="19"/>
      <c r="AB182" s="19"/>
      <c r="AC182" s="19"/>
      <c r="AD182" s="19"/>
      <c r="AE182" s="19" t="s">
        <v>382</v>
      </c>
      <c r="AF182" s="19">
        <v>11</v>
      </c>
      <c r="AG182" s="19" t="s">
        <v>327</v>
      </c>
      <c r="AH182" s="19"/>
      <c r="AI182" s="19">
        <v>165</v>
      </c>
      <c r="AJ182" s="19"/>
      <c r="AK182" s="19" t="s">
        <v>325</v>
      </c>
      <c r="AL182" s="19"/>
      <c r="AM182" s="19" t="str">
        <f t="shared" ref="AM182" si="161">_xlfn.CONCAT(N182&amp;V182&amp;Z182&amp;AE182&amp;AF182&amp;AG182&amp;AE182&amp;AI182&amp;AK182)</f>
        <v xml:space="preserve"> Workbooks("Ukraine_sponsorship_data_34.ods").Worksheets("UTLA_-_England").Range("D11:D165").Copy _</v>
      </c>
      <c r="AO182" t="s">
        <v>744</v>
      </c>
    </row>
    <row r="183" spans="2:41" x14ac:dyDescent="0.25">
      <c r="B183" s="19" t="s">
        <v>808</v>
      </c>
      <c r="C183" s="19"/>
      <c r="D183" s="19"/>
      <c r="E183" s="19"/>
      <c r="F183" s="19"/>
      <c r="G183" s="19"/>
      <c r="H183" s="19"/>
      <c r="I183" s="19"/>
      <c r="J183" s="19"/>
      <c r="K183" s="19"/>
      <c r="L183" s="19"/>
      <c r="M183" s="19"/>
      <c r="N183" s="19" t="s">
        <v>809</v>
      </c>
      <c r="O183" s="19"/>
      <c r="P183" s="19"/>
      <c r="Q183" s="19"/>
      <c r="R183" s="19"/>
      <c r="S183" s="19"/>
      <c r="T183" s="19"/>
      <c r="U183" s="19"/>
      <c r="V183" s="19"/>
      <c r="W183" s="19" t="s">
        <v>312</v>
      </c>
      <c r="X183" s="19" t="str">
        <f>CHAR(CODE(X178)+1)</f>
        <v>O</v>
      </c>
      <c r="Y183" s="21">
        <v>9</v>
      </c>
      <c r="Z183" s="19" t="s">
        <v>324</v>
      </c>
      <c r="AA183" s="19"/>
      <c r="AB183" s="19"/>
      <c r="AC183" s="19"/>
      <c r="AD183" s="19"/>
      <c r="AE183" s="19"/>
      <c r="AF183" s="19"/>
      <c r="AG183" s="19"/>
      <c r="AH183" s="19"/>
      <c r="AI183" s="19"/>
      <c r="AJ183" s="19"/>
      <c r="AK183" s="19"/>
      <c r="AL183" s="19"/>
      <c r="AM183" s="19" t="str">
        <f>_xlfn.CONCAT(N183&amp;W183&amp;X183&amp;Y183&amp;Z183)</f>
        <v>Workbooks("HFU Forecast UTLA 1.0.xlsm").Worksheets("Combined data").Range("AO9")</v>
      </c>
      <c r="AO183" t="s">
        <v>847</v>
      </c>
    </row>
    <row r="184" spans="2:41" x14ac:dyDescent="0.25">
      <c r="B184" s="19" t="s">
        <v>339</v>
      </c>
      <c r="C184" s="19"/>
      <c r="D184" s="19"/>
      <c r="E184" s="19"/>
      <c r="F184" s="19"/>
      <c r="G184" s="19"/>
      <c r="H184" s="19"/>
      <c r="I184" s="19"/>
      <c r="J184" s="19"/>
      <c r="K184" s="19"/>
      <c r="L184" s="19"/>
      <c r="M184" s="19"/>
      <c r="N184" s="19"/>
      <c r="O184" s="19"/>
      <c r="P184" s="19"/>
      <c r="Q184" s="19"/>
      <c r="R184" s="19"/>
      <c r="S184" s="19"/>
      <c r="T184" s="19"/>
      <c r="U184" s="19"/>
      <c r="V184" s="19"/>
      <c r="W184" s="19"/>
      <c r="X184" s="19"/>
      <c r="Y184" s="21"/>
      <c r="Z184" s="19"/>
      <c r="AA184" s="19"/>
      <c r="AB184" s="19"/>
      <c r="AC184" s="19"/>
      <c r="AD184" s="19"/>
      <c r="AE184" s="19"/>
      <c r="AF184" s="19"/>
      <c r="AG184" s="19"/>
      <c r="AH184" s="19"/>
      <c r="AI184" s="19"/>
      <c r="AJ184" s="19"/>
      <c r="AK184" s="19"/>
      <c r="AL184" s="19"/>
      <c r="AM184" s="19" t="str">
        <f t="shared" ref="AM184" si="162">B184</f>
        <v>ActiveWorkbook.Close SaveChanges:=False</v>
      </c>
      <c r="AO184" t="s">
        <v>339</v>
      </c>
    </row>
  </sheetData>
  <mergeCells count="2">
    <mergeCell ref="B3:P3"/>
    <mergeCell ref="AE5:AI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919C0-A52D-4A39-8B35-FCAADF4808F8}">
  <sheetPr codeName="Sheet5"/>
  <dimension ref="A1:AO177"/>
  <sheetViews>
    <sheetView topLeftCell="K1" zoomScaleNormal="100" workbookViewId="0">
      <selection activeCell="AO9" sqref="AO9:AO177"/>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1:41" x14ac:dyDescent="0.25">
      <c r="B1" t="s">
        <v>329</v>
      </c>
    </row>
    <row r="3" spans="1:41" ht="78.75" customHeight="1" x14ac:dyDescent="0.25">
      <c r="B3" s="320" t="s">
        <v>330</v>
      </c>
      <c r="C3" s="320"/>
      <c r="D3" s="320"/>
      <c r="E3" s="320"/>
      <c r="F3" s="320"/>
      <c r="G3" s="320"/>
      <c r="H3" s="320"/>
      <c r="I3" s="320"/>
      <c r="J3" s="320"/>
      <c r="K3" s="320"/>
      <c r="L3" s="320"/>
      <c r="M3" s="320"/>
      <c r="N3" s="320"/>
      <c r="O3" s="320"/>
      <c r="P3" s="320"/>
    </row>
    <row r="5" spans="1:41" x14ac:dyDescent="0.25">
      <c r="V5" t="s">
        <v>331</v>
      </c>
      <c r="W5" t="s">
        <v>333</v>
      </c>
      <c r="AE5" s="316" t="s">
        <v>332</v>
      </c>
      <c r="AF5" s="316"/>
      <c r="AG5" s="316"/>
      <c r="AH5" s="316"/>
      <c r="AI5" s="316"/>
    </row>
    <row r="6" spans="1:41" x14ac:dyDescent="0.25">
      <c r="B6" t="s">
        <v>319</v>
      </c>
    </row>
    <row r="7" spans="1:41" x14ac:dyDescent="0.25">
      <c r="N7" t="s">
        <v>320</v>
      </c>
    </row>
    <row r="8" spans="1:41" x14ac:dyDescent="0.25">
      <c r="B8" t="s">
        <v>315</v>
      </c>
      <c r="AM8" t="s">
        <v>328</v>
      </c>
    </row>
    <row r="9" spans="1:41" x14ac:dyDescent="0.25">
      <c r="B9" t="s">
        <v>316</v>
      </c>
      <c r="N9" t="s">
        <v>321</v>
      </c>
      <c r="V9">
        <v>1</v>
      </c>
      <c r="Z9" t="s">
        <v>322</v>
      </c>
      <c r="AM9" t="str">
        <f>+_xlfn.CONCAT(N9&amp;V9&amp;Z9)</f>
        <v xml:space="preserve"> Workbooks.Open "A:\Homes for Ukraine data\Ukraine_sponsorship_data_1.ods"</v>
      </c>
      <c r="AO9" t="s">
        <v>334</v>
      </c>
    </row>
    <row r="10" spans="1:41" x14ac:dyDescent="0.25">
      <c r="B10" t="s">
        <v>318</v>
      </c>
      <c r="N10" t="s">
        <v>323</v>
      </c>
      <c r="V10">
        <v>1</v>
      </c>
      <c r="Z10" t="s">
        <v>326</v>
      </c>
      <c r="AE10" t="s">
        <v>382</v>
      </c>
      <c r="AF10">
        <v>11</v>
      </c>
      <c r="AG10" t="s">
        <v>327</v>
      </c>
      <c r="AH10" t="s">
        <v>382</v>
      </c>
      <c r="AI10">
        <v>165</v>
      </c>
      <c r="AK10" t="s">
        <v>325</v>
      </c>
      <c r="AM10" t="str">
        <f>_xlfn.CONCAT(N10&amp;V10&amp;Z10&amp;AE10&amp;AF10&amp;AG10&amp;AE10&amp;AI10&amp;AK10)</f>
        <v xml:space="preserve"> Workbooks("Ukraine_sponsorship_data_1.ods").Worksheets("UTLA_-_England").Range("D11:D165").Copy _</v>
      </c>
      <c r="AO10" t="s">
        <v>1095</v>
      </c>
    </row>
    <row r="11" spans="1:41" x14ac:dyDescent="0.25">
      <c r="B11" t="s">
        <v>808</v>
      </c>
      <c r="N11" t="s">
        <v>809</v>
      </c>
      <c r="W11" t="s">
        <v>312</v>
      </c>
      <c r="X11" t="s">
        <v>805</v>
      </c>
      <c r="Y11" s="20">
        <v>9</v>
      </c>
      <c r="Z11" t="s">
        <v>324</v>
      </c>
      <c r="AM11" t="str">
        <f>_xlfn.CONCAT(N11&amp;W11&amp;X11&amp;Y11&amp;Z11)</f>
        <v>Workbooks("HFU Forecast UTLA 1.0.xlsm").Worksheets("Combined data").Range("AR9")</v>
      </c>
      <c r="AO11" t="s">
        <v>1025</v>
      </c>
    </row>
    <row r="12" spans="1:41" x14ac:dyDescent="0.25">
      <c r="B12" t="s">
        <v>339</v>
      </c>
      <c r="AM12" t="str">
        <f>B12</f>
        <v>ActiveWorkbook.Close SaveChanges:=False</v>
      </c>
      <c r="AO12" t="s">
        <v>339</v>
      </c>
    </row>
    <row r="14" spans="1:41" x14ac:dyDescent="0.25">
      <c r="A14" s="19"/>
      <c r="B14" s="22" t="s">
        <v>316</v>
      </c>
      <c r="C14" s="22"/>
      <c r="D14" s="22"/>
      <c r="E14" s="22"/>
      <c r="F14" s="22"/>
      <c r="G14" s="22"/>
      <c r="H14" s="22"/>
      <c r="I14" s="22"/>
      <c r="J14" s="22"/>
      <c r="K14" s="22"/>
      <c r="L14" s="22"/>
      <c r="M14" s="22"/>
      <c r="N14" s="22" t="s">
        <v>321</v>
      </c>
      <c r="O14" s="22"/>
      <c r="P14" s="22"/>
      <c r="Q14" s="22"/>
      <c r="R14" s="22"/>
      <c r="S14" s="22"/>
      <c r="T14" s="22"/>
      <c r="U14" s="22"/>
      <c r="V14" s="22">
        <f>V9+1</f>
        <v>2</v>
      </c>
      <c r="W14" s="22"/>
      <c r="X14" s="22"/>
      <c r="Y14" s="23"/>
      <c r="Z14" s="22" t="s">
        <v>322</v>
      </c>
      <c r="AA14" s="22"/>
      <c r="AB14" s="22"/>
      <c r="AC14" s="22"/>
      <c r="AD14" s="22"/>
      <c r="AE14" s="22"/>
      <c r="AF14" s="22"/>
      <c r="AG14" s="22"/>
      <c r="AH14" s="22"/>
      <c r="AI14" s="22"/>
      <c r="AJ14" s="22"/>
      <c r="AK14" s="22"/>
      <c r="AL14" s="22"/>
      <c r="AM14" s="22" t="str">
        <f>+_xlfn.CONCAT(N14&amp;V14&amp;Z14)</f>
        <v xml:space="preserve"> Workbooks.Open "A:\Homes for Ukraine data\Ukraine_sponsorship_data_2.ods"</v>
      </c>
      <c r="AO14" t="s">
        <v>335</v>
      </c>
    </row>
    <row r="15" spans="1:41" x14ac:dyDescent="0.25">
      <c r="A15" s="19"/>
      <c r="B15" s="22" t="s">
        <v>318</v>
      </c>
      <c r="C15" s="22"/>
      <c r="D15" s="22"/>
      <c r="E15" s="22"/>
      <c r="F15" s="22"/>
      <c r="G15" s="22"/>
      <c r="H15" s="22"/>
      <c r="I15" s="22"/>
      <c r="J15" s="22"/>
      <c r="K15" s="22"/>
      <c r="L15" s="22"/>
      <c r="M15" s="22"/>
      <c r="N15" s="22" t="s">
        <v>323</v>
      </c>
      <c r="O15" s="22"/>
      <c r="P15" s="22"/>
      <c r="Q15" s="22"/>
      <c r="R15" s="22"/>
      <c r="S15" s="22"/>
      <c r="T15" s="22"/>
      <c r="U15" s="22"/>
      <c r="V15" s="22">
        <f>V10+1</f>
        <v>2</v>
      </c>
      <c r="W15" s="22"/>
      <c r="X15" s="22"/>
      <c r="Y15" s="23"/>
      <c r="Z15" s="22" t="s">
        <v>326</v>
      </c>
      <c r="AA15" s="22"/>
      <c r="AB15" s="22"/>
      <c r="AC15" s="22"/>
      <c r="AD15" s="22"/>
      <c r="AE15" s="22" t="s">
        <v>642</v>
      </c>
      <c r="AF15" s="22">
        <v>11</v>
      </c>
      <c r="AG15" s="22" t="s">
        <v>327</v>
      </c>
      <c r="AH15" s="22" t="s">
        <v>642</v>
      </c>
      <c r="AI15" s="22">
        <v>165</v>
      </c>
      <c r="AJ15" s="22"/>
      <c r="AK15" s="22" t="s">
        <v>325</v>
      </c>
      <c r="AL15" s="22"/>
      <c r="AM15" s="22" t="str">
        <f>_xlfn.CONCAT(N15&amp;V15&amp;Z15&amp;AE15&amp;AF15&amp;AG15&amp;AE15&amp;AI15&amp;AK15)</f>
        <v xml:space="preserve"> Workbooks("Ukraine_sponsorship_data_2.ods").Worksheets("UTLA_-_England").Range("E11:E165").Copy _</v>
      </c>
      <c r="AO15" t="s">
        <v>1096</v>
      </c>
    </row>
    <row r="16" spans="1:41" ht="17.25" customHeight="1" x14ac:dyDescent="0.25">
      <c r="A16" s="19"/>
      <c r="B16" s="22" t="s">
        <v>808</v>
      </c>
      <c r="C16" s="22"/>
      <c r="D16" s="22"/>
      <c r="E16" s="22"/>
      <c r="F16" s="22"/>
      <c r="G16" s="22"/>
      <c r="H16" s="22"/>
      <c r="I16" s="22"/>
      <c r="J16" s="22"/>
      <c r="K16" s="22"/>
      <c r="L16" s="22"/>
      <c r="M16" s="22"/>
      <c r="N16" s="22" t="s">
        <v>809</v>
      </c>
      <c r="O16" s="22"/>
      <c r="P16" s="22"/>
      <c r="Q16" s="22"/>
      <c r="R16" s="22"/>
      <c r="S16" s="22"/>
      <c r="T16" s="22"/>
      <c r="U16" s="22"/>
      <c r="V16" s="22"/>
      <c r="W16" s="22" t="str">
        <f>W11</f>
        <v>A</v>
      </c>
      <c r="X16" s="22" t="str">
        <f>CHAR(CODE(X11)+1)</f>
        <v>S</v>
      </c>
      <c r="Y16" s="23">
        <v>9</v>
      </c>
      <c r="Z16" s="22" t="s">
        <v>324</v>
      </c>
      <c r="AA16" s="22"/>
      <c r="AB16" s="22"/>
      <c r="AC16" s="22"/>
      <c r="AD16" s="22"/>
      <c r="AE16" s="22"/>
      <c r="AF16" s="22"/>
      <c r="AG16" s="22"/>
      <c r="AH16" s="22"/>
      <c r="AI16" s="22"/>
      <c r="AJ16" s="22"/>
      <c r="AK16" s="22"/>
      <c r="AL16" s="22"/>
      <c r="AM16" s="22" t="str">
        <f>_xlfn.CONCAT(N16&amp;W16&amp;X16&amp;Y16&amp;Z16)</f>
        <v>Workbooks("HFU Forecast UTLA 1.0.xlsm").Worksheets("Combined data").Range("AS9")</v>
      </c>
      <c r="AO16" t="s">
        <v>1026</v>
      </c>
    </row>
    <row r="17" spans="1:41" ht="17.25" customHeight="1" x14ac:dyDescent="0.25">
      <c r="A17" s="19"/>
      <c r="B17" s="22" t="s">
        <v>339</v>
      </c>
      <c r="C17" s="22"/>
      <c r="D17" s="22"/>
      <c r="E17" s="22"/>
      <c r="F17" s="22"/>
      <c r="G17" s="22"/>
      <c r="H17" s="22"/>
      <c r="I17" s="22"/>
      <c r="J17" s="22"/>
      <c r="K17" s="22"/>
      <c r="L17" s="22"/>
      <c r="M17" s="22"/>
      <c r="N17" s="22"/>
      <c r="O17" s="22"/>
      <c r="P17" s="22"/>
      <c r="Q17" s="22"/>
      <c r="R17" s="22"/>
      <c r="S17" s="22"/>
      <c r="T17" s="22"/>
      <c r="U17" s="22"/>
      <c r="V17" s="22"/>
      <c r="W17" s="22"/>
      <c r="X17" s="22"/>
      <c r="Y17" s="23"/>
      <c r="Z17" s="22"/>
      <c r="AA17" s="22"/>
      <c r="AB17" s="22"/>
      <c r="AC17" s="22"/>
      <c r="AD17" s="22"/>
      <c r="AE17" s="22"/>
      <c r="AF17" s="22"/>
      <c r="AG17" s="22"/>
      <c r="AH17" s="22"/>
      <c r="AI17" s="22"/>
      <c r="AJ17" s="22"/>
      <c r="AK17" s="22"/>
      <c r="AL17" s="22"/>
      <c r="AM17" s="22" t="str">
        <f>B17</f>
        <v>ActiveWorkbook.Close SaveChanges:=False</v>
      </c>
      <c r="AO17" t="s">
        <v>339</v>
      </c>
    </row>
    <row r="19" spans="1:41" x14ac:dyDescent="0.25">
      <c r="B19" s="19" t="s">
        <v>316</v>
      </c>
      <c r="C19" s="19"/>
      <c r="D19" s="19"/>
      <c r="E19" s="19"/>
      <c r="F19" s="19"/>
      <c r="G19" s="19"/>
      <c r="H19" s="19"/>
      <c r="I19" s="19"/>
      <c r="J19" s="19"/>
      <c r="K19" s="19"/>
      <c r="L19" s="19"/>
      <c r="M19" s="19"/>
      <c r="N19" s="19" t="s">
        <v>321</v>
      </c>
      <c r="O19" s="19"/>
      <c r="P19" s="19"/>
      <c r="Q19" s="19"/>
      <c r="R19" s="19"/>
      <c r="S19" s="19"/>
      <c r="T19" s="19"/>
      <c r="U19" s="19"/>
      <c r="V19" s="19">
        <f>V14+1</f>
        <v>3</v>
      </c>
      <c r="W19" s="19"/>
      <c r="X19" s="19"/>
      <c r="Y19" s="21"/>
      <c r="Z19" s="19" t="s">
        <v>322</v>
      </c>
      <c r="AA19" s="19"/>
      <c r="AB19" s="19"/>
      <c r="AC19" s="19"/>
      <c r="AD19" s="19"/>
      <c r="AE19" s="19"/>
      <c r="AF19" s="19"/>
      <c r="AG19" s="19"/>
      <c r="AH19" s="19"/>
      <c r="AI19" s="19"/>
      <c r="AJ19" s="19"/>
      <c r="AK19" s="19"/>
      <c r="AL19" s="19"/>
      <c r="AM19" s="19" t="str">
        <f>+_xlfn.CONCAT(N19&amp;V19&amp;Z19)</f>
        <v xml:space="preserve"> Workbooks.Open "A:\Homes for Ukraine data\Ukraine_sponsorship_data_3.ods"</v>
      </c>
      <c r="AO19" t="s">
        <v>336</v>
      </c>
    </row>
    <row r="20" spans="1:41" x14ac:dyDescent="0.25">
      <c r="B20" s="19" t="s">
        <v>318</v>
      </c>
      <c r="C20" s="19"/>
      <c r="D20" s="19"/>
      <c r="E20" s="19"/>
      <c r="F20" s="19"/>
      <c r="G20" s="19"/>
      <c r="H20" s="19"/>
      <c r="I20" s="19"/>
      <c r="J20" s="19"/>
      <c r="K20" s="19"/>
      <c r="L20" s="19"/>
      <c r="M20" s="19"/>
      <c r="N20" s="19" t="s">
        <v>323</v>
      </c>
      <c r="O20" s="19"/>
      <c r="P20" s="19"/>
      <c r="Q20" s="19"/>
      <c r="R20" s="19"/>
      <c r="S20" s="19"/>
      <c r="T20" s="19"/>
      <c r="U20" s="19"/>
      <c r="V20" s="19">
        <f>V15+1</f>
        <v>3</v>
      </c>
      <c r="W20" s="19"/>
      <c r="X20" s="19"/>
      <c r="Y20" s="21"/>
      <c r="Z20" s="19" t="s">
        <v>326</v>
      </c>
      <c r="AA20" s="19"/>
      <c r="AB20" s="19"/>
      <c r="AC20" s="19"/>
      <c r="AD20" s="19"/>
      <c r="AE20" s="19" t="str">
        <f>AE15</f>
        <v>E</v>
      </c>
      <c r="AF20" s="19">
        <v>11</v>
      </c>
      <c r="AG20" s="19" t="s">
        <v>327</v>
      </c>
      <c r="AH20" s="19" t="str">
        <f>AH15</f>
        <v>E</v>
      </c>
      <c r="AI20" s="19">
        <v>165</v>
      </c>
      <c r="AJ20" s="19"/>
      <c r="AK20" s="19" t="s">
        <v>325</v>
      </c>
      <c r="AL20" s="19"/>
      <c r="AM20" s="19" t="str">
        <f>_xlfn.CONCAT(N20&amp;V20&amp;Z20&amp;AE20&amp;AF20&amp;AG20&amp;AE20&amp;AI20&amp;AK20)</f>
        <v xml:space="preserve"> Workbooks("Ukraine_sponsorship_data_3.ods").Worksheets("UTLA_-_England").Range("E11:E165").Copy _</v>
      </c>
      <c r="AO20" t="s">
        <v>1097</v>
      </c>
    </row>
    <row r="21" spans="1:41" x14ac:dyDescent="0.25">
      <c r="B21" s="19" t="s">
        <v>808</v>
      </c>
      <c r="C21" s="19"/>
      <c r="D21" s="19"/>
      <c r="E21" s="19"/>
      <c r="F21" s="19"/>
      <c r="G21" s="19"/>
      <c r="H21" s="19"/>
      <c r="I21" s="19"/>
      <c r="J21" s="19"/>
      <c r="K21" s="19"/>
      <c r="L21" s="19"/>
      <c r="M21" s="19"/>
      <c r="N21" s="19" t="s">
        <v>809</v>
      </c>
      <c r="O21" s="19"/>
      <c r="P21" s="19"/>
      <c r="Q21" s="19"/>
      <c r="R21" s="19"/>
      <c r="S21" s="19"/>
      <c r="T21" s="19"/>
      <c r="U21" s="19"/>
      <c r="V21" s="19"/>
      <c r="W21" s="19" t="str">
        <f>W16</f>
        <v>A</v>
      </c>
      <c r="X21" s="19" t="str">
        <f>CHAR(CODE(X16)+1)</f>
        <v>T</v>
      </c>
      <c r="Y21" s="21">
        <v>9</v>
      </c>
      <c r="Z21" s="19" t="s">
        <v>324</v>
      </c>
      <c r="AA21" s="19"/>
      <c r="AB21" s="19"/>
      <c r="AC21" s="19"/>
      <c r="AD21" s="19"/>
      <c r="AE21" s="19"/>
      <c r="AF21" s="19"/>
      <c r="AG21" s="19"/>
      <c r="AH21" s="19"/>
      <c r="AI21" s="19"/>
      <c r="AJ21" s="19"/>
      <c r="AK21" s="19"/>
      <c r="AL21" s="19"/>
      <c r="AM21" s="19" t="str">
        <f>_xlfn.CONCAT(N21&amp;W21&amp;X21&amp;Y21&amp;Z21)</f>
        <v>Workbooks("HFU Forecast UTLA 1.0.xlsm").Worksheets("Combined data").Range("AT9")</v>
      </c>
      <c r="AO21" t="s">
        <v>1027</v>
      </c>
    </row>
    <row r="22" spans="1:41" x14ac:dyDescent="0.25">
      <c r="B22" s="19" t="s">
        <v>339</v>
      </c>
      <c r="C22" s="19"/>
      <c r="D22" s="19"/>
      <c r="E22" s="19"/>
      <c r="F22" s="19"/>
      <c r="G22" s="19"/>
      <c r="H22" s="19"/>
      <c r="I22" s="19"/>
      <c r="J22" s="19"/>
      <c r="K22" s="19"/>
      <c r="L22" s="19"/>
      <c r="M22" s="19"/>
      <c r="N22" s="19"/>
      <c r="O22" s="19"/>
      <c r="P22" s="19"/>
      <c r="Q22" s="19"/>
      <c r="R22" s="19"/>
      <c r="S22" s="19"/>
      <c r="T22" s="19"/>
      <c r="U22" s="19"/>
      <c r="V22" s="19"/>
      <c r="W22" s="19"/>
      <c r="X22" s="19"/>
      <c r="Y22" s="21"/>
      <c r="Z22" s="19"/>
      <c r="AA22" s="19"/>
      <c r="AB22" s="19"/>
      <c r="AC22" s="19"/>
      <c r="AD22" s="19"/>
      <c r="AE22" s="19"/>
      <c r="AF22" s="19"/>
      <c r="AG22" s="19"/>
      <c r="AH22" s="19"/>
      <c r="AI22" s="19"/>
      <c r="AJ22" s="19"/>
      <c r="AK22" s="19"/>
      <c r="AL22" s="19"/>
      <c r="AM22" s="19" t="str">
        <f>B22</f>
        <v>ActiveWorkbook.Close SaveChanges:=False</v>
      </c>
      <c r="AO22" t="s">
        <v>339</v>
      </c>
    </row>
    <row r="24" spans="1:41" x14ac:dyDescent="0.25">
      <c r="B24" s="22" t="s">
        <v>316</v>
      </c>
      <c r="C24" s="22"/>
      <c r="D24" s="22"/>
      <c r="E24" s="22"/>
      <c r="F24" s="22"/>
      <c r="G24" s="22"/>
      <c r="H24" s="22"/>
      <c r="I24" s="22"/>
      <c r="J24" s="22"/>
      <c r="K24" s="22"/>
      <c r="L24" s="22"/>
      <c r="M24" s="22"/>
      <c r="N24" s="22" t="s">
        <v>321</v>
      </c>
      <c r="O24" s="22"/>
      <c r="P24" s="22"/>
      <c r="Q24" s="22"/>
      <c r="R24" s="22"/>
      <c r="S24" s="22"/>
      <c r="T24" s="22"/>
      <c r="U24" s="22"/>
      <c r="V24" s="22">
        <f>V19+1</f>
        <v>4</v>
      </c>
      <c r="W24" s="22"/>
      <c r="X24" s="22"/>
      <c r="Y24" s="23"/>
      <c r="Z24" s="22" t="s">
        <v>322</v>
      </c>
      <c r="AA24" s="22"/>
      <c r="AB24" s="22"/>
      <c r="AC24" s="22"/>
      <c r="AD24" s="22"/>
      <c r="AE24" s="22"/>
      <c r="AF24" s="22"/>
      <c r="AG24" s="22"/>
      <c r="AH24" s="22"/>
      <c r="AI24" s="22"/>
      <c r="AJ24" s="22"/>
      <c r="AK24" s="22"/>
      <c r="AL24" s="22"/>
      <c r="AM24" s="22" t="str">
        <f>+_xlfn.CONCAT(N24&amp;V24&amp;Z24)</f>
        <v xml:space="preserve"> Workbooks.Open "A:\Homes for Ukraine data\Ukraine_sponsorship_data_4.ods"</v>
      </c>
      <c r="AO24" t="s">
        <v>340</v>
      </c>
    </row>
    <row r="25" spans="1:41" x14ac:dyDescent="0.25">
      <c r="B25" s="22" t="s">
        <v>318</v>
      </c>
      <c r="C25" s="22"/>
      <c r="D25" s="22"/>
      <c r="E25" s="22"/>
      <c r="F25" s="22"/>
      <c r="G25" s="22"/>
      <c r="H25" s="22"/>
      <c r="I25" s="22"/>
      <c r="J25" s="22"/>
      <c r="K25" s="22"/>
      <c r="L25" s="22"/>
      <c r="M25" s="22"/>
      <c r="N25" s="22" t="s">
        <v>323</v>
      </c>
      <c r="O25" s="22"/>
      <c r="P25" s="22"/>
      <c r="Q25" s="22"/>
      <c r="R25" s="22"/>
      <c r="S25" s="22"/>
      <c r="T25" s="22"/>
      <c r="U25" s="22"/>
      <c r="V25" s="22">
        <f>V20+1</f>
        <v>4</v>
      </c>
      <c r="W25" s="22"/>
      <c r="X25" s="22"/>
      <c r="Y25" s="23"/>
      <c r="Z25" s="22" t="s">
        <v>326</v>
      </c>
      <c r="AA25" s="22"/>
      <c r="AB25" s="22"/>
      <c r="AC25" s="22"/>
      <c r="AD25" s="22"/>
      <c r="AE25" s="22" t="str">
        <f t="shared" ref="AE25" si="0">AE20</f>
        <v>E</v>
      </c>
      <c r="AF25" s="22">
        <v>11</v>
      </c>
      <c r="AG25" s="22" t="s">
        <v>327</v>
      </c>
      <c r="AH25" s="22" t="str">
        <f t="shared" ref="AH25" si="1">AH20</f>
        <v>E</v>
      </c>
      <c r="AI25" s="22">
        <v>165</v>
      </c>
      <c r="AJ25" s="22"/>
      <c r="AK25" s="22" t="s">
        <v>325</v>
      </c>
      <c r="AL25" s="22"/>
      <c r="AM25" s="22" t="str">
        <f>_xlfn.CONCAT(N25&amp;V25&amp;Z25&amp;AE25&amp;AF25&amp;AG25&amp;AE25&amp;AI25&amp;AK25)</f>
        <v xml:space="preserve"> Workbooks("Ukraine_sponsorship_data_4.ods").Worksheets("UTLA_-_England").Range("E11:E165").Copy _</v>
      </c>
      <c r="AO25" t="s">
        <v>1098</v>
      </c>
    </row>
    <row r="26" spans="1:41" x14ac:dyDescent="0.25">
      <c r="B26" s="22" t="s">
        <v>808</v>
      </c>
      <c r="C26" s="22"/>
      <c r="D26" s="22"/>
      <c r="E26" s="22"/>
      <c r="F26" s="22"/>
      <c r="G26" s="22"/>
      <c r="H26" s="22"/>
      <c r="I26" s="22"/>
      <c r="J26" s="22"/>
      <c r="K26" s="22"/>
      <c r="L26" s="22"/>
      <c r="M26" s="22"/>
      <c r="N26" s="22" t="s">
        <v>809</v>
      </c>
      <c r="O26" s="22"/>
      <c r="P26" s="22"/>
      <c r="Q26" s="22"/>
      <c r="R26" s="22"/>
      <c r="S26" s="22"/>
      <c r="T26" s="22"/>
      <c r="U26" s="22"/>
      <c r="V26" s="22"/>
      <c r="W26" s="22" t="str">
        <f>W21</f>
        <v>A</v>
      </c>
      <c r="X26" s="22" t="str">
        <f>CHAR(CODE(X21)+1)</f>
        <v>U</v>
      </c>
      <c r="Y26" s="23">
        <v>9</v>
      </c>
      <c r="Z26" s="22" t="s">
        <v>324</v>
      </c>
      <c r="AA26" s="22"/>
      <c r="AB26" s="22"/>
      <c r="AC26" s="22"/>
      <c r="AD26" s="22"/>
      <c r="AE26" s="22"/>
      <c r="AF26" s="22"/>
      <c r="AG26" s="22"/>
      <c r="AH26" s="22"/>
      <c r="AI26" s="22"/>
      <c r="AJ26" s="22"/>
      <c r="AK26" s="22"/>
      <c r="AL26" s="22"/>
      <c r="AM26" s="22" t="str">
        <f>_xlfn.CONCAT(N26&amp;W26&amp;X26&amp;Y26&amp;Z26)</f>
        <v>Workbooks("HFU Forecast UTLA 1.0.xlsm").Worksheets("Combined data").Range("AU9")</v>
      </c>
      <c r="AO26" t="s">
        <v>1028</v>
      </c>
    </row>
    <row r="27" spans="1:41" x14ac:dyDescent="0.25">
      <c r="B27" s="22" t="s">
        <v>339</v>
      </c>
      <c r="C27" s="22"/>
      <c r="D27" s="22"/>
      <c r="E27" s="22"/>
      <c r="F27" s="22"/>
      <c r="G27" s="22"/>
      <c r="H27" s="22"/>
      <c r="I27" s="22"/>
      <c r="J27" s="22"/>
      <c r="K27" s="22"/>
      <c r="L27" s="22"/>
      <c r="M27" s="22"/>
      <c r="N27" s="22"/>
      <c r="O27" s="22"/>
      <c r="P27" s="22"/>
      <c r="Q27" s="22"/>
      <c r="R27" s="22"/>
      <c r="S27" s="22"/>
      <c r="T27" s="22"/>
      <c r="U27" s="22"/>
      <c r="V27" s="22"/>
      <c r="W27" s="22"/>
      <c r="X27" s="22"/>
      <c r="Y27" s="23"/>
      <c r="Z27" s="22"/>
      <c r="AA27" s="22"/>
      <c r="AB27" s="22"/>
      <c r="AC27" s="22"/>
      <c r="AD27" s="22"/>
      <c r="AE27" s="22"/>
      <c r="AF27" s="22"/>
      <c r="AG27" s="22"/>
      <c r="AH27" s="22"/>
      <c r="AI27" s="22"/>
      <c r="AJ27" s="22"/>
      <c r="AK27" s="22"/>
      <c r="AL27" s="22"/>
      <c r="AM27" s="22" t="str">
        <f>B27</f>
        <v>ActiveWorkbook.Close SaveChanges:=False</v>
      </c>
      <c r="AO27" t="s">
        <v>339</v>
      </c>
    </row>
    <row r="29" spans="1:41" x14ac:dyDescent="0.25">
      <c r="B29" s="19" t="s">
        <v>316</v>
      </c>
      <c r="C29" s="19"/>
      <c r="D29" s="19"/>
      <c r="E29" s="19"/>
      <c r="F29" s="19"/>
      <c r="G29" s="19"/>
      <c r="H29" s="19"/>
      <c r="I29" s="19"/>
      <c r="J29" s="19"/>
      <c r="K29" s="19"/>
      <c r="L29" s="19"/>
      <c r="M29" s="19"/>
      <c r="N29" s="19" t="s">
        <v>321</v>
      </c>
      <c r="O29" s="19"/>
      <c r="P29" s="19"/>
      <c r="Q29" s="19"/>
      <c r="R29" s="19"/>
      <c r="S29" s="19"/>
      <c r="T29" s="19"/>
      <c r="U29" s="19"/>
      <c r="V29" s="19">
        <f t="shared" ref="V29:V30" si="2">V24+1</f>
        <v>5</v>
      </c>
      <c r="W29" s="19"/>
      <c r="X29" s="19"/>
      <c r="Y29" s="21"/>
      <c r="Z29" s="19" t="s">
        <v>322</v>
      </c>
      <c r="AA29" s="19"/>
      <c r="AB29" s="19"/>
      <c r="AC29" s="19"/>
      <c r="AD29" s="19"/>
      <c r="AE29" s="19"/>
      <c r="AF29" s="19"/>
      <c r="AG29" s="19"/>
      <c r="AH29" s="19"/>
      <c r="AI29" s="19"/>
      <c r="AJ29" s="19"/>
      <c r="AK29" s="19"/>
      <c r="AL29" s="19"/>
      <c r="AM29" s="19" t="str">
        <f t="shared" ref="AM29" si="3">+_xlfn.CONCAT(N29&amp;V29&amp;Z29)</f>
        <v xml:space="preserve"> Workbooks.Open "A:\Homes for Ukraine data\Ukraine_sponsorship_data_5.ods"</v>
      </c>
      <c r="AO29" t="s">
        <v>341</v>
      </c>
    </row>
    <row r="30" spans="1:41" x14ac:dyDescent="0.25">
      <c r="B30" s="19" t="s">
        <v>318</v>
      </c>
      <c r="C30" s="19"/>
      <c r="D30" s="19"/>
      <c r="E30" s="19"/>
      <c r="F30" s="19"/>
      <c r="G30" s="19"/>
      <c r="H30" s="19"/>
      <c r="I30" s="19"/>
      <c r="J30" s="19"/>
      <c r="K30" s="19"/>
      <c r="L30" s="19"/>
      <c r="M30" s="19"/>
      <c r="N30" s="19" t="s">
        <v>323</v>
      </c>
      <c r="O30" s="19"/>
      <c r="P30" s="19"/>
      <c r="Q30" s="19"/>
      <c r="R30" s="19"/>
      <c r="S30" s="19"/>
      <c r="T30" s="19"/>
      <c r="U30" s="19"/>
      <c r="V30" s="19">
        <f t="shared" si="2"/>
        <v>5</v>
      </c>
      <c r="W30" s="19"/>
      <c r="X30" s="19"/>
      <c r="Y30" s="21"/>
      <c r="Z30" s="19" t="s">
        <v>326</v>
      </c>
      <c r="AA30" s="19"/>
      <c r="AB30" s="19"/>
      <c r="AC30" s="19"/>
      <c r="AD30" s="19"/>
      <c r="AE30" s="19" t="str">
        <f t="shared" ref="AE30" si="4">AE25</f>
        <v>E</v>
      </c>
      <c r="AF30" s="19">
        <v>11</v>
      </c>
      <c r="AG30" s="19" t="s">
        <v>327</v>
      </c>
      <c r="AH30" s="19" t="str">
        <f t="shared" ref="AH30" si="5">AH25</f>
        <v>E</v>
      </c>
      <c r="AI30" s="19">
        <v>165</v>
      </c>
      <c r="AJ30" s="19"/>
      <c r="AK30" s="19" t="s">
        <v>325</v>
      </c>
      <c r="AL30" s="19"/>
      <c r="AM30" s="19" t="str">
        <f t="shared" ref="AM30" si="6">_xlfn.CONCAT(N30&amp;V30&amp;Z30&amp;AE30&amp;AF30&amp;AG30&amp;AE30&amp;AI30&amp;AK30)</f>
        <v xml:space="preserve"> Workbooks("Ukraine_sponsorship_data_5.ods").Worksheets("UTLA_-_England").Range("E11:E165").Copy _</v>
      </c>
      <c r="AO30" t="s">
        <v>1099</v>
      </c>
    </row>
    <row r="31" spans="1:41" x14ac:dyDescent="0.25">
      <c r="B31" s="19" t="s">
        <v>808</v>
      </c>
      <c r="C31" s="19"/>
      <c r="D31" s="19"/>
      <c r="E31" s="19"/>
      <c r="F31" s="19"/>
      <c r="G31" s="19"/>
      <c r="H31" s="19"/>
      <c r="I31" s="19"/>
      <c r="J31" s="19"/>
      <c r="K31" s="19"/>
      <c r="L31" s="19"/>
      <c r="M31" s="19"/>
      <c r="N31" s="19" t="s">
        <v>809</v>
      </c>
      <c r="O31" s="19"/>
      <c r="P31" s="19"/>
      <c r="Q31" s="19"/>
      <c r="R31" s="19"/>
      <c r="S31" s="19"/>
      <c r="T31" s="19"/>
      <c r="U31" s="19"/>
      <c r="V31" s="19"/>
      <c r="W31" s="19" t="str">
        <f t="shared" ref="W31" si="7">W26</f>
        <v>A</v>
      </c>
      <c r="X31" s="19" t="str">
        <f t="shared" ref="X31" si="8">CHAR(CODE(X26)+1)</f>
        <v>V</v>
      </c>
      <c r="Y31" s="21">
        <v>9</v>
      </c>
      <c r="Z31" s="19" t="s">
        <v>324</v>
      </c>
      <c r="AA31" s="19"/>
      <c r="AB31" s="19"/>
      <c r="AC31" s="19"/>
      <c r="AD31" s="19"/>
      <c r="AE31" s="19"/>
      <c r="AF31" s="19"/>
      <c r="AG31" s="19"/>
      <c r="AH31" s="19"/>
      <c r="AI31" s="19"/>
      <c r="AJ31" s="19"/>
      <c r="AK31" s="19"/>
      <c r="AL31" s="19"/>
      <c r="AM31" s="19" t="str">
        <f t="shared" ref="AM31" si="9">_xlfn.CONCAT(N31&amp;W31&amp;X31&amp;Y31&amp;Z31)</f>
        <v>Workbooks("HFU Forecast UTLA 1.0.xlsm").Worksheets("Combined data").Range("AV9")</v>
      </c>
      <c r="AO31" t="s">
        <v>1029</v>
      </c>
    </row>
    <row r="32" spans="1:41" x14ac:dyDescent="0.25">
      <c r="B32" s="19" t="s">
        <v>339</v>
      </c>
      <c r="C32" s="19"/>
      <c r="D32" s="19"/>
      <c r="E32" s="19"/>
      <c r="F32" s="19"/>
      <c r="G32" s="19"/>
      <c r="H32" s="19"/>
      <c r="I32" s="19"/>
      <c r="J32" s="19"/>
      <c r="K32" s="19"/>
      <c r="L32" s="19"/>
      <c r="M32" s="19"/>
      <c r="N32" s="19"/>
      <c r="O32" s="19"/>
      <c r="P32" s="19"/>
      <c r="Q32" s="19"/>
      <c r="R32" s="19"/>
      <c r="S32" s="19"/>
      <c r="T32" s="19"/>
      <c r="U32" s="19"/>
      <c r="V32" s="19"/>
      <c r="W32" s="19"/>
      <c r="X32" s="19"/>
      <c r="Y32" s="21"/>
      <c r="Z32" s="19"/>
      <c r="AA32" s="19"/>
      <c r="AB32" s="19"/>
      <c r="AC32" s="19"/>
      <c r="AD32" s="19"/>
      <c r="AE32" s="19"/>
      <c r="AF32" s="19"/>
      <c r="AG32" s="19"/>
      <c r="AH32" s="19"/>
      <c r="AI32" s="19"/>
      <c r="AJ32" s="19"/>
      <c r="AK32" s="19"/>
      <c r="AL32" s="19"/>
      <c r="AM32" s="19" t="str">
        <f t="shared" ref="AM32" si="10">B32</f>
        <v>ActiveWorkbook.Close SaveChanges:=False</v>
      </c>
      <c r="AO32" t="s">
        <v>339</v>
      </c>
    </row>
    <row r="34" spans="2:41" x14ac:dyDescent="0.25">
      <c r="B34" s="22" t="s">
        <v>316</v>
      </c>
      <c r="C34" s="22"/>
      <c r="D34" s="22"/>
      <c r="E34" s="22"/>
      <c r="F34" s="22"/>
      <c r="G34" s="22"/>
      <c r="H34" s="22"/>
      <c r="I34" s="22"/>
      <c r="J34" s="22"/>
      <c r="K34" s="22"/>
      <c r="L34" s="22"/>
      <c r="M34" s="22"/>
      <c r="N34" s="22" t="s">
        <v>321</v>
      </c>
      <c r="O34" s="22"/>
      <c r="P34" s="22"/>
      <c r="Q34" s="22"/>
      <c r="R34" s="22"/>
      <c r="S34" s="22"/>
      <c r="T34" s="22"/>
      <c r="U34" s="22"/>
      <c r="V34" s="22">
        <f t="shared" ref="V34:V35" si="11">V29+1</f>
        <v>6</v>
      </c>
      <c r="W34" s="22"/>
      <c r="X34" s="22"/>
      <c r="Y34" s="23"/>
      <c r="Z34" s="22" t="s">
        <v>322</v>
      </c>
      <c r="AA34" s="22"/>
      <c r="AB34" s="22"/>
      <c r="AC34" s="22"/>
      <c r="AD34" s="22"/>
      <c r="AE34" s="22"/>
      <c r="AF34" s="22"/>
      <c r="AG34" s="22"/>
      <c r="AH34" s="22"/>
      <c r="AI34" s="22"/>
      <c r="AJ34" s="22"/>
      <c r="AK34" s="22"/>
      <c r="AL34" s="22"/>
      <c r="AM34" s="22" t="str">
        <f t="shared" ref="AM34" si="12">+_xlfn.CONCAT(N34&amp;V34&amp;Z34)</f>
        <v xml:space="preserve"> Workbooks.Open "A:\Homes for Ukraine data\Ukraine_sponsorship_data_6.ods"</v>
      </c>
      <c r="AO34" t="s">
        <v>342</v>
      </c>
    </row>
    <row r="35" spans="2:41" x14ac:dyDescent="0.25">
      <c r="B35" s="22" t="s">
        <v>318</v>
      </c>
      <c r="C35" s="22"/>
      <c r="D35" s="22"/>
      <c r="E35" s="22"/>
      <c r="F35" s="22"/>
      <c r="G35" s="22"/>
      <c r="H35" s="22"/>
      <c r="I35" s="22"/>
      <c r="J35" s="22"/>
      <c r="K35" s="22"/>
      <c r="L35" s="22"/>
      <c r="M35" s="22"/>
      <c r="N35" s="22" t="s">
        <v>323</v>
      </c>
      <c r="O35" s="22"/>
      <c r="P35" s="22"/>
      <c r="Q35" s="22"/>
      <c r="R35" s="22"/>
      <c r="S35" s="22"/>
      <c r="T35" s="22"/>
      <c r="U35" s="22"/>
      <c r="V35" s="22">
        <f t="shared" si="11"/>
        <v>6</v>
      </c>
      <c r="W35" s="22"/>
      <c r="X35" s="22"/>
      <c r="Y35" s="23"/>
      <c r="Z35" s="22" t="s">
        <v>326</v>
      </c>
      <c r="AA35" s="22"/>
      <c r="AB35" s="22"/>
      <c r="AC35" s="22"/>
      <c r="AD35" s="22"/>
      <c r="AE35" s="22" t="str">
        <f t="shared" ref="AE35" si="13">AE30</f>
        <v>E</v>
      </c>
      <c r="AF35" s="22">
        <v>11</v>
      </c>
      <c r="AG35" s="22" t="s">
        <v>327</v>
      </c>
      <c r="AH35" s="22" t="str">
        <f t="shared" ref="AH35" si="14">AH30</f>
        <v>E</v>
      </c>
      <c r="AI35" s="22">
        <v>165</v>
      </c>
      <c r="AJ35" s="22"/>
      <c r="AK35" s="22" t="s">
        <v>325</v>
      </c>
      <c r="AL35" s="22"/>
      <c r="AM35" s="22" t="str">
        <f t="shared" ref="AM35" si="15">_xlfn.CONCAT(N35&amp;V35&amp;Z35&amp;AE35&amp;AF35&amp;AG35&amp;AE35&amp;AI35&amp;AK35)</f>
        <v xml:space="preserve"> Workbooks("Ukraine_sponsorship_data_6.ods").Worksheets("UTLA_-_England").Range("E11:E165").Copy _</v>
      </c>
      <c r="AO35" t="s">
        <v>1100</v>
      </c>
    </row>
    <row r="36" spans="2:41" x14ac:dyDescent="0.25">
      <c r="B36" s="22" t="s">
        <v>808</v>
      </c>
      <c r="C36" s="22"/>
      <c r="D36" s="22"/>
      <c r="E36" s="22"/>
      <c r="F36" s="22"/>
      <c r="G36" s="22"/>
      <c r="H36" s="22"/>
      <c r="I36" s="22"/>
      <c r="J36" s="22"/>
      <c r="K36" s="22"/>
      <c r="L36" s="22"/>
      <c r="M36" s="22"/>
      <c r="N36" s="22" t="s">
        <v>809</v>
      </c>
      <c r="O36" s="22"/>
      <c r="P36" s="22"/>
      <c r="Q36" s="22"/>
      <c r="R36" s="22"/>
      <c r="S36" s="22"/>
      <c r="T36" s="22"/>
      <c r="U36" s="22"/>
      <c r="V36" s="22"/>
      <c r="W36" s="22" t="str">
        <f t="shared" ref="W36" si="16">W31</f>
        <v>A</v>
      </c>
      <c r="X36" s="22" t="str">
        <f t="shared" ref="X36" si="17">CHAR(CODE(X31)+1)</f>
        <v>W</v>
      </c>
      <c r="Y36" s="23">
        <v>9</v>
      </c>
      <c r="Z36" s="22" t="s">
        <v>324</v>
      </c>
      <c r="AA36" s="22"/>
      <c r="AB36" s="22"/>
      <c r="AC36" s="22"/>
      <c r="AD36" s="22"/>
      <c r="AE36" s="22"/>
      <c r="AF36" s="22"/>
      <c r="AG36" s="22"/>
      <c r="AH36" s="22"/>
      <c r="AI36" s="22"/>
      <c r="AJ36" s="22"/>
      <c r="AK36" s="22"/>
      <c r="AL36" s="22"/>
      <c r="AM36" s="22" t="str">
        <f t="shared" ref="AM36" si="18">_xlfn.CONCAT(N36&amp;W36&amp;X36&amp;Y36&amp;Z36)</f>
        <v>Workbooks("HFU Forecast UTLA 1.0.xlsm").Worksheets("Combined data").Range("AW9")</v>
      </c>
      <c r="AO36" t="s">
        <v>1030</v>
      </c>
    </row>
    <row r="37" spans="2:41" x14ac:dyDescent="0.25">
      <c r="B37" s="22" t="s">
        <v>339</v>
      </c>
      <c r="C37" s="22"/>
      <c r="D37" s="22"/>
      <c r="E37" s="22"/>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2"/>
      <c r="AL37" s="22"/>
      <c r="AM37" s="22" t="str">
        <f t="shared" ref="AM37" si="19">B37</f>
        <v>ActiveWorkbook.Close SaveChanges:=False</v>
      </c>
      <c r="AO37" t="s">
        <v>339</v>
      </c>
    </row>
    <row r="39" spans="2:41" x14ac:dyDescent="0.25">
      <c r="B39" s="19" t="s">
        <v>316</v>
      </c>
      <c r="C39" s="19"/>
      <c r="D39" s="19"/>
      <c r="E39" s="19"/>
      <c r="F39" s="19"/>
      <c r="G39" s="19"/>
      <c r="H39" s="19"/>
      <c r="I39" s="19"/>
      <c r="J39" s="19"/>
      <c r="K39" s="19"/>
      <c r="L39" s="19"/>
      <c r="M39" s="19"/>
      <c r="N39" s="19" t="s">
        <v>321</v>
      </c>
      <c r="O39" s="19"/>
      <c r="P39" s="19"/>
      <c r="Q39" s="19"/>
      <c r="R39" s="19"/>
      <c r="S39" s="19"/>
      <c r="T39" s="19"/>
      <c r="U39" s="19"/>
      <c r="V39" s="19">
        <f t="shared" ref="V39:V40" si="20">V34+1</f>
        <v>7</v>
      </c>
      <c r="W39" s="19"/>
      <c r="X39" s="19"/>
      <c r="Y39" s="21"/>
      <c r="Z39" s="19" t="s">
        <v>322</v>
      </c>
      <c r="AA39" s="19"/>
      <c r="AB39" s="19"/>
      <c r="AC39" s="19"/>
      <c r="AD39" s="19"/>
      <c r="AE39" s="19"/>
      <c r="AF39" s="19"/>
      <c r="AG39" s="19"/>
      <c r="AH39" s="19"/>
      <c r="AI39" s="19"/>
      <c r="AJ39" s="19"/>
      <c r="AK39" s="19"/>
      <c r="AL39" s="19"/>
      <c r="AM39" s="19" t="str">
        <f t="shared" ref="AM39" si="21">+_xlfn.CONCAT(N39&amp;V39&amp;Z39)</f>
        <v xml:space="preserve"> Workbooks.Open "A:\Homes for Ukraine data\Ukraine_sponsorship_data_7.ods"</v>
      </c>
      <c r="AO39" t="s">
        <v>343</v>
      </c>
    </row>
    <row r="40" spans="2:41" x14ac:dyDescent="0.25">
      <c r="B40" s="19" t="s">
        <v>318</v>
      </c>
      <c r="C40" s="19"/>
      <c r="D40" s="19"/>
      <c r="E40" s="19"/>
      <c r="F40" s="19"/>
      <c r="G40" s="19"/>
      <c r="H40" s="19"/>
      <c r="I40" s="19"/>
      <c r="J40" s="19"/>
      <c r="K40" s="19"/>
      <c r="L40" s="19"/>
      <c r="M40" s="19"/>
      <c r="N40" s="19" t="s">
        <v>323</v>
      </c>
      <c r="O40" s="19"/>
      <c r="P40" s="19"/>
      <c r="Q40" s="19"/>
      <c r="R40" s="19"/>
      <c r="S40" s="19"/>
      <c r="T40" s="19"/>
      <c r="U40" s="19"/>
      <c r="V40" s="19">
        <f t="shared" si="20"/>
        <v>7</v>
      </c>
      <c r="W40" s="19"/>
      <c r="X40" s="19"/>
      <c r="Y40" s="21"/>
      <c r="Z40" s="19" t="s">
        <v>326</v>
      </c>
      <c r="AA40" s="19"/>
      <c r="AB40" s="19"/>
      <c r="AC40" s="19"/>
      <c r="AD40" s="19"/>
      <c r="AE40" s="19" t="str">
        <f t="shared" ref="AE40" si="22">AE35</f>
        <v>E</v>
      </c>
      <c r="AF40" s="19">
        <v>11</v>
      </c>
      <c r="AG40" s="19" t="s">
        <v>327</v>
      </c>
      <c r="AH40" s="19" t="str">
        <f t="shared" ref="AH40" si="23">AH35</f>
        <v>E</v>
      </c>
      <c r="AI40" s="19">
        <v>165</v>
      </c>
      <c r="AJ40" s="19"/>
      <c r="AK40" s="19" t="s">
        <v>325</v>
      </c>
      <c r="AL40" s="19"/>
      <c r="AM40" s="19" t="str">
        <f t="shared" ref="AM40" si="24">_xlfn.CONCAT(N40&amp;V40&amp;Z40&amp;AE40&amp;AF40&amp;AG40&amp;AE40&amp;AI40&amp;AK40)</f>
        <v xml:space="preserve"> Workbooks("Ukraine_sponsorship_data_7.ods").Worksheets("UTLA_-_England").Range("E11:E165").Copy _</v>
      </c>
      <c r="AO40" t="s">
        <v>1101</v>
      </c>
    </row>
    <row r="41" spans="2:41" x14ac:dyDescent="0.25">
      <c r="B41" s="19" t="s">
        <v>808</v>
      </c>
      <c r="C41" s="19"/>
      <c r="D41" s="19"/>
      <c r="E41" s="19"/>
      <c r="F41" s="19"/>
      <c r="G41" s="19"/>
      <c r="H41" s="19"/>
      <c r="I41" s="19"/>
      <c r="J41" s="19"/>
      <c r="K41" s="19"/>
      <c r="L41" s="19"/>
      <c r="M41" s="19"/>
      <c r="N41" s="19" t="s">
        <v>809</v>
      </c>
      <c r="O41" s="19"/>
      <c r="P41" s="19"/>
      <c r="Q41" s="19"/>
      <c r="R41" s="19"/>
      <c r="S41" s="19"/>
      <c r="T41" s="19"/>
      <c r="U41" s="19"/>
      <c r="V41" s="19"/>
      <c r="W41" s="19" t="str">
        <f t="shared" ref="W41" si="25">W36</f>
        <v>A</v>
      </c>
      <c r="X41" s="19" t="str">
        <f t="shared" ref="X41" si="26">CHAR(CODE(X36)+1)</f>
        <v>X</v>
      </c>
      <c r="Y41" s="21">
        <v>9</v>
      </c>
      <c r="Z41" s="19" t="s">
        <v>324</v>
      </c>
      <c r="AA41" s="19"/>
      <c r="AB41" s="19"/>
      <c r="AC41" s="19"/>
      <c r="AD41" s="19"/>
      <c r="AE41" s="19"/>
      <c r="AF41" s="19"/>
      <c r="AG41" s="19"/>
      <c r="AH41" s="19"/>
      <c r="AI41" s="19"/>
      <c r="AJ41" s="19"/>
      <c r="AK41" s="19"/>
      <c r="AL41" s="19"/>
      <c r="AM41" s="19" t="str">
        <f t="shared" ref="AM41" si="27">_xlfn.CONCAT(N41&amp;W41&amp;X41&amp;Y41&amp;Z41)</f>
        <v>Workbooks("HFU Forecast UTLA 1.0.xlsm").Worksheets("Combined data").Range("AX9")</v>
      </c>
      <c r="AO41" t="s">
        <v>1031</v>
      </c>
    </row>
    <row r="42" spans="2:41" x14ac:dyDescent="0.25">
      <c r="B42" s="19" t="s">
        <v>339</v>
      </c>
      <c r="C42" s="19"/>
      <c r="D42" s="19"/>
      <c r="E42" s="19"/>
      <c r="F42" s="19"/>
      <c r="G42" s="19"/>
      <c r="H42" s="19"/>
      <c r="I42" s="19"/>
      <c r="J42" s="19"/>
      <c r="K42" s="19"/>
      <c r="L42" s="19"/>
      <c r="M42" s="19"/>
      <c r="N42" s="19"/>
      <c r="O42" s="19"/>
      <c r="P42" s="19"/>
      <c r="Q42" s="19"/>
      <c r="R42" s="19"/>
      <c r="S42" s="19"/>
      <c r="T42" s="19"/>
      <c r="U42" s="19"/>
      <c r="V42" s="19"/>
      <c r="W42" s="19"/>
      <c r="X42" s="19"/>
      <c r="Y42" s="21"/>
      <c r="Z42" s="19"/>
      <c r="AA42" s="19"/>
      <c r="AB42" s="19"/>
      <c r="AC42" s="19"/>
      <c r="AD42" s="19"/>
      <c r="AE42" s="19"/>
      <c r="AF42" s="19"/>
      <c r="AG42" s="19"/>
      <c r="AH42" s="19"/>
      <c r="AI42" s="19"/>
      <c r="AJ42" s="19"/>
      <c r="AK42" s="19"/>
      <c r="AL42" s="19"/>
      <c r="AM42" s="19" t="str">
        <f t="shared" ref="AM42" si="28">B42</f>
        <v>ActiveWorkbook.Close SaveChanges:=False</v>
      </c>
      <c r="AO42" t="s">
        <v>339</v>
      </c>
    </row>
    <row r="44" spans="2:41" x14ac:dyDescent="0.25">
      <c r="B44" s="22" t="s">
        <v>316</v>
      </c>
      <c r="C44" s="22"/>
      <c r="D44" s="22"/>
      <c r="E44" s="22"/>
      <c r="F44" s="22"/>
      <c r="G44" s="22"/>
      <c r="H44" s="22"/>
      <c r="I44" s="22"/>
      <c r="J44" s="22"/>
      <c r="K44" s="22"/>
      <c r="L44" s="22"/>
      <c r="M44" s="22"/>
      <c r="N44" s="22" t="s">
        <v>321</v>
      </c>
      <c r="O44" s="22"/>
      <c r="P44" s="22"/>
      <c r="Q44" s="22"/>
      <c r="R44" s="22"/>
      <c r="S44" s="22"/>
      <c r="T44" s="22"/>
      <c r="U44" s="22"/>
      <c r="V44" s="22">
        <f t="shared" ref="V44:V45" si="29">V39+1</f>
        <v>8</v>
      </c>
      <c r="W44" s="22"/>
      <c r="X44" s="22"/>
      <c r="Y44" s="23"/>
      <c r="Z44" s="22" t="s">
        <v>322</v>
      </c>
      <c r="AA44" s="22"/>
      <c r="AB44" s="22"/>
      <c r="AC44" s="22"/>
      <c r="AD44" s="22"/>
      <c r="AE44" s="22"/>
      <c r="AF44" s="22"/>
      <c r="AG44" s="22"/>
      <c r="AH44" s="22"/>
      <c r="AI44" s="22"/>
      <c r="AJ44" s="22"/>
      <c r="AK44" s="22"/>
      <c r="AL44" s="22"/>
      <c r="AM44" s="22" t="str">
        <f t="shared" ref="AM44" si="30">+_xlfn.CONCAT(N44&amp;V44&amp;Z44)</f>
        <v xml:space="preserve"> Workbooks.Open "A:\Homes for Ukraine data\Ukraine_sponsorship_data_8.ods"</v>
      </c>
      <c r="AO44" t="s">
        <v>344</v>
      </c>
    </row>
    <row r="45" spans="2:41" x14ac:dyDescent="0.25">
      <c r="B45" s="22" t="s">
        <v>318</v>
      </c>
      <c r="C45" s="22"/>
      <c r="D45" s="22"/>
      <c r="E45" s="22"/>
      <c r="F45" s="22"/>
      <c r="G45" s="22"/>
      <c r="H45" s="22"/>
      <c r="I45" s="22"/>
      <c r="J45" s="22"/>
      <c r="K45" s="22"/>
      <c r="L45" s="22"/>
      <c r="M45" s="22"/>
      <c r="N45" s="22" t="s">
        <v>323</v>
      </c>
      <c r="O45" s="22"/>
      <c r="P45" s="22"/>
      <c r="Q45" s="22"/>
      <c r="R45" s="22"/>
      <c r="S45" s="22"/>
      <c r="T45" s="22"/>
      <c r="U45" s="22"/>
      <c r="V45" s="22">
        <f t="shared" si="29"/>
        <v>8</v>
      </c>
      <c r="W45" s="22"/>
      <c r="X45" s="22"/>
      <c r="Y45" s="23"/>
      <c r="Z45" s="22" t="s">
        <v>326</v>
      </c>
      <c r="AA45" s="22"/>
      <c r="AB45" s="22"/>
      <c r="AC45" s="22"/>
      <c r="AD45" s="22"/>
      <c r="AE45" s="22" t="str">
        <f t="shared" ref="AE45" si="31">AE40</f>
        <v>E</v>
      </c>
      <c r="AF45" s="22">
        <v>11</v>
      </c>
      <c r="AG45" s="22" t="s">
        <v>327</v>
      </c>
      <c r="AH45" s="22" t="str">
        <f t="shared" ref="AH45" si="32">AH40</f>
        <v>E</v>
      </c>
      <c r="AI45" s="22">
        <v>165</v>
      </c>
      <c r="AJ45" s="22"/>
      <c r="AK45" s="22" t="s">
        <v>325</v>
      </c>
      <c r="AL45" s="22"/>
      <c r="AM45" s="22" t="str">
        <f t="shared" ref="AM45" si="33">_xlfn.CONCAT(N45&amp;V45&amp;Z45&amp;AE45&amp;AF45&amp;AG45&amp;AE45&amp;AI45&amp;AK45)</f>
        <v xml:space="preserve"> Workbooks("Ukraine_sponsorship_data_8.ods").Worksheets("UTLA_-_England").Range("E11:E165").Copy _</v>
      </c>
      <c r="AO45" t="s">
        <v>1102</v>
      </c>
    </row>
    <row r="46" spans="2:41" x14ac:dyDescent="0.25">
      <c r="B46" s="22" t="s">
        <v>808</v>
      </c>
      <c r="C46" s="22"/>
      <c r="D46" s="22"/>
      <c r="E46" s="22"/>
      <c r="F46" s="22"/>
      <c r="G46" s="22"/>
      <c r="H46" s="22"/>
      <c r="I46" s="22"/>
      <c r="J46" s="22"/>
      <c r="K46" s="22"/>
      <c r="L46" s="22"/>
      <c r="M46" s="22"/>
      <c r="N46" s="22" t="s">
        <v>809</v>
      </c>
      <c r="O46" s="22"/>
      <c r="P46" s="22"/>
      <c r="Q46" s="22"/>
      <c r="R46" s="22"/>
      <c r="S46" s="22"/>
      <c r="T46" s="22"/>
      <c r="U46" s="22"/>
      <c r="V46" s="22"/>
      <c r="W46" s="22" t="str">
        <f t="shared" ref="W46" si="34">W41</f>
        <v>A</v>
      </c>
      <c r="X46" s="22" t="str">
        <f t="shared" ref="X46" si="35">CHAR(CODE(X41)+1)</f>
        <v>Y</v>
      </c>
      <c r="Y46" s="23">
        <v>9</v>
      </c>
      <c r="Z46" s="22" t="s">
        <v>324</v>
      </c>
      <c r="AA46" s="22"/>
      <c r="AB46" s="22"/>
      <c r="AC46" s="22"/>
      <c r="AD46" s="22"/>
      <c r="AE46" s="22"/>
      <c r="AF46" s="22"/>
      <c r="AG46" s="22"/>
      <c r="AH46" s="22"/>
      <c r="AI46" s="22"/>
      <c r="AJ46" s="22"/>
      <c r="AK46" s="22"/>
      <c r="AL46" s="22"/>
      <c r="AM46" s="22" t="str">
        <f t="shared" ref="AM46" si="36">_xlfn.CONCAT(N46&amp;W46&amp;X46&amp;Y46&amp;Z46)</f>
        <v>Workbooks("HFU Forecast UTLA 1.0.xlsm").Worksheets("Combined data").Range("AY9")</v>
      </c>
      <c r="AO46" t="s">
        <v>1032</v>
      </c>
    </row>
    <row r="47" spans="2:41" x14ac:dyDescent="0.25">
      <c r="B47" s="22" t="s">
        <v>339</v>
      </c>
      <c r="C47" s="22"/>
      <c r="D47" s="22"/>
      <c r="E47" s="22"/>
      <c r="F47" s="22"/>
      <c r="G47" s="22"/>
      <c r="H47" s="22"/>
      <c r="I47" s="22"/>
      <c r="J47" s="22"/>
      <c r="K47" s="22"/>
      <c r="L47" s="22"/>
      <c r="M47" s="22"/>
      <c r="N47" s="22"/>
      <c r="O47" s="22"/>
      <c r="P47" s="22"/>
      <c r="Q47" s="22"/>
      <c r="R47" s="22"/>
      <c r="S47" s="22"/>
      <c r="T47" s="22"/>
      <c r="U47" s="22"/>
      <c r="V47" s="22"/>
      <c r="W47" s="22"/>
      <c r="X47" s="22"/>
      <c r="Y47" s="23"/>
      <c r="Z47" s="22"/>
      <c r="AA47" s="22"/>
      <c r="AB47" s="22"/>
      <c r="AC47" s="22"/>
      <c r="AD47" s="22"/>
      <c r="AE47" s="22"/>
      <c r="AF47" s="22"/>
      <c r="AG47" s="22"/>
      <c r="AH47" s="22"/>
      <c r="AI47" s="22"/>
      <c r="AJ47" s="22"/>
      <c r="AK47" s="22"/>
      <c r="AL47" s="22"/>
      <c r="AM47" s="22" t="str">
        <f t="shared" ref="AM47" si="37">B47</f>
        <v>ActiveWorkbook.Close SaveChanges:=False</v>
      </c>
      <c r="AO47" t="s">
        <v>339</v>
      </c>
    </row>
    <row r="49" spans="2:41" x14ac:dyDescent="0.25">
      <c r="B49" s="19" t="s">
        <v>316</v>
      </c>
      <c r="C49" s="19"/>
      <c r="D49" s="19"/>
      <c r="E49" s="19"/>
      <c r="F49" s="19"/>
      <c r="G49" s="19"/>
      <c r="H49" s="19"/>
      <c r="I49" s="19"/>
      <c r="J49" s="19"/>
      <c r="K49" s="19"/>
      <c r="L49" s="19"/>
      <c r="M49" s="19"/>
      <c r="N49" s="19" t="s">
        <v>321</v>
      </c>
      <c r="O49" s="19"/>
      <c r="P49" s="19"/>
      <c r="Q49" s="19"/>
      <c r="R49" s="19"/>
      <c r="S49" s="19"/>
      <c r="T49" s="19"/>
      <c r="U49" s="19"/>
      <c r="V49" s="19">
        <f t="shared" ref="V49:V110" si="38">V44+1</f>
        <v>9</v>
      </c>
      <c r="W49" s="19"/>
      <c r="X49" s="19"/>
      <c r="Y49" s="21"/>
      <c r="Z49" s="19" t="s">
        <v>322</v>
      </c>
      <c r="AA49" s="19"/>
      <c r="AB49" s="19"/>
      <c r="AC49" s="19"/>
      <c r="AD49" s="19"/>
      <c r="AE49" s="19"/>
      <c r="AF49" s="19"/>
      <c r="AG49" s="19"/>
      <c r="AH49" s="19"/>
      <c r="AI49" s="19"/>
      <c r="AJ49" s="19"/>
      <c r="AK49" s="19"/>
      <c r="AL49" s="19"/>
      <c r="AM49" s="19" t="str">
        <f t="shared" ref="AM49" si="39">+_xlfn.CONCAT(N49&amp;V49&amp;Z49)</f>
        <v xml:space="preserve"> Workbooks.Open "A:\Homes for Ukraine data\Ukraine_sponsorship_data_9.ods"</v>
      </c>
      <c r="AO49" t="s">
        <v>345</v>
      </c>
    </row>
    <row r="50" spans="2:41" x14ac:dyDescent="0.25">
      <c r="B50" s="19" t="s">
        <v>318</v>
      </c>
      <c r="C50" s="19"/>
      <c r="D50" s="19"/>
      <c r="E50" s="19"/>
      <c r="F50" s="19"/>
      <c r="G50" s="19"/>
      <c r="H50" s="19"/>
      <c r="I50" s="19"/>
      <c r="J50" s="19"/>
      <c r="K50" s="19"/>
      <c r="L50" s="19"/>
      <c r="M50" s="19"/>
      <c r="N50" s="19" t="s">
        <v>323</v>
      </c>
      <c r="O50" s="19"/>
      <c r="P50" s="19"/>
      <c r="Q50" s="19"/>
      <c r="R50" s="19"/>
      <c r="S50" s="19"/>
      <c r="T50" s="19"/>
      <c r="U50" s="19"/>
      <c r="V50" s="19">
        <f t="shared" si="38"/>
        <v>9</v>
      </c>
      <c r="W50" s="19"/>
      <c r="X50" s="19"/>
      <c r="Y50" s="21"/>
      <c r="Z50" s="19" t="s">
        <v>326</v>
      </c>
      <c r="AA50" s="19"/>
      <c r="AB50" s="19"/>
      <c r="AC50" s="19"/>
      <c r="AD50" s="19"/>
      <c r="AE50" s="19" t="str">
        <f t="shared" ref="AE50" si="40">AE45</f>
        <v>E</v>
      </c>
      <c r="AF50" s="19">
        <v>11</v>
      </c>
      <c r="AG50" s="19" t="s">
        <v>327</v>
      </c>
      <c r="AH50" s="19" t="str">
        <f t="shared" ref="AH50" si="41">AH45</f>
        <v>E</v>
      </c>
      <c r="AI50" s="19">
        <v>165</v>
      </c>
      <c r="AJ50" s="19"/>
      <c r="AK50" s="19" t="s">
        <v>325</v>
      </c>
      <c r="AL50" s="19"/>
      <c r="AM50" s="19" t="str">
        <f t="shared" ref="AM50" si="42">_xlfn.CONCAT(N50&amp;V50&amp;Z50&amp;AE50&amp;AF50&amp;AG50&amp;AE50&amp;AI50&amp;AK50)</f>
        <v xml:space="preserve"> Workbooks("Ukraine_sponsorship_data_9.ods").Worksheets("UTLA_-_England").Range("E11:E165").Copy _</v>
      </c>
      <c r="AO50" t="s">
        <v>1103</v>
      </c>
    </row>
    <row r="51" spans="2:41" x14ac:dyDescent="0.25">
      <c r="B51" s="19" t="s">
        <v>808</v>
      </c>
      <c r="C51" s="19"/>
      <c r="D51" s="19"/>
      <c r="E51" s="19"/>
      <c r="F51" s="19"/>
      <c r="G51" s="19"/>
      <c r="H51" s="19"/>
      <c r="I51" s="19"/>
      <c r="J51" s="19"/>
      <c r="K51" s="19"/>
      <c r="L51" s="19"/>
      <c r="M51" s="19"/>
      <c r="N51" s="19" t="s">
        <v>809</v>
      </c>
      <c r="O51" s="19"/>
      <c r="P51" s="19"/>
      <c r="Q51" s="19"/>
      <c r="R51" s="19"/>
      <c r="S51" s="19"/>
      <c r="T51" s="19"/>
      <c r="U51" s="19"/>
      <c r="V51" s="19"/>
      <c r="W51" s="19" t="str">
        <f t="shared" ref="W51:W101" si="43">W46</f>
        <v>A</v>
      </c>
      <c r="X51" s="19" t="str">
        <f t="shared" ref="X51:X101" si="44">CHAR(CODE(X46)+1)</f>
        <v>Z</v>
      </c>
      <c r="Y51" s="21">
        <v>9</v>
      </c>
      <c r="Z51" s="19" t="s">
        <v>324</v>
      </c>
      <c r="AA51" s="19"/>
      <c r="AB51" s="19"/>
      <c r="AC51" s="19"/>
      <c r="AD51" s="19"/>
      <c r="AE51" s="19"/>
      <c r="AF51" s="19"/>
      <c r="AG51" s="19"/>
      <c r="AH51" s="19"/>
      <c r="AI51" s="19"/>
      <c r="AJ51" s="19"/>
      <c r="AK51" s="19"/>
      <c r="AL51" s="19"/>
      <c r="AM51" s="19" t="str">
        <f t="shared" ref="AM51" si="45">_xlfn.CONCAT(N51&amp;W51&amp;X51&amp;Y51&amp;Z51)</f>
        <v>Workbooks("HFU Forecast UTLA 1.0.xlsm").Worksheets("Combined data").Range("AZ9")</v>
      </c>
      <c r="AO51" t="s">
        <v>1033</v>
      </c>
    </row>
    <row r="52" spans="2:41" x14ac:dyDescent="0.25">
      <c r="B52" s="19" t="s">
        <v>339</v>
      </c>
      <c r="C52" s="19"/>
      <c r="D52" s="19"/>
      <c r="E52" s="19"/>
      <c r="F52" s="19"/>
      <c r="G52" s="19"/>
      <c r="H52" s="19"/>
      <c r="I52" s="19"/>
      <c r="J52" s="19"/>
      <c r="K52" s="19"/>
      <c r="L52" s="19"/>
      <c r="M52" s="19"/>
      <c r="N52" s="19"/>
      <c r="O52" s="19"/>
      <c r="P52" s="19"/>
      <c r="Q52" s="19"/>
      <c r="R52" s="19"/>
      <c r="S52" s="19"/>
      <c r="T52" s="19"/>
      <c r="U52" s="19"/>
      <c r="V52" s="19"/>
      <c r="W52" s="19"/>
      <c r="X52" s="19"/>
      <c r="Y52" s="21"/>
      <c r="Z52" s="19"/>
      <c r="AA52" s="19"/>
      <c r="AB52" s="19"/>
      <c r="AC52" s="19"/>
      <c r="AD52" s="19"/>
      <c r="AE52" s="19"/>
      <c r="AF52" s="19"/>
      <c r="AG52" s="19"/>
      <c r="AH52" s="19"/>
      <c r="AI52" s="19"/>
      <c r="AJ52" s="19"/>
      <c r="AK52" s="19"/>
      <c r="AL52" s="19"/>
      <c r="AM52" s="19" t="str">
        <f t="shared" ref="AM52" si="46">B52</f>
        <v>ActiveWorkbook.Close SaveChanges:=False</v>
      </c>
      <c r="AO52" t="s">
        <v>339</v>
      </c>
    </row>
    <row r="54" spans="2:41" x14ac:dyDescent="0.25">
      <c r="B54" s="22" t="s">
        <v>316</v>
      </c>
      <c r="C54" s="22"/>
      <c r="D54" s="22"/>
      <c r="E54" s="22"/>
      <c r="F54" s="22"/>
      <c r="G54" s="22"/>
      <c r="H54" s="22"/>
      <c r="I54" s="22"/>
      <c r="J54" s="22"/>
      <c r="K54" s="22"/>
      <c r="L54" s="22"/>
      <c r="M54" s="22"/>
      <c r="N54" s="22" t="s">
        <v>321</v>
      </c>
      <c r="O54" s="22"/>
      <c r="P54" s="22"/>
      <c r="Q54" s="22"/>
      <c r="R54" s="22"/>
      <c r="S54" s="22"/>
      <c r="T54" s="22"/>
      <c r="U54" s="22"/>
      <c r="V54" s="22">
        <f t="shared" ref="V54:V115" si="47">V49+1</f>
        <v>10</v>
      </c>
      <c r="W54" s="22"/>
      <c r="X54" s="22"/>
      <c r="Y54" s="23"/>
      <c r="Z54" s="22" t="s">
        <v>322</v>
      </c>
      <c r="AA54" s="22"/>
      <c r="AB54" s="22"/>
      <c r="AC54" s="22"/>
      <c r="AD54" s="22"/>
      <c r="AE54" s="22"/>
      <c r="AF54" s="22"/>
      <c r="AG54" s="22"/>
      <c r="AH54" s="22"/>
      <c r="AI54" s="22"/>
      <c r="AJ54" s="22"/>
      <c r="AK54" s="22"/>
      <c r="AL54" s="22"/>
      <c r="AM54" s="22" t="str">
        <f t="shared" ref="AM54" si="48">+_xlfn.CONCAT(N54&amp;V54&amp;Z54)</f>
        <v xml:space="preserve"> Workbooks.Open "A:\Homes for Ukraine data\Ukraine_sponsorship_data_10.ods"</v>
      </c>
      <c r="AO54" t="s">
        <v>346</v>
      </c>
    </row>
    <row r="55" spans="2:41" x14ac:dyDescent="0.25">
      <c r="B55" s="22" t="s">
        <v>318</v>
      </c>
      <c r="C55" s="22"/>
      <c r="D55" s="22"/>
      <c r="E55" s="22"/>
      <c r="F55" s="22"/>
      <c r="G55" s="22"/>
      <c r="H55" s="22"/>
      <c r="I55" s="22"/>
      <c r="J55" s="22"/>
      <c r="K55" s="22"/>
      <c r="L55" s="22"/>
      <c r="M55" s="22"/>
      <c r="N55" s="22" t="s">
        <v>323</v>
      </c>
      <c r="O55" s="22"/>
      <c r="P55" s="22"/>
      <c r="Q55" s="22"/>
      <c r="R55" s="22"/>
      <c r="S55" s="22"/>
      <c r="T55" s="22"/>
      <c r="U55" s="22"/>
      <c r="V55" s="22">
        <f t="shared" si="47"/>
        <v>10</v>
      </c>
      <c r="W55" s="22"/>
      <c r="X55" s="22"/>
      <c r="Y55" s="23"/>
      <c r="Z55" s="22" t="s">
        <v>326</v>
      </c>
      <c r="AA55" s="22"/>
      <c r="AB55" s="22"/>
      <c r="AC55" s="22"/>
      <c r="AD55" s="22"/>
      <c r="AE55" s="22" t="str">
        <f t="shared" ref="AE55" si="49">AE50</f>
        <v>E</v>
      </c>
      <c r="AF55" s="22">
        <v>11</v>
      </c>
      <c r="AG55" s="22" t="s">
        <v>327</v>
      </c>
      <c r="AH55" s="22" t="str">
        <f t="shared" ref="AH55" si="50">AH50</f>
        <v>E</v>
      </c>
      <c r="AI55" s="22">
        <v>165</v>
      </c>
      <c r="AJ55" s="22"/>
      <c r="AK55" s="22" t="s">
        <v>325</v>
      </c>
      <c r="AL55" s="22"/>
      <c r="AM55" s="22" t="str">
        <f t="shared" ref="AM55" si="51">_xlfn.CONCAT(N55&amp;V55&amp;Z55&amp;AE55&amp;AF55&amp;AG55&amp;AE55&amp;AI55&amp;AK55)</f>
        <v xml:space="preserve"> Workbooks("Ukraine_sponsorship_data_10.ods").Worksheets("UTLA_-_England").Range("E11:E165").Copy _</v>
      </c>
      <c r="AO55" t="s">
        <v>1104</v>
      </c>
    </row>
    <row r="56" spans="2:41" x14ac:dyDescent="0.25">
      <c r="B56" s="22" t="s">
        <v>808</v>
      </c>
      <c r="C56" s="22"/>
      <c r="D56" s="22"/>
      <c r="E56" s="22"/>
      <c r="F56" s="22"/>
      <c r="G56" s="22"/>
      <c r="H56" s="22"/>
      <c r="I56" s="22"/>
      <c r="J56" s="22"/>
      <c r="K56" s="22"/>
      <c r="L56" s="22"/>
      <c r="M56" s="22"/>
      <c r="N56" s="22" t="s">
        <v>809</v>
      </c>
      <c r="O56" s="22"/>
      <c r="P56" s="22"/>
      <c r="Q56" s="22"/>
      <c r="R56" s="22"/>
      <c r="S56" s="22"/>
      <c r="T56" s="22"/>
      <c r="U56" s="22"/>
      <c r="V56" s="22"/>
      <c r="W56" s="22" t="s">
        <v>313</v>
      </c>
      <c r="X56" s="22" t="s">
        <v>312</v>
      </c>
      <c r="Y56" s="23">
        <v>9</v>
      </c>
      <c r="Z56" s="22" t="s">
        <v>324</v>
      </c>
      <c r="AA56" s="22"/>
      <c r="AB56" s="22"/>
      <c r="AC56" s="22"/>
      <c r="AD56" s="22"/>
      <c r="AE56" s="22"/>
      <c r="AF56" s="22"/>
      <c r="AG56" s="22"/>
      <c r="AH56" s="22"/>
      <c r="AI56" s="22"/>
      <c r="AJ56" s="22"/>
      <c r="AK56" s="22"/>
      <c r="AL56" s="22"/>
      <c r="AM56" s="22" t="str">
        <f t="shared" ref="AM56" si="52">_xlfn.CONCAT(N56&amp;W56&amp;X56&amp;Y56&amp;Z56)</f>
        <v>Workbooks("HFU Forecast UTLA 1.0.xlsm").Worksheets("Combined data").Range("BA9")</v>
      </c>
      <c r="AO56" t="s">
        <v>1129</v>
      </c>
    </row>
    <row r="57" spans="2:41" x14ac:dyDescent="0.25">
      <c r="B57" s="22" t="s">
        <v>339</v>
      </c>
      <c r="C57" s="22"/>
      <c r="D57" s="22"/>
      <c r="E57" s="22"/>
      <c r="F57" s="22"/>
      <c r="G57" s="22"/>
      <c r="H57" s="22"/>
      <c r="I57" s="22"/>
      <c r="J57" s="22"/>
      <c r="K57" s="22"/>
      <c r="L57" s="22"/>
      <c r="M57" s="22"/>
      <c r="N57" s="22"/>
      <c r="O57" s="22"/>
      <c r="P57" s="22"/>
      <c r="Q57" s="22"/>
      <c r="R57" s="22"/>
      <c r="S57" s="22"/>
      <c r="T57" s="22"/>
      <c r="U57" s="22"/>
      <c r="V57" s="22"/>
      <c r="W57" s="22"/>
      <c r="X57" s="22"/>
      <c r="Y57" s="23"/>
      <c r="Z57" s="22"/>
      <c r="AA57" s="22"/>
      <c r="AB57" s="22"/>
      <c r="AC57" s="22"/>
      <c r="AD57" s="22"/>
      <c r="AE57" s="22"/>
      <c r="AF57" s="22"/>
      <c r="AG57" s="22"/>
      <c r="AH57" s="22"/>
      <c r="AI57" s="22"/>
      <c r="AJ57" s="22"/>
      <c r="AK57" s="22"/>
      <c r="AL57" s="22"/>
      <c r="AM57" s="22" t="str">
        <f t="shared" ref="AM57" si="53">B57</f>
        <v>ActiveWorkbook.Close SaveChanges:=False</v>
      </c>
      <c r="AO57" t="s">
        <v>339</v>
      </c>
    </row>
    <row r="59" spans="2:41" x14ac:dyDescent="0.25">
      <c r="B59" s="19" t="s">
        <v>316</v>
      </c>
      <c r="C59" s="19"/>
      <c r="D59" s="19"/>
      <c r="E59" s="19"/>
      <c r="F59" s="19"/>
      <c r="G59" s="19"/>
      <c r="H59" s="19"/>
      <c r="I59" s="19"/>
      <c r="J59" s="19"/>
      <c r="K59" s="19"/>
      <c r="L59" s="19"/>
      <c r="M59" s="19"/>
      <c r="N59" s="19" t="s">
        <v>321</v>
      </c>
      <c r="O59" s="19"/>
      <c r="P59" s="19"/>
      <c r="Q59" s="19"/>
      <c r="R59" s="19"/>
      <c r="S59" s="19"/>
      <c r="T59" s="19"/>
      <c r="U59" s="19"/>
      <c r="V59" s="19">
        <f t="shared" si="38"/>
        <v>11</v>
      </c>
      <c r="W59" s="19"/>
      <c r="X59" s="19"/>
      <c r="Y59" s="21"/>
      <c r="Z59" s="19" t="s">
        <v>322</v>
      </c>
      <c r="AA59" s="19"/>
      <c r="AB59" s="19"/>
      <c r="AC59" s="19"/>
      <c r="AD59" s="19"/>
      <c r="AE59" s="19"/>
      <c r="AF59" s="19"/>
      <c r="AG59" s="19"/>
      <c r="AH59" s="19"/>
      <c r="AI59" s="19"/>
      <c r="AJ59" s="19"/>
      <c r="AK59" s="19"/>
      <c r="AL59" s="19"/>
      <c r="AM59" s="19" t="str">
        <f t="shared" ref="AM59" si="54">+_xlfn.CONCAT(N59&amp;V59&amp;Z59)</f>
        <v xml:space="preserve"> Workbooks.Open "A:\Homes for Ukraine data\Ukraine_sponsorship_data_11.ods"</v>
      </c>
      <c r="AO59" t="s">
        <v>347</v>
      </c>
    </row>
    <row r="60" spans="2:41" x14ac:dyDescent="0.25">
      <c r="B60" s="19" t="s">
        <v>318</v>
      </c>
      <c r="C60" s="19"/>
      <c r="D60" s="19"/>
      <c r="E60" s="19"/>
      <c r="F60" s="19"/>
      <c r="G60" s="19"/>
      <c r="H60" s="19"/>
      <c r="I60" s="19"/>
      <c r="J60" s="19"/>
      <c r="K60" s="19"/>
      <c r="L60" s="19"/>
      <c r="M60" s="19"/>
      <c r="N60" s="19" t="s">
        <v>323</v>
      </c>
      <c r="O60" s="19"/>
      <c r="P60" s="19"/>
      <c r="Q60" s="19"/>
      <c r="R60" s="19"/>
      <c r="S60" s="19"/>
      <c r="T60" s="19"/>
      <c r="U60" s="19"/>
      <c r="V60" s="19">
        <f t="shared" si="38"/>
        <v>11</v>
      </c>
      <c r="W60" s="19"/>
      <c r="X60" s="19"/>
      <c r="Y60" s="21"/>
      <c r="Z60" s="19" t="s">
        <v>326</v>
      </c>
      <c r="AA60" s="19"/>
      <c r="AB60" s="19"/>
      <c r="AC60" s="19"/>
      <c r="AD60" s="19"/>
      <c r="AE60" s="19" t="str">
        <f t="shared" ref="AE60" si="55">AE55</f>
        <v>E</v>
      </c>
      <c r="AF60" s="19">
        <v>11</v>
      </c>
      <c r="AG60" s="19" t="s">
        <v>327</v>
      </c>
      <c r="AH60" s="19" t="str">
        <f t="shared" ref="AH60" si="56">AH55</f>
        <v>E</v>
      </c>
      <c r="AI60" s="19">
        <v>165</v>
      </c>
      <c r="AJ60" s="19"/>
      <c r="AK60" s="19" t="s">
        <v>325</v>
      </c>
      <c r="AL60" s="19"/>
      <c r="AM60" s="19" t="str">
        <f t="shared" ref="AM60" si="57">_xlfn.CONCAT(N60&amp;V60&amp;Z60&amp;AE60&amp;AF60&amp;AG60&amp;AE60&amp;AI60&amp;AK60)</f>
        <v xml:space="preserve"> Workbooks("Ukraine_sponsorship_data_11.ods").Worksheets("UTLA_-_England").Range("E11:E165").Copy _</v>
      </c>
      <c r="AO60" t="s">
        <v>1105</v>
      </c>
    </row>
    <row r="61" spans="2:41" x14ac:dyDescent="0.25">
      <c r="B61" s="19" t="s">
        <v>808</v>
      </c>
      <c r="C61" s="19"/>
      <c r="D61" s="19"/>
      <c r="E61" s="19"/>
      <c r="F61" s="19"/>
      <c r="G61" s="19"/>
      <c r="H61" s="19"/>
      <c r="I61" s="19"/>
      <c r="J61" s="19"/>
      <c r="K61" s="19"/>
      <c r="L61" s="19"/>
      <c r="M61" s="19"/>
      <c r="N61" s="19" t="s">
        <v>809</v>
      </c>
      <c r="O61" s="19"/>
      <c r="P61" s="19"/>
      <c r="Q61" s="19"/>
      <c r="R61" s="19"/>
      <c r="S61" s="19"/>
      <c r="T61" s="19"/>
      <c r="U61" s="19"/>
      <c r="V61" s="19"/>
      <c r="W61" s="19" t="str">
        <f t="shared" si="43"/>
        <v>B</v>
      </c>
      <c r="X61" s="19" t="str">
        <f t="shared" si="44"/>
        <v>B</v>
      </c>
      <c r="Y61" s="21">
        <v>9</v>
      </c>
      <c r="Z61" s="19" t="s">
        <v>324</v>
      </c>
      <c r="AA61" s="19"/>
      <c r="AB61" s="19"/>
      <c r="AC61" s="19"/>
      <c r="AD61" s="19"/>
      <c r="AE61" s="19"/>
      <c r="AF61" s="19"/>
      <c r="AG61" s="19"/>
      <c r="AH61" s="19"/>
      <c r="AI61" s="19"/>
      <c r="AJ61" s="19"/>
      <c r="AK61" s="19"/>
      <c r="AL61" s="19"/>
      <c r="AM61" s="19" t="str">
        <f t="shared" ref="AM61" si="58">_xlfn.CONCAT(N61&amp;W61&amp;X61&amp;Y61&amp;Z61)</f>
        <v>Workbooks("HFU Forecast UTLA 1.0.xlsm").Worksheets("Combined data").Range("BB9")</v>
      </c>
      <c r="AO61" t="s">
        <v>1130</v>
      </c>
    </row>
    <row r="62" spans="2:41" x14ac:dyDescent="0.25">
      <c r="B62" s="19" t="s">
        <v>339</v>
      </c>
      <c r="C62" s="19"/>
      <c r="D62" s="19"/>
      <c r="E62" s="19"/>
      <c r="F62" s="19"/>
      <c r="G62" s="19"/>
      <c r="H62" s="19"/>
      <c r="I62" s="19"/>
      <c r="J62" s="19"/>
      <c r="K62" s="19"/>
      <c r="L62" s="19"/>
      <c r="M62" s="19"/>
      <c r="N62" s="19"/>
      <c r="O62" s="19"/>
      <c r="P62" s="19"/>
      <c r="Q62" s="19"/>
      <c r="R62" s="19"/>
      <c r="S62" s="19"/>
      <c r="T62" s="19"/>
      <c r="U62" s="19"/>
      <c r="V62" s="19"/>
      <c r="W62" s="19"/>
      <c r="X62" s="19"/>
      <c r="Y62" s="21"/>
      <c r="Z62" s="19"/>
      <c r="AA62" s="19"/>
      <c r="AB62" s="19"/>
      <c r="AC62" s="19"/>
      <c r="AD62" s="19"/>
      <c r="AE62" s="19"/>
      <c r="AF62" s="19"/>
      <c r="AG62" s="19"/>
      <c r="AH62" s="19"/>
      <c r="AI62" s="19"/>
      <c r="AJ62" s="19"/>
      <c r="AK62" s="19"/>
      <c r="AL62" s="19"/>
      <c r="AM62" s="19" t="str">
        <f t="shared" ref="AM62" si="59">B62</f>
        <v>ActiveWorkbook.Close SaveChanges:=False</v>
      </c>
      <c r="AO62" t="s">
        <v>339</v>
      </c>
    </row>
    <row r="64" spans="2:41" x14ac:dyDescent="0.25">
      <c r="B64" s="22" t="s">
        <v>316</v>
      </c>
      <c r="C64" s="22"/>
      <c r="D64" s="22"/>
      <c r="E64" s="22"/>
      <c r="F64" s="22"/>
      <c r="G64" s="22"/>
      <c r="H64" s="22"/>
      <c r="I64" s="22"/>
      <c r="J64" s="22"/>
      <c r="K64" s="22"/>
      <c r="L64" s="22"/>
      <c r="M64" s="22"/>
      <c r="N64" s="22" t="s">
        <v>321</v>
      </c>
      <c r="O64" s="22"/>
      <c r="P64" s="22"/>
      <c r="Q64" s="22"/>
      <c r="R64" s="22"/>
      <c r="S64" s="22"/>
      <c r="T64" s="22"/>
      <c r="U64" s="22"/>
      <c r="V64" s="22">
        <f t="shared" si="47"/>
        <v>12</v>
      </c>
      <c r="W64" s="22"/>
      <c r="X64" s="22"/>
      <c r="Y64" s="23"/>
      <c r="Z64" s="22" t="s">
        <v>322</v>
      </c>
      <c r="AA64" s="22"/>
      <c r="AB64" s="22"/>
      <c r="AC64" s="22"/>
      <c r="AD64" s="22"/>
      <c r="AE64" s="22"/>
      <c r="AF64" s="22"/>
      <c r="AG64" s="22"/>
      <c r="AH64" s="22"/>
      <c r="AI64" s="22"/>
      <c r="AJ64" s="22"/>
      <c r="AK64" s="22"/>
      <c r="AL64" s="22"/>
      <c r="AM64" s="22" t="str">
        <f t="shared" ref="AM64" si="60">+_xlfn.CONCAT(N64&amp;V64&amp;Z64)</f>
        <v xml:space="preserve"> Workbooks.Open "A:\Homes for Ukraine data\Ukraine_sponsorship_data_12.ods"</v>
      </c>
      <c r="AO64" t="s">
        <v>348</v>
      </c>
    </row>
    <row r="65" spans="2:41" x14ac:dyDescent="0.25">
      <c r="B65" s="22" t="s">
        <v>318</v>
      </c>
      <c r="C65" s="22"/>
      <c r="D65" s="22"/>
      <c r="E65" s="22"/>
      <c r="F65" s="22"/>
      <c r="G65" s="22"/>
      <c r="H65" s="22"/>
      <c r="I65" s="22"/>
      <c r="J65" s="22"/>
      <c r="K65" s="22"/>
      <c r="L65" s="22"/>
      <c r="M65" s="22"/>
      <c r="N65" s="22" t="s">
        <v>323</v>
      </c>
      <c r="O65" s="22"/>
      <c r="P65" s="22"/>
      <c r="Q65" s="22"/>
      <c r="R65" s="22"/>
      <c r="S65" s="22"/>
      <c r="T65" s="22"/>
      <c r="U65" s="22"/>
      <c r="V65" s="22">
        <f t="shared" si="47"/>
        <v>12</v>
      </c>
      <c r="W65" s="22"/>
      <c r="X65" s="22"/>
      <c r="Y65" s="23"/>
      <c r="Z65" s="22" t="s">
        <v>326</v>
      </c>
      <c r="AA65" s="22"/>
      <c r="AB65" s="22"/>
      <c r="AC65" s="22"/>
      <c r="AD65" s="22"/>
      <c r="AE65" s="22" t="str">
        <f t="shared" ref="AE65" si="61">AE60</f>
        <v>E</v>
      </c>
      <c r="AF65" s="22">
        <v>11</v>
      </c>
      <c r="AG65" s="22" t="s">
        <v>327</v>
      </c>
      <c r="AH65" s="22" t="str">
        <f t="shared" ref="AH65" si="62">AH60</f>
        <v>E</v>
      </c>
      <c r="AI65" s="22">
        <v>165</v>
      </c>
      <c r="AJ65" s="22"/>
      <c r="AK65" s="22" t="s">
        <v>325</v>
      </c>
      <c r="AL65" s="22"/>
      <c r="AM65" s="22" t="str">
        <f t="shared" ref="AM65" si="63">_xlfn.CONCAT(N65&amp;V65&amp;Z65&amp;AE65&amp;AF65&amp;AG65&amp;AE65&amp;AI65&amp;AK65)</f>
        <v xml:space="preserve"> Workbooks("Ukraine_sponsorship_data_12.ods").Worksheets("UTLA_-_England").Range("E11:E165").Copy _</v>
      </c>
      <c r="AO65" t="s">
        <v>1106</v>
      </c>
    </row>
    <row r="66" spans="2:41" x14ac:dyDescent="0.25">
      <c r="B66" s="22" t="s">
        <v>808</v>
      </c>
      <c r="C66" s="22"/>
      <c r="D66" s="22"/>
      <c r="E66" s="22"/>
      <c r="F66" s="22"/>
      <c r="G66" s="22"/>
      <c r="H66" s="22"/>
      <c r="I66" s="22"/>
      <c r="J66" s="22"/>
      <c r="K66" s="22"/>
      <c r="L66" s="22"/>
      <c r="M66" s="22"/>
      <c r="N66" s="22" t="s">
        <v>809</v>
      </c>
      <c r="O66" s="22"/>
      <c r="P66" s="22"/>
      <c r="Q66" s="22"/>
      <c r="R66" s="22"/>
      <c r="S66" s="22"/>
      <c r="T66" s="22"/>
      <c r="U66" s="22"/>
      <c r="V66" s="22"/>
      <c r="W66" s="22" t="str">
        <f t="shared" ref="W66:W116" si="64">W61</f>
        <v>B</v>
      </c>
      <c r="X66" s="22" t="str">
        <f t="shared" ref="X66:X116" si="65">CHAR(CODE(X61)+1)</f>
        <v>C</v>
      </c>
      <c r="Y66" s="23">
        <v>9</v>
      </c>
      <c r="Z66" s="22" t="s">
        <v>324</v>
      </c>
      <c r="AA66" s="22"/>
      <c r="AB66" s="22"/>
      <c r="AC66" s="22"/>
      <c r="AD66" s="22"/>
      <c r="AE66" s="22"/>
      <c r="AF66" s="22"/>
      <c r="AG66" s="22"/>
      <c r="AH66" s="22"/>
      <c r="AI66" s="22"/>
      <c r="AJ66" s="22"/>
      <c r="AK66" s="22"/>
      <c r="AL66" s="22"/>
      <c r="AM66" s="22" t="str">
        <f t="shared" ref="AM66" si="66">_xlfn.CONCAT(N66&amp;W66&amp;X66&amp;Y66&amp;Z66)</f>
        <v>Workbooks("HFU Forecast UTLA 1.0.xlsm").Worksheets("Combined data").Range("BC9")</v>
      </c>
      <c r="AO66" t="s">
        <v>1131</v>
      </c>
    </row>
    <row r="67" spans="2:41" x14ac:dyDescent="0.25">
      <c r="B67" s="22" t="s">
        <v>339</v>
      </c>
      <c r="C67" s="22"/>
      <c r="D67" s="22"/>
      <c r="E67" s="22"/>
      <c r="F67" s="22"/>
      <c r="G67" s="22"/>
      <c r="H67" s="22"/>
      <c r="I67" s="22"/>
      <c r="J67" s="22"/>
      <c r="K67" s="22"/>
      <c r="L67" s="22"/>
      <c r="M67" s="22"/>
      <c r="N67" s="22"/>
      <c r="O67" s="22"/>
      <c r="P67" s="22"/>
      <c r="Q67" s="22"/>
      <c r="R67" s="22"/>
      <c r="S67" s="22"/>
      <c r="T67" s="22"/>
      <c r="U67" s="22"/>
      <c r="V67" s="22"/>
      <c r="W67" s="22"/>
      <c r="X67" s="22"/>
      <c r="Y67" s="23"/>
      <c r="Z67" s="22"/>
      <c r="AA67" s="22"/>
      <c r="AB67" s="22"/>
      <c r="AC67" s="22"/>
      <c r="AD67" s="22"/>
      <c r="AE67" s="22"/>
      <c r="AF67" s="22"/>
      <c r="AG67" s="22"/>
      <c r="AH67" s="22"/>
      <c r="AI67" s="22"/>
      <c r="AJ67" s="22"/>
      <c r="AK67" s="22"/>
      <c r="AL67" s="22"/>
      <c r="AM67" s="22" t="str">
        <f t="shared" ref="AM67" si="67">B67</f>
        <v>ActiveWorkbook.Close SaveChanges:=False</v>
      </c>
      <c r="AO67" t="s">
        <v>339</v>
      </c>
    </row>
    <row r="69" spans="2:41" x14ac:dyDescent="0.25">
      <c r="B69" s="19" t="s">
        <v>316</v>
      </c>
      <c r="C69" s="19"/>
      <c r="D69" s="19"/>
      <c r="E69" s="19"/>
      <c r="F69" s="19"/>
      <c r="G69" s="19"/>
      <c r="H69" s="19"/>
      <c r="I69" s="19"/>
      <c r="J69" s="19"/>
      <c r="K69" s="19"/>
      <c r="L69" s="19"/>
      <c r="M69" s="19"/>
      <c r="N69" s="19" t="s">
        <v>321</v>
      </c>
      <c r="O69" s="19"/>
      <c r="P69" s="19"/>
      <c r="Q69" s="19"/>
      <c r="R69" s="19"/>
      <c r="S69" s="19"/>
      <c r="T69" s="19"/>
      <c r="U69" s="19"/>
      <c r="V69" s="19">
        <f t="shared" si="38"/>
        <v>13</v>
      </c>
      <c r="W69" s="19"/>
      <c r="X69" s="19"/>
      <c r="Y69" s="21"/>
      <c r="Z69" s="19" t="s">
        <v>322</v>
      </c>
      <c r="AA69" s="19"/>
      <c r="AB69" s="19"/>
      <c r="AC69" s="19"/>
      <c r="AD69" s="19"/>
      <c r="AE69" s="19"/>
      <c r="AF69" s="19"/>
      <c r="AG69" s="19"/>
      <c r="AH69" s="19"/>
      <c r="AI69" s="19"/>
      <c r="AJ69" s="19"/>
      <c r="AK69" s="19"/>
      <c r="AL69" s="19"/>
      <c r="AM69" s="19" t="str">
        <f t="shared" ref="AM69" si="68">+_xlfn.CONCAT(N69&amp;V69&amp;Z69)</f>
        <v xml:space="preserve"> Workbooks.Open "A:\Homes for Ukraine data\Ukraine_sponsorship_data_13.ods"</v>
      </c>
      <c r="AO69" t="s">
        <v>349</v>
      </c>
    </row>
    <row r="70" spans="2:41" x14ac:dyDescent="0.25">
      <c r="B70" s="19" t="s">
        <v>318</v>
      </c>
      <c r="C70" s="19"/>
      <c r="D70" s="19"/>
      <c r="E70" s="19"/>
      <c r="F70" s="19"/>
      <c r="G70" s="19"/>
      <c r="H70" s="19"/>
      <c r="I70" s="19"/>
      <c r="J70" s="19"/>
      <c r="K70" s="19"/>
      <c r="L70" s="19"/>
      <c r="M70" s="19"/>
      <c r="N70" s="19" t="s">
        <v>323</v>
      </c>
      <c r="O70" s="19"/>
      <c r="P70" s="19"/>
      <c r="Q70" s="19"/>
      <c r="R70" s="19"/>
      <c r="S70" s="19"/>
      <c r="T70" s="19"/>
      <c r="U70" s="19"/>
      <c r="V70" s="19">
        <f t="shared" si="38"/>
        <v>13</v>
      </c>
      <c r="W70" s="19"/>
      <c r="X70" s="19"/>
      <c r="Y70" s="21"/>
      <c r="Z70" s="19" t="s">
        <v>326</v>
      </c>
      <c r="AA70" s="19"/>
      <c r="AB70" s="19"/>
      <c r="AC70" s="19"/>
      <c r="AD70" s="19"/>
      <c r="AE70" s="19" t="str">
        <f t="shared" ref="AE70" si="69">AE65</f>
        <v>E</v>
      </c>
      <c r="AF70" s="19">
        <v>11</v>
      </c>
      <c r="AG70" s="19" t="s">
        <v>327</v>
      </c>
      <c r="AH70" s="19" t="str">
        <f t="shared" ref="AH70" si="70">AH65</f>
        <v>E</v>
      </c>
      <c r="AI70" s="19">
        <v>165</v>
      </c>
      <c r="AJ70" s="19"/>
      <c r="AK70" s="19" t="s">
        <v>325</v>
      </c>
      <c r="AL70" s="19"/>
      <c r="AM70" s="19" t="str">
        <f t="shared" ref="AM70" si="71">_xlfn.CONCAT(N70&amp;V70&amp;Z70&amp;AE70&amp;AF70&amp;AG70&amp;AE70&amp;AI70&amp;AK70)</f>
        <v xml:space="preserve"> Workbooks("Ukraine_sponsorship_data_13.ods").Worksheets("UTLA_-_England").Range("E11:E165").Copy _</v>
      </c>
      <c r="AO70" t="s">
        <v>1107</v>
      </c>
    </row>
    <row r="71" spans="2:41" x14ac:dyDescent="0.25">
      <c r="B71" s="19" t="s">
        <v>808</v>
      </c>
      <c r="C71" s="19"/>
      <c r="D71" s="19"/>
      <c r="E71" s="19"/>
      <c r="F71" s="19"/>
      <c r="G71" s="19"/>
      <c r="H71" s="19"/>
      <c r="I71" s="19"/>
      <c r="J71" s="19"/>
      <c r="K71" s="19"/>
      <c r="L71" s="19"/>
      <c r="M71" s="19"/>
      <c r="N71" s="19" t="s">
        <v>809</v>
      </c>
      <c r="O71" s="19"/>
      <c r="P71" s="19"/>
      <c r="Q71" s="19"/>
      <c r="R71" s="19"/>
      <c r="S71" s="19"/>
      <c r="T71" s="19"/>
      <c r="U71" s="19"/>
      <c r="V71" s="19"/>
      <c r="W71" s="19" t="str">
        <f t="shared" si="43"/>
        <v>B</v>
      </c>
      <c r="X71" s="19" t="str">
        <f t="shared" si="44"/>
        <v>D</v>
      </c>
      <c r="Y71" s="21">
        <v>9</v>
      </c>
      <c r="Z71" s="19" t="s">
        <v>324</v>
      </c>
      <c r="AA71" s="19"/>
      <c r="AB71" s="19"/>
      <c r="AC71" s="19"/>
      <c r="AD71" s="19"/>
      <c r="AE71" s="19"/>
      <c r="AF71" s="19"/>
      <c r="AG71" s="19"/>
      <c r="AH71" s="19"/>
      <c r="AI71" s="19"/>
      <c r="AJ71" s="19"/>
      <c r="AK71" s="19"/>
      <c r="AL71" s="19"/>
      <c r="AM71" s="19" t="str">
        <f t="shared" ref="AM71" si="72">_xlfn.CONCAT(N71&amp;W71&amp;X71&amp;Y71&amp;Z71)</f>
        <v>Workbooks("HFU Forecast UTLA 1.0.xlsm").Worksheets("Combined data").Range("BD9")</v>
      </c>
      <c r="AO71" t="s">
        <v>1132</v>
      </c>
    </row>
    <row r="72" spans="2:41" x14ac:dyDescent="0.25">
      <c r="B72" s="19" t="s">
        <v>339</v>
      </c>
      <c r="C72" s="19"/>
      <c r="D72" s="19"/>
      <c r="E72" s="19"/>
      <c r="F72" s="19"/>
      <c r="G72" s="19"/>
      <c r="H72" s="19"/>
      <c r="I72" s="19"/>
      <c r="J72" s="19"/>
      <c r="K72" s="19"/>
      <c r="L72" s="19"/>
      <c r="M72" s="19"/>
      <c r="N72" s="19"/>
      <c r="O72" s="19"/>
      <c r="P72" s="19"/>
      <c r="Q72" s="19"/>
      <c r="R72" s="19"/>
      <c r="S72" s="19"/>
      <c r="T72" s="19"/>
      <c r="U72" s="19"/>
      <c r="V72" s="19"/>
      <c r="W72" s="19"/>
      <c r="X72" s="19"/>
      <c r="Y72" s="21"/>
      <c r="Z72" s="19"/>
      <c r="AA72" s="19"/>
      <c r="AB72" s="19"/>
      <c r="AC72" s="19"/>
      <c r="AD72" s="19"/>
      <c r="AE72" s="19"/>
      <c r="AF72" s="19"/>
      <c r="AG72" s="19"/>
      <c r="AH72" s="19"/>
      <c r="AI72" s="19"/>
      <c r="AJ72" s="19"/>
      <c r="AK72" s="19"/>
      <c r="AL72" s="19"/>
      <c r="AM72" s="19" t="str">
        <f t="shared" ref="AM72" si="73">B72</f>
        <v>ActiveWorkbook.Close SaveChanges:=False</v>
      </c>
      <c r="AO72" t="s">
        <v>339</v>
      </c>
    </row>
    <row r="74" spans="2:41" x14ac:dyDescent="0.25">
      <c r="B74" s="22" t="s">
        <v>316</v>
      </c>
      <c r="C74" s="22"/>
      <c r="D74" s="22"/>
      <c r="E74" s="22"/>
      <c r="F74" s="22"/>
      <c r="G74" s="22"/>
      <c r="H74" s="22"/>
      <c r="I74" s="22"/>
      <c r="J74" s="22"/>
      <c r="K74" s="22"/>
      <c r="L74" s="22"/>
      <c r="M74" s="22"/>
      <c r="N74" s="22" t="s">
        <v>321</v>
      </c>
      <c r="O74" s="22"/>
      <c r="P74" s="22"/>
      <c r="Q74" s="22"/>
      <c r="R74" s="22"/>
      <c r="S74" s="22"/>
      <c r="T74" s="22"/>
      <c r="U74" s="22"/>
      <c r="V74" s="22">
        <f t="shared" si="47"/>
        <v>14</v>
      </c>
      <c r="W74" s="22"/>
      <c r="X74" s="22"/>
      <c r="Y74" s="23"/>
      <c r="Z74" s="22" t="s">
        <v>322</v>
      </c>
      <c r="AA74" s="22"/>
      <c r="AB74" s="22"/>
      <c r="AC74" s="22"/>
      <c r="AD74" s="22"/>
      <c r="AE74" s="22"/>
      <c r="AF74" s="22"/>
      <c r="AG74" s="22"/>
      <c r="AH74" s="22"/>
      <c r="AI74" s="22"/>
      <c r="AJ74" s="22"/>
      <c r="AK74" s="22"/>
      <c r="AL74" s="22"/>
      <c r="AM74" s="22" t="str">
        <f t="shared" ref="AM74" si="74">+_xlfn.CONCAT(N74&amp;V74&amp;Z74)</f>
        <v xml:space="preserve"> Workbooks.Open "A:\Homes for Ukraine data\Ukraine_sponsorship_data_14.ods"</v>
      </c>
      <c r="AO74" t="s">
        <v>350</v>
      </c>
    </row>
    <row r="75" spans="2:41" x14ac:dyDescent="0.25">
      <c r="B75" s="22" t="s">
        <v>318</v>
      </c>
      <c r="C75" s="22"/>
      <c r="D75" s="22"/>
      <c r="E75" s="22"/>
      <c r="F75" s="22"/>
      <c r="G75" s="22"/>
      <c r="H75" s="22"/>
      <c r="I75" s="22"/>
      <c r="J75" s="22"/>
      <c r="K75" s="22"/>
      <c r="L75" s="22"/>
      <c r="M75" s="22"/>
      <c r="N75" s="22" t="s">
        <v>323</v>
      </c>
      <c r="O75" s="22"/>
      <c r="P75" s="22"/>
      <c r="Q75" s="22"/>
      <c r="R75" s="22"/>
      <c r="S75" s="22"/>
      <c r="T75" s="22"/>
      <c r="U75" s="22"/>
      <c r="V75" s="22">
        <f t="shared" si="47"/>
        <v>14</v>
      </c>
      <c r="W75" s="22"/>
      <c r="X75" s="22"/>
      <c r="Y75" s="23"/>
      <c r="Z75" s="22" t="s">
        <v>326</v>
      </c>
      <c r="AA75" s="22"/>
      <c r="AB75" s="22"/>
      <c r="AC75" s="22"/>
      <c r="AD75" s="22"/>
      <c r="AE75" s="22" t="str">
        <f t="shared" ref="AE75" si="75">AE70</f>
        <v>E</v>
      </c>
      <c r="AF75" s="22">
        <v>11</v>
      </c>
      <c r="AG75" s="22" t="s">
        <v>327</v>
      </c>
      <c r="AH75" s="22" t="str">
        <f t="shared" ref="AH75" si="76">AH70</f>
        <v>E</v>
      </c>
      <c r="AI75" s="22">
        <v>165</v>
      </c>
      <c r="AJ75" s="22"/>
      <c r="AK75" s="22" t="s">
        <v>325</v>
      </c>
      <c r="AL75" s="22"/>
      <c r="AM75" s="22" t="str">
        <f t="shared" ref="AM75" si="77">_xlfn.CONCAT(N75&amp;V75&amp;Z75&amp;AE75&amp;AF75&amp;AG75&amp;AE75&amp;AI75&amp;AK75)</f>
        <v xml:space="preserve"> Workbooks("Ukraine_sponsorship_data_14.ods").Worksheets("UTLA_-_England").Range("E11:E165").Copy _</v>
      </c>
      <c r="AO75" t="s">
        <v>1108</v>
      </c>
    </row>
    <row r="76" spans="2:41" x14ac:dyDescent="0.25">
      <c r="B76" s="22" t="s">
        <v>808</v>
      </c>
      <c r="C76" s="22"/>
      <c r="D76" s="22"/>
      <c r="E76" s="22"/>
      <c r="F76" s="22"/>
      <c r="G76" s="22"/>
      <c r="H76" s="22"/>
      <c r="I76" s="22"/>
      <c r="J76" s="22"/>
      <c r="K76" s="22"/>
      <c r="L76" s="22"/>
      <c r="M76" s="22"/>
      <c r="N76" s="22" t="s">
        <v>809</v>
      </c>
      <c r="O76" s="22"/>
      <c r="P76" s="22"/>
      <c r="Q76" s="22"/>
      <c r="R76" s="22"/>
      <c r="S76" s="22"/>
      <c r="T76" s="22"/>
      <c r="U76" s="22"/>
      <c r="V76" s="22"/>
      <c r="W76" s="22" t="str">
        <f t="shared" si="64"/>
        <v>B</v>
      </c>
      <c r="X76" s="22" t="str">
        <f t="shared" si="65"/>
        <v>E</v>
      </c>
      <c r="Y76" s="23">
        <v>9</v>
      </c>
      <c r="Z76" s="22" t="s">
        <v>324</v>
      </c>
      <c r="AA76" s="22"/>
      <c r="AB76" s="22"/>
      <c r="AC76" s="22"/>
      <c r="AD76" s="22"/>
      <c r="AE76" s="22"/>
      <c r="AF76" s="22"/>
      <c r="AG76" s="22"/>
      <c r="AH76" s="22"/>
      <c r="AI76" s="22"/>
      <c r="AJ76" s="22"/>
      <c r="AK76" s="22"/>
      <c r="AL76" s="22"/>
      <c r="AM76" s="22" t="str">
        <f t="shared" ref="AM76" si="78">_xlfn.CONCAT(N76&amp;W76&amp;X76&amp;Y76&amp;Z76)</f>
        <v>Workbooks("HFU Forecast UTLA 1.0.xlsm").Worksheets("Combined data").Range("BE9")</v>
      </c>
      <c r="AO76" t="s">
        <v>1133</v>
      </c>
    </row>
    <row r="77" spans="2:41" x14ac:dyDescent="0.25">
      <c r="B77" s="22" t="s">
        <v>339</v>
      </c>
      <c r="C77" s="22"/>
      <c r="D77" s="22"/>
      <c r="E77" s="22"/>
      <c r="F77" s="22"/>
      <c r="G77" s="22"/>
      <c r="H77" s="22"/>
      <c r="I77" s="22"/>
      <c r="J77" s="22"/>
      <c r="K77" s="22"/>
      <c r="L77" s="22"/>
      <c r="M77" s="22"/>
      <c r="N77" s="22"/>
      <c r="O77" s="22"/>
      <c r="P77" s="22"/>
      <c r="Q77" s="22"/>
      <c r="R77" s="22"/>
      <c r="S77" s="22"/>
      <c r="T77" s="22"/>
      <c r="U77" s="22"/>
      <c r="V77" s="22"/>
      <c r="W77" s="22"/>
      <c r="X77" s="22"/>
      <c r="Y77" s="23"/>
      <c r="Z77" s="22"/>
      <c r="AA77" s="22"/>
      <c r="AB77" s="22"/>
      <c r="AC77" s="22"/>
      <c r="AD77" s="22"/>
      <c r="AE77" s="22"/>
      <c r="AF77" s="22"/>
      <c r="AG77" s="22"/>
      <c r="AH77" s="22"/>
      <c r="AI77" s="22"/>
      <c r="AJ77" s="22"/>
      <c r="AK77" s="22"/>
      <c r="AL77" s="22"/>
      <c r="AM77" s="22" t="str">
        <f t="shared" ref="AM77" si="79">B77</f>
        <v>ActiveWorkbook.Close SaveChanges:=False</v>
      </c>
      <c r="AO77" t="s">
        <v>339</v>
      </c>
    </row>
    <row r="79" spans="2:41" x14ac:dyDescent="0.25">
      <c r="B79" s="19" t="s">
        <v>316</v>
      </c>
      <c r="C79" s="19"/>
      <c r="D79" s="19"/>
      <c r="E79" s="19"/>
      <c r="F79" s="19"/>
      <c r="G79" s="19"/>
      <c r="H79" s="19"/>
      <c r="I79" s="19"/>
      <c r="J79" s="19"/>
      <c r="K79" s="19"/>
      <c r="L79" s="19"/>
      <c r="M79" s="19"/>
      <c r="N79" s="19" t="s">
        <v>321</v>
      </c>
      <c r="O79" s="19"/>
      <c r="P79" s="19"/>
      <c r="Q79" s="19"/>
      <c r="R79" s="19"/>
      <c r="S79" s="19"/>
      <c r="T79" s="19"/>
      <c r="U79" s="19"/>
      <c r="V79" s="19">
        <f t="shared" si="38"/>
        <v>15</v>
      </c>
      <c r="W79" s="19"/>
      <c r="X79" s="19"/>
      <c r="Y79" s="21"/>
      <c r="Z79" s="19" t="s">
        <v>322</v>
      </c>
      <c r="AA79" s="19"/>
      <c r="AB79" s="19"/>
      <c r="AC79" s="19"/>
      <c r="AD79" s="19"/>
      <c r="AE79" s="19"/>
      <c r="AF79" s="19"/>
      <c r="AG79" s="19"/>
      <c r="AH79" s="19"/>
      <c r="AI79" s="19"/>
      <c r="AJ79" s="19"/>
      <c r="AK79" s="19"/>
      <c r="AL79" s="19"/>
      <c r="AM79" s="19" t="str">
        <f t="shared" ref="AM79" si="80">+_xlfn.CONCAT(N79&amp;V79&amp;Z79)</f>
        <v xml:space="preserve"> Workbooks.Open "A:\Homes for Ukraine data\Ukraine_sponsorship_data_15.ods"</v>
      </c>
      <c r="AO79" t="s">
        <v>351</v>
      </c>
    </row>
    <row r="80" spans="2:41" x14ac:dyDescent="0.25">
      <c r="B80" s="19" t="s">
        <v>318</v>
      </c>
      <c r="C80" s="19"/>
      <c r="D80" s="19"/>
      <c r="E80" s="19"/>
      <c r="F80" s="19"/>
      <c r="G80" s="19"/>
      <c r="H80" s="19"/>
      <c r="I80" s="19"/>
      <c r="J80" s="19"/>
      <c r="K80" s="19"/>
      <c r="L80" s="19"/>
      <c r="M80" s="19"/>
      <c r="N80" s="19" t="s">
        <v>323</v>
      </c>
      <c r="O80" s="19"/>
      <c r="P80" s="19"/>
      <c r="Q80" s="19"/>
      <c r="R80" s="19"/>
      <c r="S80" s="19"/>
      <c r="T80" s="19"/>
      <c r="U80" s="19"/>
      <c r="V80" s="19">
        <f t="shared" si="38"/>
        <v>15</v>
      </c>
      <c r="W80" s="19"/>
      <c r="X80" s="19"/>
      <c r="Y80" s="21"/>
      <c r="Z80" s="19" t="s">
        <v>326</v>
      </c>
      <c r="AA80" s="19"/>
      <c r="AB80" s="19"/>
      <c r="AC80" s="19"/>
      <c r="AD80" s="19"/>
      <c r="AE80" s="19" t="str">
        <f t="shared" ref="AE80" si="81">AE75</f>
        <v>E</v>
      </c>
      <c r="AF80" s="19">
        <v>11</v>
      </c>
      <c r="AG80" s="19" t="s">
        <v>327</v>
      </c>
      <c r="AH80" s="19" t="str">
        <f t="shared" ref="AH80" si="82">AH75</f>
        <v>E</v>
      </c>
      <c r="AI80" s="19">
        <v>165</v>
      </c>
      <c r="AJ80" s="19"/>
      <c r="AK80" s="19" t="s">
        <v>325</v>
      </c>
      <c r="AL80" s="19"/>
      <c r="AM80" s="19" t="str">
        <f t="shared" ref="AM80" si="83">_xlfn.CONCAT(N80&amp;V80&amp;Z80&amp;AE80&amp;AF80&amp;AG80&amp;AE80&amp;AI80&amp;AK80)</f>
        <v xml:space="preserve"> Workbooks("Ukraine_sponsorship_data_15.ods").Worksheets("UTLA_-_England").Range("E11:E165").Copy _</v>
      </c>
      <c r="AO80" t="s">
        <v>1109</v>
      </c>
    </row>
    <row r="81" spans="2:41" x14ac:dyDescent="0.25">
      <c r="B81" s="19" t="s">
        <v>808</v>
      </c>
      <c r="C81" s="19"/>
      <c r="D81" s="19"/>
      <c r="E81" s="19"/>
      <c r="F81" s="19"/>
      <c r="G81" s="19"/>
      <c r="H81" s="19"/>
      <c r="I81" s="19"/>
      <c r="J81" s="19"/>
      <c r="K81" s="19"/>
      <c r="L81" s="19"/>
      <c r="M81" s="19"/>
      <c r="N81" s="19" t="s">
        <v>809</v>
      </c>
      <c r="O81" s="19"/>
      <c r="P81" s="19"/>
      <c r="Q81" s="19"/>
      <c r="R81" s="19"/>
      <c r="S81" s="19"/>
      <c r="T81" s="19"/>
      <c r="U81" s="19"/>
      <c r="V81" s="19"/>
      <c r="W81" s="19" t="str">
        <f t="shared" si="43"/>
        <v>B</v>
      </c>
      <c r="X81" s="19" t="str">
        <f t="shared" si="44"/>
        <v>F</v>
      </c>
      <c r="Y81" s="21">
        <v>9</v>
      </c>
      <c r="Z81" s="19" t="s">
        <v>324</v>
      </c>
      <c r="AA81" s="19"/>
      <c r="AB81" s="19"/>
      <c r="AC81" s="19"/>
      <c r="AD81" s="19"/>
      <c r="AE81" s="19"/>
      <c r="AF81" s="19"/>
      <c r="AG81" s="19"/>
      <c r="AH81" s="19"/>
      <c r="AI81" s="19"/>
      <c r="AJ81" s="19"/>
      <c r="AK81" s="19"/>
      <c r="AL81" s="19"/>
      <c r="AM81" s="19" t="str">
        <f t="shared" ref="AM81" si="84">_xlfn.CONCAT(N81&amp;W81&amp;X81&amp;Y81&amp;Z81)</f>
        <v>Workbooks("HFU Forecast UTLA 1.0.xlsm").Worksheets("Combined data").Range("BF9")</v>
      </c>
      <c r="AO81" t="s">
        <v>1134</v>
      </c>
    </row>
    <row r="82" spans="2:41" x14ac:dyDescent="0.25">
      <c r="B82" s="19" t="s">
        <v>339</v>
      </c>
      <c r="C82" s="19"/>
      <c r="D82" s="19"/>
      <c r="E82" s="19"/>
      <c r="F82" s="19"/>
      <c r="G82" s="19"/>
      <c r="H82" s="19"/>
      <c r="I82" s="19"/>
      <c r="J82" s="19"/>
      <c r="K82" s="19"/>
      <c r="L82" s="19"/>
      <c r="M82" s="19"/>
      <c r="N82" s="19"/>
      <c r="O82" s="19"/>
      <c r="P82" s="19"/>
      <c r="Q82" s="19"/>
      <c r="R82" s="19"/>
      <c r="S82" s="19"/>
      <c r="T82" s="19"/>
      <c r="U82" s="19"/>
      <c r="V82" s="19"/>
      <c r="W82" s="19"/>
      <c r="X82" s="19"/>
      <c r="Y82" s="21"/>
      <c r="Z82" s="19"/>
      <c r="AA82" s="19"/>
      <c r="AB82" s="19"/>
      <c r="AC82" s="19"/>
      <c r="AD82" s="19"/>
      <c r="AE82" s="19"/>
      <c r="AF82" s="19"/>
      <c r="AG82" s="19"/>
      <c r="AH82" s="19"/>
      <c r="AI82" s="19"/>
      <c r="AJ82" s="19"/>
      <c r="AK82" s="19"/>
      <c r="AL82" s="19"/>
      <c r="AM82" s="19" t="str">
        <f t="shared" ref="AM82" si="85">B82</f>
        <v>ActiveWorkbook.Close SaveChanges:=False</v>
      </c>
      <c r="AO82" t="s">
        <v>339</v>
      </c>
    </row>
    <row r="84" spans="2:41" x14ac:dyDescent="0.25">
      <c r="B84" s="22" t="s">
        <v>316</v>
      </c>
      <c r="C84" s="22"/>
      <c r="D84" s="22"/>
      <c r="E84" s="22"/>
      <c r="F84" s="22"/>
      <c r="G84" s="22"/>
      <c r="H84" s="22"/>
      <c r="I84" s="22"/>
      <c r="J84" s="22"/>
      <c r="K84" s="22"/>
      <c r="L84" s="22"/>
      <c r="M84" s="22"/>
      <c r="N84" s="22" t="s">
        <v>321</v>
      </c>
      <c r="O84" s="22"/>
      <c r="P84" s="22"/>
      <c r="Q84" s="22"/>
      <c r="R84" s="22"/>
      <c r="S84" s="22"/>
      <c r="T84" s="22"/>
      <c r="U84" s="22"/>
      <c r="V84" s="22">
        <f t="shared" si="47"/>
        <v>16</v>
      </c>
      <c r="W84" s="22"/>
      <c r="X84" s="22"/>
      <c r="Y84" s="23"/>
      <c r="Z84" s="22" t="s">
        <v>322</v>
      </c>
      <c r="AA84" s="22"/>
      <c r="AB84" s="22"/>
      <c r="AC84" s="22"/>
      <c r="AD84" s="22"/>
      <c r="AE84" s="22"/>
      <c r="AF84" s="22"/>
      <c r="AG84" s="22"/>
      <c r="AH84" s="22"/>
      <c r="AI84" s="22"/>
      <c r="AJ84" s="22"/>
      <c r="AK84" s="22"/>
      <c r="AL84" s="22"/>
      <c r="AM84" s="22" t="str">
        <f t="shared" ref="AM84" si="86">+_xlfn.CONCAT(N84&amp;V84&amp;Z84)</f>
        <v xml:space="preserve"> Workbooks.Open "A:\Homes for Ukraine data\Ukraine_sponsorship_data_16.ods"</v>
      </c>
      <c r="AO84" t="s">
        <v>352</v>
      </c>
    </row>
    <row r="85" spans="2:41" x14ac:dyDescent="0.25">
      <c r="B85" s="22" t="s">
        <v>318</v>
      </c>
      <c r="C85" s="22"/>
      <c r="D85" s="22"/>
      <c r="E85" s="22"/>
      <c r="F85" s="22"/>
      <c r="G85" s="22"/>
      <c r="H85" s="22"/>
      <c r="I85" s="22"/>
      <c r="J85" s="22"/>
      <c r="K85" s="22"/>
      <c r="L85" s="22"/>
      <c r="M85" s="22"/>
      <c r="N85" s="22" t="s">
        <v>323</v>
      </c>
      <c r="O85" s="22"/>
      <c r="P85" s="22"/>
      <c r="Q85" s="22"/>
      <c r="R85" s="22"/>
      <c r="S85" s="22"/>
      <c r="T85" s="22"/>
      <c r="U85" s="22"/>
      <c r="V85" s="22">
        <f t="shared" si="47"/>
        <v>16</v>
      </c>
      <c r="W85" s="22"/>
      <c r="X85" s="22"/>
      <c r="Y85" s="23"/>
      <c r="Z85" s="22" t="s">
        <v>326</v>
      </c>
      <c r="AA85" s="22"/>
      <c r="AB85" s="22"/>
      <c r="AC85" s="22"/>
      <c r="AD85" s="22"/>
      <c r="AE85" s="22" t="str">
        <f t="shared" ref="AE85" si="87">AE80</f>
        <v>E</v>
      </c>
      <c r="AF85" s="22">
        <v>11</v>
      </c>
      <c r="AG85" s="22" t="s">
        <v>327</v>
      </c>
      <c r="AH85" s="22" t="str">
        <f t="shared" ref="AH85" si="88">AH80</f>
        <v>E</v>
      </c>
      <c r="AI85" s="22">
        <v>165</v>
      </c>
      <c r="AJ85" s="22"/>
      <c r="AK85" s="22" t="s">
        <v>325</v>
      </c>
      <c r="AL85" s="22"/>
      <c r="AM85" s="22" t="str">
        <f t="shared" ref="AM85" si="89">_xlfn.CONCAT(N85&amp;V85&amp;Z85&amp;AE85&amp;AF85&amp;AG85&amp;AE85&amp;AI85&amp;AK85)</f>
        <v xml:space="preserve"> Workbooks("Ukraine_sponsorship_data_16.ods").Worksheets("UTLA_-_England").Range("E11:E165").Copy _</v>
      </c>
      <c r="AO85" t="s">
        <v>1110</v>
      </c>
    </row>
    <row r="86" spans="2:41" x14ac:dyDescent="0.25">
      <c r="B86" s="22" t="s">
        <v>808</v>
      </c>
      <c r="C86" s="22"/>
      <c r="D86" s="22"/>
      <c r="E86" s="22"/>
      <c r="F86" s="22"/>
      <c r="G86" s="22"/>
      <c r="H86" s="22"/>
      <c r="I86" s="22"/>
      <c r="J86" s="22"/>
      <c r="K86" s="22"/>
      <c r="L86" s="22"/>
      <c r="M86" s="22"/>
      <c r="N86" s="22" t="s">
        <v>809</v>
      </c>
      <c r="O86" s="22"/>
      <c r="P86" s="22"/>
      <c r="Q86" s="22"/>
      <c r="R86" s="22"/>
      <c r="S86" s="22"/>
      <c r="T86" s="22"/>
      <c r="U86" s="22"/>
      <c r="V86" s="22"/>
      <c r="W86" s="22" t="str">
        <f t="shared" si="64"/>
        <v>B</v>
      </c>
      <c r="X86" s="22" t="str">
        <f t="shared" si="65"/>
        <v>G</v>
      </c>
      <c r="Y86" s="23">
        <v>9</v>
      </c>
      <c r="Z86" s="22" t="s">
        <v>324</v>
      </c>
      <c r="AA86" s="22"/>
      <c r="AB86" s="22"/>
      <c r="AC86" s="22"/>
      <c r="AD86" s="22"/>
      <c r="AE86" s="22"/>
      <c r="AF86" s="22"/>
      <c r="AG86" s="22"/>
      <c r="AH86" s="22"/>
      <c r="AI86" s="22"/>
      <c r="AJ86" s="22"/>
      <c r="AK86" s="22"/>
      <c r="AL86" s="22"/>
      <c r="AM86" s="22" t="str">
        <f t="shared" ref="AM86" si="90">_xlfn.CONCAT(N86&amp;W86&amp;X86&amp;Y86&amp;Z86)</f>
        <v>Workbooks("HFU Forecast UTLA 1.0.xlsm").Worksheets("Combined data").Range("BG9")</v>
      </c>
      <c r="AO86" t="s">
        <v>1135</v>
      </c>
    </row>
    <row r="87" spans="2:41" x14ac:dyDescent="0.25">
      <c r="B87" s="22" t="s">
        <v>339</v>
      </c>
      <c r="C87" s="22"/>
      <c r="D87" s="22"/>
      <c r="E87" s="22"/>
      <c r="F87" s="22"/>
      <c r="G87" s="22"/>
      <c r="H87" s="22"/>
      <c r="I87" s="22"/>
      <c r="J87" s="22"/>
      <c r="K87" s="22"/>
      <c r="L87" s="22"/>
      <c r="M87" s="22"/>
      <c r="N87" s="22"/>
      <c r="O87" s="22"/>
      <c r="P87" s="22"/>
      <c r="Q87" s="22"/>
      <c r="R87" s="22"/>
      <c r="S87" s="22"/>
      <c r="T87" s="22"/>
      <c r="U87" s="22"/>
      <c r="V87" s="22"/>
      <c r="W87" s="22"/>
      <c r="X87" s="22"/>
      <c r="Y87" s="23"/>
      <c r="Z87" s="22"/>
      <c r="AA87" s="22"/>
      <c r="AB87" s="22"/>
      <c r="AC87" s="22"/>
      <c r="AD87" s="22"/>
      <c r="AE87" s="22"/>
      <c r="AF87" s="22"/>
      <c r="AG87" s="22"/>
      <c r="AH87" s="22"/>
      <c r="AI87" s="22"/>
      <c r="AJ87" s="22"/>
      <c r="AK87" s="22"/>
      <c r="AL87" s="22"/>
      <c r="AM87" s="22" t="str">
        <f t="shared" ref="AM87" si="91">B87</f>
        <v>ActiveWorkbook.Close SaveChanges:=False</v>
      </c>
      <c r="AO87" t="s">
        <v>339</v>
      </c>
    </row>
    <row r="89" spans="2:41" x14ac:dyDescent="0.25">
      <c r="B89" s="19" t="s">
        <v>316</v>
      </c>
      <c r="C89" s="19"/>
      <c r="D89" s="19"/>
      <c r="E89" s="19"/>
      <c r="F89" s="19"/>
      <c r="G89" s="19"/>
      <c r="H89" s="19"/>
      <c r="I89" s="19"/>
      <c r="J89" s="19"/>
      <c r="K89" s="19"/>
      <c r="L89" s="19"/>
      <c r="M89" s="19"/>
      <c r="N89" s="19" t="s">
        <v>321</v>
      </c>
      <c r="O89" s="19"/>
      <c r="P89" s="19"/>
      <c r="Q89" s="19"/>
      <c r="R89" s="19"/>
      <c r="S89" s="19"/>
      <c r="T89" s="19"/>
      <c r="U89" s="19"/>
      <c r="V89" s="19">
        <f t="shared" si="38"/>
        <v>17</v>
      </c>
      <c r="W89" s="19"/>
      <c r="X89" s="19"/>
      <c r="Y89" s="21"/>
      <c r="Z89" s="19" t="s">
        <v>322</v>
      </c>
      <c r="AA89" s="19"/>
      <c r="AB89" s="19"/>
      <c r="AC89" s="19"/>
      <c r="AD89" s="19"/>
      <c r="AE89" s="19"/>
      <c r="AF89" s="19"/>
      <c r="AG89" s="19"/>
      <c r="AH89" s="19"/>
      <c r="AI89" s="19"/>
      <c r="AJ89" s="19"/>
      <c r="AK89" s="19"/>
      <c r="AL89" s="19"/>
      <c r="AM89" s="19" t="str">
        <f t="shared" ref="AM89" si="92">+_xlfn.CONCAT(N89&amp;V89&amp;Z89)</f>
        <v xml:space="preserve"> Workbooks.Open "A:\Homes for Ukraine data\Ukraine_sponsorship_data_17.ods"</v>
      </c>
      <c r="AO89" t="s">
        <v>353</v>
      </c>
    </row>
    <row r="90" spans="2:41" x14ac:dyDescent="0.25">
      <c r="B90" s="19" t="s">
        <v>318</v>
      </c>
      <c r="C90" s="19"/>
      <c r="D90" s="19"/>
      <c r="E90" s="19"/>
      <c r="F90" s="19"/>
      <c r="G90" s="19"/>
      <c r="H90" s="19"/>
      <c r="I90" s="19"/>
      <c r="J90" s="19"/>
      <c r="K90" s="19"/>
      <c r="L90" s="19"/>
      <c r="M90" s="19"/>
      <c r="N90" s="19" t="s">
        <v>323</v>
      </c>
      <c r="O90" s="19"/>
      <c r="P90" s="19"/>
      <c r="Q90" s="19"/>
      <c r="R90" s="19"/>
      <c r="S90" s="19"/>
      <c r="T90" s="19"/>
      <c r="U90" s="19"/>
      <c r="V90" s="19">
        <f t="shared" si="38"/>
        <v>17</v>
      </c>
      <c r="W90" s="19"/>
      <c r="X90" s="19"/>
      <c r="Y90" s="21"/>
      <c r="Z90" s="19" t="s">
        <v>326</v>
      </c>
      <c r="AA90" s="19"/>
      <c r="AB90" s="19"/>
      <c r="AC90" s="19"/>
      <c r="AD90" s="19"/>
      <c r="AE90" s="19" t="str">
        <f t="shared" ref="AE90" si="93">AE85</f>
        <v>E</v>
      </c>
      <c r="AF90" s="19">
        <v>11</v>
      </c>
      <c r="AG90" s="19" t="s">
        <v>327</v>
      </c>
      <c r="AH90" s="19" t="str">
        <f t="shared" ref="AH90" si="94">AH85</f>
        <v>E</v>
      </c>
      <c r="AI90" s="19">
        <v>165</v>
      </c>
      <c r="AJ90" s="19"/>
      <c r="AK90" s="19" t="s">
        <v>325</v>
      </c>
      <c r="AL90" s="19"/>
      <c r="AM90" s="19" t="str">
        <f t="shared" ref="AM90" si="95">_xlfn.CONCAT(N90&amp;V90&amp;Z90&amp;AE90&amp;AF90&amp;AG90&amp;AE90&amp;AI90&amp;AK90)</f>
        <v xml:space="preserve"> Workbooks("Ukraine_sponsorship_data_17.ods").Worksheets("UTLA_-_England").Range("E11:E165").Copy _</v>
      </c>
      <c r="AO90" t="s">
        <v>1111</v>
      </c>
    </row>
    <row r="91" spans="2:41" x14ac:dyDescent="0.25">
      <c r="B91" s="19" t="s">
        <v>808</v>
      </c>
      <c r="C91" s="19"/>
      <c r="D91" s="19"/>
      <c r="E91" s="19"/>
      <c r="F91" s="19"/>
      <c r="G91" s="19"/>
      <c r="H91" s="19"/>
      <c r="I91" s="19"/>
      <c r="J91" s="19"/>
      <c r="K91" s="19"/>
      <c r="L91" s="19"/>
      <c r="M91" s="19"/>
      <c r="N91" s="19" t="s">
        <v>809</v>
      </c>
      <c r="O91" s="19"/>
      <c r="P91" s="19"/>
      <c r="Q91" s="19"/>
      <c r="R91" s="19"/>
      <c r="S91" s="19"/>
      <c r="T91" s="19"/>
      <c r="U91" s="19"/>
      <c r="V91" s="19"/>
      <c r="W91" s="19" t="str">
        <f t="shared" si="43"/>
        <v>B</v>
      </c>
      <c r="X91" s="19" t="str">
        <f t="shared" si="44"/>
        <v>H</v>
      </c>
      <c r="Y91" s="21">
        <v>9</v>
      </c>
      <c r="Z91" s="19" t="s">
        <v>324</v>
      </c>
      <c r="AA91" s="19"/>
      <c r="AB91" s="19"/>
      <c r="AC91" s="19"/>
      <c r="AD91" s="19"/>
      <c r="AE91" s="19"/>
      <c r="AF91" s="19"/>
      <c r="AG91" s="19"/>
      <c r="AH91" s="19"/>
      <c r="AI91" s="19"/>
      <c r="AJ91" s="19"/>
      <c r="AK91" s="19"/>
      <c r="AL91" s="19"/>
      <c r="AM91" s="19" t="str">
        <f t="shared" ref="AM91" si="96">_xlfn.CONCAT(N91&amp;W91&amp;X91&amp;Y91&amp;Z91)</f>
        <v>Workbooks("HFU Forecast UTLA 1.0.xlsm").Worksheets("Combined data").Range("BH9")</v>
      </c>
      <c r="AO91" t="s">
        <v>1136</v>
      </c>
    </row>
    <row r="92" spans="2:41" x14ac:dyDescent="0.25">
      <c r="B92" s="19" t="s">
        <v>339</v>
      </c>
      <c r="C92" s="19"/>
      <c r="D92" s="19"/>
      <c r="E92" s="19"/>
      <c r="F92" s="19"/>
      <c r="G92" s="19"/>
      <c r="H92" s="19"/>
      <c r="I92" s="19"/>
      <c r="J92" s="19"/>
      <c r="K92" s="19"/>
      <c r="L92" s="19"/>
      <c r="M92" s="19"/>
      <c r="N92" s="19"/>
      <c r="O92" s="19"/>
      <c r="P92" s="19"/>
      <c r="Q92" s="19"/>
      <c r="R92" s="19"/>
      <c r="S92" s="19"/>
      <c r="T92" s="19"/>
      <c r="U92" s="19"/>
      <c r="V92" s="19"/>
      <c r="W92" s="19"/>
      <c r="X92" s="19"/>
      <c r="Y92" s="21"/>
      <c r="Z92" s="19"/>
      <c r="AA92" s="19"/>
      <c r="AB92" s="19"/>
      <c r="AC92" s="19"/>
      <c r="AD92" s="19"/>
      <c r="AE92" s="19"/>
      <c r="AF92" s="19"/>
      <c r="AG92" s="19"/>
      <c r="AH92" s="19"/>
      <c r="AI92" s="19"/>
      <c r="AJ92" s="19"/>
      <c r="AK92" s="19"/>
      <c r="AL92" s="19"/>
      <c r="AM92" s="19" t="str">
        <f t="shared" ref="AM92" si="97">B92</f>
        <v>ActiveWorkbook.Close SaveChanges:=False</v>
      </c>
      <c r="AO92" t="s">
        <v>339</v>
      </c>
    </row>
    <row r="94" spans="2:41" x14ac:dyDescent="0.25">
      <c r="B94" s="22" t="s">
        <v>316</v>
      </c>
      <c r="C94" s="22"/>
      <c r="D94" s="22"/>
      <c r="E94" s="22"/>
      <c r="F94" s="22"/>
      <c r="G94" s="22"/>
      <c r="H94" s="22"/>
      <c r="I94" s="22"/>
      <c r="J94" s="22"/>
      <c r="K94" s="22"/>
      <c r="L94" s="22"/>
      <c r="M94" s="22"/>
      <c r="N94" s="22" t="s">
        <v>321</v>
      </c>
      <c r="O94" s="22"/>
      <c r="P94" s="22"/>
      <c r="Q94" s="22"/>
      <c r="R94" s="22"/>
      <c r="S94" s="22"/>
      <c r="T94" s="22"/>
      <c r="U94" s="22"/>
      <c r="V94" s="22">
        <f t="shared" si="47"/>
        <v>18</v>
      </c>
      <c r="W94" s="22"/>
      <c r="X94" s="22"/>
      <c r="Y94" s="23"/>
      <c r="Z94" s="22" t="s">
        <v>322</v>
      </c>
      <c r="AA94" s="22"/>
      <c r="AB94" s="22"/>
      <c r="AC94" s="22"/>
      <c r="AD94" s="22"/>
      <c r="AE94" s="22"/>
      <c r="AF94" s="22"/>
      <c r="AG94" s="22"/>
      <c r="AH94" s="22"/>
      <c r="AI94" s="22"/>
      <c r="AJ94" s="22"/>
      <c r="AK94" s="22"/>
      <c r="AL94" s="22"/>
      <c r="AM94" s="22" t="str">
        <f t="shared" ref="AM94" si="98">+_xlfn.CONCAT(N94&amp;V94&amp;Z94)</f>
        <v xml:space="preserve"> Workbooks.Open "A:\Homes for Ukraine data\Ukraine_sponsorship_data_18.ods"</v>
      </c>
      <c r="AO94" t="s">
        <v>354</v>
      </c>
    </row>
    <row r="95" spans="2:41" x14ac:dyDescent="0.25">
      <c r="B95" s="22" t="s">
        <v>318</v>
      </c>
      <c r="C95" s="22"/>
      <c r="D95" s="22"/>
      <c r="E95" s="22"/>
      <c r="F95" s="22"/>
      <c r="G95" s="22"/>
      <c r="H95" s="22"/>
      <c r="I95" s="22"/>
      <c r="J95" s="22"/>
      <c r="K95" s="22"/>
      <c r="L95" s="22"/>
      <c r="M95" s="22"/>
      <c r="N95" s="22" t="s">
        <v>323</v>
      </c>
      <c r="O95" s="22"/>
      <c r="P95" s="22"/>
      <c r="Q95" s="22"/>
      <c r="R95" s="22"/>
      <c r="S95" s="22"/>
      <c r="T95" s="22"/>
      <c r="U95" s="22"/>
      <c r="V95" s="22">
        <f t="shared" si="47"/>
        <v>18</v>
      </c>
      <c r="W95" s="22"/>
      <c r="X95" s="22"/>
      <c r="Y95" s="23"/>
      <c r="Z95" s="22" t="s">
        <v>326</v>
      </c>
      <c r="AA95" s="22"/>
      <c r="AB95" s="22"/>
      <c r="AC95" s="22"/>
      <c r="AD95" s="22"/>
      <c r="AE95" s="22" t="str">
        <f t="shared" ref="AE95" si="99">AE90</f>
        <v>E</v>
      </c>
      <c r="AF95" s="22">
        <v>11</v>
      </c>
      <c r="AG95" s="22" t="s">
        <v>327</v>
      </c>
      <c r="AH95" s="22" t="str">
        <f t="shared" ref="AH95" si="100">AH90</f>
        <v>E</v>
      </c>
      <c r="AI95" s="22">
        <v>165</v>
      </c>
      <c r="AJ95" s="22"/>
      <c r="AK95" s="22" t="s">
        <v>325</v>
      </c>
      <c r="AL95" s="22"/>
      <c r="AM95" s="22" t="str">
        <f t="shared" ref="AM95" si="101">_xlfn.CONCAT(N95&amp;V95&amp;Z95&amp;AE95&amp;AF95&amp;AG95&amp;AE95&amp;AI95&amp;AK95)</f>
        <v xml:space="preserve"> Workbooks("Ukraine_sponsorship_data_18.ods").Worksheets("UTLA_-_England").Range("E11:E165").Copy _</v>
      </c>
      <c r="AO95" t="s">
        <v>1112</v>
      </c>
    </row>
    <row r="96" spans="2:41" x14ac:dyDescent="0.25">
      <c r="B96" s="22" t="s">
        <v>808</v>
      </c>
      <c r="C96" s="22"/>
      <c r="D96" s="22"/>
      <c r="E96" s="22"/>
      <c r="F96" s="22"/>
      <c r="G96" s="22"/>
      <c r="H96" s="22"/>
      <c r="I96" s="22"/>
      <c r="J96" s="22"/>
      <c r="K96" s="22"/>
      <c r="L96" s="22"/>
      <c r="M96" s="22"/>
      <c r="N96" s="22" t="s">
        <v>809</v>
      </c>
      <c r="O96" s="22"/>
      <c r="P96" s="22"/>
      <c r="Q96" s="22"/>
      <c r="R96" s="22"/>
      <c r="S96" s="22"/>
      <c r="T96" s="22"/>
      <c r="U96" s="22"/>
      <c r="V96" s="22"/>
      <c r="W96" s="22" t="str">
        <f t="shared" si="64"/>
        <v>B</v>
      </c>
      <c r="X96" s="22" t="str">
        <f t="shared" si="65"/>
        <v>I</v>
      </c>
      <c r="Y96" s="23">
        <v>9</v>
      </c>
      <c r="Z96" s="22" t="s">
        <v>324</v>
      </c>
      <c r="AA96" s="22"/>
      <c r="AB96" s="22"/>
      <c r="AC96" s="22"/>
      <c r="AD96" s="22"/>
      <c r="AE96" s="22"/>
      <c r="AF96" s="22"/>
      <c r="AG96" s="22"/>
      <c r="AH96" s="22"/>
      <c r="AI96" s="22"/>
      <c r="AJ96" s="22"/>
      <c r="AK96" s="22"/>
      <c r="AL96" s="22"/>
      <c r="AM96" s="22" t="str">
        <f t="shared" ref="AM96" si="102">_xlfn.CONCAT(N96&amp;W96&amp;X96&amp;Y96&amp;Z96)</f>
        <v>Workbooks("HFU Forecast UTLA 1.0.xlsm").Worksheets("Combined data").Range("BI9")</v>
      </c>
      <c r="AO96" t="s">
        <v>1137</v>
      </c>
    </row>
    <row r="97" spans="2:41" x14ac:dyDescent="0.25">
      <c r="B97" s="22" t="s">
        <v>339</v>
      </c>
      <c r="C97" s="22"/>
      <c r="D97" s="22"/>
      <c r="E97" s="22"/>
      <c r="F97" s="22"/>
      <c r="G97" s="22"/>
      <c r="H97" s="22"/>
      <c r="I97" s="22"/>
      <c r="J97" s="22"/>
      <c r="K97" s="22"/>
      <c r="L97" s="22"/>
      <c r="M97" s="22"/>
      <c r="N97" s="22"/>
      <c r="O97" s="22"/>
      <c r="P97" s="22"/>
      <c r="Q97" s="22"/>
      <c r="R97" s="22"/>
      <c r="S97" s="22"/>
      <c r="T97" s="22"/>
      <c r="U97" s="22"/>
      <c r="V97" s="22"/>
      <c r="W97" s="22"/>
      <c r="X97" s="22"/>
      <c r="Y97" s="23"/>
      <c r="Z97" s="22"/>
      <c r="AA97" s="22"/>
      <c r="AB97" s="22"/>
      <c r="AC97" s="22"/>
      <c r="AD97" s="22"/>
      <c r="AE97" s="22"/>
      <c r="AF97" s="22"/>
      <c r="AG97" s="22"/>
      <c r="AH97" s="22"/>
      <c r="AI97" s="22"/>
      <c r="AJ97" s="22"/>
      <c r="AK97" s="22"/>
      <c r="AL97" s="22"/>
      <c r="AM97" s="22" t="str">
        <f t="shared" ref="AM97" si="103">B97</f>
        <v>ActiveWorkbook.Close SaveChanges:=False</v>
      </c>
      <c r="AO97" t="s">
        <v>339</v>
      </c>
    </row>
    <row r="99" spans="2:41" x14ac:dyDescent="0.25">
      <c r="B99" s="19" t="s">
        <v>316</v>
      </c>
      <c r="C99" s="19"/>
      <c r="D99" s="19"/>
      <c r="E99" s="19"/>
      <c r="F99" s="19"/>
      <c r="G99" s="19"/>
      <c r="H99" s="19"/>
      <c r="I99" s="19"/>
      <c r="J99" s="19"/>
      <c r="K99" s="19"/>
      <c r="L99" s="19"/>
      <c r="M99" s="19"/>
      <c r="N99" s="19" t="s">
        <v>321</v>
      </c>
      <c r="O99" s="19"/>
      <c r="P99" s="19"/>
      <c r="Q99" s="19"/>
      <c r="R99" s="19"/>
      <c r="S99" s="19"/>
      <c r="T99" s="19"/>
      <c r="U99" s="19"/>
      <c r="V99" s="19">
        <f t="shared" si="38"/>
        <v>19</v>
      </c>
      <c r="W99" s="19"/>
      <c r="X99" s="19"/>
      <c r="Y99" s="21"/>
      <c r="Z99" s="19" t="s">
        <v>322</v>
      </c>
      <c r="AA99" s="19"/>
      <c r="AB99" s="19"/>
      <c r="AC99" s="19"/>
      <c r="AD99" s="19"/>
      <c r="AE99" s="19"/>
      <c r="AF99" s="19"/>
      <c r="AG99" s="19"/>
      <c r="AH99" s="19"/>
      <c r="AI99" s="19"/>
      <c r="AJ99" s="19"/>
      <c r="AK99" s="19"/>
      <c r="AL99" s="19"/>
      <c r="AM99" s="19" t="str">
        <f t="shared" ref="AM99" si="104">+_xlfn.CONCAT(N99&amp;V99&amp;Z99)</f>
        <v xml:space="preserve"> Workbooks.Open "A:\Homes for Ukraine data\Ukraine_sponsorship_data_19.ods"</v>
      </c>
      <c r="AO99" t="s">
        <v>355</v>
      </c>
    </row>
    <row r="100" spans="2:41" x14ac:dyDescent="0.25">
      <c r="B100" s="19" t="s">
        <v>318</v>
      </c>
      <c r="C100" s="19"/>
      <c r="D100" s="19"/>
      <c r="E100" s="19"/>
      <c r="F100" s="19"/>
      <c r="G100" s="19"/>
      <c r="H100" s="19"/>
      <c r="I100" s="19"/>
      <c r="J100" s="19"/>
      <c r="K100" s="19"/>
      <c r="L100" s="19"/>
      <c r="M100" s="19"/>
      <c r="N100" s="19" t="s">
        <v>323</v>
      </c>
      <c r="O100" s="19"/>
      <c r="P100" s="19"/>
      <c r="Q100" s="19"/>
      <c r="R100" s="19"/>
      <c r="S100" s="19"/>
      <c r="T100" s="19"/>
      <c r="U100" s="19"/>
      <c r="V100" s="19">
        <f t="shared" si="38"/>
        <v>19</v>
      </c>
      <c r="W100" s="19"/>
      <c r="X100" s="19"/>
      <c r="Y100" s="21"/>
      <c r="Z100" s="19" t="s">
        <v>326</v>
      </c>
      <c r="AA100" s="19"/>
      <c r="AB100" s="19"/>
      <c r="AC100" s="19"/>
      <c r="AD100" s="19"/>
      <c r="AE100" s="19" t="str">
        <f t="shared" ref="AE100" si="105">AE95</f>
        <v>E</v>
      </c>
      <c r="AF100" s="19">
        <v>11</v>
      </c>
      <c r="AG100" s="19" t="s">
        <v>327</v>
      </c>
      <c r="AH100" s="19" t="str">
        <f t="shared" ref="AH100" si="106">AH95</f>
        <v>E</v>
      </c>
      <c r="AI100" s="19">
        <v>165</v>
      </c>
      <c r="AJ100" s="19"/>
      <c r="AK100" s="19" t="s">
        <v>325</v>
      </c>
      <c r="AL100" s="19"/>
      <c r="AM100" s="19" t="str">
        <f t="shared" ref="AM100" si="107">_xlfn.CONCAT(N100&amp;V100&amp;Z100&amp;AE100&amp;AF100&amp;AG100&amp;AE100&amp;AI100&amp;AK100)</f>
        <v xml:space="preserve"> Workbooks("Ukraine_sponsorship_data_19.ods").Worksheets("UTLA_-_England").Range("E11:E165").Copy _</v>
      </c>
      <c r="AO100" t="s">
        <v>1113</v>
      </c>
    </row>
    <row r="101" spans="2:41" x14ac:dyDescent="0.25">
      <c r="B101" s="19" t="s">
        <v>808</v>
      </c>
      <c r="C101" s="19"/>
      <c r="D101" s="19"/>
      <c r="E101" s="19"/>
      <c r="F101" s="19"/>
      <c r="G101" s="19"/>
      <c r="H101" s="19"/>
      <c r="I101" s="19"/>
      <c r="J101" s="19"/>
      <c r="K101" s="19"/>
      <c r="L101" s="19"/>
      <c r="M101" s="19"/>
      <c r="N101" s="19" t="s">
        <v>809</v>
      </c>
      <c r="O101" s="19"/>
      <c r="P101" s="19"/>
      <c r="Q101" s="19"/>
      <c r="R101" s="19"/>
      <c r="S101" s="19"/>
      <c r="T101" s="19"/>
      <c r="U101" s="19"/>
      <c r="V101" s="19"/>
      <c r="W101" s="19" t="str">
        <f t="shared" si="43"/>
        <v>B</v>
      </c>
      <c r="X101" s="19" t="str">
        <f t="shared" si="44"/>
        <v>J</v>
      </c>
      <c r="Y101" s="21">
        <v>9</v>
      </c>
      <c r="Z101" s="19" t="s">
        <v>324</v>
      </c>
      <c r="AA101" s="19"/>
      <c r="AB101" s="19"/>
      <c r="AC101" s="19"/>
      <c r="AD101" s="19"/>
      <c r="AE101" s="19"/>
      <c r="AF101" s="19"/>
      <c r="AG101" s="19"/>
      <c r="AH101" s="19"/>
      <c r="AI101" s="19"/>
      <c r="AJ101" s="19"/>
      <c r="AK101" s="19"/>
      <c r="AL101" s="19"/>
      <c r="AM101" s="19" t="str">
        <f t="shared" ref="AM101" si="108">_xlfn.CONCAT(N101&amp;W101&amp;X101&amp;Y101&amp;Z101)</f>
        <v>Workbooks("HFU Forecast UTLA 1.0.xlsm").Worksheets("Combined data").Range("BJ9")</v>
      </c>
      <c r="AO101" t="s">
        <v>1138</v>
      </c>
    </row>
    <row r="102" spans="2:41" x14ac:dyDescent="0.25">
      <c r="B102" s="19" t="s">
        <v>339</v>
      </c>
      <c r="C102" s="19"/>
      <c r="D102" s="19"/>
      <c r="E102" s="19"/>
      <c r="F102" s="19"/>
      <c r="G102" s="19"/>
      <c r="H102" s="19"/>
      <c r="I102" s="19"/>
      <c r="J102" s="19"/>
      <c r="K102" s="19"/>
      <c r="L102" s="19"/>
      <c r="M102" s="19"/>
      <c r="N102" s="19"/>
      <c r="O102" s="19"/>
      <c r="P102" s="19"/>
      <c r="Q102" s="19"/>
      <c r="R102" s="19"/>
      <c r="S102" s="19"/>
      <c r="T102" s="19"/>
      <c r="U102" s="19"/>
      <c r="V102" s="19"/>
      <c r="W102" s="19"/>
      <c r="X102" s="19"/>
      <c r="Y102" s="21"/>
      <c r="Z102" s="19"/>
      <c r="AA102" s="19"/>
      <c r="AB102" s="19"/>
      <c r="AC102" s="19"/>
      <c r="AD102" s="19"/>
      <c r="AE102" s="19"/>
      <c r="AF102" s="19"/>
      <c r="AG102" s="19"/>
      <c r="AH102" s="19"/>
      <c r="AI102" s="19"/>
      <c r="AJ102" s="19"/>
      <c r="AK102" s="19"/>
      <c r="AL102" s="19"/>
      <c r="AM102" s="19" t="str">
        <f t="shared" ref="AM102" si="109">B102</f>
        <v>ActiveWorkbook.Close SaveChanges:=False</v>
      </c>
      <c r="AO102" t="s">
        <v>339</v>
      </c>
    </row>
    <row r="104" spans="2:41" x14ac:dyDescent="0.25">
      <c r="B104" s="22" t="s">
        <v>316</v>
      </c>
      <c r="C104" s="22"/>
      <c r="D104" s="22"/>
      <c r="E104" s="22"/>
      <c r="F104" s="22"/>
      <c r="G104" s="22"/>
      <c r="H104" s="22"/>
      <c r="I104" s="22"/>
      <c r="J104" s="22"/>
      <c r="K104" s="22"/>
      <c r="L104" s="22"/>
      <c r="M104" s="22"/>
      <c r="N104" s="22" t="s">
        <v>321</v>
      </c>
      <c r="O104" s="22"/>
      <c r="P104" s="22"/>
      <c r="Q104" s="22"/>
      <c r="R104" s="22"/>
      <c r="S104" s="22"/>
      <c r="T104" s="22"/>
      <c r="U104" s="22"/>
      <c r="V104" s="22">
        <f t="shared" si="47"/>
        <v>20</v>
      </c>
      <c r="W104" s="22"/>
      <c r="X104" s="22"/>
      <c r="Y104" s="23"/>
      <c r="Z104" s="22" t="s">
        <v>322</v>
      </c>
      <c r="AA104" s="22"/>
      <c r="AB104" s="22"/>
      <c r="AC104" s="22"/>
      <c r="AD104" s="22"/>
      <c r="AE104" s="22"/>
      <c r="AF104" s="22"/>
      <c r="AG104" s="22"/>
      <c r="AH104" s="22"/>
      <c r="AI104" s="22"/>
      <c r="AJ104" s="22"/>
      <c r="AK104" s="22"/>
      <c r="AL104" s="22"/>
      <c r="AM104" s="22" t="str">
        <f t="shared" ref="AM104" si="110">+_xlfn.CONCAT(N104&amp;V104&amp;Z104)</f>
        <v xml:space="preserve"> Workbooks.Open "A:\Homes for Ukraine data\Ukraine_sponsorship_data_20.ods"</v>
      </c>
      <c r="AO104" t="s">
        <v>356</v>
      </c>
    </row>
    <row r="105" spans="2:41" x14ac:dyDescent="0.25">
      <c r="B105" s="22" t="s">
        <v>318</v>
      </c>
      <c r="C105" s="22"/>
      <c r="D105" s="22"/>
      <c r="E105" s="22"/>
      <c r="F105" s="22"/>
      <c r="G105" s="22"/>
      <c r="H105" s="22"/>
      <c r="I105" s="22"/>
      <c r="J105" s="22"/>
      <c r="K105" s="22"/>
      <c r="L105" s="22"/>
      <c r="M105" s="22"/>
      <c r="N105" s="22" t="s">
        <v>323</v>
      </c>
      <c r="O105" s="22"/>
      <c r="P105" s="22"/>
      <c r="Q105" s="22"/>
      <c r="R105" s="22"/>
      <c r="S105" s="22"/>
      <c r="T105" s="22"/>
      <c r="U105" s="22"/>
      <c r="V105" s="22">
        <f t="shared" si="47"/>
        <v>20</v>
      </c>
      <c r="W105" s="22"/>
      <c r="X105" s="22"/>
      <c r="Y105" s="23"/>
      <c r="Z105" s="22" t="s">
        <v>326</v>
      </c>
      <c r="AA105" s="22"/>
      <c r="AB105" s="22"/>
      <c r="AC105" s="22"/>
      <c r="AD105" s="22"/>
      <c r="AE105" s="22" t="str">
        <f t="shared" ref="AE105" si="111">AE100</f>
        <v>E</v>
      </c>
      <c r="AF105" s="22">
        <v>11</v>
      </c>
      <c r="AG105" s="22" t="s">
        <v>327</v>
      </c>
      <c r="AH105" s="22" t="str">
        <f t="shared" ref="AH105" si="112">AH100</f>
        <v>E</v>
      </c>
      <c r="AI105" s="22">
        <v>165</v>
      </c>
      <c r="AJ105" s="22"/>
      <c r="AK105" s="22" t="s">
        <v>325</v>
      </c>
      <c r="AL105" s="22"/>
      <c r="AM105" s="22" t="str">
        <f t="shared" ref="AM105" si="113">_xlfn.CONCAT(N105&amp;V105&amp;Z105&amp;AE105&amp;AF105&amp;AG105&amp;AE105&amp;AI105&amp;AK105)</f>
        <v xml:space="preserve"> Workbooks("Ukraine_sponsorship_data_20.ods").Worksheets("UTLA_-_England").Range("E11:E165").Copy _</v>
      </c>
      <c r="AO105" t="s">
        <v>1114</v>
      </c>
    </row>
    <row r="106" spans="2:41" x14ac:dyDescent="0.25">
      <c r="B106" s="22" t="s">
        <v>808</v>
      </c>
      <c r="C106" s="22"/>
      <c r="D106" s="22"/>
      <c r="E106" s="22"/>
      <c r="F106" s="22"/>
      <c r="G106" s="22"/>
      <c r="H106" s="22"/>
      <c r="I106" s="22"/>
      <c r="J106" s="22"/>
      <c r="K106" s="22"/>
      <c r="L106" s="22"/>
      <c r="M106" s="22"/>
      <c r="N106" s="22" t="s">
        <v>809</v>
      </c>
      <c r="O106" s="22"/>
      <c r="P106" s="22"/>
      <c r="Q106" s="22"/>
      <c r="R106" s="22"/>
      <c r="S106" s="22"/>
      <c r="T106" s="22"/>
      <c r="U106" s="22"/>
      <c r="V106" s="22"/>
      <c r="W106" s="22" t="str">
        <f t="shared" si="64"/>
        <v>B</v>
      </c>
      <c r="X106" s="22" t="str">
        <f t="shared" si="65"/>
        <v>K</v>
      </c>
      <c r="Y106" s="23">
        <v>9</v>
      </c>
      <c r="Z106" s="22" t="s">
        <v>324</v>
      </c>
      <c r="AA106" s="22"/>
      <c r="AB106" s="22"/>
      <c r="AC106" s="22"/>
      <c r="AD106" s="22"/>
      <c r="AE106" s="22"/>
      <c r="AF106" s="22"/>
      <c r="AG106" s="22"/>
      <c r="AH106" s="22"/>
      <c r="AI106" s="22"/>
      <c r="AJ106" s="22"/>
      <c r="AK106" s="22"/>
      <c r="AL106" s="22"/>
      <c r="AM106" s="22" t="str">
        <f t="shared" ref="AM106" si="114">_xlfn.CONCAT(N106&amp;W106&amp;X106&amp;Y106&amp;Z106)</f>
        <v>Workbooks("HFU Forecast UTLA 1.0.xlsm").Worksheets("Combined data").Range("BK9")</v>
      </c>
      <c r="AO106" t="s">
        <v>1139</v>
      </c>
    </row>
    <row r="107" spans="2:41" x14ac:dyDescent="0.25">
      <c r="B107" s="22" t="s">
        <v>339</v>
      </c>
      <c r="C107" s="22"/>
      <c r="D107" s="22"/>
      <c r="E107" s="22"/>
      <c r="F107" s="22"/>
      <c r="G107" s="22"/>
      <c r="H107" s="22"/>
      <c r="I107" s="22"/>
      <c r="J107" s="22"/>
      <c r="K107" s="22"/>
      <c r="L107" s="22"/>
      <c r="M107" s="22"/>
      <c r="N107" s="22"/>
      <c r="O107" s="22"/>
      <c r="P107" s="22"/>
      <c r="Q107" s="22"/>
      <c r="R107" s="22"/>
      <c r="S107" s="22"/>
      <c r="T107" s="22"/>
      <c r="U107" s="22"/>
      <c r="V107" s="22"/>
      <c r="W107" s="22"/>
      <c r="X107" s="22"/>
      <c r="Y107" s="23"/>
      <c r="Z107" s="22"/>
      <c r="AA107" s="22"/>
      <c r="AB107" s="22"/>
      <c r="AC107" s="22"/>
      <c r="AD107" s="22"/>
      <c r="AE107" s="22"/>
      <c r="AF107" s="22"/>
      <c r="AG107" s="22"/>
      <c r="AH107" s="22"/>
      <c r="AI107" s="22"/>
      <c r="AJ107" s="22"/>
      <c r="AK107" s="22"/>
      <c r="AL107" s="22"/>
      <c r="AM107" s="22" t="str">
        <f t="shared" ref="AM107" si="115">B107</f>
        <v>ActiveWorkbook.Close SaveChanges:=False</v>
      </c>
      <c r="AO107" t="s">
        <v>339</v>
      </c>
    </row>
    <row r="109" spans="2:41" x14ac:dyDescent="0.25">
      <c r="B109" s="19" t="s">
        <v>316</v>
      </c>
      <c r="C109" s="19"/>
      <c r="D109" s="19"/>
      <c r="E109" s="19"/>
      <c r="F109" s="19"/>
      <c r="G109" s="19"/>
      <c r="H109" s="19"/>
      <c r="I109" s="19"/>
      <c r="J109" s="19"/>
      <c r="K109" s="19"/>
      <c r="L109" s="19"/>
      <c r="M109" s="19"/>
      <c r="N109" s="19" t="s">
        <v>321</v>
      </c>
      <c r="O109" s="19"/>
      <c r="P109" s="19"/>
      <c r="Q109" s="19"/>
      <c r="R109" s="19"/>
      <c r="S109" s="19"/>
      <c r="T109" s="19"/>
      <c r="U109" s="19"/>
      <c r="V109" s="19">
        <f t="shared" si="38"/>
        <v>21</v>
      </c>
      <c r="W109" s="19"/>
      <c r="X109" s="19"/>
      <c r="Y109" s="21"/>
      <c r="Z109" s="19" t="s">
        <v>322</v>
      </c>
      <c r="AA109" s="19"/>
      <c r="AB109" s="19"/>
      <c r="AC109" s="19"/>
      <c r="AD109" s="19"/>
      <c r="AE109" s="19"/>
      <c r="AF109" s="19"/>
      <c r="AG109" s="19"/>
      <c r="AH109" s="19"/>
      <c r="AI109" s="19"/>
      <c r="AJ109" s="19"/>
      <c r="AK109" s="19"/>
      <c r="AL109" s="19"/>
      <c r="AM109" s="19" t="str">
        <f t="shared" ref="AM109" si="116">+_xlfn.CONCAT(N109&amp;V109&amp;Z109)</f>
        <v xml:space="preserve"> Workbooks.Open "A:\Homes for Ukraine data\Ukraine_sponsorship_data_21.ods"</v>
      </c>
      <c r="AO109" t="s">
        <v>357</v>
      </c>
    </row>
    <row r="110" spans="2:41" x14ac:dyDescent="0.25">
      <c r="B110" s="19" t="s">
        <v>318</v>
      </c>
      <c r="C110" s="19"/>
      <c r="D110" s="19"/>
      <c r="E110" s="19"/>
      <c r="F110" s="19"/>
      <c r="G110" s="19"/>
      <c r="H110" s="19"/>
      <c r="I110" s="19"/>
      <c r="J110" s="19"/>
      <c r="K110" s="19"/>
      <c r="L110" s="19"/>
      <c r="M110" s="19"/>
      <c r="N110" s="19" t="s">
        <v>323</v>
      </c>
      <c r="O110" s="19"/>
      <c r="P110" s="19"/>
      <c r="Q110" s="19"/>
      <c r="R110" s="19"/>
      <c r="S110" s="19"/>
      <c r="T110" s="19"/>
      <c r="U110" s="19"/>
      <c r="V110" s="19">
        <f t="shared" si="38"/>
        <v>21</v>
      </c>
      <c r="W110" s="19"/>
      <c r="X110" s="19"/>
      <c r="Y110" s="21"/>
      <c r="Z110" s="19" t="s">
        <v>326</v>
      </c>
      <c r="AA110" s="19"/>
      <c r="AB110" s="19"/>
      <c r="AC110" s="19"/>
      <c r="AD110" s="19"/>
      <c r="AE110" s="19" t="str">
        <f t="shared" ref="AE110" si="117">AE105</f>
        <v>E</v>
      </c>
      <c r="AF110" s="19">
        <v>11</v>
      </c>
      <c r="AG110" s="19" t="s">
        <v>327</v>
      </c>
      <c r="AH110" s="19" t="str">
        <f t="shared" ref="AH110" si="118">AH105</f>
        <v>E</v>
      </c>
      <c r="AI110" s="19">
        <v>165</v>
      </c>
      <c r="AJ110" s="19"/>
      <c r="AK110" s="19" t="s">
        <v>325</v>
      </c>
      <c r="AL110" s="19"/>
      <c r="AM110" s="19" t="str">
        <f t="shared" ref="AM110" si="119">_xlfn.CONCAT(N110&amp;V110&amp;Z110&amp;AE110&amp;AF110&amp;AG110&amp;AE110&amp;AI110&amp;AK110)</f>
        <v xml:space="preserve"> Workbooks("Ukraine_sponsorship_data_21.ods").Worksheets("UTLA_-_England").Range("E11:E165").Copy _</v>
      </c>
      <c r="AO110" t="s">
        <v>1115</v>
      </c>
    </row>
    <row r="111" spans="2:41" x14ac:dyDescent="0.25">
      <c r="B111" s="19" t="s">
        <v>808</v>
      </c>
      <c r="C111" s="19"/>
      <c r="D111" s="19"/>
      <c r="E111" s="19"/>
      <c r="F111" s="19"/>
      <c r="G111" s="19"/>
      <c r="H111" s="19"/>
      <c r="I111" s="19"/>
      <c r="J111" s="19"/>
      <c r="K111" s="19"/>
      <c r="L111" s="19"/>
      <c r="M111" s="19"/>
      <c r="N111" s="19" t="s">
        <v>809</v>
      </c>
      <c r="O111" s="19"/>
      <c r="P111" s="19"/>
      <c r="Q111" s="19"/>
      <c r="R111" s="19"/>
      <c r="S111" s="19"/>
      <c r="T111" s="19"/>
      <c r="U111" s="19"/>
      <c r="V111" s="19"/>
      <c r="W111" s="19" t="s">
        <v>313</v>
      </c>
      <c r="X111" s="19" t="str">
        <f t="shared" ref="X111:X171" si="120">CHAR(CODE(X106)+1)</f>
        <v>L</v>
      </c>
      <c r="Y111" s="21">
        <v>9</v>
      </c>
      <c r="Z111" s="19" t="s">
        <v>324</v>
      </c>
      <c r="AA111" s="19"/>
      <c r="AB111" s="19"/>
      <c r="AC111" s="19"/>
      <c r="AD111" s="19"/>
      <c r="AE111" s="19"/>
      <c r="AF111" s="19"/>
      <c r="AG111" s="19"/>
      <c r="AH111" s="19"/>
      <c r="AI111" s="19"/>
      <c r="AJ111" s="19"/>
      <c r="AK111" s="19"/>
      <c r="AL111" s="19"/>
      <c r="AM111" s="19" t="str">
        <f t="shared" ref="AM111" si="121">_xlfn.CONCAT(N111&amp;W111&amp;X111&amp;Y111&amp;Z111)</f>
        <v>Workbooks("HFU Forecast UTLA 1.0.xlsm").Worksheets("Combined data").Range("BL9")</v>
      </c>
      <c r="AO111" t="s">
        <v>1034</v>
      </c>
    </row>
    <row r="112" spans="2:41" x14ac:dyDescent="0.25">
      <c r="B112" s="19" t="s">
        <v>339</v>
      </c>
      <c r="C112" s="19"/>
      <c r="D112" s="19"/>
      <c r="E112" s="19"/>
      <c r="F112" s="19"/>
      <c r="G112" s="19"/>
      <c r="H112" s="19"/>
      <c r="I112" s="19"/>
      <c r="J112" s="19"/>
      <c r="K112" s="19"/>
      <c r="L112" s="19"/>
      <c r="M112" s="19"/>
      <c r="N112" s="19"/>
      <c r="O112" s="19"/>
      <c r="P112" s="19"/>
      <c r="Q112" s="19"/>
      <c r="R112" s="19"/>
      <c r="S112" s="19"/>
      <c r="T112" s="19"/>
      <c r="U112" s="19"/>
      <c r="V112" s="19"/>
      <c r="W112" s="19"/>
      <c r="X112" s="19"/>
      <c r="Y112" s="21"/>
      <c r="Z112" s="19"/>
      <c r="AA112" s="19"/>
      <c r="AB112" s="19"/>
      <c r="AC112" s="19"/>
      <c r="AD112" s="19"/>
      <c r="AE112" s="19"/>
      <c r="AF112" s="19"/>
      <c r="AG112" s="19"/>
      <c r="AH112" s="19"/>
      <c r="AI112" s="19"/>
      <c r="AJ112" s="19"/>
      <c r="AK112" s="19"/>
      <c r="AL112" s="19"/>
      <c r="AM112" s="19" t="str">
        <f t="shared" ref="AM112" si="122">B112</f>
        <v>ActiveWorkbook.Close SaveChanges:=False</v>
      </c>
      <c r="AO112" t="s">
        <v>339</v>
      </c>
    </row>
    <row r="114" spans="2:41" x14ac:dyDescent="0.25">
      <c r="B114" s="22" t="s">
        <v>316</v>
      </c>
      <c r="C114" s="22"/>
      <c r="D114" s="22"/>
      <c r="E114" s="22"/>
      <c r="F114" s="22"/>
      <c r="G114" s="22"/>
      <c r="H114" s="22"/>
      <c r="I114" s="22"/>
      <c r="J114" s="22"/>
      <c r="K114" s="22"/>
      <c r="L114" s="22"/>
      <c r="M114" s="22"/>
      <c r="N114" s="22" t="s">
        <v>321</v>
      </c>
      <c r="O114" s="22"/>
      <c r="P114" s="22"/>
      <c r="Q114" s="22"/>
      <c r="R114" s="22"/>
      <c r="S114" s="22"/>
      <c r="T114" s="22"/>
      <c r="U114" s="22"/>
      <c r="V114" s="22">
        <f t="shared" si="47"/>
        <v>22</v>
      </c>
      <c r="W114" s="22"/>
      <c r="X114" s="22"/>
      <c r="Y114" s="23"/>
      <c r="Z114" s="22" t="s">
        <v>322</v>
      </c>
      <c r="AA114" s="22"/>
      <c r="AB114" s="22"/>
      <c r="AC114" s="22"/>
      <c r="AD114" s="22"/>
      <c r="AE114" s="22"/>
      <c r="AF114" s="22"/>
      <c r="AG114" s="22"/>
      <c r="AH114" s="22"/>
      <c r="AI114" s="22"/>
      <c r="AJ114" s="22"/>
      <c r="AK114" s="22"/>
      <c r="AL114" s="22"/>
      <c r="AM114" s="22" t="str">
        <f t="shared" ref="AM114" si="123">+_xlfn.CONCAT(N114&amp;V114&amp;Z114)</f>
        <v xml:space="preserve"> Workbooks.Open "A:\Homes for Ukraine data\Ukraine_sponsorship_data_22.ods"</v>
      </c>
      <c r="AO114" t="s">
        <v>358</v>
      </c>
    </row>
    <row r="115" spans="2:41" x14ac:dyDescent="0.25">
      <c r="B115" s="22" t="s">
        <v>318</v>
      </c>
      <c r="C115" s="22"/>
      <c r="D115" s="22"/>
      <c r="E115" s="22"/>
      <c r="F115" s="22"/>
      <c r="G115" s="22"/>
      <c r="H115" s="22"/>
      <c r="I115" s="22"/>
      <c r="J115" s="22"/>
      <c r="K115" s="22"/>
      <c r="L115" s="22"/>
      <c r="M115" s="22"/>
      <c r="N115" s="22" t="s">
        <v>323</v>
      </c>
      <c r="O115" s="22"/>
      <c r="P115" s="22"/>
      <c r="Q115" s="22"/>
      <c r="R115" s="22"/>
      <c r="S115" s="22"/>
      <c r="T115" s="22"/>
      <c r="U115" s="22"/>
      <c r="V115" s="22">
        <f t="shared" si="47"/>
        <v>22</v>
      </c>
      <c r="W115" s="22"/>
      <c r="X115" s="22"/>
      <c r="Y115" s="23"/>
      <c r="Z115" s="22" t="s">
        <v>326</v>
      </c>
      <c r="AA115" s="22"/>
      <c r="AB115" s="22"/>
      <c r="AC115" s="22"/>
      <c r="AD115" s="22"/>
      <c r="AE115" s="22" t="str">
        <f t="shared" ref="AE115" si="124">AE110</f>
        <v>E</v>
      </c>
      <c r="AF115" s="22">
        <v>11</v>
      </c>
      <c r="AG115" s="22" t="s">
        <v>327</v>
      </c>
      <c r="AH115" s="22" t="str">
        <f t="shared" ref="AH115" si="125">AH110</f>
        <v>E</v>
      </c>
      <c r="AI115" s="22">
        <v>165</v>
      </c>
      <c r="AJ115" s="22"/>
      <c r="AK115" s="22" t="s">
        <v>325</v>
      </c>
      <c r="AL115" s="22"/>
      <c r="AM115" s="22" t="str">
        <f t="shared" ref="AM115" si="126">_xlfn.CONCAT(N115&amp;V115&amp;Z115&amp;AE115&amp;AF115&amp;AG115&amp;AE115&amp;AI115&amp;AK115)</f>
        <v xml:space="preserve"> Workbooks("Ukraine_sponsorship_data_22.ods").Worksheets("UTLA_-_England").Range("E11:E165").Copy _</v>
      </c>
      <c r="AO115" t="s">
        <v>1116</v>
      </c>
    </row>
    <row r="116" spans="2:41" x14ac:dyDescent="0.25">
      <c r="B116" s="22" t="s">
        <v>808</v>
      </c>
      <c r="C116" s="22"/>
      <c r="D116" s="22"/>
      <c r="E116" s="22"/>
      <c r="F116" s="22"/>
      <c r="G116" s="22"/>
      <c r="H116" s="22"/>
      <c r="I116" s="22"/>
      <c r="J116" s="22"/>
      <c r="K116" s="22"/>
      <c r="L116" s="22"/>
      <c r="M116" s="22"/>
      <c r="N116" s="22" t="s">
        <v>809</v>
      </c>
      <c r="O116" s="22"/>
      <c r="P116" s="22"/>
      <c r="Q116" s="22"/>
      <c r="R116" s="22"/>
      <c r="S116" s="22"/>
      <c r="T116" s="22"/>
      <c r="U116" s="22"/>
      <c r="V116" s="22"/>
      <c r="W116" s="22" t="str">
        <f t="shared" si="64"/>
        <v>B</v>
      </c>
      <c r="X116" s="22" t="str">
        <f t="shared" si="65"/>
        <v>M</v>
      </c>
      <c r="Y116" s="23">
        <v>9</v>
      </c>
      <c r="Z116" s="22" t="s">
        <v>324</v>
      </c>
      <c r="AA116" s="22"/>
      <c r="AB116" s="22"/>
      <c r="AC116" s="22"/>
      <c r="AD116" s="22"/>
      <c r="AE116" s="22"/>
      <c r="AF116" s="22"/>
      <c r="AG116" s="22"/>
      <c r="AH116" s="22"/>
      <c r="AI116" s="22"/>
      <c r="AJ116" s="22"/>
      <c r="AK116" s="22"/>
      <c r="AL116" s="22"/>
      <c r="AM116" s="22" t="str">
        <f t="shared" ref="AM116" si="127">_xlfn.CONCAT(N116&amp;W116&amp;X116&amp;Y116&amp;Z116)</f>
        <v>Workbooks("HFU Forecast UTLA 1.0.xlsm").Worksheets("Combined data").Range("BM9")</v>
      </c>
      <c r="AO116" t="s">
        <v>1035</v>
      </c>
    </row>
    <row r="117" spans="2:41" x14ac:dyDescent="0.25">
      <c r="B117" s="22" t="s">
        <v>339</v>
      </c>
      <c r="C117" s="22"/>
      <c r="D117" s="22"/>
      <c r="E117" s="22"/>
      <c r="F117" s="22"/>
      <c r="G117" s="22"/>
      <c r="H117" s="22"/>
      <c r="I117" s="22"/>
      <c r="J117" s="22"/>
      <c r="K117" s="22"/>
      <c r="L117" s="22"/>
      <c r="M117" s="22"/>
      <c r="N117" s="22"/>
      <c r="O117" s="22"/>
      <c r="P117" s="22"/>
      <c r="Q117" s="22"/>
      <c r="R117" s="22"/>
      <c r="S117" s="22"/>
      <c r="T117" s="22"/>
      <c r="U117" s="22"/>
      <c r="V117" s="22"/>
      <c r="W117" s="22"/>
      <c r="X117" s="22"/>
      <c r="Y117" s="23"/>
      <c r="Z117" s="22"/>
      <c r="AA117" s="22"/>
      <c r="AB117" s="22"/>
      <c r="AC117" s="22"/>
      <c r="AD117" s="22"/>
      <c r="AE117" s="22"/>
      <c r="AF117" s="22"/>
      <c r="AG117" s="22"/>
      <c r="AH117" s="22"/>
      <c r="AI117" s="22"/>
      <c r="AJ117" s="22"/>
      <c r="AK117" s="22"/>
      <c r="AL117" s="22"/>
      <c r="AM117" s="22" t="str">
        <f t="shared" ref="AM117" si="128">B117</f>
        <v>ActiveWorkbook.Close SaveChanges:=False</v>
      </c>
      <c r="AO117" t="s">
        <v>339</v>
      </c>
    </row>
    <row r="119" spans="2:41" x14ac:dyDescent="0.25">
      <c r="B119" s="19" t="s">
        <v>316</v>
      </c>
      <c r="C119" s="19"/>
      <c r="D119" s="19"/>
      <c r="E119" s="19"/>
      <c r="F119" s="19"/>
      <c r="G119" s="19"/>
      <c r="H119" s="19"/>
      <c r="I119" s="19"/>
      <c r="J119" s="19"/>
      <c r="K119" s="19"/>
      <c r="L119" s="19"/>
      <c r="M119" s="19"/>
      <c r="N119" s="19" t="s">
        <v>321</v>
      </c>
      <c r="O119" s="19"/>
      <c r="P119" s="19"/>
      <c r="Q119" s="19"/>
      <c r="R119" s="19"/>
      <c r="S119" s="19"/>
      <c r="T119" s="19"/>
      <c r="U119" s="19"/>
      <c r="V119" s="19">
        <f t="shared" ref="V119:V170" si="129">V114+1</f>
        <v>23</v>
      </c>
      <c r="W119" s="19"/>
      <c r="X119" s="19"/>
      <c r="Y119" s="21"/>
      <c r="Z119" s="19" t="s">
        <v>322</v>
      </c>
      <c r="AA119" s="19"/>
      <c r="AB119" s="19"/>
      <c r="AC119" s="19"/>
      <c r="AD119" s="19"/>
      <c r="AE119" s="19"/>
      <c r="AF119" s="19"/>
      <c r="AG119" s="19"/>
      <c r="AH119" s="19"/>
      <c r="AI119" s="19"/>
      <c r="AJ119" s="19"/>
      <c r="AK119" s="19"/>
      <c r="AL119" s="19"/>
      <c r="AM119" s="19" t="str">
        <f t="shared" ref="AM119" si="130">+_xlfn.CONCAT(N119&amp;V119&amp;Z119)</f>
        <v xml:space="preserve"> Workbooks.Open "A:\Homes for Ukraine data\Ukraine_sponsorship_data_23.ods"</v>
      </c>
      <c r="AO119" t="s">
        <v>721</v>
      </c>
    </row>
    <row r="120" spans="2:41" x14ac:dyDescent="0.25">
      <c r="B120" s="19" t="s">
        <v>318</v>
      </c>
      <c r="C120" s="19"/>
      <c r="D120" s="19"/>
      <c r="E120" s="19"/>
      <c r="F120" s="19"/>
      <c r="G120" s="19"/>
      <c r="H120" s="19"/>
      <c r="I120" s="19"/>
      <c r="J120" s="19"/>
      <c r="K120" s="19"/>
      <c r="L120" s="19"/>
      <c r="M120" s="19"/>
      <c r="N120" s="19" t="s">
        <v>323</v>
      </c>
      <c r="O120" s="19"/>
      <c r="P120" s="19"/>
      <c r="Q120" s="19"/>
      <c r="R120" s="19"/>
      <c r="S120" s="19"/>
      <c r="T120" s="19"/>
      <c r="U120" s="19"/>
      <c r="V120" s="19">
        <f t="shared" si="129"/>
        <v>23</v>
      </c>
      <c r="W120" s="19"/>
      <c r="X120" s="19"/>
      <c r="Y120" s="21"/>
      <c r="Z120" s="19" t="s">
        <v>326</v>
      </c>
      <c r="AA120" s="19"/>
      <c r="AB120" s="19"/>
      <c r="AC120" s="19"/>
      <c r="AD120" s="19"/>
      <c r="AE120" s="19" t="str">
        <f t="shared" ref="AE120:AE170" si="131">AE115</f>
        <v>E</v>
      </c>
      <c r="AF120" s="19">
        <v>11</v>
      </c>
      <c r="AG120" s="19" t="s">
        <v>327</v>
      </c>
      <c r="AH120" s="19" t="str">
        <f t="shared" ref="AH120:AH170" si="132">AH115</f>
        <v>E</v>
      </c>
      <c r="AI120" s="19">
        <v>165</v>
      </c>
      <c r="AJ120" s="19"/>
      <c r="AK120" s="19" t="s">
        <v>325</v>
      </c>
      <c r="AL120" s="19"/>
      <c r="AM120" s="19" t="str">
        <f t="shared" ref="AM120" si="133">_xlfn.CONCAT(N120&amp;V120&amp;Z120&amp;AE120&amp;AF120&amp;AG120&amp;AE120&amp;AI120&amp;AK120)</f>
        <v xml:space="preserve"> Workbooks("Ukraine_sponsorship_data_23.ods").Worksheets("UTLA_-_England").Range("E11:E165").Copy _</v>
      </c>
      <c r="AO120" t="s">
        <v>1117</v>
      </c>
    </row>
    <row r="121" spans="2:41" x14ac:dyDescent="0.25">
      <c r="B121" s="19" t="s">
        <v>808</v>
      </c>
      <c r="C121" s="19"/>
      <c r="D121" s="19"/>
      <c r="E121" s="19"/>
      <c r="F121" s="19"/>
      <c r="G121" s="19"/>
      <c r="H121" s="19"/>
      <c r="I121" s="19"/>
      <c r="J121" s="19"/>
      <c r="K121" s="19"/>
      <c r="L121" s="19"/>
      <c r="M121" s="19"/>
      <c r="N121" s="19" t="s">
        <v>809</v>
      </c>
      <c r="O121" s="19"/>
      <c r="P121" s="19"/>
      <c r="Q121" s="19"/>
      <c r="R121" s="19"/>
      <c r="S121" s="19"/>
      <c r="T121" s="19"/>
      <c r="U121" s="19"/>
      <c r="V121" s="19"/>
      <c r="W121" s="19" t="s">
        <v>313</v>
      </c>
      <c r="X121" s="19" t="str">
        <f t="shared" si="120"/>
        <v>N</v>
      </c>
      <c r="Y121" s="21">
        <v>9</v>
      </c>
      <c r="Z121" s="19" t="s">
        <v>324</v>
      </c>
      <c r="AA121" s="19"/>
      <c r="AB121" s="19"/>
      <c r="AC121" s="19"/>
      <c r="AD121" s="19"/>
      <c r="AE121" s="19"/>
      <c r="AF121" s="19"/>
      <c r="AG121" s="19"/>
      <c r="AH121" s="19"/>
      <c r="AI121" s="19"/>
      <c r="AJ121" s="19"/>
      <c r="AK121" s="19"/>
      <c r="AL121" s="19"/>
      <c r="AM121" s="19" t="str">
        <f t="shared" ref="AM121" si="134">_xlfn.CONCAT(N121&amp;W121&amp;X121&amp;Y121&amp;Z121)</f>
        <v>Workbooks("HFU Forecast UTLA 1.0.xlsm").Worksheets("Combined data").Range("BN9")</v>
      </c>
      <c r="AO121" t="s">
        <v>1036</v>
      </c>
    </row>
    <row r="122" spans="2:41" x14ac:dyDescent="0.25">
      <c r="B122" s="19" t="s">
        <v>339</v>
      </c>
      <c r="C122" s="19"/>
      <c r="D122" s="19"/>
      <c r="E122" s="19"/>
      <c r="F122" s="19"/>
      <c r="G122" s="19"/>
      <c r="H122" s="19"/>
      <c r="I122" s="19"/>
      <c r="J122" s="19"/>
      <c r="K122" s="19"/>
      <c r="L122" s="19"/>
      <c r="M122" s="19"/>
      <c r="N122" s="19"/>
      <c r="O122" s="19"/>
      <c r="P122" s="19"/>
      <c r="Q122" s="19"/>
      <c r="R122" s="19"/>
      <c r="S122" s="19"/>
      <c r="T122" s="19"/>
      <c r="U122" s="19"/>
      <c r="V122" s="19"/>
      <c r="W122" s="19"/>
      <c r="X122" s="19"/>
      <c r="Y122" s="21"/>
      <c r="Z122" s="19"/>
      <c r="AA122" s="19"/>
      <c r="AB122" s="19"/>
      <c r="AC122" s="19"/>
      <c r="AD122" s="19"/>
      <c r="AE122" s="19"/>
      <c r="AF122" s="19"/>
      <c r="AG122" s="19"/>
      <c r="AH122" s="19"/>
      <c r="AI122" s="19"/>
      <c r="AJ122" s="19"/>
      <c r="AK122" s="19"/>
      <c r="AL122" s="19"/>
      <c r="AM122" s="19" t="str">
        <f t="shared" ref="AM122" si="135">B122</f>
        <v>ActiveWorkbook.Close SaveChanges:=False</v>
      </c>
      <c r="AO122" t="s">
        <v>339</v>
      </c>
    </row>
    <row r="124" spans="2:41" x14ac:dyDescent="0.25">
      <c r="B124" s="22" t="s">
        <v>316</v>
      </c>
      <c r="C124" s="22"/>
      <c r="D124" s="22"/>
      <c r="E124" s="22"/>
      <c r="F124" s="22"/>
      <c r="G124" s="22"/>
      <c r="H124" s="22"/>
      <c r="I124" s="22"/>
      <c r="J124" s="22"/>
      <c r="K124" s="22"/>
      <c r="L124" s="22"/>
      <c r="M124" s="22"/>
      <c r="N124" s="22" t="s">
        <v>321</v>
      </c>
      <c r="O124" s="22"/>
      <c r="P124" s="22"/>
      <c r="Q124" s="22"/>
      <c r="R124" s="22"/>
      <c r="S124" s="22"/>
      <c r="T124" s="22"/>
      <c r="U124" s="22"/>
      <c r="V124" s="22">
        <f t="shared" ref="V124:V175" si="136">V119+1</f>
        <v>24</v>
      </c>
      <c r="W124" s="22"/>
      <c r="X124" s="22"/>
      <c r="Y124" s="23"/>
      <c r="Z124" s="22" t="s">
        <v>322</v>
      </c>
      <c r="AA124" s="22"/>
      <c r="AB124" s="22"/>
      <c r="AC124" s="22"/>
      <c r="AD124" s="22"/>
      <c r="AE124" s="22"/>
      <c r="AF124" s="22"/>
      <c r="AG124" s="22"/>
      <c r="AH124" s="22"/>
      <c r="AI124" s="22"/>
      <c r="AJ124" s="22"/>
      <c r="AK124" s="22"/>
      <c r="AL124" s="22"/>
      <c r="AM124" s="22" t="str">
        <f t="shared" ref="AM124" si="137">+_xlfn.CONCAT(N124&amp;V124&amp;Z124)</f>
        <v xml:space="preserve"> Workbooks.Open "A:\Homes for Ukraine data\Ukraine_sponsorship_data_24.ods"</v>
      </c>
      <c r="AO124" t="s">
        <v>723</v>
      </c>
    </row>
    <row r="125" spans="2:41" x14ac:dyDescent="0.25">
      <c r="B125" s="22" t="s">
        <v>318</v>
      </c>
      <c r="C125" s="22"/>
      <c r="D125" s="22"/>
      <c r="E125" s="22"/>
      <c r="F125" s="22"/>
      <c r="G125" s="22"/>
      <c r="H125" s="22"/>
      <c r="I125" s="22"/>
      <c r="J125" s="22"/>
      <c r="K125" s="22"/>
      <c r="L125" s="22"/>
      <c r="M125" s="22"/>
      <c r="N125" s="22" t="s">
        <v>323</v>
      </c>
      <c r="O125" s="22"/>
      <c r="P125" s="22"/>
      <c r="Q125" s="22"/>
      <c r="R125" s="22"/>
      <c r="S125" s="22"/>
      <c r="T125" s="22"/>
      <c r="U125" s="22"/>
      <c r="V125" s="22">
        <f t="shared" si="136"/>
        <v>24</v>
      </c>
      <c r="W125" s="22"/>
      <c r="X125" s="22"/>
      <c r="Y125" s="23"/>
      <c r="Z125" s="22" t="s">
        <v>326</v>
      </c>
      <c r="AA125" s="22"/>
      <c r="AB125" s="22"/>
      <c r="AC125" s="22"/>
      <c r="AD125" s="22"/>
      <c r="AE125" s="22" t="str">
        <f t="shared" ref="AE125:AE175" si="138">AE120</f>
        <v>E</v>
      </c>
      <c r="AF125" s="22">
        <v>11</v>
      </c>
      <c r="AG125" s="22" t="s">
        <v>327</v>
      </c>
      <c r="AH125" s="22" t="str">
        <f t="shared" ref="AH125:AH175" si="139">AH120</f>
        <v>E</v>
      </c>
      <c r="AI125" s="22">
        <v>165</v>
      </c>
      <c r="AJ125" s="22"/>
      <c r="AK125" s="22" t="s">
        <v>325</v>
      </c>
      <c r="AL125" s="22"/>
      <c r="AM125" s="22" t="str">
        <f t="shared" ref="AM125" si="140">_xlfn.CONCAT(N125&amp;V125&amp;Z125&amp;AE125&amp;AF125&amp;AG125&amp;AE125&amp;AI125&amp;AK125)</f>
        <v xml:space="preserve"> Workbooks("Ukraine_sponsorship_data_24.ods").Worksheets("UTLA_-_England").Range("E11:E165").Copy _</v>
      </c>
      <c r="AO125" t="s">
        <v>1118</v>
      </c>
    </row>
    <row r="126" spans="2:41" x14ac:dyDescent="0.25">
      <c r="B126" s="22" t="s">
        <v>808</v>
      </c>
      <c r="C126" s="22"/>
      <c r="D126" s="22"/>
      <c r="E126" s="22"/>
      <c r="F126" s="22"/>
      <c r="G126" s="22"/>
      <c r="H126" s="22"/>
      <c r="I126" s="22"/>
      <c r="J126" s="22"/>
      <c r="K126" s="22"/>
      <c r="L126" s="22"/>
      <c r="M126" s="22"/>
      <c r="N126" s="22" t="s">
        <v>809</v>
      </c>
      <c r="O126" s="22"/>
      <c r="P126" s="22"/>
      <c r="Q126" s="22"/>
      <c r="R126" s="22"/>
      <c r="S126" s="22"/>
      <c r="T126" s="22"/>
      <c r="U126" s="22"/>
      <c r="V126" s="22"/>
      <c r="W126" s="22" t="str">
        <f t="shared" ref="W126:W176" si="141">W121</f>
        <v>B</v>
      </c>
      <c r="X126" s="22" t="str">
        <f t="shared" ref="X126:X176" si="142">CHAR(CODE(X121)+1)</f>
        <v>O</v>
      </c>
      <c r="Y126" s="23">
        <v>9</v>
      </c>
      <c r="Z126" s="22" t="s">
        <v>324</v>
      </c>
      <c r="AA126" s="22"/>
      <c r="AB126" s="22"/>
      <c r="AC126" s="22"/>
      <c r="AD126" s="22"/>
      <c r="AE126" s="22"/>
      <c r="AF126" s="22"/>
      <c r="AG126" s="22"/>
      <c r="AH126" s="22"/>
      <c r="AI126" s="22"/>
      <c r="AJ126" s="22"/>
      <c r="AK126" s="22"/>
      <c r="AL126" s="22"/>
      <c r="AM126" s="22" t="str">
        <f t="shared" ref="AM126" si="143">_xlfn.CONCAT(N126&amp;W126&amp;X126&amp;Y126&amp;Z126)</f>
        <v>Workbooks("HFU Forecast UTLA 1.0.xlsm").Worksheets("Combined data").Range("BO9")</v>
      </c>
      <c r="AO126" t="s">
        <v>1037</v>
      </c>
    </row>
    <row r="127" spans="2:41" x14ac:dyDescent="0.25">
      <c r="B127" s="22" t="s">
        <v>339</v>
      </c>
      <c r="C127" s="22"/>
      <c r="D127" s="22"/>
      <c r="E127" s="22"/>
      <c r="F127" s="22"/>
      <c r="G127" s="22"/>
      <c r="H127" s="22"/>
      <c r="I127" s="22"/>
      <c r="J127" s="22"/>
      <c r="K127" s="22"/>
      <c r="L127" s="22"/>
      <c r="M127" s="22"/>
      <c r="N127" s="22"/>
      <c r="O127" s="22"/>
      <c r="P127" s="22"/>
      <c r="Q127" s="22"/>
      <c r="R127" s="22"/>
      <c r="S127" s="22"/>
      <c r="T127" s="22"/>
      <c r="U127" s="22"/>
      <c r="V127" s="22"/>
      <c r="W127" s="22"/>
      <c r="X127" s="22"/>
      <c r="Y127" s="23"/>
      <c r="Z127" s="22"/>
      <c r="AA127" s="22"/>
      <c r="AB127" s="22"/>
      <c r="AC127" s="22"/>
      <c r="AD127" s="22"/>
      <c r="AE127" s="22"/>
      <c r="AF127" s="22"/>
      <c r="AG127" s="22"/>
      <c r="AH127" s="22"/>
      <c r="AI127" s="22"/>
      <c r="AJ127" s="22"/>
      <c r="AK127" s="22"/>
      <c r="AL127" s="22"/>
      <c r="AM127" s="22" t="str">
        <f t="shared" ref="AM127" si="144">B127</f>
        <v>ActiveWorkbook.Close SaveChanges:=False</v>
      </c>
      <c r="AO127" t="s">
        <v>339</v>
      </c>
    </row>
    <row r="129" spans="2:41" x14ac:dyDescent="0.25">
      <c r="B129" s="19" t="s">
        <v>316</v>
      </c>
      <c r="C129" s="19"/>
      <c r="D129" s="19"/>
      <c r="E129" s="19"/>
      <c r="F129" s="19"/>
      <c r="G129" s="19"/>
      <c r="H129" s="19"/>
      <c r="I129" s="19"/>
      <c r="J129" s="19"/>
      <c r="K129" s="19"/>
      <c r="L129" s="19"/>
      <c r="M129" s="19"/>
      <c r="N129" s="19" t="s">
        <v>321</v>
      </c>
      <c r="O129" s="19"/>
      <c r="P129" s="19"/>
      <c r="Q129" s="19"/>
      <c r="R129" s="19"/>
      <c r="S129" s="19"/>
      <c r="T129" s="19"/>
      <c r="U129" s="19"/>
      <c r="V129" s="19">
        <f t="shared" si="129"/>
        <v>25</v>
      </c>
      <c r="W129" s="19"/>
      <c r="X129" s="19"/>
      <c r="Y129" s="21"/>
      <c r="Z129" s="19" t="s">
        <v>322</v>
      </c>
      <c r="AA129" s="19"/>
      <c r="AB129" s="19"/>
      <c r="AC129" s="19"/>
      <c r="AD129" s="19"/>
      <c r="AE129" s="19"/>
      <c r="AF129" s="19"/>
      <c r="AG129" s="19"/>
      <c r="AH129" s="19"/>
      <c r="AI129" s="19"/>
      <c r="AJ129" s="19"/>
      <c r="AK129" s="19"/>
      <c r="AL129" s="19"/>
      <c r="AM129" s="19" t="str">
        <f t="shared" ref="AM129" si="145">+_xlfn.CONCAT(N129&amp;V129&amp;Z129)</f>
        <v xml:space="preserve"> Workbooks.Open "A:\Homes for Ukraine data\Ukraine_sponsorship_data_25.ods"</v>
      </c>
      <c r="AO129" t="s">
        <v>725</v>
      </c>
    </row>
    <row r="130" spans="2:41" x14ac:dyDescent="0.25">
      <c r="B130" s="19" t="s">
        <v>318</v>
      </c>
      <c r="C130" s="19"/>
      <c r="D130" s="19"/>
      <c r="E130" s="19"/>
      <c r="F130" s="19"/>
      <c r="G130" s="19"/>
      <c r="H130" s="19"/>
      <c r="I130" s="19"/>
      <c r="J130" s="19"/>
      <c r="K130" s="19"/>
      <c r="L130" s="19"/>
      <c r="M130" s="19"/>
      <c r="N130" s="19" t="s">
        <v>323</v>
      </c>
      <c r="O130" s="19"/>
      <c r="P130" s="19"/>
      <c r="Q130" s="19"/>
      <c r="R130" s="19"/>
      <c r="S130" s="19"/>
      <c r="T130" s="19"/>
      <c r="U130" s="19"/>
      <c r="V130" s="19">
        <f t="shared" si="129"/>
        <v>25</v>
      </c>
      <c r="W130" s="19"/>
      <c r="X130" s="19"/>
      <c r="Y130" s="21"/>
      <c r="Z130" s="19" t="s">
        <v>326</v>
      </c>
      <c r="AA130" s="19"/>
      <c r="AB130" s="19"/>
      <c r="AC130" s="19"/>
      <c r="AD130" s="19"/>
      <c r="AE130" s="19" t="str">
        <f t="shared" si="131"/>
        <v>E</v>
      </c>
      <c r="AF130" s="19">
        <v>11</v>
      </c>
      <c r="AG130" s="19" t="s">
        <v>327</v>
      </c>
      <c r="AH130" s="19" t="str">
        <f t="shared" si="132"/>
        <v>E</v>
      </c>
      <c r="AI130" s="19">
        <v>165</v>
      </c>
      <c r="AJ130" s="19"/>
      <c r="AK130" s="19" t="s">
        <v>325</v>
      </c>
      <c r="AL130" s="19"/>
      <c r="AM130" s="19" t="str">
        <f t="shared" ref="AM130" si="146">_xlfn.CONCAT(N130&amp;V130&amp;Z130&amp;AE130&amp;AF130&amp;AG130&amp;AE130&amp;AI130&amp;AK130)</f>
        <v xml:space="preserve"> Workbooks("Ukraine_sponsorship_data_25.ods").Worksheets("UTLA_-_England").Range("E11:E165").Copy _</v>
      </c>
      <c r="AO130" t="s">
        <v>1119</v>
      </c>
    </row>
    <row r="131" spans="2:41" x14ac:dyDescent="0.25">
      <c r="B131" s="19" t="s">
        <v>808</v>
      </c>
      <c r="C131" s="19"/>
      <c r="D131" s="19"/>
      <c r="E131" s="19"/>
      <c r="F131" s="19"/>
      <c r="G131" s="19"/>
      <c r="H131" s="19"/>
      <c r="I131" s="19"/>
      <c r="J131" s="19"/>
      <c r="K131" s="19"/>
      <c r="L131" s="19"/>
      <c r="M131" s="19"/>
      <c r="N131" s="19" t="s">
        <v>809</v>
      </c>
      <c r="O131" s="19"/>
      <c r="P131" s="19"/>
      <c r="Q131" s="19"/>
      <c r="R131" s="19"/>
      <c r="S131" s="19"/>
      <c r="T131" s="19"/>
      <c r="U131" s="19"/>
      <c r="V131" s="19"/>
      <c r="W131" s="19" t="s">
        <v>313</v>
      </c>
      <c r="X131" s="19" t="str">
        <f t="shared" si="120"/>
        <v>P</v>
      </c>
      <c r="Y131" s="21">
        <v>9</v>
      </c>
      <c r="Z131" s="19" t="s">
        <v>324</v>
      </c>
      <c r="AA131" s="19"/>
      <c r="AB131" s="19"/>
      <c r="AC131" s="19"/>
      <c r="AD131" s="19"/>
      <c r="AE131" s="19"/>
      <c r="AF131" s="19"/>
      <c r="AG131" s="19"/>
      <c r="AH131" s="19"/>
      <c r="AI131" s="19"/>
      <c r="AJ131" s="19"/>
      <c r="AK131" s="19"/>
      <c r="AL131" s="19"/>
      <c r="AM131" s="19" t="str">
        <f t="shared" ref="AM131" si="147">_xlfn.CONCAT(N131&amp;W131&amp;X131&amp;Y131&amp;Z131)</f>
        <v>Workbooks("HFU Forecast UTLA 1.0.xlsm").Worksheets("Combined data").Range("BP9")</v>
      </c>
      <c r="AO131" t="s">
        <v>1038</v>
      </c>
    </row>
    <row r="132" spans="2:41" x14ac:dyDescent="0.25">
      <c r="B132" s="19" t="s">
        <v>339</v>
      </c>
      <c r="C132" s="19"/>
      <c r="D132" s="19"/>
      <c r="E132" s="19"/>
      <c r="F132" s="19"/>
      <c r="G132" s="19"/>
      <c r="H132" s="19"/>
      <c r="I132" s="19"/>
      <c r="J132" s="19"/>
      <c r="K132" s="19"/>
      <c r="L132" s="19"/>
      <c r="M132" s="19"/>
      <c r="N132" s="19"/>
      <c r="O132" s="19"/>
      <c r="P132" s="19"/>
      <c r="Q132" s="19"/>
      <c r="R132" s="19"/>
      <c r="S132" s="19"/>
      <c r="T132" s="19"/>
      <c r="U132" s="19"/>
      <c r="V132" s="19"/>
      <c r="W132" s="19"/>
      <c r="X132" s="19"/>
      <c r="Y132" s="21"/>
      <c r="Z132" s="19"/>
      <c r="AA132" s="19"/>
      <c r="AB132" s="19"/>
      <c r="AC132" s="19"/>
      <c r="AD132" s="19"/>
      <c r="AE132" s="19"/>
      <c r="AF132" s="19"/>
      <c r="AG132" s="19"/>
      <c r="AH132" s="19"/>
      <c r="AI132" s="19"/>
      <c r="AJ132" s="19"/>
      <c r="AK132" s="19"/>
      <c r="AL132" s="19"/>
      <c r="AM132" s="19" t="str">
        <f t="shared" ref="AM132" si="148">B132</f>
        <v>ActiveWorkbook.Close SaveChanges:=False</v>
      </c>
      <c r="AO132" t="s">
        <v>339</v>
      </c>
    </row>
    <row r="134" spans="2:41" x14ac:dyDescent="0.25">
      <c r="B134" s="22" t="s">
        <v>316</v>
      </c>
      <c r="C134" s="22"/>
      <c r="D134" s="22"/>
      <c r="E134" s="22"/>
      <c r="F134" s="22"/>
      <c r="G134" s="22"/>
      <c r="H134" s="22"/>
      <c r="I134" s="22"/>
      <c r="J134" s="22"/>
      <c r="K134" s="22"/>
      <c r="L134" s="22"/>
      <c r="M134" s="22"/>
      <c r="N134" s="22" t="s">
        <v>321</v>
      </c>
      <c r="O134" s="22"/>
      <c r="P134" s="22"/>
      <c r="Q134" s="22"/>
      <c r="R134" s="22"/>
      <c r="S134" s="22"/>
      <c r="T134" s="22"/>
      <c r="U134" s="22"/>
      <c r="V134" s="22">
        <f t="shared" si="136"/>
        <v>26</v>
      </c>
      <c r="W134" s="22"/>
      <c r="X134" s="22"/>
      <c r="Y134" s="23"/>
      <c r="Z134" s="22" t="s">
        <v>322</v>
      </c>
      <c r="AA134" s="22"/>
      <c r="AB134" s="22"/>
      <c r="AC134" s="22"/>
      <c r="AD134" s="22"/>
      <c r="AE134" s="22"/>
      <c r="AF134" s="22"/>
      <c r="AG134" s="22"/>
      <c r="AH134" s="22"/>
      <c r="AI134" s="22"/>
      <c r="AJ134" s="22"/>
      <c r="AK134" s="22"/>
      <c r="AL134" s="22"/>
      <c r="AM134" s="22" t="str">
        <f t="shared" ref="AM134" si="149">+_xlfn.CONCAT(N134&amp;V134&amp;Z134)</f>
        <v xml:space="preserve"> Workbooks.Open "A:\Homes for Ukraine data\Ukraine_sponsorship_data_26.ods"</v>
      </c>
      <c r="AO134" t="s">
        <v>727</v>
      </c>
    </row>
    <row r="135" spans="2:41" x14ac:dyDescent="0.25">
      <c r="B135" s="22" t="s">
        <v>318</v>
      </c>
      <c r="C135" s="22"/>
      <c r="D135" s="22"/>
      <c r="E135" s="22"/>
      <c r="F135" s="22"/>
      <c r="G135" s="22"/>
      <c r="H135" s="22"/>
      <c r="I135" s="22"/>
      <c r="J135" s="22"/>
      <c r="K135" s="22"/>
      <c r="L135" s="22"/>
      <c r="M135" s="22"/>
      <c r="N135" s="22" t="s">
        <v>323</v>
      </c>
      <c r="O135" s="22"/>
      <c r="P135" s="22"/>
      <c r="Q135" s="22"/>
      <c r="R135" s="22"/>
      <c r="S135" s="22"/>
      <c r="T135" s="22"/>
      <c r="U135" s="22"/>
      <c r="V135" s="22">
        <f t="shared" si="136"/>
        <v>26</v>
      </c>
      <c r="W135" s="22"/>
      <c r="X135" s="22"/>
      <c r="Y135" s="23"/>
      <c r="Z135" s="22" t="s">
        <v>326</v>
      </c>
      <c r="AA135" s="22"/>
      <c r="AB135" s="22"/>
      <c r="AC135" s="22"/>
      <c r="AD135" s="22"/>
      <c r="AE135" s="22" t="str">
        <f t="shared" si="138"/>
        <v>E</v>
      </c>
      <c r="AF135" s="22">
        <v>11</v>
      </c>
      <c r="AG135" s="22" t="s">
        <v>327</v>
      </c>
      <c r="AH135" s="22" t="str">
        <f t="shared" si="139"/>
        <v>E</v>
      </c>
      <c r="AI135" s="22">
        <v>165</v>
      </c>
      <c r="AJ135" s="22"/>
      <c r="AK135" s="22" t="s">
        <v>325</v>
      </c>
      <c r="AL135" s="22"/>
      <c r="AM135" s="22" t="str">
        <f t="shared" ref="AM135" si="150">_xlfn.CONCAT(N135&amp;V135&amp;Z135&amp;AE135&amp;AF135&amp;AG135&amp;AE135&amp;AI135&amp;AK135)</f>
        <v xml:space="preserve"> Workbooks("Ukraine_sponsorship_data_26.ods").Worksheets("UTLA_-_England").Range("E11:E165").Copy _</v>
      </c>
      <c r="AO135" t="s">
        <v>1120</v>
      </c>
    </row>
    <row r="136" spans="2:41" x14ac:dyDescent="0.25">
      <c r="B136" s="22" t="s">
        <v>808</v>
      </c>
      <c r="C136" s="22"/>
      <c r="D136" s="22"/>
      <c r="E136" s="22"/>
      <c r="F136" s="22"/>
      <c r="G136" s="22"/>
      <c r="H136" s="22"/>
      <c r="I136" s="22"/>
      <c r="J136" s="22"/>
      <c r="K136" s="22"/>
      <c r="L136" s="22"/>
      <c r="M136" s="22"/>
      <c r="N136" s="22" t="s">
        <v>809</v>
      </c>
      <c r="O136" s="22"/>
      <c r="P136" s="22"/>
      <c r="Q136" s="22"/>
      <c r="R136" s="22"/>
      <c r="S136" s="22"/>
      <c r="T136" s="22"/>
      <c r="U136" s="22"/>
      <c r="V136" s="22"/>
      <c r="W136" s="22" t="str">
        <f t="shared" si="141"/>
        <v>B</v>
      </c>
      <c r="X136" s="22" t="str">
        <f t="shared" si="142"/>
        <v>Q</v>
      </c>
      <c r="Y136" s="23">
        <v>9</v>
      </c>
      <c r="Z136" s="22" t="s">
        <v>324</v>
      </c>
      <c r="AA136" s="22"/>
      <c r="AB136" s="22"/>
      <c r="AC136" s="22"/>
      <c r="AD136" s="22"/>
      <c r="AE136" s="22"/>
      <c r="AF136" s="22"/>
      <c r="AG136" s="22"/>
      <c r="AH136" s="22"/>
      <c r="AI136" s="22"/>
      <c r="AJ136" s="22"/>
      <c r="AK136" s="22"/>
      <c r="AL136" s="22"/>
      <c r="AM136" s="22" t="str">
        <f t="shared" ref="AM136" si="151">_xlfn.CONCAT(N136&amp;W136&amp;X136&amp;Y136&amp;Z136)</f>
        <v>Workbooks("HFU Forecast UTLA 1.0.xlsm").Worksheets("Combined data").Range("BQ9")</v>
      </c>
      <c r="AO136" t="s">
        <v>1039</v>
      </c>
    </row>
    <row r="137" spans="2:41" x14ac:dyDescent="0.25">
      <c r="B137" s="22" t="s">
        <v>339</v>
      </c>
      <c r="C137" s="22"/>
      <c r="D137" s="22"/>
      <c r="E137" s="22"/>
      <c r="F137" s="22"/>
      <c r="G137" s="22"/>
      <c r="H137" s="22"/>
      <c r="I137" s="22"/>
      <c r="J137" s="22"/>
      <c r="K137" s="22"/>
      <c r="L137" s="22"/>
      <c r="M137" s="22"/>
      <c r="N137" s="22"/>
      <c r="O137" s="22"/>
      <c r="P137" s="22"/>
      <c r="Q137" s="22"/>
      <c r="R137" s="22"/>
      <c r="S137" s="22"/>
      <c r="T137" s="22"/>
      <c r="U137" s="22"/>
      <c r="V137" s="22"/>
      <c r="W137" s="22"/>
      <c r="X137" s="22"/>
      <c r="Y137" s="23"/>
      <c r="Z137" s="22"/>
      <c r="AA137" s="22"/>
      <c r="AB137" s="22"/>
      <c r="AC137" s="22"/>
      <c r="AD137" s="22"/>
      <c r="AE137" s="22"/>
      <c r="AF137" s="22"/>
      <c r="AG137" s="22"/>
      <c r="AH137" s="22"/>
      <c r="AI137" s="22"/>
      <c r="AJ137" s="22"/>
      <c r="AK137" s="22"/>
      <c r="AL137" s="22"/>
      <c r="AM137" s="22" t="str">
        <f t="shared" ref="AM137" si="152">B137</f>
        <v>ActiveWorkbook.Close SaveChanges:=False</v>
      </c>
      <c r="AO137" t="s">
        <v>339</v>
      </c>
    </row>
    <row r="139" spans="2:41" x14ac:dyDescent="0.25">
      <c r="B139" s="19" t="s">
        <v>316</v>
      </c>
      <c r="C139" s="19"/>
      <c r="D139" s="19"/>
      <c r="E139" s="19"/>
      <c r="F139" s="19"/>
      <c r="G139" s="19"/>
      <c r="H139" s="19"/>
      <c r="I139" s="19"/>
      <c r="J139" s="19"/>
      <c r="K139" s="19"/>
      <c r="L139" s="19"/>
      <c r="M139" s="19"/>
      <c r="N139" s="19" t="s">
        <v>321</v>
      </c>
      <c r="O139" s="19"/>
      <c r="P139" s="19"/>
      <c r="Q139" s="19"/>
      <c r="R139" s="19"/>
      <c r="S139" s="19"/>
      <c r="T139" s="19"/>
      <c r="U139" s="19"/>
      <c r="V139" s="19">
        <f t="shared" si="129"/>
        <v>27</v>
      </c>
      <c r="W139" s="19"/>
      <c r="X139" s="19"/>
      <c r="Y139" s="21"/>
      <c r="Z139" s="19" t="s">
        <v>322</v>
      </c>
      <c r="AA139" s="19"/>
      <c r="AB139" s="19"/>
      <c r="AC139" s="19"/>
      <c r="AD139" s="19"/>
      <c r="AE139" s="19"/>
      <c r="AF139" s="19"/>
      <c r="AG139" s="19"/>
      <c r="AH139" s="19"/>
      <c r="AI139" s="19"/>
      <c r="AJ139" s="19"/>
      <c r="AK139" s="19"/>
      <c r="AL139" s="19"/>
      <c r="AM139" s="19" t="str">
        <f t="shared" ref="AM139" si="153">+_xlfn.CONCAT(N139&amp;V139&amp;Z139)</f>
        <v xml:space="preserve"> Workbooks.Open "A:\Homes for Ukraine data\Ukraine_sponsorship_data_27.ods"</v>
      </c>
      <c r="AO139" t="s">
        <v>729</v>
      </c>
    </row>
    <row r="140" spans="2:41" x14ac:dyDescent="0.25">
      <c r="B140" s="19" t="s">
        <v>318</v>
      </c>
      <c r="C140" s="19"/>
      <c r="D140" s="19"/>
      <c r="E140" s="19"/>
      <c r="F140" s="19"/>
      <c r="G140" s="19"/>
      <c r="H140" s="19"/>
      <c r="I140" s="19"/>
      <c r="J140" s="19"/>
      <c r="K140" s="19"/>
      <c r="L140" s="19"/>
      <c r="M140" s="19"/>
      <c r="N140" s="19" t="s">
        <v>323</v>
      </c>
      <c r="O140" s="19"/>
      <c r="P140" s="19"/>
      <c r="Q140" s="19"/>
      <c r="R140" s="19"/>
      <c r="S140" s="19"/>
      <c r="T140" s="19"/>
      <c r="U140" s="19"/>
      <c r="V140" s="19">
        <f t="shared" si="129"/>
        <v>27</v>
      </c>
      <c r="W140" s="19"/>
      <c r="X140" s="19"/>
      <c r="Y140" s="21"/>
      <c r="Z140" s="19" t="s">
        <v>326</v>
      </c>
      <c r="AA140" s="19"/>
      <c r="AB140" s="19"/>
      <c r="AC140" s="19"/>
      <c r="AD140" s="19"/>
      <c r="AE140" s="19" t="str">
        <f t="shared" si="131"/>
        <v>E</v>
      </c>
      <c r="AF140" s="19">
        <v>11</v>
      </c>
      <c r="AG140" s="19" t="s">
        <v>327</v>
      </c>
      <c r="AH140" s="19" t="str">
        <f t="shared" si="132"/>
        <v>E</v>
      </c>
      <c r="AI140" s="19">
        <v>165</v>
      </c>
      <c r="AJ140" s="19"/>
      <c r="AK140" s="19" t="s">
        <v>325</v>
      </c>
      <c r="AL140" s="19"/>
      <c r="AM140" s="19" t="str">
        <f t="shared" ref="AM140" si="154">_xlfn.CONCAT(N140&amp;V140&amp;Z140&amp;AE140&amp;AF140&amp;AG140&amp;AE140&amp;AI140&amp;AK140)</f>
        <v xml:space="preserve"> Workbooks("Ukraine_sponsorship_data_27.ods").Worksheets("UTLA_-_England").Range("E11:E165").Copy _</v>
      </c>
      <c r="AO140" t="s">
        <v>1121</v>
      </c>
    </row>
    <row r="141" spans="2:41" x14ac:dyDescent="0.25">
      <c r="B141" s="19" t="s">
        <v>808</v>
      </c>
      <c r="C141" s="19"/>
      <c r="D141" s="19"/>
      <c r="E141" s="19"/>
      <c r="F141" s="19"/>
      <c r="G141" s="19"/>
      <c r="H141" s="19"/>
      <c r="I141" s="19"/>
      <c r="J141" s="19"/>
      <c r="K141" s="19"/>
      <c r="L141" s="19"/>
      <c r="M141" s="19"/>
      <c r="N141" s="19" t="s">
        <v>809</v>
      </c>
      <c r="O141" s="19"/>
      <c r="P141" s="19"/>
      <c r="Q141" s="19"/>
      <c r="R141" s="19"/>
      <c r="S141" s="19"/>
      <c r="T141" s="19"/>
      <c r="U141" s="19"/>
      <c r="V141" s="19"/>
      <c r="W141" s="19" t="s">
        <v>313</v>
      </c>
      <c r="X141" s="19" t="str">
        <f t="shared" si="120"/>
        <v>R</v>
      </c>
      <c r="Y141" s="21">
        <v>9</v>
      </c>
      <c r="Z141" s="19" t="s">
        <v>324</v>
      </c>
      <c r="AA141" s="19"/>
      <c r="AB141" s="19"/>
      <c r="AC141" s="19"/>
      <c r="AD141" s="19"/>
      <c r="AE141" s="19"/>
      <c r="AF141" s="19"/>
      <c r="AG141" s="19"/>
      <c r="AH141" s="19"/>
      <c r="AI141" s="19"/>
      <c r="AJ141" s="19"/>
      <c r="AK141" s="19"/>
      <c r="AL141" s="19"/>
      <c r="AM141" s="19" t="str">
        <f t="shared" ref="AM141" si="155">_xlfn.CONCAT(N141&amp;W141&amp;X141&amp;Y141&amp;Z141)</f>
        <v>Workbooks("HFU Forecast UTLA 1.0.xlsm").Worksheets("Combined data").Range("BR9")</v>
      </c>
      <c r="AO141" t="s">
        <v>1040</v>
      </c>
    </row>
    <row r="142" spans="2:41" x14ac:dyDescent="0.25">
      <c r="B142" s="19" t="s">
        <v>339</v>
      </c>
      <c r="C142" s="19"/>
      <c r="D142" s="19"/>
      <c r="E142" s="19"/>
      <c r="F142" s="19"/>
      <c r="G142" s="19"/>
      <c r="H142" s="19"/>
      <c r="I142" s="19"/>
      <c r="J142" s="19"/>
      <c r="K142" s="19"/>
      <c r="L142" s="19"/>
      <c r="M142" s="19"/>
      <c r="N142" s="19"/>
      <c r="O142" s="19"/>
      <c r="P142" s="19"/>
      <c r="Q142" s="19"/>
      <c r="R142" s="19"/>
      <c r="S142" s="19"/>
      <c r="T142" s="19"/>
      <c r="U142" s="19"/>
      <c r="V142" s="19"/>
      <c r="W142" s="19"/>
      <c r="X142" s="19"/>
      <c r="Y142" s="21"/>
      <c r="Z142" s="19"/>
      <c r="AA142" s="19"/>
      <c r="AB142" s="19"/>
      <c r="AC142" s="19"/>
      <c r="AD142" s="19"/>
      <c r="AE142" s="19"/>
      <c r="AF142" s="19"/>
      <c r="AG142" s="19"/>
      <c r="AH142" s="19"/>
      <c r="AI142" s="19"/>
      <c r="AJ142" s="19"/>
      <c r="AK142" s="19"/>
      <c r="AL142" s="19"/>
      <c r="AM142" s="19" t="str">
        <f t="shared" ref="AM142" si="156">B142</f>
        <v>ActiveWorkbook.Close SaveChanges:=False</v>
      </c>
      <c r="AO142" t="s">
        <v>339</v>
      </c>
    </row>
    <row r="144" spans="2:41" x14ac:dyDescent="0.25">
      <c r="B144" s="22" t="s">
        <v>316</v>
      </c>
      <c r="C144" s="22"/>
      <c r="D144" s="22"/>
      <c r="E144" s="22"/>
      <c r="F144" s="22"/>
      <c r="G144" s="22"/>
      <c r="H144" s="22"/>
      <c r="I144" s="22"/>
      <c r="J144" s="22"/>
      <c r="K144" s="22"/>
      <c r="L144" s="22"/>
      <c r="M144" s="22"/>
      <c r="N144" s="22" t="s">
        <v>321</v>
      </c>
      <c r="O144" s="22"/>
      <c r="P144" s="22"/>
      <c r="Q144" s="22"/>
      <c r="R144" s="22"/>
      <c r="S144" s="22"/>
      <c r="T144" s="22"/>
      <c r="U144" s="22"/>
      <c r="V144" s="22">
        <f t="shared" si="136"/>
        <v>28</v>
      </c>
      <c r="W144" s="22"/>
      <c r="X144" s="22"/>
      <c r="Y144" s="23"/>
      <c r="Z144" s="22" t="s">
        <v>322</v>
      </c>
      <c r="AA144" s="22"/>
      <c r="AB144" s="22"/>
      <c r="AC144" s="22"/>
      <c r="AD144" s="22"/>
      <c r="AE144" s="22"/>
      <c r="AF144" s="22"/>
      <c r="AG144" s="22"/>
      <c r="AH144" s="22"/>
      <c r="AI144" s="22"/>
      <c r="AJ144" s="22"/>
      <c r="AK144" s="22"/>
      <c r="AL144" s="22"/>
      <c r="AM144" s="22" t="str">
        <f t="shared" ref="AM144" si="157">+_xlfn.CONCAT(N144&amp;V144&amp;Z144)</f>
        <v xml:space="preserve"> Workbooks.Open "A:\Homes for Ukraine data\Ukraine_sponsorship_data_28.ods"</v>
      </c>
      <c r="AO144" t="s">
        <v>731</v>
      </c>
    </row>
    <row r="145" spans="2:41" x14ac:dyDescent="0.25">
      <c r="B145" s="22" t="s">
        <v>318</v>
      </c>
      <c r="C145" s="22"/>
      <c r="D145" s="22"/>
      <c r="E145" s="22"/>
      <c r="F145" s="22"/>
      <c r="G145" s="22"/>
      <c r="H145" s="22"/>
      <c r="I145" s="22"/>
      <c r="J145" s="22"/>
      <c r="K145" s="22"/>
      <c r="L145" s="22"/>
      <c r="M145" s="22"/>
      <c r="N145" s="22" t="s">
        <v>323</v>
      </c>
      <c r="O145" s="22"/>
      <c r="P145" s="22"/>
      <c r="Q145" s="22"/>
      <c r="R145" s="22"/>
      <c r="S145" s="22"/>
      <c r="T145" s="22"/>
      <c r="U145" s="22"/>
      <c r="V145" s="22">
        <f t="shared" si="136"/>
        <v>28</v>
      </c>
      <c r="W145" s="22"/>
      <c r="X145" s="22"/>
      <c r="Y145" s="23"/>
      <c r="Z145" s="22" t="s">
        <v>326</v>
      </c>
      <c r="AA145" s="22"/>
      <c r="AB145" s="22"/>
      <c r="AC145" s="22"/>
      <c r="AD145" s="22"/>
      <c r="AE145" s="22" t="str">
        <f t="shared" si="138"/>
        <v>E</v>
      </c>
      <c r="AF145" s="22">
        <v>11</v>
      </c>
      <c r="AG145" s="22" t="s">
        <v>327</v>
      </c>
      <c r="AH145" s="22" t="str">
        <f t="shared" si="139"/>
        <v>E</v>
      </c>
      <c r="AI145" s="22">
        <v>165</v>
      </c>
      <c r="AJ145" s="22"/>
      <c r="AK145" s="22" t="s">
        <v>325</v>
      </c>
      <c r="AL145" s="22"/>
      <c r="AM145" s="22" t="str">
        <f t="shared" ref="AM145" si="158">_xlfn.CONCAT(N145&amp;V145&amp;Z145&amp;AE145&amp;AF145&amp;AG145&amp;AE145&amp;AI145&amp;AK145)</f>
        <v xml:space="preserve"> Workbooks("Ukraine_sponsorship_data_28.ods").Worksheets("UTLA_-_England").Range("E11:E165").Copy _</v>
      </c>
      <c r="AO145" t="s">
        <v>1122</v>
      </c>
    </row>
    <row r="146" spans="2:41" x14ac:dyDescent="0.25">
      <c r="B146" s="22" t="s">
        <v>808</v>
      </c>
      <c r="C146" s="22"/>
      <c r="D146" s="22"/>
      <c r="E146" s="22"/>
      <c r="F146" s="22"/>
      <c r="G146" s="22"/>
      <c r="H146" s="22"/>
      <c r="I146" s="22"/>
      <c r="J146" s="22"/>
      <c r="K146" s="22"/>
      <c r="L146" s="22"/>
      <c r="M146" s="22"/>
      <c r="N146" s="22" t="s">
        <v>809</v>
      </c>
      <c r="O146" s="22"/>
      <c r="P146" s="22"/>
      <c r="Q146" s="22"/>
      <c r="R146" s="22"/>
      <c r="S146" s="22"/>
      <c r="T146" s="22"/>
      <c r="U146" s="22"/>
      <c r="V146" s="22"/>
      <c r="W146" s="22" t="str">
        <f t="shared" si="141"/>
        <v>B</v>
      </c>
      <c r="X146" s="22" t="str">
        <f t="shared" si="142"/>
        <v>S</v>
      </c>
      <c r="Y146" s="23">
        <v>9</v>
      </c>
      <c r="Z146" s="22" t="s">
        <v>324</v>
      </c>
      <c r="AA146" s="22"/>
      <c r="AB146" s="22"/>
      <c r="AC146" s="22"/>
      <c r="AD146" s="22"/>
      <c r="AE146" s="22"/>
      <c r="AF146" s="22"/>
      <c r="AG146" s="22"/>
      <c r="AH146" s="22"/>
      <c r="AI146" s="22"/>
      <c r="AJ146" s="22"/>
      <c r="AK146" s="22"/>
      <c r="AL146" s="22"/>
      <c r="AM146" s="22" t="str">
        <f t="shared" ref="AM146" si="159">_xlfn.CONCAT(N146&amp;W146&amp;X146&amp;Y146&amp;Z146)</f>
        <v>Workbooks("HFU Forecast UTLA 1.0.xlsm").Worksheets("Combined data").Range("BS9")</v>
      </c>
      <c r="AO146" t="s">
        <v>1041</v>
      </c>
    </row>
    <row r="147" spans="2:41" x14ac:dyDescent="0.25">
      <c r="B147" s="22" t="s">
        <v>339</v>
      </c>
      <c r="C147" s="22"/>
      <c r="D147" s="22"/>
      <c r="E147" s="22"/>
      <c r="F147" s="22"/>
      <c r="G147" s="22"/>
      <c r="H147" s="22"/>
      <c r="I147" s="22"/>
      <c r="J147" s="22"/>
      <c r="K147" s="22"/>
      <c r="L147" s="22"/>
      <c r="M147" s="22"/>
      <c r="N147" s="22"/>
      <c r="O147" s="22"/>
      <c r="P147" s="22"/>
      <c r="Q147" s="22"/>
      <c r="R147" s="22"/>
      <c r="S147" s="22"/>
      <c r="T147" s="22"/>
      <c r="U147" s="22"/>
      <c r="V147" s="22"/>
      <c r="W147" s="22"/>
      <c r="X147" s="22"/>
      <c r="Y147" s="23"/>
      <c r="Z147" s="22"/>
      <c r="AA147" s="22"/>
      <c r="AB147" s="22"/>
      <c r="AC147" s="22"/>
      <c r="AD147" s="22"/>
      <c r="AE147" s="22"/>
      <c r="AF147" s="22"/>
      <c r="AG147" s="22"/>
      <c r="AH147" s="22"/>
      <c r="AI147" s="22"/>
      <c r="AJ147" s="22"/>
      <c r="AK147" s="22"/>
      <c r="AL147" s="22"/>
      <c r="AM147" s="22" t="str">
        <f t="shared" ref="AM147" si="160">B147</f>
        <v>ActiveWorkbook.Close SaveChanges:=False</v>
      </c>
      <c r="AO147" t="s">
        <v>339</v>
      </c>
    </row>
    <row r="149" spans="2:41" x14ac:dyDescent="0.25">
      <c r="B149" s="19" t="s">
        <v>316</v>
      </c>
      <c r="C149" s="19"/>
      <c r="D149" s="19"/>
      <c r="E149" s="19"/>
      <c r="F149" s="19"/>
      <c r="G149" s="19"/>
      <c r="H149" s="19"/>
      <c r="I149" s="19"/>
      <c r="J149" s="19"/>
      <c r="K149" s="19"/>
      <c r="L149" s="19"/>
      <c r="M149" s="19"/>
      <c r="N149" s="19" t="s">
        <v>321</v>
      </c>
      <c r="O149" s="19"/>
      <c r="P149" s="19"/>
      <c r="Q149" s="19"/>
      <c r="R149" s="19"/>
      <c r="S149" s="19"/>
      <c r="T149" s="19"/>
      <c r="U149" s="19"/>
      <c r="V149" s="19">
        <f t="shared" si="129"/>
        <v>29</v>
      </c>
      <c r="W149" s="19"/>
      <c r="X149" s="19"/>
      <c r="Y149" s="21"/>
      <c r="Z149" s="19" t="s">
        <v>322</v>
      </c>
      <c r="AA149" s="19"/>
      <c r="AB149" s="19"/>
      <c r="AC149" s="19"/>
      <c r="AD149" s="19"/>
      <c r="AE149" s="19"/>
      <c r="AF149" s="19"/>
      <c r="AG149" s="19"/>
      <c r="AH149" s="19"/>
      <c r="AI149" s="19"/>
      <c r="AJ149" s="19"/>
      <c r="AK149" s="19"/>
      <c r="AL149" s="19"/>
      <c r="AM149" s="19" t="str">
        <f t="shared" ref="AM149" si="161">+_xlfn.CONCAT(N149&amp;V149&amp;Z149)</f>
        <v xml:space="preserve"> Workbooks.Open "A:\Homes for Ukraine data\Ukraine_sponsorship_data_29.ods"</v>
      </c>
      <c r="AO149" t="s">
        <v>733</v>
      </c>
    </row>
    <row r="150" spans="2:41" x14ac:dyDescent="0.25">
      <c r="B150" s="19" t="s">
        <v>318</v>
      </c>
      <c r="C150" s="19"/>
      <c r="D150" s="19"/>
      <c r="E150" s="19"/>
      <c r="F150" s="19"/>
      <c r="G150" s="19"/>
      <c r="H150" s="19"/>
      <c r="I150" s="19"/>
      <c r="J150" s="19"/>
      <c r="K150" s="19"/>
      <c r="L150" s="19"/>
      <c r="M150" s="19"/>
      <c r="N150" s="19" t="s">
        <v>323</v>
      </c>
      <c r="O150" s="19"/>
      <c r="P150" s="19"/>
      <c r="Q150" s="19"/>
      <c r="R150" s="19"/>
      <c r="S150" s="19"/>
      <c r="T150" s="19"/>
      <c r="U150" s="19"/>
      <c r="V150" s="19">
        <f t="shared" si="129"/>
        <v>29</v>
      </c>
      <c r="W150" s="19"/>
      <c r="X150" s="19"/>
      <c r="Y150" s="21"/>
      <c r="Z150" s="19" t="s">
        <v>326</v>
      </c>
      <c r="AA150" s="19"/>
      <c r="AB150" s="19"/>
      <c r="AC150" s="19"/>
      <c r="AD150" s="19"/>
      <c r="AE150" s="19" t="str">
        <f t="shared" si="131"/>
        <v>E</v>
      </c>
      <c r="AF150" s="19">
        <v>11</v>
      </c>
      <c r="AG150" s="19" t="s">
        <v>327</v>
      </c>
      <c r="AH150" s="19" t="str">
        <f t="shared" si="132"/>
        <v>E</v>
      </c>
      <c r="AI150" s="19">
        <v>165</v>
      </c>
      <c r="AJ150" s="19"/>
      <c r="AK150" s="19" t="s">
        <v>325</v>
      </c>
      <c r="AL150" s="19"/>
      <c r="AM150" s="19" t="str">
        <f t="shared" ref="AM150" si="162">_xlfn.CONCAT(N150&amp;V150&amp;Z150&amp;AE150&amp;AF150&amp;AG150&amp;AE150&amp;AI150&amp;AK150)</f>
        <v xml:space="preserve"> Workbooks("Ukraine_sponsorship_data_29.ods").Worksheets("UTLA_-_England").Range("E11:E165").Copy _</v>
      </c>
      <c r="AO150" t="s">
        <v>1123</v>
      </c>
    </row>
    <row r="151" spans="2:41" x14ac:dyDescent="0.25">
      <c r="B151" s="19" t="s">
        <v>808</v>
      </c>
      <c r="C151" s="19"/>
      <c r="D151" s="19"/>
      <c r="E151" s="19"/>
      <c r="F151" s="19"/>
      <c r="G151" s="19"/>
      <c r="H151" s="19"/>
      <c r="I151" s="19"/>
      <c r="J151" s="19"/>
      <c r="K151" s="19"/>
      <c r="L151" s="19"/>
      <c r="M151" s="19"/>
      <c r="N151" s="19" t="s">
        <v>809</v>
      </c>
      <c r="O151" s="19"/>
      <c r="P151" s="19"/>
      <c r="Q151" s="19"/>
      <c r="R151" s="19"/>
      <c r="S151" s="19"/>
      <c r="T151" s="19"/>
      <c r="U151" s="19"/>
      <c r="V151" s="19"/>
      <c r="W151" s="19" t="s">
        <v>313</v>
      </c>
      <c r="X151" s="19" t="str">
        <f t="shared" si="120"/>
        <v>T</v>
      </c>
      <c r="Y151" s="21">
        <v>9</v>
      </c>
      <c r="Z151" s="19" t="s">
        <v>324</v>
      </c>
      <c r="AA151" s="19"/>
      <c r="AB151" s="19"/>
      <c r="AC151" s="19"/>
      <c r="AD151" s="19"/>
      <c r="AE151" s="19"/>
      <c r="AF151" s="19"/>
      <c r="AG151" s="19"/>
      <c r="AH151" s="19"/>
      <c r="AI151" s="19"/>
      <c r="AJ151" s="19"/>
      <c r="AK151" s="19"/>
      <c r="AL151" s="19"/>
      <c r="AM151" s="19" t="str">
        <f t="shared" ref="AM151" si="163">_xlfn.CONCAT(N151&amp;W151&amp;X151&amp;Y151&amp;Z151)</f>
        <v>Workbooks("HFU Forecast UTLA 1.0.xlsm").Worksheets("Combined data").Range("BT9")</v>
      </c>
      <c r="AO151" t="s">
        <v>1042</v>
      </c>
    </row>
    <row r="152" spans="2:41" x14ac:dyDescent="0.25">
      <c r="B152" s="19" t="s">
        <v>339</v>
      </c>
      <c r="C152" s="19"/>
      <c r="D152" s="19"/>
      <c r="E152" s="19"/>
      <c r="F152" s="19"/>
      <c r="G152" s="19"/>
      <c r="H152" s="19"/>
      <c r="I152" s="19"/>
      <c r="J152" s="19"/>
      <c r="K152" s="19"/>
      <c r="L152" s="19"/>
      <c r="M152" s="19"/>
      <c r="N152" s="19"/>
      <c r="O152" s="19"/>
      <c r="P152" s="19"/>
      <c r="Q152" s="19"/>
      <c r="R152" s="19"/>
      <c r="S152" s="19"/>
      <c r="T152" s="19"/>
      <c r="U152" s="19"/>
      <c r="V152" s="19"/>
      <c r="W152" s="19"/>
      <c r="X152" s="19"/>
      <c r="Y152" s="21"/>
      <c r="Z152" s="19"/>
      <c r="AA152" s="19"/>
      <c r="AB152" s="19"/>
      <c r="AC152" s="19"/>
      <c r="AD152" s="19"/>
      <c r="AE152" s="19"/>
      <c r="AF152" s="19"/>
      <c r="AG152" s="19"/>
      <c r="AH152" s="19"/>
      <c r="AI152" s="19"/>
      <c r="AJ152" s="19"/>
      <c r="AK152" s="19"/>
      <c r="AL152" s="19"/>
      <c r="AM152" s="19" t="str">
        <f t="shared" ref="AM152" si="164">B152</f>
        <v>ActiveWorkbook.Close SaveChanges:=False</v>
      </c>
      <c r="AO152" t="s">
        <v>339</v>
      </c>
    </row>
    <row r="154" spans="2:41" x14ac:dyDescent="0.25">
      <c r="B154" s="22" t="s">
        <v>316</v>
      </c>
      <c r="C154" s="22"/>
      <c r="D154" s="22"/>
      <c r="E154" s="22"/>
      <c r="F154" s="22"/>
      <c r="G154" s="22"/>
      <c r="H154" s="22"/>
      <c r="I154" s="22"/>
      <c r="J154" s="22"/>
      <c r="K154" s="22"/>
      <c r="L154" s="22"/>
      <c r="M154" s="22"/>
      <c r="N154" s="22" t="s">
        <v>321</v>
      </c>
      <c r="O154" s="22"/>
      <c r="P154" s="22"/>
      <c r="Q154" s="22"/>
      <c r="R154" s="22"/>
      <c r="S154" s="22"/>
      <c r="T154" s="22"/>
      <c r="U154" s="22"/>
      <c r="V154" s="22">
        <f t="shared" si="136"/>
        <v>30</v>
      </c>
      <c r="W154" s="22"/>
      <c r="X154" s="22"/>
      <c r="Y154" s="23"/>
      <c r="Z154" s="22" t="s">
        <v>322</v>
      </c>
      <c r="AA154" s="22"/>
      <c r="AB154" s="22"/>
      <c r="AC154" s="22"/>
      <c r="AD154" s="22"/>
      <c r="AE154" s="22"/>
      <c r="AF154" s="22"/>
      <c r="AG154" s="22"/>
      <c r="AH154" s="22"/>
      <c r="AI154" s="22"/>
      <c r="AJ154" s="22"/>
      <c r="AK154" s="22"/>
      <c r="AL154" s="22"/>
      <c r="AM154" s="22" t="str">
        <f t="shared" ref="AM154" si="165">+_xlfn.CONCAT(N154&amp;V154&amp;Z154)</f>
        <v xml:space="preserve"> Workbooks.Open "A:\Homes for Ukraine data\Ukraine_sponsorship_data_30.ods"</v>
      </c>
      <c r="AO154" t="s">
        <v>735</v>
      </c>
    </row>
    <row r="155" spans="2:41" x14ac:dyDescent="0.25">
      <c r="B155" s="22" t="s">
        <v>318</v>
      </c>
      <c r="C155" s="22"/>
      <c r="D155" s="22"/>
      <c r="E155" s="22"/>
      <c r="F155" s="22"/>
      <c r="G155" s="22"/>
      <c r="H155" s="22"/>
      <c r="I155" s="22"/>
      <c r="J155" s="22"/>
      <c r="K155" s="22"/>
      <c r="L155" s="22"/>
      <c r="M155" s="22"/>
      <c r="N155" s="22" t="s">
        <v>323</v>
      </c>
      <c r="O155" s="22"/>
      <c r="P155" s="22"/>
      <c r="Q155" s="22"/>
      <c r="R155" s="22"/>
      <c r="S155" s="22"/>
      <c r="T155" s="22"/>
      <c r="U155" s="22"/>
      <c r="V155" s="22">
        <f t="shared" si="136"/>
        <v>30</v>
      </c>
      <c r="W155" s="22"/>
      <c r="X155" s="22"/>
      <c r="Y155" s="23"/>
      <c r="Z155" s="22" t="s">
        <v>326</v>
      </c>
      <c r="AA155" s="22"/>
      <c r="AB155" s="22"/>
      <c r="AC155" s="22"/>
      <c r="AD155" s="22"/>
      <c r="AE155" s="22" t="str">
        <f t="shared" si="138"/>
        <v>E</v>
      </c>
      <c r="AF155" s="22">
        <v>11</v>
      </c>
      <c r="AG155" s="22" t="s">
        <v>327</v>
      </c>
      <c r="AH155" s="22" t="str">
        <f t="shared" si="139"/>
        <v>E</v>
      </c>
      <c r="AI155" s="22">
        <v>165</v>
      </c>
      <c r="AJ155" s="22"/>
      <c r="AK155" s="22" t="s">
        <v>325</v>
      </c>
      <c r="AL155" s="22"/>
      <c r="AM155" s="22" t="str">
        <f t="shared" ref="AM155" si="166">_xlfn.CONCAT(N155&amp;V155&amp;Z155&amp;AE155&amp;AF155&amp;AG155&amp;AE155&amp;AI155&amp;AK155)</f>
        <v xml:space="preserve"> Workbooks("Ukraine_sponsorship_data_30.ods").Worksheets("UTLA_-_England").Range("E11:E165").Copy _</v>
      </c>
      <c r="AO155" t="s">
        <v>1124</v>
      </c>
    </row>
    <row r="156" spans="2:41" x14ac:dyDescent="0.25">
      <c r="B156" s="22" t="s">
        <v>808</v>
      </c>
      <c r="C156" s="22"/>
      <c r="D156" s="22"/>
      <c r="E156" s="22"/>
      <c r="F156" s="22"/>
      <c r="G156" s="22"/>
      <c r="H156" s="22"/>
      <c r="I156" s="22"/>
      <c r="J156" s="22"/>
      <c r="K156" s="22"/>
      <c r="L156" s="22"/>
      <c r="M156" s="22"/>
      <c r="N156" s="22" t="s">
        <v>809</v>
      </c>
      <c r="O156" s="22"/>
      <c r="P156" s="22"/>
      <c r="Q156" s="22"/>
      <c r="R156" s="22"/>
      <c r="S156" s="22"/>
      <c r="T156" s="22"/>
      <c r="U156" s="22"/>
      <c r="V156" s="22"/>
      <c r="W156" s="22" t="str">
        <f t="shared" si="141"/>
        <v>B</v>
      </c>
      <c r="X156" s="22" t="str">
        <f t="shared" si="142"/>
        <v>U</v>
      </c>
      <c r="Y156" s="23">
        <v>9</v>
      </c>
      <c r="Z156" s="22" t="s">
        <v>324</v>
      </c>
      <c r="AA156" s="22"/>
      <c r="AB156" s="22"/>
      <c r="AC156" s="22"/>
      <c r="AD156" s="22"/>
      <c r="AE156" s="22"/>
      <c r="AF156" s="22"/>
      <c r="AG156" s="22"/>
      <c r="AH156" s="22"/>
      <c r="AI156" s="22"/>
      <c r="AJ156" s="22"/>
      <c r="AK156" s="22"/>
      <c r="AL156" s="22"/>
      <c r="AM156" s="22" t="str">
        <f t="shared" ref="AM156" si="167">_xlfn.CONCAT(N156&amp;W156&amp;X156&amp;Y156&amp;Z156)</f>
        <v>Workbooks("HFU Forecast UTLA 1.0.xlsm").Worksheets("Combined data").Range("BU9")</v>
      </c>
      <c r="AO156" t="s">
        <v>1043</v>
      </c>
    </row>
    <row r="157" spans="2:41" x14ac:dyDescent="0.25">
      <c r="B157" s="22" t="s">
        <v>339</v>
      </c>
      <c r="C157" s="22"/>
      <c r="D157" s="22"/>
      <c r="E157" s="22"/>
      <c r="F157" s="22"/>
      <c r="G157" s="22"/>
      <c r="H157" s="22"/>
      <c r="I157" s="22"/>
      <c r="J157" s="22"/>
      <c r="K157" s="22"/>
      <c r="L157" s="22"/>
      <c r="M157" s="22"/>
      <c r="N157" s="22"/>
      <c r="O157" s="22"/>
      <c r="P157" s="22"/>
      <c r="Q157" s="22"/>
      <c r="R157" s="22"/>
      <c r="S157" s="22"/>
      <c r="T157" s="22"/>
      <c r="U157" s="22"/>
      <c r="V157" s="22"/>
      <c r="W157" s="22"/>
      <c r="X157" s="22"/>
      <c r="Y157" s="23"/>
      <c r="Z157" s="22"/>
      <c r="AA157" s="22"/>
      <c r="AB157" s="22"/>
      <c r="AC157" s="22"/>
      <c r="AD157" s="22"/>
      <c r="AE157" s="22"/>
      <c r="AF157" s="22"/>
      <c r="AG157" s="22"/>
      <c r="AH157" s="22"/>
      <c r="AI157" s="22"/>
      <c r="AJ157" s="22"/>
      <c r="AK157" s="22"/>
      <c r="AL157" s="22"/>
      <c r="AM157" s="22" t="str">
        <f t="shared" ref="AM157" si="168">B157</f>
        <v>ActiveWorkbook.Close SaveChanges:=False</v>
      </c>
      <c r="AO157" t="s">
        <v>339</v>
      </c>
    </row>
    <row r="159" spans="2:41" x14ac:dyDescent="0.25">
      <c r="B159" s="19" t="s">
        <v>316</v>
      </c>
      <c r="C159" s="19"/>
      <c r="D159" s="19"/>
      <c r="E159" s="19"/>
      <c r="F159" s="19"/>
      <c r="G159" s="19"/>
      <c r="H159" s="19"/>
      <c r="I159" s="19"/>
      <c r="J159" s="19"/>
      <c r="K159" s="19"/>
      <c r="L159" s="19"/>
      <c r="M159" s="19"/>
      <c r="N159" s="19" t="s">
        <v>321</v>
      </c>
      <c r="O159" s="19"/>
      <c r="P159" s="19"/>
      <c r="Q159" s="19"/>
      <c r="R159" s="19"/>
      <c r="S159" s="19"/>
      <c r="T159" s="19"/>
      <c r="U159" s="19"/>
      <c r="V159" s="19">
        <f t="shared" si="129"/>
        <v>31</v>
      </c>
      <c r="W159" s="19"/>
      <c r="X159" s="19"/>
      <c r="Y159" s="21"/>
      <c r="Z159" s="19" t="s">
        <v>322</v>
      </c>
      <c r="AA159" s="19"/>
      <c r="AB159" s="19"/>
      <c r="AC159" s="19"/>
      <c r="AD159" s="19"/>
      <c r="AE159" s="19"/>
      <c r="AF159" s="19"/>
      <c r="AG159" s="19"/>
      <c r="AH159" s="19"/>
      <c r="AI159" s="19"/>
      <c r="AJ159" s="19"/>
      <c r="AK159" s="19"/>
      <c r="AL159" s="19"/>
      <c r="AM159" s="19" t="str">
        <f t="shared" ref="AM159" si="169">+_xlfn.CONCAT(N159&amp;V159&amp;Z159)</f>
        <v xml:space="preserve"> Workbooks.Open "A:\Homes for Ukraine data\Ukraine_sponsorship_data_31.ods"</v>
      </c>
      <c r="AO159" t="s">
        <v>737</v>
      </c>
    </row>
    <row r="160" spans="2:41" x14ac:dyDescent="0.25">
      <c r="B160" s="19" t="s">
        <v>318</v>
      </c>
      <c r="C160" s="19"/>
      <c r="D160" s="19"/>
      <c r="E160" s="19"/>
      <c r="F160" s="19"/>
      <c r="G160" s="19"/>
      <c r="H160" s="19"/>
      <c r="I160" s="19"/>
      <c r="J160" s="19"/>
      <c r="K160" s="19"/>
      <c r="L160" s="19"/>
      <c r="M160" s="19"/>
      <c r="N160" s="19" t="s">
        <v>323</v>
      </c>
      <c r="O160" s="19"/>
      <c r="P160" s="19"/>
      <c r="Q160" s="19"/>
      <c r="R160" s="19"/>
      <c r="S160" s="19"/>
      <c r="T160" s="19"/>
      <c r="U160" s="19"/>
      <c r="V160" s="19">
        <f t="shared" si="129"/>
        <v>31</v>
      </c>
      <c r="W160" s="19"/>
      <c r="X160" s="19"/>
      <c r="Y160" s="21"/>
      <c r="Z160" s="19" t="s">
        <v>326</v>
      </c>
      <c r="AA160" s="19"/>
      <c r="AB160" s="19"/>
      <c r="AC160" s="19"/>
      <c r="AD160" s="19"/>
      <c r="AE160" s="19" t="str">
        <f t="shared" si="131"/>
        <v>E</v>
      </c>
      <c r="AF160" s="19">
        <v>11</v>
      </c>
      <c r="AG160" s="19" t="s">
        <v>327</v>
      </c>
      <c r="AH160" s="19" t="str">
        <f t="shared" si="132"/>
        <v>E</v>
      </c>
      <c r="AI160" s="19">
        <v>165</v>
      </c>
      <c r="AJ160" s="19"/>
      <c r="AK160" s="19" t="s">
        <v>325</v>
      </c>
      <c r="AL160" s="19"/>
      <c r="AM160" s="19" t="str">
        <f t="shared" ref="AM160" si="170">_xlfn.CONCAT(N160&amp;V160&amp;Z160&amp;AE160&amp;AF160&amp;AG160&amp;AE160&amp;AI160&amp;AK160)</f>
        <v xml:space="preserve"> Workbooks("Ukraine_sponsorship_data_31.ods").Worksheets("UTLA_-_England").Range("E11:E165").Copy _</v>
      </c>
      <c r="AO160" t="s">
        <v>1125</v>
      </c>
    </row>
    <row r="161" spans="2:41" x14ac:dyDescent="0.25">
      <c r="B161" s="19" t="s">
        <v>808</v>
      </c>
      <c r="C161" s="19"/>
      <c r="D161" s="19"/>
      <c r="E161" s="19"/>
      <c r="F161" s="19"/>
      <c r="G161" s="19"/>
      <c r="H161" s="19"/>
      <c r="I161" s="19"/>
      <c r="J161" s="19"/>
      <c r="K161" s="19"/>
      <c r="L161" s="19"/>
      <c r="M161" s="19"/>
      <c r="N161" s="19" t="s">
        <v>809</v>
      </c>
      <c r="O161" s="19"/>
      <c r="P161" s="19"/>
      <c r="Q161" s="19"/>
      <c r="R161" s="19"/>
      <c r="S161" s="19"/>
      <c r="T161" s="19"/>
      <c r="U161" s="19"/>
      <c r="V161" s="19"/>
      <c r="W161" s="19" t="s">
        <v>313</v>
      </c>
      <c r="X161" s="19" t="str">
        <f t="shared" si="120"/>
        <v>V</v>
      </c>
      <c r="Y161" s="21">
        <v>9</v>
      </c>
      <c r="Z161" s="19" t="s">
        <v>324</v>
      </c>
      <c r="AA161" s="19"/>
      <c r="AB161" s="19"/>
      <c r="AC161" s="19"/>
      <c r="AD161" s="19"/>
      <c r="AE161" s="19"/>
      <c r="AF161" s="19"/>
      <c r="AG161" s="19"/>
      <c r="AH161" s="19"/>
      <c r="AI161" s="19"/>
      <c r="AJ161" s="19"/>
      <c r="AK161" s="19"/>
      <c r="AL161" s="19"/>
      <c r="AM161" s="19" t="str">
        <f t="shared" ref="AM161" si="171">_xlfn.CONCAT(N161&amp;W161&amp;X161&amp;Y161&amp;Z161)</f>
        <v>Workbooks("HFU Forecast UTLA 1.0.xlsm").Worksheets("Combined data").Range("BV9")</v>
      </c>
      <c r="AO161" t="s">
        <v>1044</v>
      </c>
    </row>
    <row r="162" spans="2:41" x14ac:dyDescent="0.25">
      <c r="B162" s="19" t="s">
        <v>339</v>
      </c>
      <c r="C162" s="19"/>
      <c r="D162" s="19"/>
      <c r="E162" s="19"/>
      <c r="F162" s="19"/>
      <c r="G162" s="19"/>
      <c r="H162" s="19"/>
      <c r="I162" s="19"/>
      <c r="J162" s="19"/>
      <c r="K162" s="19"/>
      <c r="L162" s="19"/>
      <c r="M162" s="19"/>
      <c r="N162" s="19"/>
      <c r="O162" s="19"/>
      <c r="P162" s="19"/>
      <c r="Q162" s="19"/>
      <c r="R162" s="19"/>
      <c r="S162" s="19"/>
      <c r="T162" s="19"/>
      <c r="U162" s="19"/>
      <c r="V162" s="19"/>
      <c r="W162" s="19"/>
      <c r="X162" s="19"/>
      <c r="Y162" s="21"/>
      <c r="Z162" s="19"/>
      <c r="AA162" s="19"/>
      <c r="AB162" s="19"/>
      <c r="AC162" s="19"/>
      <c r="AD162" s="19"/>
      <c r="AE162" s="19"/>
      <c r="AF162" s="19"/>
      <c r="AG162" s="19"/>
      <c r="AH162" s="19"/>
      <c r="AI162" s="19"/>
      <c r="AJ162" s="19"/>
      <c r="AK162" s="19"/>
      <c r="AL162" s="19"/>
      <c r="AM162" s="19" t="str">
        <f t="shared" ref="AM162" si="172">B162</f>
        <v>ActiveWorkbook.Close SaveChanges:=False</v>
      </c>
      <c r="AO162" t="s">
        <v>339</v>
      </c>
    </row>
    <row r="164" spans="2:41" x14ac:dyDescent="0.25">
      <c r="B164" s="22" t="s">
        <v>316</v>
      </c>
      <c r="C164" s="22"/>
      <c r="D164" s="22"/>
      <c r="E164" s="22"/>
      <c r="F164" s="22"/>
      <c r="G164" s="22"/>
      <c r="H164" s="22"/>
      <c r="I164" s="22"/>
      <c r="J164" s="22"/>
      <c r="K164" s="22"/>
      <c r="L164" s="22"/>
      <c r="M164" s="22"/>
      <c r="N164" s="22" t="s">
        <v>321</v>
      </c>
      <c r="O164" s="22"/>
      <c r="P164" s="22"/>
      <c r="Q164" s="22"/>
      <c r="R164" s="22"/>
      <c r="S164" s="22"/>
      <c r="T164" s="22"/>
      <c r="U164" s="22"/>
      <c r="V164" s="22">
        <f t="shared" si="136"/>
        <v>32</v>
      </c>
      <c r="W164" s="22"/>
      <c r="X164" s="22"/>
      <c r="Y164" s="23"/>
      <c r="Z164" s="22" t="s">
        <v>322</v>
      </c>
      <c r="AA164" s="22"/>
      <c r="AB164" s="22"/>
      <c r="AC164" s="22"/>
      <c r="AD164" s="22"/>
      <c r="AE164" s="22"/>
      <c r="AF164" s="22"/>
      <c r="AG164" s="22"/>
      <c r="AH164" s="22"/>
      <c r="AI164" s="22"/>
      <c r="AJ164" s="22"/>
      <c r="AK164" s="22"/>
      <c r="AL164" s="22"/>
      <c r="AM164" s="22" t="str">
        <f t="shared" ref="AM164" si="173">+_xlfn.CONCAT(N164&amp;V164&amp;Z164)</f>
        <v xml:space="preserve"> Workbooks.Open "A:\Homes for Ukraine data\Ukraine_sponsorship_data_32.ods"</v>
      </c>
      <c r="AO164" t="s">
        <v>739</v>
      </c>
    </row>
    <row r="165" spans="2:41" x14ac:dyDescent="0.25">
      <c r="B165" s="22" t="s">
        <v>318</v>
      </c>
      <c r="C165" s="22"/>
      <c r="D165" s="22"/>
      <c r="E165" s="22"/>
      <c r="F165" s="22"/>
      <c r="G165" s="22"/>
      <c r="H165" s="22"/>
      <c r="I165" s="22"/>
      <c r="J165" s="22"/>
      <c r="K165" s="22"/>
      <c r="L165" s="22"/>
      <c r="M165" s="22"/>
      <c r="N165" s="22" t="s">
        <v>323</v>
      </c>
      <c r="O165" s="22"/>
      <c r="P165" s="22"/>
      <c r="Q165" s="22"/>
      <c r="R165" s="22"/>
      <c r="S165" s="22"/>
      <c r="T165" s="22"/>
      <c r="U165" s="22"/>
      <c r="V165" s="22">
        <f t="shared" si="136"/>
        <v>32</v>
      </c>
      <c r="W165" s="22"/>
      <c r="X165" s="22"/>
      <c r="Y165" s="23"/>
      <c r="Z165" s="22" t="s">
        <v>326</v>
      </c>
      <c r="AA165" s="22"/>
      <c r="AB165" s="22"/>
      <c r="AC165" s="22"/>
      <c r="AD165" s="22"/>
      <c r="AE165" s="22" t="str">
        <f t="shared" si="138"/>
        <v>E</v>
      </c>
      <c r="AF165" s="22">
        <v>11</v>
      </c>
      <c r="AG165" s="22" t="s">
        <v>327</v>
      </c>
      <c r="AH165" s="22" t="str">
        <f t="shared" si="139"/>
        <v>E</v>
      </c>
      <c r="AI165" s="22">
        <v>165</v>
      </c>
      <c r="AJ165" s="22"/>
      <c r="AK165" s="22" t="s">
        <v>325</v>
      </c>
      <c r="AL165" s="22"/>
      <c r="AM165" s="22" t="str">
        <f t="shared" ref="AM165" si="174">_xlfn.CONCAT(N165&amp;V165&amp;Z165&amp;AE165&amp;AF165&amp;AG165&amp;AE165&amp;AI165&amp;AK165)</f>
        <v xml:space="preserve"> Workbooks("Ukraine_sponsorship_data_32.ods").Worksheets("UTLA_-_England").Range("E11:E165").Copy _</v>
      </c>
      <c r="AO165" t="s">
        <v>1126</v>
      </c>
    </row>
    <row r="166" spans="2:41" x14ac:dyDescent="0.25">
      <c r="B166" s="22" t="s">
        <v>808</v>
      </c>
      <c r="C166" s="22"/>
      <c r="D166" s="22"/>
      <c r="E166" s="22"/>
      <c r="F166" s="22"/>
      <c r="G166" s="22"/>
      <c r="H166" s="22"/>
      <c r="I166" s="22"/>
      <c r="J166" s="22"/>
      <c r="K166" s="22"/>
      <c r="L166" s="22"/>
      <c r="M166" s="22"/>
      <c r="N166" s="22" t="s">
        <v>809</v>
      </c>
      <c r="O166" s="22"/>
      <c r="P166" s="22"/>
      <c r="Q166" s="22"/>
      <c r="R166" s="22"/>
      <c r="S166" s="22"/>
      <c r="T166" s="22"/>
      <c r="U166" s="22"/>
      <c r="V166" s="22"/>
      <c r="W166" s="22" t="str">
        <f t="shared" si="141"/>
        <v>B</v>
      </c>
      <c r="X166" s="22" t="str">
        <f t="shared" si="142"/>
        <v>W</v>
      </c>
      <c r="Y166" s="23">
        <v>9</v>
      </c>
      <c r="Z166" s="22" t="s">
        <v>324</v>
      </c>
      <c r="AA166" s="22"/>
      <c r="AB166" s="22"/>
      <c r="AC166" s="22"/>
      <c r="AD166" s="22"/>
      <c r="AE166" s="22"/>
      <c r="AF166" s="22"/>
      <c r="AG166" s="22"/>
      <c r="AH166" s="22"/>
      <c r="AI166" s="22"/>
      <c r="AJ166" s="22"/>
      <c r="AK166" s="22"/>
      <c r="AL166" s="22"/>
      <c r="AM166" s="22" t="str">
        <f t="shared" ref="AM166" si="175">_xlfn.CONCAT(N166&amp;W166&amp;X166&amp;Y166&amp;Z166)</f>
        <v>Workbooks("HFU Forecast UTLA 1.0.xlsm").Worksheets("Combined data").Range("BW9")</v>
      </c>
      <c r="AO166" t="s">
        <v>1045</v>
      </c>
    </row>
    <row r="167" spans="2:41" x14ac:dyDescent="0.25">
      <c r="B167" s="22" t="s">
        <v>339</v>
      </c>
      <c r="C167" s="22"/>
      <c r="D167" s="22"/>
      <c r="E167" s="22"/>
      <c r="F167" s="22"/>
      <c r="G167" s="22"/>
      <c r="H167" s="22"/>
      <c r="I167" s="22"/>
      <c r="J167" s="22"/>
      <c r="K167" s="22"/>
      <c r="L167" s="22"/>
      <c r="M167" s="22"/>
      <c r="N167" s="22"/>
      <c r="O167" s="22"/>
      <c r="P167" s="22"/>
      <c r="Q167" s="22"/>
      <c r="R167" s="22"/>
      <c r="S167" s="22"/>
      <c r="T167" s="22"/>
      <c r="U167" s="22"/>
      <c r="V167" s="22"/>
      <c r="W167" s="22"/>
      <c r="X167" s="22"/>
      <c r="Y167" s="23"/>
      <c r="Z167" s="22"/>
      <c r="AA167" s="22"/>
      <c r="AB167" s="22"/>
      <c r="AC167" s="22"/>
      <c r="AD167" s="22"/>
      <c r="AE167" s="22"/>
      <c r="AF167" s="22"/>
      <c r="AG167" s="22"/>
      <c r="AH167" s="22"/>
      <c r="AI167" s="22"/>
      <c r="AJ167" s="22"/>
      <c r="AK167" s="22"/>
      <c r="AL167" s="22"/>
      <c r="AM167" s="22" t="str">
        <f t="shared" ref="AM167" si="176">B167</f>
        <v>ActiveWorkbook.Close SaveChanges:=False</v>
      </c>
      <c r="AO167" t="s">
        <v>339</v>
      </c>
    </row>
    <row r="169" spans="2:41" x14ac:dyDescent="0.25">
      <c r="B169" s="19" t="s">
        <v>316</v>
      </c>
      <c r="C169" s="19"/>
      <c r="D169" s="19"/>
      <c r="E169" s="19"/>
      <c r="F169" s="19"/>
      <c r="G169" s="19"/>
      <c r="H169" s="19"/>
      <c r="I169" s="19"/>
      <c r="J169" s="19"/>
      <c r="K169" s="19"/>
      <c r="L169" s="19"/>
      <c r="M169" s="19"/>
      <c r="N169" s="19" t="s">
        <v>321</v>
      </c>
      <c r="O169" s="19"/>
      <c r="P169" s="19"/>
      <c r="Q169" s="19"/>
      <c r="R169" s="19"/>
      <c r="S169" s="19"/>
      <c r="T169" s="19"/>
      <c r="U169" s="19"/>
      <c r="V169" s="19">
        <f t="shared" si="129"/>
        <v>33</v>
      </c>
      <c r="W169" s="19"/>
      <c r="X169" s="19"/>
      <c r="Y169" s="21"/>
      <c r="Z169" s="19" t="s">
        <v>322</v>
      </c>
      <c r="AA169" s="19"/>
      <c r="AB169" s="19"/>
      <c r="AC169" s="19"/>
      <c r="AD169" s="19"/>
      <c r="AE169" s="19"/>
      <c r="AF169" s="19"/>
      <c r="AG169" s="19"/>
      <c r="AH169" s="19"/>
      <c r="AI169" s="19"/>
      <c r="AJ169" s="19"/>
      <c r="AK169" s="19"/>
      <c r="AL169" s="19"/>
      <c r="AM169" s="19" t="str">
        <f t="shared" ref="AM169" si="177">+_xlfn.CONCAT(N169&amp;V169&amp;Z169)</f>
        <v xml:space="preserve"> Workbooks.Open "A:\Homes for Ukraine data\Ukraine_sponsorship_data_33.ods"</v>
      </c>
      <c r="AO169" t="s">
        <v>741</v>
      </c>
    </row>
    <row r="170" spans="2:41" x14ac:dyDescent="0.25">
      <c r="B170" s="19" t="s">
        <v>318</v>
      </c>
      <c r="C170" s="19"/>
      <c r="D170" s="19"/>
      <c r="E170" s="19"/>
      <c r="F170" s="19"/>
      <c r="G170" s="19"/>
      <c r="H170" s="19"/>
      <c r="I170" s="19"/>
      <c r="J170" s="19"/>
      <c r="K170" s="19"/>
      <c r="L170" s="19"/>
      <c r="M170" s="19"/>
      <c r="N170" s="19" t="s">
        <v>323</v>
      </c>
      <c r="O170" s="19"/>
      <c r="P170" s="19"/>
      <c r="Q170" s="19"/>
      <c r="R170" s="19"/>
      <c r="S170" s="19"/>
      <c r="T170" s="19"/>
      <c r="U170" s="19"/>
      <c r="V170" s="19">
        <f t="shared" si="129"/>
        <v>33</v>
      </c>
      <c r="W170" s="19"/>
      <c r="X170" s="19"/>
      <c r="Y170" s="21"/>
      <c r="Z170" s="19" t="s">
        <v>326</v>
      </c>
      <c r="AA170" s="19"/>
      <c r="AB170" s="19"/>
      <c r="AC170" s="19"/>
      <c r="AD170" s="19"/>
      <c r="AE170" s="19" t="str">
        <f t="shared" si="131"/>
        <v>E</v>
      </c>
      <c r="AF170" s="19">
        <v>11</v>
      </c>
      <c r="AG170" s="19" t="s">
        <v>327</v>
      </c>
      <c r="AH170" s="19" t="str">
        <f t="shared" si="132"/>
        <v>E</v>
      </c>
      <c r="AI170" s="19">
        <v>165</v>
      </c>
      <c r="AJ170" s="19"/>
      <c r="AK170" s="19" t="s">
        <v>325</v>
      </c>
      <c r="AL170" s="19"/>
      <c r="AM170" s="19" t="str">
        <f t="shared" ref="AM170" si="178">_xlfn.CONCAT(N170&amp;V170&amp;Z170&amp;AE170&amp;AF170&amp;AG170&amp;AE170&amp;AI170&amp;AK170)</f>
        <v xml:space="preserve"> Workbooks("Ukraine_sponsorship_data_33.ods").Worksheets("UTLA_-_England").Range("E11:E165").Copy _</v>
      </c>
      <c r="AO170" t="s">
        <v>1127</v>
      </c>
    </row>
    <row r="171" spans="2:41" x14ac:dyDescent="0.25">
      <c r="B171" s="19" t="s">
        <v>808</v>
      </c>
      <c r="C171" s="19"/>
      <c r="D171" s="19"/>
      <c r="E171" s="19"/>
      <c r="F171" s="19"/>
      <c r="G171" s="19"/>
      <c r="H171" s="19"/>
      <c r="I171" s="19"/>
      <c r="J171" s="19"/>
      <c r="K171" s="19"/>
      <c r="L171" s="19"/>
      <c r="M171" s="19"/>
      <c r="N171" s="19" t="s">
        <v>809</v>
      </c>
      <c r="O171" s="19"/>
      <c r="P171" s="19"/>
      <c r="Q171" s="19"/>
      <c r="R171" s="19"/>
      <c r="S171" s="19"/>
      <c r="T171" s="19"/>
      <c r="U171" s="19"/>
      <c r="V171" s="19"/>
      <c r="W171" s="19" t="s">
        <v>313</v>
      </c>
      <c r="X171" s="19" t="str">
        <f t="shared" si="120"/>
        <v>X</v>
      </c>
      <c r="Y171" s="21">
        <v>9</v>
      </c>
      <c r="Z171" s="19" t="s">
        <v>324</v>
      </c>
      <c r="AA171" s="19"/>
      <c r="AB171" s="19"/>
      <c r="AC171" s="19"/>
      <c r="AD171" s="19"/>
      <c r="AE171" s="19"/>
      <c r="AF171" s="19"/>
      <c r="AG171" s="19"/>
      <c r="AH171" s="19"/>
      <c r="AI171" s="19"/>
      <c r="AJ171" s="19"/>
      <c r="AK171" s="19"/>
      <c r="AL171" s="19"/>
      <c r="AM171" s="19" t="str">
        <f t="shared" ref="AM171" si="179">_xlfn.CONCAT(N171&amp;W171&amp;X171&amp;Y171&amp;Z171)</f>
        <v>Workbooks("HFU Forecast UTLA 1.0.xlsm").Worksheets("Combined data").Range("BX9")</v>
      </c>
      <c r="AO171" t="s">
        <v>1046</v>
      </c>
    </row>
    <row r="172" spans="2:41" x14ac:dyDescent="0.25">
      <c r="B172" s="19" t="s">
        <v>339</v>
      </c>
      <c r="C172" s="19"/>
      <c r="D172" s="19"/>
      <c r="E172" s="19"/>
      <c r="F172" s="19"/>
      <c r="G172" s="19"/>
      <c r="H172" s="19"/>
      <c r="I172" s="19"/>
      <c r="J172" s="19"/>
      <c r="K172" s="19"/>
      <c r="L172" s="19"/>
      <c r="M172" s="19"/>
      <c r="N172" s="19"/>
      <c r="O172" s="19"/>
      <c r="P172" s="19"/>
      <c r="Q172" s="19"/>
      <c r="R172" s="19"/>
      <c r="S172" s="19"/>
      <c r="T172" s="19"/>
      <c r="U172" s="19"/>
      <c r="V172" s="19"/>
      <c r="W172" s="19"/>
      <c r="X172" s="19"/>
      <c r="Y172" s="21"/>
      <c r="Z172" s="19"/>
      <c r="AA172" s="19"/>
      <c r="AB172" s="19"/>
      <c r="AC172" s="19"/>
      <c r="AD172" s="19"/>
      <c r="AE172" s="19"/>
      <c r="AF172" s="19"/>
      <c r="AG172" s="19"/>
      <c r="AH172" s="19"/>
      <c r="AI172" s="19"/>
      <c r="AJ172" s="19"/>
      <c r="AK172" s="19"/>
      <c r="AL172" s="19"/>
      <c r="AM172" s="19" t="str">
        <f t="shared" ref="AM172" si="180">B172</f>
        <v>ActiveWorkbook.Close SaveChanges:=False</v>
      </c>
      <c r="AO172" t="s">
        <v>339</v>
      </c>
    </row>
    <row r="174" spans="2:41" x14ac:dyDescent="0.25">
      <c r="B174" s="22" t="s">
        <v>316</v>
      </c>
      <c r="C174" s="22"/>
      <c r="D174" s="22"/>
      <c r="E174" s="22"/>
      <c r="F174" s="22"/>
      <c r="G174" s="22"/>
      <c r="H174" s="22"/>
      <c r="I174" s="22"/>
      <c r="J174" s="22"/>
      <c r="K174" s="22"/>
      <c r="L174" s="22"/>
      <c r="M174" s="22"/>
      <c r="N174" s="22" t="s">
        <v>321</v>
      </c>
      <c r="O174" s="22"/>
      <c r="P174" s="22"/>
      <c r="Q174" s="22"/>
      <c r="R174" s="22"/>
      <c r="S174" s="22"/>
      <c r="T174" s="22"/>
      <c r="U174" s="22"/>
      <c r="V174" s="22">
        <f t="shared" si="136"/>
        <v>34</v>
      </c>
      <c r="W174" s="22"/>
      <c r="X174" s="22"/>
      <c r="Y174" s="23"/>
      <c r="Z174" s="22" t="s">
        <v>322</v>
      </c>
      <c r="AA174" s="22"/>
      <c r="AB174" s="22"/>
      <c r="AC174" s="22"/>
      <c r="AD174" s="22"/>
      <c r="AE174" s="22"/>
      <c r="AF174" s="22"/>
      <c r="AG174" s="22"/>
      <c r="AH174" s="22"/>
      <c r="AI174" s="22"/>
      <c r="AJ174" s="22"/>
      <c r="AK174" s="22"/>
      <c r="AL174" s="22"/>
      <c r="AM174" s="22" t="str">
        <f t="shared" ref="AM174" si="181">+_xlfn.CONCAT(N174&amp;V174&amp;Z174)</f>
        <v xml:space="preserve"> Workbooks.Open "A:\Homes for Ukraine data\Ukraine_sponsorship_data_34.ods"</v>
      </c>
      <c r="AO174" t="s">
        <v>743</v>
      </c>
    </row>
    <row r="175" spans="2:41" x14ac:dyDescent="0.25">
      <c r="B175" s="22" t="s">
        <v>318</v>
      </c>
      <c r="C175" s="22"/>
      <c r="D175" s="22"/>
      <c r="E175" s="22"/>
      <c r="F175" s="22"/>
      <c r="G175" s="22"/>
      <c r="H175" s="22"/>
      <c r="I175" s="22"/>
      <c r="J175" s="22"/>
      <c r="K175" s="22"/>
      <c r="L175" s="22"/>
      <c r="M175" s="22"/>
      <c r="N175" s="22" t="s">
        <v>323</v>
      </c>
      <c r="O175" s="22"/>
      <c r="P175" s="22"/>
      <c r="Q175" s="22"/>
      <c r="R175" s="22"/>
      <c r="S175" s="22"/>
      <c r="T175" s="22"/>
      <c r="U175" s="22"/>
      <c r="V175" s="22">
        <f t="shared" si="136"/>
        <v>34</v>
      </c>
      <c r="W175" s="22"/>
      <c r="X175" s="22"/>
      <c r="Y175" s="23"/>
      <c r="Z175" s="22" t="s">
        <v>326</v>
      </c>
      <c r="AA175" s="22"/>
      <c r="AB175" s="22"/>
      <c r="AC175" s="22"/>
      <c r="AD175" s="22"/>
      <c r="AE175" s="22" t="str">
        <f t="shared" si="138"/>
        <v>E</v>
      </c>
      <c r="AF175" s="22">
        <v>11</v>
      </c>
      <c r="AG175" s="22" t="s">
        <v>327</v>
      </c>
      <c r="AH175" s="22" t="str">
        <f t="shared" si="139"/>
        <v>E</v>
      </c>
      <c r="AI175" s="22">
        <v>165</v>
      </c>
      <c r="AJ175" s="22"/>
      <c r="AK175" s="22" t="s">
        <v>325</v>
      </c>
      <c r="AL175" s="22"/>
      <c r="AM175" s="22" t="str">
        <f t="shared" ref="AM175" si="182">_xlfn.CONCAT(N175&amp;V175&amp;Z175&amp;AE175&amp;AF175&amp;AG175&amp;AE175&amp;AI175&amp;AK175)</f>
        <v xml:space="preserve"> Workbooks("Ukraine_sponsorship_data_34.ods").Worksheets("UTLA_-_England").Range("E11:E165").Copy _</v>
      </c>
      <c r="AO175" t="s">
        <v>1128</v>
      </c>
    </row>
    <row r="176" spans="2:41" x14ac:dyDescent="0.25">
      <c r="B176" s="22" t="s">
        <v>808</v>
      </c>
      <c r="C176" s="22"/>
      <c r="D176" s="22"/>
      <c r="E176" s="22"/>
      <c r="F176" s="22"/>
      <c r="G176" s="22"/>
      <c r="H176" s="22"/>
      <c r="I176" s="22"/>
      <c r="J176" s="22"/>
      <c r="K176" s="22"/>
      <c r="L176" s="22"/>
      <c r="M176" s="22"/>
      <c r="N176" s="22" t="s">
        <v>809</v>
      </c>
      <c r="O176" s="22"/>
      <c r="P176" s="22"/>
      <c r="Q176" s="22"/>
      <c r="R176" s="22"/>
      <c r="S176" s="22"/>
      <c r="T176" s="22"/>
      <c r="U176" s="22"/>
      <c r="V176" s="22"/>
      <c r="W176" s="22" t="str">
        <f t="shared" si="141"/>
        <v>B</v>
      </c>
      <c r="X176" s="22" t="str">
        <f t="shared" si="142"/>
        <v>Y</v>
      </c>
      <c r="Y176" s="23">
        <v>9</v>
      </c>
      <c r="Z176" s="22" t="s">
        <v>324</v>
      </c>
      <c r="AA176" s="22"/>
      <c r="AB176" s="22"/>
      <c r="AC176" s="22"/>
      <c r="AD176" s="22"/>
      <c r="AE176" s="22"/>
      <c r="AF176" s="22"/>
      <c r="AG176" s="22"/>
      <c r="AH176" s="22"/>
      <c r="AI176" s="22"/>
      <c r="AJ176" s="22"/>
      <c r="AK176" s="22"/>
      <c r="AL176" s="22"/>
      <c r="AM176" s="22" t="str">
        <f t="shared" ref="AM176" si="183">_xlfn.CONCAT(N176&amp;W176&amp;X176&amp;Y176&amp;Z176)</f>
        <v>Workbooks("HFU Forecast UTLA 1.0.xlsm").Worksheets("Combined data").Range("BY9")</v>
      </c>
      <c r="AO176" t="s">
        <v>1047</v>
      </c>
    </row>
    <row r="177" spans="2:41" x14ac:dyDescent="0.25">
      <c r="B177" s="22" t="s">
        <v>339</v>
      </c>
      <c r="C177" s="22"/>
      <c r="D177" s="22"/>
      <c r="E177" s="22"/>
      <c r="F177" s="22"/>
      <c r="G177" s="22"/>
      <c r="H177" s="22"/>
      <c r="I177" s="22"/>
      <c r="J177" s="22"/>
      <c r="K177" s="22"/>
      <c r="L177" s="22"/>
      <c r="M177" s="22"/>
      <c r="N177" s="22"/>
      <c r="O177" s="22"/>
      <c r="P177" s="22"/>
      <c r="Q177" s="22"/>
      <c r="R177" s="22"/>
      <c r="S177" s="22"/>
      <c r="T177" s="22"/>
      <c r="U177" s="22"/>
      <c r="V177" s="22"/>
      <c r="W177" s="22"/>
      <c r="X177" s="22"/>
      <c r="Y177" s="23"/>
      <c r="Z177" s="22"/>
      <c r="AA177" s="22"/>
      <c r="AB177" s="22"/>
      <c r="AC177" s="22"/>
      <c r="AD177" s="22"/>
      <c r="AE177" s="22"/>
      <c r="AF177" s="22"/>
      <c r="AG177" s="22"/>
      <c r="AH177" s="22"/>
      <c r="AI177" s="22"/>
      <c r="AJ177" s="22"/>
      <c r="AK177" s="22"/>
      <c r="AL177" s="22"/>
      <c r="AM177" s="22" t="str">
        <f t="shared" ref="AM177" si="184">B177</f>
        <v>ActiveWorkbook.Close SaveChanges:=False</v>
      </c>
      <c r="AO177" t="s">
        <v>339</v>
      </c>
    </row>
  </sheetData>
  <mergeCells count="2">
    <mergeCell ref="B3:P3"/>
    <mergeCell ref="AE5:AI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86A08-D39B-49AD-AFBE-84C1B8CFA6F6}">
  <sheetPr codeName="Sheet7"/>
  <dimension ref="A1:AO184"/>
  <sheetViews>
    <sheetView topLeftCell="AE1" zoomScale="106" zoomScaleNormal="106" workbookViewId="0">
      <selection activeCell="AO10" sqref="AO10:AO184"/>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2:41" x14ac:dyDescent="0.25">
      <c r="B1" t="s">
        <v>329</v>
      </c>
    </row>
    <row r="3" spans="2:41" ht="78.75" customHeight="1" x14ac:dyDescent="0.25">
      <c r="B3" s="320" t="s">
        <v>330</v>
      </c>
      <c r="C3" s="320"/>
      <c r="D3" s="320"/>
      <c r="E3" s="320"/>
      <c r="F3" s="320"/>
      <c r="G3" s="320"/>
      <c r="H3" s="320"/>
      <c r="I3" s="320"/>
      <c r="J3" s="320"/>
      <c r="K3" s="320"/>
      <c r="L3" s="320"/>
      <c r="M3" s="320"/>
      <c r="N3" s="320"/>
      <c r="O3" s="320"/>
      <c r="P3" s="320"/>
    </row>
    <row r="5" spans="2:41" x14ac:dyDescent="0.25">
      <c r="V5" t="s">
        <v>331</v>
      </c>
      <c r="W5" t="s">
        <v>333</v>
      </c>
      <c r="AE5" s="316" t="s">
        <v>332</v>
      </c>
      <c r="AF5" s="316"/>
      <c r="AG5" s="316"/>
      <c r="AH5" s="316"/>
      <c r="AI5" s="316"/>
    </row>
    <row r="6" spans="2:41" x14ac:dyDescent="0.25">
      <c r="B6" t="s">
        <v>319</v>
      </c>
    </row>
    <row r="7" spans="2:41" x14ac:dyDescent="0.25">
      <c r="N7" t="s">
        <v>320</v>
      </c>
    </row>
    <row r="8" spans="2:41" x14ac:dyDescent="0.25">
      <c r="B8" t="s">
        <v>315</v>
      </c>
      <c r="AM8" t="s">
        <v>328</v>
      </c>
    </row>
    <row r="10" spans="2:41" x14ac:dyDescent="0.25">
      <c r="B10" t="s">
        <v>316</v>
      </c>
      <c r="N10" t="s">
        <v>321</v>
      </c>
      <c r="V10">
        <v>1</v>
      </c>
      <c r="Z10" t="s">
        <v>322</v>
      </c>
      <c r="AM10" t="str">
        <f>+_xlfn.CONCAT(N10&amp;V10&amp;Z10)</f>
        <v xml:space="preserve"> Workbooks.Open "A:\Homes for Ukraine data\Ukraine_sponsorship_data_1.ods"</v>
      </c>
      <c r="AO10" t="s">
        <v>334</v>
      </c>
    </row>
    <row r="11" spans="2:41" x14ac:dyDescent="0.25">
      <c r="B11" t="s">
        <v>383</v>
      </c>
      <c r="N11" t="s">
        <v>323</v>
      </c>
      <c r="V11">
        <v>1</v>
      </c>
      <c r="Z11" t="s">
        <v>381</v>
      </c>
      <c r="AE11" t="s">
        <v>312</v>
      </c>
      <c r="AF11">
        <v>1</v>
      </c>
      <c r="AG11" t="s">
        <v>327</v>
      </c>
      <c r="AH11" t="s">
        <v>313</v>
      </c>
      <c r="AI11">
        <v>3</v>
      </c>
      <c r="AK11" t="s">
        <v>325</v>
      </c>
      <c r="AM11" t="str">
        <f>_xlfn.CONCAT(N11&amp;V11&amp;Z11&amp;AE11&amp;AF11&amp;AG11&amp;AH11&amp;AI11&amp;AK11)</f>
        <v xml:space="preserve"> Workbooks("Ukraine_sponsorship_data_1.ods").Worksheets("Scotland").Range("A1:B3").Copy _</v>
      </c>
      <c r="AO11" t="s">
        <v>384</v>
      </c>
    </row>
    <row r="12" spans="2:41" x14ac:dyDescent="0.25">
      <c r="B12" t="s">
        <v>808</v>
      </c>
      <c r="N12" t="s">
        <v>809</v>
      </c>
      <c r="W12" t="s">
        <v>312</v>
      </c>
      <c r="Y12" s="20">
        <v>165</v>
      </c>
      <c r="Z12" t="s">
        <v>324</v>
      </c>
      <c r="AM12" t="str">
        <f>_xlfn.CONCAT(N12&amp;W12&amp;Y12&amp;Z12)</f>
        <v>Workbooks("HFU Forecast UTLA 1.0.xlsm").Worksheets("Combined data").Range("A165")</v>
      </c>
      <c r="AO12" t="s">
        <v>1000</v>
      </c>
    </row>
    <row r="13" spans="2:41" x14ac:dyDescent="0.25">
      <c r="B13" t="s">
        <v>383</v>
      </c>
      <c r="N13" t="s">
        <v>323</v>
      </c>
      <c r="V13">
        <v>1</v>
      </c>
      <c r="Z13" t="s">
        <v>381</v>
      </c>
      <c r="AE13" t="s">
        <v>312</v>
      </c>
      <c r="AF13">
        <v>6</v>
      </c>
      <c r="AG13" t="s">
        <v>327</v>
      </c>
      <c r="AH13" t="s">
        <v>313</v>
      </c>
      <c r="AI13">
        <v>53</v>
      </c>
      <c r="AK13" t="s">
        <v>325</v>
      </c>
      <c r="AM13" t="str">
        <f>_xlfn.CONCAT(N13&amp;V13&amp;Z13&amp;AE13&amp;AF13&amp;AG13&amp;AH13&amp;AI13&amp;AK13)</f>
        <v xml:space="preserve"> Workbooks("Ukraine_sponsorship_data_1.ods").Worksheets("Scotland").Range("A6:B53").Copy _</v>
      </c>
      <c r="AO13" t="s">
        <v>502</v>
      </c>
    </row>
    <row r="14" spans="2:41" x14ac:dyDescent="0.25">
      <c r="B14" t="s">
        <v>808</v>
      </c>
      <c r="N14" t="s">
        <v>809</v>
      </c>
      <c r="W14" t="s">
        <v>312</v>
      </c>
      <c r="Y14" s="20">
        <v>167</v>
      </c>
      <c r="Z14" t="s">
        <v>324</v>
      </c>
      <c r="AM14" t="str">
        <f>_xlfn.CONCAT(N14&amp;W14&amp;Y14&amp;Z14)</f>
        <v>Workbooks("HFU Forecast UTLA 1.0.xlsm").Worksheets("Combined data").Range("A167")</v>
      </c>
      <c r="AO14" t="s">
        <v>1001</v>
      </c>
    </row>
    <row r="16" spans="2:41" x14ac:dyDescent="0.25">
      <c r="B16" t="s">
        <v>316</v>
      </c>
      <c r="N16" t="s">
        <v>321</v>
      </c>
      <c r="V16">
        <v>1</v>
      </c>
      <c r="Z16" t="s">
        <v>322</v>
      </c>
      <c r="AM16" t="str">
        <f>+_xlfn.CONCAT(N16&amp;V16&amp;Z16)</f>
        <v xml:space="preserve"> Workbooks.Open "A:\Homes for Ukraine data\Ukraine_sponsorship_data_1.ods"</v>
      </c>
      <c r="AO16" t="s">
        <v>334</v>
      </c>
    </row>
    <row r="17" spans="1:41" x14ac:dyDescent="0.25">
      <c r="B17" t="s">
        <v>380</v>
      </c>
      <c r="N17" t="s">
        <v>323</v>
      </c>
      <c r="V17">
        <v>1</v>
      </c>
      <c r="Z17" t="s">
        <v>381</v>
      </c>
      <c r="AE17" t="s">
        <v>314</v>
      </c>
      <c r="AF17">
        <v>13</v>
      </c>
      <c r="AG17" t="s">
        <v>327</v>
      </c>
      <c r="AH17" t="s">
        <v>314</v>
      </c>
      <c r="AI17">
        <f>AI13</f>
        <v>53</v>
      </c>
      <c r="AK17" t="s">
        <v>325</v>
      </c>
      <c r="AM17" t="str">
        <f>_xlfn.CONCAT(N17&amp;V17&amp;Z17&amp;AE17&amp;AF17&amp;AG17&amp;AE17&amp;AI17&amp;AK17)</f>
        <v xml:space="preserve"> Workbooks("Ukraine_sponsorship_data_1.ods").Worksheets("Scotland").Range("C13:C53").Copy _</v>
      </c>
      <c r="AO17" t="s">
        <v>503</v>
      </c>
    </row>
    <row r="18" spans="1:41" x14ac:dyDescent="0.25">
      <c r="B18" t="s">
        <v>808</v>
      </c>
      <c r="N18" t="s">
        <v>809</v>
      </c>
      <c r="W18" t="s">
        <v>311</v>
      </c>
      <c r="Y18" s="20">
        <v>174</v>
      </c>
      <c r="Z18" t="s">
        <v>324</v>
      </c>
      <c r="AM18" t="str">
        <f>_xlfn.CONCAT(N18&amp;W18&amp;Y18&amp;Z18)</f>
        <v>Workbooks("HFU Forecast UTLA 1.0.xlsm").Worksheets("Combined data").Range("H174")</v>
      </c>
      <c r="AO18" t="s">
        <v>1002</v>
      </c>
    </row>
    <row r="19" spans="1:41" ht="17.25" customHeight="1" x14ac:dyDescent="0.25">
      <c r="B19" t="s">
        <v>339</v>
      </c>
      <c r="AM19" t="str">
        <f>B19</f>
        <v>ActiveWorkbook.Close SaveChanges:=False</v>
      </c>
      <c r="AO19" t="s">
        <v>339</v>
      </c>
    </row>
    <row r="21" spans="1:41" ht="17.25" customHeight="1" x14ac:dyDescent="0.25">
      <c r="A21" s="19"/>
      <c r="B21" s="22" t="s">
        <v>316</v>
      </c>
      <c r="C21" s="22"/>
      <c r="D21" s="22"/>
      <c r="E21" s="22"/>
      <c r="F21" s="22"/>
      <c r="G21" s="22"/>
      <c r="H21" s="22"/>
      <c r="I21" s="22"/>
      <c r="J21" s="22"/>
      <c r="K21" s="22"/>
      <c r="L21" s="22"/>
      <c r="M21" s="22"/>
      <c r="N21" s="22" t="s">
        <v>321</v>
      </c>
      <c r="O21" s="22"/>
      <c r="P21" s="22"/>
      <c r="Q21" s="22"/>
      <c r="R21" s="22"/>
      <c r="S21" s="22"/>
      <c r="T21" s="22"/>
      <c r="U21" s="22"/>
      <c r="V21" s="22">
        <f>V16+1</f>
        <v>2</v>
      </c>
      <c r="W21" s="22"/>
      <c r="X21" s="22"/>
      <c r="Y21" s="23"/>
      <c r="Z21" s="22" t="s">
        <v>322</v>
      </c>
      <c r="AA21" s="22"/>
      <c r="AB21" s="22"/>
      <c r="AC21" s="22"/>
      <c r="AD21" s="22"/>
      <c r="AE21" s="22"/>
      <c r="AF21" s="22"/>
      <c r="AG21" s="22"/>
      <c r="AH21" s="22"/>
      <c r="AI21" s="22"/>
      <c r="AJ21" s="22"/>
      <c r="AK21" s="22"/>
      <c r="AL21" s="22"/>
      <c r="AM21" s="22" t="str">
        <f>+_xlfn.CONCAT(N21&amp;V21&amp;Z21)</f>
        <v xml:space="preserve"> Workbooks.Open "A:\Homes for Ukraine data\Ukraine_sponsorship_data_2.ods"</v>
      </c>
      <c r="AO21" t="s">
        <v>335</v>
      </c>
    </row>
    <row r="22" spans="1:41" x14ac:dyDescent="0.25">
      <c r="A22" s="19"/>
      <c r="B22" s="22" t="s">
        <v>380</v>
      </c>
      <c r="C22" s="22"/>
      <c r="D22" s="22"/>
      <c r="E22" s="22"/>
      <c r="F22" s="22"/>
      <c r="G22" s="22"/>
      <c r="H22" s="22"/>
      <c r="I22" s="22"/>
      <c r="J22" s="22"/>
      <c r="K22" s="22"/>
      <c r="L22" s="22"/>
      <c r="M22" s="22"/>
      <c r="N22" s="22" t="s">
        <v>323</v>
      </c>
      <c r="O22" s="22"/>
      <c r="P22" s="22"/>
      <c r="Q22" s="22"/>
      <c r="R22" s="22"/>
      <c r="S22" s="22"/>
      <c r="T22" s="22"/>
      <c r="U22" s="22"/>
      <c r="V22" s="22">
        <f>V17+1</f>
        <v>2</v>
      </c>
      <c r="W22" s="22"/>
      <c r="X22" s="22"/>
      <c r="Y22" s="23"/>
      <c r="Z22" s="22" t="s">
        <v>381</v>
      </c>
      <c r="AA22" s="22"/>
      <c r="AB22" s="22"/>
      <c r="AC22" s="22"/>
      <c r="AD22" s="22"/>
      <c r="AE22" s="22" t="s">
        <v>382</v>
      </c>
      <c r="AF22" s="22">
        <f>AF17</f>
        <v>13</v>
      </c>
      <c r="AG22" s="22" t="s">
        <v>327</v>
      </c>
      <c r="AH22" s="22"/>
      <c r="AI22" s="22">
        <f>AI17</f>
        <v>53</v>
      </c>
      <c r="AJ22" s="22"/>
      <c r="AK22" s="22" t="s">
        <v>325</v>
      </c>
      <c r="AL22" s="22"/>
      <c r="AM22" s="22" t="str">
        <f>_xlfn.CONCAT(N22&amp;V22&amp;Z22&amp;AE22&amp;AF22&amp;AG22&amp;AE22&amp;AI22&amp;AK22)</f>
        <v xml:space="preserve"> Workbooks("Ukraine_sponsorship_data_2.ods").Worksheets("Scotland").Range("D13:D53").Copy _</v>
      </c>
      <c r="AO22" t="s">
        <v>504</v>
      </c>
    </row>
    <row r="23" spans="1:41" ht="17.25" customHeight="1" x14ac:dyDescent="0.25">
      <c r="A23" s="19"/>
      <c r="B23" s="22" t="s">
        <v>808</v>
      </c>
      <c r="C23" s="22"/>
      <c r="D23" s="22"/>
      <c r="E23" s="22"/>
      <c r="F23" s="22"/>
      <c r="G23" s="22"/>
      <c r="H23" s="22"/>
      <c r="I23" s="22"/>
      <c r="J23" s="22"/>
      <c r="K23" s="22"/>
      <c r="L23" s="22"/>
      <c r="M23" s="22"/>
      <c r="N23" s="22" t="s">
        <v>809</v>
      </c>
      <c r="O23" s="22"/>
      <c r="P23" s="22"/>
      <c r="Q23" s="22"/>
      <c r="R23" s="22"/>
      <c r="S23" s="22"/>
      <c r="T23" s="22"/>
      <c r="U23" s="22"/>
      <c r="V23" s="22"/>
      <c r="W23" s="22" t="str">
        <f>CHAR(CODE(W18)+1)</f>
        <v>I</v>
      </c>
      <c r="X23" s="22"/>
      <c r="Y23" s="23">
        <f>Y18</f>
        <v>174</v>
      </c>
      <c r="Z23" s="22" t="s">
        <v>324</v>
      </c>
      <c r="AA23" s="22"/>
      <c r="AB23" s="22"/>
      <c r="AC23" s="22"/>
      <c r="AD23" s="22"/>
      <c r="AE23" s="22"/>
      <c r="AF23" s="22"/>
      <c r="AG23" s="22"/>
      <c r="AH23" s="22"/>
      <c r="AI23" s="22"/>
      <c r="AJ23" s="22"/>
      <c r="AK23" s="22"/>
      <c r="AL23" s="22"/>
      <c r="AM23" s="22" t="str">
        <f>_xlfn.CONCAT(N23&amp;W23&amp;Y23&amp;Z23)</f>
        <v>Workbooks("HFU Forecast UTLA 1.0.xlsm").Worksheets("Combined data").Range("I174")</v>
      </c>
      <c r="AO23" t="s">
        <v>1003</v>
      </c>
    </row>
    <row r="24" spans="1:41" ht="17.25" customHeight="1" x14ac:dyDescent="0.25">
      <c r="A24" s="19"/>
      <c r="B24" s="22" t="s">
        <v>339</v>
      </c>
      <c r="C24" s="22"/>
      <c r="D24" s="22"/>
      <c r="E24" s="22"/>
      <c r="F24" s="22"/>
      <c r="G24" s="22"/>
      <c r="H24" s="22"/>
      <c r="I24" s="22"/>
      <c r="J24" s="22"/>
      <c r="K24" s="22"/>
      <c r="L24" s="22"/>
      <c r="M24" s="22"/>
      <c r="N24" s="22"/>
      <c r="O24" s="22"/>
      <c r="P24" s="22"/>
      <c r="Q24" s="22"/>
      <c r="R24" s="22"/>
      <c r="S24" s="22"/>
      <c r="T24" s="22"/>
      <c r="U24" s="22"/>
      <c r="V24" s="22"/>
      <c r="W24" s="22"/>
      <c r="X24" s="22"/>
      <c r="Y24" s="23"/>
      <c r="Z24" s="22"/>
      <c r="AA24" s="22"/>
      <c r="AB24" s="22"/>
      <c r="AC24" s="22"/>
      <c r="AD24" s="22"/>
      <c r="AE24" s="22"/>
      <c r="AF24" s="22"/>
      <c r="AG24" s="22"/>
      <c r="AH24" s="22"/>
      <c r="AI24" s="22"/>
      <c r="AJ24" s="22"/>
      <c r="AK24" s="22"/>
      <c r="AL24" s="22"/>
      <c r="AM24" s="22" t="str">
        <f>B24</f>
        <v>ActiveWorkbook.Close SaveChanges:=False</v>
      </c>
      <c r="AO24" t="s">
        <v>339</v>
      </c>
    </row>
    <row r="26" spans="1:41" x14ac:dyDescent="0.25">
      <c r="B26" s="19" t="s">
        <v>316</v>
      </c>
      <c r="C26" s="19"/>
      <c r="D26" s="19"/>
      <c r="E26" s="19"/>
      <c r="F26" s="19"/>
      <c r="G26" s="19"/>
      <c r="H26" s="19"/>
      <c r="I26" s="19"/>
      <c r="J26" s="19"/>
      <c r="K26" s="19"/>
      <c r="L26" s="19"/>
      <c r="M26" s="19"/>
      <c r="N26" s="19" t="s">
        <v>321</v>
      </c>
      <c r="O26" s="19"/>
      <c r="P26" s="19"/>
      <c r="Q26" s="19"/>
      <c r="R26" s="19"/>
      <c r="S26" s="19"/>
      <c r="T26" s="19"/>
      <c r="U26" s="19"/>
      <c r="V26" s="19">
        <f>V21+1</f>
        <v>3</v>
      </c>
      <c r="W26" s="19"/>
      <c r="X26" s="19"/>
      <c r="Y26" s="21"/>
      <c r="Z26" s="19" t="s">
        <v>322</v>
      </c>
      <c r="AA26" s="19"/>
      <c r="AB26" s="19"/>
      <c r="AC26" s="19"/>
      <c r="AD26" s="19"/>
      <c r="AE26" s="19"/>
      <c r="AF26" s="19"/>
      <c r="AG26" s="19"/>
      <c r="AH26" s="19"/>
      <c r="AI26" s="19"/>
      <c r="AJ26" s="19"/>
      <c r="AK26" s="19"/>
      <c r="AL26" s="19"/>
      <c r="AM26" s="19" t="str">
        <f>+_xlfn.CONCAT(N26&amp;V26&amp;Z26)</f>
        <v xml:space="preserve"> Workbooks.Open "A:\Homes for Ukraine data\Ukraine_sponsorship_data_3.ods"</v>
      </c>
      <c r="AO26" t="s">
        <v>336</v>
      </c>
    </row>
    <row r="27" spans="1:41" x14ac:dyDescent="0.25">
      <c r="B27" s="19" t="s">
        <v>380</v>
      </c>
      <c r="C27" s="19"/>
      <c r="D27" s="19"/>
      <c r="E27" s="19"/>
      <c r="F27" s="19"/>
      <c r="G27" s="19"/>
      <c r="H27" s="19"/>
      <c r="I27" s="19"/>
      <c r="J27" s="19"/>
      <c r="K27" s="19"/>
      <c r="L27" s="19"/>
      <c r="M27" s="19"/>
      <c r="N27" s="19" t="s">
        <v>323</v>
      </c>
      <c r="O27" s="19"/>
      <c r="P27" s="19"/>
      <c r="Q27" s="19"/>
      <c r="R27" s="19"/>
      <c r="S27" s="19"/>
      <c r="T27" s="19"/>
      <c r="U27" s="19"/>
      <c r="V27" s="19">
        <f>V22+1</f>
        <v>3</v>
      </c>
      <c r="W27" s="19"/>
      <c r="X27" s="19"/>
      <c r="Y27" s="21"/>
      <c r="Z27" s="19" t="s">
        <v>381</v>
      </c>
      <c r="AA27" s="19"/>
      <c r="AB27" s="19"/>
      <c r="AC27" s="19"/>
      <c r="AD27" s="19"/>
      <c r="AE27" s="19" t="s">
        <v>382</v>
      </c>
      <c r="AF27" s="19">
        <f>AF22</f>
        <v>13</v>
      </c>
      <c r="AG27" s="19" t="s">
        <v>327</v>
      </c>
      <c r="AH27" s="19"/>
      <c r="AI27" s="19">
        <f>AI22</f>
        <v>53</v>
      </c>
      <c r="AJ27" s="19"/>
      <c r="AK27" s="19" t="s">
        <v>325</v>
      </c>
      <c r="AL27" s="19"/>
      <c r="AM27" s="19" t="str">
        <f>_xlfn.CONCAT(N27&amp;V27&amp;Z27&amp;AE27&amp;AF27&amp;AG27&amp;AE27&amp;AI27&amp;AK27)</f>
        <v xml:space="preserve"> Workbooks("Ukraine_sponsorship_data_3.ods").Worksheets("Scotland").Range("D13:D53").Copy _</v>
      </c>
      <c r="AO27" t="s">
        <v>505</v>
      </c>
    </row>
    <row r="28" spans="1:41" x14ac:dyDescent="0.25">
      <c r="B28" s="19" t="s">
        <v>808</v>
      </c>
      <c r="C28" s="19"/>
      <c r="D28" s="19"/>
      <c r="E28" s="19"/>
      <c r="F28" s="19"/>
      <c r="G28" s="19"/>
      <c r="H28" s="19"/>
      <c r="I28" s="19"/>
      <c r="J28" s="19"/>
      <c r="K28" s="19"/>
      <c r="L28" s="19"/>
      <c r="M28" s="19"/>
      <c r="N28" s="19" t="s">
        <v>809</v>
      </c>
      <c r="O28" s="19"/>
      <c r="P28" s="19"/>
      <c r="Q28" s="19"/>
      <c r="R28" s="19"/>
      <c r="S28" s="19"/>
      <c r="T28" s="19"/>
      <c r="U28" s="19"/>
      <c r="V28" s="19"/>
      <c r="W28" s="19" t="str">
        <f>CHAR(CODE(W23)+1)</f>
        <v>J</v>
      </c>
      <c r="X28" s="19"/>
      <c r="Y28" s="21">
        <f>Y23</f>
        <v>174</v>
      </c>
      <c r="Z28" s="19" t="s">
        <v>324</v>
      </c>
      <c r="AA28" s="19"/>
      <c r="AB28" s="19"/>
      <c r="AC28" s="19"/>
      <c r="AD28" s="19"/>
      <c r="AE28" s="19"/>
      <c r="AF28" s="19"/>
      <c r="AG28" s="19"/>
      <c r="AH28" s="19"/>
      <c r="AI28" s="19"/>
      <c r="AJ28" s="19"/>
      <c r="AK28" s="19"/>
      <c r="AL28" s="19"/>
      <c r="AM28" s="19" t="str">
        <f>_xlfn.CONCAT(N28&amp;W28&amp;Y28&amp;Z28)</f>
        <v>Workbooks("HFU Forecast UTLA 1.0.xlsm").Worksheets("Combined data").Range("J174")</v>
      </c>
      <c r="AO28" t="s">
        <v>1004</v>
      </c>
    </row>
    <row r="29" spans="1:41" x14ac:dyDescent="0.25">
      <c r="B29" s="19" t="s">
        <v>339</v>
      </c>
      <c r="C29" s="19"/>
      <c r="D29" s="19"/>
      <c r="E29" s="19"/>
      <c r="F29" s="19"/>
      <c r="G29" s="19"/>
      <c r="H29" s="19"/>
      <c r="I29" s="19"/>
      <c r="J29" s="19"/>
      <c r="K29" s="19"/>
      <c r="L29" s="19"/>
      <c r="M29" s="19"/>
      <c r="N29" s="19"/>
      <c r="O29" s="19"/>
      <c r="P29" s="19"/>
      <c r="Q29" s="19"/>
      <c r="R29" s="19"/>
      <c r="S29" s="19"/>
      <c r="T29" s="19"/>
      <c r="U29" s="19"/>
      <c r="V29" s="19"/>
      <c r="W29" s="19"/>
      <c r="X29" s="19"/>
      <c r="Y29" s="21"/>
      <c r="Z29" s="19"/>
      <c r="AA29" s="19"/>
      <c r="AB29" s="19"/>
      <c r="AC29" s="19"/>
      <c r="AD29" s="19"/>
      <c r="AE29" s="19"/>
      <c r="AF29" s="19"/>
      <c r="AG29" s="19"/>
      <c r="AH29" s="19"/>
      <c r="AI29" s="19"/>
      <c r="AJ29" s="19"/>
      <c r="AK29" s="19"/>
      <c r="AL29" s="19"/>
      <c r="AM29" s="19" t="str">
        <f>B29</f>
        <v>ActiveWorkbook.Close SaveChanges:=False</v>
      </c>
      <c r="AO29" t="s">
        <v>339</v>
      </c>
    </row>
    <row r="31" spans="1:41" x14ac:dyDescent="0.25">
      <c r="B31" s="22" t="s">
        <v>316</v>
      </c>
      <c r="C31" s="22"/>
      <c r="D31" s="22"/>
      <c r="E31" s="22"/>
      <c r="F31" s="22"/>
      <c r="G31" s="22"/>
      <c r="H31" s="22"/>
      <c r="I31" s="22"/>
      <c r="J31" s="22"/>
      <c r="K31" s="22"/>
      <c r="L31" s="22"/>
      <c r="M31" s="22"/>
      <c r="N31" s="22" t="s">
        <v>321</v>
      </c>
      <c r="O31" s="22"/>
      <c r="P31" s="22"/>
      <c r="Q31" s="22"/>
      <c r="R31" s="22"/>
      <c r="S31" s="22"/>
      <c r="T31" s="22"/>
      <c r="U31" s="22"/>
      <c r="V31" s="22">
        <f>V26+1</f>
        <v>4</v>
      </c>
      <c r="W31" s="22"/>
      <c r="X31" s="22"/>
      <c r="Y31" s="23"/>
      <c r="Z31" s="22" t="s">
        <v>322</v>
      </c>
      <c r="AA31" s="22"/>
      <c r="AB31" s="22"/>
      <c r="AC31" s="22"/>
      <c r="AD31" s="22"/>
      <c r="AE31" s="22"/>
      <c r="AF31" s="22"/>
      <c r="AG31" s="22"/>
      <c r="AH31" s="22"/>
      <c r="AI31" s="22"/>
      <c r="AJ31" s="22"/>
      <c r="AK31" s="22"/>
      <c r="AL31" s="22"/>
      <c r="AM31" s="22" t="str">
        <f>+_xlfn.CONCAT(N31&amp;V31&amp;Z31)</f>
        <v xml:space="preserve"> Workbooks.Open "A:\Homes for Ukraine data\Ukraine_sponsorship_data_4.ods"</v>
      </c>
      <c r="AO31" t="s">
        <v>340</v>
      </c>
    </row>
    <row r="32" spans="1:41" x14ac:dyDescent="0.25">
      <c r="B32" s="22" t="s">
        <v>380</v>
      </c>
      <c r="C32" s="22"/>
      <c r="D32" s="22"/>
      <c r="E32" s="22"/>
      <c r="F32" s="22"/>
      <c r="G32" s="22"/>
      <c r="H32" s="22"/>
      <c r="I32" s="22"/>
      <c r="J32" s="22"/>
      <c r="K32" s="22"/>
      <c r="L32" s="22"/>
      <c r="M32" s="22"/>
      <c r="N32" s="22" t="s">
        <v>323</v>
      </c>
      <c r="O32" s="22"/>
      <c r="P32" s="22"/>
      <c r="Q32" s="22"/>
      <c r="R32" s="22"/>
      <c r="S32" s="22"/>
      <c r="T32" s="22"/>
      <c r="U32" s="22"/>
      <c r="V32" s="22">
        <f>V27+1</f>
        <v>4</v>
      </c>
      <c r="W32" s="22"/>
      <c r="X32" s="22"/>
      <c r="Y32" s="23"/>
      <c r="Z32" s="22" t="s">
        <v>381</v>
      </c>
      <c r="AA32" s="22"/>
      <c r="AB32" s="22"/>
      <c r="AC32" s="22"/>
      <c r="AD32" s="22"/>
      <c r="AE32" s="22" t="s">
        <v>382</v>
      </c>
      <c r="AF32" s="22">
        <f t="shared" ref="AF32" si="0">AF27</f>
        <v>13</v>
      </c>
      <c r="AG32" s="22" t="s">
        <v>327</v>
      </c>
      <c r="AH32" s="22"/>
      <c r="AI32" s="22">
        <f t="shared" ref="AI32" si="1">AI27</f>
        <v>53</v>
      </c>
      <c r="AJ32" s="22"/>
      <c r="AK32" s="22" t="s">
        <v>325</v>
      </c>
      <c r="AL32" s="22"/>
      <c r="AM32" s="22" t="str">
        <f>_xlfn.CONCAT(N32&amp;V32&amp;Z32&amp;AE32&amp;AF32&amp;AG32&amp;AE32&amp;AI32&amp;AK32)</f>
        <v xml:space="preserve"> Workbooks("Ukraine_sponsorship_data_4.ods").Worksheets("Scotland").Range("D13:D53").Copy _</v>
      </c>
      <c r="AO32" t="s">
        <v>506</v>
      </c>
    </row>
    <row r="33" spans="2:41" x14ac:dyDescent="0.25">
      <c r="B33" s="22" t="s">
        <v>808</v>
      </c>
      <c r="C33" s="22"/>
      <c r="D33" s="22"/>
      <c r="E33" s="22"/>
      <c r="F33" s="22"/>
      <c r="G33" s="22"/>
      <c r="H33" s="22"/>
      <c r="I33" s="22"/>
      <c r="J33" s="22"/>
      <c r="K33" s="22"/>
      <c r="L33" s="22"/>
      <c r="M33" s="22"/>
      <c r="N33" s="22" t="s">
        <v>809</v>
      </c>
      <c r="O33" s="22"/>
      <c r="P33" s="22"/>
      <c r="Q33" s="22"/>
      <c r="R33" s="22"/>
      <c r="S33" s="22"/>
      <c r="T33" s="22"/>
      <c r="U33" s="22"/>
      <c r="V33" s="22"/>
      <c r="W33" s="22" t="str">
        <f>CHAR(CODE(W28)+1)</f>
        <v>K</v>
      </c>
      <c r="X33" s="22"/>
      <c r="Y33" s="23">
        <f t="shared" ref="Y33" si="2">Y28</f>
        <v>174</v>
      </c>
      <c r="Z33" s="22" t="s">
        <v>324</v>
      </c>
      <c r="AA33" s="22"/>
      <c r="AB33" s="22"/>
      <c r="AC33" s="22"/>
      <c r="AD33" s="22"/>
      <c r="AE33" s="22"/>
      <c r="AF33" s="22"/>
      <c r="AG33" s="22"/>
      <c r="AH33" s="22"/>
      <c r="AI33" s="22"/>
      <c r="AJ33" s="22"/>
      <c r="AK33" s="22"/>
      <c r="AL33" s="22"/>
      <c r="AM33" s="22" t="str">
        <f>_xlfn.CONCAT(N33&amp;W33&amp;Y33&amp;Z33)</f>
        <v>Workbooks("HFU Forecast UTLA 1.0.xlsm").Worksheets("Combined data").Range("K174")</v>
      </c>
      <c r="AO33" t="s">
        <v>1005</v>
      </c>
    </row>
    <row r="34" spans="2:41" x14ac:dyDescent="0.25">
      <c r="B34" s="22" t="s">
        <v>339</v>
      </c>
      <c r="C34" s="22"/>
      <c r="D34" s="22"/>
      <c r="E34" s="22"/>
      <c r="F34" s="22"/>
      <c r="G34" s="22"/>
      <c r="H34" s="22"/>
      <c r="I34" s="22"/>
      <c r="J34" s="22"/>
      <c r="K34" s="22"/>
      <c r="L34" s="22"/>
      <c r="M34" s="22"/>
      <c r="N34" s="22"/>
      <c r="O34" s="22"/>
      <c r="P34" s="22"/>
      <c r="Q34" s="22"/>
      <c r="R34" s="22"/>
      <c r="S34" s="22"/>
      <c r="T34" s="22"/>
      <c r="U34" s="22"/>
      <c r="V34" s="22"/>
      <c r="W34" s="22"/>
      <c r="X34" s="22"/>
      <c r="Y34" s="23"/>
      <c r="Z34" s="22"/>
      <c r="AA34" s="22"/>
      <c r="AB34" s="22"/>
      <c r="AC34" s="22"/>
      <c r="AD34" s="22"/>
      <c r="AE34" s="22"/>
      <c r="AF34" s="22"/>
      <c r="AG34" s="22"/>
      <c r="AH34" s="22"/>
      <c r="AI34" s="22"/>
      <c r="AJ34" s="22"/>
      <c r="AK34" s="22"/>
      <c r="AL34" s="22"/>
      <c r="AM34" s="22" t="str">
        <f>B34</f>
        <v>ActiveWorkbook.Close SaveChanges:=False</v>
      </c>
      <c r="AO34" t="s">
        <v>339</v>
      </c>
    </row>
    <row r="36" spans="2:41" x14ac:dyDescent="0.25">
      <c r="B36" s="19" t="s">
        <v>316</v>
      </c>
      <c r="C36" s="19"/>
      <c r="D36" s="19"/>
      <c r="E36" s="19"/>
      <c r="F36" s="19"/>
      <c r="G36" s="19"/>
      <c r="H36" s="19"/>
      <c r="I36" s="19"/>
      <c r="J36" s="19"/>
      <c r="K36" s="19"/>
      <c r="L36" s="19"/>
      <c r="M36" s="19"/>
      <c r="N36" s="19" t="s">
        <v>321</v>
      </c>
      <c r="O36" s="19"/>
      <c r="P36" s="19"/>
      <c r="Q36" s="19"/>
      <c r="R36" s="19"/>
      <c r="S36" s="19"/>
      <c r="T36" s="19"/>
      <c r="U36" s="19"/>
      <c r="V36" s="19">
        <f t="shared" ref="V36:V37" si="3">V31+1</f>
        <v>5</v>
      </c>
      <c r="W36" s="19"/>
      <c r="X36" s="19"/>
      <c r="Y36" s="21"/>
      <c r="Z36" s="19" t="s">
        <v>322</v>
      </c>
      <c r="AA36" s="19"/>
      <c r="AB36" s="19"/>
      <c r="AC36" s="19"/>
      <c r="AD36" s="19"/>
      <c r="AE36" s="19"/>
      <c r="AF36" s="19"/>
      <c r="AG36" s="19"/>
      <c r="AH36" s="19"/>
      <c r="AI36" s="19"/>
      <c r="AJ36" s="19"/>
      <c r="AK36" s="19"/>
      <c r="AL36" s="19"/>
      <c r="AM36" s="19" t="str">
        <f t="shared" ref="AM36" si="4">+_xlfn.CONCAT(N36&amp;V36&amp;Z36)</f>
        <v xml:space="preserve"> Workbooks.Open "A:\Homes for Ukraine data\Ukraine_sponsorship_data_5.ods"</v>
      </c>
      <c r="AO36" t="s">
        <v>341</v>
      </c>
    </row>
    <row r="37" spans="2:41" x14ac:dyDescent="0.25">
      <c r="B37" s="19" t="s">
        <v>380</v>
      </c>
      <c r="C37" s="19"/>
      <c r="D37" s="19"/>
      <c r="E37" s="19"/>
      <c r="F37" s="19"/>
      <c r="G37" s="19"/>
      <c r="H37" s="19"/>
      <c r="I37" s="19"/>
      <c r="J37" s="19"/>
      <c r="K37" s="19"/>
      <c r="L37" s="19"/>
      <c r="M37" s="19"/>
      <c r="N37" s="19" t="s">
        <v>323</v>
      </c>
      <c r="O37" s="19"/>
      <c r="P37" s="19"/>
      <c r="Q37" s="19"/>
      <c r="R37" s="19"/>
      <c r="S37" s="19"/>
      <c r="T37" s="19"/>
      <c r="U37" s="19"/>
      <c r="V37" s="19">
        <f t="shared" si="3"/>
        <v>5</v>
      </c>
      <c r="W37" s="19"/>
      <c r="X37" s="19"/>
      <c r="Y37" s="21"/>
      <c r="Z37" s="19" t="s">
        <v>381</v>
      </c>
      <c r="AA37" s="19"/>
      <c r="AB37" s="19"/>
      <c r="AC37" s="19"/>
      <c r="AD37" s="19"/>
      <c r="AE37" s="19" t="s">
        <v>382</v>
      </c>
      <c r="AF37" s="19">
        <f t="shared" ref="AF37" si="5">AF32</f>
        <v>13</v>
      </c>
      <c r="AG37" s="19" t="s">
        <v>327</v>
      </c>
      <c r="AH37" s="19"/>
      <c r="AI37" s="19">
        <f t="shared" ref="AI37" si="6">AI32</f>
        <v>53</v>
      </c>
      <c r="AJ37" s="19"/>
      <c r="AK37" s="19" t="s">
        <v>325</v>
      </c>
      <c r="AL37" s="19"/>
      <c r="AM37" s="19" t="str">
        <f t="shared" ref="AM37" si="7">_xlfn.CONCAT(N37&amp;V37&amp;Z37&amp;AE37&amp;AF37&amp;AG37&amp;AE37&amp;AI37&amp;AK37)</f>
        <v xml:space="preserve"> Workbooks("Ukraine_sponsorship_data_5.ods").Worksheets("Scotland").Range("D13:D53").Copy _</v>
      </c>
      <c r="AO37" t="s">
        <v>507</v>
      </c>
    </row>
    <row r="38" spans="2:41" x14ac:dyDescent="0.25">
      <c r="B38" s="19" t="s">
        <v>808</v>
      </c>
      <c r="C38" s="19"/>
      <c r="D38" s="19"/>
      <c r="E38" s="19"/>
      <c r="F38" s="19"/>
      <c r="G38" s="19"/>
      <c r="H38" s="19"/>
      <c r="I38" s="19"/>
      <c r="J38" s="19"/>
      <c r="K38" s="19"/>
      <c r="L38" s="19"/>
      <c r="M38" s="19"/>
      <c r="N38" s="19" t="s">
        <v>809</v>
      </c>
      <c r="O38" s="19"/>
      <c r="P38" s="19"/>
      <c r="Q38" s="19"/>
      <c r="R38" s="19"/>
      <c r="S38" s="19"/>
      <c r="T38" s="19"/>
      <c r="U38" s="19"/>
      <c r="V38" s="19"/>
      <c r="W38" s="19" t="str">
        <f t="shared" ref="W38" si="8">CHAR(CODE(W33)+1)</f>
        <v>L</v>
      </c>
      <c r="X38" s="19"/>
      <c r="Y38" s="21">
        <f t="shared" ref="Y38" si="9">Y33</f>
        <v>174</v>
      </c>
      <c r="Z38" s="19" t="s">
        <v>324</v>
      </c>
      <c r="AA38" s="19"/>
      <c r="AB38" s="19"/>
      <c r="AC38" s="19"/>
      <c r="AD38" s="19"/>
      <c r="AE38" s="19"/>
      <c r="AF38" s="19"/>
      <c r="AG38" s="19"/>
      <c r="AH38" s="19"/>
      <c r="AI38" s="19"/>
      <c r="AJ38" s="19"/>
      <c r="AK38" s="19"/>
      <c r="AL38" s="19"/>
      <c r="AM38" s="19" t="str">
        <f t="shared" ref="AM38" si="10">_xlfn.CONCAT(N38&amp;W38&amp;Y38&amp;Z38)</f>
        <v>Workbooks("HFU Forecast UTLA 1.0.xlsm").Worksheets("Combined data").Range("L174")</v>
      </c>
      <c r="AO38" t="s">
        <v>1006</v>
      </c>
    </row>
    <row r="39" spans="2:41" x14ac:dyDescent="0.25">
      <c r="B39" s="19" t="s">
        <v>339</v>
      </c>
      <c r="C39" s="19"/>
      <c r="D39" s="19"/>
      <c r="E39" s="19"/>
      <c r="F39" s="19"/>
      <c r="G39" s="19"/>
      <c r="H39" s="19"/>
      <c r="I39" s="19"/>
      <c r="J39" s="19"/>
      <c r="K39" s="19"/>
      <c r="L39" s="19"/>
      <c r="M39" s="19"/>
      <c r="N39" s="19"/>
      <c r="O39" s="19"/>
      <c r="P39" s="19"/>
      <c r="Q39" s="19"/>
      <c r="R39" s="19"/>
      <c r="S39" s="19"/>
      <c r="T39" s="19"/>
      <c r="U39" s="19"/>
      <c r="V39" s="19"/>
      <c r="W39" s="19"/>
      <c r="X39" s="19"/>
      <c r="Y39" s="21"/>
      <c r="Z39" s="19"/>
      <c r="AA39" s="19"/>
      <c r="AB39" s="19"/>
      <c r="AC39" s="19"/>
      <c r="AD39" s="19"/>
      <c r="AE39" s="19"/>
      <c r="AF39" s="19"/>
      <c r="AG39" s="19"/>
      <c r="AH39" s="19"/>
      <c r="AI39" s="19"/>
      <c r="AJ39" s="19"/>
      <c r="AK39" s="19"/>
      <c r="AL39" s="19"/>
      <c r="AM39" s="19" t="str">
        <f t="shared" ref="AM39" si="11">B39</f>
        <v>ActiveWorkbook.Close SaveChanges:=False</v>
      </c>
      <c r="AO39" t="s">
        <v>339</v>
      </c>
    </row>
    <row r="41" spans="2:41" x14ac:dyDescent="0.25">
      <c r="B41" s="22" t="s">
        <v>316</v>
      </c>
      <c r="C41" s="22"/>
      <c r="D41" s="22"/>
      <c r="E41" s="22"/>
      <c r="F41" s="22"/>
      <c r="G41" s="22"/>
      <c r="H41" s="22"/>
      <c r="I41" s="22"/>
      <c r="J41" s="22"/>
      <c r="K41" s="22"/>
      <c r="L41" s="22"/>
      <c r="M41" s="22"/>
      <c r="N41" s="22" t="s">
        <v>321</v>
      </c>
      <c r="O41" s="22"/>
      <c r="P41" s="22"/>
      <c r="Q41" s="22"/>
      <c r="R41" s="22"/>
      <c r="S41" s="22"/>
      <c r="T41" s="22"/>
      <c r="U41" s="22"/>
      <c r="V41" s="22">
        <f t="shared" ref="V41:V42" si="12">V36+1</f>
        <v>6</v>
      </c>
      <c r="W41" s="22"/>
      <c r="X41" s="22"/>
      <c r="Y41" s="23"/>
      <c r="Z41" s="22" t="s">
        <v>322</v>
      </c>
      <c r="AA41" s="22"/>
      <c r="AB41" s="22"/>
      <c r="AC41" s="22"/>
      <c r="AD41" s="22"/>
      <c r="AE41" s="22"/>
      <c r="AF41" s="22"/>
      <c r="AG41" s="22"/>
      <c r="AH41" s="22"/>
      <c r="AI41" s="22"/>
      <c r="AJ41" s="22"/>
      <c r="AK41" s="22"/>
      <c r="AL41" s="22"/>
      <c r="AM41" s="22" t="str">
        <f t="shared" ref="AM41" si="13">+_xlfn.CONCAT(N41&amp;V41&amp;Z41)</f>
        <v xml:space="preserve"> Workbooks.Open "A:\Homes for Ukraine data\Ukraine_sponsorship_data_6.ods"</v>
      </c>
      <c r="AO41" t="s">
        <v>342</v>
      </c>
    </row>
    <row r="42" spans="2:41" x14ac:dyDescent="0.25">
      <c r="B42" s="22" t="s">
        <v>380</v>
      </c>
      <c r="C42" s="22"/>
      <c r="D42" s="22"/>
      <c r="E42" s="22"/>
      <c r="F42" s="22"/>
      <c r="G42" s="22"/>
      <c r="H42" s="22"/>
      <c r="I42" s="22"/>
      <c r="J42" s="22"/>
      <c r="K42" s="22"/>
      <c r="L42" s="22"/>
      <c r="M42" s="22"/>
      <c r="N42" s="22" t="s">
        <v>323</v>
      </c>
      <c r="O42" s="22"/>
      <c r="P42" s="22"/>
      <c r="Q42" s="22"/>
      <c r="R42" s="22"/>
      <c r="S42" s="22"/>
      <c r="T42" s="22"/>
      <c r="U42" s="22"/>
      <c r="V42" s="22">
        <f t="shared" si="12"/>
        <v>6</v>
      </c>
      <c r="W42" s="22"/>
      <c r="X42" s="22"/>
      <c r="Y42" s="23"/>
      <c r="Z42" s="22" t="s">
        <v>381</v>
      </c>
      <c r="AA42" s="22"/>
      <c r="AB42" s="22"/>
      <c r="AC42" s="22"/>
      <c r="AD42" s="22"/>
      <c r="AE42" s="22" t="s">
        <v>382</v>
      </c>
      <c r="AF42" s="22">
        <f t="shared" ref="AF42" si="14">AF37</f>
        <v>13</v>
      </c>
      <c r="AG42" s="22" t="s">
        <v>327</v>
      </c>
      <c r="AH42" s="22"/>
      <c r="AI42" s="22">
        <f t="shared" ref="AI42" si="15">AI37</f>
        <v>53</v>
      </c>
      <c r="AJ42" s="22"/>
      <c r="AK42" s="22" t="s">
        <v>325</v>
      </c>
      <c r="AL42" s="22"/>
      <c r="AM42" s="22" t="str">
        <f t="shared" ref="AM42" si="16">_xlfn.CONCAT(N42&amp;V42&amp;Z42&amp;AE42&amp;AF42&amp;AG42&amp;AE42&amp;AI42&amp;AK42)</f>
        <v xml:space="preserve"> Workbooks("Ukraine_sponsorship_data_6.ods").Worksheets("Scotland").Range("D13:D53").Copy _</v>
      </c>
      <c r="AO42" t="s">
        <v>508</v>
      </c>
    </row>
    <row r="43" spans="2:41" x14ac:dyDescent="0.25">
      <c r="B43" s="22" t="s">
        <v>808</v>
      </c>
      <c r="C43" s="22"/>
      <c r="D43" s="22"/>
      <c r="E43" s="22"/>
      <c r="F43" s="22"/>
      <c r="G43" s="22"/>
      <c r="H43" s="22"/>
      <c r="I43" s="22"/>
      <c r="J43" s="22"/>
      <c r="K43" s="22"/>
      <c r="L43" s="22"/>
      <c r="M43" s="22"/>
      <c r="N43" s="22" t="s">
        <v>809</v>
      </c>
      <c r="O43" s="22"/>
      <c r="P43" s="22"/>
      <c r="Q43" s="22"/>
      <c r="R43" s="22"/>
      <c r="S43" s="22"/>
      <c r="T43" s="22"/>
      <c r="U43" s="22"/>
      <c r="V43" s="22"/>
      <c r="W43" s="22" t="str">
        <f t="shared" ref="W43" si="17">CHAR(CODE(W38)+1)</f>
        <v>M</v>
      </c>
      <c r="X43" s="22"/>
      <c r="Y43" s="23">
        <f t="shared" ref="Y43" si="18">Y38</f>
        <v>174</v>
      </c>
      <c r="Z43" s="22" t="s">
        <v>324</v>
      </c>
      <c r="AA43" s="22"/>
      <c r="AB43" s="22"/>
      <c r="AC43" s="22"/>
      <c r="AD43" s="22"/>
      <c r="AE43" s="22"/>
      <c r="AF43" s="22"/>
      <c r="AG43" s="22"/>
      <c r="AH43" s="22"/>
      <c r="AI43" s="22"/>
      <c r="AJ43" s="22"/>
      <c r="AK43" s="22"/>
      <c r="AL43" s="22"/>
      <c r="AM43" s="22" t="str">
        <f t="shared" ref="AM43" si="19">_xlfn.CONCAT(N43&amp;W43&amp;Y43&amp;Z43)</f>
        <v>Workbooks("HFU Forecast UTLA 1.0.xlsm").Worksheets("Combined data").Range("M174")</v>
      </c>
      <c r="AO43" t="s">
        <v>1007</v>
      </c>
    </row>
    <row r="44" spans="2:41" x14ac:dyDescent="0.25">
      <c r="B44" s="22" t="s">
        <v>339</v>
      </c>
      <c r="C44" s="22"/>
      <c r="D44" s="22"/>
      <c r="E44" s="22"/>
      <c r="F44" s="22"/>
      <c r="G44" s="22"/>
      <c r="H44" s="22"/>
      <c r="I44" s="22"/>
      <c r="J44" s="22"/>
      <c r="K44" s="22"/>
      <c r="L44" s="22"/>
      <c r="M44" s="22"/>
      <c r="N44" s="22"/>
      <c r="O44" s="22"/>
      <c r="P44" s="22"/>
      <c r="Q44" s="22"/>
      <c r="R44" s="22"/>
      <c r="S44" s="22"/>
      <c r="T44" s="22"/>
      <c r="U44" s="22"/>
      <c r="V44" s="22"/>
      <c r="W44" s="22"/>
      <c r="X44" s="22"/>
      <c r="Y44" s="23"/>
      <c r="Z44" s="22"/>
      <c r="AA44" s="22"/>
      <c r="AB44" s="22"/>
      <c r="AC44" s="22"/>
      <c r="AD44" s="22"/>
      <c r="AE44" s="22"/>
      <c r="AF44" s="22"/>
      <c r="AG44" s="22"/>
      <c r="AH44" s="22"/>
      <c r="AI44" s="22"/>
      <c r="AJ44" s="22"/>
      <c r="AK44" s="22"/>
      <c r="AL44" s="22"/>
      <c r="AM44" s="22" t="str">
        <f t="shared" ref="AM44" si="20">B44</f>
        <v>ActiveWorkbook.Close SaveChanges:=False</v>
      </c>
      <c r="AO44" t="s">
        <v>339</v>
      </c>
    </row>
    <row r="46" spans="2:41" x14ac:dyDescent="0.25">
      <c r="B46" s="19" t="s">
        <v>316</v>
      </c>
      <c r="C46" s="19"/>
      <c r="D46" s="19"/>
      <c r="E46" s="19"/>
      <c r="F46" s="19"/>
      <c r="G46" s="19"/>
      <c r="H46" s="19"/>
      <c r="I46" s="19"/>
      <c r="J46" s="19"/>
      <c r="K46" s="19"/>
      <c r="L46" s="19"/>
      <c r="M46" s="19"/>
      <c r="N46" s="19" t="s">
        <v>321</v>
      </c>
      <c r="O46" s="19"/>
      <c r="P46" s="19"/>
      <c r="Q46" s="19"/>
      <c r="R46" s="19"/>
      <c r="S46" s="19"/>
      <c r="T46" s="19"/>
      <c r="U46" s="19"/>
      <c r="V46" s="19">
        <f t="shared" ref="V46:V47" si="21">V41+1</f>
        <v>7</v>
      </c>
      <c r="W46" s="19"/>
      <c r="X46" s="19"/>
      <c r="Y46" s="21"/>
      <c r="Z46" s="19" t="s">
        <v>322</v>
      </c>
      <c r="AA46" s="19"/>
      <c r="AB46" s="19"/>
      <c r="AC46" s="19"/>
      <c r="AD46" s="19"/>
      <c r="AE46" s="19"/>
      <c r="AF46" s="19"/>
      <c r="AG46" s="19"/>
      <c r="AH46" s="19"/>
      <c r="AI46" s="19"/>
      <c r="AJ46" s="19"/>
      <c r="AK46" s="19"/>
      <c r="AL46" s="19"/>
      <c r="AM46" s="19" t="str">
        <f t="shared" ref="AM46" si="22">+_xlfn.CONCAT(N46&amp;V46&amp;Z46)</f>
        <v xml:space="preserve"> Workbooks.Open "A:\Homes for Ukraine data\Ukraine_sponsorship_data_7.ods"</v>
      </c>
      <c r="AO46" t="s">
        <v>343</v>
      </c>
    </row>
    <row r="47" spans="2:41" x14ac:dyDescent="0.25">
      <c r="B47" s="19" t="s">
        <v>380</v>
      </c>
      <c r="C47" s="19"/>
      <c r="D47" s="19"/>
      <c r="E47" s="19"/>
      <c r="F47" s="19"/>
      <c r="G47" s="19"/>
      <c r="H47" s="19"/>
      <c r="I47" s="19"/>
      <c r="J47" s="19"/>
      <c r="K47" s="19"/>
      <c r="L47" s="19"/>
      <c r="M47" s="19"/>
      <c r="N47" s="19" t="s">
        <v>323</v>
      </c>
      <c r="O47" s="19"/>
      <c r="P47" s="19"/>
      <c r="Q47" s="19"/>
      <c r="R47" s="19"/>
      <c r="S47" s="19"/>
      <c r="T47" s="19"/>
      <c r="U47" s="19"/>
      <c r="V47" s="19">
        <f t="shared" si="21"/>
        <v>7</v>
      </c>
      <c r="W47" s="19"/>
      <c r="X47" s="19"/>
      <c r="Y47" s="21"/>
      <c r="Z47" s="19" t="s">
        <v>381</v>
      </c>
      <c r="AA47" s="19"/>
      <c r="AB47" s="19"/>
      <c r="AC47" s="19"/>
      <c r="AD47" s="19"/>
      <c r="AE47" s="19" t="s">
        <v>382</v>
      </c>
      <c r="AF47" s="19">
        <f t="shared" ref="AF47" si="23">AF42</f>
        <v>13</v>
      </c>
      <c r="AG47" s="19" t="s">
        <v>327</v>
      </c>
      <c r="AH47" s="19"/>
      <c r="AI47" s="19">
        <f t="shared" ref="AI47" si="24">AI42</f>
        <v>53</v>
      </c>
      <c r="AJ47" s="19"/>
      <c r="AK47" s="19" t="s">
        <v>325</v>
      </c>
      <c r="AL47" s="19"/>
      <c r="AM47" s="19" t="str">
        <f t="shared" ref="AM47" si="25">_xlfn.CONCAT(N47&amp;V47&amp;Z47&amp;AE47&amp;AF47&amp;AG47&amp;AE47&amp;AI47&amp;AK47)</f>
        <v xml:space="preserve"> Workbooks("Ukraine_sponsorship_data_7.ods").Worksheets("Scotland").Range("D13:D53").Copy _</v>
      </c>
      <c r="AO47" t="s">
        <v>509</v>
      </c>
    </row>
    <row r="48" spans="2:41" x14ac:dyDescent="0.25">
      <c r="B48" s="19" t="s">
        <v>808</v>
      </c>
      <c r="C48" s="19"/>
      <c r="D48" s="19"/>
      <c r="E48" s="19"/>
      <c r="F48" s="19"/>
      <c r="G48" s="19"/>
      <c r="H48" s="19"/>
      <c r="I48" s="19"/>
      <c r="J48" s="19"/>
      <c r="K48" s="19"/>
      <c r="L48" s="19"/>
      <c r="M48" s="19"/>
      <c r="N48" s="19" t="s">
        <v>809</v>
      </c>
      <c r="O48" s="19"/>
      <c r="P48" s="19"/>
      <c r="Q48" s="19"/>
      <c r="R48" s="19"/>
      <c r="S48" s="19"/>
      <c r="T48" s="19"/>
      <c r="U48" s="19"/>
      <c r="V48" s="19"/>
      <c r="W48" s="19" t="str">
        <f t="shared" ref="W48" si="26">CHAR(CODE(W43)+1)</f>
        <v>N</v>
      </c>
      <c r="X48" s="19"/>
      <c r="Y48" s="21">
        <f t="shared" ref="Y48" si="27">Y43</f>
        <v>174</v>
      </c>
      <c r="Z48" s="19" t="s">
        <v>324</v>
      </c>
      <c r="AA48" s="19"/>
      <c r="AB48" s="19"/>
      <c r="AC48" s="19"/>
      <c r="AD48" s="19"/>
      <c r="AE48" s="19"/>
      <c r="AF48" s="19"/>
      <c r="AG48" s="19"/>
      <c r="AH48" s="19"/>
      <c r="AI48" s="19"/>
      <c r="AJ48" s="19"/>
      <c r="AK48" s="19"/>
      <c r="AL48" s="19"/>
      <c r="AM48" s="19" t="str">
        <f t="shared" ref="AM48" si="28">_xlfn.CONCAT(N48&amp;W48&amp;Y48&amp;Z48)</f>
        <v>Workbooks("HFU Forecast UTLA 1.0.xlsm").Worksheets("Combined data").Range("N174")</v>
      </c>
      <c r="AO48" t="s">
        <v>1008</v>
      </c>
    </row>
    <row r="49" spans="2:41" x14ac:dyDescent="0.25">
      <c r="B49" s="19" t="s">
        <v>339</v>
      </c>
      <c r="C49" s="19"/>
      <c r="D49" s="19"/>
      <c r="E49" s="19"/>
      <c r="F49" s="19"/>
      <c r="G49" s="19"/>
      <c r="H49" s="19"/>
      <c r="I49" s="19"/>
      <c r="J49" s="19"/>
      <c r="K49" s="19"/>
      <c r="L49" s="19"/>
      <c r="M49" s="19"/>
      <c r="N49" s="19"/>
      <c r="O49" s="19"/>
      <c r="P49" s="19"/>
      <c r="Q49" s="19"/>
      <c r="R49" s="19"/>
      <c r="S49" s="19"/>
      <c r="T49" s="19"/>
      <c r="U49" s="19"/>
      <c r="V49" s="19"/>
      <c r="W49" s="19"/>
      <c r="X49" s="19"/>
      <c r="Y49" s="21"/>
      <c r="Z49" s="19"/>
      <c r="AA49" s="19"/>
      <c r="AB49" s="19"/>
      <c r="AC49" s="19"/>
      <c r="AD49" s="19"/>
      <c r="AE49" s="19"/>
      <c r="AF49" s="19"/>
      <c r="AG49" s="19"/>
      <c r="AH49" s="19"/>
      <c r="AI49" s="19"/>
      <c r="AJ49" s="19"/>
      <c r="AK49" s="19"/>
      <c r="AL49" s="19"/>
      <c r="AM49" s="19" t="str">
        <f t="shared" ref="AM49" si="29">B49</f>
        <v>ActiveWorkbook.Close SaveChanges:=False</v>
      </c>
      <c r="AO49" t="s">
        <v>339</v>
      </c>
    </row>
    <row r="51" spans="2:41" x14ac:dyDescent="0.25">
      <c r="B51" s="22" t="s">
        <v>316</v>
      </c>
      <c r="C51" s="22"/>
      <c r="D51" s="22"/>
      <c r="E51" s="22"/>
      <c r="F51" s="22"/>
      <c r="G51" s="22"/>
      <c r="H51" s="22"/>
      <c r="I51" s="22"/>
      <c r="J51" s="22"/>
      <c r="K51" s="22"/>
      <c r="L51" s="22"/>
      <c r="M51" s="22"/>
      <c r="N51" s="22" t="s">
        <v>321</v>
      </c>
      <c r="O51" s="22"/>
      <c r="P51" s="22"/>
      <c r="Q51" s="22"/>
      <c r="R51" s="22"/>
      <c r="S51" s="22"/>
      <c r="T51" s="22"/>
      <c r="U51" s="22"/>
      <c r="V51" s="22">
        <f t="shared" ref="V51:V52" si="30">V46+1</f>
        <v>8</v>
      </c>
      <c r="W51" s="22"/>
      <c r="X51" s="22"/>
      <c r="Y51" s="23"/>
      <c r="Z51" s="22" t="s">
        <v>322</v>
      </c>
      <c r="AA51" s="22"/>
      <c r="AB51" s="22"/>
      <c r="AC51" s="22"/>
      <c r="AD51" s="22"/>
      <c r="AE51" s="22"/>
      <c r="AF51" s="22"/>
      <c r="AG51" s="22"/>
      <c r="AH51" s="22"/>
      <c r="AI51" s="22"/>
      <c r="AJ51" s="22"/>
      <c r="AK51" s="22"/>
      <c r="AL51" s="22"/>
      <c r="AM51" s="22" t="str">
        <f t="shared" ref="AM51" si="31">+_xlfn.CONCAT(N51&amp;V51&amp;Z51)</f>
        <v xml:space="preserve"> Workbooks.Open "A:\Homes for Ukraine data\Ukraine_sponsorship_data_8.ods"</v>
      </c>
      <c r="AO51" t="s">
        <v>344</v>
      </c>
    </row>
    <row r="52" spans="2:41" x14ac:dyDescent="0.25">
      <c r="B52" s="22" t="s">
        <v>380</v>
      </c>
      <c r="C52" s="22"/>
      <c r="D52" s="22"/>
      <c r="E52" s="22"/>
      <c r="F52" s="22"/>
      <c r="G52" s="22"/>
      <c r="H52" s="22"/>
      <c r="I52" s="22"/>
      <c r="J52" s="22"/>
      <c r="K52" s="22"/>
      <c r="L52" s="22"/>
      <c r="M52" s="22"/>
      <c r="N52" s="22" t="s">
        <v>323</v>
      </c>
      <c r="O52" s="22"/>
      <c r="P52" s="22"/>
      <c r="Q52" s="22"/>
      <c r="R52" s="22"/>
      <c r="S52" s="22"/>
      <c r="T52" s="22"/>
      <c r="U52" s="22"/>
      <c r="V52" s="22">
        <f t="shared" si="30"/>
        <v>8</v>
      </c>
      <c r="W52" s="22"/>
      <c r="X52" s="22"/>
      <c r="Y52" s="23"/>
      <c r="Z52" s="22" t="s">
        <v>381</v>
      </c>
      <c r="AA52" s="22"/>
      <c r="AB52" s="22"/>
      <c r="AC52" s="22"/>
      <c r="AD52" s="22"/>
      <c r="AE52" s="22" t="s">
        <v>382</v>
      </c>
      <c r="AF52" s="22">
        <f t="shared" ref="AF52" si="32">AF47</f>
        <v>13</v>
      </c>
      <c r="AG52" s="22" t="s">
        <v>327</v>
      </c>
      <c r="AH52" s="22"/>
      <c r="AI52" s="22">
        <f t="shared" ref="AI52" si="33">AI47</f>
        <v>53</v>
      </c>
      <c r="AJ52" s="22"/>
      <c r="AK52" s="22" t="s">
        <v>325</v>
      </c>
      <c r="AL52" s="22"/>
      <c r="AM52" s="22" t="str">
        <f t="shared" ref="AM52" si="34">_xlfn.CONCAT(N52&amp;V52&amp;Z52&amp;AE52&amp;AF52&amp;AG52&amp;AE52&amp;AI52&amp;AK52)</f>
        <v xml:space="preserve"> Workbooks("Ukraine_sponsorship_data_8.ods").Worksheets("Scotland").Range("D13:D53").Copy _</v>
      </c>
      <c r="AO52" t="s">
        <v>510</v>
      </c>
    </row>
    <row r="53" spans="2:41" x14ac:dyDescent="0.25">
      <c r="B53" s="22" t="s">
        <v>808</v>
      </c>
      <c r="C53" s="22"/>
      <c r="D53" s="22"/>
      <c r="E53" s="22"/>
      <c r="F53" s="22"/>
      <c r="G53" s="22"/>
      <c r="H53" s="22"/>
      <c r="I53" s="22"/>
      <c r="J53" s="22"/>
      <c r="K53" s="22"/>
      <c r="L53" s="22"/>
      <c r="M53" s="22"/>
      <c r="N53" s="22" t="s">
        <v>809</v>
      </c>
      <c r="O53" s="22"/>
      <c r="P53" s="22"/>
      <c r="Q53" s="22"/>
      <c r="R53" s="22"/>
      <c r="S53" s="22"/>
      <c r="T53" s="22"/>
      <c r="U53" s="22"/>
      <c r="V53" s="22"/>
      <c r="W53" s="22" t="str">
        <f t="shared" ref="W53" si="35">CHAR(CODE(W48)+1)</f>
        <v>O</v>
      </c>
      <c r="X53" s="22"/>
      <c r="Y53" s="23">
        <f t="shared" ref="Y53" si="36">Y48</f>
        <v>174</v>
      </c>
      <c r="Z53" s="22" t="s">
        <v>324</v>
      </c>
      <c r="AA53" s="22"/>
      <c r="AB53" s="22"/>
      <c r="AC53" s="22"/>
      <c r="AD53" s="22"/>
      <c r="AE53" s="22"/>
      <c r="AF53" s="22"/>
      <c r="AG53" s="22"/>
      <c r="AH53" s="22"/>
      <c r="AI53" s="22"/>
      <c r="AJ53" s="22"/>
      <c r="AK53" s="22"/>
      <c r="AL53" s="22"/>
      <c r="AM53" s="22" t="str">
        <f t="shared" ref="AM53" si="37">_xlfn.CONCAT(N53&amp;W53&amp;Y53&amp;Z53)</f>
        <v>Workbooks("HFU Forecast UTLA 1.0.xlsm").Worksheets("Combined data").Range("O174")</v>
      </c>
      <c r="AO53" t="s">
        <v>1009</v>
      </c>
    </row>
    <row r="54" spans="2:41" x14ac:dyDescent="0.25">
      <c r="B54" s="22" t="s">
        <v>339</v>
      </c>
      <c r="C54" s="22"/>
      <c r="D54" s="22"/>
      <c r="E54" s="22"/>
      <c r="F54" s="22"/>
      <c r="G54" s="22"/>
      <c r="H54" s="22"/>
      <c r="I54" s="22"/>
      <c r="J54" s="22"/>
      <c r="K54" s="22"/>
      <c r="L54" s="22"/>
      <c r="M54" s="22"/>
      <c r="N54" s="22"/>
      <c r="O54" s="22"/>
      <c r="P54" s="22"/>
      <c r="Q54" s="22"/>
      <c r="R54" s="22"/>
      <c r="S54" s="22"/>
      <c r="T54" s="22"/>
      <c r="U54" s="22"/>
      <c r="V54" s="22"/>
      <c r="W54" s="22"/>
      <c r="X54" s="22"/>
      <c r="Y54" s="23"/>
      <c r="Z54" s="22"/>
      <c r="AA54" s="22"/>
      <c r="AB54" s="22"/>
      <c r="AC54" s="22"/>
      <c r="AD54" s="22"/>
      <c r="AE54" s="22"/>
      <c r="AF54" s="22"/>
      <c r="AG54" s="22"/>
      <c r="AH54" s="22"/>
      <c r="AI54" s="22"/>
      <c r="AJ54" s="22"/>
      <c r="AK54" s="22"/>
      <c r="AL54" s="22"/>
      <c r="AM54" s="22" t="str">
        <f t="shared" ref="AM54" si="38">B54</f>
        <v>ActiveWorkbook.Close SaveChanges:=False</v>
      </c>
      <c r="AO54" t="s">
        <v>339</v>
      </c>
    </row>
    <row r="56" spans="2:41" x14ac:dyDescent="0.25">
      <c r="B56" s="19" t="s">
        <v>316</v>
      </c>
      <c r="C56" s="19"/>
      <c r="D56" s="19"/>
      <c r="E56" s="19"/>
      <c r="F56" s="19"/>
      <c r="G56" s="19"/>
      <c r="H56" s="19"/>
      <c r="I56" s="19"/>
      <c r="J56" s="19"/>
      <c r="K56" s="19"/>
      <c r="L56" s="19"/>
      <c r="M56" s="19"/>
      <c r="N56" s="19" t="s">
        <v>321</v>
      </c>
      <c r="O56" s="19"/>
      <c r="P56" s="19"/>
      <c r="Q56" s="19"/>
      <c r="R56" s="19"/>
      <c r="S56" s="19"/>
      <c r="T56" s="19"/>
      <c r="U56" s="19"/>
      <c r="V56" s="19">
        <f t="shared" ref="V56:V57" si="39">V51+1</f>
        <v>9</v>
      </c>
      <c r="W56" s="19"/>
      <c r="X56" s="19"/>
      <c r="Y56" s="21"/>
      <c r="Z56" s="19" t="s">
        <v>322</v>
      </c>
      <c r="AA56" s="19"/>
      <c r="AB56" s="19"/>
      <c r="AC56" s="19"/>
      <c r="AD56" s="19"/>
      <c r="AE56" s="19"/>
      <c r="AF56" s="19"/>
      <c r="AG56" s="19"/>
      <c r="AH56" s="19"/>
      <c r="AI56" s="19"/>
      <c r="AJ56" s="19"/>
      <c r="AK56" s="19"/>
      <c r="AL56" s="19"/>
      <c r="AM56" s="19" t="str">
        <f t="shared" ref="AM56" si="40">+_xlfn.CONCAT(N56&amp;V56&amp;Z56)</f>
        <v xml:space="preserve"> Workbooks.Open "A:\Homes for Ukraine data\Ukraine_sponsorship_data_9.ods"</v>
      </c>
      <c r="AO56" t="s">
        <v>345</v>
      </c>
    </row>
    <row r="57" spans="2:41" x14ac:dyDescent="0.25">
      <c r="B57" s="19" t="s">
        <v>380</v>
      </c>
      <c r="C57" s="19"/>
      <c r="D57" s="19"/>
      <c r="E57" s="19"/>
      <c r="F57" s="19"/>
      <c r="G57" s="19"/>
      <c r="H57" s="19"/>
      <c r="I57" s="19"/>
      <c r="J57" s="19"/>
      <c r="K57" s="19"/>
      <c r="L57" s="19"/>
      <c r="M57" s="19"/>
      <c r="N57" s="19" t="s">
        <v>323</v>
      </c>
      <c r="O57" s="19"/>
      <c r="P57" s="19"/>
      <c r="Q57" s="19"/>
      <c r="R57" s="19"/>
      <c r="S57" s="19"/>
      <c r="T57" s="19"/>
      <c r="U57" s="19"/>
      <c r="V57" s="19">
        <f t="shared" si="39"/>
        <v>9</v>
      </c>
      <c r="W57" s="19"/>
      <c r="X57" s="19"/>
      <c r="Y57" s="21"/>
      <c r="Z57" s="19" t="s">
        <v>381</v>
      </c>
      <c r="AA57" s="19"/>
      <c r="AB57" s="19"/>
      <c r="AC57" s="19"/>
      <c r="AD57" s="19"/>
      <c r="AE57" s="19" t="s">
        <v>382</v>
      </c>
      <c r="AF57" s="19">
        <f t="shared" ref="AF57" si="41">AF52</f>
        <v>13</v>
      </c>
      <c r="AG57" s="19" t="s">
        <v>327</v>
      </c>
      <c r="AH57" s="19"/>
      <c r="AI57" s="19">
        <f t="shared" ref="AI57" si="42">AI52</f>
        <v>53</v>
      </c>
      <c r="AJ57" s="19"/>
      <c r="AK57" s="19" t="s">
        <v>325</v>
      </c>
      <c r="AL57" s="19"/>
      <c r="AM57" s="19" t="str">
        <f t="shared" ref="AM57" si="43">_xlfn.CONCAT(N57&amp;V57&amp;Z57&amp;AE57&amp;AF57&amp;AG57&amp;AE57&amp;AI57&amp;AK57)</f>
        <v xml:space="preserve"> Workbooks("Ukraine_sponsorship_data_9.ods").Worksheets("Scotland").Range("D13:D53").Copy _</v>
      </c>
      <c r="AO57" t="s">
        <v>511</v>
      </c>
    </row>
    <row r="58" spans="2:41" x14ac:dyDescent="0.25">
      <c r="B58" s="19" t="s">
        <v>808</v>
      </c>
      <c r="C58" s="19"/>
      <c r="D58" s="19"/>
      <c r="E58" s="19"/>
      <c r="F58" s="19"/>
      <c r="G58" s="19"/>
      <c r="H58" s="19"/>
      <c r="I58" s="19"/>
      <c r="J58" s="19"/>
      <c r="K58" s="19"/>
      <c r="L58" s="19"/>
      <c r="M58" s="19"/>
      <c r="N58" s="19" t="s">
        <v>809</v>
      </c>
      <c r="O58" s="19"/>
      <c r="P58" s="19"/>
      <c r="Q58" s="19"/>
      <c r="R58" s="19"/>
      <c r="S58" s="19"/>
      <c r="T58" s="19"/>
      <c r="U58" s="19"/>
      <c r="V58" s="19"/>
      <c r="W58" s="19" t="str">
        <f t="shared" ref="W58" si="44">CHAR(CODE(W53)+1)</f>
        <v>P</v>
      </c>
      <c r="X58" s="19"/>
      <c r="Y58" s="21">
        <f t="shared" ref="Y58" si="45">Y53</f>
        <v>174</v>
      </c>
      <c r="Z58" s="19" t="s">
        <v>324</v>
      </c>
      <c r="AA58" s="19"/>
      <c r="AB58" s="19"/>
      <c r="AC58" s="19"/>
      <c r="AD58" s="19"/>
      <c r="AE58" s="19"/>
      <c r="AF58" s="19"/>
      <c r="AG58" s="19"/>
      <c r="AH58" s="19"/>
      <c r="AI58" s="19"/>
      <c r="AJ58" s="19"/>
      <c r="AK58" s="19"/>
      <c r="AL58" s="19"/>
      <c r="AM58" s="19" t="str">
        <f t="shared" ref="AM58" si="46">_xlfn.CONCAT(N58&amp;W58&amp;Y58&amp;Z58)</f>
        <v>Workbooks("HFU Forecast UTLA 1.0.xlsm").Worksheets("Combined data").Range("P174")</v>
      </c>
      <c r="AO58" t="s">
        <v>1010</v>
      </c>
    </row>
    <row r="59" spans="2:41" x14ac:dyDescent="0.25">
      <c r="B59" s="19" t="s">
        <v>339</v>
      </c>
      <c r="C59" s="19"/>
      <c r="D59" s="19"/>
      <c r="E59" s="19"/>
      <c r="F59" s="19"/>
      <c r="G59" s="19"/>
      <c r="H59" s="19"/>
      <c r="I59" s="19"/>
      <c r="J59" s="19"/>
      <c r="K59" s="19"/>
      <c r="L59" s="19"/>
      <c r="M59" s="19"/>
      <c r="N59" s="19"/>
      <c r="O59" s="19"/>
      <c r="P59" s="19"/>
      <c r="Q59" s="19"/>
      <c r="R59" s="19"/>
      <c r="S59" s="19"/>
      <c r="T59" s="19"/>
      <c r="U59" s="19"/>
      <c r="V59" s="19"/>
      <c r="W59" s="19"/>
      <c r="X59" s="19"/>
      <c r="Y59" s="21"/>
      <c r="Z59" s="19"/>
      <c r="AA59" s="19"/>
      <c r="AB59" s="19"/>
      <c r="AC59" s="19"/>
      <c r="AD59" s="19"/>
      <c r="AE59" s="19"/>
      <c r="AF59" s="19"/>
      <c r="AG59" s="19"/>
      <c r="AH59" s="19"/>
      <c r="AI59" s="19"/>
      <c r="AJ59" s="19"/>
      <c r="AK59" s="19"/>
      <c r="AL59" s="19"/>
      <c r="AM59" s="19" t="str">
        <f t="shared" ref="AM59" si="47">B59</f>
        <v>ActiveWorkbook.Close SaveChanges:=False</v>
      </c>
      <c r="AO59" t="s">
        <v>339</v>
      </c>
    </row>
    <row r="61" spans="2:41" x14ac:dyDescent="0.25">
      <c r="B61" s="22" t="s">
        <v>316</v>
      </c>
      <c r="C61" s="22"/>
      <c r="D61" s="22"/>
      <c r="E61" s="22"/>
      <c r="F61" s="22"/>
      <c r="G61" s="22"/>
      <c r="H61" s="22"/>
      <c r="I61" s="22"/>
      <c r="J61" s="22"/>
      <c r="K61" s="22"/>
      <c r="L61" s="22"/>
      <c r="M61" s="22"/>
      <c r="N61" s="22" t="s">
        <v>321</v>
      </c>
      <c r="O61" s="22"/>
      <c r="P61" s="22"/>
      <c r="Q61" s="22"/>
      <c r="R61" s="22"/>
      <c r="S61" s="22"/>
      <c r="T61" s="22"/>
      <c r="U61" s="22"/>
      <c r="V61" s="22">
        <f t="shared" ref="V61:V62" si="48">V56+1</f>
        <v>10</v>
      </c>
      <c r="W61" s="22"/>
      <c r="X61" s="22"/>
      <c r="Y61" s="23"/>
      <c r="Z61" s="22" t="s">
        <v>322</v>
      </c>
      <c r="AA61" s="22"/>
      <c r="AB61" s="22"/>
      <c r="AC61" s="22"/>
      <c r="AD61" s="22"/>
      <c r="AE61" s="22"/>
      <c r="AF61" s="22"/>
      <c r="AG61" s="22"/>
      <c r="AH61" s="22"/>
      <c r="AI61" s="22"/>
      <c r="AJ61" s="22"/>
      <c r="AK61" s="22"/>
      <c r="AL61" s="22"/>
      <c r="AM61" s="22" t="str">
        <f t="shared" ref="AM61" si="49">+_xlfn.CONCAT(N61&amp;V61&amp;Z61)</f>
        <v xml:space="preserve"> Workbooks.Open "A:\Homes for Ukraine data\Ukraine_sponsorship_data_10.ods"</v>
      </c>
      <c r="AO61" t="s">
        <v>346</v>
      </c>
    </row>
    <row r="62" spans="2:41" x14ac:dyDescent="0.25">
      <c r="B62" s="22" t="s">
        <v>380</v>
      </c>
      <c r="C62" s="22"/>
      <c r="D62" s="22"/>
      <c r="E62" s="22"/>
      <c r="F62" s="22"/>
      <c r="G62" s="22"/>
      <c r="H62" s="22"/>
      <c r="I62" s="22"/>
      <c r="J62" s="22"/>
      <c r="K62" s="22"/>
      <c r="L62" s="22"/>
      <c r="M62" s="22"/>
      <c r="N62" s="22" t="s">
        <v>323</v>
      </c>
      <c r="O62" s="22"/>
      <c r="P62" s="22"/>
      <c r="Q62" s="22"/>
      <c r="R62" s="22"/>
      <c r="S62" s="22"/>
      <c r="T62" s="22"/>
      <c r="U62" s="22"/>
      <c r="V62" s="22">
        <f t="shared" si="48"/>
        <v>10</v>
      </c>
      <c r="W62" s="22"/>
      <c r="X62" s="22"/>
      <c r="Y62" s="23"/>
      <c r="Z62" s="22" t="s">
        <v>381</v>
      </c>
      <c r="AA62" s="22"/>
      <c r="AB62" s="22"/>
      <c r="AC62" s="22"/>
      <c r="AD62" s="22"/>
      <c r="AE62" s="22" t="s">
        <v>382</v>
      </c>
      <c r="AF62" s="22">
        <f t="shared" ref="AF62" si="50">AF57</f>
        <v>13</v>
      </c>
      <c r="AG62" s="22" t="s">
        <v>327</v>
      </c>
      <c r="AH62" s="22"/>
      <c r="AI62" s="22">
        <f t="shared" ref="AI62" si="51">AI57</f>
        <v>53</v>
      </c>
      <c r="AJ62" s="22"/>
      <c r="AK62" s="22" t="s">
        <v>325</v>
      </c>
      <c r="AL62" s="22"/>
      <c r="AM62" s="22" t="str">
        <f t="shared" ref="AM62" si="52">_xlfn.CONCAT(N62&amp;V62&amp;Z62&amp;AE62&amp;AF62&amp;AG62&amp;AE62&amp;AI62&amp;AK62)</f>
        <v xml:space="preserve"> Workbooks("Ukraine_sponsorship_data_10.ods").Worksheets("Scotland").Range("D13:D53").Copy _</v>
      </c>
      <c r="AO62" t="s">
        <v>512</v>
      </c>
    </row>
    <row r="63" spans="2:41" x14ac:dyDescent="0.25">
      <c r="B63" s="22" t="s">
        <v>808</v>
      </c>
      <c r="C63" s="22"/>
      <c r="D63" s="22"/>
      <c r="E63" s="22"/>
      <c r="F63" s="22"/>
      <c r="G63" s="22"/>
      <c r="H63" s="22"/>
      <c r="I63" s="22"/>
      <c r="J63" s="22"/>
      <c r="K63" s="22"/>
      <c r="L63" s="22"/>
      <c r="M63" s="22"/>
      <c r="N63" s="22" t="s">
        <v>809</v>
      </c>
      <c r="O63" s="22"/>
      <c r="P63" s="22"/>
      <c r="Q63" s="22"/>
      <c r="R63" s="22"/>
      <c r="S63" s="22"/>
      <c r="T63" s="22"/>
      <c r="U63" s="22"/>
      <c r="V63" s="22"/>
      <c r="W63" s="22" t="str">
        <f t="shared" ref="W63" si="53">CHAR(CODE(W58)+1)</f>
        <v>Q</v>
      </c>
      <c r="X63" s="22"/>
      <c r="Y63" s="23">
        <f t="shared" ref="Y63" si="54">Y58</f>
        <v>174</v>
      </c>
      <c r="Z63" s="22" t="s">
        <v>324</v>
      </c>
      <c r="AA63" s="22"/>
      <c r="AB63" s="22"/>
      <c r="AC63" s="22"/>
      <c r="AD63" s="22"/>
      <c r="AE63" s="22"/>
      <c r="AF63" s="22"/>
      <c r="AG63" s="22"/>
      <c r="AH63" s="22"/>
      <c r="AI63" s="22"/>
      <c r="AJ63" s="22"/>
      <c r="AK63" s="22"/>
      <c r="AL63" s="22"/>
      <c r="AM63" s="22" t="str">
        <f t="shared" ref="AM63" si="55">_xlfn.CONCAT(N63&amp;W63&amp;Y63&amp;Z63)</f>
        <v>Workbooks("HFU Forecast UTLA 1.0.xlsm").Worksheets("Combined data").Range("Q174")</v>
      </c>
      <c r="AO63" t="s">
        <v>1011</v>
      </c>
    </row>
    <row r="64" spans="2:41" x14ac:dyDescent="0.25">
      <c r="B64" s="22" t="s">
        <v>339</v>
      </c>
      <c r="C64" s="22"/>
      <c r="D64" s="22"/>
      <c r="E64" s="22"/>
      <c r="F64" s="22"/>
      <c r="G64" s="22"/>
      <c r="H64" s="22"/>
      <c r="I64" s="22"/>
      <c r="J64" s="22"/>
      <c r="K64" s="22"/>
      <c r="L64" s="22"/>
      <c r="M64" s="22"/>
      <c r="N64" s="22"/>
      <c r="O64" s="22"/>
      <c r="P64" s="22"/>
      <c r="Q64" s="22"/>
      <c r="R64" s="22"/>
      <c r="S64" s="22"/>
      <c r="T64" s="22"/>
      <c r="U64" s="22"/>
      <c r="V64" s="22"/>
      <c r="W64" s="22"/>
      <c r="X64" s="22"/>
      <c r="Y64" s="23"/>
      <c r="Z64" s="22"/>
      <c r="AA64" s="22"/>
      <c r="AB64" s="22"/>
      <c r="AC64" s="22"/>
      <c r="AD64" s="22"/>
      <c r="AE64" s="22"/>
      <c r="AF64" s="22"/>
      <c r="AG64" s="22"/>
      <c r="AH64" s="22"/>
      <c r="AI64" s="22"/>
      <c r="AJ64" s="22"/>
      <c r="AK64" s="22"/>
      <c r="AL64" s="22"/>
      <c r="AM64" s="22" t="str">
        <f t="shared" ref="AM64" si="56">B64</f>
        <v>ActiveWorkbook.Close SaveChanges:=False</v>
      </c>
      <c r="AO64" t="s">
        <v>339</v>
      </c>
    </row>
    <row r="66" spans="2:41" x14ac:dyDescent="0.25">
      <c r="B66" s="19" t="s">
        <v>316</v>
      </c>
      <c r="C66" s="19"/>
      <c r="D66" s="19"/>
      <c r="E66" s="19"/>
      <c r="F66" s="19"/>
      <c r="G66" s="19"/>
      <c r="H66" s="19"/>
      <c r="I66" s="19"/>
      <c r="J66" s="19"/>
      <c r="K66" s="19"/>
      <c r="L66" s="19"/>
      <c r="M66" s="19"/>
      <c r="N66" s="19" t="s">
        <v>321</v>
      </c>
      <c r="O66" s="19"/>
      <c r="P66" s="19"/>
      <c r="Q66" s="19"/>
      <c r="R66" s="19"/>
      <c r="S66" s="19"/>
      <c r="T66" s="19"/>
      <c r="U66" s="19"/>
      <c r="V66" s="19">
        <f t="shared" ref="V66:V67" si="57">V61+1</f>
        <v>11</v>
      </c>
      <c r="W66" s="19"/>
      <c r="X66" s="19"/>
      <c r="Y66" s="21"/>
      <c r="Z66" s="19" t="s">
        <v>322</v>
      </c>
      <c r="AA66" s="19"/>
      <c r="AB66" s="19"/>
      <c r="AC66" s="19"/>
      <c r="AD66" s="19"/>
      <c r="AE66" s="19"/>
      <c r="AF66" s="19"/>
      <c r="AG66" s="19"/>
      <c r="AH66" s="19"/>
      <c r="AI66" s="19"/>
      <c r="AJ66" s="19"/>
      <c r="AK66" s="19"/>
      <c r="AL66" s="19"/>
      <c r="AM66" s="19" t="str">
        <f t="shared" ref="AM66" si="58">+_xlfn.CONCAT(N66&amp;V66&amp;Z66)</f>
        <v xml:space="preserve"> Workbooks.Open "A:\Homes for Ukraine data\Ukraine_sponsorship_data_11.ods"</v>
      </c>
      <c r="AO66" t="s">
        <v>347</v>
      </c>
    </row>
    <row r="67" spans="2:41" x14ac:dyDescent="0.25">
      <c r="B67" s="19" t="s">
        <v>380</v>
      </c>
      <c r="C67" s="19"/>
      <c r="D67" s="19"/>
      <c r="E67" s="19"/>
      <c r="F67" s="19"/>
      <c r="G67" s="19"/>
      <c r="H67" s="19"/>
      <c r="I67" s="19"/>
      <c r="J67" s="19"/>
      <c r="K67" s="19"/>
      <c r="L67" s="19"/>
      <c r="M67" s="19"/>
      <c r="N67" s="19" t="s">
        <v>323</v>
      </c>
      <c r="O67" s="19"/>
      <c r="P67" s="19"/>
      <c r="Q67" s="19"/>
      <c r="R67" s="19"/>
      <c r="S67" s="19"/>
      <c r="T67" s="19"/>
      <c r="U67" s="19"/>
      <c r="V67" s="19">
        <f t="shared" si="57"/>
        <v>11</v>
      </c>
      <c r="W67" s="19"/>
      <c r="X67" s="19"/>
      <c r="Y67" s="21"/>
      <c r="Z67" s="19" t="s">
        <v>381</v>
      </c>
      <c r="AA67" s="19"/>
      <c r="AB67" s="19"/>
      <c r="AC67" s="19"/>
      <c r="AD67" s="19"/>
      <c r="AE67" s="19" t="s">
        <v>382</v>
      </c>
      <c r="AF67" s="19">
        <f t="shared" ref="AF67" si="59">AF62</f>
        <v>13</v>
      </c>
      <c r="AG67" s="19" t="s">
        <v>327</v>
      </c>
      <c r="AH67" s="19"/>
      <c r="AI67" s="19">
        <f t="shared" ref="AI67" si="60">AI62</f>
        <v>53</v>
      </c>
      <c r="AJ67" s="19"/>
      <c r="AK67" s="19" t="s">
        <v>325</v>
      </c>
      <c r="AL67" s="19"/>
      <c r="AM67" s="19" t="str">
        <f t="shared" ref="AM67" si="61">_xlfn.CONCAT(N67&amp;V67&amp;Z67&amp;AE67&amp;AF67&amp;AG67&amp;AE67&amp;AI67&amp;AK67)</f>
        <v xml:space="preserve"> Workbooks("Ukraine_sponsorship_data_11.ods").Worksheets("Scotland").Range("D13:D53").Copy _</v>
      </c>
      <c r="AO67" t="s">
        <v>513</v>
      </c>
    </row>
    <row r="68" spans="2:41" x14ac:dyDescent="0.25">
      <c r="B68" s="19" t="s">
        <v>808</v>
      </c>
      <c r="C68" s="19"/>
      <c r="D68" s="19"/>
      <c r="E68" s="19"/>
      <c r="F68" s="19"/>
      <c r="G68" s="19"/>
      <c r="H68" s="19"/>
      <c r="I68" s="19"/>
      <c r="J68" s="19"/>
      <c r="K68" s="19"/>
      <c r="L68" s="19"/>
      <c r="M68" s="19"/>
      <c r="N68" s="19" t="s">
        <v>809</v>
      </c>
      <c r="O68" s="19"/>
      <c r="P68" s="19"/>
      <c r="Q68" s="19"/>
      <c r="R68" s="19"/>
      <c r="S68" s="19"/>
      <c r="T68" s="19"/>
      <c r="U68" s="19"/>
      <c r="V68" s="19"/>
      <c r="W68" s="19" t="str">
        <f t="shared" ref="W68" si="62">CHAR(CODE(W63)+1)</f>
        <v>R</v>
      </c>
      <c r="X68" s="19"/>
      <c r="Y68" s="21">
        <f t="shared" ref="Y68" si="63">Y63</f>
        <v>174</v>
      </c>
      <c r="Z68" s="19" t="s">
        <v>324</v>
      </c>
      <c r="AA68" s="19"/>
      <c r="AB68" s="19"/>
      <c r="AC68" s="19"/>
      <c r="AD68" s="19"/>
      <c r="AE68" s="19"/>
      <c r="AF68" s="19"/>
      <c r="AG68" s="19"/>
      <c r="AH68" s="19"/>
      <c r="AI68" s="19"/>
      <c r="AJ68" s="19"/>
      <c r="AK68" s="19"/>
      <c r="AL68" s="19"/>
      <c r="AM68" s="19" t="str">
        <f t="shared" ref="AM68" si="64">_xlfn.CONCAT(N68&amp;W68&amp;Y68&amp;Z68)</f>
        <v>Workbooks("HFU Forecast UTLA 1.0.xlsm").Worksheets("Combined data").Range("R174")</v>
      </c>
      <c r="AO68" t="s">
        <v>1012</v>
      </c>
    </row>
    <row r="69" spans="2:41" x14ac:dyDescent="0.25">
      <c r="B69" s="19" t="s">
        <v>339</v>
      </c>
      <c r="C69" s="19"/>
      <c r="D69" s="19"/>
      <c r="E69" s="19"/>
      <c r="F69" s="19"/>
      <c r="G69" s="19"/>
      <c r="H69" s="19"/>
      <c r="I69" s="19"/>
      <c r="J69" s="19"/>
      <c r="K69" s="19"/>
      <c r="L69" s="19"/>
      <c r="M69" s="19"/>
      <c r="N69" s="19"/>
      <c r="O69" s="19"/>
      <c r="P69" s="19"/>
      <c r="Q69" s="19"/>
      <c r="R69" s="19"/>
      <c r="S69" s="19"/>
      <c r="T69" s="19"/>
      <c r="U69" s="19"/>
      <c r="V69" s="19"/>
      <c r="W69" s="19"/>
      <c r="X69" s="19"/>
      <c r="Y69" s="21"/>
      <c r="Z69" s="19"/>
      <c r="AA69" s="19"/>
      <c r="AB69" s="19"/>
      <c r="AC69" s="19"/>
      <c r="AD69" s="19"/>
      <c r="AE69" s="19"/>
      <c r="AF69" s="19"/>
      <c r="AG69" s="19"/>
      <c r="AH69" s="19"/>
      <c r="AI69" s="19"/>
      <c r="AJ69" s="19"/>
      <c r="AK69" s="19"/>
      <c r="AL69" s="19"/>
      <c r="AM69" s="19" t="str">
        <f t="shared" ref="AM69" si="65">B69</f>
        <v>ActiveWorkbook.Close SaveChanges:=False</v>
      </c>
      <c r="AO69" t="s">
        <v>339</v>
      </c>
    </row>
    <row r="71" spans="2:41" x14ac:dyDescent="0.25">
      <c r="B71" s="22" t="s">
        <v>316</v>
      </c>
      <c r="C71" s="22"/>
      <c r="D71" s="22"/>
      <c r="E71" s="22"/>
      <c r="F71" s="22"/>
      <c r="G71" s="22"/>
      <c r="H71" s="22"/>
      <c r="I71" s="22"/>
      <c r="J71" s="22"/>
      <c r="K71" s="22"/>
      <c r="L71" s="22"/>
      <c r="M71" s="22"/>
      <c r="N71" s="22" t="s">
        <v>321</v>
      </c>
      <c r="O71" s="22"/>
      <c r="P71" s="22"/>
      <c r="Q71" s="22"/>
      <c r="R71" s="22"/>
      <c r="S71" s="22"/>
      <c r="T71" s="22"/>
      <c r="U71" s="22"/>
      <c r="V71" s="22">
        <f t="shared" ref="V71:V72" si="66">V66+1</f>
        <v>12</v>
      </c>
      <c r="W71" s="22"/>
      <c r="X71" s="22"/>
      <c r="Y71" s="23"/>
      <c r="Z71" s="22" t="s">
        <v>322</v>
      </c>
      <c r="AA71" s="22"/>
      <c r="AB71" s="22"/>
      <c r="AC71" s="22"/>
      <c r="AD71" s="22"/>
      <c r="AE71" s="22"/>
      <c r="AF71" s="22"/>
      <c r="AG71" s="22"/>
      <c r="AH71" s="22"/>
      <c r="AI71" s="22"/>
      <c r="AJ71" s="22"/>
      <c r="AK71" s="22"/>
      <c r="AL71" s="22"/>
      <c r="AM71" s="22" t="str">
        <f t="shared" ref="AM71" si="67">+_xlfn.CONCAT(N71&amp;V71&amp;Z71)</f>
        <v xml:space="preserve"> Workbooks.Open "A:\Homes for Ukraine data\Ukraine_sponsorship_data_12.ods"</v>
      </c>
      <c r="AO71" t="s">
        <v>348</v>
      </c>
    </row>
    <row r="72" spans="2:41" x14ac:dyDescent="0.25">
      <c r="B72" s="22" t="s">
        <v>380</v>
      </c>
      <c r="C72" s="22"/>
      <c r="D72" s="22"/>
      <c r="E72" s="22"/>
      <c r="F72" s="22"/>
      <c r="G72" s="22"/>
      <c r="H72" s="22"/>
      <c r="I72" s="22"/>
      <c r="J72" s="22"/>
      <c r="K72" s="22"/>
      <c r="L72" s="22"/>
      <c r="M72" s="22"/>
      <c r="N72" s="22" t="s">
        <v>323</v>
      </c>
      <c r="O72" s="22"/>
      <c r="P72" s="22"/>
      <c r="Q72" s="22"/>
      <c r="R72" s="22"/>
      <c r="S72" s="22"/>
      <c r="T72" s="22"/>
      <c r="U72" s="22"/>
      <c r="V72" s="22">
        <f t="shared" si="66"/>
        <v>12</v>
      </c>
      <c r="W72" s="22"/>
      <c r="X72" s="22"/>
      <c r="Y72" s="23"/>
      <c r="Z72" s="22" t="s">
        <v>381</v>
      </c>
      <c r="AA72" s="22"/>
      <c r="AB72" s="22"/>
      <c r="AC72" s="22"/>
      <c r="AD72" s="22"/>
      <c r="AE72" s="22" t="s">
        <v>382</v>
      </c>
      <c r="AF72" s="22">
        <f t="shared" ref="AF72" si="68">AF67</f>
        <v>13</v>
      </c>
      <c r="AG72" s="22" t="s">
        <v>327</v>
      </c>
      <c r="AH72" s="22"/>
      <c r="AI72" s="22">
        <f t="shared" ref="AI72" si="69">AI67</f>
        <v>53</v>
      </c>
      <c r="AJ72" s="22"/>
      <c r="AK72" s="22" t="s">
        <v>325</v>
      </c>
      <c r="AL72" s="22"/>
      <c r="AM72" s="22" t="str">
        <f t="shared" ref="AM72" si="70">_xlfn.CONCAT(N72&amp;V72&amp;Z72&amp;AE72&amp;AF72&amp;AG72&amp;AE72&amp;AI72&amp;AK72)</f>
        <v xml:space="preserve"> Workbooks("Ukraine_sponsorship_data_12.ods").Worksheets("Scotland").Range("D13:D53").Copy _</v>
      </c>
      <c r="AO72" t="s">
        <v>514</v>
      </c>
    </row>
    <row r="73" spans="2:41" x14ac:dyDescent="0.25">
      <c r="B73" s="22" t="s">
        <v>808</v>
      </c>
      <c r="C73" s="22"/>
      <c r="D73" s="22"/>
      <c r="E73" s="22"/>
      <c r="F73" s="22"/>
      <c r="G73" s="22"/>
      <c r="H73" s="22"/>
      <c r="I73" s="22"/>
      <c r="J73" s="22"/>
      <c r="K73" s="22"/>
      <c r="L73" s="22"/>
      <c r="M73" s="22"/>
      <c r="N73" s="22" t="s">
        <v>809</v>
      </c>
      <c r="O73" s="22"/>
      <c r="P73" s="22"/>
      <c r="Q73" s="22"/>
      <c r="R73" s="22"/>
      <c r="S73" s="22"/>
      <c r="T73" s="22"/>
      <c r="U73" s="22"/>
      <c r="V73" s="22"/>
      <c r="W73" s="22" t="str">
        <f t="shared" ref="W73" si="71">CHAR(CODE(W68)+1)</f>
        <v>S</v>
      </c>
      <c r="X73" s="22"/>
      <c r="Y73" s="23">
        <f t="shared" ref="Y73" si="72">Y68</f>
        <v>174</v>
      </c>
      <c r="Z73" s="22" t="s">
        <v>324</v>
      </c>
      <c r="AA73" s="22"/>
      <c r="AB73" s="22"/>
      <c r="AC73" s="22"/>
      <c r="AD73" s="22"/>
      <c r="AE73" s="22"/>
      <c r="AF73" s="22"/>
      <c r="AG73" s="22"/>
      <c r="AH73" s="22"/>
      <c r="AI73" s="22"/>
      <c r="AJ73" s="22"/>
      <c r="AK73" s="22"/>
      <c r="AL73" s="22"/>
      <c r="AM73" s="22" t="str">
        <f t="shared" ref="AM73" si="73">_xlfn.CONCAT(N73&amp;W73&amp;Y73&amp;Z73)</f>
        <v>Workbooks("HFU Forecast UTLA 1.0.xlsm").Worksheets("Combined data").Range("S174")</v>
      </c>
      <c r="AO73" t="s">
        <v>1013</v>
      </c>
    </row>
    <row r="74" spans="2:41" x14ac:dyDescent="0.25">
      <c r="B74" s="22" t="s">
        <v>339</v>
      </c>
      <c r="C74" s="22"/>
      <c r="D74" s="22"/>
      <c r="E74" s="22"/>
      <c r="F74" s="22"/>
      <c r="G74" s="22"/>
      <c r="H74" s="22"/>
      <c r="I74" s="22"/>
      <c r="J74" s="22"/>
      <c r="K74" s="22"/>
      <c r="L74" s="22"/>
      <c r="M74" s="22"/>
      <c r="N74" s="22"/>
      <c r="O74" s="22"/>
      <c r="P74" s="22"/>
      <c r="Q74" s="22"/>
      <c r="R74" s="22"/>
      <c r="S74" s="22"/>
      <c r="T74" s="22"/>
      <c r="U74" s="22"/>
      <c r="V74" s="22"/>
      <c r="W74" s="22"/>
      <c r="X74" s="22"/>
      <c r="Y74" s="23"/>
      <c r="Z74" s="22"/>
      <c r="AA74" s="22"/>
      <c r="AB74" s="22"/>
      <c r="AC74" s="22"/>
      <c r="AD74" s="22"/>
      <c r="AE74" s="22"/>
      <c r="AF74" s="22"/>
      <c r="AG74" s="22"/>
      <c r="AH74" s="22"/>
      <c r="AI74" s="22"/>
      <c r="AJ74" s="22"/>
      <c r="AK74" s="22"/>
      <c r="AL74" s="22"/>
      <c r="AM74" s="22" t="str">
        <f t="shared" ref="AM74" si="74">B74</f>
        <v>ActiveWorkbook.Close SaveChanges:=False</v>
      </c>
      <c r="AO74" t="s">
        <v>339</v>
      </c>
    </row>
    <row r="76" spans="2:41" x14ac:dyDescent="0.25">
      <c r="B76" s="19" t="s">
        <v>316</v>
      </c>
      <c r="C76" s="19"/>
      <c r="D76" s="19"/>
      <c r="E76" s="19"/>
      <c r="F76" s="19"/>
      <c r="G76" s="19"/>
      <c r="H76" s="19"/>
      <c r="I76" s="19"/>
      <c r="J76" s="19"/>
      <c r="K76" s="19"/>
      <c r="L76" s="19"/>
      <c r="M76" s="19"/>
      <c r="N76" s="19" t="s">
        <v>321</v>
      </c>
      <c r="O76" s="19"/>
      <c r="P76" s="19"/>
      <c r="Q76" s="19"/>
      <c r="R76" s="19"/>
      <c r="S76" s="19"/>
      <c r="T76" s="19"/>
      <c r="U76" s="19"/>
      <c r="V76" s="19">
        <f t="shared" ref="V76:V77" si="75">V71+1</f>
        <v>13</v>
      </c>
      <c r="W76" s="19"/>
      <c r="X76" s="19"/>
      <c r="Y76" s="21"/>
      <c r="Z76" s="19" t="s">
        <v>322</v>
      </c>
      <c r="AA76" s="19"/>
      <c r="AB76" s="19"/>
      <c r="AC76" s="19"/>
      <c r="AD76" s="19"/>
      <c r="AE76" s="19"/>
      <c r="AF76" s="19"/>
      <c r="AG76" s="19"/>
      <c r="AH76" s="19"/>
      <c r="AI76" s="19"/>
      <c r="AJ76" s="19"/>
      <c r="AK76" s="19"/>
      <c r="AL76" s="19"/>
      <c r="AM76" s="19" t="str">
        <f t="shared" ref="AM76" si="76">+_xlfn.CONCAT(N76&amp;V76&amp;Z76)</f>
        <v xml:space="preserve"> Workbooks.Open "A:\Homes for Ukraine data\Ukraine_sponsorship_data_13.ods"</v>
      </c>
      <c r="AO76" t="s">
        <v>349</v>
      </c>
    </row>
    <row r="77" spans="2:41" x14ac:dyDescent="0.25">
      <c r="B77" s="19" t="s">
        <v>380</v>
      </c>
      <c r="C77" s="19"/>
      <c r="D77" s="19"/>
      <c r="E77" s="19"/>
      <c r="F77" s="19"/>
      <c r="G77" s="19"/>
      <c r="H77" s="19"/>
      <c r="I77" s="19"/>
      <c r="J77" s="19"/>
      <c r="K77" s="19"/>
      <c r="L77" s="19"/>
      <c r="M77" s="19"/>
      <c r="N77" s="19" t="s">
        <v>323</v>
      </c>
      <c r="O77" s="19"/>
      <c r="P77" s="19"/>
      <c r="Q77" s="19"/>
      <c r="R77" s="19"/>
      <c r="S77" s="19"/>
      <c r="T77" s="19"/>
      <c r="U77" s="19"/>
      <c r="V77" s="19">
        <f t="shared" si="75"/>
        <v>13</v>
      </c>
      <c r="W77" s="19"/>
      <c r="X77" s="19"/>
      <c r="Y77" s="21"/>
      <c r="Z77" s="19" t="s">
        <v>381</v>
      </c>
      <c r="AA77" s="19"/>
      <c r="AB77" s="19"/>
      <c r="AC77" s="19"/>
      <c r="AD77" s="19"/>
      <c r="AE77" s="19" t="s">
        <v>382</v>
      </c>
      <c r="AF77" s="19">
        <f t="shared" ref="AF77" si="77">AF72</f>
        <v>13</v>
      </c>
      <c r="AG77" s="19" t="s">
        <v>327</v>
      </c>
      <c r="AH77" s="19"/>
      <c r="AI77" s="19">
        <f t="shared" ref="AI77" si="78">AI72</f>
        <v>53</v>
      </c>
      <c r="AJ77" s="19"/>
      <c r="AK77" s="19" t="s">
        <v>325</v>
      </c>
      <c r="AL77" s="19"/>
      <c r="AM77" s="19" t="str">
        <f t="shared" ref="AM77" si="79">_xlfn.CONCAT(N77&amp;V77&amp;Z77&amp;AE77&amp;AF77&amp;AG77&amp;AE77&amp;AI77&amp;AK77)</f>
        <v xml:space="preserve"> Workbooks("Ukraine_sponsorship_data_13.ods").Worksheets("Scotland").Range("D13:D53").Copy _</v>
      </c>
      <c r="AO77" t="s">
        <v>515</v>
      </c>
    </row>
    <row r="78" spans="2:41" x14ac:dyDescent="0.25">
      <c r="B78" s="19" t="s">
        <v>808</v>
      </c>
      <c r="C78" s="19"/>
      <c r="D78" s="19"/>
      <c r="E78" s="19"/>
      <c r="F78" s="19"/>
      <c r="G78" s="19"/>
      <c r="H78" s="19"/>
      <c r="I78" s="19"/>
      <c r="J78" s="19"/>
      <c r="K78" s="19"/>
      <c r="L78" s="19"/>
      <c r="M78" s="19"/>
      <c r="N78" s="19" t="s">
        <v>809</v>
      </c>
      <c r="O78" s="19"/>
      <c r="P78" s="19"/>
      <c r="Q78" s="19"/>
      <c r="R78" s="19"/>
      <c r="S78" s="19"/>
      <c r="T78" s="19"/>
      <c r="U78" s="19"/>
      <c r="V78" s="19"/>
      <c r="W78" s="19" t="str">
        <f t="shared" ref="W78" si="80">CHAR(CODE(W73)+1)</f>
        <v>T</v>
      </c>
      <c r="X78" s="19"/>
      <c r="Y78" s="21">
        <f t="shared" ref="Y78" si="81">Y73</f>
        <v>174</v>
      </c>
      <c r="Z78" s="19" t="s">
        <v>324</v>
      </c>
      <c r="AA78" s="19"/>
      <c r="AB78" s="19"/>
      <c r="AC78" s="19"/>
      <c r="AD78" s="19"/>
      <c r="AE78" s="19"/>
      <c r="AF78" s="19"/>
      <c r="AG78" s="19"/>
      <c r="AH78" s="19"/>
      <c r="AI78" s="19"/>
      <c r="AJ78" s="19"/>
      <c r="AK78" s="19"/>
      <c r="AL78" s="19"/>
      <c r="AM78" s="19" t="str">
        <f t="shared" ref="AM78" si="82">_xlfn.CONCAT(N78&amp;W78&amp;Y78&amp;Z78)</f>
        <v>Workbooks("HFU Forecast UTLA 1.0.xlsm").Worksheets("Combined data").Range("T174")</v>
      </c>
      <c r="AO78" t="s">
        <v>1014</v>
      </c>
    </row>
    <row r="79" spans="2:41" x14ac:dyDescent="0.25">
      <c r="B79" s="19" t="s">
        <v>339</v>
      </c>
      <c r="C79" s="19"/>
      <c r="D79" s="19"/>
      <c r="E79" s="19"/>
      <c r="F79" s="19"/>
      <c r="G79" s="19"/>
      <c r="H79" s="19"/>
      <c r="I79" s="19"/>
      <c r="J79" s="19"/>
      <c r="K79" s="19"/>
      <c r="L79" s="19"/>
      <c r="M79" s="19"/>
      <c r="N79" s="19"/>
      <c r="O79" s="19"/>
      <c r="P79" s="19"/>
      <c r="Q79" s="19"/>
      <c r="R79" s="19"/>
      <c r="S79" s="19"/>
      <c r="T79" s="19"/>
      <c r="U79" s="19"/>
      <c r="V79" s="19"/>
      <c r="W79" s="19"/>
      <c r="X79" s="19"/>
      <c r="Y79" s="21"/>
      <c r="Z79" s="19"/>
      <c r="AA79" s="19"/>
      <c r="AB79" s="19"/>
      <c r="AC79" s="19"/>
      <c r="AD79" s="19"/>
      <c r="AE79" s="19"/>
      <c r="AF79" s="19"/>
      <c r="AG79" s="19"/>
      <c r="AH79" s="19"/>
      <c r="AI79" s="19"/>
      <c r="AJ79" s="19"/>
      <c r="AK79" s="19"/>
      <c r="AL79" s="19"/>
      <c r="AM79" s="19" t="str">
        <f t="shared" ref="AM79" si="83">B79</f>
        <v>ActiveWorkbook.Close SaveChanges:=False</v>
      </c>
      <c r="AO79" t="s">
        <v>339</v>
      </c>
    </row>
    <row r="81" spans="2:41" x14ac:dyDescent="0.25">
      <c r="B81" s="22" t="s">
        <v>316</v>
      </c>
      <c r="C81" s="22"/>
      <c r="D81" s="22"/>
      <c r="E81" s="22"/>
      <c r="F81" s="22"/>
      <c r="G81" s="22"/>
      <c r="H81" s="22"/>
      <c r="I81" s="22"/>
      <c r="J81" s="22"/>
      <c r="K81" s="22"/>
      <c r="L81" s="22"/>
      <c r="M81" s="22"/>
      <c r="N81" s="22" t="s">
        <v>321</v>
      </c>
      <c r="O81" s="22"/>
      <c r="P81" s="22"/>
      <c r="Q81" s="22"/>
      <c r="R81" s="22"/>
      <c r="S81" s="22"/>
      <c r="T81" s="22"/>
      <c r="U81" s="22"/>
      <c r="V81" s="22">
        <f t="shared" ref="V81:V82" si="84">V76+1</f>
        <v>14</v>
      </c>
      <c r="W81" s="22"/>
      <c r="X81" s="22"/>
      <c r="Y81" s="23"/>
      <c r="Z81" s="22" t="s">
        <v>322</v>
      </c>
      <c r="AA81" s="22"/>
      <c r="AB81" s="22"/>
      <c r="AC81" s="22"/>
      <c r="AD81" s="22"/>
      <c r="AE81" s="22"/>
      <c r="AF81" s="22"/>
      <c r="AG81" s="22"/>
      <c r="AH81" s="22"/>
      <c r="AI81" s="22"/>
      <c r="AJ81" s="22"/>
      <c r="AK81" s="22"/>
      <c r="AL81" s="22"/>
      <c r="AM81" s="22" t="str">
        <f t="shared" ref="AM81" si="85">+_xlfn.CONCAT(N81&amp;V81&amp;Z81)</f>
        <v xml:space="preserve"> Workbooks.Open "A:\Homes for Ukraine data\Ukraine_sponsorship_data_14.ods"</v>
      </c>
      <c r="AO81" t="s">
        <v>350</v>
      </c>
    </row>
    <row r="82" spans="2:41" x14ac:dyDescent="0.25">
      <c r="B82" s="22" t="s">
        <v>380</v>
      </c>
      <c r="C82" s="22"/>
      <c r="D82" s="22"/>
      <c r="E82" s="22"/>
      <c r="F82" s="22"/>
      <c r="G82" s="22"/>
      <c r="H82" s="22"/>
      <c r="I82" s="22"/>
      <c r="J82" s="22"/>
      <c r="K82" s="22"/>
      <c r="L82" s="22"/>
      <c r="M82" s="22"/>
      <c r="N82" s="22" t="s">
        <v>323</v>
      </c>
      <c r="O82" s="22"/>
      <c r="P82" s="22"/>
      <c r="Q82" s="22"/>
      <c r="R82" s="22"/>
      <c r="S82" s="22"/>
      <c r="T82" s="22"/>
      <c r="U82" s="22"/>
      <c r="V82" s="22">
        <f t="shared" si="84"/>
        <v>14</v>
      </c>
      <c r="W82" s="22"/>
      <c r="X82" s="22"/>
      <c r="Y82" s="23"/>
      <c r="Z82" s="22" t="s">
        <v>381</v>
      </c>
      <c r="AA82" s="22"/>
      <c r="AB82" s="22"/>
      <c r="AC82" s="22"/>
      <c r="AD82" s="22"/>
      <c r="AE82" s="22" t="s">
        <v>382</v>
      </c>
      <c r="AF82" s="22">
        <f t="shared" ref="AF82" si="86">AF77</f>
        <v>13</v>
      </c>
      <c r="AG82" s="22" t="s">
        <v>327</v>
      </c>
      <c r="AH82" s="22"/>
      <c r="AI82" s="22">
        <f t="shared" ref="AI82" si="87">AI77</f>
        <v>53</v>
      </c>
      <c r="AJ82" s="22"/>
      <c r="AK82" s="22" t="s">
        <v>325</v>
      </c>
      <c r="AL82" s="22"/>
      <c r="AM82" s="22" t="str">
        <f t="shared" ref="AM82" si="88">_xlfn.CONCAT(N82&amp;V82&amp;Z82&amp;AE82&amp;AF82&amp;AG82&amp;AE82&amp;AI82&amp;AK82)</f>
        <v xml:space="preserve"> Workbooks("Ukraine_sponsorship_data_14.ods").Worksheets("Scotland").Range("D13:D53").Copy _</v>
      </c>
      <c r="AO82" t="s">
        <v>516</v>
      </c>
    </row>
    <row r="83" spans="2:41" x14ac:dyDescent="0.25">
      <c r="B83" s="22" t="s">
        <v>808</v>
      </c>
      <c r="C83" s="22"/>
      <c r="D83" s="22"/>
      <c r="E83" s="22"/>
      <c r="F83" s="22"/>
      <c r="G83" s="22"/>
      <c r="H83" s="22"/>
      <c r="I83" s="22"/>
      <c r="J83" s="22"/>
      <c r="K83" s="22"/>
      <c r="L83" s="22"/>
      <c r="M83" s="22"/>
      <c r="N83" s="22" t="s">
        <v>809</v>
      </c>
      <c r="O83" s="22"/>
      <c r="P83" s="22"/>
      <c r="Q83" s="22"/>
      <c r="R83" s="22"/>
      <c r="S83" s="22"/>
      <c r="T83" s="22"/>
      <c r="U83" s="22"/>
      <c r="V83" s="22"/>
      <c r="W83" s="22" t="str">
        <f t="shared" ref="W83" si="89">CHAR(CODE(W78)+1)</f>
        <v>U</v>
      </c>
      <c r="X83" s="22"/>
      <c r="Y83" s="23">
        <f t="shared" ref="Y83" si="90">Y78</f>
        <v>174</v>
      </c>
      <c r="Z83" s="22" t="s">
        <v>324</v>
      </c>
      <c r="AA83" s="22"/>
      <c r="AB83" s="22"/>
      <c r="AC83" s="22"/>
      <c r="AD83" s="22"/>
      <c r="AE83" s="22"/>
      <c r="AF83" s="22"/>
      <c r="AG83" s="22"/>
      <c r="AH83" s="22"/>
      <c r="AI83" s="22"/>
      <c r="AJ83" s="22"/>
      <c r="AK83" s="22"/>
      <c r="AL83" s="22"/>
      <c r="AM83" s="22" t="str">
        <f t="shared" ref="AM83" si="91">_xlfn.CONCAT(N83&amp;W83&amp;Y83&amp;Z83)</f>
        <v>Workbooks("HFU Forecast UTLA 1.0.xlsm").Worksheets("Combined data").Range("U174")</v>
      </c>
      <c r="AO83" t="s">
        <v>1015</v>
      </c>
    </row>
    <row r="84" spans="2:41" x14ac:dyDescent="0.25">
      <c r="B84" s="22" t="s">
        <v>339</v>
      </c>
      <c r="C84" s="22"/>
      <c r="D84" s="22"/>
      <c r="E84" s="22"/>
      <c r="F84" s="22"/>
      <c r="G84" s="22"/>
      <c r="H84" s="22"/>
      <c r="I84" s="22"/>
      <c r="J84" s="22"/>
      <c r="K84" s="22"/>
      <c r="L84" s="22"/>
      <c r="M84" s="22"/>
      <c r="N84" s="22"/>
      <c r="O84" s="22"/>
      <c r="P84" s="22"/>
      <c r="Q84" s="22"/>
      <c r="R84" s="22"/>
      <c r="S84" s="22"/>
      <c r="T84" s="22"/>
      <c r="U84" s="22"/>
      <c r="V84" s="22"/>
      <c r="W84" s="22"/>
      <c r="X84" s="22"/>
      <c r="Y84" s="23"/>
      <c r="Z84" s="22"/>
      <c r="AA84" s="22"/>
      <c r="AB84" s="22"/>
      <c r="AC84" s="22"/>
      <c r="AD84" s="22"/>
      <c r="AE84" s="22"/>
      <c r="AF84" s="22"/>
      <c r="AG84" s="22"/>
      <c r="AH84" s="22"/>
      <c r="AI84" s="22"/>
      <c r="AJ84" s="22"/>
      <c r="AK84" s="22"/>
      <c r="AL84" s="22"/>
      <c r="AM84" s="22" t="str">
        <f t="shared" ref="AM84" si="92">B84</f>
        <v>ActiveWorkbook.Close SaveChanges:=False</v>
      </c>
      <c r="AO84" t="s">
        <v>339</v>
      </c>
    </row>
    <row r="86" spans="2:41" x14ac:dyDescent="0.25">
      <c r="B86" s="19" t="s">
        <v>316</v>
      </c>
      <c r="C86" s="19"/>
      <c r="D86" s="19"/>
      <c r="E86" s="19"/>
      <c r="F86" s="19"/>
      <c r="G86" s="19"/>
      <c r="H86" s="19"/>
      <c r="I86" s="19"/>
      <c r="J86" s="19"/>
      <c r="K86" s="19"/>
      <c r="L86" s="19"/>
      <c r="M86" s="19"/>
      <c r="N86" s="19" t="s">
        <v>321</v>
      </c>
      <c r="O86" s="19"/>
      <c r="P86" s="19"/>
      <c r="Q86" s="19"/>
      <c r="R86" s="19"/>
      <c r="S86" s="19"/>
      <c r="T86" s="19"/>
      <c r="U86" s="19"/>
      <c r="V86" s="19">
        <f t="shared" ref="V86:V87" si="93">V81+1</f>
        <v>15</v>
      </c>
      <c r="W86" s="19"/>
      <c r="X86" s="19"/>
      <c r="Y86" s="21"/>
      <c r="Z86" s="19" t="s">
        <v>322</v>
      </c>
      <c r="AA86" s="19"/>
      <c r="AB86" s="19"/>
      <c r="AC86" s="19"/>
      <c r="AD86" s="19"/>
      <c r="AE86" s="19"/>
      <c r="AF86" s="19"/>
      <c r="AG86" s="19"/>
      <c r="AH86" s="19"/>
      <c r="AI86" s="19"/>
      <c r="AJ86" s="19"/>
      <c r="AK86" s="19"/>
      <c r="AL86" s="19"/>
      <c r="AM86" s="19" t="str">
        <f t="shared" ref="AM86" si="94">+_xlfn.CONCAT(N86&amp;V86&amp;Z86)</f>
        <v xml:space="preserve"> Workbooks.Open "A:\Homes for Ukraine data\Ukraine_sponsorship_data_15.ods"</v>
      </c>
      <c r="AO86" t="s">
        <v>351</v>
      </c>
    </row>
    <row r="87" spans="2:41" x14ac:dyDescent="0.25">
      <c r="B87" s="19" t="s">
        <v>380</v>
      </c>
      <c r="C87" s="19"/>
      <c r="D87" s="19"/>
      <c r="E87" s="19"/>
      <c r="F87" s="19"/>
      <c r="G87" s="19"/>
      <c r="H87" s="19"/>
      <c r="I87" s="19"/>
      <c r="J87" s="19"/>
      <c r="K87" s="19"/>
      <c r="L87" s="19"/>
      <c r="M87" s="19"/>
      <c r="N87" s="19" t="s">
        <v>323</v>
      </c>
      <c r="O87" s="19"/>
      <c r="P87" s="19"/>
      <c r="Q87" s="19"/>
      <c r="R87" s="19"/>
      <c r="S87" s="19"/>
      <c r="T87" s="19"/>
      <c r="U87" s="19"/>
      <c r="V87" s="19">
        <f t="shared" si="93"/>
        <v>15</v>
      </c>
      <c r="W87" s="19"/>
      <c r="X87" s="19"/>
      <c r="Y87" s="21"/>
      <c r="Z87" s="19" t="s">
        <v>381</v>
      </c>
      <c r="AA87" s="19"/>
      <c r="AB87" s="19"/>
      <c r="AC87" s="19"/>
      <c r="AD87" s="19"/>
      <c r="AE87" s="19" t="s">
        <v>382</v>
      </c>
      <c r="AF87" s="19">
        <f t="shared" ref="AF87" si="95">AF82</f>
        <v>13</v>
      </c>
      <c r="AG87" s="19" t="s">
        <v>327</v>
      </c>
      <c r="AH87" s="19"/>
      <c r="AI87" s="19">
        <f t="shared" ref="AI87" si="96">AI82</f>
        <v>53</v>
      </c>
      <c r="AJ87" s="19"/>
      <c r="AK87" s="19" t="s">
        <v>325</v>
      </c>
      <c r="AL87" s="19"/>
      <c r="AM87" s="19" t="str">
        <f t="shared" ref="AM87" si="97">_xlfn.CONCAT(N87&amp;V87&amp;Z87&amp;AE87&amp;AF87&amp;AG87&amp;AE87&amp;AI87&amp;AK87)</f>
        <v xml:space="preserve"> Workbooks("Ukraine_sponsorship_data_15.ods").Worksheets("Scotland").Range("D13:D53").Copy _</v>
      </c>
      <c r="AO87" t="s">
        <v>517</v>
      </c>
    </row>
    <row r="88" spans="2:41" x14ac:dyDescent="0.25">
      <c r="B88" s="19" t="s">
        <v>808</v>
      </c>
      <c r="C88" s="19"/>
      <c r="D88" s="19"/>
      <c r="E88" s="19"/>
      <c r="F88" s="19"/>
      <c r="G88" s="19"/>
      <c r="H88" s="19"/>
      <c r="I88" s="19"/>
      <c r="J88" s="19"/>
      <c r="K88" s="19"/>
      <c r="L88" s="19"/>
      <c r="M88" s="19"/>
      <c r="N88" s="19" t="s">
        <v>809</v>
      </c>
      <c r="O88" s="19"/>
      <c r="P88" s="19"/>
      <c r="Q88" s="19"/>
      <c r="R88" s="19"/>
      <c r="S88" s="19"/>
      <c r="T88" s="19"/>
      <c r="U88" s="19"/>
      <c r="V88" s="19"/>
      <c r="W88" s="19" t="str">
        <f t="shared" ref="W88" si="98">CHAR(CODE(W83)+1)</f>
        <v>V</v>
      </c>
      <c r="X88" s="19"/>
      <c r="Y88" s="21">
        <f t="shared" ref="Y88" si="99">Y83</f>
        <v>174</v>
      </c>
      <c r="Z88" s="19" t="s">
        <v>324</v>
      </c>
      <c r="AA88" s="19"/>
      <c r="AB88" s="19"/>
      <c r="AC88" s="19"/>
      <c r="AD88" s="19"/>
      <c r="AE88" s="19"/>
      <c r="AF88" s="19"/>
      <c r="AG88" s="19"/>
      <c r="AH88" s="19"/>
      <c r="AI88" s="19"/>
      <c r="AJ88" s="19"/>
      <c r="AK88" s="19"/>
      <c r="AL88" s="19"/>
      <c r="AM88" s="19" t="str">
        <f t="shared" ref="AM88" si="100">_xlfn.CONCAT(N88&amp;W88&amp;Y88&amp;Z88)</f>
        <v>Workbooks("HFU Forecast UTLA 1.0.xlsm").Worksheets("Combined data").Range("V174")</v>
      </c>
      <c r="AO88" t="s">
        <v>1016</v>
      </c>
    </row>
    <row r="89" spans="2:41" x14ac:dyDescent="0.25">
      <c r="B89" s="19" t="s">
        <v>339</v>
      </c>
      <c r="C89" s="19"/>
      <c r="D89" s="19"/>
      <c r="E89" s="19"/>
      <c r="F89" s="19"/>
      <c r="G89" s="19"/>
      <c r="H89" s="19"/>
      <c r="I89" s="19"/>
      <c r="J89" s="19"/>
      <c r="K89" s="19"/>
      <c r="L89" s="19"/>
      <c r="M89" s="19"/>
      <c r="N89" s="19"/>
      <c r="O89" s="19"/>
      <c r="P89" s="19"/>
      <c r="Q89" s="19"/>
      <c r="R89" s="19"/>
      <c r="S89" s="19"/>
      <c r="T89" s="19"/>
      <c r="U89" s="19"/>
      <c r="V89" s="19"/>
      <c r="W89" s="19"/>
      <c r="X89" s="19"/>
      <c r="Y89" s="21"/>
      <c r="Z89" s="19"/>
      <c r="AA89" s="19"/>
      <c r="AB89" s="19"/>
      <c r="AC89" s="19"/>
      <c r="AD89" s="19"/>
      <c r="AE89" s="19"/>
      <c r="AF89" s="19"/>
      <c r="AG89" s="19"/>
      <c r="AH89" s="19"/>
      <c r="AI89" s="19"/>
      <c r="AJ89" s="19"/>
      <c r="AK89" s="19"/>
      <c r="AL89" s="19"/>
      <c r="AM89" s="19" t="str">
        <f t="shared" ref="AM89" si="101">B89</f>
        <v>ActiveWorkbook.Close SaveChanges:=False</v>
      </c>
      <c r="AO89" t="s">
        <v>339</v>
      </c>
    </row>
    <row r="91" spans="2:41" x14ac:dyDescent="0.25">
      <c r="B91" s="22" t="s">
        <v>316</v>
      </c>
      <c r="C91" s="22"/>
      <c r="D91" s="22"/>
      <c r="E91" s="22"/>
      <c r="F91" s="22"/>
      <c r="G91" s="22"/>
      <c r="H91" s="22"/>
      <c r="I91" s="22"/>
      <c r="J91" s="22"/>
      <c r="K91" s="22"/>
      <c r="L91" s="22"/>
      <c r="M91" s="22"/>
      <c r="N91" s="22" t="s">
        <v>321</v>
      </c>
      <c r="O91" s="22"/>
      <c r="P91" s="22"/>
      <c r="Q91" s="22"/>
      <c r="R91" s="22"/>
      <c r="S91" s="22"/>
      <c r="T91" s="22"/>
      <c r="U91" s="22"/>
      <c r="V91" s="22">
        <f t="shared" ref="V91:V92" si="102">V86+1</f>
        <v>16</v>
      </c>
      <c r="W91" s="22"/>
      <c r="X91" s="22"/>
      <c r="Y91" s="23"/>
      <c r="Z91" s="22" t="s">
        <v>322</v>
      </c>
      <c r="AA91" s="22"/>
      <c r="AB91" s="22"/>
      <c r="AC91" s="22"/>
      <c r="AD91" s="22"/>
      <c r="AE91" s="22"/>
      <c r="AF91" s="22"/>
      <c r="AG91" s="22"/>
      <c r="AH91" s="22"/>
      <c r="AI91" s="22"/>
      <c r="AJ91" s="22"/>
      <c r="AK91" s="22"/>
      <c r="AL91" s="22"/>
      <c r="AM91" s="22" t="str">
        <f t="shared" ref="AM91" si="103">+_xlfn.CONCAT(N91&amp;V91&amp;Z91)</f>
        <v xml:space="preserve"> Workbooks.Open "A:\Homes for Ukraine data\Ukraine_sponsorship_data_16.ods"</v>
      </c>
      <c r="AO91" t="s">
        <v>352</v>
      </c>
    </row>
    <row r="92" spans="2:41" x14ac:dyDescent="0.25">
      <c r="B92" s="22" t="s">
        <v>380</v>
      </c>
      <c r="C92" s="22"/>
      <c r="D92" s="22"/>
      <c r="E92" s="22"/>
      <c r="F92" s="22"/>
      <c r="G92" s="22"/>
      <c r="H92" s="22"/>
      <c r="I92" s="22"/>
      <c r="J92" s="22"/>
      <c r="K92" s="22"/>
      <c r="L92" s="22"/>
      <c r="M92" s="22"/>
      <c r="N92" s="22" t="s">
        <v>323</v>
      </c>
      <c r="O92" s="22"/>
      <c r="P92" s="22"/>
      <c r="Q92" s="22"/>
      <c r="R92" s="22"/>
      <c r="S92" s="22"/>
      <c r="T92" s="22"/>
      <c r="U92" s="22"/>
      <c r="V92" s="22">
        <f t="shared" si="102"/>
        <v>16</v>
      </c>
      <c r="W92" s="22"/>
      <c r="X92" s="22"/>
      <c r="Y92" s="23"/>
      <c r="Z92" s="22" t="s">
        <v>381</v>
      </c>
      <c r="AA92" s="22"/>
      <c r="AB92" s="22"/>
      <c r="AC92" s="22"/>
      <c r="AD92" s="22"/>
      <c r="AE92" s="22" t="s">
        <v>382</v>
      </c>
      <c r="AF92" s="22">
        <f t="shared" ref="AF92" si="104">AF87</f>
        <v>13</v>
      </c>
      <c r="AG92" s="22" t="s">
        <v>327</v>
      </c>
      <c r="AH92" s="22"/>
      <c r="AI92" s="22">
        <f t="shared" ref="AI92" si="105">AI87</f>
        <v>53</v>
      </c>
      <c r="AJ92" s="22"/>
      <c r="AK92" s="22" t="s">
        <v>325</v>
      </c>
      <c r="AL92" s="22"/>
      <c r="AM92" s="22" t="str">
        <f t="shared" ref="AM92" si="106">_xlfn.CONCAT(N92&amp;V92&amp;Z92&amp;AE92&amp;AF92&amp;AG92&amp;AE92&amp;AI92&amp;AK92)</f>
        <v xml:space="preserve"> Workbooks("Ukraine_sponsorship_data_16.ods").Worksheets("Scotland").Range("D13:D53").Copy _</v>
      </c>
      <c r="AO92" t="s">
        <v>518</v>
      </c>
    </row>
    <row r="93" spans="2:41" x14ac:dyDescent="0.25">
      <c r="B93" s="22" t="s">
        <v>808</v>
      </c>
      <c r="C93" s="22"/>
      <c r="D93" s="22"/>
      <c r="E93" s="22"/>
      <c r="F93" s="22"/>
      <c r="G93" s="22"/>
      <c r="H93" s="22"/>
      <c r="I93" s="22"/>
      <c r="J93" s="22"/>
      <c r="K93" s="22"/>
      <c r="L93" s="22"/>
      <c r="M93" s="22"/>
      <c r="N93" s="22" t="s">
        <v>809</v>
      </c>
      <c r="O93" s="22"/>
      <c r="P93" s="22"/>
      <c r="Q93" s="22"/>
      <c r="R93" s="22"/>
      <c r="S93" s="22"/>
      <c r="T93" s="22"/>
      <c r="U93" s="22"/>
      <c r="V93" s="22"/>
      <c r="W93" s="22" t="str">
        <f t="shared" ref="W93" si="107">CHAR(CODE(W88)+1)</f>
        <v>W</v>
      </c>
      <c r="X93" s="22"/>
      <c r="Y93" s="23">
        <f t="shared" ref="Y93" si="108">Y88</f>
        <v>174</v>
      </c>
      <c r="Z93" s="22" t="s">
        <v>324</v>
      </c>
      <c r="AA93" s="22"/>
      <c r="AB93" s="22"/>
      <c r="AC93" s="22"/>
      <c r="AD93" s="22"/>
      <c r="AE93" s="22"/>
      <c r="AF93" s="22"/>
      <c r="AG93" s="22"/>
      <c r="AH93" s="22"/>
      <c r="AI93" s="22"/>
      <c r="AJ93" s="22"/>
      <c r="AK93" s="22"/>
      <c r="AL93" s="22"/>
      <c r="AM93" s="22" t="str">
        <f t="shared" ref="AM93" si="109">_xlfn.CONCAT(N93&amp;W93&amp;Y93&amp;Z93)</f>
        <v>Workbooks("HFU Forecast UTLA 1.0.xlsm").Worksheets("Combined data").Range("W174")</v>
      </c>
      <c r="AO93" t="s">
        <v>1017</v>
      </c>
    </row>
    <row r="94" spans="2:41" x14ac:dyDescent="0.25">
      <c r="B94" s="22" t="s">
        <v>339</v>
      </c>
      <c r="C94" s="22"/>
      <c r="D94" s="22"/>
      <c r="E94" s="22"/>
      <c r="F94" s="22"/>
      <c r="G94" s="22"/>
      <c r="H94" s="22"/>
      <c r="I94" s="22"/>
      <c r="J94" s="22"/>
      <c r="K94" s="22"/>
      <c r="L94" s="22"/>
      <c r="M94" s="22"/>
      <c r="N94" s="22"/>
      <c r="O94" s="22"/>
      <c r="P94" s="22"/>
      <c r="Q94" s="22"/>
      <c r="R94" s="22"/>
      <c r="S94" s="22"/>
      <c r="T94" s="22"/>
      <c r="U94" s="22"/>
      <c r="V94" s="22"/>
      <c r="W94" s="22"/>
      <c r="X94" s="22"/>
      <c r="Y94" s="23"/>
      <c r="Z94" s="22"/>
      <c r="AA94" s="22"/>
      <c r="AB94" s="22"/>
      <c r="AC94" s="22"/>
      <c r="AD94" s="22"/>
      <c r="AE94" s="22"/>
      <c r="AF94" s="22"/>
      <c r="AG94" s="22"/>
      <c r="AH94" s="22"/>
      <c r="AI94" s="22"/>
      <c r="AJ94" s="22"/>
      <c r="AK94" s="22"/>
      <c r="AL94" s="22"/>
      <c r="AM94" s="22" t="str">
        <f t="shared" ref="AM94" si="110">B94</f>
        <v>ActiveWorkbook.Close SaveChanges:=False</v>
      </c>
      <c r="AO94" t="s">
        <v>339</v>
      </c>
    </row>
    <row r="96" spans="2:41" x14ac:dyDescent="0.25">
      <c r="B96" s="19" t="s">
        <v>316</v>
      </c>
      <c r="C96" s="19"/>
      <c r="D96" s="19"/>
      <c r="E96" s="19"/>
      <c r="F96" s="19"/>
      <c r="G96" s="19"/>
      <c r="H96" s="19"/>
      <c r="I96" s="19"/>
      <c r="J96" s="19"/>
      <c r="K96" s="19"/>
      <c r="L96" s="19"/>
      <c r="M96" s="19"/>
      <c r="N96" s="19" t="s">
        <v>321</v>
      </c>
      <c r="O96" s="19"/>
      <c r="P96" s="19"/>
      <c r="Q96" s="19"/>
      <c r="R96" s="19"/>
      <c r="S96" s="19"/>
      <c r="T96" s="19"/>
      <c r="U96" s="19"/>
      <c r="V96" s="19">
        <f t="shared" ref="V96:V97" si="111">V91+1</f>
        <v>17</v>
      </c>
      <c r="W96" s="19"/>
      <c r="X96" s="19"/>
      <c r="Y96" s="21"/>
      <c r="Z96" s="19" t="s">
        <v>322</v>
      </c>
      <c r="AA96" s="19"/>
      <c r="AB96" s="19"/>
      <c r="AC96" s="19"/>
      <c r="AD96" s="19"/>
      <c r="AE96" s="19"/>
      <c r="AF96" s="19"/>
      <c r="AG96" s="19"/>
      <c r="AH96" s="19"/>
      <c r="AI96" s="19"/>
      <c r="AJ96" s="19"/>
      <c r="AK96" s="19"/>
      <c r="AL96" s="19"/>
      <c r="AM96" s="19" t="str">
        <f t="shared" ref="AM96" si="112">+_xlfn.CONCAT(N96&amp;V96&amp;Z96)</f>
        <v xml:space="preserve"> Workbooks.Open "A:\Homes for Ukraine data\Ukraine_sponsorship_data_17.ods"</v>
      </c>
      <c r="AO96" t="s">
        <v>353</v>
      </c>
    </row>
    <row r="97" spans="2:41" x14ac:dyDescent="0.25">
      <c r="B97" s="19" t="s">
        <v>380</v>
      </c>
      <c r="C97" s="19"/>
      <c r="D97" s="19"/>
      <c r="E97" s="19"/>
      <c r="F97" s="19"/>
      <c r="G97" s="19"/>
      <c r="H97" s="19"/>
      <c r="I97" s="19"/>
      <c r="J97" s="19"/>
      <c r="K97" s="19"/>
      <c r="L97" s="19"/>
      <c r="M97" s="19"/>
      <c r="N97" s="19" t="s">
        <v>323</v>
      </c>
      <c r="O97" s="19"/>
      <c r="P97" s="19"/>
      <c r="Q97" s="19"/>
      <c r="R97" s="19"/>
      <c r="S97" s="19"/>
      <c r="T97" s="19"/>
      <c r="U97" s="19"/>
      <c r="V97" s="19">
        <f t="shared" si="111"/>
        <v>17</v>
      </c>
      <c r="W97" s="19"/>
      <c r="X97" s="19"/>
      <c r="Y97" s="21"/>
      <c r="Z97" s="19" t="s">
        <v>381</v>
      </c>
      <c r="AA97" s="19"/>
      <c r="AB97" s="19"/>
      <c r="AC97" s="19"/>
      <c r="AD97" s="19"/>
      <c r="AE97" s="19" t="s">
        <v>382</v>
      </c>
      <c r="AF97" s="19">
        <f t="shared" ref="AF97" si="113">AF92</f>
        <v>13</v>
      </c>
      <c r="AG97" s="19" t="s">
        <v>327</v>
      </c>
      <c r="AH97" s="19"/>
      <c r="AI97" s="19">
        <f t="shared" ref="AI97" si="114">AI92</f>
        <v>53</v>
      </c>
      <c r="AJ97" s="19"/>
      <c r="AK97" s="19" t="s">
        <v>325</v>
      </c>
      <c r="AL97" s="19"/>
      <c r="AM97" s="19" t="str">
        <f t="shared" ref="AM97" si="115">_xlfn.CONCAT(N97&amp;V97&amp;Z97&amp;AE97&amp;AF97&amp;AG97&amp;AE97&amp;AI97&amp;AK97)</f>
        <v xml:space="preserve"> Workbooks("Ukraine_sponsorship_data_17.ods").Worksheets("Scotland").Range("D13:D53").Copy _</v>
      </c>
      <c r="AO97" t="s">
        <v>519</v>
      </c>
    </row>
    <row r="98" spans="2:41" x14ac:dyDescent="0.25">
      <c r="B98" s="19" t="s">
        <v>808</v>
      </c>
      <c r="C98" s="19"/>
      <c r="D98" s="19"/>
      <c r="E98" s="19"/>
      <c r="F98" s="19"/>
      <c r="G98" s="19"/>
      <c r="H98" s="19"/>
      <c r="I98" s="19"/>
      <c r="J98" s="19"/>
      <c r="K98" s="19"/>
      <c r="L98" s="19"/>
      <c r="M98" s="19"/>
      <c r="N98" s="19" t="s">
        <v>809</v>
      </c>
      <c r="O98" s="19"/>
      <c r="P98" s="19"/>
      <c r="Q98" s="19"/>
      <c r="R98" s="19"/>
      <c r="S98" s="19"/>
      <c r="T98" s="19"/>
      <c r="U98" s="19"/>
      <c r="V98" s="19"/>
      <c r="W98" s="19" t="str">
        <f t="shared" ref="W98" si="116">CHAR(CODE(W93)+1)</f>
        <v>X</v>
      </c>
      <c r="X98" s="19"/>
      <c r="Y98" s="21">
        <f t="shared" ref="Y98" si="117">Y93</f>
        <v>174</v>
      </c>
      <c r="Z98" s="19" t="s">
        <v>324</v>
      </c>
      <c r="AA98" s="19"/>
      <c r="AB98" s="19"/>
      <c r="AC98" s="19"/>
      <c r="AD98" s="19"/>
      <c r="AE98" s="19"/>
      <c r="AF98" s="19"/>
      <c r="AG98" s="19"/>
      <c r="AH98" s="19"/>
      <c r="AI98" s="19"/>
      <c r="AJ98" s="19"/>
      <c r="AK98" s="19"/>
      <c r="AL98" s="19"/>
      <c r="AM98" s="19" t="str">
        <f t="shared" ref="AM98" si="118">_xlfn.CONCAT(N98&amp;W98&amp;Y98&amp;Z98)</f>
        <v>Workbooks("HFU Forecast UTLA 1.0.xlsm").Worksheets("Combined data").Range("X174")</v>
      </c>
      <c r="AO98" t="s">
        <v>1018</v>
      </c>
    </row>
    <row r="99" spans="2:41" x14ac:dyDescent="0.25">
      <c r="B99" s="19" t="s">
        <v>339</v>
      </c>
      <c r="C99" s="19"/>
      <c r="D99" s="19"/>
      <c r="E99" s="19"/>
      <c r="F99" s="19"/>
      <c r="G99" s="19"/>
      <c r="H99" s="19"/>
      <c r="I99" s="19"/>
      <c r="J99" s="19"/>
      <c r="K99" s="19"/>
      <c r="L99" s="19"/>
      <c r="M99" s="19"/>
      <c r="N99" s="19"/>
      <c r="O99" s="19"/>
      <c r="P99" s="19"/>
      <c r="Q99" s="19"/>
      <c r="R99" s="19"/>
      <c r="S99" s="19"/>
      <c r="T99" s="19"/>
      <c r="U99" s="19"/>
      <c r="V99" s="19"/>
      <c r="W99" s="19"/>
      <c r="X99" s="19"/>
      <c r="Y99" s="21"/>
      <c r="Z99" s="19"/>
      <c r="AA99" s="19"/>
      <c r="AB99" s="19"/>
      <c r="AC99" s="19"/>
      <c r="AD99" s="19"/>
      <c r="AE99" s="19"/>
      <c r="AF99" s="19"/>
      <c r="AG99" s="19"/>
      <c r="AH99" s="19"/>
      <c r="AI99" s="19"/>
      <c r="AJ99" s="19"/>
      <c r="AK99" s="19"/>
      <c r="AL99" s="19"/>
      <c r="AM99" s="19" t="str">
        <f t="shared" ref="AM99" si="119">B99</f>
        <v>ActiveWorkbook.Close SaveChanges:=False</v>
      </c>
      <c r="AO99" t="s">
        <v>339</v>
      </c>
    </row>
    <row r="101" spans="2:41" x14ac:dyDescent="0.25">
      <c r="B101" s="22" t="s">
        <v>316</v>
      </c>
      <c r="C101" s="22"/>
      <c r="D101" s="22"/>
      <c r="E101" s="22"/>
      <c r="F101" s="22"/>
      <c r="G101" s="22"/>
      <c r="H101" s="22"/>
      <c r="I101" s="22"/>
      <c r="J101" s="22"/>
      <c r="K101" s="22"/>
      <c r="L101" s="22"/>
      <c r="M101" s="22"/>
      <c r="N101" s="22" t="s">
        <v>321</v>
      </c>
      <c r="O101" s="22"/>
      <c r="P101" s="22"/>
      <c r="Q101" s="22"/>
      <c r="R101" s="22"/>
      <c r="S101" s="22"/>
      <c r="T101" s="22"/>
      <c r="U101" s="22"/>
      <c r="V101" s="22">
        <f t="shared" ref="V101:V102" si="120">V96+1</f>
        <v>18</v>
      </c>
      <c r="W101" s="22"/>
      <c r="X101" s="22"/>
      <c r="Y101" s="23"/>
      <c r="Z101" s="22" t="s">
        <v>322</v>
      </c>
      <c r="AA101" s="22"/>
      <c r="AB101" s="22"/>
      <c r="AC101" s="22"/>
      <c r="AD101" s="22"/>
      <c r="AE101" s="22"/>
      <c r="AF101" s="22"/>
      <c r="AG101" s="22"/>
      <c r="AH101" s="22"/>
      <c r="AI101" s="22"/>
      <c r="AJ101" s="22"/>
      <c r="AK101" s="22"/>
      <c r="AL101" s="22"/>
      <c r="AM101" s="22" t="str">
        <f t="shared" ref="AM101" si="121">+_xlfn.CONCAT(N101&amp;V101&amp;Z101)</f>
        <v xml:space="preserve"> Workbooks.Open "A:\Homes for Ukraine data\Ukraine_sponsorship_data_18.ods"</v>
      </c>
      <c r="AO101" t="s">
        <v>354</v>
      </c>
    </row>
    <row r="102" spans="2:41" x14ac:dyDescent="0.25">
      <c r="B102" s="22" t="s">
        <v>380</v>
      </c>
      <c r="C102" s="22"/>
      <c r="D102" s="22"/>
      <c r="E102" s="22"/>
      <c r="F102" s="22"/>
      <c r="G102" s="22"/>
      <c r="H102" s="22"/>
      <c r="I102" s="22"/>
      <c r="J102" s="22"/>
      <c r="K102" s="22"/>
      <c r="L102" s="22"/>
      <c r="M102" s="22"/>
      <c r="N102" s="22" t="s">
        <v>323</v>
      </c>
      <c r="O102" s="22"/>
      <c r="P102" s="22"/>
      <c r="Q102" s="22"/>
      <c r="R102" s="22"/>
      <c r="S102" s="22"/>
      <c r="T102" s="22"/>
      <c r="U102" s="22"/>
      <c r="V102" s="22">
        <f t="shared" si="120"/>
        <v>18</v>
      </c>
      <c r="W102" s="22"/>
      <c r="X102" s="22"/>
      <c r="Y102" s="23"/>
      <c r="Z102" s="22" t="s">
        <v>381</v>
      </c>
      <c r="AA102" s="22"/>
      <c r="AB102" s="22"/>
      <c r="AC102" s="22"/>
      <c r="AD102" s="22"/>
      <c r="AE102" s="22" t="s">
        <v>382</v>
      </c>
      <c r="AF102" s="22">
        <f t="shared" ref="AF102" si="122">AF97</f>
        <v>13</v>
      </c>
      <c r="AG102" s="22" t="s">
        <v>327</v>
      </c>
      <c r="AH102" s="22"/>
      <c r="AI102" s="22">
        <f t="shared" ref="AI102" si="123">AI97</f>
        <v>53</v>
      </c>
      <c r="AJ102" s="22"/>
      <c r="AK102" s="22" t="s">
        <v>325</v>
      </c>
      <c r="AL102" s="22"/>
      <c r="AM102" s="22" t="str">
        <f t="shared" ref="AM102" si="124">_xlfn.CONCAT(N102&amp;V102&amp;Z102&amp;AE102&amp;AF102&amp;AG102&amp;AE102&amp;AI102&amp;AK102)</f>
        <v xml:space="preserve"> Workbooks("Ukraine_sponsorship_data_18.ods").Worksheets("Scotland").Range("D13:D53").Copy _</v>
      </c>
      <c r="AO102" t="s">
        <v>520</v>
      </c>
    </row>
    <row r="103" spans="2:41" x14ac:dyDescent="0.25">
      <c r="B103" s="22" t="s">
        <v>808</v>
      </c>
      <c r="C103" s="22"/>
      <c r="D103" s="22"/>
      <c r="E103" s="22"/>
      <c r="F103" s="22"/>
      <c r="G103" s="22"/>
      <c r="H103" s="22"/>
      <c r="I103" s="22"/>
      <c r="J103" s="22"/>
      <c r="K103" s="22"/>
      <c r="L103" s="22"/>
      <c r="M103" s="22"/>
      <c r="N103" s="22" t="s">
        <v>809</v>
      </c>
      <c r="O103" s="22"/>
      <c r="P103" s="22"/>
      <c r="Q103" s="22"/>
      <c r="R103" s="22"/>
      <c r="S103" s="22"/>
      <c r="T103" s="22"/>
      <c r="U103" s="22"/>
      <c r="V103" s="22"/>
      <c r="W103" s="22" t="str">
        <f t="shared" ref="W103" si="125">CHAR(CODE(W98)+1)</f>
        <v>Y</v>
      </c>
      <c r="X103" s="22"/>
      <c r="Y103" s="23">
        <f t="shared" ref="Y103" si="126">Y98</f>
        <v>174</v>
      </c>
      <c r="Z103" s="22" t="s">
        <v>324</v>
      </c>
      <c r="AA103" s="22"/>
      <c r="AB103" s="22"/>
      <c r="AC103" s="22"/>
      <c r="AD103" s="22"/>
      <c r="AE103" s="22"/>
      <c r="AF103" s="22"/>
      <c r="AG103" s="22"/>
      <c r="AH103" s="22"/>
      <c r="AI103" s="22"/>
      <c r="AJ103" s="22"/>
      <c r="AK103" s="22"/>
      <c r="AL103" s="22"/>
      <c r="AM103" s="22" t="str">
        <f t="shared" ref="AM103" si="127">_xlfn.CONCAT(N103&amp;W103&amp;Y103&amp;Z103)</f>
        <v>Workbooks("HFU Forecast UTLA 1.0.xlsm").Worksheets("Combined data").Range("Y174")</v>
      </c>
      <c r="AO103" t="s">
        <v>1019</v>
      </c>
    </row>
    <row r="104" spans="2:41" x14ac:dyDescent="0.25">
      <c r="B104" s="22" t="s">
        <v>339</v>
      </c>
      <c r="C104" s="22"/>
      <c r="D104" s="22"/>
      <c r="E104" s="22"/>
      <c r="F104" s="22"/>
      <c r="G104" s="22"/>
      <c r="H104" s="22"/>
      <c r="I104" s="22"/>
      <c r="J104" s="22"/>
      <c r="K104" s="22"/>
      <c r="L104" s="22"/>
      <c r="M104" s="22"/>
      <c r="N104" s="22"/>
      <c r="O104" s="22"/>
      <c r="P104" s="22"/>
      <c r="Q104" s="22"/>
      <c r="R104" s="22"/>
      <c r="S104" s="22"/>
      <c r="T104" s="22"/>
      <c r="U104" s="22"/>
      <c r="V104" s="22"/>
      <c r="W104" s="22"/>
      <c r="X104" s="22"/>
      <c r="Y104" s="23"/>
      <c r="Z104" s="22"/>
      <c r="AA104" s="22"/>
      <c r="AB104" s="22"/>
      <c r="AC104" s="22"/>
      <c r="AD104" s="22"/>
      <c r="AE104" s="22"/>
      <c r="AF104" s="22"/>
      <c r="AG104" s="22"/>
      <c r="AH104" s="22"/>
      <c r="AI104" s="22"/>
      <c r="AJ104" s="22"/>
      <c r="AK104" s="22"/>
      <c r="AL104" s="22"/>
      <c r="AM104" s="22" t="str">
        <f t="shared" ref="AM104" si="128">B104</f>
        <v>ActiveWorkbook.Close SaveChanges:=False</v>
      </c>
      <c r="AO104" t="s">
        <v>339</v>
      </c>
    </row>
    <row r="106" spans="2:41" x14ac:dyDescent="0.25">
      <c r="B106" s="19" t="s">
        <v>316</v>
      </c>
      <c r="C106" s="19"/>
      <c r="D106" s="19"/>
      <c r="E106" s="19"/>
      <c r="F106" s="19"/>
      <c r="G106" s="19"/>
      <c r="H106" s="19"/>
      <c r="I106" s="19"/>
      <c r="J106" s="19"/>
      <c r="K106" s="19"/>
      <c r="L106" s="19"/>
      <c r="M106" s="19"/>
      <c r="N106" s="19" t="s">
        <v>321</v>
      </c>
      <c r="O106" s="19"/>
      <c r="P106" s="19"/>
      <c r="Q106" s="19"/>
      <c r="R106" s="19"/>
      <c r="S106" s="19"/>
      <c r="T106" s="19"/>
      <c r="U106" s="19"/>
      <c r="V106" s="19">
        <f t="shared" ref="V106:V107" si="129">V101+1</f>
        <v>19</v>
      </c>
      <c r="W106" s="19"/>
      <c r="X106" s="19"/>
      <c r="Y106" s="21"/>
      <c r="Z106" s="19" t="s">
        <v>322</v>
      </c>
      <c r="AA106" s="19"/>
      <c r="AB106" s="19"/>
      <c r="AC106" s="19"/>
      <c r="AD106" s="19"/>
      <c r="AE106" s="19"/>
      <c r="AF106" s="19"/>
      <c r="AG106" s="19"/>
      <c r="AH106" s="19"/>
      <c r="AI106" s="19"/>
      <c r="AJ106" s="19"/>
      <c r="AK106" s="19"/>
      <c r="AL106" s="19"/>
      <c r="AM106" s="19" t="str">
        <f t="shared" ref="AM106" si="130">+_xlfn.CONCAT(N106&amp;V106&amp;Z106)</f>
        <v xml:space="preserve"> Workbooks.Open "A:\Homes for Ukraine data\Ukraine_sponsorship_data_19.ods"</v>
      </c>
      <c r="AO106" t="s">
        <v>355</v>
      </c>
    </row>
    <row r="107" spans="2:41" x14ac:dyDescent="0.25">
      <c r="B107" s="19" t="s">
        <v>380</v>
      </c>
      <c r="C107" s="19"/>
      <c r="D107" s="19"/>
      <c r="E107" s="19"/>
      <c r="F107" s="19"/>
      <c r="G107" s="19"/>
      <c r="H107" s="19"/>
      <c r="I107" s="19"/>
      <c r="J107" s="19"/>
      <c r="K107" s="19"/>
      <c r="L107" s="19"/>
      <c r="M107" s="19"/>
      <c r="N107" s="19" t="s">
        <v>323</v>
      </c>
      <c r="O107" s="19"/>
      <c r="P107" s="19"/>
      <c r="Q107" s="19"/>
      <c r="R107" s="19"/>
      <c r="S107" s="19"/>
      <c r="T107" s="19"/>
      <c r="U107" s="19"/>
      <c r="V107" s="19">
        <f t="shared" si="129"/>
        <v>19</v>
      </c>
      <c r="W107" s="19"/>
      <c r="X107" s="19"/>
      <c r="Y107" s="21"/>
      <c r="Z107" s="19" t="s">
        <v>381</v>
      </c>
      <c r="AA107" s="19"/>
      <c r="AB107" s="19"/>
      <c r="AC107" s="19"/>
      <c r="AD107" s="19"/>
      <c r="AE107" s="19" t="s">
        <v>382</v>
      </c>
      <c r="AF107" s="19">
        <f t="shared" ref="AF107" si="131">AF102</f>
        <v>13</v>
      </c>
      <c r="AG107" s="19" t="s">
        <v>327</v>
      </c>
      <c r="AH107" s="19"/>
      <c r="AI107" s="19">
        <f t="shared" ref="AI107" si="132">AI102</f>
        <v>53</v>
      </c>
      <c r="AJ107" s="19"/>
      <c r="AK107" s="19" t="s">
        <v>325</v>
      </c>
      <c r="AL107" s="19"/>
      <c r="AM107" s="19" t="str">
        <f t="shared" ref="AM107" si="133">_xlfn.CONCAT(N107&amp;V107&amp;Z107&amp;AE107&amp;AF107&amp;AG107&amp;AE107&amp;AI107&amp;AK107)</f>
        <v xml:space="preserve"> Workbooks("Ukraine_sponsorship_data_19.ods").Worksheets("Scotland").Range("D13:D53").Copy _</v>
      </c>
      <c r="AO107" t="s">
        <v>521</v>
      </c>
    </row>
    <row r="108" spans="2:41" x14ac:dyDescent="0.25">
      <c r="B108" s="19" t="s">
        <v>808</v>
      </c>
      <c r="C108" s="19"/>
      <c r="D108" s="19"/>
      <c r="E108" s="19"/>
      <c r="F108" s="19"/>
      <c r="G108" s="19"/>
      <c r="H108" s="19"/>
      <c r="I108" s="19"/>
      <c r="J108" s="19"/>
      <c r="K108" s="19"/>
      <c r="L108" s="19"/>
      <c r="M108" s="19"/>
      <c r="N108" s="19" t="s">
        <v>809</v>
      </c>
      <c r="O108" s="19"/>
      <c r="P108" s="19"/>
      <c r="Q108" s="19"/>
      <c r="R108" s="19"/>
      <c r="S108" s="19"/>
      <c r="T108" s="19"/>
      <c r="U108" s="19"/>
      <c r="V108" s="19"/>
      <c r="W108" s="19" t="str">
        <f t="shared" ref="W108" si="134">CHAR(CODE(W103)+1)</f>
        <v>Z</v>
      </c>
      <c r="X108" s="19"/>
      <c r="Y108" s="21">
        <f t="shared" ref="Y108" si="135">Y103</f>
        <v>174</v>
      </c>
      <c r="Z108" s="19" t="s">
        <v>324</v>
      </c>
      <c r="AA108" s="19"/>
      <c r="AB108" s="19"/>
      <c r="AC108" s="19"/>
      <c r="AD108" s="19"/>
      <c r="AE108" s="19"/>
      <c r="AF108" s="19"/>
      <c r="AG108" s="19"/>
      <c r="AH108" s="19"/>
      <c r="AI108" s="19"/>
      <c r="AJ108" s="19"/>
      <c r="AK108" s="19"/>
      <c r="AL108" s="19"/>
      <c r="AM108" s="19" t="str">
        <f t="shared" ref="AM108" si="136">_xlfn.CONCAT(N108&amp;W108&amp;Y108&amp;Z108)</f>
        <v>Workbooks("HFU Forecast UTLA 1.0.xlsm").Worksheets("Combined data").Range("Z174")</v>
      </c>
      <c r="AO108" t="s">
        <v>1020</v>
      </c>
    </row>
    <row r="109" spans="2:41" x14ac:dyDescent="0.25">
      <c r="B109" s="19" t="s">
        <v>339</v>
      </c>
      <c r="C109" s="19"/>
      <c r="D109" s="19"/>
      <c r="E109" s="19"/>
      <c r="F109" s="19"/>
      <c r="G109" s="19"/>
      <c r="H109" s="19"/>
      <c r="I109" s="19"/>
      <c r="J109" s="19"/>
      <c r="K109" s="19"/>
      <c r="L109" s="19"/>
      <c r="M109" s="19"/>
      <c r="N109" s="19"/>
      <c r="O109" s="19"/>
      <c r="P109" s="19"/>
      <c r="Q109" s="19"/>
      <c r="R109" s="19"/>
      <c r="S109" s="19"/>
      <c r="T109" s="19"/>
      <c r="U109" s="19"/>
      <c r="V109" s="19"/>
      <c r="W109" s="19"/>
      <c r="X109" s="19"/>
      <c r="Y109" s="21"/>
      <c r="Z109" s="19"/>
      <c r="AA109" s="19"/>
      <c r="AB109" s="19"/>
      <c r="AC109" s="19"/>
      <c r="AD109" s="19"/>
      <c r="AE109" s="19"/>
      <c r="AF109" s="19"/>
      <c r="AG109" s="19"/>
      <c r="AH109" s="19"/>
      <c r="AI109" s="19"/>
      <c r="AJ109" s="19"/>
      <c r="AK109" s="19"/>
      <c r="AL109" s="19"/>
      <c r="AM109" s="19" t="str">
        <f t="shared" ref="AM109" si="137">B109</f>
        <v>ActiveWorkbook.Close SaveChanges:=False</v>
      </c>
      <c r="AO109" t="s">
        <v>339</v>
      </c>
    </row>
    <row r="111" spans="2:41" x14ac:dyDescent="0.25">
      <c r="B111" s="22" t="s">
        <v>316</v>
      </c>
      <c r="C111" s="22"/>
      <c r="D111" s="22"/>
      <c r="E111" s="22"/>
      <c r="F111" s="22"/>
      <c r="G111" s="22"/>
      <c r="H111" s="22"/>
      <c r="I111" s="22"/>
      <c r="J111" s="22"/>
      <c r="K111" s="22"/>
      <c r="L111" s="22"/>
      <c r="M111" s="22"/>
      <c r="N111" s="22" t="s">
        <v>321</v>
      </c>
      <c r="O111" s="22"/>
      <c r="P111" s="22"/>
      <c r="Q111" s="22"/>
      <c r="R111" s="22"/>
      <c r="S111" s="22"/>
      <c r="T111" s="22"/>
      <c r="U111" s="22"/>
      <c r="V111" s="22">
        <f t="shared" ref="V111:V112" si="138">V106+1</f>
        <v>20</v>
      </c>
      <c r="W111" s="22"/>
      <c r="X111" s="22"/>
      <c r="Y111" s="23"/>
      <c r="Z111" s="22" t="s">
        <v>322</v>
      </c>
      <c r="AA111" s="22"/>
      <c r="AB111" s="22"/>
      <c r="AC111" s="22"/>
      <c r="AD111" s="22"/>
      <c r="AE111" s="22"/>
      <c r="AF111" s="22"/>
      <c r="AG111" s="22"/>
      <c r="AH111" s="22"/>
      <c r="AI111" s="22"/>
      <c r="AJ111" s="22"/>
      <c r="AK111" s="22"/>
      <c r="AL111" s="22"/>
      <c r="AM111" s="22" t="str">
        <f t="shared" ref="AM111" si="139">+_xlfn.CONCAT(N111&amp;V111&amp;Z111)</f>
        <v xml:space="preserve"> Workbooks.Open "A:\Homes for Ukraine data\Ukraine_sponsorship_data_20.ods"</v>
      </c>
      <c r="AO111" t="s">
        <v>356</v>
      </c>
    </row>
    <row r="112" spans="2:41" x14ac:dyDescent="0.25">
      <c r="B112" s="22" t="s">
        <v>380</v>
      </c>
      <c r="C112" s="22"/>
      <c r="D112" s="22"/>
      <c r="E112" s="22"/>
      <c r="F112" s="22"/>
      <c r="G112" s="22"/>
      <c r="H112" s="22"/>
      <c r="I112" s="22"/>
      <c r="J112" s="22"/>
      <c r="K112" s="22"/>
      <c r="L112" s="22"/>
      <c r="M112" s="22"/>
      <c r="N112" s="22" t="s">
        <v>323</v>
      </c>
      <c r="O112" s="22"/>
      <c r="P112" s="22"/>
      <c r="Q112" s="22"/>
      <c r="R112" s="22"/>
      <c r="S112" s="22"/>
      <c r="T112" s="22"/>
      <c r="U112" s="22"/>
      <c r="V112" s="22">
        <f t="shared" si="138"/>
        <v>20</v>
      </c>
      <c r="W112" s="22"/>
      <c r="X112" s="22"/>
      <c r="Y112" s="23"/>
      <c r="Z112" s="22" t="s">
        <v>381</v>
      </c>
      <c r="AA112" s="22"/>
      <c r="AB112" s="22"/>
      <c r="AC112" s="22"/>
      <c r="AD112" s="22"/>
      <c r="AE112" s="22" t="s">
        <v>382</v>
      </c>
      <c r="AF112" s="22">
        <f t="shared" ref="AF112" si="140">AF107</f>
        <v>13</v>
      </c>
      <c r="AG112" s="22" t="s">
        <v>327</v>
      </c>
      <c r="AH112" s="22"/>
      <c r="AI112" s="22">
        <f t="shared" ref="AI112" si="141">AI107</f>
        <v>53</v>
      </c>
      <c r="AJ112" s="22"/>
      <c r="AK112" s="22" t="s">
        <v>325</v>
      </c>
      <c r="AL112" s="22"/>
      <c r="AM112" s="22" t="str">
        <f t="shared" ref="AM112" si="142">_xlfn.CONCAT(N112&amp;V112&amp;Z112&amp;AE112&amp;AF112&amp;AG112&amp;AE112&amp;AI112&amp;AK112)</f>
        <v xml:space="preserve"> Workbooks("Ukraine_sponsorship_data_20.ods").Worksheets("Scotland").Range("D13:D53").Copy _</v>
      </c>
      <c r="AO112" t="s">
        <v>522</v>
      </c>
    </row>
    <row r="113" spans="2:41" x14ac:dyDescent="0.25">
      <c r="B113" s="22" t="s">
        <v>808</v>
      </c>
      <c r="C113" s="22"/>
      <c r="D113" s="22"/>
      <c r="E113" s="22"/>
      <c r="F113" s="22"/>
      <c r="G113" s="22"/>
      <c r="H113" s="22"/>
      <c r="I113" s="22"/>
      <c r="J113" s="22"/>
      <c r="K113" s="22"/>
      <c r="L113" s="22"/>
      <c r="M113" s="22"/>
      <c r="N113" s="22" t="s">
        <v>809</v>
      </c>
      <c r="O113" s="22"/>
      <c r="P113" s="22"/>
      <c r="Q113" s="22"/>
      <c r="R113" s="22"/>
      <c r="S113" s="22"/>
      <c r="T113" s="22"/>
      <c r="U113" s="22"/>
      <c r="V113" s="22"/>
      <c r="W113" s="22" t="s">
        <v>312</v>
      </c>
      <c r="X113" s="22" t="s">
        <v>312</v>
      </c>
      <c r="Y113" s="23">
        <f t="shared" ref="Y113" si="143">Y108</f>
        <v>174</v>
      </c>
      <c r="Z113" s="22" t="s">
        <v>324</v>
      </c>
      <c r="AA113" s="22"/>
      <c r="AB113" s="22"/>
      <c r="AC113" s="22"/>
      <c r="AD113" s="22"/>
      <c r="AE113" s="22"/>
      <c r="AF113" s="22"/>
      <c r="AG113" s="22"/>
      <c r="AH113" s="22"/>
      <c r="AI113" s="22"/>
      <c r="AJ113" s="22"/>
      <c r="AK113" s="22"/>
      <c r="AL113" s="22"/>
      <c r="AM113" s="22" t="str">
        <f>_xlfn.CONCAT(N113&amp;W113&amp;X113&amp;Y113&amp;Z113)</f>
        <v>Workbooks("HFU Forecast UTLA 1.0.xlsm").Worksheets("Combined data").Range("AA174")</v>
      </c>
      <c r="AO113" t="s">
        <v>975</v>
      </c>
    </row>
    <row r="114" spans="2:41" x14ac:dyDescent="0.25">
      <c r="B114" s="22" t="s">
        <v>339</v>
      </c>
      <c r="C114" s="22"/>
      <c r="D114" s="22"/>
      <c r="E114" s="22"/>
      <c r="F114" s="22"/>
      <c r="G114" s="22"/>
      <c r="H114" s="22"/>
      <c r="I114" s="22"/>
      <c r="J114" s="22"/>
      <c r="K114" s="22"/>
      <c r="L114" s="22"/>
      <c r="M114" s="22"/>
      <c r="N114" s="22"/>
      <c r="O114" s="22"/>
      <c r="P114" s="22"/>
      <c r="Q114" s="22"/>
      <c r="R114" s="22"/>
      <c r="S114" s="22"/>
      <c r="T114" s="22"/>
      <c r="U114" s="22"/>
      <c r="V114" s="22"/>
      <c r="W114" s="22"/>
      <c r="X114" s="22"/>
      <c r="Y114" s="23"/>
      <c r="Z114" s="22"/>
      <c r="AA114" s="22"/>
      <c r="AB114" s="22"/>
      <c r="AC114" s="22"/>
      <c r="AD114" s="22"/>
      <c r="AE114" s="22"/>
      <c r="AF114" s="22"/>
      <c r="AG114" s="22"/>
      <c r="AH114" s="22"/>
      <c r="AI114" s="22"/>
      <c r="AJ114" s="22"/>
      <c r="AK114" s="22"/>
      <c r="AL114" s="22"/>
      <c r="AM114" s="22" t="str">
        <f t="shared" ref="AM114" si="144">B114</f>
        <v>ActiveWorkbook.Close SaveChanges:=False</v>
      </c>
      <c r="AO114" t="s">
        <v>339</v>
      </c>
    </row>
    <row r="116" spans="2:41" ht="18.75" customHeight="1" x14ac:dyDescent="0.25">
      <c r="B116" s="19" t="s">
        <v>316</v>
      </c>
      <c r="C116" s="19"/>
      <c r="D116" s="19"/>
      <c r="E116" s="19"/>
      <c r="F116" s="19"/>
      <c r="G116" s="19"/>
      <c r="H116" s="19"/>
      <c r="I116" s="19"/>
      <c r="J116" s="19"/>
      <c r="K116" s="19"/>
      <c r="L116" s="19"/>
      <c r="M116" s="19"/>
      <c r="N116" s="19" t="s">
        <v>321</v>
      </c>
      <c r="O116" s="19"/>
      <c r="P116" s="19"/>
      <c r="Q116" s="19"/>
      <c r="R116" s="19"/>
      <c r="S116" s="19"/>
      <c r="T116" s="19"/>
      <c r="U116" s="19"/>
      <c r="V116" s="19">
        <f t="shared" ref="V116:V117" si="145">V111+1</f>
        <v>21</v>
      </c>
      <c r="W116" s="19"/>
      <c r="X116" s="19"/>
      <c r="Y116" s="21"/>
      <c r="Z116" s="19" t="s">
        <v>322</v>
      </c>
      <c r="AA116" s="19"/>
      <c r="AB116" s="19"/>
      <c r="AC116" s="19"/>
      <c r="AD116" s="19"/>
      <c r="AE116" s="19"/>
      <c r="AF116" s="19"/>
      <c r="AG116" s="19"/>
      <c r="AH116" s="19"/>
      <c r="AI116" s="19"/>
      <c r="AJ116" s="19"/>
      <c r="AK116" s="19"/>
      <c r="AL116" s="19"/>
      <c r="AM116" s="19" t="str">
        <f t="shared" ref="AM116" si="146">+_xlfn.CONCAT(N116&amp;V116&amp;Z116)</f>
        <v xml:space="preserve"> Workbooks.Open "A:\Homes for Ukraine data\Ukraine_sponsorship_data_21.ods"</v>
      </c>
      <c r="AO116" t="s">
        <v>357</v>
      </c>
    </row>
    <row r="117" spans="2:41" x14ac:dyDescent="0.25">
      <c r="B117" s="19" t="s">
        <v>380</v>
      </c>
      <c r="C117" s="19"/>
      <c r="D117" s="19"/>
      <c r="E117" s="19"/>
      <c r="F117" s="19"/>
      <c r="G117" s="19"/>
      <c r="H117" s="19"/>
      <c r="I117" s="19"/>
      <c r="J117" s="19"/>
      <c r="K117" s="19"/>
      <c r="L117" s="19"/>
      <c r="M117" s="19"/>
      <c r="N117" s="19" t="s">
        <v>323</v>
      </c>
      <c r="O117" s="19"/>
      <c r="P117" s="19"/>
      <c r="Q117" s="19"/>
      <c r="R117" s="19"/>
      <c r="S117" s="19"/>
      <c r="T117" s="19"/>
      <c r="U117" s="19"/>
      <c r="V117" s="19">
        <f t="shared" si="145"/>
        <v>21</v>
      </c>
      <c r="W117" s="19"/>
      <c r="X117" s="19"/>
      <c r="Y117" s="21"/>
      <c r="Z117" s="19" t="s">
        <v>381</v>
      </c>
      <c r="AA117" s="19"/>
      <c r="AB117" s="19"/>
      <c r="AC117" s="19"/>
      <c r="AD117" s="19"/>
      <c r="AE117" s="19" t="s">
        <v>382</v>
      </c>
      <c r="AF117" s="19">
        <f t="shared" ref="AF117" si="147">AF112</f>
        <v>13</v>
      </c>
      <c r="AG117" s="19" t="s">
        <v>327</v>
      </c>
      <c r="AH117" s="19"/>
      <c r="AI117" s="19">
        <f t="shared" ref="AI117" si="148">AI112</f>
        <v>53</v>
      </c>
      <c r="AJ117" s="19"/>
      <c r="AK117" s="19" t="s">
        <v>325</v>
      </c>
      <c r="AL117" s="19"/>
      <c r="AM117" s="19" t="str">
        <f t="shared" ref="AM117" si="149">_xlfn.CONCAT(N117&amp;V117&amp;Z117&amp;AE117&amp;AF117&amp;AG117&amp;AE117&amp;AI117&amp;AK117)</f>
        <v xml:space="preserve"> Workbooks("Ukraine_sponsorship_data_21.ods").Worksheets("Scotland").Range("D13:D53").Copy _</v>
      </c>
      <c r="AO117" t="s">
        <v>523</v>
      </c>
    </row>
    <row r="118" spans="2:41" x14ac:dyDescent="0.25">
      <c r="B118" s="19" t="s">
        <v>808</v>
      </c>
      <c r="C118" s="19"/>
      <c r="D118" s="19"/>
      <c r="E118" s="19"/>
      <c r="F118" s="19"/>
      <c r="G118" s="19"/>
      <c r="H118" s="19"/>
      <c r="I118" s="19"/>
      <c r="J118" s="19"/>
      <c r="K118" s="19"/>
      <c r="L118" s="19"/>
      <c r="M118" s="19"/>
      <c r="N118" s="19" t="s">
        <v>809</v>
      </c>
      <c r="O118" s="19"/>
      <c r="P118" s="19"/>
      <c r="Q118" s="19"/>
      <c r="R118" s="19"/>
      <c r="S118" s="19"/>
      <c r="T118" s="19"/>
      <c r="U118" s="19"/>
      <c r="V118" s="19"/>
      <c r="W118" s="19" t="s">
        <v>312</v>
      </c>
      <c r="X118" s="19" t="str">
        <f>CHAR(CODE(X113)+1)</f>
        <v>B</v>
      </c>
      <c r="Y118" s="21">
        <f t="shared" ref="Y118" si="150">Y113</f>
        <v>174</v>
      </c>
      <c r="Z118" s="19" t="s">
        <v>324</v>
      </c>
      <c r="AA118" s="19"/>
      <c r="AB118" s="19"/>
      <c r="AC118" s="19"/>
      <c r="AD118" s="19"/>
      <c r="AE118" s="19"/>
      <c r="AF118" s="19"/>
      <c r="AG118" s="19"/>
      <c r="AH118" s="19"/>
      <c r="AI118" s="19"/>
      <c r="AJ118" s="19"/>
      <c r="AK118" s="19"/>
      <c r="AL118" s="19"/>
      <c r="AM118" s="19" t="str">
        <f>_xlfn.CONCAT(N118&amp;W118&amp;X118&amp;Y118&amp;Z118)</f>
        <v>Workbooks("HFU Forecast UTLA 1.0.xlsm").Worksheets("Combined data").Range("AB174")</v>
      </c>
      <c r="AO118" t="s">
        <v>976</v>
      </c>
    </row>
    <row r="119" spans="2:41" x14ac:dyDescent="0.25">
      <c r="B119" s="19" t="s">
        <v>339</v>
      </c>
      <c r="C119" s="19"/>
      <c r="D119" s="19"/>
      <c r="E119" s="19"/>
      <c r="F119" s="19"/>
      <c r="G119" s="19"/>
      <c r="H119" s="19"/>
      <c r="I119" s="19"/>
      <c r="J119" s="19"/>
      <c r="K119" s="19"/>
      <c r="L119" s="19"/>
      <c r="M119" s="19"/>
      <c r="N119" s="19"/>
      <c r="O119" s="19"/>
      <c r="P119" s="19"/>
      <c r="Q119" s="19"/>
      <c r="R119" s="19"/>
      <c r="S119" s="19"/>
      <c r="T119" s="19"/>
      <c r="U119" s="19"/>
      <c r="V119" s="19"/>
      <c r="W119" s="19"/>
      <c r="X119" s="19"/>
      <c r="Y119" s="21"/>
      <c r="Z119" s="19"/>
      <c r="AA119" s="19"/>
      <c r="AB119" s="19"/>
      <c r="AC119" s="19"/>
      <c r="AD119" s="19"/>
      <c r="AE119" s="19"/>
      <c r="AF119" s="19"/>
      <c r="AG119" s="19"/>
      <c r="AH119" s="19"/>
      <c r="AI119" s="19"/>
      <c r="AJ119" s="19"/>
      <c r="AK119" s="19"/>
      <c r="AL119" s="19"/>
      <c r="AM119" s="19" t="str">
        <f t="shared" ref="AM119" si="151">B119</f>
        <v>ActiveWorkbook.Close SaveChanges:=False</v>
      </c>
      <c r="AO119" t="s">
        <v>339</v>
      </c>
    </row>
    <row r="121" spans="2:41" x14ac:dyDescent="0.25">
      <c r="B121" s="22" t="s">
        <v>316</v>
      </c>
      <c r="C121" s="22"/>
      <c r="D121" s="22"/>
      <c r="E121" s="22"/>
      <c r="F121" s="22"/>
      <c r="G121" s="22"/>
      <c r="H121" s="22"/>
      <c r="I121" s="22"/>
      <c r="J121" s="22"/>
      <c r="K121" s="22"/>
      <c r="L121" s="22"/>
      <c r="M121" s="22"/>
      <c r="N121" s="22" t="s">
        <v>321</v>
      </c>
      <c r="O121" s="22"/>
      <c r="P121" s="22"/>
      <c r="Q121" s="22"/>
      <c r="R121" s="22"/>
      <c r="S121" s="22"/>
      <c r="T121" s="22"/>
      <c r="U121" s="22"/>
      <c r="V121" s="22">
        <f t="shared" ref="V121:V122" si="152">V116+1</f>
        <v>22</v>
      </c>
      <c r="W121" s="22"/>
      <c r="X121" s="22"/>
      <c r="Y121" s="23"/>
      <c r="Z121" s="22" t="s">
        <v>322</v>
      </c>
      <c r="AA121" s="22"/>
      <c r="AB121" s="22"/>
      <c r="AC121" s="22"/>
      <c r="AD121" s="22"/>
      <c r="AE121" s="22"/>
      <c r="AF121" s="22"/>
      <c r="AG121" s="22"/>
      <c r="AH121" s="22"/>
      <c r="AI121" s="22"/>
      <c r="AJ121" s="22"/>
      <c r="AK121" s="22"/>
      <c r="AL121" s="22"/>
      <c r="AM121" s="22" t="str">
        <f t="shared" ref="AM121" si="153">+_xlfn.CONCAT(N121&amp;V121&amp;Z121)</f>
        <v xml:space="preserve"> Workbooks.Open "A:\Homes for Ukraine data\Ukraine_sponsorship_data_22.ods"</v>
      </c>
      <c r="AO121" t="s">
        <v>358</v>
      </c>
    </row>
    <row r="122" spans="2:41" x14ac:dyDescent="0.25">
      <c r="B122" s="22" t="s">
        <v>380</v>
      </c>
      <c r="C122" s="22"/>
      <c r="D122" s="22"/>
      <c r="E122" s="22"/>
      <c r="F122" s="22"/>
      <c r="G122" s="22"/>
      <c r="H122" s="22"/>
      <c r="I122" s="22"/>
      <c r="J122" s="22"/>
      <c r="K122" s="22"/>
      <c r="L122" s="22"/>
      <c r="M122" s="22"/>
      <c r="N122" s="22" t="s">
        <v>323</v>
      </c>
      <c r="O122" s="22"/>
      <c r="P122" s="22"/>
      <c r="Q122" s="22"/>
      <c r="R122" s="22"/>
      <c r="S122" s="22"/>
      <c r="T122" s="22"/>
      <c r="U122" s="22"/>
      <c r="V122" s="22">
        <f t="shared" si="152"/>
        <v>22</v>
      </c>
      <c r="W122" s="22"/>
      <c r="X122" s="22"/>
      <c r="Y122" s="23"/>
      <c r="Z122" s="22" t="s">
        <v>381</v>
      </c>
      <c r="AA122" s="22"/>
      <c r="AB122" s="22"/>
      <c r="AC122" s="22"/>
      <c r="AD122" s="22"/>
      <c r="AE122" s="22" t="s">
        <v>382</v>
      </c>
      <c r="AF122" s="22">
        <f t="shared" ref="AF122" si="154">AF117</f>
        <v>13</v>
      </c>
      <c r="AG122" s="22" t="s">
        <v>327</v>
      </c>
      <c r="AH122" s="22"/>
      <c r="AI122" s="22">
        <f t="shared" ref="AI122" si="155">AI117</f>
        <v>53</v>
      </c>
      <c r="AJ122" s="22"/>
      <c r="AK122" s="22" t="s">
        <v>325</v>
      </c>
      <c r="AL122" s="22"/>
      <c r="AM122" s="22" t="str">
        <f t="shared" ref="AM122" si="156">_xlfn.CONCAT(N122&amp;V122&amp;Z122&amp;AE122&amp;AF122&amp;AG122&amp;AE122&amp;AI122&amp;AK122)</f>
        <v xml:space="preserve"> Workbooks("Ukraine_sponsorship_data_22.ods").Worksheets("Scotland").Range("D13:D53").Copy _</v>
      </c>
      <c r="AO122" t="s">
        <v>524</v>
      </c>
    </row>
    <row r="123" spans="2:41" x14ac:dyDescent="0.25">
      <c r="B123" s="22" t="s">
        <v>808</v>
      </c>
      <c r="C123" s="22"/>
      <c r="D123" s="22"/>
      <c r="E123" s="22"/>
      <c r="F123" s="22"/>
      <c r="G123" s="22"/>
      <c r="H123" s="22"/>
      <c r="I123" s="22"/>
      <c r="J123" s="22"/>
      <c r="K123" s="22"/>
      <c r="L123" s="22"/>
      <c r="M123" s="22"/>
      <c r="N123" s="22" t="s">
        <v>809</v>
      </c>
      <c r="O123" s="22"/>
      <c r="P123" s="22"/>
      <c r="Q123" s="22"/>
      <c r="R123" s="22"/>
      <c r="S123" s="22"/>
      <c r="T123" s="22"/>
      <c r="U123" s="22"/>
      <c r="V123" s="22"/>
      <c r="W123" s="22" t="s">
        <v>312</v>
      </c>
      <c r="X123" s="22" t="str">
        <f>CHAR(CODE(X118)+1)</f>
        <v>C</v>
      </c>
      <c r="Y123" s="23">
        <f t="shared" ref="Y123" si="157">Y118</f>
        <v>174</v>
      </c>
      <c r="Z123" s="22" t="s">
        <v>324</v>
      </c>
      <c r="AA123" s="22"/>
      <c r="AB123" s="22"/>
      <c r="AC123" s="22"/>
      <c r="AD123" s="22"/>
      <c r="AE123" s="22"/>
      <c r="AF123" s="22"/>
      <c r="AG123" s="22"/>
      <c r="AH123" s="22"/>
      <c r="AI123" s="22"/>
      <c r="AJ123" s="22"/>
      <c r="AK123" s="22"/>
      <c r="AL123" s="22"/>
      <c r="AM123" s="22" t="str">
        <f>_xlfn.CONCAT(N123&amp;W123&amp;X123&amp;Y123&amp;Z123)</f>
        <v>Workbooks("HFU Forecast UTLA 1.0.xlsm").Worksheets("Combined data").Range("AC174")</v>
      </c>
      <c r="AO123" t="s">
        <v>977</v>
      </c>
    </row>
    <row r="124" spans="2:41" x14ac:dyDescent="0.25">
      <c r="B124" s="22" t="s">
        <v>339</v>
      </c>
      <c r="C124" s="22"/>
      <c r="D124" s="22"/>
      <c r="E124" s="22"/>
      <c r="F124" s="22"/>
      <c r="G124" s="22"/>
      <c r="H124" s="22"/>
      <c r="I124" s="22"/>
      <c r="J124" s="22"/>
      <c r="K124" s="22"/>
      <c r="L124" s="22"/>
      <c r="M124" s="22"/>
      <c r="N124" s="22"/>
      <c r="O124" s="22"/>
      <c r="P124" s="22"/>
      <c r="Q124" s="22"/>
      <c r="R124" s="22"/>
      <c r="S124" s="22"/>
      <c r="T124" s="22"/>
      <c r="U124" s="22"/>
      <c r="V124" s="22"/>
      <c r="W124" s="22"/>
      <c r="X124" s="22"/>
      <c r="Y124" s="23"/>
      <c r="Z124" s="22"/>
      <c r="AA124" s="22"/>
      <c r="AB124" s="22"/>
      <c r="AC124" s="22"/>
      <c r="AD124" s="22"/>
      <c r="AE124" s="22"/>
      <c r="AF124" s="22"/>
      <c r="AG124" s="22"/>
      <c r="AH124" s="22"/>
      <c r="AI124" s="22"/>
      <c r="AJ124" s="22"/>
      <c r="AK124" s="22"/>
      <c r="AL124" s="22"/>
      <c r="AM124" s="22" t="str">
        <f t="shared" ref="AM124" si="158">B124</f>
        <v>ActiveWorkbook.Close SaveChanges:=False</v>
      </c>
      <c r="AO124" t="s">
        <v>339</v>
      </c>
    </row>
    <row r="126" spans="2:41" x14ac:dyDescent="0.25">
      <c r="B126" s="19" t="s">
        <v>316</v>
      </c>
      <c r="C126" s="19"/>
      <c r="D126" s="19"/>
      <c r="E126" s="19"/>
      <c r="F126" s="19"/>
      <c r="G126" s="19"/>
      <c r="H126" s="19"/>
      <c r="I126" s="19"/>
      <c r="J126" s="19"/>
      <c r="K126" s="19"/>
      <c r="L126" s="19"/>
      <c r="M126" s="19"/>
      <c r="N126" s="19" t="s">
        <v>321</v>
      </c>
      <c r="O126" s="19"/>
      <c r="P126" s="19"/>
      <c r="Q126" s="19"/>
      <c r="R126" s="19"/>
      <c r="S126" s="19"/>
      <c r="T126" s="19"/>
      <c r="U126" s="19"/>
      <c r="V126" s="19">
        <f t="shared" ref="V126:V177" si="159">V121+1</f>
        <v>23</v>
      </c>
      <c r="W126" s="19"/>
      <c r="X126" s="19"/>
      <c r="Y126" s="21"/>
      <c r="Z126" s="19" t="s">
        <v>322</v>
      </c>
      <c r="AA126" s="19"/>
      <c r="AB126" s="19"/>
      <c r="AC126" s="19"/>
      <c r="AD126" s="19"/>
      <c r="AE126" s="19"/>
      <c r="AF126" s="19"/>
      <c r="AG126" s="19"/>
      <c r="AH126" s="19"/>
      <c r="AI126" s="19"/>
      <c r="AJ126" s="19"/>
      <c r="AK126" s="19"/>
      <c r="AL126" s="19"/>
      <c r="AM126" s="19" t="str">
        <f t="shared" ref="AM126" si="160">+_xlfn.CONCAT(N126&amp;V126&amp;Z126)</f>
        <v xml:space="preserve"> Workbooks.Open "A:\Homes for Ukraine data\Ukraine_sponsorship_data_23.ods"</v>
      </c>
      <c r="AO126" t="s">
        <v>721</v>
      </c>
    </row>
    <row r="127" spans="2:41" x14ac:dyDescent="0.25">
      <c r="B127" s="19" t="s">
        <v>380</v>
      </c>
      <c r="C127" s="19"/>
      <c r="D127" s="19"/>
      <c r="E127" s="19"/>
      <c r="F127" s="19"/>
      <c r="G127" s="19"/>
      <c r="H127" s="19"/>
      <c r="I127" s="19"/>
      <c r="J127" s="19"/>
      <c r="K127" s="19"/>
      <c r="L127" s="19"/>
      <c r="M127" s="19"/>
      <c r="N127" s="19" t="s">
        <v>323</v>
      </c>
      <c r="O127" s="19"/>
      <c r="P127" s="19"/>
      <c r="Q127" s="19"/>
      <c r="R127" s="19"/>
      <c r="S127" s="19"/>
      <c r="T127" s="19"/>
      <c r="U127" s="19"/>
      <c r="V127" s="19">
        <f t="shared" si="159"/>
        <v>23</v>
      </c>
      <c r="W127" s="19"/>
      <c r="X127" s="19"/>
      <c r="Y127" s="21"/>
      <c r="Z127" s="19" t="s">
        <v>381</v>
      </c>
      <c r="AA127" s="19"/>
      <c r="AB127" s="19"/>
      <c r="AC127" s="19"/>
      <c r="AD127" s="19"/>
      <c r="AE127" s="19" t="s">
        <v>382</v>
      </c>
      <c r="AF127" s="19">
        <f t="shared" ref="AF127:AF177" si="161">AF122</f>
        <v>13</v>
      </c>
      <c r="AG127" s="19" t="s">
        <v>327</v>
      </c>
      <c r="AH127" s="19"/>
      <c r="AI127" s="19">
        <f t="shared" ref="AI127:AI177" si="162">AI122</f>
        <v>53</v>
      </c>
      <c r="AJ127" s="19"/>
      <c r="AK127" s="19" t="s">
        <v>325</v>
      </c>
      <c r="AL127" s="19"/>
      <c r="AM127" s="19" t="str">
        <f t="shared" ref="AM127" si="163">_xlfn.CONCAT(N127&amp;V127&amp;Z127&amp;AE127&amp;AF127&amp;AG127&amp;AE127&amp;AI127&amp;AK127)</f>
        <v xml:space="preserve"> Workbooks("Ukraine_sponsorship_data_23.ods").Worksheets("Scotland").Range("D13:D53").Copy _</v>
      </c>
      <c r="AO127" t="s">
        <v>745</v>
      </c>
    </row>
    <row r="128" spans="2:41" x14ac:dyDescent="0.25">
      <c r="B128" s="19" t="s">
        <v>808</v>
      </c>
      <c r="C128" s="19"/>
      <c r="D128" s="19"/>
      <c r="E128" s="19"/>
      <c r="F128" s="19"/>
      <c r="G128" s="19"/>
      <c r="H128" s="19"/>
      <c r="I128" s="19"/>
      <c r="J128" s="19"/>
      <c r="K128" s="19"/>
      <c r="L128" s="19"/>
      <c r="M128" s="19"/>
      <c r="N128" s="19" t="s">
        <v>809</v>
      </c>
      <c r="O128" s="19"/>
      <c r="P128" s="19"/>
      <c r="Q128" s="19"/>
      <c r="R128" s="19"/>
      <c r="S128" s="19"/>
      <c r="T128" s="19"/>
      <c r="U128" s="19"/>
      <c r="V128" s="19"/>
      <c r="W128" s="19" t="s">
        <v>312</v>
      </c>
      <c r="X128" s="19" t="str">
        <f t="shared" ref="X128" si="164">CHAR(CODE(X123)+1)</f>
        <v>D</v>
      </c>
      <c r="Y128" s="21">
        <f t="shared" ref="Y128:Y178" si="165">Y123</f>
        <v>174</v>
      </c>
      <c r="Z128" s="19" t="s">
        <v>324</v>
      </c>
      <c r="AA128" s="19"/>
      <c r="AB128" s="19"/>
      <c r="AC128" s="19"/>
      <c r="AD128" s="19"/>
      <c r="AE128" s="19"/>
      <c r="AF128" s="19"/>
      <c r="AG128" s="19"/>
      <c r="AH128" s="19"/>
      <c r="AI128" s="19"/>
      <c r="AJ128" s="19"/>
      <c r="AK128" s="19"/>
      <c r="AL128" s="19"/>
      <c r="AM128" s="19" t="str">
        <f t="shared" ref="AM128" si="166">_xlfn.CONCAT(N128&amp;W128&amp;X128&amp;Y128&amp;Z128)</f>
        <v>Workbooks("HFU Forecast UTLA 1.0.xlsm").Worksheets("Combined data").Range("AD174")</v>
      </c>
      <c r="AO128" t="s">
        <v>978</v>
      </c>
    </row>
    <row r="129" spans="2:41" x14ac:dyDescent="0.25">
      <c r="B129" s="19" t="s">
        <v>339</v>
      </c>
      <c r="C129" s="19"/>
      <c r="D129" s="19"/>
      <c r="E129" s="19"/>
      <c r="F129" s="19"/>
      <c r="G129" s="19"/>
      <c r="H129" s="19"/>
      <c r="I129" s="19"/>
      <c r="J129" s="19"/>
      <c r="K129" s="19"/>
      <c r="L129" s="19"/>
      <c r="M129" s="19"/>
      <c r="N129" s="19"/>
      <c r="O129" s="19"/>
      <c r="P129" s="19"/>
      <c r="Q129" s="19"/>
      <c r="R129" s="19"/>
      <c r="S129" s="19"/>
      <c r="T129" s="19"/>
      <c r="U129" s="19"/>
      <c r="V129" s="19"/>
      <c r="W129" s="19"/>
      <c r="X129" s="19"/>
      <c r="Y129" s="21"/>
      <c r="Z129" s="19"/>
      <c r="AA129" s="19"/>
      <c r="AB129" s="19"/>
      <c r="AC129" s="19"/>
      <c r="AD129" s="19"/>
      <c r="AE129" s="19"/>
      <c r="AF129" s="19"/>
      <c r="AG129" s="19"/>
      <c r="AH129" s="19"/>
      <c r="AI129" s="19"/>
      <c r="AJ129" s="19"/>
      <c r="AK129" s="19"/>
      <c r="AL129" s="19"/>
      <c r="AM129" s="19" t="str">
        <f t="shared" ref="AM129" si="167">B129</f>
        <v>ActiveWorkbook.Close SaveChanges:=False</v>
      </c>
      <c r="AO129" t="s">
        <v>339</v>
      </c>
    </row>
    <row r="131" spans="2:41" x14ac:dyDescent="0.25">
      <c r="B131" s="22" t="s">
        <v>316</v>
      </c>
      <c r="C131" s="22"/>
      <c r="D131" s="22"/>
      <c r="E131" s="22"/>
      <c r="F131" s="22"/>
      <c r="G131" s="22"/>
      <c r="H131" s="22"/>
      <c r="I131" s="22"/>
      <c r="J131" s="22"/>
      <c r="K131" s="22"/>
      <c r="L131" s="22"/>
      <c r="M131" s="22"/>
      <c r="N131" s="22" t="s">
        <v>321</v>
      </c>
      <c r="O131" s="22"/>
      <c r="P131" s="22"/>
      <c r="Q131" s="22"/>
      <c r="R131" s="22"/>
      <c r="S131" s="22"/>
      <c r="T131" s="22"/>
      <c r="U131" s="22"/>
      <c r="V131" s="22">
        <f t="shared" ref="V131:V182" si="168">V126+1</f>
        <v>24</v>
      </c>
      <c r="W131" s="22"/>
      <c r="X131" s="22"/>
      <c r="Y131" s="23"/>
      <c r="Z131" s="22" t="s">
        <v>322</v>
      </c>
      <c r="AA131" s="22"/>
      <c r="AB131" s="22"/>
      <c r="AC131" s="22"/>
      <c r="AD131" s="22"/>
      <c r="AE131" s="22"/>
      <c r="AF131" s="22"/>
      <c r="AG131" s="22"/>
      <c r="AH131" s="22"/>
      <c r="AI131" s="22"/>
      <c r="AJ131" s="22"/>
      <c r="AK131" s="22"/>
      <c r="AL131" s="22"/>
      <c r="AM131" s="22" t="str">
        <f t="shared" ref="AM131" si="169">+_xlfn.CONCAT(N131&amp;V131&amp;Z131)</f>
        <v xml:space="preserve"> Workbooks.Open "A:\Homes for Ukraine data\Ukraine_sponsorship_data_24.ods"</v>
      </c>
      <c r="AO131" t="s">
        <v>723</v>
      </c>
    </row>
    <row r="132" spans="2:41" x14ac:dyDescent="0.25">
      <c r="B132" s="22" t="s">
        <v>380</v>
      </c>
      <c r="C132" s="22"/>
      <c r="D132" s="22"/>
      <c r="E132" s="22"/>
      <c r="F132" s="22"/>
      <c r="G132" s="22"/>
      <c r="H132" s="22"/>
      <c r="I132" s="22"/>
      <c r="J132" s="22"/>
      <c r="K132" s="22"/>
      <c r="L132" s="22"/>
      <c r="M132" s="22"/>
      <c r="N132" s="22" t="s">
        <v>323</v>
      </c>
      <c r="O132" s="22"/>
      <c r="P132" s="22"/>
      <c r="Q132" s="22"/>
      <c r="R132" s="22"/>
      <c r="S132" s="22"/>
      <c r="T132" s="22"/>
      <c r="U132" s="22"/>
      <c r="V132" s="22">
        <f t="shared" si="168"/>
        <v>24</v>
      </c>
      <c r="W132" s="22"/>
      <c r="X132" s="22"/>
      <c r="Y132" s="23"/>
      <c r="Z132" s="22" t="s">
        <v>381</v>
      </c>
      <c r="AA132" s="22"/>
      <c r="AB132" s="22"/>
      <c r="AC132" s="22"/>
      <c r="AD132" s="22"/>
      <c r="AE132" s="22" t="s">
        <v>382</v>
      </c>
      <c r="AF132" s="22">
        <f t="shared" ref="AF132:AF182" si="170">AF127</f>
        <v>13</v>
      </c>
      <c r="AG132" s="22" t="s">
        <v>327</v>
      </c>
      <c r="AH132" s="22"/>
      <c r="AI132" s="22">
        <f t="shared" ref="AI132:AI182" si="171">AI127</f>
        <v>53</v>
      </c>
      <c r="AJ132" s="22"/>
      <c r="AK132" s="22" t="s">
        <v>325</v>
      </c>
      <c r="AL132" s="22"/>
      <c r="AM132" s="22" t="str">
        <f t="shared" ref="AM132" si="172">_xlfn.CONCAT(N132&amp;V132&amp;Z132&amp;AE132&amp;AF132&amp;AG132&amp;AE132&amp;AI132&amp;AK132)</f>
        <v xml:space="preserve"> Workbooks("Ukraine_sponsorship_data_24.ods").Worksheets("Scotland").Range("D13:D53").Copy _</v>
      </c>
      <c r="AO132" t="s">
        <v>746</v>
      </c>
    </row>
    <row r="133" spans="2:41" x14ac:dyDescent="0.25">
      <c r="B133" s="22" t="s">
        <v>808</v>
      </c>
      <c r="C133" s="22"/>
      <c r="D133" s="22"/>
      <c r="E133" s="22"/>
      <c r="F133" s="22"/>
      <c r="G133" s="22"/>
      <c r="H133" s="22"/>
      <c r="I133" s="22"/>
      <c r="J133" s="22"/>
      <c r="K133" s="22"/>
      <c r="L133" s="22"/>
      <c r="M133" s="22"/>
      <c r="N133" s="22" t="s">
        <v>809</v>
      </c>
      <c r="O133" s="22"/>
      <c r="P133" s="22"/>
      <c r="Q133" s="22"/>
      <c r="R133" s="22"/>
      <c r="S133" s="22"/>
      <c r="T133" s="22"/>
      <c r="U133" s="22"/>
      <c r="V133" s="22"/>
      <c r="W133" s="22" t="s">
        <v>312</v>
      </c>
      <c r="X133" s="22" t="str">
        <f t="shared" ref="X133" si="173">CHAR(CODE(X128)+1)</f>
        <v>E</v>
      </c>
      <c r="Y133" s="23">
        <f t="shared" ref="Y133:Y183" si="174">Y128</f>
        <v>174</v>
      </c>
      <c r="Z133" s="22" t="s">
        <v>324</v>
      </c>
      <c r="AA133" s="22"/>
      <c r="AB133" s="22"/>
      <c r="AC133" s="22"/>
      <c r="AD133" s="22"/>
      <c r="AE133" s="22"/>
      <c r="AF133" s="22"/>
      <c r="AG133" s="22"/>
      <c r="AH133" s="22"/>
      <c r="AI133" s="22"/>
      <c r="AJ133" s="22"/>
      <c r="AK133" s="22"/>
      <c r="AL133" s="22"/>
      <c r="AM133" s="22" t="str">
        <f t="shared" ref="AM133" si="175">_xlfn.CONCAT(N133&amp;W133&amp;X133&amp;Y133&amp;Z133)</f>
        <v>Workbooks("HFU Forecast UTLA 1.0.xlsm").Worksheets("Combined data").Range("AE174")</v>
      </c>
      <c r="AO133" t="s">
        <v>979</v>
      </c>
    </row>
    <row r="134" spans="2:41" x14ac:dyDescent="0.25">
      <c r="B134" s="22" t="s">
        <v>339</v>
      </c>
      <c r="C134" s="22"/>
      <c r="D134" s="22"/>
      <c r="E134" s="22"/>
      <c r="F134" s="22"/>
      <c r="G134" s="22"/>
      <c r="H134" s="22"/>
      <c r="I134" s="22"/>
      <c r="J134" s="22"/>
      <c r="K134" s="22"/>
      <c r="L134" s="22"/>
      <c r="M134" s="22"/>
      <c r="N134" s="22"/>
      <c r="O134" s="22"/>
      <c r="P134" s="22"/>
      <c r="Q134" s="22"/>
      <c r="R134" s="22"/>
      <c r="S134" s="22"/>
      <c r="T134" s="22"/>
      <c r="U134" s="22"/>
      <c r="V134" s="22"/>
      <c r="W134" s="22"/>
      <c r="X134" s="22"/>
      <c r="Y134" s="23"/>
      <c r="Z134" s="22"/>
      <c r="AA134" s="22"/>
      <c r="AB134" s="22"/>
      <c r="AC134" s="22"/>
      <c r="AD134" s="22"/>
      <c r="AE134" s="22"/>
      <c r="AF134" s="22"/>
      <c r="AG134" s="22"/>
      <c r="AH134" s="22"/>
      <c r="AI134" s="22"/>
      <c r="AJ134" s="22"/>
      <c r="AK134" s="22"/>
      <c r="AL134" s="22"/>
      <c r="AM134" s="22" t="str">
        <f t="shared" ref="AM134" si="176">B134</f>
        <v>ActiveWorkbook.Close SaveChanges:=False</v>
      </c>
      <c r="AO134" t="s">
        <v>339</v>
      </c>
    </row>
    <row r="136" spans="2:41" x14ac:dyDescent="0.25">
      <c r="B136" s="19" t="s">
        <v>316</v>
      </c>
      <c r="C136" s="19"/>
      <c r="D136" s="19"/>
      <c r="E136" s="19"/>
      <c r="F136" s="19"/>
      <c r="G136" s="19"/>
      <c r="H136" s="19"/>
      <c r="I136" s="19"/>
      <c r="J136" s="19"/>
      <c r="K136" s="19"/>
      <c r="L136" s="19"/>
      <c r="M136" s="19"/>
      <c r="N136" s="19" t="s">
        <v>321</v>
      </c>
      <c r="O136" s="19"/>
      <c r="P136" s="19"/>
      <c r="Q136" s="19"/>
      <c r="R136" s="19"/>
      <c r="S136" s="19"/>
      <c r="T136" s="19"/>
      <c r="U136" s="19"/>
      <c r="V136" s="19">
        <f t="shared" si="159"/>
        <v>25</v>
      </c>
      <c r="W136" s="19"/>
      <c r="X136" s="19"/>
      <c r="Y136" s="21"/>
      <c r="Z136" s="19" t="s">
        <v>322</v>
      </c>
      <c r="AA136" s="19"/>
      <c r="AB136" s="19"/>
      <c r="AC136" s="19"/>
      <c r="AD136" s="19"/>
      <c r="AE136" s="19"/>
      <c r="AF136" s="19"/>
      <c r="AG136" s="19"/>
      <c r="AH136" s="19"/>
      <c r="AI136" s="19"/>
      <c r="AJ136" s="19"/>
      <c r="AK136" s="19"/>
      <c r="AL136" s="19"/>
      <c r="AM136" s="19" t="str">
        <f t="shared" ref="AM136" si="177">+_xlfn.CONCAT(N136&amp;V136&amp;Z136)</f>
        <v xml:space="preserve"> Workbooks.Open "A:\Homes for Ukraine data\Ukraine_sponsorship_data_25.ods"</v>
      </c>
      <c r="AO136" t="s">
        <v>725</v>
      </c>
    </row>
    <row r="137" spans="2:41" x14ac:dyDescent="0.25">
      <c r="B137" s="19" t="s">
        <v>380</v>
      </c>
      <c r="C137" s="19"/>
      <c r="D137" s="19"/>
      <c r="E137" s="19"/>
      <c r="F137" s="19"/>
      <c r="G137" s="19"/>
      <c r="H137" s="19"/>
      <c r="I137" s="19"/>
      <c r="J137" s="19"/>
      <c r="K137" s="19"/>
      <c r="L137" s="19"/>
      <c r="M137" s="19"/>
      <c r="N137" s="19" t="s">
        <v>323</v>
      </c>
      <c r="O137" s="19"/>
      <c r="P137" s="19"/>
      <c r="Q137" s="19"/>
      <c r="R137" s="19"/>
      <c r="S137" s="19"/>
      <c r="T137" s="19"/>
      <c r="U137" s="19"/>
      <c r="V137" s="19">
        <f t="shared" si="159"/>
        <v>25</v>
      </c>
      <c r="W137" s="19"/>
      <c r="X137" s="19"/>
      <c r="Y137" s="21"/>
      <c r="Z137" s="19" t="s">
        <v>381</v>
      </c>
      <c r="AA137" s="19"/>
      <c r="AB137" s="19"/>
      <c r="AC137" s="19"/>
      <c r="AD137" s="19"/>
      <c r="AE137" s="19" t="s">
        <v>382</v>
      </c>
      <c r="AF137" s="19">
        <f t="shared" si="161"/>
        <v>13</v>
      </c>
      <c r="AG137" s="19" t="s">
        <v>327</v>
      </c>
      <c r="AH137" s="19"/>
      <c r="AI137" s="19">
        <f t="shared" si="162"/>
        <v>53</v>
      </c>
      <c r="AJ137" s="19"/>
      <c r="AK137" s="19" t="s">
        <v>325</v>
      </c>
      <c r="AL137" s="19"/>
      <c r="AM137" s="19" t="str">
        <f t="shared" ref="AM137" si="178">_xlfn.CONCAT(N137&amp;V137&amp;Z137&amp;AE137&amp;AF137&amp;AG137&amp;AE137&amp;AI137&amp;AK137)</f>
        <v xml:space="preserve"> Workbooks("Ukraine_sponsorship_data_25.ods").Worksheets("Scotland").Range("D13:D53").Copy _</v>
      </c>
      <c r="AO137" t="s">
        <v>747</v>
      </c>
    </row>
    <row r="138" spans="2:41" x14ac:dyDescent="0.25">
      <c r="B138" s="19" t="s">
        <v>808</v>
      </c>
      <c r="C138" s="19"/>
      <c r="D138" s="19"/>
      <c r="E138" s="19"/>
      <c r="F138" s="19"/>
      <c r="G138" s="19"/>
      <c r="H138" s="19"/>
      <c r="I138" s="19"/>
      <c r="J138" s="19"/>
      <c r="K138" s="19"/>
      <c r="L138" s="19"/>
      <c r="M138" s="19"/>
      <c r="N138" s="19" t="s">
        <v>809</v>
      </c>
      <c r="O138" s="19"/>
      <c r="P138" s="19"/>
      <c r="Q138" s="19"/>
      <c r="R138" s="19"/>
      <c r="S138" s="19"/>
      <c r="T138" s="19"/>
      <c r="U138" s="19"/>
      <c r="V138" s="19"/>
      <c r="W138" s="19" t="s">
        <v>312</v>
      </c>
      <c r="X138" s="19" t="str">
        <f t="shared" ref="X138" si="179">CHAR(CODE(X133)+1)</f>
        <v>F</v>
      </c>
      <c r="Y138" s="21">
        <f t="shared" si="165"/>
        <v>174</v>
      </c>
      <c r="Z138" s="19" t="s">
        <v>324</v>
      </c>
      <c r="AA138" s="19"/>
      <c r="AB138" s="19"/>
      <c r="AC138" s="19"/>
      <c r="AD138" s="19"/>
      <c r="AE138" s="19"/>
      <c r="AF138" s="19"/>
      <c r="AG138" s="19"/>
      <c r="AH138" s="19"/>
      <c r="AI138" s="19"/>
      <c r="AJ138" s="19"/>
      <c r="AK138" s="19"/>
      <c r="AL138" s="19"/>
      <c r="AM138" s="19" t="str">
        <f t="shared" ref="AM138" si="180">_xlfn.CONCAT(N138&amp;W138&amp;X138&amp;Y138&amp;Z138)</f>
        <v>Workbooks("HFU Forecast UTLA 1.0.xlsm").Worksheets("Combined data").Range("AF174")</v>
      </c>
      <c r="AO138" t="s">
        <v>980</v>
      </c>
    </row>
    <row r="139" spans="2:41" x14ac:dyDescent="0.25">
      <c r="B139" s="19" t="s">
        <v>339</v>
      </c>
      <c r="C139" s="19"/>
      <c r="D139" s="19"/>
      <c r="E139" s="19"/>
      <c r="F139" s="19"/>
      <c r="G139" s="19"/>
      <c r="H139" s="19"/>
      <c r="I139" s="19"/>
      <c r="J139" s="19"/>
      <c r="K139" s="19"/>
      <c r="L139" s="19"/>
      <c r="M139" s="19"/>
      <c r="N139" s="19"/>
      <c r="O139" s="19"/>
      <c r="P139" s="19"/>
      <c r="Q139" s="19"/>
      <c r="R139" s="19"/>
      <c r="S139" s="19"/>
      <c r="T139" s="19"/>
      <c r="U139" s="19"/>
      <c r="V139" s="19"/>
      <c r="W139" s="19"/>
      <c r="X139" s="19"/>
      <c r="Y139" s="21"/>
      <c r="Z139" s="19"/>
      <c r="AA139" s="19"/>
      <c r="AB139" s="19"/>
      <c r="AC139" s="19"/>
      <c r="AD139" s="19"/>
      <c r="AE139" s="19"/>
      <c r="AF139" s="19"/>
      <c r="AG139" s="19"/>
      <c r="AH139" s="19"/>
      <c r="AI139" s="19"/>
      <c r="AJ139" s="19"/>
      <c r="AK139" s="19"/>
      <c r="AL139" s="19"/>
      <c r="AM139" s="19" t="str">
        <f t="shared" ref="AM139" si="181">B139</f>
        <v>ActiveWorkbook.Close SaveChanges:=False</v>
      </c>
      <c r="AO139" t="s">
        <v>339</v>
      </c>
    </row>
    <row r="141" spans="2:41" x14ac:dyDescent="0.25">
      <c r="B141" s="22" t="s">
        <v>316</v>
      </c>
      <c r="C141" s="22"/>
      <c r="D141" s="22"/>
      <c r="E141" s="22"/>
      <c r="F141" s="22"/>
      <c r="G141" s="22"/>
      <c r="H141" s="22"/>
      <c r="I141" s="22"/>
      <c r="J141" s="22"/>
      <c r="K141" s="22"/>
      <c r="L141" s="22"/>
      <c r="M141" s="22"/>
      <c r="N141" s="22" t="s">
        <v>321</v>
      </c>
      <c r="O141" s="22"/>
      <c r="P141" s="22"/>
      <c r="Q141" s="22"/>
      <c r="R141" s="22"/>
      <c r="S141" s="22"/>
      <c r="T141" s="22"/>
      <c r="U141" s="22"/>
      <c r="V141" s="22">
        <f t="shared" si="168"/>
        <v>26</v>
      </c>
      <c r="W141" s="22"/>
      <c r="X141" s="22"/>
      <c r="Y141" s="23"/>
      <c r="Z141" s="22" t="s">
        <v>322</v>
      </c>
      <c r="AA141" s="22"/>
      <c r="AB141" s="22"/>
      <c r="AC141" s="22"/>
      <c r="AD141" s="22"/>
      <c r="AE141" s="22"/>
      <c r="AF141" s="22"/>
      <c r="AG141" s="22"/>
      <c r="AH141" s="22"/>
      <c r="AI141" s="22"/>
      <c r="AJ141" s="22"/>
      <c r="AK141" s="22"/>
      <c r="AL141" s="22"/>
      <c r="AM141" s="22" t="str">
        <f t="shared" ref="AM141" si="182">+_xlfn.CONCAT(N141&amp;V141&amp;Z141)</f>
        <v xml:space="preserve"> Workbooks.Open "A:\Homes for Ukraine data\Ukraine_sponsorship_data_26.ods"</v>
      </c>
      <c r="AO141" t="s">
        <v>727</v>
      </c>
    </row>
    <row r="142" spans="2:41" x14ac:dyDescent="0.25">
      <c r="B142" s="22" t="s">
        <v>380</v>
      </c>
      <c r="C142" s="22"/>
      <c r="D142" s="22"/>
      <c r="E142" s="22"/>
      <c r="F142" s="22"/>
      <c r="G142" s="22"/>
      <c r="H142" s="22"/>
      <c r="I142" s="22"/>
      <c r="J142" s="22"/>
      <c r="K142" s="22"/>
      <c r="L142" s="22"/>
      <c r="M142" s="22"/>
      <c r="N142" s="22" t="s">
        <v>323</v>
      </c>
      <c r="O142" s="22"/>
      <c r="P142" s="22"/>
      <c r="Q142" s="22"/>
      <c r="R142" s="22"/>
      <c r="S142" s="22"/>
      <c r="T142" s="22"/>
      <c r="U142" s="22"/>
      <c r="V142" s="22">
        <f t="shared" si="168"/>
        <v>26</v>
      </c>
      <c r="W142" s="22"/>
      <c r="X142" s="22"/>
      <c r="Y142" s="23"/>
      <c r="Z142" s="22" t="s">
        <v>381</v>
      </c>
      <c r="AA142" s="22"/>
      <c r="AB142" s="22"/>
      <c r="AC142" s="22"/>
      <c r="AD142" s="22"/>
      <c r="AE142" s="22" t="s">
        <v>382</v>
      </c>
      <c r="AF142" s="22">
        <f t="shared" si="170"/>
        <v>13</v>
      </c>
      <c r="AG142" s="22" t="s">
        <v>327</v>
      </c>
      <c r="AH142" s="22"/>
      <c r="AI142" s="22">
        <f t="shared" si="171"/>
        <v>53</v>
      </c>
      <c r="AJ142" s="22"/>
      <c r="AK142" s="22" t="s">
        <v>325</v>
      </c>
      <c r="AL142" s="22"/>
      <c r="AM142" s="22" t="str">
        <f t="shared" ref="AM142" si="183">_xlfn.CONCAT(N142&amp;V142&amp;Z142&amp;AE142&amp;AF142&amp;AG142&amp;AE142&amp;AI142&amp;AK142)</f>
        <v xml:space="preserve"> Workbooks("Ukraine_sponsorship_data_26.ods").Worksheets("Scotland").Range("D13:D53").Copy _</v>
      </c>
      <c r="AO142" t="s">
        <v>748</v>
      </c>
    </row>
    <row r="143" spans="2:41" x14ac:dyDescent="0.25">
      <c r="B143" s="22" t="s">
        <v>808</v>
      </c>
      <c r="C143" s="22"/>
      <c r="D143" s="22"/>
      <c r="E143" s="22"/>
      <c r="F143" s="22"/>
      <c r="G143" s="22"/>
      <c r="H143" s="22"/>
      <c r="I143" s="22"/>
      <c r="J143" s="22"/>
      <c r="K143" s="22"/>
      <c r="L143" s="22"/>
      <c r="M143" s="22"/>
      <c r="N143" s="22" t="s">
        <v>809</v>
      </c>
      <c r="O143" s="22"/>
      <c r="P143" s="22"/>
      <c r="Q143" s="22"/>
      <c r="R143" s="22"/>
      <c r="S143" s="22"/>
      <c r="T143" s="22"/>
      <c r="U143" s="22"/>
      <c r="V143" s="22"/>
      <c r="W143" s="22" t="s">
        <v>312</v>
      </c>
      <c r="X143" s="22" t="str">
        <f t="shared" ref="X143" si="184">CHAR(CODE(X138)+1)</f>
        <v>G</v>
      </c>
      <c r="Y143" s="23">
        <f t="shared" si="174"/>
        <v>174</v>
      </c>
      <c r="Z143" s="22" t="s">
        <v>324</v>
      </c>
      <c r="AA143" s="22"/>
      <c r="AB143" s="22"/>
      <c r="AC143" s="22"/>
      <c r="AD143" s="22"/>
      <c r="AE143" s="22"/>
      <c r="AF143" s="22"/>
      <c r="AG143" s="22"/>
      <c r="AH143" s="22"/>
      <c r="AI143" s="22"/>
      <c r="AJ143" s="22"/>
      <c r="AK143" s="22"/>
      <c r="AL143" s="22"/>
      <c r="AM143" s="22" t="str">
        <f t="shared" ref="AM143" si="185">_xlfn.CONCAT(N143&amp;W143&amp;X143&amp;Y143&amp;Z143)</f>
        <v>Workbooks("HFU Forecast UTLA 1.0.xlsm").Worksheets("Combined data").Range("AG174")</v>
      </c>
      <c r="AO143" t="s">
        <v>981</v>
      </c>
    </row>
    <row r="144" spans="2:41" x14ac:dyDescent="0.25">
      <c r="B144" s="22" t="s">
        <v>339</v>
      </c>
      <c r="C144" s="22"/>
      <c r="D144" s="22"/>
      <c r="E144" s="22"/>
      <c r="F144" s="22"/>
      <c r="G144" s="22"/>
      <c r="H144" s="22"/>
      <c r="I144" s="22"/>
      <c r="J144" s="22"/>
      <c r="K144" s="22"/>
      <c r="L144" s="22"/>
      <c r="M144" s="22"/>
      <c r="N144" s="22"/>
      <c r="O144" s="22"/>
      <c r="P144" s="22"/>
      <c r="Q144" s="22"/>
      <c r="R144" s="22"/>
      <c r="S144" s="22"/>
      <c r="T144" s="22"/>
      <c r="U144" s="22"/>
      <c r="V144" s="22"/>
      <c r="W144" s="22"/>
      <c r="X144" s="22"/>
      <c r="Y144" s="23"/>
      <c r="Z144" s="22"/>
      <c r="AA144" s="22"/>
      <c r="AB144" s="22"/>
      <c r="AC144" s="22"/>
      <c r="AD144" s="22"/>
      <c r="AE144" s="22"/>
      <c r="AF144" s="22"/>
      <c r="AG144" s="22"/>
      <c r="AH144" s="22"/>
      <c r="AI144" s="22"/>
      <c r="AJ144" s="22"/>
      <c r="AK144" s="22"/>
      <c r="AL144" s="22"/>
      <c r="AM144" s="22" t="str">
        <f t="shared" ref="AM144" si="186">B144</f>
        <v>ActiveWorkbook.Close SaveChanges:=False</v>
      </c>
      <c r="AO144" t="s">
        <v>339</v>
      </c>
    </row>
    <row r="146" spans="2:41" x14ac:dyDescent="0.25">
      <c r="B146" s="19" t="s">
        <v>316</v>
      </c>
      <c r="C146" s="19"/>
      <c r="D146" s="19"/>
      <c r="E146" s="19"/>
      <c r="F146" s="19"/>
      <c r="G146" s="19"/>
      <c r="H146" s="19"/>
      <c r="I146" s="19"/>
      <c r="J146" s="19"/>
      <c r="K146" s="19"/>
      <c r="L146" s="19"/>
      <c r="M146" s="19"/>
      <c r="N146" s="19" t="s">
        <v>321</v>
      </c>
      <c r="O146" s="19"/>
      <c r="P146" s="19"/>
      <c r="Q146" s="19"/>
      <c r="R146" s="19"/>
      <c r="S146" s="19"/>
      <c r="T146" s="19"/>
      <c r="U146" s="19"/>
      <c r="V146" s="19">
        <f t="shared" si="159"/>
        <v>27</v>
      </c>
      <c r="W146" s="19"/>
      <c r="X146" s="19"/>
      <c r="Y146" s="21"/>
      <c r="Z146" s="19" t="s">
        <v>322</v>
      </c>
      <c r="AA146" s="19"/>
      <c r="AB146" s="19"/>
      <c r="AC146" s="19"/>
      <c r="AD146" s="19"/>
      <c r="AE146" s="19"/>
      <c r="AF146" s="19"/>
      <c r="AG146" s="19"/>
      <c r="AH146" s="19"/>
      <c r="AI146" s="19"/>
      <c r="AJ146" s="19"/>
      <c r="AK146" s="19"/>
      <c r="AL146" s="19"/>
      <c r="AM146" s="19" t="str">
        <f t="shared" ref="AM146" si="187">+_xlfn.CONCAT(N146&amp;V146&amp;Z146)</f>
        <v xml:space="preserve"> Workbooks.Open "A:\Homes for Ukraine data\Ukraine_sponsorship_data_27.ods"</v>
      </c>
      <c r="AO146" t="s">
        <v>729</v>
      </c>
    </row>
    <row r="147" spans="2:41" x14ac:dyDescent="0.25">
      <c r="B147" s="19" t="s">
        <v>380</v>
      </c>
      <c r="C147" s="19"/>
      <c r="D147" s="19"/>
      <c r="E147" s="19"/>
      <c r="F147" s="19"/>
      <c r="G147" s="19"/>
      <c r="H147" s="19"/>
      <c r="I147" s="19"/>
      <c r="J147" s="19"/>
      <c r="K147" s="19"/>
      <c r="L147" s="19"/>
      <c r="M147" s="19"/>
      <c r="N147" s="19" t="s">
        <v>323</v>
      </c>
      <c r="O147" s="19"/>
      <c r="P147" s="19"/>
      <c r="Q147" s="19"/>
      <c r="R147" s="19"/>
      <c r="S147" s="19"/>
      <c r="T147" s="19"/>
      <c r="U147" s="19"/>
      <c r="V147" s="19">
        <f t="shared" si="159"/>
        <v>27</v>
      </c>
      <c r="W147" s="19"/>
      <c r="X147" s="19"/>
      <c r="Y147" s="21"/>
      <c r="Z147" s="19" t="s">
        <v>381</v>
      </c>
      <c r="AA147" s="19"/>
      <c r="AB147" s="19"/>
      <c r="AC147" s="19"/>
      <c r="AD147" s="19"/>
      <c r="AE147" s="19" t="s">
        <v>382</v>
      </c>
      <c r="AF147" s="19">
        <f t="shared" si="161"/>
        <v>13</v>
      </c>
      <c r="AG147" s="19" t="s">
        <v>327</v>
      </c>
      <c r="AH147" s="19"/>
      <c r="AI147" s="19">
        <f t="shared" si="162"/>
        <v>53</v>
      </c>
      <c r="AJ147" s="19"/>
      <c r="AK147" s="19" t="s">
        <v>325</v>
      </c>
      <c r="AL147" s="19"/>
      <c r="AM147" s="19" t="str">
        <f t="shared" ref="AM147" si="188">_xlfn.CONCAT(N147&amp;V147&amp;Z147&amp;AE147&amp;AF147&amp;AG147&amp;AE147&amp;AI147&amp;AK147)</f>
        <v xml:space="preserve"> Workbooks("Ukraine_sponsorship_data_27.ods").Worksheets("Scotland").Range("D13:D53").Copy _</v>
      </c>
      <c r="AO147" t="s">
        <v>749</v>
      </c>
    </row>
    <row r="148" spans="2:41" x14ac:dyDescent="0.25">
      <c r="B148" s="19" t="s">
        <v>808</v>
      </c>
      <c r="C148" s="19"/>
      <c r="D148" s="19"/>
      <c r="E148" s="19"/>
      <c r="F148" s="19"/>
      <c r="G148" s="19"/>
      <c r="H148" s="19"/>
      <c r="I148" s="19"/>
      <c r="J148" s="19"/>
      <c r="K148" s="19"/>
      <c r="L148" s="19"/>
      <c r="M148" s="19"/>
      <c r="N148" s="19" t="s">
        <v>809</v>
      </c>
      <c r="O148" s="19"/>
      <c r="P148" s="19"/>
      <c r="Q148" s="19"/>
      <c r="R148" s="19"/>
      <c r="S148" s="19"/>
      <c r="T148" s="19"/>
      <c r="U148" s="19"/>
      <c r="V148" s="19"/>
      <c r="W148" s="19" t="s">
        <v>312</v>
      </c>
      <c r="X148" s="19" t="str">
        <f t="shared" ref="X148" si="189">CHAR(CODE(X143)+1)</f>
        <v>H</v>
      </c>
      <c r="Y148" s="21">
        <f t="shared" si="165"/>
        <v>174</v>
      </c>
      <c r="Z148" s="19" t="s">
        <v>324</v>
      </c>
      <c r="AA148" s="19"/>
      <c r="AB148" s="19"/>
      <c r="AC148" s="19"/>
      <c r="AD148" s="19"/>
      <c r="AE148" s="19"/>
      <c r="AF148" s="19"/>
      <c r="AG148" s="19"/>
      <c r="AH148" s="19"/>
      <c r="AI148" s="19"/>
      <c r="AJ148" s="19"/>
      <c r="AK148" s="19"/>
      <c r="AL148" s="19"/>
      <c r="AM148" s="19" t="str">
        <f t="shared" ref="AM148" si="190">_xlfn.CONCAT(N148&amp;W148&amp;X148&amp;Y148&amp;Z148)</f>
        <v>Workbooks("HFU Forecast UTLA 1.0.xlsm").Worksheets("Combined data").Range("AH174")</v>
      </c>
      <c r="AO148" t="s">
        <v>982</v>
      </c>
    </row>
    <row r="149" spans="2:41" x14ac:dyDescent="0.25">
      <c r="B149" s="19" t="s">
        <v>339</v>
      </c>
      <c r="C149" s="19"/>
      <c r="D149" s="19"/>
      <c r="E149" s="19"/>
      <c r="F149" s="19"/>
      <c r="G149" s="19"/>
      <c r="H149" s="19"/>
      <c r="I149" s="19"/>
      <c r="J149" s="19"/>
      <c r="K149" s="19"/>
      <c r="L149" s="19"/>
      <c r="M149" s="19"/>
      <c r="N149" s="19"/>
      <c r="O149" s="19"/>
      <c r="P149" s="19"/>
      <c r="Q149" s="19"/>
      <c r="R149" s="19"/>
      <c r="S149" s="19"/>
      <c r="T149" s="19"/>
      <c r="U149" s="19"/>
      <c r="V149" s="19"/>
      <c r="W149" s="19"/>
      <c r="X149" s="19"/>
      <c r="Y149" s="21"/>
      <c r="Z149" s="19"/>
      <c r="AA149" s="19"/>
      <c r="AB149" s="19"/>
      <c r="AC149" s="19"/>
      <c r="AD149" s="19"/>
      <c r="AE149" s="19"/>
      <c r="AF149" s="19"/>
      <c r="AG149" s="19"/>
      <c r="AH149" s="19"/>
      <c r="AI149" s="19"/>
      <c r="AJ149" s="19"/>
      <c r="AK149" s="19"/>
      <c r="AL149" s="19"/>
      <c r="AM149" s="19" t="str">
        <f t="shared" ref="AM149" si="191">B149</f>
        <v>ActiveWorkbook.Close SaveChanges:=False</v>
      </c>
      <c r="AO149" t="s">
        <v>339</v>
      </c>
    </row>
    <row r="151" spans="2:41" x14ac:dyDescent="0.25">
      <c r="B151" s="22" t="s">
        <v>316</v>
      </c>
      <c r="C151" s="22"/>
      <c r="D151" s="22"/>
      <c r="E151" s="22"/>
      <c r="F151" s="22"/>
      <c r="G151" s="22"/>
      <c r="H151" s="22"/>
      <c r="I151" s="22"/>
      <c r="J151" s="22"/>
      <c r="K151" s="22"/>
      <c r="L151" s="22"/>
      <c r="M151" s="22"/>
      <c r="N151" s="22" t="s">
        <v>321</v>
      </c>
      <c r="O151" s="22"/>
      <c r="P151" s="22"/>
      <c r="Q151" s="22"/>
      <c r="R151" s="22"/>
      <c r="S151" s="22"/>
      <c r="T151" s="22"/>
      <c r="U151" s="22"/>
      <c r="V151" s="22">
        <f t="shared" si="168"/>
        <v>28</v>
      </c>
      <c r="W151" s="22"/>
      <c r="X151" s="22"/>
      <c r="Y151" s="23"/>
      <c r="Z151" s="22" t="s">
        <v>322</v>
      </c>
      <c r="AA151" s="22"/>
      <c r="AB151" s="22"/>
      <c r="AC151" s="22"/>
      <c r="AD151" s="22"/>
      <c r="AE151" s="22"/>
      <c r="AF151" s="22"/>
      <c r="AG151" s="22"/>
      <c r="AH151" s="22"/>
      <c r="AI151" s="22"/>
      <c r="AJ151" s="22"/>
      <c r="AK151" s="22"/>
      <c r="AL151" s="22"/>
      <c r="AM151" s="22" t="str">
        <f t="shared" ref="AM151" si="192">+_xlfn.CONCAT(N151&amp;V151&amp;Z151)</f>
        <v xml:space="preserve"> Workbooks.Open "A:\Homes for Ukraine data\Ukraine_sponsorship_data_28.ods"</v>
      </c>
      <c r="AO151" t="s">
        <v>731</v>
      </c>
    </row>
    <row r="152" spans="2:41" x14ac:dyDescent="0.25">
      <c r="B152" s="22" t="s">
        <v>380</v>
      </c>
      <c r="C152" s="22"/>
      <c r="D152" s="22"/>
      <c r="E152" s="22"/>
      <c r="F152" s="22"/>
      <c r="G152" s="22"/>
      <c r="H152" s="22"/>
      <c r="I152" s="22"/>
      <c r="J152" s="22"/>
      <c r="K152" s="22"/>
      <c r="L152" s="22"/>
      <c r="M152" s="22"/>
      <c r="N152" s="22" t="s">
        <v>323</v>
      </c>
      <c r="O152" s="22"/>
      <c r="P152" s="22"/>
      <c r="Q152" s="22"/>
      <c r="R152" s="22"/>
      <c r="S152" s="22"/>
      <c r="T152" s="22"/>
      <c r="U152" s="22"/>
      <c r="V152" s="22">
        <f t="shared" si="168"/>
        <v>28</v>
      </c>
      <c r="W152" s="22"/>
      <c r="X152" s="22"/>
      <c r="Y152" s="23"/>
      <c r="Z152" s="22" t="s">
        <v>381</v>
      </c>
      <c r="AA152" s="22"/>
      <c r="AB152" s="22"/>
      <c r="AC152" s="22"/>
      <c r="AD152" s="22"/>
      <c r="AE152" s="22" t="s">
        <v>382</v>
      </c>
      <c r="AF152" s="22">
        <f t="shared" si="170"/>
        <v>13</v>
      </c>
      <c r="AG152" s="22" t="s">
        <v>327</v>
      </c>
      <c r="AH152" s="22"/>
      <c r="AI152" s="22">
        <f t="shared" si="171"/>
        <v>53</v>
      </c>
      <c r="AJ152" s="22"/>
      <c r="AK152" s="22" t="s">
        <v>325</v>
      </c>
      <c r="AL152" s="22"/>
      <c r="AM152" s="22" t="str">
        <f t="shared" ref="AM152" si="193">_xlfn.CONCAT(N152&amp;V152&amp;Z152&amp;AE152&amp;AF152&amp;AG152&amp;AE152&amp;AI152&amp;AK152)</f>
        <v xml:space="preserve"> Workbooks("Ukraine_sponsorship_data_28.ods").Worksheets("Scotland").Range("D13:D53").Copy _</v>
      </c>
      <c r="AO152" t="s">
        <v>750</v>
      </c>
    </row>
    <row r="153" spans="2:41" x14ac:dyDescent="0.25">
      <c r="B153" s="22" t="s">
        <v>808</v>
      </c>
      <c r="C153" s="22"/>
      <c r="D153" s="22"/>
      <c r="E153" s="22"/>
      <c r="F153" s="22"/>
      <c r="G153" s="22"/>
      <c r="H153" s="22"/>
      <c r="I153" s="22"/>
      <c r="J153" s="22"/>
      <c r="K153" s="22"/>
      <c r="L153" s="22"/>
      <c r="M153" s="22"/>
      <c r="N153" s="22" t="s">
        <v>809</v>
      </c>
      <c r="O153" s="22"/>
      <c r="P153" s="22"/>
      <c r="Q153" s="22"/>
      <c r="R153" s="22"/>
      <c r="S153" s="22"/>
      <c r="T153" s="22"/>
      <c r="U153" s="22"/>
      <c r="V153" s="22"/>
      <c r="W153" s="22" t="s">
        <v>312</v>
      </c>
      <c r="X153" s="22" t="str">
        <f t="shared" ref="X153" si="194">CHAR(CODE(X148)+1)</f>
        <v>I</v>
      </c>
      <c r="Y153" s="23">
        <f t="shared" si="174"/>
        <v>174</v>
      </c>
      <c r="Z153" s="22" t="s">
        <v>324</v>
      </c>
      <c r="AA153" s="22"/>
      <c r="AB153" s="22"/>
      <c r="AC153" s="22"/>
      <c r="AD153" s="22"/>
      <c r="AE153" s="22"/>
      <c r="AF153" s="22"/>
      <c r="AG153" s="22"/>
      <c r="AH153" s="22"/>
      <c r="AI153" s="22"/>
      <c r="AJ153" s="22"/>
      <c r="AK153" s="22"/>
      <c r="AL153" s="22"/>
      <c r="AM153" s="22" t="str">
        <f t="shared" ref="AM153" si="195">_xlfn.CONCAT(N153&amp;W153&amp;X153&amp;Y153&amp;Z153)</f>
        <v>Workbooks("HFU Forecast UTLA 1.0.xlsm").Worksheets("Combined data").Range("AI174")</v>
      </c>
      <c r="AO153" t="s">
        <v>983</v>
      </c>
    </row>
    <row r="154" spans="2:41" x14ac:dyDescent="0.25">
      <c r="B154" s="22" t="s">
        <v>339</v>
      </c>
      <c r="C154" s="22"/>
      <c r="D154" s="22"/>
      <c r="E154" s="22"/>
      <c r="F154" s="22"/>
      <c r="G154" s="22"/>
      <c r="H154" s="22"/>
      <c r="I154" s="22"/>
      <c r="J154" s="22"/>
      <c r="K154" s="22"/>
      <c r="L154" s="22"/>
      <c r="M154" s="22"/>
      <c r="N154" s="22"/>
      <c r="O154" s="22"/>
      <c r="P154" s="22"/>
      <c r="Q154" s="22"/>
      <c r="R154" s="22"/>
      <c r="S154" s="22"/>
      <c r="T154" s="22"/>
      <c r="U154" s="22"/>
      <c r="V154" s="22"/>
      <c r="W154" s="22"/>
      <c r="X154" s="22"/>
      <c r="Y154" s="23"/>
      <c r="Z154" s="22"/>
      <c r="AA154" s="22"/>
      <c r="AB154" s="22"/>
      <c r="AC154" s="22"/>
      <c r="AD154" s="22"/>
      <c r="AE154" s="22"/>
      <c r="AF154" s="22"/>
      <c r="AG154" s="22"/>
      <c r="AH154" s="22"/>
      <c r="AI154" s="22"/>
      <c r="AJ154" s="22"/>
      <c r="AK154" s="22"/>
      <c r="AL154" s="22"/>
      <c r="AM154" s="22" t="str">
        <f t="shared" ref="AM154" si="196">B154</f>
        <v>ActiveWorkbook.Close SaveChanges:=False</v>
      </c>
      <c r="AO154" t="s">
        <v>339</v>
      </c>
    </row>
    <row r="156" spans="2:41" x14ac:dyDescent="0.25">
      <c r="B156" s="19" t="s">
        <v>316</v>
      </c>
      <c r="C156" s="19"/>
      <c r="D156" s="19"/>
      <c r="E156" s="19"/>
      <c r="F156" s="19"/>
      <c r="G156" s="19"/>
      <c r="H156" s="19"/>
      <c r="I156" s="19"/>
      <c r="J156" s="19"/>
      <c r="K156" s="19"/>
      <c r="L156" s="19"/>
      <c r="M156" s="19"/>
      <c r="N156" s="19" t="s">
        <v>321</v>
      </c>
      <c r="O156" s="19"/>
      <c r="P156" s="19"/>
      <c r="Q156" s="19"/>
      <c r="R156" s="19"/>
      <c r="S156" s="19"/>
      <c r="T156" s="19"/>
      <c r="U156" s="19"/>
      <c r="V156" s="19">
        <f t="shared" si="159"/>
        <v>29</v>
      </c>
      <c r="W156" s="19"/>
      <c r="X156" s="19"/>
      <c r="Y156" s="21"/>
      <c r="Z156" s="19" t="s">
        <v>322</v>
      </c>
      <c r="AA156" s="19"/>
      <c r="AB156" s="19"/>
      <c r="AC156" s="19"/>
      <c r="AD156" s="19"/>
      <c r="AE156" s="19"/>
      <c r="AF156" s="19"/>
      <c r="AG156" s="19"/>
      <c r="AH156" s="19"/>
      <c r="AI156" s="19"/>
      <c r="AJ156" s="19"/>
      <c r="AK156" s="19"/>
      <c r="AL156" s="19"/>
      <c r="AM156" s="19" t="str">
        <f t="shared" ref="AM156" si="197">+_xlfn.CONCAT(N156&amp;V156&amp;Z156)</f>
        <v xml:space="preserve"> Workbooks.Open "A:\Homes for Ukraine data\Ukraine_sponsorship_data_29.ods"</v>
      </c>
      <c r="AO156" t="s">
        <v>733</v>
      </c>
    </row>
    <row r="157" spans="2:41" x14ac:dyDescent="0.25">
      <c r="B157" s="19" t="s">
        <v>380</v>
      </c>
      <c r="C157" s="19"/>
      <c r="D157" s="19"/>
      <c r="E157" s="19"/>
      <c r="F157" s="19"/>
      <c r="G157" s="19"/>
      <c r="H157" s="19"/>
      <c r="I157" s="19"/>
      <c r="J157" s="19"/>
      <c r="K157" s="19"/>
      <c r="L157" s="19"/>
      <c r="M157" s="19"/>
      <c r="N157" s="19" t="s">
        <v>323</v>
      </c>
      <c r="O157" s="19"/>
      <c r="P157" s="19"/>
      <c r="Q157" s="19"/>
      <c r="R157" s="19"/>
      <c r="S157" s="19"/>
      <c r="T157" s="19"/>
      <c r="U157" s="19"/>
      <c r="V157" s="19">
        <f t="shared" si="159"/>
        <v>29</v>
      </c>
      <c r="W157" s="19"/>
      <c r="X157" s="19"/>
      <c r="Y157" s="21"/>
      <c r="Z157" s="19" t="s">
        <v>381</v>
      </c>
      <c r="AA157" s="19"/>
      <c r="AB157" s="19"/>
      <c r="AC157" s="19"/>
      <c r="AD157" s="19"/>
      <c r="AE157" s="19" t="s">
        <v>382</v>
      </c>
      <c r="AF157" s="19">
        <f t="shared" si="161"/>
        <v>13</v>
      </c>
      <c r="AG157" s="19" t="s">
        <v>327</v>
      </c>
      <c r="AH157" s="19"/>
      <c r="AI157" s="19">
        <f t="shared" si="162"/>
        <v>53</v>
      </c>
      <c r="AJ157" s="19"/>
      <c r="AK157" s="19" t="s">
        <v>325</v>
      </c>
      <c r="AL157" s="19"/>
      <c r="AM157" s="19" t="str">
        <f t="shared" ref="AM157" si="198">_xlfn.CONCAT(N157&amp;V157&amp;Z157&amp;AE157&amp;AF157&amp;AG157&amp;AE157&amp;AI157&amp;AK157)</f>
        <v xml:space="preserve"> Workbooks("Ukraine_sponsorship_data_29.ods").Worksheets("Scotland").Range("D13:D53").Copy _</v>
      </c>
      <c r="AO157" t="s">
        <v>751</v>
      </c>
    </row>
    <row r="158" spans="2:41" x14ac:dyDescent="0.25">
      <c r="B158" s="19" t="s">
        <v>808</v>
      </c>
      <c r="C158" s="19"/>
      <c r="D158" s="19"/>
      <c r="E158" s="19"/>
      <c r="F158" s="19"/>
      <c r="G158" s="19"/>
      <c r="H158" s="19"/>
      <c r="I158" s="19"/>
      <c r="J158" s="19"/>
      <c r="K158" s="19"/>
      <c r="L158" s="19"/>
      <c r="M158" s="19"/>
      <c r="N158" s="19" t="s">
        <v>809</v>
      </c>
      <c r="O158" s="19"/>
      <c r="P158" s="19"/>
      <c r="Q158" s="19"/>
      <c r="R158" s="19"/>
      <c r="S158" s="19"/>
      <c r="T158" s="19"/>
      <c r="U158" s="19"/>
      <c r="V158" s="19"/>
      <c r="W158" s="19" t="s">
        <v>312</v>
      </c>
      <c r="X158" s="19" t="str">
        <f t="shared" ref="X158" si="199">CHAR(CODE(X153)+1)</f>
        <v>J</v>
      </c>
      <c r="Y158" s="21">
        <f t="shared" si="165"/>
        <v>174</v>
      </c>
      <c r="Z158" s="19" t="s">
        <v>324</v>
      </c>
      <c r="AA158" s="19"/>
      <c r="AB158" s="19"/>
      <c r="AC158" s="19"/>
      <c r="AD158" s="19"/>
      <c r="AE158" s="19"/>
      <c r="AF158" s="19"/>
      <c r="AG158" s="19"/>
      <c r="AH158" s="19"/>
      <c r="AI158" s="19"/>
      <c r="AJ158" s="19"/>
      <c r="AK158" s="19"/>
      <c r="AL158" s="19"/>
      <c r="AM158" s="19" t="str">
        <f t="shared" ref="AM158" si="200">_xlfn.CONCAT(N158&amp;W158&amp;X158&amp;Y158&amp;Z158)</f>
        <v>Workbooks("HFU Forecast UTLA 1.0.xlsm").Worksheets("Combined data").Range("AJ174")</v>
      </c>
      <c r="AO158" t="s">
        <v>984</v>
      </c>
    </row>
    <row r="159" spans="2:41" x14ac:dyDescent="0.25">
      <c r="B159" s="19" t="s">
        <v>339</v>
      </c>
      <c r="C159" s="19"/>
      <c r="D159" s="19"/>
      <c r="E159" s="19"/>
      <c r="F159" s="19"/>
      <c r="G159" s="19"/>
      <c r="H159" s="19"/>
      <c r="I159" s="19"/>
      <c r="J159" s="19"/>
      <c r="K159" s="19"/>
      <c r="L159" s="19"/>
      <c r="M159" s="19"/>
      <c r="N159" s="19"/>
      <c r="O159" s="19"/>
      <c r="P159" s="19"/>
      <c r="Q159" s="19"/>
      <c r="R159" s="19"/>
      <c r="S159" s="19"/>
      <c r="T159" s="19"/>
      <c r="U159" s="19"/>
      <c r="V159" s="19"/>
      <c r="W159" s="19"/>
      <c r="X159" s="19"/>
      <c r="Y159" s="21"/>
      <c r="Z159" s="19"/>
      <c r="AA159" s="19"/>
      <c r="AB159" s="19"/>
      <c r="AC159" s="19"/>
      <c r="AD159" s="19"/>
      <c r="AE159" s="19"/>
      <c r="AF159" s="19"/>
      <c r="AG159" s="19"/>
      <c r="AH159" s="19"/>
      <c r="AI159" s="19"/>
      <c r="AJ159" s="19"/>
      <c r="AK159" s="19"/>
      <c r="AL159" s="19"/>
      <c r="AM159" s="19" t="str">
        <f t="shared" ref="AM159" si="201">B159</f>
        <v>ActiveWorkbook.Close SaveChanges:=False</v>
      </c>
      <c r="AO159" t="s">
        <v>339</v>
      </c>
    </row>
    <row r="161" spans="2:41" x14ac:dyDescent="0.25">
      <c r="B161" s="22" t="s">
        <v>316</v>
      </c>
      <c r="C161" s="22"/>
      <c r="D161" s="22"/>
      <c r="E161" s="22"/>
      <c r="F161" s="22"/>
      <c r="G161" s="22"/>
      <c r="H161" s="22"/>
      <c r="I161" s="22"/>
      <c r="J161" s="22"/>
      <c r="K161" s="22"/>
      <c r="L161" s="22"/>
      <c r="M161" s="22"/>
      <c r="N161" s="22" t="s">
        <v>321</v>
      </c>
      <c r="O161" s="22"/>
      <c r="P161" s="22"/>
      <c r="Q161" s="22"/>
      <c r="R161" s="22"/>
      <c r="S161" s="22"/>
      <c r="T161" s="22"/>
      <c r="U161" s="22"/>
      <c r="V161" s="22">
        <f t="shared" si="168"/>
        <v>30</v>
      </c>
      <c r="W161" s="22"/>
      <c r="X161" s="22"/>
      <c r="Y161" s="23"/>
      <c r="Z161" s="22" t="s">
        <v>322</v>
      </c>
      <c r="AA161" s="22"/>
      <c r="AB161" s="22"/>
      <c r="AC161" s="22"/>
      <c r="AD161" s="22"/>
      <c r="AE161" s="22"/>
      <c r="AF161" s="22"/>
      <c r="AG161" s="22"/>
      <c r="AH161" s="22"/>
      <c r="AI161" s="22"/>
      <c r="AJ161" s="22"/>
      <c r="AK161" s="22"/>
      <c r="AL161" s="22"/>
      <c r="AM161" s="22" t="str">
        <f t="shared" ref="AM161" si="202">+_xlfn.CONCAT(N161&amp;V161&amp;Z161)</f>
        <v xml:space="preserve"> Workbooks.Open "A:\Homes for Ukraine data\Ukraine_sponsorship_data_30.ods"</v>
      </c>
      <c r="AO161" t="s">
        <v>735</v>
      </c>
    </row>
    <row r="162" spans="2:41" x14ac:dyDescent="0.25">
      <c r="B162" s="22" t="s">
        <v>380</v>
      </c>
      <c r="C162" s="22"/>
      <c r="D162" s="22"/>
      <c r="E162" s="22"/>
      <c r="F162" s="22"/>
      <c r="G162" s="22"/>
      <c r="H162" s="22"/>
      <c r="I162" s="22"/>
      <c r="J162" s="22"/>
      <c r="K162" s="22"/>
      <c r="L162" s="22"/>
      <c r="M162" s="22"/>
      <c r="N162" s="22" t="s">
        <v>323</v>
      </c>
      <c r="O162" s="22"/>
      <c r="P162" s="22"/>
      <c r="Q162" s="22"/>
      <c r="R162" s="22"/>
      <c r="S162" s="22"/>
      <c r="T162" s="22"/>
      <c r="U162" s="22"/>
      <c r="V162" s="22">
        <f t="shared" si="168"/>
        <v>30</v>
      </c>
      <c r="W162" s="22"/>
      <c r="X162" s="22"/>
      <c r="Y162" s="23"/>
      <c r="Z162" s="22" t="s">
        <v>381</v>
      </c>
      <c r="AA162" s="22"/>
      <c r="AB162" s="22"/>
      <c r="AC162" s="22"/>
      <c r="AD162" s="22"/>
      <c r="AE162" s="22" t="s">
        <v>382</v>
      </c>
      <c r="AF162" s="22">
        <f t="shared" si="170"/>
        <v>13</v>
      </c>
      <c r="AG162" s="22" t="s">
        <v>327</v>
      </c>
      <c r="AH162" s="22"/>
      <c r="AI162" s="22">
        <f t="shared" si="171"/>
        <v>53</v>
      </c>
      <c r="AJ162" s="22"/>
      <c r="AK162" s="22" t="s">
        <v>325</v>
      </c>
      <c r="AL162" s="22"/>
      <c r="AM162" s="22" t="str">
        <f t="shared" ref="AM162" si="203">_xlfn.CONCAT(N162&amp;V162&amp;Z162&amp;AE162&amp;AF162&amp;AG162&amp;AE162&amp;AI162&amp;AK162)</f>
        <v xml:space="preserve"> Workbooks("Ukraine_sponsorship_data_30.ods").Worksheets("Scotland").Range("D13:D53").Copy _</v>
      </c>
      <c r="AO162" t="s">
        <v>752</v>
      </c>
    </row>
    <row r="163" spans="2:41" x14ac:dyDescent="0.25">
      <c r="B163" s="22" t="s">
        <v>808</v>
      </c>
      <c r="C163" s="22"/>
      <c r="D163" s="22"/>
      <c r="E163" s="22"/>
      <c r="F163" s="22"/>
      <c r="G163" s="22"/>
      <c r="H163" s="22"/>
      <c r="I163" s="22"/>
      <c r="J163" s="22"/>
      <c r="K163" s="22"/>
      <c r="L163" s="22"/>
      <c r="M163" s="22"/>
      <c r="N163" s="22" t="s">
        <v>809</v>
      </c>
      <c r="O163" s="22"/>
      <c r="P163" s="22"/>
      <c r="Q163" s="22"/>
      <c r="R163" s="22"/>
      <c r="S163" s="22"/>
      <c r="T163" s="22"/>
      <c r="U163" s="22"/>
      <c r="V163" s="22"/>
      <c r="W163" s="22" t="s">
        <v>312</v>
      </c>
      <c r="X163" s="22" t="str">
        <f t="shared" ref="X163" si="204">CHAR(CODE(X158)+1)</f>
        <v>K</v>
      </c>
      <c r="Y163" s="23">
        <f t="shared" si="174"/>
        <v>174</v>
      </c>
      <c r="Z163" s="22" t="s">
        <v>324</v>
      </c>
      <c r="AA163" s="22"/>
      <c r="AB163" s="22"/>
      <c r="AC163" s="22"/>
      <c r="AD163" s="22"/>
      <c r="AE163" s="22"/>
      <c r="AF163" s="22"/>
      <c r="AG163" s="22"/>
      <c r="AH163" s="22"/>
      <c r="AI163" s="22"/>
      <c r="AJ163" s="22"/>
      <c r="AK163" s="22"/>
      <c r="AL163" s="22"/>
      <c r="AM163" s="22" t="str">
        <f t="shared" ref="AM163" si="205">_xlfn.CONCAT(N163&amp;W163&amp;X163&amp;Y163&amp;Z163)</f>
        <v>Workbooks("HFU Forecast UTLA 1.0.xlsm").Worksheets("Combined data").Range("AK174")</v>
      </c>
      <c r="AO163" t="s">
        <v>985</v>
      </c>
    </row>
    <row r="164" spans="2:41" x14ac:dyDescent="0.25">
      <c r="B164" s="22" t="s">
        <v>339</v>
      </c>
      <c r="C164" s="22"/>
      <c r="D164" s="22"/>
      <c r="E164" s="22"/>
      <c r="F164" s="22"/>
      <c r="G164" s="22"/>
      <c r="H164" s="22"/>
      <c r="I164" s="22"/>
      <c r="J164" s="22"/>
      <c r="K164" s="22"/>
      <c r="L164" s="22"/>
      <c r="M164" s="22"/>
      <c r="N164" s="22"/>
      <c r="O164" s="22"/>
      <c r="P164" s="22"/>
      <c r="Q164" s="22"/>
      <c r="R164" s="22"/>
      <c r="S164" s="22"/>
      <c r="T164" s="22"/>
      <c r="U164" s="22"/>
      <c r="V164" s="22"/>
      <c r="W164" s="22"/>
      <c r="X164" s="22"/>
      <c r="Y164" s="23"/>
      <c r="Z164" s="22"/>
      <c r="AA164" s="22"/>
      <c r="AB164" s="22"/>
      <c r="AC164" s="22"/>
      <c r="AD164" s="22"/>
      <c r="AE164" s="22"/>
      <c r="AF164" s="22"/>
      <c r="AG164" s="22"/>
      <c r="AH164" s="22"/>
      <c r="AI164" s="22"/>
      <c r="AJ164" s="22"/>
      <c r="AK164" s="22"/>
      <c r="AL164" s="22"/>
      <c r="AM164" s="22" t="str">
        <f t="shared" ref="AM164" si="206">B164</f>
        <v>ActiveWorkbook.Close SaveChanges:=False</v>
      </c>
      <c r="AO164" t="s">
        <v>339</v>
      </c>
    </row>
    <row r="166" spans="2:41" x14ac:dyDescent="0.25">
      <c r="B166" s="19" t="s">
        <v>316</v>
      </c>
      <c r="C166" s="19"/>
      <c r="D166" s="19"/>
      <c r="E166" s="19"/>
      <c r="F166" s="19"/>
      <c r="G166" s="19"/>
      <c r="H166" s="19"/>
      <c r="I166" s="19"/>
      <c r="J166" s="19"/>
      <c r="K166" s="19"/>
      <c r="L166" s="19"/>
      <c r="M166" s="19"/>
      <c r="N166" s="19" t="s">
        <v>321</v>
      </c>
      <c r="O166" s="19"/>
      <c r="P166" s="19"/>
      <c r="Q166" s="19"/>
      <c r="R166" s="19"/>
      <c r="S166" s="19"/>
      <c r="T166" s="19"/>
      <c r="U166" s="19"/>
      <c r="V166" s="19">
        <f t="shared" si="159"/>
        <v>31</v>
      </c>
      <c r="W166" s="19"/>
      <c r="X166" s="19"/>
      <c r="Y166" s="21"/>
      <c r="Z166" s="19" t="s">
        <v>322</v>
      </c>
      <c r="AA166" s="19"/>
      <c r="AB166" s="19"/>
      <c r="AC166" s="19"/>
      <c r="AD166" s="19"/>
      <c r="AE166" s="19"/>
      <c r="AF166" s="19"/>
      <c r="AG166" s="19"/>
      <c r="AH166" s="19"/>
      <c r="AI166" s="19"/>
      <c r="AJ166" s="19"/>
      <c r="AK166" s="19"/>
      <c r="AL166" s="19"/>
      <c r="AM166" s="19" t="str">
        <f t="shared" ref="AM166" si="207">+_xlfn.CONCAT(N166&amp;V166&amp;Z166)</f>
        <v xml:space="preserve"> Workbooks.Open "A:\Homes for Ukraine data\Ukraine_sponsorship_data_31.ods"</v>
      </c>
      <c r="AO166" t="s">
        <v>737</v>
      </c>
    </row>
    <row r="167" spans="2:41" x14ac:dyDescent="0.25">
      <c r="B167" s="19" t="s">
        <v>380</v>
      </c>
      <c r="C167" s="19"/>
      <c r="D167" s="19"/>
      <c r="E167" s="19"/>
      <c r="F167" s="19"/>
      <c r="G167" s="19"/>
      <c r="H167" s="19"/>
      <c r="I167" s="19"/>
      <c r="J167" s="19"/>
      <c r="K167" s="19"/>
      <c r="L167" s="19"/>
      <c r="M167" s="19"/>
      <c r="N167" s="19" t="s">
        <v>323</v>
      </c>
      <c r="O167" s="19"/>
      <c r="P167" s="19"/>
      <c r="Q167" s="19"/>
      <c r="R167" s="19"/>
      <c r="S167" s="19"/>
      <c r="T167" s="19"/>
      <c r="U167" s="19"/>
      <c r="V167" s="19">
        <f t="shared" si="159"/>
        <v>31</v>
      </c>
      <c r="W167" s="19"/>
      <c r="X167" s="19"/>
      <c r="Y167" s="21"/>
      <c r="Z167" s="19" t="s">
        <v>381</v>
      </c>
      <c r="AA167" s="19"/>
      <c r="AB167" s="19"/>
      <c r="AC167" s="19"/>
      <c r="AD167" s="19"/>
      <c r="AE167" s="19" t="s">
        <v>382</v>
      </c>
      <c r="AF167" s="19">
        <f t="shared" si="161"/>
        <v>13</v>
      </c>
      <c r="AG167" s="19" t="s">
        <v>327</v>
      </c>
      <c r="AH167" s="19"/>
      <c r="AI167" s="19">
        <f t="shared" si="162"/>
        <v>53</v>
      </c>
      <c r="AJ167" s="19"/>
      <c r="AK167" s="19" t="s">
        <v>325</v>
      </c>
      <c r="AL167" s="19"/>
      <c r="AM167" s="19" t="str">
        <f t="shared" ref="AM167" si="208">_xlfn.CONCAT(N167&amp;V167&amp;Z167&amp;AE167&amp;AF167&amp;AG167&amp;AE167&amp;AI167&amp;AK167)</f>
        <v xml:space="preserve"> Workbooks("Ukraine_sponsorship_data_31.ods").Worksheets("Scotland").Range("D13:D53").Copy _</v>
      </c>
      <c r="AO167" t="s">
        <v>753</v>
      </c>
    </row>
    <row r="168" spans="2:41" x14ac:dyDescent="0.25">
      <c r="B168" s="19" t="s">
        <v>808</v>
      </c>
      <c r="C168" s="19"/>
      <c r="D168" s="19"/>
      <c r="E168" s="19"/>
      <c r="F168" s="19"/>
      <c r="G168" s="19"/>
      <c r="H168" s="19"/>
      <c r="I168" s="19"/>
      <c r="J168" s="19"/>
      <c r="K168" s="19"/>
      <c r="L168" s="19"/>
      <c r="M168" s="19"/>
      <c r="N168" s="19" t="s">
        <v>809</v>
      </c>
      <c r="O168" s="19"/>
      <c r="P168" s="19"/>
      <c r="Q168" s="19"/>
      <c r="R168" s="19"/>
      <c r="S168" s="19"/>
      <c r="T168" s="19"/>
      <c r="U168" s="19"/>
      <c r="V168" s="19"/>
      <c r="W168" s="19" t="s">
        <v>312</v>
      </c>
      <c r="X168" s="19" t="str">
        <f t="shared" ref="X168" si="209">CHAR(CODE(X163)+1)</f>
        <v>L</v>
      </c>
      <c r="Y168" s="21">
        <f t="shared" si="165"/>
        <v>174</v>
      </c>
      <c r="Z168" s="19" t="s">
        <v>324</v>
      </c>
      <c r="AA168" s="19"/>
      <c r="AB168" s="19"/>
      <c r="AC168" s="19"/>
      <c r="AD168" s="19"/>
      <c r="AE168" s="19"/>
      <c r="AF168" s="19"/>
      <c r="AG168" s="19"/>
      <c r="AH168" s="19"/>
      <c r="AI168" s="19"/>
      <c r="AJ168" s="19"/>
      <c r="AK168" s="19"/>
      <c r="AL168" s="19"/>
      <c r="AM168" s="19" t="str">
        <f t="shared" ref="AM168" si="210">_xlfn.CONCAT(N168&amp;W168&amp;X168&amp;Y168&amp;Z168)</f>
        <v>Workbooks("HFU Forecast UTLA 1.0.xlsm").Worksheets("Combined data").Range("AL174")</v>
      </c>
      <c r="AO168" t="s">
        <v>1021</v>
      </c>
    </row>
    <row r="169" spans="2:41" x14ac:dyDescent="0.25">
      <c r="B169" s="19" t="s">
        <v>339</v>
      </c>
      <c r="C169" s="19"/>
      <c r="D169" s="19"/>
      <c r="E169" s="19"/>
      <c r="F169" s="19"/>
      <c r="G169" s="19"/>
      <c r="H169" s="19"/>
      <c r="I169" s="19"/>
      <c r="J169" s="19"/>
      <c r="K169" s="19"/>
      <c r="L169" s="19"/>
      <c r="M169" s="19"/>
      <c r="N169" s="19"/>
      <c r="O169" s="19"/>
      <c r="P169" s="19"/>
      <c r="Q169" s="19"/>
      <c r="R169" s="19"/>
      <c r="S169" s="19"/>
      <c r="T169" s="19"/>
      <c r="U169" s="19"/>
      <c r="V169" s="19"/>
      <c r="W169" s="19"/>
      <c r="X169" s="19"/>
      <c r="Y169" s="21"/>
      <c r="Z169" s="19"/>
      <c r="AA169" s="19"/>
      <c r="AB169" s="19"/>
      <c r="AC169" s="19"/>
      <c r="AD169" s="19"/>
      <c r="AE169" s="19"/>
      <c r="AF169" s="19"/>
      <c r="AG169" s="19"/>
      <c r="AH169" s="19"/>
      <c r="AI169" s="19"/>
      <c r="AJ169" s="19"/>
      <c r="AK169" s="19"/>
      <c r="AL169" s="19"/>
      <c r="AM169" s="19" t="str">
        <f t="shared" ref="AM169" si="211">B169</f>
        <v>ActiveWorkbook.Close SaveChanges:=False</v>
      </c>
      <c r="AO169" t="s">
        <v>339</v>
      </c>
    </row>
    <row r="171" spans="2:41" x14ac:dyDescent="0.25">
      <c r="B171" s="22" t="s">
        <v>316</v>
      </c>
      <c r="C171" s="22"/>
      <c r="D171" s="22"/>
      <c r="E171" s="22"/>
      <c r="F171" s="22"/>
      <c r="G171" s="22"/>
      <c r="H171" s="22"/>
      <c r="I171" s="22"/>
      <c r="J171" s="22"/>
      <c r="K171" s="22"/>
      <c r="L171" s="22"/>
      <c r="M171" s="22"/>
      <c r="N171" s="22" t="s">
        <v>321</v>
      </c>
      <c r="O171" s="22"/>
      <c r="P171" s="22"/>
      <c r="Q171" s="22"/>
      <c r="R171" s="22"/>
      <c r="S171" s="22"/>
      <c r="T171" s="22"/>
      <c r="U171" s="22"/>
      <c r="V171" s="22">
        <f t="shared" si="168"/>
        <v>32</v>
      </c>
      <c r="W171" s="22"/>
      <c r="X171" s="22"/>
      <c r="Y171" s="23"/>
      <c r="Z171" s="22" t="s">
        <v>322</v>
      </c>
      <c r="AA171" s="22"/>
      <c r="AB171" s="22"/>
      <c r="AC171" s="22"/>
      <c r="AD171" s="22"/>
      <c r="AE171" s="22"/>
      <c r="AF171" s="22"/>
      <c r="AG171" s="22"/>
      <c r="AH171" s="22"/>
      <c r="AI171" s="22"/>
      <c r="AJ171" s="22"/>
      <c r="AK171" s="22"/>
      <c r="AL171" s="22"/>
      <c r="AM171" s="22" t="str">
        <f t="shared" ref="AM171" si="212">+_xlfn.CONCAT(N171&amp;V171&amp;Z171)</f>
        <v xml:space="preserve"> Workbooks.Open "A:\Homes for Ukraine data\Ukraine_sponsorship_data_32.ods"</v>
      </c>
      <c r="AO171" t="s">
        <v>739</v>
      </c>
    </row>
    <row r="172" spans="2:41" x14ac:dyDescent="0.25">
      <c r="B172" s="22" t="s">
        <v>380</v>
      </c>
      <c r="C172" s="22"/>
      <c r="D172" s="22"/>
      <c r="E172" s="22"/>
      <c r="F172" s="22"/>
      <c r="G172" s="22"/>
      <c r="H172" s="22"/>
      <c r="I172" s="22"/>
      <c r="J172" s="22"/>
      <c r="K172" s="22"/>
      <c r="L172" s="22"/>
      <c r="M172" s="22"/>
      <c r="N172" s="22" t="s">
        <v>323</v>
      </c>
      <c r="O172" s="22"/>
      <c r="P172" s="22"/>
      <c r="Q172" s="22"/>
      <c r="R172" s="22"/>
      <c r="S172" s="22"/>
      <c r="T172" s="22"/>
      <c r="U172" s="22"/>
      <c r="V172" s="22">
        <f t="shared" si="168"/>
        <v>32</v>
      </c>
      <c r="W172" s="22"/>
      <c r="X172" s="22"/>
      <c r="Y172" s="23"/>
      <c r="Z172" s="22" t="s">
        <v>381</v>
      </c>
      <c r="AA172" s="22"/>
      <c r="AB172" s="22"/>
      <c r="AC172" s="22"/>
      <c r="AD172" s="22"/>
      <c r="AE172" s="22" t="s">
        <v>382</v>
      </c>
      <c r="AF172" s="22">
        <f t="shared" si="170"/>
        <v>13</v>
      </c>
      <c r="AG172" s="22" t="s">
        <v>327</v>
      </c>
      <c r="AH172" s="22"/>
      <c r="AI172" s="22">
        <f t="shared" si="171"/>
        <v>53</v>
      </c>
      <c r="AJ172" s="22"/>
      <c r="AK172" s="22" t="s">
        <v>325</v>
      </c>
      <c r="AL172" s="22"/>
      <c r="AM172" s="22" t="str">
        <f t="shared" ref="AM172" si="213">_xlfn.CONCAT(N172&amp;V172&amp;Z172&amp;AE172&amp;AF172&amp;AG172&amp;AE172&amp;AI172&amp;AK172)</f>
        <v xml:space="preserve"> Workbooks("Ukraine_sponsorship_data_32.ods").Worksheets("Scotland").Range("D13:D53").Copy _</v>
      </c>
      <c r="AO172" t="s">
        <v>754</v>
      </c>
    </row>
    <row r="173" spans="2:41" x14ac:dyDescent="0.25">
      <c r="B173" s="22" t="s">
        <v>808</v>
      </c>
      <c r="C173" s="22"/>
      <c r="D173" s="22"/>
      <c r="E173" s="22"/>
      <c r="F173" s="22"/>
      <c r="G173" s="22"/>
      <c r="H173" s="22"/>
      <c r="I173" s="22"/>
      <c r="J173" s="22"/>
      <c r="K173" s="22"/>
      <c r="L173" s="22"/>
      <c r="M173" s="22"/>
      <c r="N173" s="22" t="s">
        <v>809</v>
      </c>
      <c r="O173" s="22"/>
      <c r="P173" s="22"/>
      <c r="Q173" s="22"/>
      <c r="R173" s="22"/>
      <c r="S173" s="22"/>
      <c r="T173" s="22"/>
      <c r="U173" s="22"/>
      <c r="V173" s="22"/>
      <c r="W173" s="22" t="s">
        <v>312</v>
      </c>
      <c r="X173" s="22" t="str">
        <f t="shared" ref="X173" si="214">CHAR(CODE(X168)+1)</f>
        <v>M</v>
      </c>
      <c r="Y173" s="23">
        <f t="shared" si="174"/>
        <v>174</v>
      </c>
      <c r="Z173" s="22" t="s">
        <v>324</v>
      </c>
      <c r="AA173" s="22"/>
      <c r="AB173" s="22"/>
      <c r="AC173" s="22"/>
      <c r="AD173" s="22"/>
      <c r="AE173" s="22"/>
      <c r="AF173" s="22"/>
      <c r="AG173" s="22"/>
      <c r="AH173" s="22"/>
      <c r="AI173" s="22"/>
      <c r="AJ173" s="22"/>
      <c r="AK173" s="22"/>
      <c r="AL173" s="22"/>
      <c r="AM173" s="22" t="str">
        <f t="shared" ref="AM173" si="215">_xlfn.CONCAT(N173&amp;W173&amp;X173&amp;Y173&amp;Z173)</f>
        <v>Workbooks("HFU Forecast UTLA 1.0.xlsm").Worksheets("Combined data").Range("AM174")</v>
      </c>
      <c r="AO173" t="s">
        <v>1022</v>
      </c>
    </row>
    <row r="174" spans="2:41" x14ac:dyDescent="0.25">
      <c r="B174" s="22" t="s">
        <v>339</v>
      </c>
      <c r="C174" s="22"/>
      <c r="D174" s="22"/>
      <c r="E174" s="22"/>
      <c r="F174" s="22"/>
      <c r="G174" s="22"/>
      <c r="H174" s="22"/>
      <c r="I174" s="22"/>
      <c r="J174" s="22"/>
      <c r="K174" s="22"/>
      <c r="L174" s="22"/>
      <c r="M174" s="22"/>
      <c r="N174" s="22"/>
      <c r="O174" s="22"/>
      <c r="P174" s="22"/>
      <c r="Q174" s="22"/>
      <c r="R174" s="22"/>
      <c r="S174" s="22"/>
      <c r="T174" s="22"/>
      <c r="U174" s="22"/>
      <c r="V174" s="22"/>
      <c r="W174" s="22"/>
      <c r="X174" s="22"/>
      <c r="Y174" s="23"/>
      <c r="Z174" s="22"/>
      <c r="AA174" s="22"/>
      <c r="AB174" s="22"/>
      <c r="AC174" s="22"/>
      <c r="AD174" s="22"/>
      <c r="AE174" s="22"/>
      <c r="AF174" s="22"/>
      <c r="AG174" s="22"/>
      <c r="AH174" s="22"/>
      <c r="AI174" s="22"/>
      <c r="AJ174" s="22"/>
      <c r="AK174" s="22"/>
      <c r="AL174" s="22"/>
      <c r="AM174" s="22" t="str">
        <f t="shared" ref="AM174" si="216">B174</f>
        <v>ActiveWorkbook.Close SaveChanges:=False</v>
      </c>
      <c r="AO174" t="s">
        <v>339</v>
      </c>
    </row>
    <row r="176" spans="2:41" x14ac:dyDescent="0.25">
      <c r="B176" s="19" t="s">
        <v>316</v>
      </c>
      <c r="C176" s="19"/>
      <c r="D176" s="19"/>
      <c r="E176" s="19"/>
      <c r="F176" s="19"/>
      <c r="G176" s="19"/>
      <c r="H176" s="19"/>
      <c r="I176" s="19"/>
      <c r="J176" s="19"/>
      <c r="K176" s="19"/>
      <c r="L176" s="19"/>
      <c r="M176" s="19"/>
      <c r="N176" s="19" t="s">
        <v>321</v>
      </c>
      <c r="O176" s="19"/>
      <c r="P176" s="19"/>
      <c r="Q176" s="19"/>
      <c r="R176" s="19"/>
      <c r="S176" s="19"/>
      <c r="T176" s="19"/>
      <c r="U176" s="19"/>
      <c r="V176" s="19">
        <f t="shared" si="159"/>
        <v>33</v>
      </c>
      <c r="W176" s="19"/>
      <c r="X176" s="19"/>
      <c r="Y176" s="21"/>
      <c r="Z176" s="19" t="s">
        <v>322</v>
      </c>
      <c r="AA176" s="19"/>
      <c r="AB176" s="19"/>
      <c r="AC176" s="19"/>
      <c r="AD176" s="19"/>
      <c r="AE176" s="19"/>
      <c r="AF176" s="19"/>
      <c r="AG176" s="19"/>
      <c r="AH176" s="19"/>
      <c r="AI176" s="19"/>
      <c r="AJ176" s="19"/>
      <c r="AK176" s="19"/>
      <c r="AL176" s="19"/>
      <c r="AM176" s="19" t="str">
        <f t="shared" ref="AM176" si="217">+_xlfn.CONCAT(N176&amp;V176&amp;Z176)</f>
        <v xml:space="preserve"> Workbooks.Open "A:\Homes for Ukraine data\Ukraine_sponsorship_data_33.ods"</v>
      </c>
      <c r="AO176" t="s">
        <v>741</v>
      </c>
    </row>
    <row r="177" spans="2:41" x14ac:dyDescent="0.25">
      <c r="B177" s="19" t="s">
        <v>380</v>
      </c>
      <c r="C177" s="19"/>
      <c r="D177" s="19"/>
      <c r="E177" s="19"/>
      <c r="F177" s="19"/>
      <c r="G177" s="19"/>
      <c r="H177" s="19"/>
      <c r="I177" s="19"/>
      <c r="J177" s="19"/>
      <c r="K177" s="19"/>
      <c r="L177" s="19"/>
      <c r="M177" s="19"/>
      <c r="N177" s="19" t="s">
        <v>323</v>
      </c>
      <c r="O177" s="19"/>
      <c r="P177" s="19"/>
      <c r="Q177" s="19"/>
      <c r="R177" s="19"/>
      <c r="S177" s="19"/>
      <c r="T177" s="19"/>
      <c r="U177" s="19"/>
      <c r="V177" s="19">
        <f t="shared" si="159"/>
        <v>33</v>
      </c>
      <c r="W177" s="19"/>
      <c r="X177" s="19"/>
      <c r="Y177" s="21"/>
      <c r="Z177" s="19" t="s">
        <v>381</v>
      </c>
      <c r="AA177" s="19"/>
      <c r="AB177" s="19"/>
      <c r="AC177" s="19"/>
      <c r="AD177" s="19"/>
      <c r="AE177" s="19" t="s">
        <v>382</v>
      </c>
      <c r="AF177" s="19">
        <f t="shared" si="161"/>
        <v>13</v>
      </c>
      <c r="AG177" s="19" t="s">
        <v>327</v>
      </c>
      <c r="AH177" s="19"/>
      <c r="AI177" s="19">
        <f t="shared" si="162"/>
        <v>53</v>
      </c>
      <c r="AJ177" s="19"/>
      <c r="AK177" s="19" t="s">
        <v>325</v>
      </c>
      <c r="AL177" s="19"/>
      <c r="AM177" s="19" t="str">
        <f t="shared" ref="AM177" si="218">_xlfn.CONCAT(N177&amp;V177&amp;Z177&amp;AE177&amp;AF177&amp;AG177&amp;AE177&amp;AI177&amp;AK177)</f>
        <v xml:space="preserve"> Workbooks("Ukraine_sponsorship_data_33.ods").Worksheets("Scotland").Range("D13:D53").Copy _</v>
      </c>
      <c r="AO177" t="s">
        <v>755</v>
      </c>
    </row>
    <row r="178" spans="2:41" x14ac:dyDescent="0.25">
      <c r="B178" s="19" t="s">
        <v>808</v>
      </c>
      <c r="C178" s="19"/>
      <c r="D178" s="19"/>
      <c r="E178" s="19"/>
      <c r="F178" s="19"/>
      <c r="G178" s="19"/>
      <c r="H178" s="19"/>
      <c r="I178" s="19"/>
      <c r="J178" s="19"/>
      <c r="K178" s="19"/>
      <c r="L178" s="19"/>
      <c r="M178" s="19"/>
      <c r="N178" s="19" t="s">
        <v>809</v>
      </c>
      <c r="O178" s="19"/>
      <c r="P178" s="19"/>
      <c r="Q178" s="19"/>
      <c r="R178" s="19"/>
      <c r="S178" s="19"/>
      <c r="T178" s="19"/>
      <c r="U178" s="19"/>
      <c r="V178" s="19"/>
      <c r="W178" s="19" t="s">
        <v>312</v>
      </c>
      <c r="X178" s="19" t="str">
        <f t="shared" ref="X178" si="219">CHAR(CODE(X173)+1)</f>
        <v>N</v>
      </c>
      <c r="Y178" s="21">
        <f t="shared" si="165"/>
        <v>174</v>
      </c>
      <c r="Z178" s="19" t="s">
        <v>324</v>
      </c>
      <c r="AA178" s="19"/>
      <c r="AB178" s="19"/>
      <c r="AC178" s="19"/>
      <c r="AD178" s="19"/>
      <c r="AE178" s="19"/>
      <c r="AF178" s="19"/>
      <c r="AG178" s="19"/>
      <c r="AH178" s="19"/>
      <c r="AI178" s="19"/>
      <c r="AJ178" s="19"/>
      <c r="AK178" s="19"/>
      <c r="AL178" s="19"/>
      <c r="AM178" s="19" t="str">
        <f t="shared" ref="AM178" si="220">_xlfn.CONCAT(N178&amp;W178&amp;X178&amp;Y178&amp;Z178)</f>
        <v>Workbooks("HFU Forecast UTLA 1.0.xlsm").Worksheets("Combined data").Range("AN174")</v>
      </c>
      <c r="AO178" t="s">
        <v>1023</v>
      </c>
    </row>
    <row r="179" spans="2:41" x14ac:dyDescent="0.25">
      <c r="B179" s="19" t="s">
        <v>339</v>
      </c>
      <c r="C179" s="19"/>
      <c r="D179" s="19"/>
      <c r="E179" s="19"/>
      <c r="F179" s="19"/>
      <c r="G179" s="19"/>
      <c r="H179" s="19"/>
      <c r="I179" s="19"/>
      <c r="J179" s="19"/>
      <c r="K179" s="19"/>
      <c r="L179" s="19"/>
      <c r="M179" s="19"/>
      <c r="N179" s="19"/>
      <c r="O179" s="19"/>
      <c r="P179" s="19"/>
      <c r="Q179" s="19"/>
      <c r="R179" s="19"/>
      <c r="S179" s="19"/>
      <c r="T179" s="19"/>
      <c r="U179" s="19"/>
      <c r="V179" s="19"/>
      <c r="W179" s="19"/>
      <c r="X179" s="19"/>
      <c r="Y179" s="21"/>
      <c r="Z179" s="19"/>
      <c r="AA179" s="19"/>
      <c r="AB179" s="19"/>
      <c r="AC179" s="19"/>
      <c r="AD179" s="19"/>
      <c r="AE179" s="19"/>
      <c r="AF179" s="19"/>
      <c r="AG179" s="19"/>
      <c r="AH179" s="19"/>
      <c r="AI179" s="19"/>
      <c r="AJ179" s="19"/>
      <c r="AK179" s="19"/>
      <c r="AL179" s="19"/>
      <c r="AM179" s="19" t="str">
        <f t="shared" ref="AM179" si="221">B179</f>
        <v>ActiveWorkbook.Close SaveChanges:=False</v>
      </c>
      <c r="AO179" t="s">
        <v>339</v>
      </c>
    </row>
    <row r="181" spans="2:41" x14ac:dyDescent="0.25">
      <c r="B181" s="22" t="s">
        <v>316</v>
      </c>
      <c r="C181" s="22"/>
      <c r="D181" s="22"/>
      <c r="E181" s="22"/>
      <c r="F181" s="22"/>
      <c r="G181" s="22"/>
      <c r="H181" s="22"/>
      <c r="I181" s="22"/>
      <c r="J181" s="22"/>
      <c r="K181" s="22"/>
      <c r="L181" s="22"/>
      <c r="M181" s="22"/>
      <c r="N181" s="22" t="s">
        <v>321</v>
      </c>
      <c r="O181" s="22"/>
      <c r="P181" s="22"/>
      <c r="Q181" s="22"/>
      <c r="R181" s="22"/>
      <c r="S181" s="22"/>
      <c r="T181" s="22"/>
      <c r="U181" s="22"/>
      <c r="V181" s="22">
        <f t="shared" si="168"/>
        <v>34</v>
      </c>
      <c r="W181" s="22"/>
      <c r="X181" s="22"/>
      <c r="Y181" s="23"/>
      <c r="Z181" s="22" t="s">
        <v>322</v>
      </c>
      <c r="AA181" s="22"/>
      <c r="AB181" s="22"/>
      <c r="AC181" s="22"/>
      <c r="AD181" s="22"/>
      <c r="AE181" s="22"/>
      <c r="AF181" s="22"/>
      <c r="AG181" s="22"/>
      <c r="AH181" s="22"/>
      <c r="AI181" s="22"/>
      <c r="AJ181" s="22"/>
      <c r="AK181" s="22"/>
      <c r="AL181" s="22"/>
      <c r="AM181" s="22" t="str">
        <f t="shared" ref="AM181" si="222">+_xlfn.CONCAT(N181&amp;V181&amp;Z181)</f>
        <v xml:space="preserve"> Workbooks.Open "A:\Homes for Ukraine data\Ukraine_sponsorship_data_34.ods"</v>
      </c>
      <c r="AO181" t="s">
        <v>743</v>
      </c>
    </row>
    <row r="182" spans="2:41" x14ac:dyDescent="0.25">
      <c r="B182" s="22" t="s">
        <v>380</v>
      </c>
      <c r="C182" s="22"/>
      <c r="D182" s="22"/>
      <c r="E182" s="22"/>
      <c r="F182" s="22"/>
      <c r="G182" s="22"/>
      <c r="H182" s="22"/>
      <c r="I182" s="22"/>
      <c r="J182" s="22"/>
      <c r="K182" s="22"/>
      <c r="L182" s="22"/>
      <c r="M182" s="22"/>
      <c r="N182" s="22" t="s">
        <v>323</v>
      </c>
      <c r="O182" s="22"/>
      <c r="P182" s="22"/>
      <c r="Q182" s="22"/>
      <c r="R182" s="22"/>
      <c r="S182" s="22"/>
      <c r="T182" s="22"/>
      <c r="U182" s="22"/>
      <c r="V182" s="22">
        <f t="shared" si="168"/>
        <v>34</v>
      </c>
      <c r="W182" s="22"/>
      <c r="X182" s="22"/>
      <c r="Y182" s="23"/>
      <c r="Z182" s="22" t="s">
        <v>381</v>
      </c>
      <c r="AA182" s="22"/>
      <c r="AB182" s="22"/>
      <c r="AC182" s="22"/>
      <c r="AD182" s="22"/>
      <c r="AE182" s="22" t="s">
        <v>382</v>
      </c>
      <c r="AF182" s="22">
        <f t="shared" si="170"/>
        <v>13</v>
      </c>
      <c r="AG182" s="22" t="s">
        <v>327</v>
      </c>
      <c r="AH182" s="22"/>
      <c r="AI182" s="22">
        <f t="shared" si="171"/>
        <v>53</v>
      </c>
      <c r="AJ182" s="22"/>
      <c r="AK182" s="22" t="s">
        <v>325</v>
      </c>
      <c r="AL182" s="22"/>
      <c r="AM182" s="22" t="str">
        <f t="shared" ref="AM182" si="223">_xlfn.CONCAT(N182&amp;V182&amp;Z182&amp;AE182&amp;AF182&amp;AG182&amp;AE182&amp;AI182&amp;AK182)</f>
        <v xml:space="preserve"> Workbooks("Ukraine_sponsorship_data_34.ods").Worksheets("Scotland").Range("D13:D53").Copy _</v>
      </c>
      <c r="AO182" t="s">
        <v>756</v>
      </c>
    </row>
    <row r="183" spans="2:41" x14ac:dyDescent="0.25">
      <c r="B183" s="22" t="s">
        <v>808</v>
      </c>
      <c r="C183" s="22"/>
      <c r="D183" s="22"/>
      <c r="E183" s="22"/>
      <c r="F183" s="22"/>
      <c r="G183" s="22"/>
      <c r="H183" s="22"/>
      <c r="I183" s="22"/>
      <c r="J183" s="22"/>
      <c r="K183" s="22"/>
      <c r="L183" s="22"/>
      <c r="M183" s="22"/>
      <c r="N183" s="22" t="s">
        <v>809</v>
      </c>
      <c r="O183" s="22"/>
      <c r="P183" s="22"/>
      <c r="Q183" s="22"/>
      <c r="R183" s="22"/>
      <c r="S183" s="22"/>
      <c r="T183" s="22"/>
      <c r="U183" s="22"/>
      <c r="V183" s="22"/>
      <c r="W183" s="22" t="s">
        <v>312</v>
      </c>
      <c r="X183" s="22" t="str">
        <f t="shared" ref="X183" si="224">CHAR(CODE(X178)+1)</f>
        <v>O</v>
      </c>
      <c r="Y183" s="23">
        <f t="shared" si="174"/>
        <v>174</v>
      </c>
      <c r="Z183" s="22" t="s">
        <v>324</v>
      </c>
      <c r="AA183" s="22"/>
      <c r="AB183" s="22"/>
      <c r="AC183" s="22"/>
      <c r="AD183" s="22"/>
      <c r="AE183" s="22"/>
      <c r="AF183" s="22"/>
      <c r="AG183" s="22"/>
      <c r="AH183" s="22"/>
      <c r="AI183" s="22"/>
      <c r="AJ183" s="22"/>
      <c r="AK183" s="22"/>
      <c r="AL183" s="22"/>
      <c r="AM183" s="22" t="str">
        <f t="shared" ref="AM183" si="225">_xlfn.CONCAT(N183&amp;W183&amp;X183&amp;Y183&amp;Z183)</f>
        <v>Workbooks("HFU Forecast UTLA 1.0.xlsm").Worksheets("Combined data").Range("AO174")</v>
      </c>
      <c r="AO183" t="s">
        <v>1024</v>
      </c>
    </row>
    <row r="184" spans="2:41" x14ac:dyDescent="0.25">
      <c r="B184" s="22" t="s">
        <v>339</v>
      </c>
      <c r="C184" s="22"/>
      <c r="D184" s="22"/>
      <c r="E184" s="22"/>
      <c r="F184" s="22"/>
      <c r="G184" s="22"/>
      <c r="H184" s="22"/>
      <c r="I184" s="22"/>
      <c r="J184" s="22"/>
      <c r="K184" s="22"/>
      <c r="L184" s="22"/>
      <c r="M184" s="22"/>
      <c r="N184" s="22"/>
      <c r="O184" s="22"/>
      <c r="P184" s="22"/>
      <c r="Q184" s="22"/>
      <c r="R184" s="22"/>
      <c r="S184" s="22"/>
      <c r="T184" s="22"/>
      <c r="U184" s="22"/>
      <c r="V184" s="22"/>
      <c r="W184" s="22"/>
      <c r="X184" s="22"/>
      <c r="Y184" s="23"/>
      <c r="Z184" s="22"/>
      <c r="AA184" s="22"/>
      <c r="AB184" s="22"/>
      <c r="AC184" s="22"/>
      <c r="AD184" s="22"/>
      <c r="AE184" s="22"/>
      <c r="AF184" s="22"/>
      <c r="AG184" s="22"/>
      <c r="AH184" s="22"/>
      <c r="AI184" s="22"/>
      <c r="AJ184" s="22"/>
      <c r="AK184" s="22"/>
      <c r="AL184" s="22"/>
      <c r="AM184" s="22" t="str">
        <f t="shared" ref="AM184" si="226">B184</f>
        <v>ActiveWorkbook.Close SaveChanges:=False</v>
      </c>
      <c r="AO184" t="s">
        <v>339</v>
      </c>
    </row>
  </sheetData>
  <mergeCells count="2">
    <mergeCell ref="B3:P3"/>
    <mergeCell ref="AE5:AI5"/>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70B3-36AE-4821-A907-58BCD862E9DE}">
  <sheetPr codeName="Sheet6"/>
  <dimension ref="A1:AO178"/>
  <sheetViews>
    <sheetView topLeftCell="H1" zoomScaleNormal="100" workbookViewId="0">
      <selection activeCell="AO10" sqref="AO10:AO178"/>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1:41" x14ac:dyDescent="0.25">
      <c r="B1" t="s">
        <v>329</v>
      </c>
    </row>
    <row r="3" spans="1:41" ht="78.75" customHeight="1" x14ac:dyDescent="0.25">
      <c r="B3" s="320" t="s">
        <v>330</v>
      </c>
      <c r="C3" s="320"/>
      <c r="D3" s="320"/>
      <c r="E3" s="320"/>
      <c r="F3" s="320"/>
      <c r="G3" s="320"/>
      <c r="H3" s="320"/>
      <c r="I3" s="320"/>
      <c r="J3" s="320"/>
      <c r="K3" s="320"/>
      <c r="L3" s="320"/>
      <c r="M3" s="320"/>
      <c r="N3" s="320"/>
      <c r="O3" s="320"/>
      <c r="P3" s="320"/>
    </row>
    <row r="5" spans="1:41" x14ac:dyDescent="0.25">
      <c r="V5" t="s">
        <v>331</v>
      </c>
      <c r="W5" t="s">
        <v>333</v>
      </c>
      <c r="AE5" s="316" t="s">
        <v>332</v>
      </c>
      <c r="AF5" s="316"/>
      <c r="AG5" s="316"/>
      <c r="AH5" s="316"/>
      <c r="AI5" s="316"/>
    </row>
    <row r="6" spans="1:41" x14ac:dyDescent="0.25">
      <c r="B6" t="s">
        <v>319</v>
      </c>
    </row>
    <row r="8" spans="1:41" x14ac:dyDescent="0.25">
      <c r="N8" t="s">
        <v>320</v>
      </c>
    </row>
    <row r="9" spans="1:41" x14ac:dyDescent="0.25">
      <c r="B9" t="s">
        <v>315</v>
      </c>
      <c r="AM9" t="s">
        <v>328</v>
      </c>
    </row>
    <row r="10" spans="1:41" x14ac:dyDescent="0.25">
      <c r="B10" t="s">
        <v>316</v>
      </c>
      <c r="N10" t="s">
        <v>321</v>
      </c>
      <c r="V10">
        <v>1</v>
      </c>
      <c r="Z10" t="s">
        <v>322</v>
      </c>
      <c r="AM10" t="str">
        <f>+_xlfn.CONCAT(N10&amp;V10&amp;Z10)</f>
        <v xml:space="preserve"> Workbooks.Open "A:\Homes for Ukraine data\Ukraine_sponsorship_data_1.ods"</v>
      </c>
      <c r="AO10" t="s">
        <v>334</v>
      </c>
    </row>
    <row r="11" spans="1:41" x14ac:dyDescent="0.25">
      <c r="B11" t="s">
        <v>380</v>
      </c>
      <c r="N11" t="s">
        <v>323</v>
      </c>
      <c r="V11">
        <v>1</v>
      </c>
      <c r="Z11" t="s">
        <v>381</v>
      </c>
      <c r="AE11" t="s">
        <v>382</v>
      </c>
      <c r="AF11">
        <v>13</v>
      </c>
      <c r="AG11" t="s">
        <v>327</v>
      </c>
      <c r="AH11" t="s">
        <v>382</v>
      </c>
      <c r="AI11">
        <v>53</v>
      </c>
      <c r="AK11" t="s">
        <v>325</v>
      </c>
      <c r="AM11" t="str">
        <f>_xlfn.CONCAT(N11&amp;V11&amp;Z11&amp;AE11&amp;AF11&amp;AG11&amp;AE11&amp;AI11&amp;AK11)</f>
        <v xml:space="preserve"> Workbooks("Ukraine_sponsorship_data_1.ods").Worksheets("Scotland").Range("D13:D53").Copy _</v>
      </c>
      <c r="AO11" t="s">
        <v>1182</v>
      </c>
    </row>
    <row r="12" spans="1:41" x14ac:dyDescent="0.25">
      <c r="B12" t="s">
        <v>808</v>
      </c>
      <c r="N12" t="s">
        <v>809</v>
      </c>
      <c r="W12" t="s">
        <v>312</v>
      </c>
      <c r="X12" t="s">
        <v>805</v>
      </c>
      <c r="Y12" s="20">
        <v>174</v>
      </c>
      <c r="Z12" t="s">
        <v>324</v>
      </c>
      <c r="AM12" t="str">
        <f>_xlfn.CONCAT(N12&amp;W12&amp;X12&amp;Y12&amp;Z12)</f>
        <v>Workbooks("HFU Forecast UTLA 1.0.xlsm").Worksheets("Combined data").Range("AR174")</v>
      </c>
      <c r="AO12" t="s">
        <v>966</v>
      </c>
    </row>
    <row r="13" spans="1:41" x14ac:dyDescent="0.25">
      <c r="B13" t="s">
        <v>339</v>
      </c>
      <c r="AM13" t="str">
        <f>B13</f>
        <v>ActiveWorkbook.Close SaveChanges:=False</v>
      </c>
      <c r="AO13" t="s">
        <v>339</v>
      </c>
    </row>
    <row r="15" spans="1:41" x14ac:dyDescent="0.25">
      <c r="A15" s="19"/>
      <c r="B15" s="22" t="s">
        <v>316</v>
      </c>
      <c r="C15" s="22"/>
      <c r="D15" s="22"/>
      <c r="E15" s="22"/>
      <c r="F15" s="22"/>
      <c r="G15" s="22"/>
      <c r="H15" s="22"/>
      <c r="I15" s="22"/>
      <c r="J15" s="22"/>
      <c r="K15" s="22"/>
      <c r="L15" s="22"/>
      <c r="M15" s="22"/>
      <c r="N15" s="22" t="s">
        <v>321</v>
      </c>
      <c r="O15" s="22"/>
      <c r="P15" s="22"/>
      <c r="Q15" s="22"/>
      <c r="R15" s="22"/>
      <c r="S15" s="22"/>
      <c r="T15" s="22"/>
      <c r="U15" s="22"/>
      <c r="V15" s="22">
        <f>V10+1</f>
        <v>2</v>
      </c>
      <c r="W15" s="22"/>
      <c r="X15" s="22"/>
      <c r="Y15" s="23"/>
      <c r="Z15" s="22" t="s">
        <v>322</v>
      </c>
      <c r="AA15" s="22"/>
      <c r="AB15" s="22"/>
      <c r="AC15" s="22"/>
      <c r="AD15" s="22"/>
      <c r="AE15" s="22"/>
      <c r="AF15" s="22"/>
      <c r="AG15" s="22"/>
      <c r="AH15" s="22"/>
      <c r="AI15" s="22"/>
      <c r="AJ15" s="22"/>
      <c r="AK15" s="22"/>
      <c r="AL15" s="22"/>
      <c r="AM15" s="22" t="str">
        <f>+_xlfn.CONCAT(N15&amp;V15&amp;Z15)</f>
        <v xml:space="preserve"> Workbooks.Open "A:\Homes for Ukraine data\Ukraine_sponsorship_data_2.ods"</v>
      </c>
      <c r="AO15" t="s">
        <v>335</v>
      </c>
    </row>
    <row r="16" spans="1:41" x14ac:dyDescent="0.25">
      <c r="A16" s="19"/>
      <c r="B16" s="22" t="s">
        <v>380</v>
      </c>
      <c r="C16" s="22"/>
      <c r="D16" s="22"/>
      <c r="E16" s="22"/>
      <c r="F16" s="22"/>
      <c r="G16" s="22"/>
      <c r="H16" s="22"/>
      <c r="I16" s="22"/>
      <c r="J16" s="22"/>
      <c r="K16" s="22"/>
      <c r="L16" s="22"/>
      <c r="M16" s="22"/>
      <c r="N16" s="22" t="s">
        <v>323</v>
      </c>
      <c r="O16" s="22"/>
      <c r="P16" s="22"/>
      <c r="Q16" s="22"/>
      <c r="R16" s="22"/>
      <c r="S16" s="22"/>
      <c r="T16" s="22"/>
      <c r="U16" s="22"/>
      <c r="V16" s="22">
        <f>V11+1</f>
        <v>2</v>
      </c>
      <c r="W16" s="22"/>
      <c r="X16" s="22"/>
      <c r="Y16" s="23"/>
      <c r="Z16" s="22" t="s">
        <v>381</v>
      </c>
      <c r="AA16" s="22"/>
      <c r="AB16" s="22"/>
      <c r="AC16" s="22"/>
      <c r="AD16" s="22"/>
      <c r="AE16" s="22" t="s">
        <v>642</v>
      </c>
      <c r="AF16" s="22">
        <f>AF11</f>
        <v>13</v>
      </c>
      <c r="AG16" s="22" t="s">
        <v>327</v>
      </c>
      <c r="AH16" s="22" t="s">
        <v>642</v>
      </c>
      <c r="AI16" s="22">
        <f>AI11</f>
        <v>53</v>
      </c>
      <c r="AJ16" s="22"/>
      <c r="AK16" s="22" t="s">
        <v>325</v>
      </c>
      <c r="AL16" s="22"/>
      <c r="AM16" s="22" t="str">
        <f>_xlfn.CONCAT(N16&amp;V16&amp;Z16&amp;AE16&amp;AF16&amp;AG16&amp;AE16&amp;AI16&amp;AK16)</f>
        <v xml:space="preserve"> Workbooks("Ukraine_sponsorship_data_2.ods").Worksheets("Scotland").Range("E13:E53").Copy _</v>
      </c>
      <c r="AO16" t="s">
        <v>643</v>
      </c>
    </row>
    <row r="17" spans="1:41" ht="17.25" customHeight="1" x14ac:dyDescent="0.25">
      <c r="A17" s="19"/>
      <c r="B17" s="22" t="s">
        <v>808</v>
      </c>
      <c r="C17" s="22"/>
      <c r="D17" s="22"/>
      <c r="E17" s="22"/>
      <c r="F17" s="22"/>
      <c r="G17" s="22"/>
      <c r="H17" s="22"/>
      <c r="I17" s="22"/>
      <c r="J17" s="22"/>
      <c r="K17" s="22"/>
      <c r="L17" s="22"/>
      <c r="M17" s="22"/>
      <c r="N17" s="22" t="s">
        <v>809</v>
      </c>
      <c r="O17" s="22"/>
      <c r="P17" s="22"/>
      <c r="Q17" s="22"/>
      <c r="R17" s="22"/>
      <c r="S17" s="22"/>
      <c r="T17" s="22"/>
      <c r="U17" s="22"/>
      <c r="V17" s="22"/>
      <c r="W17" s="22" t="str">
        <f>W12</f>
        <v>A</v>
      </c>
      <c r="X17" s="22" t="str">
        <f>CHAR(CODE(X12)+1)</f>
        <v>S</v>
      </c>
      <c r="Y17" s="23">
        <f>Y12</f>
        <v>174</v>
      </c>
      <c r="Z17" s="22" t="s">
        <v>324</v>
      </c>
      <c r="AA17" s="22"/>
      <c r="AB17" s="22"/>
      <c r="AC17" s="22"/>
      <c r="AD17" s="22"/>
      <c r="AE17" s="22"/>
      <c r="AF17" s="22"/>
      <c r="AG17" s="22"/>
      <c r="AH17" s="22"/>
      <c r="AI17" s="22"/>
      <c r="AJ17" s="22"/>
      <c r="AK17" s="22"/>
      <c r="AL17" s="22"/>
      <c r="AM17" s="22" t="str">
        <f>_xlfn.CONCAT(N17&amp;W17&amp;X17&amp;Y17&amp;Z17)</f>
        <v>Workbooks("HFU Forecast UTLA 1.0.xlsm").Worksheets("Combined data").Range("AS174")</v>
      </c>
      <c r="AO17" t="s">
        <v>967</v>
      </c>
    </row>
    <row r="18" spans="1:41" ht="17.25" customHeight="1" x14ac:dyDescent="0.25">
      <c r="A18" s="19"/>
      <c r="B18" s="22" t="s">
        <v>339</v>
      </c>
      <c r="C18" s="22"/>
      <c r="D18" s="22"/>
      <c r="E18" s="22"/>
      <c r="F18" s="22"/>
      <c r="G18" s="22"/>
      <c r="H18" s="22"/>
      <c r="I18" s="22"/>
      <c r="J18" s="22"/>
      <c r="K18" s="22"/>
      <c r="L18" s="22"/>
      <c r="M18" s="22"/>
      <c r="N18" s="22"/>
      <c r="O18" s="22"/>
      <c r="P18" s="22"/>
      <c r="Q18" s="22"/>
      <c r="R18" s="22"/>
      <c r="S18" s="22"/>
      <c r="T18" s="22"/>
      <c r="U18" s="22"/>
      <c r="V18" s="22"/>
      <c r="W18" s="22"/>
      <c r="X18" s="22"/>
      <c r="Y18" s="23"/>
      <c r="Z18" s="22"/>
      <c r="AA18" s="22"/>
      <c r="AB18" s="22"/>
      <c r="AC18" s="22"/>
      <c r="AD18" s="22"/>
      <c r="AE18" s="22"/>
      <c r="AF18" s="22"/>
      <c r="AG18" s="22"/>
      <c r="AH18" s="22"/>
      <c r="AI18" s="22"/>
      <c r="AJ18" s="22"/>
      <c r="AK18" s="22"/>
      <c r="AL18" s="22"/>
      <c r="AM18" s="22" t="str">
        <f>B18</f>
        <v>ActiveWorkbook.Close SaveChanges:=False</v>
      </c>
      <c r="AO18" t="s">
        <v>339</v>
      </c>
    </row>
    <row r="20" spans="1:41" x14ac:dyDescent="0.25">
      <c r="B20" s="19" t="s">
        <v>316</v>
      </c>
      <c r="C20" s="19"/>
      <c r="D20" s="19"/>
      <c r="E20" s="19"/>
      <c r="F20" s="19"/>
      <c r="G20" s="19"/>
      <c r="H20" s="19"/>
      <c r="I20" s="19"/>
      <c r="J20" s="19"/>
      <c r="K20" s="19"/>
      <c r="L20" s="19"/>
      <c r="M20" s="19"/>
      <c r="N20" s="19" t="s">
        <v>321</v>
      </c>
      <c r="O20" s="19"/>
      <c r="P20" s="19"/>
      <c r="Q20" s="19"/>
      <c r="R20" s="19"/>
      <c r="S20" s="19"/>
      <c r="T20" s="19"/>
      <c r="U20" s="19"/>
      <c r="V20" s="19">
        <f>V15+1</f>
        <v>3</v>
      </c>
      <c r="W20" s="19"/>
      <c r="X20" s="19"/>
      <c r="Y20" s="21"/>
      <c r="Z20" s="19" t="s">
        <v>322</v>
      </c>
      <c r="AA20" s="19"/>
      <c r="AB20" s="19"/>
      <c r="AC20" s="19"/>
      <c r="AD20" s="19"/>
      <c r="AE20" s="19"/>
      <c r="AF20" s="19"/>
      <c r="AG20" s="19"/>
      <c r="AH20" s="19"/>
      <c r="AI20" s="19"/>
      <c r="AJ20" s="19"/>
      <c r="AK20" s="19"/>
      <c r="AL20" s="19"/>
      <c r="AM20" s="19" t="str">
        <f>+_xlfn.CONCAT(N20&amp;V20&amp;Z20)</f>
        <v xml:space="preserve"> Workbooks.Open "A:\Homes for Ukraine data\Ukraine_sponsorship_data_3.ods"</v>
      </c>
      <c r="AO20" t="s">
        <v>336</v>
      </c>
    </row>
    <row r="21" spans="1:41" x14ac:dyDescent="0.25">
      <c r="B21" s="19" t="s">
        <v>380</v>
      </c>
      <c r="C21" s="19"/>
      <c r="D21" s="19"/>
      <c r="E21" s="19"/>
      <c r="F21" s="19"/>
      <c r="G21" s="19"/>
      <c r="H21" s="19"/>
      <c r="I21" s="19"/>
      <c r="J21" s="19"/>
      <c r="K21" s="19"/>
      <c r="L21" s="19"/>
      <c r="M21" s="19"/>
      <c r="N21" s="19" t="s">
        <v>323</v>
      </c>
      <c r="O21" s="19"/>
      <c r="P21" s="19"/>
      <c r="Q21" s="19"/>
      <c r="R21" s="19"/>
      <c r="S21" s="19"/>
      <c r="T21" s="19"/>
      <c r="U21" s="19"/>
      <c r="V21" s="19">
        <f>V16+1</f>
        <v>3</v>
      </c>
      <c r="W21" s="19"/>
      <c r="X21" s="19"/>
      <c r="Y21" s="21"/>
      <c r="Z21" s="19" t="s">
        <v>381</v>
      </c>
      <c r="AA21" s="19"/>
      <c r="AB21" s="19"/>
      <c r="AC21" s="19"/>
      <c r="AD21" s="19"/>
      <c r="AE21" s="19" t="str">
        <f>AE16</f>
        <v>E</v>
      </c>
      <c r="AF21" s="19">
        <f>AF16</f>
        <v>13</v>
      </c>
      <c r="AG21" s="19" t="s">
        <v>327</v>
      </c>
      <c r="AH21" s="19" t="str">
        <f>AH16</f>
        <v>E</v>
      </c>
      <c r="AI21" s="19">
        <f>AI16</f>
        <v>53</v>
      </c>
      <c r="AJ21" s="19"/>
      <c r="AK21" s="19" t="s">
        <v>325</v>
      </c>
      <c r="AL21" s="19"/>
      <c r="AM21" s="19" t="str">
        <f>_xlfn.CONCAT(N21&amp;V21&amp;Z21&amp;AE21&amp;AF21&amp;AG21&amp;AE21&amp;AI21&amp;AK21)</f>
        <v xml:space="preserve"> Workbooks("Ukraine_sponsorship_data_3.ods").Worksheets("Scotland").Range("E13:E53").Copy _</v>
      </c>
      <c r="AO21" t="s">
        <v>644</v>
      </c>
    </row>
    <row r="22" spans="1:41" x14ac:dyDescent="0.25">
      <c r="B22" s="19" t="s">
        <v>808</v>
      </c>
      <c r="C22" s="19"/>
      <c r="D22" s="19"/>
      <c r="E22" s="19"/>
      <c r="F22" s="19"/>
      <c r="G22" s="19"/>
      <c r="H22" s="19"/>
      <c r="I22" s="19"/>
      <c r="J22" s="19"/>
      <c r="K22" s="19"/>
      <c r="L22" s="19"/>
      <c r="M22" s="19"/>
      <c r="N22" s="19" t="s">
        <v>809</v>
      </c>
      <c r="O22" s="19"/>
      <c r="P22" s="19"/>
      <c r="Q22" s="19"/>
      <c r="R22" s="19"/>
      <c r="S22" s="19"/>
      <c r="T22" s="19"/>
      <c r="U22" s="19"/>
      <c r="V22" s="19"/>
      <c r="W22" s="19" t="str">
        <f>W17</f>
        <v>A</v>
      </c>
      <c r="X22" s="19" t="str">
        <f>CHAR(CODE(X17)+1)</f>
        <v>T</v>
      </c>
      <c r="Y22" s="21">
        <f>Y17</f>
        <v>174</v>
      </c>
      <c r="Z22" s="19" t="s">
        <v>324</v>
      </c>
      <c r="AA22" s="19"/>
      <c r="AB22" s="19"/>
      <c r="AC22" s="19"/>
      <c r="AD22" s="19"/>
      <c r="AE22" s="19"/>
      <c r="AF22" s="19"/>
      <c r="AG22" s="19"/>
      <c r="AH22" s="19"/>
      <c r="AI22" s="19"/>
      <c r="AJ22" s="19"/>
      <c r="AK22" s="19"/>
      <c r="AL22" s="19"/>
      <c r="AM22" s="19" t="str">
        <f>_xlfn.CONCAT(N22&amp;W22&amp;X22&amp;Y22&amp;Z22)</f>
        <v>Workbooks("HFU Forecast UTLA 1.0.xlsm").Worksheets("Combined data").Range("AT174")</v>
      </c>
      <c r="AO22" t="s">
        <v>968</v>
      </c>
    </row>
    <row r="23" spans="1:41" x14ac:dyDescent="0.25">
      <c r="B23" s="19" t="s">
        <v>339</v>
      </c>
      <c r="C23" s="19"/>
      <c r="D23" s="19"/>
      <c r="E23" s="19"/>
      <c r="F23" s="19"/>
      <c r="G23" s="19"/>
      <c r="H23" s="19"/>
      <c r="I23" s="19"/>
      <c r="J23" s="19"/>
      <c r="K23" s="19"/>
      <c r="L23" s="19"/>
      <c r="M23" s="19"/>
      <c r="N23" s="19"/>
      <c r="O23" s="19"/>
      <c r="P23" s="19"/>
      <c r="Q23" s="19"/>
      <c r="R23" s="19"/>
      <c r="S23" s="19"/>
      <c r="T23" s="19"/>
      <c r="U23" s="19"/>
      <c r="V23" s="19"/>
      <c r="W23" s="19"/>
      <c r="X23" s="19"/>
      <c r="Y23" s="21"/>
      <c r="Z23" s="19"/>
      <c r="AA23" s="19"/>
      <c r="AB23" s="19"/>
      <c r="AC23" s="19"/>
      <c r="AD23" s="19"/>
      <c r="AE23" s="19"/>
      <c r="AF23" s="19"/>
      <c r="AG23" s="19"/>
      <c r="AH23" s="19"/>
      <c r="AI23" s="19"/>
      <c r="AJ23" s="19"/>
      <c r="AK23" s="19"/>
      <c r="AL23" s="19"/>
      <c r="AM23" s="19" t="str">
        <f>B23</f>
        <v>ActiveWorkbook.Close SaveChanges:=False</v>
      </c>
      <c r="AO23" t="s">
        <v>339</v>
      </c>
    </row>
    <row r="25" spans="1:41" x14ac:dyDescent="0.25">
      <c r="B25" s="22" t="s">
        <v>316</v>
      </c>
      <c r="C25" s="22"/>
      <c r="D25" s="22"/>
      <c r="E25" s="22"/>
      <c r="F25" s="22"/>
      <c r="G25" s="22"/>
      <c r="H25" s="22"/>
      <c r="I25" s="22"/>
      <c r="J25" s="22"/>
      <c r="K25" s="22"/>
      <c r="L25" s="22"/>
      <c r="M25" s="22"/>
      <c r="N25" s="22" t="s">
        <v>321</v>
      </c>
      <c r="O25" s="22"/>
      <c r="P25" s="22"/>
      <c r="Q25" s="22"/>
      <c r="R25" s="22"/>
      <c r="S25" s="22"/>
      <c r="T25" s="22"/>
      <c r="U25" s="22"/>
      <c r="V25" s="22">
        <f>V20+1</f>
        <v>4</v>
      </c>
      <c r="W25" s="22"/>
      <c r="X25" s="22"/>
      <c r="Y25" s="23"/>
      <c r="Z25" s="22" t="s">
        <v>322</v>
      </c>
      <c r="AA25" s="22"/>
      <c r="AB25" s="22"/>
      <c r="AC25" s="22"/>
      <c r="AD25" s="22"/>
      <c r="AE25" s="22"/>
      <c r="AF25" s="22"/>
      <c r="AG25" s="22"/>
      <c r="AH25" s="22"/>
      <c r="AI25" s="22"/>
      <c r="AJ25" s="22"/>
      <c r="AK25" s="22"/>
      <c r="AL25" s="22"/>
      <c r="AM25" s="22" t="str">
        <f>+_xlfn.CONCAT(N25&amp;V25&amp;Z25)</f>
        <v xml:space="preserve"> Workbooks.Open "A:\Homes for Ukraine data\Ukraine_sponsorship_data_4.ods"</v>
      </c>
      <c r="AO25" t="s">
        <v>340</v>
      </c>
    </row>
    <row r="26" spans="1:41" x14ac:dyDescent="0.25">
      <c r="B26" s="22" t="s">
        <v>380</v>
      </c>
      <c r="C26" s="22"/>
      <c r="D26" s="22"/>
      <c r="E26" s="22"/>
      <c r="F26" s="22"/>
      <c r="G26" s="22"/>
      <c r="H26" s="22"/>
      <c r="I26" s="22"/>
      <c r="J26" s="22"/>
      <c r="K26" s="22"/>
      <c r="L26" s="22"/>
      <c r="M26" s="22"/>
      <c r="N26" s="22" t="s">
        <v>323</v>
      </c>
      <c r="O26" s="22"/>
      <c r="P26" s="22"/>
      <c r="Q26" s="22"/>
      <c r="R26" s="22"/>
      <c r="S26" s="22"/>
      <c r="T26" s="22"/>
      <c r="U26" s="22"/>
      <c r="V26" s="22">
        <f>V21+1</f>
        <v>4</v>
      </c>
      <c r="W26" s="22"/>
      <c r="X26" s="22"/>
      <c r="Y26" s="23"/>
      <c r="Z26" s="22" t="s">
        <v>381</v>
      </c>
      <c r="AA26" s="22"/>
      <c r="AB26" s="22"/>
      <c r="AC26" s="22"/>
      <c r="AD26" s="22"/>
      <c r="AE26" s="22" t="str">
        <f t="shared" ref="AE26:AF26" si="0">AE21</f>
        <v>E</v>
      </c>
      <c r="AF26" s="22">
        <f t="shared" si="0"/>
        <v>13</v>
      </c>
      <c r="AG26" s="22" t="s">
        <v>327</v>
      </c>
      <c r="AH26" s="22" t="str">
        <f t="shared" ref="AH26:AI26" si="1">AH21</f>
        <v>E</v>
      </c>
      <c r="AI26" s="22">
        <f t="shared" si="1"/>
        <v>53</v>
      </c>
      <c r="AJ26" s="22"/>
      <c r="AK26" s="22" t="s">
        <v>325</v>
      </c>
      <c r="AL26" s="22"/>
      <c r="AM26" s="22" t="str">
        <f>_xlfn.CONCAT(N26&amp;V26&amp;Z26&amp;AE26&amp;AF26&amp;AG26&amp;AE26&amp;AI26&amp;AK26)</f>
        <v xml:space="preserve"> Workbooks("Ukraine_sponsorship_data_4.ods").Worksheets("Scotland").Range("E13:E53").Copy _</v>
      </c>
      <c r="AO26" t="s">
        <v>645</v>
      </c>
    </row>
    <row r="27" spans="1:41" x14ac:dyDescent="0.25">
      <c r="B27" s="22" t="s">
        <v>808</v>
      </c>
      <c r="C27" s="22"/>
      <c r="D27" s="22"/>
      <c r="E27" s="22"/>
      <c r="F27" s="22"/>
      <c r="G27" s="22"/>
      <c r="H27" s="22"/>
      <c r="I27" s="22"/>
      <c r="J27" s="22"/>
      <c r="K27" s="22"/>
      <c r="L27" s="22"/>
      <c r="M27" s="22"/>
      <c r="N27" s="22" t="s">
        <v>809</v>
      </c>
      <c r="O27" s="22"/>
      <c r="P27" s="22"/>
      <c r="Q27" s="22"/>
      <c r="R27" s="22"/>
      <c r="S27" s="22"/>
      <c r="T27" s="22"/>
      <c r="U27" s="22"/>
      <c r="V27" s="22"/>
      <c r="W27" s="22" t="str">
        <f>W22</f>
        <v>A</v>
      </c>
      <c r="X27" s="22" t="str">
        <f>CHAR(CODE(X22)+1)</f>
        <v>U</v>
      </c>
      <c r="Y27" s="23">
        <f t="shared" ref="Y27" si="2">Y22</f>
        <v>174</v>
      </c>
      <c r="Z27" s="22" t="s">
        <v>324</v>
      </c>
      <c r="AA27" s="22"/>
      <c r="AB27" s="22"/>
      <c r="AC27" s="22"/>
      <c r="AD27" s="22"/>
      <c r="AE27" s="22"/>
      <c r="AF27" s="22"/>
      <c r="AG27" s="22"/>
      <c r="AH27" s="22"/>
      <c r="AI27" s="22"/>
      <c r="AJ27" s="22"/>
      <c r="AK27" s="22"/>
      <c r="AL27" s="22"/>
      <c r="AM27" s="22" t="str">
        <f>_xlfn.CONCAT(N27&amp;W27&amp;X27&amp;Y27&amp;Z27)</f>
        <v>Workbooks("HFU Forecast UTLA 1.0.xlsm").Worksheets("Combined data").Range("AU174")</v>
      </c>
      <c r="AO27" t="s">
        <v>969</v>
      </c>
    </row>
    <row r="28" spans="1:41" x14ac:dyDescent="0.25">
      <c r="B28" s="22" t="s">
        <v>339</v>
      </c>
      <c r="C28" s="22"/>
      <c r="D28" s="22"/>
      <c r="E28" s="22"/>
      <c r="F28" s="22"/>
      <c r="G28" s="22"/>
      <c r="H28" s="22"/>
      <c r="I28" s="22"/>
      <c r="J28" s="22"/>
      <c r="K28" s="22"/>
      <c r="L28" s="22"/>
      <c r="M28" s="22"/>
      <c r="N28" s="22"/>
      <c r="O28" s="22"/>
      <c r="P28" s="22"/>
      <c r="Q28" s="22"/>
      <c r="R28" s="22"/>
      <c r="S28" s="22"/>
      <c r="T28" s="22"/>
      <c r="U28" s="22"/>
      <c r="V28" s="22"/>
      <c r="W28" s="22"/>
      <c r="X28" s="22"/>
      <c r="Y28" s="23"/>
      <c r="Z28" s="22"/>
      <c r="AA28" s="22"/>
      <c r="AB28" s="22"/>
      <c r="AC28" s="22"/>
      <c r="AD28" s="22"/>
      <c r="AE28" s="22"/>
      <c r="AF28" s="22"/>
      <c r="AG28" s="22"/>
      <c r="AH28" s="22"/>
      <c r="AI28" s="22"/>
      <c r="AJ28" s="22"/>
      <c r="AK28" s="22"/>
      <c r="AL28" s="22"/>
      <c r="AM28" s="22" t="str">
        <f>B28</f>
        <v>ActiveWorkbook.Close SaveChanges:=False</v>
      </c>
      <c r="AO28" t="s">
        <v>339</v>
      </c>
    </row>
    <row r="30" spans="1:41" x14ac:dyDescent="0.25">
      <c r="B30" s="19" t="s">
        <v>316</v>
      </c>
      <c r="C30" s="19"/>
      <c r="D30" s="19"/>
      <c r="E30" s="19"/>
      <c r="F30" s="19"/>
      <c r="G30" s="19"/>
      <c r="H30" s="19"/>
      <c r="I30" s="19"/>
      <c r="J30" s="19"/>
      <c r="K30" s="19"/>
      <c r="L30" s="19"/>
      <c r="M30" s="19"/>
      <c r="N30" s="19" t="s">
        <v>321</v>
      </c>
      <c r="O30" s="19"/>
      <c r="P30" s="19"/>
      <c r="Q30" s="19"/>
      <c r="R30" s="19"/>
      <c r="S30" s="19"/>
      <c r="T30" s="19"/>
      <c r="U30" s="19"/>
      <c r="V30" s="19">
        <f t="shared" ref="V30:V31" si="3">V25+1</f>
        <v>5</v>
      </c>
      <c r="W30" s="19"/>
      <c r="X30" s="19"/>
      <c r="Y30" s="21"/>
      <c r="Z30" s="19" t="s">
        <v>322</v>
      </c>
      <c r="AA30" s="19"/>
      <c r="AB30" s="19"/>
      <c r="AC30" s="19"/>
      <c r="AD30" s="19"/>
      <c r="AE30" s="19"/>
      <c r="AF30" s="19"/>
      <c r="AG30" s="19"/>
      <c r="AH30" s="19"/>
      <c r="AI30" s="19"/>
      <c r="AJ30" s="19"/>
      <c r="AK30" s="19"/>
      <c r="AL30" s="19"/>
      <c r="AM30" s="19" t="str">
        <f t="shared" ref="AM30" si="4">+_xlfn.CONCAT(N30&amp;V30&amp;Z30)</f>
        <v xml:space="preserve"> Workbooks.Open "A:\Homes for Ukraine data\Ukraine_sponsorship_data_5.ods"</v>
      </c>
      <c r="AO30" t="s">
        <v>341</v>
      </c>
    </row>
    <row r="31" spans="1:41" x14ac:dyDescent="0.25">
      <c r="B31" s="19" t="s">
        <v>380</v>
      </c>
      <c r="C31" s="19"/>
      <c r="D31" s="19"/>
      <c r="E31" s="19"/>
      <c r="F31" s="19"/>
      <c r="G31" s="19"/>
      <c r="H31" s="19"/>
      <c r="I31" s="19"/>
      <c r="J31" s="19"/>
      <c r="K31" s="19"/>
      <c r="L31" s="19"/>
      <c r="M31" s="19"/>
      <c r="N31" s="19" t="s">
        <v>323</v>
      </c>
      <c r="O31" s="19"/>
      <c r="P31" s="19"/>
      <c r="Q31" s="19"/>
      <c r="R31" s="19"/>
      <c r="S31" s="19"/>
      <c r="T31" s="19"/>
      <c r="U31" s="19"/>
      <c r="V31" s="19">
        <f t="shared" si="3"/>
        <v>5</v>
      </c>
      <c r="W31" s="19"/>
      <c r="X31" s="19"/>
      <c r="Y31" s="21"/>
      <c r="Z31" s="19" t="s">
        <v>381</v>
      </c>
      <c r="AA31" s="19"/>
      <c r="AB31" s="19"/>
      <c r="AC31" s="19"/>
      <c r="AD31" s="19"/>
      <c r="AE31" s="19" t="str">
        <f t="shared" ref="AE31:AF31" si="5">AE26</f>
        <v>E</v>
      </c>
      <c r="AF31" s="19">
        <f t="shared" si="5"/>
        <v>13</v>
      </c>
      <c r="AG31" s="19" t="s">
        <v>327</v>
      </c>
      <c r="AH31" s="19" t="str">
        <f t="shared" ref="AH31:AI31" si="6">AH26</f>
        <v>E</v>
      </c>
      <c r="AI31" s="19">
        <f t="shared" si="6"/>
        <v>53</v>
      </c>
      <c r="AJ31" s="19"/>
      <c r="AK31" s="19" t="s">
        <v>325</v>
      </c>
      <c r="AL31" s="19"/>
      <c r="AM31" s="19" t="str">
        <f t="shared" ref="AM31" si="7">_xlfn.CONCAT(N31&amp;V31&amp;Z31&amp;AE31&amp;AF31&amp;AG31&amp;AE31&amp;AI31&amp;AK31)</f>
        <v xml:space="preserve"> Workbooks("Ukraine_sponsorship_data_5.ods").Worksheets("Scotland").Range("E13:E53").Copy _</v>
      </c>
      <c r="AO31" t="s">
        <v>646</v>
      </c>
    </row>
    <row r="32" spans="1:41" x14ac:dyDescent="0.25">
      <c r="B32" s="19" t="s">
        <v>808</v>
      </c>
      <c r="C32" s="19"/>
      <c r="D32" s="19"/>
      <c r="E32" s="19"/>
      <c r="F32" s="19"/>
      <c r="G32" s="19"/>
      <c r="H32" s="19"/>
      <c r="I32" s="19"/>
      <c r="J32" s="19"/>
      <c r="K32" s="19"/>
      <c r="L32" s="19"/>
      <c r="M32" s="19"/>
      <c r="N32" s="19" t="s">
        <v>809</v>
      </c>
      <c r="O32" s="19"/>
      <c r="P32" s="19"/>
      <c r="Q32" s="19"/>
      <c r="R32" s="19"/>
      <c r="S32" s="19"/>
      <c r="T32" s="19"/>
      <c r="U32" s="19"/>
      <c r="V32" s="19"/>
      <c r="W32" s="19" t="str">
        <f t="shared" ref="W32" si="8">W27</f>
        <v>A</v>
      </c>
      <c r="X32" s="19" t="str">
        <f t="shared" ref="X32" si="9">CHAR(CODE(X27)+1)</f>
        <v>V</v>
      </c>
      <c r="Y32" s="21">
        <f t="shared" ref="Y32" si="10">Y27</f>
        <v>174</v>
      </c>
      <c r="Z32" s="19" t="s">
        <v>324</v>
      </c>
      <c r="AA32" s="19"/>
      <c r="AB32" s="19"/>
      <c r="AC32" s="19"/>
      <c r="AD32" s="19"/>
      <c r="AE32" s="19"/>
      <c r="AF32" s="19"/>
      <c r="AG32" s="19"/>
      <c r="AH32" s="19"/>
      <c r="AI32" s="19"/>
      <c r="AJ32" s="19"/>
      <c r="AK32" s="19"/>
      <c r="AL32" s="19"/>
      <c r="AM32" s="19" t="str">
        <f t="shared" ref="AM32" si="11">_xlfn.CONCAT(N32&amp;W32&amp;X32&amp;Y32&amp;Z32)</f>
        <v>Workbooks("HFU Forecast UTLA 1.0.xlsm").Worksheets("Combined data").Range("AV174")</v>
      </c>
      <c r="AO32" t="s">
        <v>970</v>
      </c>
    </row>
    <row r="33" spans="2:41" x14ac:dyDescent="0.25">
      <c r="B33" s="19" t="s">
        <v>339</v>
      </c>
      <c r="C33" s="19"/>
      <c r="D33" s="19"/>
      <c r="E33" s="19"/>
      <c r="F33" s="19"/>
      <c r="G33" s="19"/>
      <c r="H33" s="19"/>
      <c r="I33" s="19"/>
      <c r="J33" s="19"/>
      <c r="K33" s="19"/>
      <c r="L33" s="19"/>
      <c r="M33" s="19"/>
      <c r="N33" s="19"/>
      <c r="O33" s="19"/>
      <c r="P33" s="19"/>
      <c r="Q33" s="19"/>
      <c r="R33" s="19"/>
      <c r="S33" s="19"/>
      <c r="T33" s="19"/>
      <c r="U33" s="19"/>
      <c r="V33" s="19"/>
      <c r="W33" s="19"/>
      <c r="X33" s="19"/>
      <c r="Y33" s="21"/>
      <c r="Z33" s="19"/>
      <c r="AA33" s="19"/>
      <c r="AB33" s="19"/>
      <c r="AC33" s="19"/>
      <c r="AD33" s="19"/>
      <c r="AE33" s="19"/>
      <c r="AF33" s="19"/>
      <c r="AG33" s="19"/>
      <c r="AH33" s="19"/>
      <c r="AI33" s="19"/>
      <c r="AJ33" s="19"/>
      <c r="AK33" s="19"/>
      <c r="AL33" s="19"/>
      <c r="AM33" s="19" t="str">
        <f t="shared" ref="AM33" si="12">B33</f>
        <v>ActiveWorkbook.Close SaveChanges:=False</v>
      </c>
      <c r="AO33" t="s">
        <v>339</v>
      </c>
    </row>
    <row r="35" spans="2:41" x14ac:dyDescent="0.25">
      <c r="B35" s="22" t="s">
        <v>316</v>
      </c>
      <c r="C35" s="22"/>
      <c r="D35" s="22"/>
      <c r="E35" s="22"/>
      <c r="F35" s="22"/>
      <c r="G35" s="22"/>
      <c r="H35" s="22"/>
      <c r="I35" s="22"/>
      <c r="J35" s="22"/>
      <c r="K35" s="22"/>
      <c r="L35" s="22"/>
      <c r="M35" s="22"/>
      <c r="N35" s="22" t="s">
        <v>321</v>
      </c>
      <c r="O35" s="22"/>
      <c r="P35" s="22"/>
      <c r="Q35" s="22"/>
      <c r="R35" s="22"/>
      <c r="S35" s="22"/>
      <c r="T35" s="22"/>
      <c r="U35" s="22"/>
      <c r="V35" s="22">
        <f t="shared" ref="V35:V36" si="13">V30+1</f>
        <v>6</v>
      </c>
      <c r="W35" s="22"/>
      <c r="X35" s="22"/>
      <c r="Y35" s="23"/>
      <c r="Z35" s="22" t="s">
        <v>322</v>
      </c>
      <c r="AA35" s="22"/>
      <c r="AB35" s="22"/>
      <c r="AC35" s="22"/>
      <c r="AD35" s="22"/>
      <c r="AE35" s="22"/>
      <c r="AF35" s="22"/>
      <c r="AG35" s="22"/>
      <c r="AH35" s="22"/>
      <c r="AI35" s="22"/>
      <c r="AJ35" s="22"/>
      <c r="AK35" s="22"/>
      <c r="AL35" s="22"/>
      <c r="AM35" s="22" t="str">
        <f t="shared" ref="AM35" si="14">+_xlfn.CONCAT(N35&amp;V35&amp;Z35)</f>
        <v xml:space="preserve"> Workbooks.Open "A:\Homes for Ukraine data\Ukraine_sponsorship_data_6.ods"</v>
      </c>
      <c r="AO35" t="s">
        <v>342</v>
      </c>
    </row>
    <row r="36" spans="2:41" x14ac:dyDescent="0.25">
      <c r="B36" s="22" t="s">
        <v>380</v>
      </c>
      <c r="C36" s="22"/>
      <c r="D36" s="22"/>
      <c r="E36" s="22"/>
      <c r="F36" s="22"/>
      <c r="G36" s="22"/>
      <c r="H36" s="22"/>
      <c r="I36" s="22"/>
      <c r="J36" s="22"/>
      <c r="K36" s="22"/>
      <c r="L36" s="22"/>
      <c r="M36" s="22"/>
      <c r="N36" s="22" t="s">
        <v>323</v>
      </c>
      <c r="O36" s="22"/>
      <c r="P36" s="22"/>
      <c r="Q36" s="22"/>
      <c r="R36" s="22"/>
      <c r="S36" s="22"/>
      <c r="T36" s="22"/>
      <c r="U36" s="22"/>
      <c r="V36" s="22">
        <f t="shared" si="13"/>
        <v>6</v>
      </c>
      <c r="W36" s="22"/>
      <c r="X36" s="22"/>
      <c r="Y36" s="23"/>
      <c r="Z36" s="22" t="s">
        <v>381</v>
      </c>
      <c r="AA36" s="22"/>
      <c r="AB36" s="22"/>
      <c r="AC36" s="22"/>
      <c r="AD36" s="22"/>
      <c r="AE36" s="22" t="str">
        <f t="shared" ref="AE36:AF36" si="15">AE31</f>
        <v>E</v>
      </c>
      <c r="AF36" s="22">
        <f t="shared" si="15"/>
        <v>13</v>
      </c>
      <c r="AG36" s="22" t="s">
        <v>327</v>
      </c>
      <c r="AH36" s="22" t="str">
        <f t="shared" ref="AH36:AI36" si="16">AH31</f>
        <v>E</v>
      </c>
      <c r="AI36" s="22">
        <f t="shared" si="16"/>
        <v>53</v>
      </c>
      <c r="AJ36" s="22"/>
      <c r="AK36" s="22" t="s">
        <v>325</v>
      </c>
      <c r="AL36" s="22"/>
      <c r="AM36" s="22" t="str">
        <f t="shared" ref="AM36" si="17">_xlfn.CONCAT(N36&amp;V36&amp;Z36&amp;AE36&amp;AF36&amp;AG36&amp;AE36&amp;AI36&amp;AK36)</f>
        <v xml:space="preserve"> Workbooks("Ukraine_sponsorship_data_6.ods").Worksheets("Scotland").Range("E13:E53").Copy _</v>
      </c>
      <c r="AO36" t="s">
        <v>647</v>
      </c>
    </row>
    <row r="37" spans="2:41" x14ac:dyDescent="0.25">
      <c r="B37" s="22" t="s">
        <v>808</v>
      </c>
      <c r="C37" s="22"/>
      <c r="D37" s="22"/>
      <c r="E37" s="22"/>
      <c r="F37" s="22"/>
      <c r="G37" s="22"/>
      <c r="H37" s="22"/>
      <c r="I37" s="22"/>
      <c r="J37" s="22"/>
      <c r="K37" s="22"/>
      <c r="L37" s="22"/>
      <c r="M37" s="22"/>
      <c r="N37" s="22" t="s">
        <v>809</v>
      </c>
      <c r="O37" s="22"/>
      <c r="P37" s="22"/>
      <c r="Q37" s="22"/>
      <c r="R37" s="22"/>
      <c r="S37" s="22"/>
      <c r="T37" s="22"/>
      <c r="U37" s="22"/>
      <c r="V37" s="22"/>
      <c r="W37" s="22" t="str">
        <f t="shared" ref="W37" si="18">W32</f>
        <v>A</v>
      </c>
      <c r="X37" s="22" t="str">
        <f t="shared" ref="X37" si="19">CHAR(CODE(X32)+1)</f>
        <v>W</v>
      </c>
      <c r="Y37" s="23">
        <f t="shared" ref="Y37" si="20">Y32</f>
        <v>174</v>
      </c>
      <c r="Z37" s="22" t="s">
        <v>324</v>
      </c>
      <c r="AA37" s="22"/>
      <c r="AB37" s="22"/>
      <c r="AC37" s="22"/>
      <c r="AD37" s="22"/>
      <c r="AE37" s="22"/>
      <c r="AF37" s="22"/>
      <c r="AG37" s="22"/>
      <c r="AH37" s="22"/>
      <c r="AI37" s="22"/>
      <c r="AJ37" s="22"/>
      <c r="AK37" s="22"/>
      <c r="AL37" s="22"/>
      <c r="AM37" s="22" t="str">
        <f t="shared" ref="AM37" si="21">_xlfn.CONCAT(N37&amp;W37&amp;X37&amp;Y37&amp;Z37)</f>
        <v>Workbooks("HFU Forecast UTLA 1.0.xlsm").Worksheets("Combined data").Range("AW174")</v>
      </c>
      <c r="AO37" t="s">
        <v>971</v>
      </c>
    </row>
    <row r="38" spans="2:41" x14ac:dyDescent="0.25">
      <c r="B38" s="22" t="s">
        <v>339</v>
      </c>
      <c r="C38" s="22"/>
      <c r="D38" s="22"/>
      <c r="E38" s="22"/>
      <c r="F38" s="22"/>
      <c r="G38" s="22"/>
      <c r="H38" s="22"/>
      <c r="I38" s="22"/>
      <c r="J38" s="22"/>
      <c r="K38" s="22"/>
      <c r="L38" s="22"/>
      <c r="M38" s="22"/>
      <c r="N38" s="22"/>
      <c r="O38" s="22"/>
      <c r="P38" s="22"/>
      <c r="Q38" s="22"/>
      <c r="R38" s="22"/>
      <c r="S38" s="22"/>
      <c r="T38" s="22"/>
      <c r="U38" s="22"/>
      <c r="V38" s="22"/>
      <c r="W38" s="22"/>
      <c r="X38" s="22"/>
      <c r="Y38" s="23"/>
      <c r="Z38" s="22"/>
      <c r="AA38" s="22"/>
      <c r="AB38" s="22"/>
      <c r="AC38" s="22"/>
      <c r="AD38" s="22"/>
      <c r="AE38" s="22"/>
      <c r="AF38" s="22"/>
      <c r="AG38" s="22"/>
      <c r="AH38" s="22"/>
      <c r="AI38" s="22"/>
      <c r="AJ38" s="22"/>
      <c r="AK38" s="22"/>
      <c r="AL38" s="22"/>
      <c r="AM38" s="22" t="str">
        <f t="shared" ref="AM38" si="22">B38</f>
        <v>ActiveWorkbook.Close SaveChanges:=False</v>
      </c>
      <c r="AO38" t="s">
        <v>339</v>
      </c>
    </row>
    <row r="40" spans="2:41" x14ac:dyDescent="0.25">
      <c r="B40" s="19" t="s">
        <v>316</v>
      </c>
      <c r="C40" s="19"/>
      <c r="D40" s="19"/>
      <c r="E40" s="19"/>
      <c r="F40" s="19"/>
      <c r="G40" s="19"/>
      <c r="H40" s="19"/>
      <c r="I40" s="19"/>
      <c r="J40" s="19"/>
      <c r="K40" s="19"/>
      <c r="L40" s="19"/>
      <c r="M40" s="19"/>
      <c r="N40" s="19" t="s">
        <v>321</v>
      </c>
      <c r="O40" s="19"/>
      <c r="P40" s="19"/>
      <c r="Q40" s="19"/>
      <c r="R40" s="19"/>
      <c r="S40" s="19"/>
      <c r="T40" s="19"/>
      <c r="U40" s="19"/>
      <c r="V40" s="19">
        <f t="shared" ref="V40:V41" si="23">V35+1</f>
        <v>7</v>
      </c>
      <c r="W40" s="19"/>
      <c r="X40" s="19"/>
      <c r="Y40" s="21"/>
      <c r="Z40" s="19" t="s">
        <v>322</v>
      </c>
      <c r="AA40" s="19"/>
      <c r="AB40" s="19"/>
      <c r="AC40" s="19"/>
      <c r="AD40" s="19"/>
      <c r="AE40" s="19"/>
      <c r="AF40" s="19"/>
      <c r="AG40" s="19"/>
      <c r="AH40" s="19"/>
      <c r="AI40" s="19"/>
      <c r="AJ40" s="19"/>
      <c r="AK40" s="19"/>
      <c r="AL40" s="19"/>
      <c r="AM40" s="19" t="str">
        <f t="shared" ref="AM40" si="24">+_xlfn.CONCAT(N40&amp;V40&amp;Z40)</f>
        <v xml:space="preserve"> Workbooks.Open "A:\Homes for Ukraine data\Ukraine_sponsorship_data_7.ods"</v>
      </c>
      <c r="AO40" t="s">
        <v>343</v>
      </c>
    </row>
    <row r="41" spans="2:41" x14ac:dyDescent="0.25">
      <c r="B41" s="19" t="s">
        <v>380</v>
      </c>
      <c r="C41" s="19"/>
      <c r="D41" s="19"/>
      <c r="E41" s="19"/>
      <c r="F41" s="19"/>
      <c r="G41" s="19"/>
      <c r="H41" s="19"/>
      <c r="I41" s="19"/>
      <c r="J41" s="19"/>
      <c r="K41" s="19"/>
      <c r="L41" s="19"/>
      <c r="M41" s="19"/>
      <c r="N41" s="19" t="s">
        <v>323</v>
      </c>
      <c r="O41" s="19"/>
      <c r="P41" s="19"/>
      <c r="Q41" s="19"/>
      <c r="R41" s="19"/>
      <c r="S41" s="19"/>
      <c r="T41" s="19"/>
      <c r="U41" s="19"/>
      <c r="V41" s="19">
        <f t="shared" si="23"/>
        <v>7</v>
      </c>
      <c r="W41" s="19"/>
      <c r="X41" s="19"/>
      <c r="Y41" s="21"/>
      <c r="Z41" s="19" t="s">
        <v>381</v>
      </c>
      <c r="AA41" s="19"/>
      <c r="AB41" s="19"/>
      <c r="AC41" s="19"/>
      <c r="AD41" s="19"/>
      <c r="AE41" s="19" t="str">
        <f t="shared" ref="AE41:AF41" si="25">AE36</f>
        <v>E</v>
      </c>
      <c r="AF41" s="19">
        <f t="shared" si="25"/>
        <v>13</v>
      </c>
      <c r="AG41" s="19" t="s">
        <v>327</v>
      </c>
      <c r="AH41" s="19" t="str">
        <f t="shared" ref="AH41:AI41" si="26">AH36</f>
        <v>E</v>
      </c>
      <c r="AI41" s="19">
        <f t="shared" si="26"/>
        <v>53</v>
      </c>
      <c r="AJ41" s="19"/>
      <c r="AK41" s="19" t="s">
        <v>325</v>
      </c>
      <c r="AL41" s="19"/>
      <c r="AM41" s="19" t="str">
        <f t="shared" ref="AM41" si="27">_xlfn.CONCAT(N41&amp;V41&amp;Z41&amp;AE41&amp;AF41&amp;AG41&amp;AE41&amp;AI41&amp;AK41)</f>
        <v xml:space="preserve"> Workbooks("Ukraine_sponsorship_data_7.ods").Worksheets("Scotland").Range("E13:E53").Copy _</v>
      </c>
      <c r="AO41" t="s">
        <v>648</v>
      </c>
    </row>
    <row r="42" spans="2:41" x14ac:dyDescent="0.25">
      <c r="B42" s="19" t="s">
        <v>808</v>
      </c>
      <c r="C42" s="19"/>
      <c r="D42" s="19"/>
      <c r="E42" s="19"/>
      <c r="F42" s="19"/>
      <c r="G42" s="19"/>
      <c r="H42" s="19"/>
      <c r="I42" s="19"/>
      <c r="J42" s="19"/>
      <c r="K42" s="19"/>
      <c r="L42" s="19"/>
      <c r="M42" s="19"/>
      <c r="N42" s="19" t="s">
        <v>809</v>
      </c>
      <c r="O42" s="19"/>
      <c r="P42" s="19"/>
      <c r="Q42" s="19"/>
      <c r="R42" s="19"/>
      <c r="S42" s="19"/>
      <c r="T42" s="19"/>
      <c r="U42" s="19"/>
      <c r="V42" s="19"/>
      <c r="W42" s="19" t="str">
        <f t="shared" ref="W42" si="28">W37</f>
        <v>A</v>
      </c>
      <c r="X42" s="19" t="str">
        <f t="shared" ref="X42" si="29">CHAR(CODE(X37)+1)</f>
        <v>X</v>
      </c>
      <c r="Y42" s="21">
        <f t="shared" ref="Y42" si="30">Y37</f>
        <v>174</v>
      </c>
      <c r="Z42" s="19" t="s">
        <v>324</v>
      </c>
      <c r="AA42" s="19"/>
      <c r="AB42" s="19"/>
      <c r="AC42" s="19"/>
      <c r="AD42" s="19"/>
      <c r="AE42" s="19"/>
      <c r="AF42" s="19"/>
      <c r="AG42" s="19"/>
      <c r="AH42" s="19"/>
      <c r="AI42" s="19"/>
      <c r="AJ42" s="19"/>
      <c r="AK42" s="19"/>
      <c r="AL42" s="19"/>
      <c r="AM42" s="19" t="str">
        <f t="shared" ref="AM42" si="31">_xlfn.CONCAT(N42&amp;W42&amp;X42&amp;Y42&amp;Z42)</f>
        <v>Workbooks("HFU Forecast UTLA 1.0.xlsm").Worksheets("Combined data").Range("AX174")</v>
      </c>
      <c r="AO42" t="s">
        <v>972</v>
      </c>
    </row>
    <row r="43" spans="2:41" x14ac:dyDescent="0.25">
      <c r="B43" s="19" t="s">
        <v>339</v>
      </c>
      <c r="C43" s="19"/>
      <c r="D43" s="19"/>
      <c r="E43" s="19"/>
      <c r="F43" s="19"/>
      <c r="G43" s="19"/>
      <c r="H43" s="19"/>
      <c r="I43" s="19"/>
      <c r="J43" s="19"/>
      <c r="K43" s="19"/>
      <c r="L43" s="19"/>
      <c r="M43" s="19"/>
      <c r="N43" s="19"/>
      <c r="O43" s="19"/>
      <c r="P43" s="19"/>
      <c r="Q43" s="19"/>
      <c r="R43" s="19"/>
      <c r="S43" s="19"/>
      <c r="T43" s="19"/>
      <c r="U43" s="19"/>
      <c r="V43" s="19"/>
      <c r="W43" s="19"/>
      <c r="X43" s="19"/>
      <c r="Y43" s="21"/>
      <c r="Z43" s="19"/>
      <c r="AA43" s="19"/>
      <c r="AB43" s="19"/>
      <c r="AC43" s="19"/>
      <c r="AD43" s="19"/>
      <c r="AE43" s="19"/>
      <c r="AF43" s="19"/>
      <c r="AG43" s="19"/>
      <c r="AH43" s="19"/>
      <c r="AI43" s="19"/>
      <c r="AJ43" s="19"/>
      <c r="AK43" s="19"/>
      <c r="AL43" s="19"/>
      <c r="AM43" s="19" t="str">
        <f t="shared" ref="AM43" si="32">B43</f>
        <v>ActiveWorkbook.Close SaveChanges:=False</v>
      </c>
      <c r="AO43" t="s">
        <v>339</v>
      </c>
    </row>
    <row r="45" spans="2:41" x14ac:dyDescent="0.25">
      <c r="B45" s="22" t="s">
        <v>316</v>
      </c>
      <c r="C45" s="22"/>
      <c r="D45" s="22"/>
      <c r="E45" s="22"/>
      <c r="F45" s="22"/>
      <c r="G45" s="22"/>
      <c r="H45" s="22"/>
      <c r="I45" s="22"/>
      <c r="J45" s="22"/>
      <c r="K45" s="22"/>
      <c r="L45" s="22"/>
      <c r="M45" s="22"/>
      <c r="N45" s="22" t="s">
        <v>321</v>
      </c>
      <c r="O45" s="22"/>
      <c r="P45" s="22"/>
      <c r="Q45" s="22"/>
      <c r="R45" s="22"/>
      <c r="S45" s="22"/>
      <c r="T45" s="22"/>
      <c r="U45" s="22"/>
      <c r="V45" s="22">
        <f t="shared" ref="V45:V46" si="33">V40+1</f>
        <v>8</v>
      </c>
      <c r="W45" s="22"/>
      <c r="X45" s="22"/>
      <c r="Y45" s="23"/>
      <c r="Z45" s="22" t="s">
        <v>322</v>
      </c>
      <c r="AA45" s="22"/>
      <c r="AB45" s="22"/>
      <c r="AC45" s="22"/>
      <c r="AD45" s="22"/>
      <c r="AE45" s="22"/>
      <c r="AF45" s="22"/>
      <c r="AG45" s="22"/>
      <c r="AH45" s="22"/>
      <c r="AI45" s="22"/>
      <c r="AJ45" s="22"/>
      <c r="AK45" s="22"/>
      <c r="AL45" s="22"/>
      <c r="AM45" s="22" t="str">
        <f t="shared" ref="AM45" si="34">+_xlfn.CONCAT(N45&amp;V45&amp;Z45)</f>
        <v xml:space="preserve"> Workbooks.Open "A:\Homes for Ukraine data\Ukraine_sponsorship_data_8.ods"</v>
      </c>
      <c r="AO45" t="s">
        <v>344</v>
      </c>
    </row>
    <row r="46" spans="2:41" x14ac:dyDescent="0.25">
      <c r="B46" s="22" t="s">
        <v>380</v>
      </c>
      <c r="C46" s="22"/>
      <c r="D46" s="22"/>
      <c r="E46" s="22"/>
      <c r="F46" s="22"/>
      <c r="G46" s="22"/>
      <c r="H46" s="22"/>
      <c r="I46" s="22"/>
      <c r="J46" s="22"/>
      <c r="K46" s="22"/>
      <c r="L46" s="22"/>
      <c r="M46" s="22"/>
      <c r="N46" s="22" t="s">
        <v>323</v>
      </c>
      <c r="O46" s="22"/>
      <c r="P46" s="22"/>
      <c r="Q46" s="22"/>
      <c r="R46" s="22"/>
      <c r="S46" s="22"/>
      <c r="T46" s="22"/>
      <c r="U46" s="22"/>
      <c r="V46" s="22">
        <f t="shared" si="33"/>
        <v>8</v>
      </c>
      <c r="W46" s="22"/>
      <c r="X46" s="22"/>
      <c r="Y46" s="23"/>
      <c r="Z46" s="22" t="s">
        <v>381</v>
      </c>
      <c r="AA46" s="22"/>
      <c r="AB46" s="22"/>
      <c r="AC46" s="22"/>
      <c r="AD46" s="22"/>
      <c r="AE46" s="22" t="str">
        <f t="shared" ref="AE46:AF46" si="35">AE41</f>
        <v>E</v>
      </c>
      <c r="AF46" s="22">
        <f t="shared" si="35"/>
        <v>13</v>
      </c>
      <c r="AG46" s="22" t="s">
        <v>327</v>
      </c>
      <c r="AH46" s="22" t="str">
        <f t="shared" ref="AH46:AI46" si="36">AH41</f>
        <v>E</v>
      </c>
      <c r="AI46" s="22">
        <f t="shared" si="36"/>
        <v>53</v>
      </c>
      <c r="AJ46" s="22"/>
      <c r="AK46" s="22" t="s">
        <v>325</v>
      </c>
      <c r="AL46" s="22"/>
      <c r="AM46" s="22" t="str">
        <f t="shared" ref="AM46" si="37">_xlfn.CONCAT(N46&amp;V46&amp;Z46&amp;AE46&amp;AF46&amp;AG46&amp;AE46&amp;AI46&amp;AK46)</f>
        <v xml:space="preserve"> Workbooks("Ukraine_sponsorship_data_8.ods").Worksheets("Scotland").Range("E13:E53").Copy _</v>
      </c>
      <c r="AO46" t="s">
        <v>649</v>
      </c>
    </row>
    <row r="47" spans="2:41" x14ac:dyDescent="0.25">
      <c r="B47" s="22" t="s">
        <v>808</v>
      </c>
      <c r="C47" s="22"/>
      <c r="D47" s="22"/>
      <c r="E47" s="22"/>
      <c r="F47" s="22"/>
      <c r="G47" s="22"/>
      <c r="H47" s="22"/>
      <c r="I47" s="22"/>
      <c r="J47" s="22"/>
      <c r="K47" s="22"/>
      <c r="L47" s="22"/>
      <c r="M47" s="22"/>
      <c r="N47" s="22" t="s">
        <v>809</v>
      </c>
      <c r="O47" s="22"/>
      <c r="P47" s="22"/>
      <c r="Q47" s="22"/>
      <c r="R47" s="22"/>
      <c r="S47" s="22"/>
      <c r="T47" s="22"/>
      <c r="U47" s="22"/>
      <c r="V47" s="22"/>
      <c r="W47" s="22" t="str">
        <f t="shared" ref="W47" si="38">W42</f>
        <v>A</v>
      </c>
      <c r="X47" s="22" t="str">
        <f t="shared" ref="X47" si="39">CHAR(CODE(X42)+1)</f>
        <v>Y</v>
      </c>
      <c r="Y47" s="23">
        <f t="shared" ref="Y47" si="40">Y42</f>
        <v>174</v>
      </c>
      <c r="Z47" s="22" t="s">
        <v>324</v>
      </c>
      <c r="AA47" s="22"/>
      <c r="AB47" s="22"/>
      <c r="AC47" s="22"/>
      <c r="AD47" s="22"/>
      <c r="AE47" s="22"/>
      <c r="AF47" s="22"/>
      <c r="AG47" s="22"/>
      <c r="AH47" s="22"/>
      <c r="AI47" s="22"/>
      <c r="AJ47" s="22"/>
      <c r="AK47" s="22"/>
      <c r="AL47" s="22"/>
      <c r="AM47" s="22" t="str">
        <f t="shared" ref="AM47" si="41">_xlfn.CONCAT(N47&amp;W47&amp;X47&amp;Y47&amp;Z47)</f>
        <v>Workbooks("HFU Forecast UTLA 1.0.xlsm").Worksheets("Combined data").Range("AY174")</v>
      </c>
      <c r="AO47" t="s">
        <v>973</v>
      </c>
    </row>
    <row r="48" spans="2:41" x14ac:dyDescent="0.25">
      <c r="B48" s="22" t="s">
        <v>339</v>
      </c>
      <c r="C48" s="22"/>
      <c r="D48" s="22"/>
      <c r="E48" s="22"/>
      <c r="F48" s="22"/>
      <c r="G48" s="22"/>
      <c r="H48" s="22"/>
      <c r="I48" s="22"/>
      <c r="J48" s="22"/>
      <c r="K48" s="22"/>
      <c r="L48" s="22"/>
      <c r="M48" s="22"/>
      <c r="N48" s="22"/>
      <c r="O48" s="22"/>
      <c r="P48" s="22"/>
      <c r="Q48" s="22"/>
      <c r="R48" s="22"/>
      <c r="S48" s="22"/>
      <c r="T48" s="22"/>
      <c r="U48" s="22"/>
      <c r="V48" s="22"/>
      <c r="W48" s="22"/>
      <c r="X48" s="22"/>
      <c r="Y48" s="23"/>
      <c r="Z48" s="22"/>
      <c r="AA48" s="22"/>
      <c r="AB48" s="22"/>
      <c r="AC48" s="22"/>
      <c r="AD48" s="22"/>
      <c r="AE48" s="22"/>
      <c r="AF48" s="22"/>
      <c r="AG48" s="22"/>
      <c r="AH48" s="22"/>
      <c r="AI48" s="22"/>
      <c r="AJ48" s="22"/>
      <c r="AK48" s="22"/>
      <c r="AL48" s="22"/>
      <c r="AM48" s="22" t="str">
        <f t="shared" ref="AM48" si="42">B48</f>
        <v>ActiveWorkbook.Close SaveChanges:=False</v>
      </c>
      <c r="AO48" t="s">
        <v>339</v>
      </c>
    </row>
    <row r="50" spans="2:41" x14ac:dyDescent="0.25">
      <c r="B50" s="19" t="s">
        <v>316</v>
      </c>
      <c r="C50" s="19"/>
      <c r="D50" s="19"/>
      <c r="E50" s="19"/>
      <c r="F50" s="19"/>
      <c r="G50" s="19"/>
      <c r="H50" s="19"/>
      <c r="I50" s="19"/>
      <c r="J50" s="19"/>
      <c r="K50" s="19"/>
      <c r="L50" s="19"/>
      <c r="M50" s="19"/>
      <c r="N50" s="19" t="s">
        <v>321</v>
      </c>
      <c r="O50" s="19"/>
      <c r="P50" s="19"/>
      <c r="Q50" s="19"/>
      <c r="R50" s="19"/>
      <c r="S50" s="19"/>
      <c r="T50" s="19"/>
      <c r="U50" s="19"/>
      <c r="V50" s="19">
        <f t="shared" ref="V50:V111" si="43">V45+1</f>
        <v>9</v>
      </c>
      <c r="W50" s="19"/>
      <c r="X50" s="19"/>
      <c r="Y50" s="21"/>
      <c r="Z50" s="19" t="s">
        <v>322</v>
      </c>
      <c r="AA50" s="19"/>
      <c r="AB50" s="19"/>
      <c r="AC50" s="19"/>
      <c r="AD50" s="19"/>
      <c r="AE50" s="19"/>
      <c r="AF50" s="19"/>
      <c r="AG50" s="19"/>
      <c r="AH50" s="19"/>
      <c r="AI50" s="19"/>
      <c r="AJ50" s="19"/>
      <c r="AK50" s="19"/>
      <c r="AL50" s="19"/>
      <c r="AM50" s="19" t="str">
        <f t="shared" ref="AM50" si="44">+_xlfn.CONCAT(N50&amp;V50&amp;Z50)</f>
        <v xml:space="preserve"> Workbooks.Open "A:\Homes for Ukraine data\Ukraine_sponsorship_data_9.ods"</v>
      </c>
      <c r="AO50" t="s">
        <v>345</v>
      </c>
    </row>
    <row r="51" spans="2:41" x14ac:dyDescent="0.25">
      <c r="B51" s="19" t="s">
        <v>380</v>
      </c>
      <c r="C51" s="19"/>
      <c r="D51" s="19"/>
      <c r="E51" s="19"/>
      <c r="F51" s="19"/>
      <c r="G51" s="19"/>
      <c r="H51" s="19"/>
      <c r="I51" s="19"/>
      <c r="J51" s="19"/>
      <c r="K51" s="19"/>
      <c r="L51" s="19"/>
      <c r="M51" s="19"/>
      <c r="N51" s="19" t="s">
        <v>323</v>
      </c>
      <c r="O51" s="19"/>
      <c r="P51" s="19"/>
      <c r="Q51" s="19"/>
      <c r="R51" s="19"/>
      <c r="S51" s="19"/>
      <c r="T51" s="19"/>
      <c r="U51" s="19"/>
      <c r="V51" s="19">
        <f t="shared" si="43"/>
        <v>9</v>
      </c>
      <c r="W51" s="19"/>
      <c r="X51" s="19"/>
      <c r="Y51" s="21"/>
      <c r="Z51" s="19" t="s">
        <v>381</v>
      </c>
      <c r="AA51" s="19"/>
      <c r="AB51" s="19"/>
      <c r="AC51" s="19"/>
      <c r="AD51" s="19"/>
      <c r="AE51" s="19" t="str">
        <f t="shared" ref="AE51:AF51" si="45">AE46</f>
        <v>E</v>
      </c>
      <c r="AF51" s="19">
        <f t="shared" si="45"/>
        <v>13</v>
      </c>
      <c r="AG51" s="19" t="s">
        <v>327</v>
      </c>
      <c r="AH51" s="19" t="str">
        <f t="shared" ref="AH51:AI51" si="46">AH46</f>
        <v>E</v>
      </c>
      <c r="AI51" s="19">
        <f t="shared" si="46"/>
        <v>53</v>
      </c>
      <c r="AJ51" s="19"/>
      <c r="AK51" s="19" t="s">
        <v>325</v>
      </c>
      <c r="AL51" s="19"/>
      <c r="AM51" s="19" t="str">
        <f t="shared" ref="AM51" si="47">_xlfn.CONCAT(N51&amp;V51&amp;Z51&amp;AE51&amp;AF51&amp;AG51&amp;AE51&amp;AI51&amp;AK51)</f>
        <v xml:space="preserve"> Workbooks("Ukraine_sponsorship_data_9.ods").Worksheets("Scotland").Range("E13:E53").Copy _</v>
      </c>
      <c r="AO51" t="s">
        <v>650</v>
      </c>
    </row>
    <row r="52" spans="2:41" x14ac:dyDescent="0.25">
      <c r="B52" s="19" t="s">
        <v>808</v>
      </c>
      <c r="C52" s="19"/>
      <c r="D52" s="19"/>
      <c r="E52" s="19"/>
      <c r="F52" s="19"/>
      <c r="G52" s="19"/>
      <c r="H52" s="19"/>
      <c r="I52" s="19"/>
      <c r="J52" s="19"/>
      <c r="K52" s="19"/>
      <c r="L52" s="19"/>
      <c r="M52" s="19"/>
      <c r="N52" s="19" t="s">
        <v>809</v>
      </c>
      <c r="O52" s="19"/>
      <c r="P52" s="19"/>
      <c r="Q52" s="19"/>
      <c r="R52" s="19"/>
      <c r="S52" s="19"/>
      <c r="T52" s="19"/>
      <c r="U52" s="19"/>
      <c r="V52" s="19"/>
      <c r="W52" s="19" t="str">
        <f t="shared" ref="W52:W102" si="48">W47</f>
        <v>A</v>
      </c>
      <c r="X52" s="19" t="str">
        <f t="shared" ref="X52:X112" si="49">CHAR(CODE(X47)+1)</f>
        <v>Z</v>
      </c>
      <c r="Y52" s="21">
        <f t="shared" ref="Y52" si="50">Y47</f>
        <v>174</v>
      </c>
      <c r="Z52" s="19" t="s">
        <v>324</v>
      </c>
      <c r="AA52" s="19"/>
      <c r="AB52" s="19"/>
      <c r="AC52" s="19"/>
      <c r="AD52" s="19"/>
      <c r="AE52" s="19"/>
      <c r="AF52" s="19"/>
      <c r="AG52" s="19"/>
      <c r="AH52" s="19"/>
      <c r="AI52" s="19"/>
      <c r="AJ52" s="19"/>
      <c r="AK52" s="19"/>
      <c r="AL52" s="19"/>
      <c r="AM52" s="19" t="str">
        <f t="shared" ref="AM52" si="51">_xlfn.CONCAT(N52&amp;W52&amp;X52&amp;Y52&amp;Z52)</f>
        <v>Workbooks("HFU Forecast UTLA 1.0.xlsm").Worksheets("Combined data").Range("AZ174")</v>
      </c>
      <c r="AO52" t="s">
        <v>974</v>
      </c>
    </row>
    <row r="53" spans="2:41" x14ac:dyDescent="0.25">
      <c r="B53" s="19" t="s">
        <v>339</v>
      </c>
      <c r="C53" s="19"/>
      <c r="D53" s="19"/>
      <c r="E53" s="19"/>
      <c r="F53" s="19"/>
      <c r="G53" s="19"/>
      <c r="H53" s="19"/>
      <c r="I53" s="19"/>
      <c r="J53" s="19"/>
      <c r="K53" s="19"/>
      <c r="L53" s="19"/>
      <c r="M53" s="19"/>
      <c r="N53" s="19"/>
      <c r="O53" s="19"/>
      <c r="P53" s="19"/>
      <c r="Q53" s="19"/>
      <c r="R53" s="19"/>
      <c r="S53" s="19"/>
      <c r="T53" s="19"/>
      <c r="U53" s="19"/>
      <c r="V53" s="19"/>
      <c r="W53" s="19"/>
      <c r="X53" s="19"/>
      <c r="Y53" s="21"/>
      <c r="Z53" s="19"/>
      <c r="AA53" s="19"/>
      <c r="AB53" s="19"/>
      <c r="AC53" s="19"/>
      <c r="AD53" s="19"/>
      <c r="AE53" s="19"/>
      <c r="AF53" s="19"/>
      <c r="AG53" s="19"/>
      <c r="AH53" s="19"/>
      <c r="AI53" s="19"/>
      <c r="AJ53" s="19"/>
      <c r="AK53" s="19"/>
      <c r="AL53" s="19"/>
      <c r="AM53" s="19" t="str">
        <f t="shared" ref="AM53" si="52">B53</f>
        <v>ActiveWorkbook.Close SaveChanges:=False</v>
      </c>
      <c r="AO53" t="s">
        <v>339</v>
      </c>
    </row>
    <row r="55" spans="2:41" x14ac:dyDescent="0.25">
      <c r="B55" s="22" t="s">
        <v>316</v>
      </c>
      <c r="C55" s="22"/>
      <c r="D55" s="22"/>
      <c r="E55" s="22"/>
      <c r="F55" s="22"/>
      <c r="G55" s="22"/>
      <c r="H55" s="22"/>
      <c r="I55" s="22"/>
      <c r="J55" s="22"/>
      <c r="K55" s="22"/>
      <c r="L55" s="22"/>
      <c r="M55" s="22"/>
      <c r="N55" s="22" t="s">
        <v>321</v>
      </c>
      <c r="O55" s="22"/>
      <c r="P55" s="22"/>
      <c r="Q55" s="22"/>
      <c r="R55" s="22"/>
      <c r="S55" s="22"/>
      <c r="T55" s="22"/>
      <c r="U55" s="22"/>
      <c r="V55" s="22">
        <f t="shared" ref="V55:V116" si="53">V50+1</f>
        <v>10</v>
      </c>
      <c r="W55" s="22"/>
      <c r="X55" s="22"/>
      <c r="Y55" s="23"/>
      <c r="Z55" s="22" t="s">
        <v>322</v>
      </c>
      <c r="AA55" s="22"/>
      <c r="AB55" s="22"/>
      <c r="AC55" s="22"/>
      <c r="AD55" s="22"/>
      <c r="AE55" s="22"/>
      <c r="AF55" s="22"/>
      <c r="AG55" s="22"/>
      <c r="AH55" s="22"/>
      <c r="AI55" s="22"/>
      <c r="AJ55" s="22"/>
      <c r="AK55" s="22"/>
      <c r="AL55" s="22"/>
      <c r="AM55" s="22" t="str">
        <f t="shared" ref="AM55" si="54">+_xlfn.CONCAT(N55&amp;V55&amp;Z55)</f>
        <v xml:space="preserve"> Workbooks.Open "A:\Homes for Ukraine data\Ukraine_sponsorship_data_10.ods"</v>
      </c>
      <c r="AO55" t="s">
        <v>346</v>
      </c>
    </row>
    <row r="56" spans="2:41" x14ac:dyDescent="0.25">
      <c r="B56" s="22" t="s">
        <v>380</v>
      </c>
      <c r="C56" s="22"/>
      <c r="D56" s="22"/>
      <c r="E56" s="22"/>
      <c r="F56" s="22"/>
      <c r="G56" s="22"/>
      <c r="H56" s="22"/>
      <c r="I56" s="22"/>
      <c r="J56" s="22"/>
      <c r="K56" s="22"/>
      <c r="L56" s="22"/>
      <c r="M56" s="22"/>
      <c r="N56" s="22" t="s">
        <v>323</v>
      </c>
      <c r="O56" s="22"/>
      <c r="P56" s="22"/>
      <c r="Q56" s="22"/>
      <c r="R56" s="22"/>
      <c r="S56" s="22"/>
      <c r="T56" s="22"/>
      <c r="U56" s="22"/>
      <c r="V56" s="22">
        <f t="shared" si="53"/>
        <v>10</v>
      </c>
      <c r="W56" s="22"/>
      <c r="X56" s="22"/>
      <c r="Y56" s="23"/>
      <c r="Z56" s="22" t="s">
        <v>381</v>
      </c>
      <c r="AA56" s="22"/>
      <c r="AB56" s="22"/>
      <c r="AC56" s="22"/>
      <c r="AD56" s="22"/>
      <c r="AE56" s="22" t="str">
        <f t="shared" ref="AE56:AF56" si="55">AE51</f>
        <v>E</v>
      </c>
      <c r="AF56" s="22">
        <f t="shared" si="55"/>
        <v>13</v>
      </c>
      <c r="AG56" s="22" t="s">
        <v>327</v>
      </c>
      <c r="AH56" s="22" t="str">
        <f t="shared" ref="AH56:AI56" si="56">AH51</f>
        <v>E</v>
      </c>
      <c r="AI56" s="22">
        <f t="shared" si="56"/>
        <v>53</v>
      </c>
      <c r="AJ56" s="22"/>
      <c r="AK56" s="22" t="s">
        <v>325</v>
      </c>
      <c r="AL56" s="22"/>
      <c r="AM56" s="22" t="str">
        <f t="shared" ref="AM56" si="57">_xlfn.CONCAT(N56&amp;V56&amp;Z56&amp;AE56&amp;AF56&amp;AG56&amp;AE56&amp;AI56&amp;AK56)</f>
        <v xml:space="preserve"> Workbooks("Ukraine_sponsorship_data_10.ods").Worksheets("Scotland").Range("E13:E53").Copy _</v>
      </c>
      <c r="AO56" t="s">
        <v>651</v>
      </c>
    </row>
    <row r="57" spans="2:41" x14ac:dyDescent="0.25">
      <c r="B57" s="22" t="s">
        <v>808</v>
      </c>
      <c r="C57" s="22"/>
      <c r="D57" s="22"/>
      <c r="E57" s="22"/>
      <c r="F57" s="22"/>
      <c r="G57" s="22"/>
      <c r="H57" s="22"/>
      <c r="I57" s="22"/>
      <c r="J57" s="22"/>
      <c r="K57" s="22"/>
      <c r="L57" s="22"/>
      <c r="M57" s="22"/>
      <c r="N57" s="22" t="s">
        <v>809</v>
      </c>
      <c r="O57" s="22"/>
      <c r="P57" s="22"/>
      <c r="Q57" s="22"/>
      <c r="R57" s="22"/>
      <c r="S57" s="22"/>
      <c r="T57" s="22"/>
      <c r="U57" s="22"/>
      <c r="V57" s="22"/>
      <c r="W57" s="22" t="s">
        <v>313</v>
      </c>
      <c r="X57" s="22" t="s">
        <v>312</v>
      </c>
      <c r="Y57" s="23">
        <f t="shared" ref="Y57" si="58">Y52</f>
        <v>174</v>
      </c>
      <c r="Z57" s="22" t="s">
        <v>324</v>
      </c>
      <c r="AA57" s="22"/>
      <c r="AB57" s="22"/>
      <c r="AC57" s="22"/>
      <c r="AD57" s="22"/>
      <c r="AE57" s="22"/>
      <c r="AF57" s="22"/>
      <c r="AG57" s="22"/>
      <c r="AH57" s="22"/>
      <c r="AI57" s="22"/>
      <c r="AJ57" s="22"/>
      <c r="AK57" s="22"/>
      <c r="AL57" s="22"/>
      <c r="AM57" s="22" t="str">
        <f t="shared" ref="AM57" si="59">_xlfn.CONCAT(N57&amp;W57&amp;X57&amp;Y57&amp;Z57)</f>
        <v>Workbooks("HFU Forecast UTLA 1.0.xlsm").Worksheets("Combined data").Range("BA174")</v>
      </c>
      <c r="AO57" t="s">
        <v>1183</v>
      </c>
    </row>
    <row r="58" spans="2:41" x14ac:dyDescent="0.25">
      <c r="B58" s="22" t="s">
        <v>339</v>
      </c>
      <c r="C58" s="22"/>
      <c r="D58" s="22"/>
      <c r="E58" s="22"/>
      <c r="F58" s="22"/>
      <c r="G58" s="22"/>
      <c r="H58" s="22"/>
      <c r="I58" s="22"/>
      <c r="J58" s="22"/>
      <c r="K58" s="22"/>
      <c r="L58" s="22"/>
      <c r="M58" s="22"/>
      <c r="N58" s="22"/>
      <c r="O58" s="22"/>
      <c r="P58" s="22"/>
      <c r="Q58" s="22"/>
      <c r="R58" s="22"/>
      <c r="S58" s="22"/>
      <c r="T58" s="22"/>
      <c r="U58" s="22"/>
      <c r="V58" s="22"/>
      <c r="W58" s="22"/>
      <c r="X58" s="22"/>
      <c r="Y58" s="23"/>
      <c r="Z58" s="22"/>
      <c r="AA58" s="22"/>
      <c r="AB58" s="22"/>
      <c r="AC58" s="22"/>
      <c r="AD58" s="22"/>
      <c r="AE58" s="22"/>
      <c r="AF58" s="22"/>
      <c r="AG58" s="22"/>
      <c r="AH58" s="22"/>
      <c r="AI58" s="22"/>
      <c r="AJ58" s="22"/>
      <c r="AK58" s="22"/>
      <c r="AL58" s="22"/>
      <c r="AM58" s="22" t="str">
        <f t="shared" ref="AM58" si="60">B58</f>
        <v>ActiveWorkbook.Close SaveChanges:=False</v>
      </c>
      <c r="AO58" t="s">
        <v>339</v>
      </c>
    </row>
    <row r="60" spans="2:41" x14ac:dyDescent="0.25">
      <c r="B60" s="19" t="s">
        <v>316</v>
      </c>
      <c r="C60" s="19"/>
      <c r="D60" s="19"/>
      <c r="E60" s="19"/>
      <c r="F60" s="19"/>
      <c r="G60" s="19"/>
      <c r="H60" s="19"/>
      <c r="I60" s="19"/>
      <c r="J60" s="19"/>
      <c r="K60" s="19"/>
      <c r="L60" s="19"/>
      <c r="M60" s="19"/>
      <c r="N60" s="19" t="s">
        <v>321</v>
      </c>
      <c r="O60" s="19"/>
      <c r="P60" s="19"/>
      <c r="Q60" s="19"/>
      <c r="R60" s="19"/>
      <c r="S60" s="19"/>
      <c r="T60" s="19"/>
      <c r="U60" s="19"/>
      <c r="V60" s="19">
        <f t="shared" si="43"/>
        <v>11</v>
      </c>
      <c r="W60" s="19"/>
      <c r="X60" s="19"/>
      <c r="Y60" s="21"/>
      <c r="Z60" s="19" t="s">
        <v>322</v>
      </c>
      <c r="AA60" s="19"/>
      <c r="AB60" s="19"/>
      <c r="AC60" s="19"/>
      <c r="AD60" s="19"/>
      <c r="AE60" s="19"/>
      <c r="AF60" s="19"/>
      <c r="AG60" s="19"/>
      <c r="AH60" s="19"/>
      <c r="AI60" s="19"/>
      <c r="AJ60" s="19"/>
      <c r="AK60" s="19"/>
      <c r="AL60" s="19"/>
      <c r="AM60" s="19" t="str">
        <f t="shared" ref="AM60" si="61">+_xlfn.CONCAT(N60&amp;V60&amp;Z60)</f>
        <v xml:space="preserve"> Workbooks.Open "A:\Homes for Ukraine data\Ukraine_sponsorship_data_11.ods"</v>
      </c>
      <c r="AO60" t="s">
        <v>347</v>
      </c>
    </row>
    <row r="61" spans="2:41" x14ac:dyDescent="0.25">
      <c r="B61" s="19" t="s">
        <v>380</v>
      </c>
      <c r="C61" s="19"/>
      <c r="D61" s="19"/>
      <c r="E61" s="19"/>
      <c r="F61" s="19"/>
      <c r="G61" s="19"/>
      <c r="H61" s="19"/>
      <c r="I61" s="19"/>
      <c r="J61" s="19"/>
      <c r="K61" s="19"/>
      <c r="L61" s="19"/>
      <c r="M61" s="19"/>
      <c r="N61" s="19" t="s">
        <v>323</v>
      </c>
      <c r="O61" s="19"/>
      <c r="P61" s="19"/>
      <c r="Q61" s="19"/>
      <c r="R61" s="19"/>
      <c r="S61" s="19"/>
      <c r="T61" s="19"/>
      <c r="U61" s="19"/>
      <c r="V61" s="19">
        <f t="shared" si="43"/>
        <v>11</v>
      </c>
      <c r="W61" s="19"/>
      <c r="X61" s="19"/>
      <c r="Y61" s="21"/>
      <c r="Z61" s="19" t="s">
        <v>381</v>
      </c>
      <c r="AA61" s="19"/>
      <c r="AB61" s="19"/>
      <c r="AC61" s="19"/>
      <c r="AD61" s="19"/>
      <c r="AE61" s="19" t="str">
        <f t="shared" ref="AE61:AF61" si="62">AE56</f>
        <v>E</v>
      </c>
      <c r="AF61" s="19">
        <f t="shared" si="62"/>
        <v>13</v>
      </c>
      <c r="AG61" s="19" t="s">
        <v>327</v>
      </c>
      <c r="AH61" s="19" t="str">
        <f t="shared" ref="AH61:AI61" si="63">AH56</f>
        <v>E</v>
      </c>
      <c r="AI61" s="19">
        <f t="shared" si="63"/>
        <v>53</v>
      </c>
      <c r="AJ61" s="19"/>
      <c r="AK61" s="19" t="s">
        <v>325</v>
      </c>
      <c r="AL61" s="19"/>
      <c r="AM61" s="19" t="str">
        <f t="shared" ref="AM61" si="64">_xlfn.CONCAT(N61&amp;V61&amp;Z61&amp;AE61&amp;AF61&amp;AG61&amp;AE61&amp;AI61&amp;AK61)</f>
        <v xml:space="preserve"> Workbooks("Ukraine_sponsorship_data_11.ods").Worksheets("Scotland").Range("E13:E53").Copy _</v>
      </c>
      <c r="AO61" t="s">
        <v>652</v>
      </c>
    </row>
    <row r="62" spans="2:41" x14ac:dyDescent="0.25">
      <c r="B62" s="19" t="s">
        <v>808</v>
      </c>
      <c r="C62" s="19"/>
      <c r="D62" s="19"/>
      <c r="E62" s="19"/>
      <c r="F62" s="19"/>
      <c r="G62" s="19"/>
      <c r="H62" s="19"/>
      <c r="I62" s="19"/>
      <c r="J62" s="19"/>
      <c r="K62" s="19"/>
      <c r="L62" s="19"/>
      <c r="M62" s="19"/>
      <c r="N62" s="19" t="s">
        <v>809</v>
      </c>
      <c r="O62" s="19"/>
      <c r="P62" s="19"/>
      <c r="Q62" s="19"/>
      <c r="R62" s="19"/>
      <c r="S62" s="19"/>
      <c r="T62" s="19"/>
      <c r="U62" s="19"/>
      <c r="V62" s="19"/>
      <c r="W62" s="19" t="str">
        <f t="shared" si="48"/>
        <v>B</v>
      </c>
      <c r="X62" s="19" t="str">
        <f t="shared" si="49"/>
        <v>B</v>
      </c>
      <c r="Y62" s="21">
        <f t="shared" ref="Y62" si="65">Y57</f>
        <v>174</v>
      </c>
      <c r="Z62" s="19" t="s">
        <v>324</v>
      </c>
      <c r="AA62" s="19"/>
      <c r="AB62" s="19"/>
      <c r="AC62" s="19"/>
      <c r="AD62" s="19"/>
      <c r="AE62" s="19"/>
      <c r="AF62" s="19"/>
      <c r="AG62" s="19"/>
      <c r="AH62" s="19"/>
      <c r="AI62" s="19"/>
      <c r="AJ62" s="19"/>
      <c r="AK62" s="19"/>
      <c r="AL62" s="19"/>
      <c r="AM62" s="19" t="str">
        <f t="shared" ref="AM62" si="66">_xlfn.CONCAT(N62&amp;W62&amp;X62&amp;Y62&amp;Z62)</f>
        <v>Workbooks("HFU Forecast UTLA 1.0.xlsm").Worksheets("Combined data").Range("BB174")</v>
      </c>
      <c r="AO62" t="s">
        <v>1184</v>
      </c>
    </row>
    <row r="63" spans="2:41" x14ac:dyDescent="0.25">
      <c r="B63" s="19" t="s">
        <v>339</v>
      </c>
      <c r="C63" s="19"/>
      <c r="D63" s="19"/>
      <c r="E63" s="19"/>
      <c r="F63" s="19"/>
      <c r="G63" s="19"/>
      <c r="H63" s="19"/>
      <c r="I63" s="19"/>
      <c r="J63" s="19"/>
      <c r="K63" s="19"/>
      <c r="L63" s="19"/>
      <c r="M63" s="19"/>
      <c r="N63" s="19"/>
      <c r="O63" s="19"/>
      <c r="P63" s="19"/>
      <c r="Q63" s="19"/>
      <c r="R63" s="19"/>
      <c r="S63" s="19"/>
      <c r="T63" s="19"/>
      <c r="U63" s="19"/>
      <c r="V63" s="19"/>
      <c r="W63" s="19"/>
      <c r="X63" s="19"/>
      <c r="Y63" s="21"/>
      <c r="Z63" s="19"/>
      <c r="AA63" s="19"/>
      <c r="AB63" s="19"/>
      <c r="AC63" s="19"/>
      <c r="AD63" s="19"/>
      <c r="AE63" s="19"/>
      <c r="AF63" s="19"/>
      <c r="AG63" s="19"/>
      <c r="AH63" s="19"/>
      <c r="AI63" s="19"/>
      <c r="AJ63" s="19"/>
      <c r="AK63" s="19"/>
      <c r="AL63" s="19"/>
      <c r="AM63" s="19" t="str">
        <f t="shared" ref="AM63" si="67">B63</f>
        <v>ActiveWorkbook.Close SaveChanges:=False</v>
      </c>
      <c r="AO63" t="s">
        <v>339</v>
      </c>
    </row>
    <row r="65" spans="2:41" x14ac:dyDescent="0.25">
      <c r="B65" s="22" t="s">
        <v>316</v>
      </c>
      <c r="C65" s="22"/>
      <c r="D65" s="22"/>
      <c r="E65" s="22"/>
      <c r="F65" s="22"/>
      <c r="G65" s="22"/>
      <c r="H65" s="22"/>
      <c r="I65" s="22"/>
      <c r="J65" s="22"/>
      <c r="K65" s="22"/>
      <c r="L65" s="22"/>
      <c r="M65" s="22"/>
      <c r="N65" s="22" t="s">
        <v>321</v>
      </c>
      <c r="O65" s="22"/>
      <c r="P65" s="22"/>
      <c r="Q65" s="22"/>
      <c r="R65" s="22"/>
      <c r="S65" s="22"/>
      <c r="T65" s="22"/>
      <c r="U65" s="22"/>
      <c r="V65" s="22">
        <f t="shared" si="53"/>
        <v>12</v>
      </c>
      <c r="W65" s="22"/>
      <c r="X65" s="22"/>
      <c r="Y65" s="23"/>
      <c r="Z65" s="22" t="s">
        <v>322</v>
      </c>
      <c r="AA65" s="22"/>
      <c r="AB65" s="22"/>
      <c r="AC65" s="22"/>
      <c r="AD65" s="22"/>
      <c r="AE65" s="22"/>
      <c r="AF65" s="22"/>
      <c r="AG65" s="22"/>
      <c r="AH65" s="22"/>
      <c r="AI65" s="22"/>
      <c r="AJ65" s="22"/>
      <c r="AK65" s="22"/>
      <c r="AL65" s="22"/>
      <c r="AM65" s="22" t="str">
        <f t="shared" ref="AM65" si="68">+_xlfn.CONCAT(N65&amp;V65&amp;Z65)</f>
        <v xml:space="preserve"> Workbooks.Open "A:\Homes for Ukraine data\Ukraine_sponsorship_data_12.ods"</v>
      </c>
      <c r="AO65" t="s">
        <v>348</v>
      </c>
    </row>
    <row r="66" spans="2:41" x14ac:dyDescent="0.25">
      <c r="B66" s="22" t="s">
        <v>380</v>
      </c>
      <c r="C66" s="22"/>
      <c r="D66" s="22"/>
      <c r="E66" s="22"/>
      <c r="F66" s="22"/>
      <c r="G66" s="22"/>
      <c r="H66" s="22"/>
      <c r="I66" s="22"/>
      <c r="J66" s="22"/>
      <c r="K66" s="22"/>
      <c r="L66" s="22"/>
      <c r="M66" s="22"/>
      <c r="N66" s="22" t="s">
        <v>323</v>
      </c>
      <c r="O66" s="22"/>
      <c r="P66" s="22"/>
      <c r="Q66" s="22"/>
      <c r="R66" s="22"/>
      <c r="S66" s="22"/>
      <c r="T66" s="22"/>
      <c r="U66" s="22"/>
      <c r="V66" s="22">
        <f t="shared" si="53"/>
        <v>12</v>
      </c>
      <c r="W66" s="22"/>
      <c r="X66" s="22"/>
      <c r="Y66" s="23"/>
      <c r="Z66" s="22" t="s">
        <v>381</v>
      </c>
      <c r="AA66" s="22"/>
      <c r="AB66" s="22"/>
      <c r="AC66" s="22"/>
      <c r="AD66" s="22"/>
      <c r="AE66" s="22" t="str">
        <f t="shared" ref="AE66:AF66" si="69">AE61</f>
        <v>E</v>
      </c>
      <c r="AF66" s="22">
        <f t="shared" si="69"/>
        <v>13</v>
      </c>
      <c r="AG66" s="22" t="s">
        <v>327</v>
      </c>
      <c r="AH66" s="22" t="str">
        <f t="shared" ref="AH66:AI66" si="70">AH61</f>
        <v>E</v>
      </c>
      <c r="AI66" s="22">
        <f t="shared" si="70"/>
        <v>53</v>
      </c>
      <c r="AJ66" s="22"/>
      <c r="AK66" s="22" t="s">
        <v>325</v>
      </c>
      <c r="AL66" s="22"/>
      <c r="AM66" s="22" t="str">
        <f t="shared" ref="AM66" si="71">_xlfn.CONCAT(N66&amp;V66&amp;Z66&amp;AE66&amp;AF66&amp;AG66&amp;AE66&amp;AI66&amp;AK66)</f>
        <v xml:space="preserve"> Workbooks("Ukraine_sponsorship_data_12.ods").Worksheets("Scotland").Range("E13:E53").Copy _</v>
      </c>
      <c r="AO66" t="s">
        <v>653</v>
      </c>
    </row>
    <row r="67" spans="2:41" x14ac:dyDescent="0.25">
      <c r="B67" s="22" t="s">
        <v>808</v>
      </c>
      <c r="C67" s="22"/>
      <c r="D67" s="22"/>
      <c r="E67" s="22"/>
      <c r="F67" s="22"/>
      <c r="G67" s="22"/>
      <c r="H67" s="22"/>
      <c r="I67" s="22"/>
      <c r="J67" s="22"/>
      <c r="K67" s="22"/>
      <c r="L67" s="22"/>
      <c r="M67" s="22"/>
      <c r="N67" s="22" t="s">
        <v>809</v>
      </c>
      <c r="O67" s="22"/>
      <c r="P67" s="22"/>
      <c r="Q67" s="22"/>
      <c r="R67" s="22"/>
      <c r="S67" s="22"/>
      <c r="T67" s="22"/>
      <c r="U67" s="22"/>
      <c r="V67" s="22"/>
      <c r="W67" s="22" t="str">
        <f t="shared" ref="W67:W117" si="72">W62</f>
        <v>B</v>
      </c>
      <c r="X67" s="22" t="str">
        <f t="shared" ref="X67:X117" si="73">CHAR(CODE(X62)+1)</f>
        <v>C</v>
      </c>
      <c r="Y67" s="23">
        <f t="shared" ref="Y67" si="74">Y62</f>
        <v>174</v>
      </c>
      <c r="Z67" s="22" t="s">
        <v>324</v>
      </c>
      <c r="AA67" s="22"/>
      <c r="AB67" s="22"/>
      <c r="AC67" s="22"/>
      <c r="AD67" s="22"/>
      <c r="AE67" s="22"/>
      <c r="AF67" s="22"/>
      <c r="AG67" s="22"/>
      <c r="AH67" s="22"/>
      <c r="AI67" s="22"/>
      <c r="AJ67" s="22"/>
      <c r="AK67" s="22"/>
      <c r="AL67" s="22"/>
      <c r="AM67" s="22" t="str">
        <f t="shared" ref="AM67" si="75">_xlfn.CONCAT(N67&amp;W67&amp;X67&amp;Y67&amp;Z67)</f>
        <v>Workbooks("HFU Forecast UTLA 1.0.xlsm").Worksheets("Combined data").Range("BC174")</v>
      </c>
      <c r="AO67" t="s">
        <v>1185</v>
      </c>
    </row>
    <row r="68" spans="2:41" x14ac:dyDescent="0.25">
      <c r="B68" s="22" t="s">
        <v>339</v>
      </c>
      <c r="C68" s="22"/>
      <c r="D68" s="22"/>
      <c r="E68" s="22"/>
      <c r="F68" s="22"/>
      <c r="G68" s="22"/>
      <c r="H68" s="22"/>
      <c r="I68" s="22"/>
      <c r="J68" s="22"/>
      <c r="K68" s="22"/>
      <c r="L68" s="22"/>
      <c r="M68" s="22"/>
      <c r="N68" s="22"/>
      <c r="O68" s="22"/>
      <c r="P68" s="22"/>
      <c r="Q68" s="22"/>
      <c r="R68" s="22"/>
      <c r="S68" s="22"/>
      <c r="T68" s="22"/>
      <c r="U68" s="22"/>
      <c r="V68" s="22"/>
      <c r="W68" s="22"/>
      <c r="X68" s="22"/>
      <c r="Y68" s="23"/>
      <c r="Z68" s="22"/>
      <c r="AA68" s="22"/>
      <c r="AB68" s="22"/>
      <c r="AC68" s="22"/>
      <c r="AD68" s="22"/>
      <c r="AE68" s="22"/>
      <c r="AF68" s="22"/>
      <c r="AG68" s="22"/>
      <c r="AH68" s="22"/>
      <c r="AI68" s="22"/>
      <c r="AJ68" s="22"/>
      <c r="AK68" s="22"/>
      <c r="AL68" s="22"/>
      <c r="AM68" s="22" t="str">
        <f t="shared" ref="AM68" si="76">B68</f>
        <v>ActiveWorkbook.Close SaveChanges:=False</v>
      </c>
      <c r="AO68" t="s">
        <v>339</v>
      </c>
    </row>
    <row r="70" spans="2:41" x14ac:dyDescent="0.25">
      <c r="B70" s="19" t="s">
        <v>316</v>
      </c>
      <c r="C70" s="19"/>
      <c r="D70" s="19"/>
      <c r="E70" s="19"/>
      <c r="F70" s="19"/>
      <c r="G70" s="19"/>
      <c r="H70" s="19"/>
      <c r="I70" s="19"/>
      <c r="J70" s="19"/>
      <c r="K70" s="19"/>
      <c r="L70" s="19"/>
      <c r="M70" s="19"/>
      <c r="N70" s="19" t="s">
        <v>321</v>
      </c>
      <c r="O70" s="19"/>
      <c r="P70" s="19"/>
      <c r="Q70" s="19"/>
      <c r="R70" s="19"/>
      <c r="S70" s="19"/>
      <c r="T70" s="19"/>
      <c r="U70" s="19"/>
      <c r="V70" s="19">
        <f t="shared" si="43"/>
        <v>13</v>
      </c>
      <c r="W70" s="19"/>
      <c r="X70" s="19"/>
      <c r="Y70" s="21"/>
      <c r="Z70" s="19" t="s">
        <v>322</v>
      </c>
      <c r="AA70" s="19"/>
      <c r="AB70" s="19"/>
      <c r="AC70" s="19"/>
      <c r="AD70" s="19"/>
      <c r="AE70" s="19"/>
      <c r="AF70" s="19"/>
      <c r="AG70" s="19"/>
      <c r="AH70" s="19"/>
      <c r="AI70" s="19"/>
      <c r="AJ70" s="19"/>
      <c r="AK70" s="19"/>
      <c r="AL70" s="19"/>
      <c r="AM70" s="19" t="str">
        <f t="shared" ref="AM70" si="77">+_xlfn.CONCAT(N70&amp;V70&amp;Z70)</f>
        <v xml:space="preserve"> Workbooks.Open "A:\Homes for Ukraine data\Ukraine_sponsorship_data_13.ods"</v>
      </c>
      <c r="AO70" t="s">
        <v>349</v>
      </c>
    </row>
    <row r="71" spans="2:41" x14ac:dyDescent="0.25">
      <c r="B71" s="19" t="s">
        <v>380</v>
      </c>
      <c r="C71" s="19"/>
      <c r="D71" s="19"/>
      <c r="E71" s="19"/>
      <c r="F71" s="19"/>
      <c r="G71" s="19"/>
      <c r="H71" s="19"/>
      <c r="I71" s="19"/>
      <c r="J71" s="19"/>
      <c r="K71" s="19"/>
      <c r="L71" s="19"/>
      <c r="M71" s="19"/>
      <c r="N71" s="19" t="s">
        <v>323</v>
      </c>
      <c r="O71" s="19"/>
      <c r="P71" s="19"/>
      <c r="Q71" s="19"/>
      <c r="R71" s="19"/>
      <c r="S71" s="19"/>
      <c r="T71" s="19"/>
      <c r="U71" s="19"/>
      <c r="V71" s="19">
        <f t="shared" si="43"/>
        <v>13</v>
      </c>
      <c r="W71" s="19"/>
      <c r="X71" s="19"/>
      <c r="Y71" s="21"/>
      <c r="Z71" s="19" t="s">
        <v>381</v>
      </c>
      <c r="AA71" s="19"/>
      <c r="AB71" s="19"/>
      <c r="AC71" s="19"/>
      <c r="AD71" s="19"/>
      <c r="AE71" s="19" t="str">
        <f t="shared" ref="AE71:AF71" si="78">AE66</f>
        <v>E</v>
      </c>
      <c r="AF71" s="19">
        <f t="shared" si="78"/>
        <v>13</v>
      </c>
      <c r="AG71" s="19" t="s">
        <v>327</v>
      </c>
      <c r="AH71" s="19" t="str">
        <f t="shared" ref="AH71:AI71" si="79">AH66</f>
        <v>E</v>
      </c>
      <c r="AI71" s="19">
        <f t="shared" si="79"/>
        <v>53</v>
      </c>
      <c r="AJ71" s="19"/>
      <c r="AK71" s="19" t="s">
        <v>325</v>
      </c>
      <c r="AL71" s="19"/>
      <c r="AM71" s="19" t="str">
        <f t="shared" ref="AM71" si="80">_xlfn.CONCAT(N71&amp;V71&amp;Z71&amp;AE71&amp;AF71&amp;AG71&amp;AE71&amp;AI71&amp;AK71)</f>
        <v xml:space="preserve"> Workbooks("Ukraine_sponsorship_data_13.ods").Worksheets("Scotland").Range("E13:E53").Copy _</v>
      </c>
      <c r="AO71" t="s">
        <v>654</v>
      </c>
    </row>
    <row r="72" spans="2:41" x14ac:dyDescent="0.25">
      <c r="B72" s="19" t="s">
        <v>808</v>
      </c>
      <c r="C72" s="19"/>
      <c r="D72" s="19"/>
      <c r="E72" s="19"/>
      <c r="F72" s="19"/>
      <c r="G72" s="19"/>
      <c r="H72" s="19"/>
      <c r="I72" s="19"/>
      <c r="J72" s="19"/>
      <c r="K72" s="19"/>
      <c r="L72" s="19"/>
      <c r="M72" s="19"/>
      <c r="N72" s="19" t="s">
        <v>809</v>
      </c>
      <c r="O72" s="19"/>
      <c r="P72" s="19"/>
      <c r="Q72" s="19"/>
      <c r="R72" s="19"/>
      <c r="S72" s="19"/>
      <c r="T72" s="19"/>
      <c r="U72" s="19"/>
      <c r="V72" s="19"/>
      <c r="W72" s="19" t="str">
        <f t="shared" si="48"/>
        <v>B</v>
      </c>
      <c r="X72" s="19" t="str">
        <f t="shared" si="49"/>
        <v>D</v>
      </c>
      <c r="Y72" s="21">
        <f t="shared" ref="Y72" si="81">Y67</f>
        <v>174</v>
      </c>
      <c r="Z72" s="19" t="s">
        <v>324</v>
      </c>
      <c r="AA72" s="19"/>
      <c r="AB72" s="19"/>
      <c r="AC72" s="19"/>
      <c r="AD72" s="19"/>
      <c r="AE72" s="19"/>
      <c r="AF72" s="19"/>
      <c r="AG72" s="19"/>
      <c r="AH72" s="19"/>
      <c r="AI72" s="19"/>
      <c r="AJ72" s="19"/>
      <c r="AK72" s="19"/>
      <c r="AL72" s="19"/>
      <c r="AM72" s="19" t="str">
        <f t="shared" ref="AM72" si="82">_xlfn.CONCAT(N72&amp;W72&amp;X72&amp;Y72&amp;Z72)</f>
        <v>Workbooks("HFU Forecast UTLA 1.0.xlsm").Worksheets("Combined data").Range("BD174")</v>
      </c>
      <c r="AO72" t="s">
        <v>1186</v>
      </c>
    </row>
    <row r="73" spans="2:41" x14ac:dyDescent="0.25">
      <c r="B73" s="19" t="s">
        <v>339</v>
      </c>
      <c r="C73" s="19"/>
      <c r="D73" s="19"/>
      <c r="E73" s="19"/>
      <c r="F73" s="19"/>
      <c r="G73" s="19"/>
      <c r="H73" s="19"/>
      <c r="I73" s="19"/>
      <c r="J73" s="19"/>
      <c r="K73" s="19"/>
      <c r="L73" s="19"/>
      <c r="M73" s="19"/>
      <c r="N73" s="19"/>
      <c r="O73" s="19"/>
      <c r="P73" s="19"/>
      <c r="Q73" s="19"/>
      <c r="R73" s="19"/>
      <c r="S73" s="19"/>
      <c r="T73" s="19"/>
      <c r="U73" s="19"/>
      <c r="V73" s="19"/>
      <c r="W73" s="19"/>
      <c r="X73" s="19"/>
      <c r="Y73" s="21"/>
      <c r="Z73" s="19"/>
      <c r="AA73" s="19"/>
      <c r="AB73" s="19"/>
      <c r="AC73" s="19"/>
      <c r="AD73" s="19"/>
      <c r="AE73" s="19"/>
      <c r="AF73" s="19"/>
      <c r="AG73" s="19"/>
      <c r="AH73" s="19"/>
      <c r="AI73" s="19"/>
      <c r="AJ73" s="19"/>
      <c r="AK73" s="19"/>
      <c r="AL73" s="19"/>
      <c r="AM73" s="19" t="str">
        <f t="shared" ref="AM73" si="83">B73</f>
        <v>ActiveWorkbook.Close SaveChanges:=False</v>
      </c>
      <c r="AO73" t="s">
        <v>339</v>
      </c>
    </row>
    <row r="75" spans="2:41" x14ac:dyDescent="0.25">
      <c r="B75" s="22" t="s">
        <v>316</v>
      </c>
      <c r="C75" s="22"/>
      <c r="D75" s="22"/>
      <c r="E75" s="22"/>
      <c r="F75" s="22"/>
      <c r="G75" s="22"/>
      <c r="H75" s="22"/>
      <c r="I75" s="22"/>
      <c r="J75" s="22"/>
      <c r="K75" s="22"/>
      <c r="L75" s="22"/>
      <c r="M75" s="22"/>
      <c r="N75" s="22" t="s">
        <v>321</v>
      </c>
      <c r="O75" s="22"/>
      <c r="P75" s="22"/>
      <c r="Q75" s="22"/>
      <c r="R75" s="22"/>
      <c r="S75" s="22"/>
      <c r="T75" s="22"/>
      <c r="U75" s="22"/>
      <c r="V75" s="22">
        <f t="shared" si="53"/>
        <v>14</v>
      </c>
      <c r="W75" s="22"/>
      <c r="X75" s="22"/>
      <c r="Y75" s="23"/>
      <c r="Z75" s="22" t="s">
        <v>322</v>
      </c>
      <c r="AA75" s="22"/>
      <c r="AB75" s="22"/>
      <c r="AC75" s="22"/>
      <c r="AD75" s="22"/>
      <c r="AE75" s="22"/>
      <c r="AF75" s="22"/>
      <c r="AG75" s="22"/>
      <c r="AH75" s="22"/>
      <c r="AI75" s="22"/>
      <c r="AJ75" s="22"/>
      <c r="AK75" s="22"/>
      <c r="AL75" s="22"/>
      <c r="AM75" s="22" t="str">
        <f t="shared" ref="AM75" si="84">+_xlfn.CONCAT(N75&amp;V75&amp;Z75)</f>
        <v xml:space="preserve"> Workbooks.Open "A:\Homes for Ukraine data\Ukraine_sponsorship_data_14.ods"</v>
      </c>
      <c r="AO75" t="s">
        <v>350</v>
      </c>
    </row>
    <row r="76" spans="2:41" x14ac:dyDescent="0.25">
      <c r="B76" s="22" t="s">
        <v>380</v>
      </c>
      <c r="C76" s="22"/>
      <c r="D76" s="22"/>
      <c r="E76" s="22"/>
      <c r="F76" s="22"/>
      <c r="G76" s="22"/>
      <c r="H76" s="22"/>
      <c r="I76" s="22"/>
      <c r="J76" s="22"/>
      <c r="K76" s="22"/>
      <c r="L76" s="22"/>
      <c r="M76" s="22"/>
      <c r="N76" s="22" t="s">
        <v>323</v>
      </c>
      <c r="O76" s="22"/>
      <c r="P76" s="22"/>
      <c r="Q76" s="22"/>
      <c r="R76" s="22"/>
      <c r="S76" s="22"/>
      <c r="T76" s="22"/>
      <c r="U76" s="22"/>
      <c r="V76" s="22">
        <f t="shared" si="53"/>
        <v>14</v>
      </c>
      <c r="W76" s="22"/>
      <c r="X76" s="22"/>
      <c r="Y76" s="23"/>
      <c r="Z76" s="22" t="s">
        <v>381</v>
      </c>
      <c r="AA76" s="22"/>
      <c r="AB76" s="22"/>
      <c r="AC76" s="22"/>
      <c r="AD76" s="22"/>
      <c r="AE76" s="22" t="str">
        <f t="shared" ref="AE76:AF76" si="85">AE71</f>
        <v>E</v>
      </c>
      <c r="AF76" s="22">
        <f t="shared" si="85"/>
        <v>13</v>
      </c>
      <c r="AG76" s="22" t="s">
        <v>327</v>
      </c>
      <c r="AH76" s="22" t="str">
        <f t="shared" ref="AH76:AI76" si="86">AH71</f>
        <v>E</v>
      </c>
      <c r="AI76" s="22">
        <f t="shared" si="86"/>
        <v>53</v>
      </c>
      <c r="AJ76" s="22"/>
      <c r="AK76" s="22" t="s">
        <v>325</v>
      </c>
      <c r="AL76" s="22"/>
      <c r="AM76" s="22" t="str">
        <f t="shared" ref="AM76" si="87">_xlfn.CONCAT(N76&amp;V76&amp;Z76&amp;AE76&amp;AF76&amp;AG76&amp;AE76&amp;AI76&amp;AK76)</f>
        <v xml:space="preserve"> Workbooks("Ukraine_sponsorship_data_14.ods").Worksheets("Scotland").Range("E13:E53").Copy _</v>
      </c>
      <c r="AO76" t="s">
        <v>655</v>
      </c>
    </row>
    <row r="77" spans="2:41" x14ac:dyDescent="0.25">
      <c r="B77" s="22" t="s">
        <v>808</v>
      </c>
      <c r="C77" s="22"/>
      <c r="D77" s="22"/>
      <c r="E77" s="22"/>
      <c r="F77" s="22"/>
      <c r="G77" s="22"/>
      <c r="H77" s="22"/>
      <c r="I77" s="22"/>
      <c r="J77" s="22"/>
      <c r="K77" s="22"/>
      <c r="L77" s="22"/>
      <c r="M77" s="22"/>
      <c r="N77" s="22" t="s">
        <v>809</v>
      </c>
      <c r="O77" s="22"/>
      <c r="P77" s="22"/>
      <c r="Q77" s="22"/>
      <c r="R77" s="22"/>
      <c r="S77" s="22"/>
      <c r="T77" s="22"/>
      <c r="U77" s="22"/>
      <c r="V77" s="22"/>
      <c r="W77" s="22" t="str">
        <f t="shared" si="72"/>
        <v>B</v>
      </c>
      <c r="X77" s="22" t="str">
        <f t="shared" si="73"/>
        <v>E</v>
      </c>
      <c r="Y77" s="23">
        <f t="shared" ref="Y77" si="88">Y72</f>
        <v>174</v>
      </c>
      <c r="Z77" s="22" t="s">
        <v>324</v>
      </c>
      <c r="AA77" s="22"/>
      <c r="AB77" s="22"/>
      <c r="AC77" s="22"/>
      <c r="AD77" s="22"/>
      <c r="AE77" s="22"/>
      <c r="AF77" s="22"/>
      <c r="AG77" s="22"/>
      <c r="AH77" s="22"/>
      <c r="AI77" s="22"/>
      <c r="AJ77" s="22"/>
      <c r="AK77" s="22"/>
      <c r="AL77" s="22"/>
      <c r="AM77" s="22" t="str">
        <f t="shared" ref="AM77" si="89">_xlfn.CONCAT(N77&amp;W77&amp;X77&amp;Y77&amp;Z77)</f>
        <v>Workbooks("HFU Forecast UTLA 1.0.xlsm").Worksheets("Combined data").Range("BE174")</v>
      </c>
      <c r="AO77" t="s">
        <v>1187</v>
      </c>
    </row>
    <row r="78" spans="2:41" x14ac:dyDescent="0.25">
      <c r="B78" s="22" t="s">
        <v>339</v>
      </c>
      <c r="C78" s="22"/>
      <c r="D78" s="22"/>
      <c r="E78" s="22"/>
      <c r="F78" s="22"/>
      <c r="G78" s="22"/>
      <c r="H78" s="22"/>
      <c r="I78" s="22"/>
      <c r="J78" s="22"/>
      <c r="K78" s="22"/>
      <c r="L78" s="22"/>
      <c r="M78" s="22"/>
      <c r="N78" s="22"/>
      <c r="O78" s="22"/>
      <c r="P78" s="22"/>
      <c r="Q78" s="22"/>
      <c r="R78" s="22"/>
      <c r="S78" s="22"/>
      <c r="T78" s="22"/>
      <c r="U78" s="22"/>
      <c r="V78" s="22"/>
      <c r="W78" s="22"/>
      <c r="X78" s="22"/>
      <c r="Y78" s="23"/>
      <c r="Z78" s="22"/>
      <c r="AA78" s="22"/>
      <c r="AB78" s="22"/>
      <c r="AC78" s="22"/>
      <c r="AD78" s="22"/>
      <c r="AE78" s="22"/>
      <c r="AF78" s="22"/>
      <c r="AG78" s="22"/>
      <c r="AH78" s="22"/>
      <c r="AI78" s="22"/>
      <c r="AJ78" s="22"/>
      <c r="AK78" s="22"/>
      <c r="AL78" s="22"/>
      <c r="AM78" s="22" t="str">
        <f t="shared" ref="AM78" si="90">B78</f>
        <v>ActiveWorkbook.Close SaveChanges:=False</v>
      </c>
      <c r="AO78" t="s">
        <v>339</v>
      </c>
    </row>
    <row r="80" spans="2:41" x14ac:dyDescent="0.25">
      <c r="B80" s="19" t="s">
        <v>316</v>
      </c>
      <c r="C80" s="19"/>
      <c r="D80" s="19"/>
      <c r="E80" s="19"/>
      <c r="F80" s="19"/>
      <c r="G80" s="19"/>
      <c r="H80" s="19"/>
      <c r="I80" s="19"/>
      <c r="J80" s="19"/>
      <c r="K80" s="19"/>
      <c r="L80" s="19"/>
      <c r="M80" s="19"/>
      <c r="N80" s="19" t="s">
        <v>321</v>
      </c>
      <c r="O80" s="19"/>
      <c r="P80" s="19"/>
      <c r="Q80" s="19"/>
      <c r="R80" s="19"/>
      <c r="S80" s="19"/>
      <c r="T80" s="19"/>
      <c r="U80" s="19"/>
      <c r="V80" s="19">
        <f t="shared" si="43"/>
        <v>15</v>
      </c>
      <c r="W80" s="19"/>
      <c r="X80" s="19"/>
      <c r="Y80" s="21"/>
      <c r="Z80" s="19" t="s">
        <v>322</v>
      </c>
      <c r="AA80" s="19"/>
      <c r="AB80" s="19"/>
      <c r="AC80" s="19"/>
      <c r="AD80" s="19"/>
      <c r="AE80" s="19"/>
      <c r="AF80" s="19"/>
      <c r="AG80" s="19"/>
      <c r="AH80" s="19"/>
      <c r="AI80" s="19"/>
      <c r="AJ80" s="19"/>
      <c r="AK80" s="19"/>
      <c r="AL80" s="19"/>
      <c r="AM80" s="19" t="str">
        <f t="shared" ref="AM80" si="91">+_xlfn.CONCAT(N80&amp;V80&amp;Z80)</f>
        <v xml:space="preserve"> Workbooks.Open "A:\Homes for Ukraine data\Ukraine_sponsorship_data_15.ods"</v>
      </c>
      <c r="AO80" t="s">
        <v>351</v>
      </c>
    </row>
    <row r="81" spans="2:41" x14ac:dyDescent="0.25">
      <c r="B81" s="19" t="s">
        <v>380</v>
      </c>
      <c r="C81" s="19"/>
      <c r="D81" s="19"/>
      <c r="E81" s="19"/>
      <c r="F81" s="19"/>
      <c r="G81" s="19"/>
      <c r="H81" s="19"/>
      <c r="I81" s="19"/>
      <c r="J81" s="19"/>
      <c r="K81" s="19"/>
      <c r="L81" s="19"/>
      <c r="M81" s="19"/>
      <c r="N81" s="19" t="s">
        <v>323</v>
      </c>
      <c r="O81" s="19"/>
      <c r="P81" s="19"/>
      <c r="Q81" s="19"/>
      <c r="R81" s="19"/>
      <c r="S81" s="19"/>
      <c r="T81" s="19"/>
      <c r="U81" s="19"/>
      <c r="V81" s="19">
        <f t="shared" si="43"/>
        <v>15</v>
      </c>
      <c r="W81" s="19"/>
      <c r="X81" s="19"/>
      <c r="Y81" s="21"/>
      <c r="Z81" s="19" t="s">
        <v>381</v>
      </c>
      <c r="AA81" s="19"/>
      <c r="AB81" s="19"/>
      <c r="AC81" s="19"/>
      <c r="AD81" s="19"/>
      <c r="AE81" s="19" t="str">
        <f t="shared" ref="AE81:AF81" si="92">AE76</f>
        <v>E</v>
      </c>
      <c r="AF81" s="19">
        <f t="shared" si="92"/>
        <v>13</v>
      </c>
      <c r="AG81" s="19" t="s">
        <v>327</v>
      </c>
      <c r="AH81" s="19" t="str">
        <f t="shared" ref="AH81:AI81" si="93">AH76</f>
        <v>E</v>
      </c>
      <c r="AI81" s="19">
        <f t="shared" si="93"/>
        <v>53</v>
      </c>
      <c r="AJ81" s="19"/>
      <c r="AK81" s="19" t="s">
        <v>325</v>
      </c>
      <c r="AL81" s="19"/>
      <c r="AM81" s="19" t="str">
        <f t="shared" ref="AM81" si="94">_xlfn.CONCAT(N81&amp;V81&amp;Z81&amp;AE81&amp;AF81&amp;AG81&amp;AE81&amp;AI81&amp;AK81)</f>
        <v xml:space="preserve"> Workbooks("Ukraine_sponsorship_data_15.ods").Worksheets("Scotland").Range("E13:E53").Copy _</v>
      </c>
      <c r="AO81" t="s">
        <v>656</v>
      </c>
    </row>
    <row r="82" spans="2:41" x14ac:dyDescent="0.25">
      <c r="B82" s="19" t="s">
        <v>808</v>
      </c>
      <c r="C82" s="19"/>
      <c r="D82" s="19"/>
      <c r="E82" s="19"/>
      <c r="F82" s="19"/>
      <c r="G82" s="19"/>
      <c r="H82" s="19"/>
      <c r="I82" s="19"/>
      <c r="J82" s="19"/>
      <c r="K82" s="19"/>
      <c r="L82" s="19"/>
      <c r="M82" s="19"/>
      <c r="N82" s="19" t="s">
        <v>809</v>
      </c>
      <c r="O82" s="19"/>
      <c r="P82" s="19"/>
      <c r="Q82" s="19"/>
      <c r="R82" s="19"/>
      <c r="S82" s="19"/>
      <c r="T82" s="19"/>
      <c r="U82" s="19"/>
      <c r="V82" s="19"/>
      <c r="W82" s="19" t="str">
        <f t="shared" si="48"/>
        <v>B</v>
      </c>
      <c r="X82" s="19" t="str">
        <f t="shared" si="49"/>
        <v>F</v>
      </c>
      <c r="Y82" s="21">
        <f t="shared" ref="Y82" si="95">Y77</f>
        <v>174</v>
      </c>
      <c r="Z82" s="19" t="s">
        <v>324</v>
      </c>
      <c r="AA82" s="19"/>
      <c r="AB82" s="19"/>
      <c r="AC82" s="19"/>
      <c r="AD82" s="19"/>
      <c r="AE82" s="19"/>
      <c r="AF82" s="19"/>
      <c r="AG82" s="19"/>
      <c r="AH82" s="19"/>
      <c r="AI82" s="19"/>
      <c r="AJ82" s="19"/>
      <c r="AK82" s="19"/>
      <c r="AL82" s="19"/>
      <c r="AM82" s="19" t="str">
        <f t="shared" ref="AM82" si="96">_xlfn.CONCAT(N82&amp;W82&amp;X82&amp;Y82&amp;Z82)</f>
        <v>Workbooks("HFU Forecast UTLA 1.0.xlsm").Worksheets("Combined data").Range("BF174")</v>
      </c>
      <c r="AO82" t="s">
        <v>1188</v>
      </c>
    </row>
    <row r="83" spans="2:41" x14ac:dyDescent="0.25">
      <c r="B83" s="19" t="s">
        <v>339</v>
      </c>
      <c r="C83" s="19"/>
      <c r="D83" s="19"/>
      <c r="E83" s="19"/>
      <c r="F83" s="19"/>
      <c r="G83" s="19"/>
      <c r="H83" s="19"/>
      <c r="I83" s="19"/>
      <c r="J83" s="19"/>
      <c r="K83" s="19"/>
      <c r="L83" s="19"/>
      <c r="M83" s="19"/>
      <c r="N83" s="19"/>
      <c r="O83" s="19"/>
      <c r="P83" s="19"/>
      <c r="Q83" s="19"/>
      <c r="R83" s="19"/>
      <c r="S83" s="19"/>
      <c r="T83" s="19"/>
      <c r="U83" s="19"/>
      <c r="V83" s="19"/>
      <c r="W83" s="19"/>
      <c r="X83" s="19"/>
      <c r="Y83" s="21"/>
      <c r="Z83" s="19"/>
      <c r="AA83" s="19"/>
      <c r="AB83" s="19"/>
      <c r="AC83" s="19"/>
      <c r="AD83" s="19"/>
      <c r="AE83" s="19"/>
      <c r="AF83" s="19"/>
      <c r="AG83" s="19"/>
      <c r="AH83" s="19"/>
      <c r="AI83" s="19"/>
      <c r="AJ83" s="19"/>
      <c r="AK83" s="19"/>
      <c r="AL83" s="19"/>
      <c r="AM83" s="19" t="str">
        <f t="shared" ref="AM83" si="97">B83</f>
        <v>ActiveWorkbook.Close SaveChanges:=False</v>
      </c>
      <c r="AO83" t="s">
        <v>339</v>
      </c>
    </row>
    <row r="85" spans="2:41" x14ac:dyDescent="0.25">
      <c r="B85" s="22" t="s">
        <v>316</v>
      </c>
      <c r="C85" s="22"/>
      <c r="D85" s="22"/>
      <c r="E85" s="22"/>
      <c r="F85" s="22"/>
      <c r="G85" s="22"/>
      <c r="H85" s="22"/>
      <c r="I85" s="22"/>
      <c r="J85" s="22"/>
      <c r="K85" s="22"/>
      <c r="L85" s="22"/>
      <c r="M85" s="22"/>
      <c r="N85" s="22" t="s">
        <v>321</v>
      </c>
      <c r="O85" s="22"/>
      <c r="P85" s="22"/>
      <c r="Q85" s="22"/>
      <c r="R85" s="22"/>
      <c r="S85" s="22"/>
      <c r="T85" s="22"/>
      <c r="U85" s="22"/>
      <c r="V85" s="22">
        <f t="shared" si="53"/>
        <v>16</v>
      </c>
      <c r="W85" s="22"/>
      <c r="X85" s="22"/>
      <c r="Y85" s="23"/>
      <c r="Z85" s="22" t="s">
        <v>322</v>
      </c>
      <c r="AA85" s="22"/>
      <c r="AB85" s="22"/>
      <c r="AC85" s="22"/>
      <c r="AD85" s="22"/>
      <c r="AE85" s="22"/>
      <c r="AF85" s="22"/>
      <c r="AG85" s="22"/>
      <c r="AH85" s="22"/>
      <c r="AI85" s="22"/>
      <c r="AJ85" s="22"/>
      <c r="AK85" s="22"/>
      <c r="AL85" s="22"/>
      <c r="AM85" s="22" t="str">
        <f t="shared" ref="AM85" si="98">+_xlfn.CONCAT(N85&amp;V85&amp;Z85)</f>
        <v xml:space="preserve"> Workbooks.Open "A:\Homes for Ukraine data\Ukraine_sponsorship_data_16.ods"</v>
      </c>
      <c r="AO85" t="s">
        <v>352</v>
      </c>
    </row>
    <row r="86" spans="2:41" x14ac:dyDescent="0.25">
      <c r="B86" s="22" t="s">
        <v>380</v>
      </c>
      <c r="C86" s="22"/>
      <c r="D86" s="22"/>
      <c r="E86" s="22"/>
      <c r="F86" s="22"/>
      <c r="G86" s="22"/>
      <c r="H86" s="22"/>
      <c r="I86" s="22"/>
      <c r="J86" s="22"/>
      <c r="K86" s="22"/>
      <c r="L86" s="22"/>
      <c r="M86" s="22"/>
      <c r="N86" s="22" t="s">
        <v>323</v>
      </c>
      <c r="O86" s="22"/>
      <c r="P86" s="22"/>
      <c r="Q86" s="22"/>
      <c r="R86" s="22"/>
      <c r="S86" s="22"/>
      <c r="T86" s="22"/>
      <c r="U86" s="22"/>
      <c r="V86" s="22">
        <f t="shared" si="53"/>
        <v>16</v>
      </c>
      <c r="W86" s="22"/>
      <c r="X86" s="22"/>
      <c r="Y86" s="23"/>
      <c r="Z86" s="22" t="s">
        <v>381</v>
      </c>
      <c r="AA86" s="22"/>
      <c r="AB86" s="22"/>
      <c r="AC86" s="22"/>
      <c r="AD86" s="22"/>
      <c r="AE86" s="22" t="str">
        <f t="shared" ref="AE86:AF86" si="99">AE81</f>
        <v>E</v>
      </c>
      <c r="AF86" s="22">
        <f t="shared" si="99"/>
        <v>13</v>
      </c>
      <c r="AG86" s="22" t="s">
        <v>327</v>
      </c>
      <c r="AH86" s="22" t="str">
        <f t="shared" ref="AH86:AI86" si="100">AH81</f>
        <v>E</v>
      </c>
      <c r="AI86" s="22">
        <f t="shared" si="100"/>
        <v>53</v>
      </c>
      <c r="AJ86" s="22"/>
      <c r="AK86" s="22" t="s">
        <v>325</v>
      </c>
      <c r="AL86" s="22"/>
      <c r="AM86" s="22" t="str">
        <f t="shared" ref="AM86" si="101">_xlfn.CONCAT(N86&amp;V86&amp;Z86&amp;AE86&amp;AF86&amp;AG86&amp;AE86&amp;AI86&amp;AK86)</f>
        <v xml:space="preserve"> Workbooks("Ukraine_sponsorship_data_16.ods").Worksheets("Scotland").Range("E13:E53").Copy _</v>
      </c>
      <c r="AO86" t="s">
        <v>657</v>
      </c>
    </row>
    <row r="87" spans="2:41" x14ac:dyDescent="0.25">
      <c r="B87" s="22" t="s">
        <v>808</v>
      </c>
      <c r="C87" s="22"/>
      <c r="D87" s="22"/>
      <c r="E87" s="22"/>
      <c r="F87" s="22"/>
      <c r="G87" s="22"/>
      <c r="H87" s="22"/>
      <c r="I87" s="22"/>
      <c r="J87" s="22"/>
      <c r="K87" s="22"/>
      <c r="L87" s="22"/>
      <c r="M87" s="22"/>
      <c r="N87" s="22" t="s">
        <v>809</v>
      </c>
      <c r="O87" s="22"/>
      <c r="P87" s="22"/>
      <c r="Q87" s="22"/>
      <c r="R87" s="22"/>
      <c r="S87" s="22"/>
      <c r="T87" s="22"/>
      <c r="U87" s="22"/>
      <c r="V87" s="22"/>
      <c r="W87" s="22" t="str">
        <f t="shared" si="72"/>
        <v>B</v>
      </c>
      <c r="X87" s="22" t="str">
        <f t="shared" si="73"/>
        <v>G</v>
      </c>
      <c r="Y87" s="23">
        <f t="shared" ref="Y87" si="102">Y82</f>
        <v>174</v>
      </c>
      <c r="Z87" s="22" t="s">
        <v>324</v>
      </c>
      <c r="AA87" s="22"/>
      <c r="AB87" s="22"/>
      <c r="AC87" s="22"/>
      <c r="AD87" s="22"/>
      <c r="AE87" s="22"/>
      <c r="AF87" s="22"/>
      <c r="AG87" s="22"/>
      <c r="AH87" s="22"/>
      <c r="AI87" s="22"/>
      <c r="AJ87" s="22"/>
      <c r="AK87" s="22"/>
      <c r="AL87" s="22"/>
      <c r="AM87" s="22" t="str">
        <f t="shared" ref="AM87" si="103">_xlfn.CONCAT(N87&amp;W87&amp;X87&amp;Y87&amp;Z87)</f>
        <v>Workbooks("HFU Forecast UTLA 1.0.xlsm").Worksheets("Combined data").Range("BG174")</v>
      </c>
      <c r="AO87" t="s">
        <v>1189</v>
      </c>
    </row>
    <row r="88" spans="2:41" x14ac:dyDescent="0.25">
      <c r="B88" s="22" t="s">
        <v>339</v>
      </c>
      <c r="C88" s="22"/>
      <c r="D88" s="22"/>
      <c r="E88" s="22"/>
      <c r="F88" s="22"/>
      <c r="G88" s="22"/>
      <c r="H88" s="22"/>
      <c r="I88" s="22"/>
      <c r="J88" s="22"/>
      <c r="K88" s="22"/>
      <c r="L88" s="22"/>
      <c r="M88" s="22"/>
      <c r="N88" s="22"/>
      <c r="O88" s="22"/>
      <c r="P88" s="22"/>
      <c r="Q88" s="22"/>
      <c r="R88" s="22"/>
      <c r="S88" s="22"/>
      <c r="T88" s="22"/>
      <c r="U88" s="22"/>
      <c r="V88" s="22"/>
      <c r="W88" s="22"/>
      <c r="X88" s="22"/>
      <c r="Y88" s="23"/>
      <c r="Z88" s="22"/>
      <c r="AA88" s="22"/>
      <c r="AB88" s="22"/>
      <c r="AC88" s="22"/>
      <c r="AD88" s="22"/>
      <c r="AE88" s="22"/>
      <c r="AF88" s="22"/>
      <c r="AG88" s="22"/>
      <c r="AH88" s="22"/>
      <c r="AI88" s="22"/>
      <c r="AJ88" s="22"/>
      <c r="AK88" s="22"/>
      <c r="AL88" s="22"/>
      <c r="AM88" s="22" t="str">
        <f t="shared" ref="AM88" si="104">B88</f>
        <v>ActiveWorkbook.Close SaveChanges:=False</v>
      </c>
      <c r="AO88" t="s">
        <v>339</v>
      </c>
    </row>
    <row r="90" spans="2:41" x14ac:dyDescent="0.25">
      <c r="B90" s="19" t="s">
        <v>316</v>
      </c>
      <c r="C90" s="19"/>
      <c r="D90" s="19"/>
      <c r="E90" s="19"/>
      <c r="F90" s="19"/>
      <c r="G90" s="19"/>
      <c r="H90" s="19"/>
      <c r="I90" s="19"/>
      <c r="J90" s="19"/>
      <c r="K90" s="19"/>
      <c r="L90" s="19"/>
      <c r="M90" s="19"/>
      <c r="N90" s="19" t="s">
        <v>321</v>
      </c>
      <c r="O90" s="19"/>
      <c r="P90" s="19"/>
      <c r="Q90" s="19"/>
      <c r="R90" s="19"/>
      <c r="S90" s="19"/>
      <c r="T90" s="19"/>
      <c r="U90" s="19"/>
      <c r="V90" s="19">
        <f t="shared" si="43"/>
        <v>17</v>
      </c>
      <c r="W90" s="19"/>
      <c r="X90" s="19"/>
      <c r="Y90" s="21"/>
      <c r="Z90" s="19" t="s">
        <v>322</v>
      </c>
      <c r="AA90" s="19"/>
      <c r="AB90" s="19"/>
      <c r="AC90" s="19"/>
      <c r="AD90" s="19"/>
      <c r="AE90" s="19"/>
      <c r="AF90" s="19"/>
      <c r="AG90" s="19"/>
      <c r="AH90" s="19"/>
      <c r="AI90" s="19"/>
      <c r="AJ90" s="19"/>
      <c r="AK90" s="19"/>
      <c r="AL90" s="19"/>
      <c r="AM90" s="19" t="str">
        <f t="shared" ref="AM90" si="105">+_xlfn.CONCAT(N90&amp;V90&amp;Z90)</f>
        <v xml:space="preserve"> Workbooks.Open "A:\Homes for Ukraine data\Ukraine_sponsorship_data_17.ods"</v>
      </c>
      <c r="AO90" t="s">
        <v>353</v>
      </c>
    </row>
    <row r="91" spans="2:41" x14ac:dyDescent="0.25">
      <c r="B91" s="19" t="s">
        <v>380</v>
      </c>
      <c r="C91" s="19"/>
      <c r="D91" s="19"/>
      <c r="E91" s="19"/>
      <c r="F91" s="19"/>
      <c r="G91" s="19"/>
      <c r="H91" s="19"/>
      <c r="I91" s="19"/>
      <c r="J91" s="19"/>
      <c r="K91" s="19"/>
      <c r="L91" s="19"/>
      <c r="M91" s="19"/>
      <c r="N91" s="19" t="s">
        <v>323</v>
      </c>
      <c r="O91" s="19"/>
      <c r="P91" s="19"/>
      <c r="Q91" s="19"/>
      <c r="R91" s="19"/>
      <c r="S91" s="19"/>
      <c r="T91" s="19"/>
      <c r="U91" s="19"/>
      <c r="V91" s="19">
        <f t="shared" si="43"/>
        <v>17</v>
      </c>
      <c r="W91" s="19"/>
      <c r="X91" s="19"/>
      <c r="Y91" s="21"/>
      <c r="Z91" s="19" t="s">
        <v>381</v>
      </c>
      <c r="AA91" s="19"/>
      <c r="AB91" s="19"/>
      <c r="AC91" s="19"/>
      <c r="AD91" s="19"/>
      <c r="AE91" s="19" t="str">
        <f t="shared" ref="AE91:AF91" si="106">AE86</f>
        <v>E</v>
      </c>
      <c r="AF91" s="19">
        <f t="shared" si="106"/>
        <v>13</v>
      </c>
      <c r="AG91" s="19" t="s">
        <v>327</v>
      </c>
      <c r="AH91" s="19" t="str">
        <f t="shared" ref="AH91:AI91" si="107">AH86</f>
        <v>E</v>
      </c>
      <c r="AI91" s="19">
        <f t="shared" si="107"/>
        <v>53</v>
      </c>
      <c r="AJ91" s="19"/>
      <c r="AK91" s="19" t="s">
        <v>325</v>
      </c>
      <c r="AL91" s="19"/>
      <c r="AM91" s="19" t="str">
        <f t="shared" ref="AM91" si="108">_xlfn.CONCAT(N91&amp;V91&amp;Z91&amp;AE91&amp;AF91&amp;AG91&amp;AE91&amp;AI91&amp;AK91)</f>
        <v xml:space="preserve"> Workbooks("Ukraine_sponsorship_data_17.ods").Worksheets("Scotland").Range("E13:E53").Copy _</v>
      </c>
      <c r="AO91" t="s">
        <v>658</v>
      </c>
    </row>
    <row r="92" spans="2:41" x14ac:dyDescent="0.25">
      <c r="B92" s="19" t="s">
        <v>808</v>
      </c>
      <c r="C92" s="19"/>
      <c r="D92" s="19"/>
      <c r="E92" s="19"/>
      <c r="F92" s="19"/>
      <c r="G92" s="19"/>
      <c r="H92" s="19"/>
      <c r="I92" s="19"/>
      <c r="J92" s="19"/>
      <c r="K92" s="19"/>
      <c r="L92" s="19"/>
      <c r="M92" s="19"/>
      <c r="N92" s="19" t="s">
        <v>809</v>
      </c>
      <c r="O92" s="19"/>
      <c r="P92" s="19"/>
      <c r="Q92" s="19"/>
      <c r="R92" s="19"/>
      <c r="S92" s="19"/>
      <c r="T92" s="19"/>
      <c r="U92" s="19"/>
      <c r="V92" s="19"/>
      <c r="W92" s="19" t="str">
        <f t="shared" si="48"/>
        <v>B</v>
      </c>
      <c r="X92" s="19" t="str">
        <f t="shared" si="49"/>
        <v>H</v>
      </c>
      <c r="Y92" s="21">
        <f t="shared" ref="Y92" si="109">Y87</f>
        <v>174</v>
      </c>
      <c r="Z92" s="19" t="s">
        <v>324</v>
      </c>
      <c r="AA92" s="19"/>
      <c r="AB92" s="19"/>
      <c r="AC92" s="19"/>
      <c r="AD92" s="19"/>
      <c r="AE92" s="19"/>
      <c r="AF92" s="19"/>
      <c r="AG92" s="19"/>
      <c r="AH92" s="19"/>
      <c r="AI92" s="19"/>
      <c r="AJ92" s="19"/>
      <c r="AK92" s="19"/>
      <c r="AL92" s="19"/>
      <c r="AM92" s="19" t="str">
        <f t="shared" ref="AM92" si="110">_xlfn.CONCAT(N92&amp;W92&amp;X92&amp;Y92&amp;Z92)</f>
        <v>Workbooks("HFU Forecast UTLA 1.0.xlsm").Worksheets("Combined data").Range("BH174")</v>
      </c>
      <c r="AO92" t="s">
        <v>1190</v>
      </c>
    </row>
    <row r="93" spans="2:41" x14ac:dyDescent="0.25">
      <c r="B93" s="19" t="s">
        <v>339</v>
      </c>
      <c r="C93" s="19"/>
      <c r="D93" s="19"/>
      <c r="E93" s="19"/>
      <c r="F93" s="19"/>
      <c r="G93" s="19"/>
      <c r="H93" s="19"/>
      <c r="I93" s="19"/>
      <c r="J93" s="19"/>
      <c r="K93" s="19"/>
      <c r="L93" s="19"/>
      <c r="M93" s="19"/>
      <c r="N93" s="19"/>
      <c r="O93" s="19"/>
      <c r="P93" s="19"/>
      <c r="Q93" s="19"/>
      <c r="R93" s="19"/>
      <c r="S93" s="19"/>
      <c r="T93" s="19"/>
      <c r="U93" s="19"/>
      <c r="V93" s="19"/>
      <c r="W93" s="19"/>
      <c r="X93" s="19"/>
      <c r="Y93" s="21"/>
      <c r="Z93" s="19"/>
      <c r="AA93" s="19"/>
      <c r="AB93" s="19"/>
      <c r="AC93" s="19"/>
      <c r="AD93" s="19"/>
      <c r="AE93" s="19"/>
      <c r="AF93" s="19"/>
      <c r="AG93" s="19"/>
      <c r="AH93" s="19"/>
      <c r="AI93" s="19"/>
      <c r="AJ93" s="19"/>
      <c r="AK93" s="19"/>
      <c r="AL93" s="19"/>
      <c r="AM93" s="19" t="str">
        <f t="shared" ref="AM93" si="111">B93</f>
        <v>ActiveWorkbook.Close SaveChanges:=False</v>
      </c>
      <c r="AO93" t="s">
        <v>339</v>
      </c>
    </row>
    <row r="95" spans="2:41" x14ac:dyDescent="0.25">
      <c r="B95" s="22" t="s">
        <v>316</v>
      </c>
      <c r="C95" s="22"/>
      <c r="D95" s="22"/>
      <c r="E95" s="22"/>
      <c r="F95" s="22"/>
      <c r="G95" s="22"/>
      <c r="H95" s="22"/>
      <c r="I95" s="22"/>
      <c r="J95" s="22"/>
      <c r="K95" s="22"/>
      <c r="L95" s="22"/>
      <c r="M95" s="22"/>
      <c r="N95" s="22" t="s">
        <v>321</v>
      </c>
      <c r="O95" s="22"/>
      <c r="P95" s="22"/>
      <c r="Q95" s="22"/>
      <c r="R95" s="22"/>
      <c r="S95" s="22"/>
      <c r="T95" s="22"/>
      <c r="U95" s="22"/>
      <c r="V95" s="22">
        <f t="shared" si="53"/>
        <v>18</v>
      </c>
      <c r="W95" s="22"/>
      <c r="X95" s="22"/>
      <c r="Y95" s="23"/>
      <c r="Z95" s="22" t="s">
        <v>322</v>
      </c>
      <c r="AA95" s="22"/>
      <c r="AB95" s="22"/>
      <c r="AC95" s="22"/>
      <c r="AD95" s="22"/>
      <c r="AE95" s="22"/>
      <c r="AF95" s="22"/>
      <c r="AG95" s="22"/>
      <c r="AH95" s="22"/>
      <c r="AI95" s="22"/>
      <c r="AJ95" s="22"/>
      <c r="AK95" s="22"/>
      <c r="AL95" s="22"/>
      <c r="AM95" s="22" t="str">
        <f t="shared" ref="AM95" si="112">+_xlfn.CONCAT(N95&amp;V95&amp;Z95)</f>
        <v xml:space="preserve"> Workbooks.Open "A:\Homes for Ukraine data\Ukraine_sponsorship_data_18.ods"</v>
      </c>
      <c r="AO95" t="s">
        <v>354</v>
      </c>
    </row>
    <row r="96" spans="2:41" x14ac:dyDescent="0.25">
      <c r="B96" s="22" t="s">
        <v>380</v>
      </c>
      <c r="C96" s="22"/>
      <c r="D96" s="22"/>
      <c r="E96" s="22"/>
      <c r="F96" s="22"/>
      <c r="G96" s="22"/>
      <c r="H96" s="22"/>
      <c r="I96" s="22"/>
      <c r="J96" s="22"/>
      <c r="K96" s="22"/>
      <c r="L96" s="22"/>
      <c r="M96" s="22"/>
      <c r="N96" s="22" t="s">
        <v>323</v>
      </c>
      <c r="O96" s="22"/>
      <c r="P96" s="22"/>
      <c r="Q96" s="22"/>
      <c r="R96" s="22"/>
      <c r="S96" s="22"/>
      <c r="T96" s="22"/>
      <c r="U96" s="22"/>
      <c r="V96" s="22">
        <f t="shared" si="53"/>
        <v>18</v>
      </c>
      <c r="W96" s="22"/>
      <c r="X96" s="22"/>
      <c r="Y96" s="23"/>
      <c r="Z96" s="22" t="s">
        <v>381</v>
      </c>
      <c r="AA96" s="22"/>
      <c r="AB96" s="22"/>
      <c r="AC96" s="22"/>
      <c r="AD96" s="22"/>
      <c r="AE96" s="22" t="str">
        <f t="shared" ref="AE96:AF96" si="113">AE91</f>
        <v>E</v>
      </c>
      <c r="AF96" s="22">
        <f t="shared" si="113"/>
        <v>13</v>
      </c>
      <c r="AG96" s="22" t="s">
        <v>327</v>
      </c>
      <c r="AH96" s="22" t="str">
        <f t="shared" ref="AH96:AI96" si="114">AH91</f>
        <v>E</v>
      </c>
      <c r="AI96" s="22">
        <f t="shared" si="114"/>
        <v>53</v>
      </c>
      <c r="AJ96" s="22"/>
      <c r="AK96" s="22" t="s">
        <v>325</v>
      </c>
      <c r="AL96" s="22"/>
      <c r="AM96" s="22" t="str">
        <f t="shared" ref="AM96" si="115">_xlfn.CONCAT(N96&amp;V96&amp;Z96&amp;AE96&amp;AF96&amp;AG96&amp;AE96&amp;AI96&amp;AK96)</f>
        <v xml:space="preserve"> Workbooks("Ukraine_sponsorship_data_18.ods").Worksheets("Scotland").Range("E13:E53").Copy _</v>
      </c>
      <c r="AO96" t="s">
        <v>659</v>
      </c>
    </row>
    <row r="97" spans="2:41" x14ac:dyDescent="0.25">
      <c r="B97" s="22" t="s">
        <v>808</v>
      </c>
      <c r="C97" s="22"/>
      <c r="D97" s="22"/>
      <c r="E97" s="22"/>
      <c r="F97" s="22"/>
      <c r="G97" s="22"/>
      <c r="H97" s="22"/>
      <c r="I97" s="22"/>
      <c r="J97" s="22"/>
      <c r="K97" s="22"/>
      <c r="L97" s="22"/>
      <c r="M97" s="22"/>
      <c r="N97" s="22" t="s">
        <v>809</v>
      </c>
      <c r="O97" s="22"/>
      <c r="P97" s="22"/>
      <c r="Q97" s="22"/>
      <c r="R97" s="22"/>
      <c r="S97" s="22"/>
      <c r="T97" s="22"/>
      <c r="U97" s="22"/>
      <c r="V97" s="22"/>
      <c r="W97" s="22" t="str">
        <f t="shared" si="72"/>
        <v>B</v>
      </c>
      <c r="X97" s="22" t="str">
        <f t="shared" si="73"/>
        <v>I</v>
      </c>
      <c r="Y97" s="23">
        <f t="shared" ref="Y97" si="116">Y92</f>
        <v>174</v>
      </c>
      <c r="Z97" s="22" t="s">
        <v>324</v>
      </c>
      <c r="AA97" s="22"/>
      <c r="AB97" s="22"/>
      <c r="AC97" s="22"/>
      <c r="AD97" s="22"/>
      <c r="AE97" s="22"/>
      <c r="AF97" s="22"/>
      <c r="AG97" s="22"/>
      <c r="AH97" s="22"/>
      <c r="AI97" s="22"/>
      <c r="AJ97" s="22"/>
      <c r="AK97" s="22"/>
      <c r="AL97" s="22"/>
      <c r="AM97" s="22" t="str">
        <f t="shared" ref="AM97" si="117">_xlfn.CONCAT(N97&amp;W97&amp;X97&amp;Y97&amp;Z97)</f>
        <v>Workbooks("HFU Forecast UTLA 1.0.xlsm").Worksheets("Combined data").Range("BI174")</v>
      </c>
      <c r="AO97" t="s">
        <v>1191</v>
      </c>
    </row>
    <row r="98" spans="2:41" x14ac:dyDescent="0.25">
      <c r="B98" s="22" t="s">
        <v>339</v>
      </c>
      <c r="C98" s="22"/>
      <c r="D98" s="22"/>
      <c r="E98" s="22"/>
      <c r="F98" s="22"/>
      <c r="G98" s="22"/>
      <c r="H98" s="22"/>
      <c r="I98" s="22"/>
      <c r="J98" s="22"/>
      <c r="K98" s="22"/>
      <c r="L98" s="22"/>
      <c r="M98" s="22"/>
      <c r="N98" s="22"/>
      <c r="O98" s="22"/>
      <c r="P98" s="22"/>
      <c r="Q98" s="22"/>
      <c r="R98" s="22"/>
      <c r="S98" s="22"/>
      <c r="T98" s="22"/>
      <c r="U98" s="22"/>
      <c r="V98" s="22"/>
      <c r="W98" s="22"/>
      <c r="X98" s="22"/>
      <c r="Y98" s="23"/>
      <c r="Z98" s="22"/>
      <c r="AA98" s="22"/>
      <c r="AB98" s="22"/>
      <c r="AC98" s="22"/>
      <c r="AD98" s="22"/>
      <c r="AE98" s="22"/>
      <c r="AF98" s="22"/>
      <c r="AG98" s="22"/>
      <c r="AH98" s="22"/>
      <c r="AI98" s="22"/>
      <c r="AJ98" s="22"/>
      <c r="AK98" s="22"/>
      <c r="AL98" s="22"/>
      <c r="AM98" s="22" t="str">
        <f t="shared" ref="AM98" si="118">B98</f>
        <v>ActiveWorkbook.Close SaveChanges:=False</v>
      </c>
      <c r="AO98" t="s">
        <v>339</v>
      </c>
    </row>
    <row r="100" spans="2:41" x14ac:dyDescent="0.25">
      <c r="B100" s="19" t="s">
        <v>316</v>
      </c>
      <c r="C100" s="19"/>
      <c r="D100" s="19"/>
      <c r="E100" s="19"/>
      <c r="F100" s="19"/>
      <c r="G100" s="19"/>
      <c r="H100" s="19"/>
      <c r="I100" s="19"/>
      <c r="J100" s="19"/>
      <c r="K100" s="19"/>
      <c r="L100" s="19"/>
      <c r="M100" s="19"/>
      <c r="N100" s="19" t="s">
        <v>321</v>
      </c>
      <c r="O100" s="19"/>
      <c r="P100" s="19"/>
      <c r="Q100" s="19"/>
      <c r="R100" s="19"/>
      <c r="S100" s="19"/>
      <c r="T100" s="19"/>
      <c r="U100" s="19"/>
      <c r="V100" s="19">
        <f t="shared" si="43"/>
        <v>19</v>
      </c>
      <c r="W100" s="19"/>
      <c r="X100" s="19"/>
      <c r="Y100" s="21"/>
      <c r="Z100" s="19" t="s">
        <v>322</v>
      </c>
      <c r="AA100" s="19"/>
      <c r="AB100" s="19"/>
      <c r="AC100" s="19"/>
      <c r="AD100" s="19"/>
      <c r="AE100" s="19"/>
      <c r="AF100" s="19"/>
      <c r="AG100" s="19"/>
      <c r="AH100" s="19"/>
      <c r="AI100" s="19"/>
      <c r="AJ100" s="19"/>
      <c r="AK100" s="19"/>
      <c r="AL100" s="19"/>
      <c r="AM100" s="19" t="str">
        <f t="shared" ref="AM100" si="119">+_xlfn.CONCAT(N100&amp;V100&amp;Z100)</f>
        <v xml:space="preserve"> Workbooks.Open "A:\Homes for Ukraine data\Ukraine_sponsorship_data_19.ods"</v>
      </c>
      <c r="AO100" t="s">
        <v>355</v>
      </c>
    </row>
    <row r="101" spans="2:41" x14ac:dyDescent="0.25">
      <c r="B101" s="19" t="s">
        <v>380</v>
      </c>
      <c r="C101" s="19"/>
      <c r="D101" s="19"/>
      <c r="E101" s="19"/>
      <c r="F101" s="19"/>
      <c r="G101" s="19"/>
      <c r="H101" s="19"/>
      <c r="I101" s="19"/>
      <c r="J101" s="19"/>
      <c r="K101" s="19"/>
      <c r="L101" s="19"/>
      <c r="M101" s="19"/>
      <c r="N101" s="19" t="s">
        <v>323</v>
      </c>
      <c r="O101" s="19"/>
      <c r="P101" s="19"/>
      <c r="Q101" s="19"/>
      <c r="R101" s="19"/>
      <c r="S101" s="19"/>
      <c r="T101" s="19"/>
      <c r="U101" s="19"/>
      <c r="V101" s="19">
        <f t="shared" si="43"/>
        <v>19</v>
      </c>
      <c r="W101" s="19"/>
      <c r="X101" s="19"/>
      <c r="Y101" s="21"/>
      <c r="Z101" s="19" t="s">
        <v>381</v>
      </c>
      <c r="AA101" s="19"/>
      <c r="AB101" s="19"/>
      <c r="AC101" s="19"/>
      <c r="AD101" s="19"/>
      <c r="AE101" s="19" t="str">
        <f t="shared" ref="AE101:AF101" si="120">AE96</f>
        <v>E</v>
      </c>
      <c r="AF101" s="19">
        <f t="shared" si="120"/>
        <v>13</v>
      </c>
      <c r="AG101" s="19" t="s">
        <v>327</v>
      </c>
      <c r="AH101" s="19" t="str">
        <f t="shared" ref="AH101:AI101" si="121">AH96</f>
        <v>E</v>
      </c>
      <c r="AI101" s="19">
        <f t="shared" si="121"/>
        <v>53</v>
      </c>
      <c r="AJ101" s="19"/>
      <c r="AK101" s="19" t="s">
        <v>325</v>
      </c>
      <c r="AL101" s="19"/>
      <c r="AM101" s="19" t="str">
        <f t="shared" ref="AM101" si="122">_xlfn.CONCAT(N101&amp;V101&amp;Z101&amp;AE101&amp;AF101&amp;AG101&amp;AE101&amp;AI101&amp;AK101)</f>
        <v xml:space="preserve"> Workbooks("Ukraine_sponsorship_data_19.ods").Worksheets("Scotland").Range("E13:E53").Copy _</v>
      </c>
      <c r="AO101" t="s">
        <v>660</v>
      </c>
    </row>
    <row r="102" spans="2:41" x14ac:dyDescent="0.25">
      <c r="B102" s="19" t="s">
        <v>808</v>
      </c>
      <c r="C102" s="19"/>
      <c r="D102" s="19"/>
      <c r="E102" s="19"/>
      <c r="F102" s="19"/>
      <c r="G102" s="19"/>
      <c r="H102" s="19"/>
      <c r="I102" s="19"/>
      <c r="J102" s="19"/>
      <c r="K102" s="19"/>
      <c r="L102" s="19"/>
      <c r="M102" s="19"/>
      <c r="N102" s="19" t="s">
        <v>809</v>
      </c>
      <c r="O102" s="19"/>
      <c r="P102" s="19"/>
      <c r="Q102" s="19"/>
      <c r="R102" s="19"/>
      <c r="S102" s="19"/>
      <c r="T102" s="19"/>
      <c r="U102" s="19"/>
      <c r="V102" s="19"/>
      <c r="W102" s="19" t="str">
        <f t="shared" si="48"/>
        <v>B</v>
      </c>
      <c r="X102" s="19" t="str">
        <f t="shared" si="49"/>
        <v>J</v>
      </c>
      <c r="Y102" s="21">
        <f t="shared" ref="Y102" si="123">Y97</f>
        <v>174</v>
      </c>
      <c r="Z102" s="19" t="s">
        <v>324</v>
      </c>
      <c r="AA102" s="19"/>
      <c r="AB102" s="19"/>
      <c r="AC102" s="19"/>
      <c r="AD102" s="19"/>
      <c r="AE102" s="19"/>
      <c r="AF102" s="19"/>
      <c r="AG102" s="19"/>
      <c r="AH102" s="19"/>
      <c r="AI102" s="19"/>
      <c r="AJ102" s="19"/>
      <c r="AK102" s="19"/>
      <c r="AL102" s="19"/>
      <c r="AM102" s="19" t="str">
        <f t="shared" ref="AM102" si="124">_xlfn.CONCAT(N102&amp;W102&amp;X102&amp;Y102&amp;Z102)</f>
        <v>Workbooks("HFU Forecast UTLA 1.0.xlsm").Worksheets("Combined data").Range("BJ174")</v>
      </c>
      <c r="AO102" t="s">
        <v>1192</v>
      </c>
    </row>
    <row r="103" spans="2:41" x14ac:dyDescent="0.25">
      <c r="B103" s="19" t="s">
        <v>339</v>
      </c>
      <c r="C103" s="19"/>
      <c r="D103" s="19"/>
      <c r="E103" s="19"/>
      <c r="F103" s="19"/>
      <c r="G103" s="19"/>
      <c r="H103" s="19"/>
      <c r="I103" s="19"/>
      <c r="J103" s="19"/>
      <c r="K103" s="19"/>
      <c r="L103" s="19"/>
      <c r="M103" s="19"/>
      <c r="N103" s="19"/>
      <c r="O103" s="19"/>
      <c r="P103" s="19"/>
      <c r="Q103" s="19"/>
      <c r="R103" s="19"/>
      <c r="S103" s="19"/>
      <c r="T103" s="19"/>
      <c r="U103" s="19"/>
      <c r="V103" s="19"/>
      <c r="W103" s="19"/>
      <c r="X103" s="19"/>
      <c r="Y103" s="21"/>
      <c r="Z103" s="19"/>
      <c r="AA103" s="19"/>
      <c r="AB103" s="19"/>
      <c r="AC103" s="19"/>
      <c r="AD103" s="19"/>
      <c r="AE103" s="19"/>
      <c r="AF103" s="19"/>
      <c r="AG103" s="19"/>
      <c r="AH103" s="19"/>
      <c r="AI103" s="19"/>
      <c r="AJ103" s="19"/>
      <c r="AK103" s="19"/>
      <c r="AL103" s="19"/>
      <c r="AM103" s="19" t="str">
        <f t="shared" ref="AM103" si="125">B103</f>
        <v>ActiveWorkbook.Close SaveChanges:=False</v>
      </c>
      <c r="AO103" t="s">
        <v>339</v>
      </c>
    </row>
    <row r="105" spans="2:41" x14ac:dyDescent="0.25">
      <c r="B105" s="22" t="s">
        <v>316</v>
      </c>
      <c r="C105" s="22"/>
      <c r="D105" s="22"/>
      <c r="E105" s="22"/>
      <c r="F105" s="22"/>
      <c r="G105" s="22"/>
      <c r="H105" s="22"/>
      <c r="I105" s="22"/>
      <c r="J105" s="22"/>
      <c r="K105" s="22"/>
      <c r="L105" s="22"/>
      <c r="M105" s="22"/>
      <c r="N105" s="22" t="s">
        <v>321</v>
      </c>
      <c r="O105" s="22"/>
      <c r="P105" s="22"/>
      <c r="Q105" s="22"/>
      <c r="R105" s="22"/>
      <c r="S105" s="22"/>
      <c r="T105" s="22"/>
      <c r="U105" s="22"/>
      <c r="V105" s="22">
        <f t="shared" si="53"/>
        <v>20</v>
      </c>
      <c r="W105" s="22"/>
      <c r="X105" s="22"/>
      <c r="Y105" s="23"/>
      <c r="Z105" s="22" t="s">
        <v>322</v>
      </c>
      <c r="AA105" s="22"/>
      <c r="AB105" s="22"/>
      <c r="AC105" s="22"/>
      <c r="AD105" s="22"/>
      <c r="AE105" s="22"/>
      <c r="AF105" s="22"/>
      <c r="AG105" s="22"/>
      <c r="AH105" s="22"/>
      <c r="AI105" s="22"/>
      <c r="AJ105" s="22"/>
      <c r="AK105" s="22"/>
      <c r="AL105" s="22"/>
      <c r="AM105" s="22" t="str">
        <f t="shared" ref="AM105" si="126">+_xlfn.CONCAT(N105&amp;V105&amp;Z105)</f>
        <v xml:space="preserve"> Workbooks.Open "A:\Homes for Ukraine data\Ukraine_sponsorship_data_20.ods"</v>
      </c>
      <c r="AO105" t="s">
        <v>356</v>
      </c>
    </row>
    <row r="106" spans="2:41" x14ac:dyDescent="0.25">
      <c r="B106" s="22" t="s">
        <v>380</v>
      </c>
      <c r="C106" s="22"/>
      <c r="D106" s="22"/>
      <c r="E106" s="22"/>
      <c r="F106" s="22"/>
      <c r="G106" s="22"/>
      <c r="H106" s="22"/>
      <c r="I106" s="22"/>
      <c r="J106" s="22"/>
      <c r="K106" s="22"/>
      <c r="L106" s="22"/>
      <c r="M106" s="22"/>
      <c r="N106" s="22" t="s">
        <v>323</v>
      </c>
      <c r="O106" s="22"/>
      <c r="P106" s="22"/>
      <c r="Q106" s="22"/>
      <c r="R106" s="22"/>
      <c r="S106" s="22"/>
      <c r="T106" s="22"/>
      <c r="U106" s="22"/>
      <c r="V106" s="22">
        <f t="shared" si="53"/>
        <v>20</v>
      </c>
      <c r="W106" s="22"/>
      <c r="X106" s="22"/>
      <c r="Y106" s="23"/>
      <c r="Z106" s="22" t="s">
        <v>381</v>
      </c>
      <c r="AA106" s="22"/>
      <c r="AB106" s="22"/>
      <c r="AC106" s="22"/>
      <c r="AD106" s="22"/>
      <c r="AE106" s="22" t="str">
        <f t="shared" ref="AE106:AF106" si="127">AE101</f>
        <v>E</v>
      </c>
      <c r="AF106" s="22">
        <f t="shared" si="127"/>
        <v>13</v>
      </c>
      <c r="AG106" s="22" t="s">
        <v>327</v>
      </c>
      <c r="AH106" s="22" t="str">
        <f t="shared" ref="AH106:AI106" si="128">AH101</f>
        <v>E</v>
      </c>
      <c r="AI106" s="22">
        <f t="shared" si="128"/>
        <v>53</v>
      </c>
      <c r="AJ106" s="22"/>
      <c r="AK106" s="22" t="s">
        <v>325</v>
      </c>
      <c r="AL106" s="22"/>
      <c r="AM106" s="22" t="str">
        <f t="shared" ref="AM106" si="129">_xlfn.CONCAT(N106&amp;V106&amp;Z106&amp;AE106&amp;AF106&amp;AG106&amp;AE106&amp;AI106&amp;AK106)</f>
        <v xml:space="preserve"> Workbooks("Ukraine_sponsorship_data_20.ods").Worksheets("Scotland").Range("E13:E53").Copy _</v>
      </c>
      <c r="AO106" t="s">
        <v>661</v>
      </c>
    </row>
    <row r="107" spans="2:41" x14ac:dyDescent="0.25">
      <c r="B107" s="22" t="s">
        <v>808</v>
      </c>
      <c r="C107" s="22"/>
      <c r="D107" s="22"/>
      <c r="E107" s="22"/>
      <c r="F107" s="22"/>
      <c r="G107" s="22"/>
      <c r="H107" s="22"/>
      <c r="I107" s="22"/>
      <c r="J107" s="22"/>
      <c r="K107" s="22"/>
      <c r="L107" s="22"/>
      <c r="M107" s="22"/>
      <c r="N107" s="22" t="s">
        <v>809</v>
      </c>
      <c r="O107" s="22"/>
      <c r="P107" s="22"/>
      <c r="Q107" s="22"/>
      <c r="R107" s="22"/>
      <c r="S107" s="22"/>
      <c r="T107" s="22"/>
      <c r="U107" s="22"/>
      <c r="V107" s="22"/>
      <c r="W107" s="22" t="str">
        <f t="shared" si="72"/>
        <v>B</v>
      </c>
      <c r="X107" s="22" t="str">
        <f t="shared" si="73"/>
        <v>K</v>
      </c>
      <c r="Y107" s="23">
        <f t="shared" ref="Y107" si="130">Y102</f>
        <v>174</v>
      </c>
      <c r="Z107" s="22" t="s">
        <v>324</v>
      </c>
      <c r="AA107" s="22"/>
      <c r="AB107" s="22"/>
      <c r="AC107" s="22"/>
      <c r="AD107" s="22"/>
      <c r="AE107" s="22"/>
      <c r="AF107" s="22"/>
      <c r="AG107" s="22"/>
      <c r="AH107" s="22"/>
      <c r="AI107" s="22"/>
      <c r="AJ107" s="22"/>
      <c r="AK107" s="22"/>
      <c r="AL107" s="22"/>
      <c r="AM107" s="22" t="str">
        <f t="shared" ref="AM107" si="131">_xlfn.CONCAT(N107&amp;W107&amp;X107&amp;Y107&amp;Z107)</f>
        <v>Workbooks("HFU Forecast UTLA 1.0.xlsm").Worksheets("Combined data").Range("BK174")</v>
      </c>
      <c r="AO107" t="s">
        <v>1193</v>
      </c>
    </row>
    <row r="108" spans="2:41" x14ac:dyDescent="0.25">
      <c r="B108" s="22" t="s">
        <v>339</v>
      </c>
      <c r="C108" s="22"/>
      <c r="D108" s="22"/>
      <c r="E108" s="22"/>
      <c r="F108" s="22"/>
      <c r="G108" s="22"/>
      <c r="H108" s="22"/>
      <c r="I108" s="22"/>
      <c r="J108" s="22"/>
      <c r="K108" s="22"/>
      <c r="L108" s="22"/>
      <c r="M108" s="22"/>
      <c r="N108" s="22"/>
      <c r="O108" s="22"/>
      <c r="P108" s="22"/>
      <c r="Q108" s="22"/>
      <c r="R108" s="22"/>
      <c r="S108" s="22"/>
      <c r="T108" s="22"/>
      <c r="U108" s="22"/>
      <c r="V108" s="22"/>
      <c r="W108" s="22"/>
      <c r="X108" s="22"/>
      <c r="Y108" s="23"/>
      <c r="Z108" s="22"/>
      <c r="AA108" s="22"/>
      <c r="AB108" s="22"/>
      <c r="AC108" s="22"/>
      <c r="AD108" s="22"/>
      <c r="AE108" s="22"/>
      <c r="AF108" s="22"/>
      <c r="AG108" s="22"/>
      <c r="AH108" s="22"/>
      <c r="AI108" s="22"/>
      <c r="AJ108" s="22"/>
      <c r="AK108" s="22"/>
      <c r="AL108" s="22"/>
      <c r="AM108" s="22" t="str">
        <f t="shared" ref="AM108" si="132">B108</f>
        <v>ActiveWorkbook.Close SaveChanges:=False</v>
      </c>
      <c r="AO108" t="s">
        <v>339</v>
      </c>
    </row>
    <row r="110" spans="2:41" x14ac:dyDescent="0.25">
      <c r="B110" s="19" t="s">
        <v>316</v>
      </c>
      <c r="C110" s="19"/>
      <c r="D110" s="19"/>
      <c r="E110" s="19"/>
      <c r="F110" s="19"/>
      <c r="G110" s="19"/>
      <c r="H110" s="19"/>
      <c r="I110" s="19"/>
      <c r="J110" s="19"/>
      <c r="K110" s="19"/>
      <c r="L110" s="19"/>
      <c r="M110" s="19"/>
      <c r="N110" s="19" t="s">
        <v>321</v>
      </c>
      <c r="O110" s="19"/>
      <c r="P110" s="19"/>
      <c r="Q110" s="19"/>
      <c r="R110" s="19"/>
      <c r="S110" s="19"/>
      <c r="T110" s="19"/>
      <c r="U110" s="19"/>
      <c r="V110" s="19">
        <f t="shared" si="43"/>
        <v>21</v>
      </c>
      <c r="W110" s="19"/>
      <c r="X110" s="19"/>
      <c r="Y110" s="21"/>
      <c r="Z110" s="19" t="s">
        <v>322</v>
      </c>
      <c r="AA110" s="19"/>
      <c r="AB110" s="19"/>
      <c r="AC110" s="19"/>
      <c r="AD110" s="19"/>
      <c r="AE110" s="19"/>
      <c r="AF110" s="19"/>
      <c r="AG110" s="19"/>
      <c r="AH110" s="19"/>
      <c r="AI110" s="19"/>
      <c r="AJ110" s="19"/>
      <c r="AK110" s="19"/>
      <c r="AL110" s="19"/>
      <c r="AM110" s="19" t="str">
        <f t="shared" ref="AM110" si="133">+_xlfn.CONCAT(N110&amp;V110&amp;Z110)</f>
        <v xml:space="preserve"> Workbooks.Open "A:\Homes for Ukraine data\Ukraine_sponsorship_data_21.ods"</v>
      </c>
      <c r="AO110" t="s">
        <v>357</v>
      </c>
    </row>
    <row r="111" spans="2:41" x14ac:dyDescent="0.25">
      <c r="B111" s="19" t="s">
        <v>380</v>
      </c>
      <c r="C111" s="19"/>
      <c r="D111" s="19"/>
      <c r="E111" s="19"/>
      <c r="F111" s="19"/>
      <c r="G111" s="19"/>
      <c r="H111" s="19"/>
      <c r="I111" s="19"/>
      <c r="J111" s="19"/>
      <c r="K111" s="19"/>
      <c r="L111" s="19"/>
      <c r="M111" s="19"/>
      <c r="N111" s="19" t="s">
        <v>323</v>
      </c>
      <c r="O111" s="19"/>
      <c r="P111" s="19"/>
      <c r="Q111" s="19"/>
      <c r="R111" s="19"/>
      <c r="S111" s="19"/>
      <c r="T111" s="19"/>
      <c r="U111" s="19"/>
      <c r="V111" s="19">
        <f t="shared" si="43"/>
        <v>21</v>
      </c>
      <c r="W111" s="19"/>
      <c r="X111" s="19"/>
      <c r="Y111" s="21"/>
      <c r="Z111" s="19" t="s">
        <v>381</v>
      </c>
      <c r="AA111" s="19"/>
      <c r="AB111" s="19"/>
      <c r="AC111" s="19"/>
      <c r="AD111" s="19"/>
      <c r="AE111" s="19" t="str">
        <f t="shared" ref="AE111:AF111" si="134">AE106</f>
        <v>E</v>
      </c>
      <c r="AF111" s="19">
        <f t="shared" si="134"/>
        <v>13</v>
      </c>
      <c r="AG111" s="19" t="s">
        <v>327</v>
      </c>
      <c r="AH111" s="19" t="str">
        <f t="shared" ref="AH111:AI111" si="135">AH106</f>
        <v>E</v>
      </c>
      <c r="AI111" s="19">
        <f t="shared" si="135"/>
        <v>53</v>
      </c>
      <c r="AJ111" s="19"/>
      <c r="AK111" s="19" t="s">
        <v>325</v>
      </c>
      <c r="AL111" s="19"/>
      <c r="AM111" s="19" t="str">
        <f t="shared" ref="AM111" si="136">_xlfn.CONCAT(N111&amp;V111&amp;Z111&amp;AE111&amp;AF111&amp;AG111&amp;AE111&amp;AI111&amp;AK111)</f>
        <v xml:space="preserve"> Workbooks("Ukraine_sponsorship_data_21.ods").Worksheets("Scotland").Range("E13:E53").Copy _</v>
      </c>
      <c r="AO111" t="s">
        <v>662</v>
      </c>
    </row>
    <row r="112" spans="2:41" x14ac:dyDescent="0.25">
      <c r="B112" s="19" t="s">
        <v>808</v>
      </c>
      <c r="C112" s="19"/>
      <c r="D112" s="19"/>
      <c r="E112" s="19"/>
      <c r="F112" s="19"/>
      <c r="G112" s="19"/>
      <c r="H112" s="19"/>
      <c r="I112" s="19"/>
      <c r="J112" s="19"/>
      <c r="K112" s="19"/>
      <c r="L112" s="19"/>
      <c r="M112" s="19"/>
      <c r="N112" s="19" t="s">
        <v>809</v>
      </c>
      <c r="O112" s="19"/>
      <c r="P112" s="19"/>
      <c r="Q112" s="19"/>
      <c r="R112" s="19"/>
      <c r="S112" s="19"/>
      <c r="T112" s="19"/>
      <c r="U112" s="19"/>
      <c r="V112" s="19"/>
      <c r="W112" s="19" t="s">
        <v>313</v>
      </c>
      <c r="X112" s="19" t="str">
        <f t="shared" si="49"/>
        <v>L</v>
      </c>
      <c r="Y112" s="21">
        <f t="shared" ref="Y112" si="137">Y107</f>
        <v>174</v>
      </c>
      <c r="Z112" s="19" t="s">
        <v>324</v>
      </c>
      <c r="AA112" s="19"/>
      <c r="AB112" s="19"/>
      <c r="AC112" s="19"/>
      <c r="AD112" s="19"/>
      <c r="AE112" s="19"/>
      <c r="AF112" s="19"/>
      <c r="AG112" s="19"/>
      <c r="AH112" s="19"/>
      <c r="AI112" s="19"/>
      <c r="AJ112" s="19"/>
      <c r="AK112" s="19"/>
      <c r="AL112" s="19"/>
      <c r="AM112" s="19" t="str">
        <f t="shared" ref="AM112" si="138">_xlfn.CONCAT(N112&amp;W112&amp;X112&amp;Y112&amp;Z112)</f>
        <v>Workbooks("HFU Forecast UTLA 1.0.xlsm").Worksheets("Combined data").Range("BL174")</v>
      </c>
      <c r="AO112" t="s">
        <v>986</v>
      </c>
    </row>
    <row r="113" spans="2:41" x14ac:dyDescent="0.25">
      <c r="B113" s="19" t="s">
        <v>339</v>
      </c>
      <c r="C113" s="19"/>
      <c r="D113" s="19"/>
      <c r="E113" s="19"/>
      <c r="F113" s="19"/>
      <c r="G113" s="19"/>
      <c r="H113" s="19"/>
      <c r="I113" s="19"/>
      <c r="J113" s="19"/>
      <c r="K113" s="19"/>
      <c r="L113" s="19"/>
      <c r="M113" s="19"/>
      <c r="N113" s="19"/>
      <c r="O113" s="19"/>
      <c r="P113" s="19"/>
      <c r="Q113" s="19"/>
      <c r="R113" s="19"/>
      <c r="S113" s="19"/>
      <c r="T113" s="19"/>
      <c r="U113" s="19"/>
      <c r="V113" s="19"/>
      <c r="W113" s="19"/>
      <c r="X113" s="19"/>
      <c r="Y113" s="21"/>
      <c r="Z113" s="19"/>
      <c r="AA113" s="19"/>
      <c r="AB113" s="19"/>
      <c r="AC113" s="19"/>
      <c r="AD113" s="19"/>
      <c r="AE113" s="19"/>
      <c r="AF113" s="19"/>
      <c r="AG113" s="19"/>
      <c r="AH113" s="19"/>
      <c r="AI113" s="19"/>
      <c r="AJ113" s="19"/>
      <c r="AK113" s="19"/>
      <c r="AL113" s="19"/>
      <c r="AM113" s="19" t="str">
        <f t="shared" ref="AM113" si="139">B113</f>
        <v>ActiveWorkbook.Close SaveChanges:=False</v>
      </c>
      <c r="AO113" t="s">
        <v>339</v>
      </c>
    </row>
    <row r="115" spans="2:41" x14ac:dyDescent="0.25">
      <c r="B115" s="22" t="s">
        <v>316</v>
      </c>
      <c r="C115" s="22"/>
      <c r="D115" s="22"/>
      <c r="E115" s="22"/>
      <c r="F115" s="22"/>
      <c r="G115" s="22"/>
      <c r="H115" s="22"/>
      <c r="I115" s="22"/>
      <c r="J115" s="22"/>
      <c r="K115" s="22"/>
      <c r="L115" s="22"/>
      <c r="M115" s="22"/>
      <c r="N115" s="22" t="s">
        <v>321</v>
      </c>
      <c r="O115" s="22"/>
      <c r="P115" s="22"/>
      <c r="Q115" s="22"/>
      <c r="R115" s="22"/>
      <c r="S115" s="22"/>
      <c r="T115" s="22"/>
      <c r="U115" s="22"/>
      <c r="V115" s="22">
        <f t="shared" si="53"/>
        <v>22</v>
      </c>
      <c r="W115" s="22"/>
      <c r="X115" s="22"/>
      <c r="Y115" s="23"/>
      <c r="Z115" s="22" t="s">
        <v>322</v>
      </c>
      <c r="AA115" s="22"/>
      <c r="AB115" s="22"/>
      <c r="AC115" s="22"/>
      <c r="AD115" s="22"/>
      <c r="AE115" s="22"/>
      <c r="AF115" s="22"/>
      <c r="AG115" s="22"/>
      <c r="AH115" s="22"/>
      <c r="AI115" s="22"/>
      <c r="AJ115" s="22"/>
      <c r="AK115" s="22"/>
      <c r="AL115" s="22"/>
      <c r="AM115" s="22" t="str">
        <f t="shared" ref="AM115" si="140">+_xlfn.CONCAT(N115&amp;V115&amp;Z115)</f>
        <v xml:space="preserve"> Workbooks.Open "A:\Homes for Ukraine data\Ukraine_sponsorship_data_22.ods"</v>
      </c>
      <c r="AO115" t="s">
        <v>358</v>
      </c>
    </row>
    <row r="116" spans="2:41" x14ac:dyDescent="0.25">
      <c r="B116" s="22" t="s">
        <v>380</v>
      </c>
      <c r="C116" s="22"/>
      <c r="D116" s="22"/>
      <c r="E116" s="22"/>
      <c r="F116" s="22"/>
      <c r="G116" s="22"/>
      <c r="H116" s="22"/>
      <c r="I116" s="22"/>
      <c r="J116" s="22"/>
      <c r="K116" s="22"/>
      <c r="L116" s="22"/>
      <c r="M116" s="22"/>
      <c r="N116" s="22" t="s">
        <v>323</v>
      </c>
      <c r="O116" s="22"/>
      <c r="P116" s="22"/>
      <c r="Q116" s="22"/>
      <c r="R116" s="22"/>
      <c r="S116" s="22"/>
      <c r="T116" s="22"/>
      <c r="U116" s="22"/>
      <c r="V116" s="22">
        <f t="shared" si="53"/>
        <v>22</v>
      </c>
      <c r="W116" s="22"/>
      <c r="X116" s="22"/>
      <c r="Y116" s="23"/>
      <c r="Z116" s="22" t="s">
        <v>381</v>
      </c>
      <c r="AA116" s="22"/>
      <c r="AB116" s="22"/>
      <c r="AC116" s="22"/>
      <c r="AD116" s="22"/>
      <c r="AE116" s="22" t="str">
        <f t="shared" ref="AE116:AF116" si="141">AE111</f>
        <v>E</v>
      </c>
      <c r="AF116" s="22">
        <f t="shared" si="141"/>
        <v>13</v>
      </c>
      <c r="AG116" s="22" t="s">
        <v>327</v>
      </c>
      <c r="AH116" s="22" t="str">
        <f t="shared" ref="AH116:AI116" si="142">AH111</f>
        <v>E</v>
      </c>
      <c r="AI116" s="22">
        <f t="shared" si="142"/>
        <v>53</v>
      </c>
      <c r="AJ116" s="22"/>
      <c r="AK116" s="22" t="s">
        <v>325</v>
      </c>
      <c r="AL116" s="22"/>
      <c r="AM116" s="22" t="str">
        <f t="shared" ref="AM116" si="143">_xlfn.CONCAT(N116&amp;V116&amp;Z116&amp;AE116&amp;AF116&amp;AG116&amp;AE116&amp;AI116&amp;AK116)</f>
        <v xml:space="preserve"> Workbooks("Ukraine_sponsorship_data_22.ods").Worksheets("Scotland").Range("E13:E53").Copy _</v>
      </c>
      <c r="AO116" t="s">
        <v>663</v>
      </c>
    </row>
    <row r="117" spans="2:41" x14ac:dyDescent="0.25">
      <c r="B117" s="22" t="s">
        <v>808</v>
      </c>
      <c r="C117" s="22"/>
      <c r="D117" s="22"/>
      <c r="E117" s="22"/>
      <c r="F117" s="22"/>
      <c r="G117" s="22"/>
      <c r="H117" s="22"/>
      <c r="I117" s="22"/>
      <c r="J117" s="22"/>
      <c r="K117" s="22"/>
      <c r="L117" s="22"/>
      <c r="M117" s="22"/>
      <c r="N117" s="22" t="s">
        <v>809</v>
      </c>
      <c r="O117" s="22"/>
      <c r="P117" s="22"/>
      <c r="Q117" s="22"/>
      <c r="R117" s="22"/>
      <c r="S117" s="22"/>
      <c r="T117" s="22"/>
      <c r="U117" s="22"/>
      <c r="V117" s="22"/>
      <c r="W117" s="22" t="str">
        <f t="shared" si="72"/>
        <v>B</v>
      </c>
      <c r="X117" s="22" t="str">
        <f t="shared" si="73"/>
        <v>M</v>
      </c>
      <c r="Y117" s="23">
        <f t="shared" ref="Y117" si="144">Y112</f>
        <v>174</v>
      </c>
      <c r="Z117" s="22" t="s">
        <v>324</v>
      </c>
      <c r="AA117" s="22"/>
      <c r="AB117" s="22"/>
      <c r="AC117" s="22"/>
      <c r="AD117" s="22"/>
      <c r="AE117" s="22"/>
      <c r="AF117" s="22"/>
      <c r="AG117" s="22"/>
      <c r="AH117" s="22"/>
      <c r="AI117" s="22"/>
      <c r="AJ117" s="22"/>
      <c r="AK117" s="22"/>
      <c r="AL117" s="22"/>
      <c r="AM117" s="22" t="str">
        <f t="shared" ref="AM117" si="145">_xlfn.CONCAT(N117&amp;W117&amp;X117&amp;Y117&amp;Z117)</f>
        <v>Workbooks("HFU Forecast UTLA 1.0.xlsm").Worksheets("Combined data").Range("BM174")</v>
      </c>
      <c r="AO117" t="s">
        <v>987</v>
      </c>
    </row>
    <row r="118" spans="2:41" x14ac:dyDescent="0.25">
      <c r="B118" s="22" t="s">
        <v>339</v>
      </c>
      <c r="C118" s="22"/>
      <c r="D118" s="22"/>
      <c r="E118" s="22"/>
      <c r="F118" s="22"/>
      <c r="G118" s="22"/>
      <c r="H118" s="22"/>
      <c r="I118" s="22"/>
      <c r="J118" s="22"/>
      <c r="K118" s="22"/>
      <c r="L118" s="22"/>
      <c r="M118" s="22"/>
      <c r="N118" s="22"/>
      <c r="O118" s="22"/>
      <c r="P118" s="22"/>
      <c r="Q118" s="22"/>
      <c r="R118" s="22"/>
      <c r="S118" s="22"/>
      <c r="T118" s="22"/>
      <c r="U118" s="22"/>
      <c r="V118" s="22"/>
      <c r="W118" s="22"/>
      <c r="X118" s="22"/>
      <c r="Y118" s="23"/>
      <c r="Z118" s="22"/>
      <c r="AA118" s="22"/>
      <c r="AB118" s="22"/>
      <c r="AC118" s="22"/>
      <c r="AD118" s="22"/>
      <c r="AE118" s="22"/>
      <c r="AF118" s="22"/>
      <c r="AG118" s="22"/>
      <c r="AH118" s="22"/>
      <c r="AI118" s="22"/>
      <c r="AJ118" s="22"/>
      <c r="AK118" s="22"/>
      <c r="AL118" s="22"/>
      <c r="AM118" s="22" t="str">
        <f t="shared" ref="AM118" si="146">B118</f>
        <v>ActiveWorkbook.Close SaveChanges:=False</v>
      </c>
      <c r="AO118" t="s">
        <v>339</v>
      </c>
    </row>
    <row r="120" spans="2:41" x14ac:dyDescent="0.25">
      <c r="B120" s="19" t="s">
        <v>316</v>
      </c>
      <c r="C120" s="19"/>
      <c r="D120" s="19"/>
      <c r="E120" s="19"/>
      <c r="F120" s="19"/>
      <c r="G120" s="19"/>
      <c r="H120" s="19"/>
      <c r="I120" s="19"/>
      <c r="J120" s="19"/>
      <c r="K120" s="19"/>
      <c r="L120" s="19"/>
      <c r="M120" s="19"/>
      <c r="N120" s="19" t="s">
        <v>321</v>
      </c>
      <c r="O120" s="19"/>
      <c r="P120" s="19"/>
      <c r="Q120" s="19"/>
      <c r="R120" s="19"/>
      <c r="S120" s="19"/>
      <c r="T120" s="19"/>
      <c r="U120" s="19"/>
      <c r="V120" s="19">
        <f t="shared" ref="V120:V171" si="147">V115+1</f>
        <v>23</v>
      </c>
      <c r="W120" s="19"/>
      <c r="X120" s="19"/>
      <c r="Y120" s="21"/>
      <c r="Z120" s="19" t="s">
        <v>322</v>
      </c>
      <c r="AA120" s="19"/>
      <c r="AB120" s="19"/>
      <c r="AC120" s="19"/>
      <c r="AD120" s="19"/>
      <c r="AE120" s="19"/>
      <c r="AF120" s="19"/>
      <c r="AG120" s="19"/>
      <c r="AH120" s="19"/>
      <c r="AI120" s="19"/>
      <c r="AJ120" s="19"/>
      <c r="AK120" s="19"/>
      <c r="AL120" s="19"/>
      <c r="AM120" s="19" t="str">
        <f t="shared" ref="AM120" si="148">+_xlfn.CONCAT(N120&amp;V120&amp;Z120)</f>
        <v xml:space="preserve"> Workbooks.Open "A:\Homes for Ukraine data\Ukraine_sponsorship_data_23.ods"</v>
      </c>
      <c r="AO120" t="s">
        <v>721</v>
      </c>
    </row>
    <row r="121" spans="2:41" x14ac:dyDescent="0.25">
      <c r="B121" s="19" t="s">
        <v>380</v>
      </c>
      <c r="C121" s="19"/>
      <c r="D121" s="19"/>
      <c r="E121" s="19"/>
      <c r="F121" s="19"/>
      <c r="G121" s="19"/>
      <c r="H121" s="19"/>
      <c r="I121" s="19"/>
      <c r="J121" s="19"/>
      <c r="K121" s="19"/>
      <c r="L121" s="19"/>
      <c r="M121" s="19"/>
      <c r="N121" s="19" t="s">
        <v>323</v>
      </c>
      <c r="O121" s="19"/>
      <c r="P121" s="19"/>
      <c r="Q121" s="19"/>
      <c r="R121" s="19"/>
      <c r="S121" s="19"/>
      <c r="T121" s="19"/>
      <c r="U121" s="19"/>
      <c r="V121" s="19">
        <f t="shared" si="147"/>
        <v>23</v>
      </c>
      <c r="W121" s="19"/>
      <c r="X121" s="19"/>
      <c r="Y121" s="21"/>
      <c r="Z121" s="19" t="s">
        <v>381</v>
      </c>
      <c r="AA121" s="19"/>
      <c r="AB121" s="19"/>
      <c r="AC121" s="19"/>
      <c r="AD121" s="19"/>
      <c r="AE121" s="19" t="str">
        <f t="shared" ref="AE121:AF121" si="149">AE116</f>
        <v>E</v>
      </c>
      <c r="AF121" s="19">
        <f t="shared" si="149"/>
        <v>13</v>
      </c>
      <c r="AG121" s="19" t="s">
        <v>327</v>
      </c>
      <c r="AH121" s="19" t="str">
        <f t="shared" ref="AH121:AI121" si="150">AH116</f>
        <v>E</v>
      </c>
      <c r="AI121" s="19">
        <f t="shared" si="150"/>
        <v>53</v>
      </c>
      <c r="AJ121" s="19"/>
      <c r="AK121" s="19" t="s">
        <v>325</v>
      </c>
      <c r="AL121" s="19"/>
      <c r="AM121" s="19" t="str">
        <f t="shared" ref="AM121" si="151">_xlfn.CONCAT(N121&amp;V121&amp;Z121&amp;AE121&amp;AF121&amp;AG121&amp;AE121&amp;AI121&amp;AK121)</f>
        <v xml:space="preserve"> Workbooks("Ukraine_sponsorship_data_23.ods").Worksheets("Scotland").Range("E13:E53").Copy _</v>
      </c>
      <c r="AO121" t="s">
        <v>757</v>
      </c>
    </row>
    <row r="122" spans="2:41" x14ac:dyDescent="0.25">
      <c r="B122" s="19" t="s">
        <v>808</v>
      </c>
      <c r="C122" s="19"/>
      <c r="D122" s="19"/>
      <c r="E122" s="19"/>
      <c r="F122" s="19"/>
      <c r="G122" s="19"/>
      <c r="H122" s="19"/>
      <c r="I122" s="19"/>
      <c r="J122" s="19"/>
      <c r="K122" s="19"/>
      <c r="L122" s="19"/>
      <c r="M122" s="19"/>
      <c r="N122" s="19" t="s">
        <v>809</v>
      </c>
      <c r="O122" s="19"/>
      <c r="P122" s="19"/>
      <c r="Q122" s="19"/>
      <c r="R122" s="19"/>
      <c r="S122" s="19"/>
      <c r="T122" s="19"/>
      <c r="U122" s="19"/>
      <c r="V122" s="19"/>
      <c r="W122" s="19" t="s">
        <v>313</v>
      </c>
      <c r="X122" s="19" t="str">
        <f t="shared" ref="X122:X172" si="152">CHAR(CODE(X117)+1)</f>
        <v>N</v>
      </c>
      <c r="Y122" s="21">
        <f t="shared" ref="Y122:Y172" si="153">Y117</f>
        <v>174</v>
      </c>
      <c r="Z122" s="19" t="s">
        <v>324</v>
      </c>
      <c r="AA122" s="19"/>
      <c r="AB122" s="19"/>
      <c r="AC122" s="19"/>
      <c r="AD122" s="19"/>
      <c r="AE122" s="19"/>
      <c r="AF122" s="19"/>
      <c r="AG122" s="19"/>
      <c r="AH122" s="19"/>
      <c r="AI122" s="19"/>
      <c r="AJ122" s="19"/>
      <c r="AK122" s="19"/>
      <c r="AL122" s="19"/>
      <c r="AM122" s="19" t="str">
        <f t="shared" ref="AM122" si="154">_xlfn.CONCAT(N122&amp;W122&amp;X122&amp;Y122&amp;Z122)</f>
        <v>Workbooks("HFU Forecast UTLA 1.0.xlsm").Worksheets("Combined data").Range("BN174")</v>
      </c>
      <c r="AO122" t="s">
        <v>988</v>
      </c>
    </row>
    <row r="123" spans="2:41" x14ac:dyDescent="0.25">
      <c r="B123" s="19" t="s">
        <v>339</v>
      </c>
      <c r="C123" s="19"/>
      <c r="D123" s="19"/>
      <c r="E123" s="19"/>
      <c r="F123" s="19"/>
      <c r="G123" s="19"/>
      <c r="H123" s="19"/>
      <c r="I123" s="19"/>
      <c r="J123" s="19"/>
      <c r="K123" s="19"/>
      <c r="L123" s="19"/>
      <c r="M123" s="19"/>
      <c r="N123" s="19"/>
      <c r="O123" s="19"/>
      <c r="P123" s="19"/>
      <c r="Q123" s="19"/>
      <c r="R123" s="19"/>
      <c r="S123" s="19"/>
      <c r="T123" s="19"/>
      <c r="U123" s="19"/>
      <c r="V123" s="19"/>
      <c r="W123" s="19"/>
      <c r="X123" s="19"/>
      <c r="Y123" s="21"/>
      <c r="Z123" s="19"/>
      <c r="AA123" s="19"/>
      <c r="AB123" s="19"/>
      <c r="AC123" s="19"/>
      <c r="AD123" s="19"/>
      <c r="AE123" s="19"/>
      <c r="AF123" s="19"/>
      <c r="AG123" s="19"/>
      <c r="AH123" s="19"/>
      <c r="AI123" s="19"/>
      <c r="AJ123" s="19"/>
      <c r="AK123" s="19"/>
      <c r="AL123" s="19"/>
      <c r="AM123" s="19" t="str">
        <f t="shared" ref="AM123" si="155">B123</f>
        <v>ActiveWorkbook.Close SaveChanges:=False</v>
      </c>
      <c r="AO123" t="s">
        <v>339</v>
      </c>
    </row>
    <row r="125" spans="2:41" x14ac:dyDescent="0.25">
      <c r="B125" s="22" t="s">
        <v>316</v>
      </c>
      <c r="C125" s="22"/>
      <c r="D125" s="22"/>
      <c r="E125" s="22"/>
      <c r="F125" s="22"/>
      <c r="G125" s="22"/>
      <c r="H125" s="22"/>
      <c r="I125" s="22"/>
      <c r="J125" s="22"/>
      <c r="K125" s="22"/>
      <c r="L125" s="22"/>
      <c r="M125" s="22"/>
      <c r="N125" s="22" t="s">
        <v>321</v>
      </c>
      <c r="O125" s="22"/>
      <c r="P125" s="22"/>
      <c r="Q125" s="22"/>
      <c r="R125" s="22"/>
      <c r="S125" s="22"/>
      <c r="T125" s="22"/>
      <c r="U125" s="22"/>
      <c r="V125" s="22">
        <f t="shared" ref="V125:V176" si="156">V120+1</f>
        <v>24</v>
      </c>
      <c r="W125" s="22"/>
      <c r="X125" s="22"/>
      <c r="Y125" s="23"/>
      <c r="Z125" s="22" t="s">
        <v>322</v>
      </c>
      <c r="AA125" s="22"/>
      <c r="AB125" s="22"/>
      <c r="AC125" s="22"/>
      <c r="AD125" s="22"/>
      <c r="AE125" s="22"/>
      <c r="AF125" s="22"/>
      <c r="AG125" s="22"/>
      <c r="AH125" s="22"/>
      <c r="AI125" s="22"/>
      <c r="AJ125" s="22"/>
      <c r="AK125" s="22"/>
      <c r="AL125" s="22"/>
      <c r="AM125" s="22" t="str">
        <f t="shared" ref="AM125" si="157">+_xlfn.CONCAT(N125&amp;V125&amp;Z125)</f>
        <v xml:space="preserve"> Workbooks.Open "A:\Homes for Ukraine data\Ukraine_sponsorship_data_24.ods"</v>
      </c>
      <c r="AO125" t="s">
        <v>723</v>
      </c>
    </row>
    <row r="126" spans="2:41" x14ac:dyDescent="0.25">
      <c r="B126" s="22" t="s">
        <v>380</v>
      </c>
      <c r="C126" s="22"/>
      <c r="D126" s="22"/>
      <c r="E126" s="22"/>
      <c r="F126" s="22"/>
      <c r="G126" s="22"/>
      <c r="H126" s="22"/>
      <c r="I126" s="22"/>
      <c r="J126" s="22"/>
      <c r="K126" s="22"/>
      <c r="L126" s="22"/>
      <c r="M126" s="22"/>
      <c r="N126" s="22" t="s">
        <v>323</v>
      </c>
      <c r="O126" s="22"/>
      <c r="P126" s="22"/>
      <c r="Q126" s="22"/>
      <c r="R126" s="22"/>
      <c r="S126" s="22"/>
      <c r="T126" s="22"/>
      <c r="U126" s="22"/>
      <c r="V126" s="22">
        <f t="shared" si="156"/>
        <v>24</v>
      </c>
      <c r="W126" s="22"/>
      <c r="X126" s="22"/>
      <c r="Y126" s="23"/>
      <c r="Z126" s="22" t="s">
        <v>381</v>
      </c>
      <c r="AA126" s="22"/>
      <c r="AB126" s="22"/>
      <c r="AC126" s="22"/>
      <c r="AD126" s="22"/>
      <c r="AE126" s="22" t="str">
        <f t="shared" ref="AE126:AF126" si="158">AE121</f>
        <v>E</v>
      </c>
      <c r="AF126" s="22">
        <f t="shared" si="158"/>
        <v>13</v>
      </c>
      <c r="AG126" s="22" t="s">
        <v>327</v>
      </c>
      <c r="AH126" s="22" t="str">
        <f t="shared" ref="AH126:AI126" si="159">AH121</f>
        <v>E</v>
      </c>
      <c r="AI126" s="22">
        <f t="shared" si="159"/>
        <v>53</v>
      </c>
      <c r="AJ126" s="22"/>
      <c r="AK126" s="22" t="s">
        <v>325</v>
      </c>
      <c r="AL126" s="22"/>
      <c r="AM126" s="22" t="str">
        <f t="shared" ref="AM126" si="160">_xlfn.CONCAT(N126&amp;V126&amp;Z126&amp;AE126&amp;AF126&amp;AG126&amp;AE126&amp;AI126&amp;AK126)</f>
        <v xml:space="preserve"> Workbooks("Ukraine_sponsorship_data_24.ods").Worksheets("Scotland").Range("E13:E53").Copy _</v>
      </c>
      <c r="AO126" t="s">
        <v>758</v>
      </c>
    </row>
    <row r="127" spans="2:41" x14ac:dyDescent="0.25">
      <c r="B127" s="22" t="s">
        <v>808</v>
      </c>
      <c r="C127" s="22"/>
      <c r="D127" s="22"/>
      <c r="E127" s="22"/>
      <c r="F127" s="22"/>
      <c r="G127" s="22"/>
      <c r="H127" s="22"/>
      <c r="I127" s="22"/>
      <c r="J127" s="22"/>
      <c r="K127" s="22"/>
      <c r="L127" s="22"/>
      <c r="M127" s="22"/>
      <c r="N127" s="22" t="s">
        <v>809</v>
      </c>
      <c r="O127" s="22"/>
      <c r="P127" s="22"/>
      <c r="Q127" s="22"/>
      <c r="R127" s="22"/>
      <c r="S127" s="22"/>
      <c r="T127" s="22"/>
      <c r="U127" s="22"/>
      <c r="V127" s="22"/>
      <c r="W127" s="22" t="str">
        <f t="shared" ref="W127:W177" si="161">W122</f>
        <v>B</v>
      </c>
      <c r="X127" s="22" t="str">
        <f t="shared" ref="X127:X177" si="162">CHAR(CODE(X122)+1)</f>
        <v>O</v>
      </c>
      <c r="Y127" s="23">
        <f t="shared" ref="Y127:Y177" si="163">Y122</f>
        <v>174</v>
      </c>
      <c r="Z127" s="22" t="s">
        <v>324</v>
      </c>
      <c r="AA127" s="22"/>
      <c r="AB127" s="22"/>
      <c r="AC127" s="22"/>
      <c r="AD127" s="22"/>
      <c r="AE127" s="22"/>
      <c r="AF127" s="22"/>
      <c r="AG127" s="22"/>
      <c r="AH127" s="22"/>
      <c r="AI127" s="22"/>
      <c r="AJ127" s="22"/>
      <c r="AK127" s="22"/>
      <c r="AL127" s="22"/>
      <c r="AM127" s="22" t="str">
        <f t="shared" ref="AM127" si="164">_xlfn.CONCAT(N127&amp;W127&amp;X127&amp;Y127&amp;Z127)</f>
        <v>Workbooks("HFU Forecast UTLA 1.0.xlsm").Worksheets("Combined data").Range("BO174")</v>
      </c>
      <c r="AO127" t="s">
        <v>989</v>
      </c>
    </row>
    <row r="128" spans="2:41" x14ac:dyDescent="0.25">
      <c r="B128" s="22" t="s">
        <v>339</v>
      </c>
      <c r="C128" s="22"/>
      <c r="D128" s="22"/>
      <c r="E128" s="22"/>
      <c r="F128" s="22"/>
      <c r="G128" s="22"/>
      <c r="H128" s="22"/>
      <c r="I128" s="22"/>
      <c r="J128" s="22"/>
      <c r="K128" s="22"/>
      <c r="L128" s="22"/>
      <c r="M128" s="22"/>
      <c r="N128" s="22"/>
      <c r="O128" s="22"/>
      <c r="P128" s="22"/>
      <c r="Q128" s="22"/>
      <c r="R128" s="22"/>
      <c r="S128" s="22"/>
      <c r="T128" s="22"/>
      <c r="U128" s="22"/>
      <c r="V128" s="22"/>
      <c r="W128" s="22"/>
      <c r="X128" s="22"/>
      <c r="Y128" s="23"/>
      <c r="Z128" s="22"/>
      <c r="AA128" s="22"/>
      <c r="AB128" s="22"/>
      <c r="AC128" s="22"/>
      <c r="AD128" s="22"/>
      <c r="AE128" s="22"/>
      <c r="AF128" s="22"/>
      <c r="AG128" s="22"/>
      <c r="AH128" s="22"/>
      <c r="AI128" s="22"/>
      <c r="AJ128" s="22"/>
      <c r="AK128" s="22"/>
      <c r="AL128" s="22"/>
      <c r="AM128" s="22" t="str">
        <f t="shared" ref="AM128" si="165">B128</f>
        <v>ActiveWorkbook.Close SaveChanges:=False</v>
      </c>
      <c r="AO128" t="s">
        <v>339</v>
      </c>
    </row>
    <row r="130" spans="2:41" x14ac:dyDescent="0.25">
      <c r="B130" s="19" t="s">
        <v>316</v>
      </c>
      <c r="C130" s="19"/>
      <c r="D130" s="19"/>
      <c r="E130" s="19"/>
      <c r="F130" s="19"/>
      <c r="G130" s="19"/>
      <c r="H130" s="19"/>
      <c r="I130" s="19"/>
      <c r="J130" s="19"/>
      <c r="K130" s="19"/>
      <c r="L130" s="19"/>
      <c r="M130" s="19"/>
      <c r="N130" s="19" t="s">
        <v>321</v>
      </c>
      <c r="O130" s="19"/>
      <c r="P130" s="19"/>
      <c r="Q130" s="19"/>
      <c r="R130" s="19"/>
      <c r="S130" s="19"/>
      <c r="T130" s="19"/>
      <c r="U130" s="19"/>
      <c r="V130" s="19">
        <f t="shared" si="147"/>
        <v>25</v>
      </c>
      <c r="W130" s="19"/>
      <c r="X130" s="19"/>
      <c r="Y130" s="21"/>
      <c r="Z130" s="19" t="s">
        <v>322</v>
      </c>
      <c r="AA130" s="19"/>
      <c r="AB130" s="19"/>
      <c r="AC130" s="19"/>
      <c r="AD130" s="19"/>
      <c r="AE130" s="19"/>
      <c r="AF130" s="19"/>
      <c r="AG130" s="19"/>
      <c r="AH130" s="19"/>
      <c r="AI130" s="19"/>
      <c r="AJ130" s="19"/>
      <c r="AK130" s="19"/>
      <c r="AL130" s="19"/>
      <c r="AM130" s="19" t="str">
        <f t="shared" ref="AM130" si="166">+_xlfn.CONCAT(N130&amp;V130&amp;Z130)</f>
        <v xml:space="preserve"> Workbooks.Open "A:\Homes for Ukraine data\Ukraine_sponsorship_data_25.ods"</v>
      </c>
      <c r="AO130" t="s">
        <v>725</v>
      </c>
    </row>
    <row r="131" spans="2:41" x14ac:dyDescent="0.25">
      <c r="B131" s="19" t="s">
        <v>380</v>
      </c>
      <c r="C131" s="19"/>
      <c r="D131" s="19"/>
      <c r="E131" s="19"/>
      <c r="F131" s="19"/>
      <c r="G131" s="19"/>
      <c r="H131" s="19"/>
      <c r="I131" s="19"/>
      <c r="J131" s="19"/>
      <c r="K131" s="19"/>
      <c r="L131" s="19"/>
      <c r="M131" s="19"/>
      <c r="N131" s="19" t="s">
        <v>323</v>
      </c>
      <c r="O131" s="19"/>
      <c r="P131" s="19"/>
      <c r="Q131" s="19"/>
      <c r="R131" s="19"/>
      <c r="S131" s="19"/>
      <c r="T131" s="19"/>
      <c r="U131" s="19"/>
      <c r="V131" s="19">
        <f t="shared" si="147"/>
        <v>25</v>
      </c>
      <c r="W131" s="19"/>
      <c r="X131" s="19"/>
      <c r="Y131" s="21"/>
      <c r="Z131" s="19" t="s">
        <v>381</v>
      </c>
      <c r="AA131" s="19"/>
      <c r="AB131" s="19"/>
      <c r="AC131" s="19"/>
      <c r="AD131" s="19"/>
      <c r="AE131" s="19" t="str">
        <f t="shared" ref="AE131:AF131" si="167">AE126</f>
        <v>E</v>
      </c>
      <c r="AF131" s="19">
        <f t="shared" si="167"/>
        <v>13</v>
      </c>
      <c r="AG131" s="19" t="s">
        <v>327</v>
      </c>
      <c r="AH131" s="19" t="str">
        <f t="shared" ref="AH131:AI131" si="168">AH126</f>
        <v>E</v>
      </c>
      <c r="AI131" s="19">
        <f t="shared" si="168"/>
        <v>53</v>
      </c>
      <c r="AJ131" s="19"/>
      <c r="AK131" s="19" t="s">
        <v>325</v>
      </c>
      <c r="AL131" s="19"/>
      <c r="AM131" s="19" t="str">
        <f t="shared" ref="AM131" si="169">_xlfn.CONCAT(N131&amp;V131&amp;Z131&amp;AE131&amp;AF131&amp;AG131&amp;AE131&amp;AI131&amp;AK131)</f>
        <v xml:space="preserve"> Workbooks("Ukraine_sponsorship_data_25.ods").Worksheets("Scotland").Range("E13:E53").Copy _</v>
      </c>
      <c r="AO131" t="s">
        <v>759</v>
      </c>
    </row>
    <row r="132" spans="2:41" x14ac:dyDescent="0.25">
      <c r="B132" s="19" t="s">
        <v>808</v>
      </c>
      <c r="C132" s="19"/>
      <c r="D132" s="19"/>
      <c r="E132" s="19"/>
      <c r="F132" s="19"/>
      <c r="G132" s="19"/>
      <c r="H132" s="19"/>
      <c r="I132" s="19"/>
      <c r="J132" s="19"/>
      <c r="K132" s="19"/>
      <c r="L132" s="19"/>
      <c r="M132" s="19"/>
      <c r="N132" s="19" t="s">
        <v>809</v>
      </c>
      <c r="O132" s="19"/>
      <c r="P132" s="19"/>
      <c r="Q132" s="19"/>
      <c r="R132" s="19"/>
      <c r="S132" s="19"/>
      <c r="T132" s="19"/>
      <c r="U132" s="19"/>
      <c r="V132" s="19"/>
      <c r="W132" s="19" t="s">
        <v>313</v>
      </c>
      <c r="X132" s="19" t="str">
        <f t="shared" si="152"/>
        <v>P</v>
      </c>
      <c r="Y132" s="21">
        <f t="shared" si="153"/>
        <v>174</v>
      </c>
      <c r="Z132" s="19" t="s">
        <v>324</v>
      </c>
      <c r="AA132" s="19"/>
      <c r="AB132" s="19"/>
      <c r="AC132" s="19"/>
      <c r="AD132" s="19"/>
      <c r="AE132" s="19"/>
      <c r="AF132" s="19"/>
      <c r="AG132" s="19"/>
      <c r="AH132" s="19"/>
      <c r="AI132" s="19"/>
      <c r="AJ132" s="19"/>
      <c r="AK132" s="19"/>
      <c r="AL132" s="19"/>
      <c r="AM132" s="19" t="str">
        <f t="shared" ref="AM132" si="170">_xlfn.CONCAT(N132&amp;W132&amp;X132&amp;Y132&amp;Z132)</f>
        <v>Workbooks("HFU Forecast UTLA 1.0.xlsm").Worksheets("Combined data").Range("BP174")</v>
      </c>
      <c r="AO132" t="s">
        <v>990</v>
      </c>
    </row>
    <row r="133" spans="2:41" x14ac:dyDescent="0.25">
      <c r="B133" s="19" t="s">
        <v>339</v>
      </c>
      <c r="C133" s="19"/>
      <c r="D133" s="19"/>
      <c r="E133" s="19"/>
      <c r="F133" s="19"/>
      <c r="G133" s="19"/>
      <c r="H133" s="19"/>
      <c r="I133" s="19"/>
      <c r="J133" s="19"/>
      <c r="K133" s="19"/>
      <c r="L133" s="19"/>
      <c r="M133" s="19"/>
      <c r="N133" s="19"/>
      <c r="O133" s="19"/>
      <c r="P133" s="19"/>
      <c r="Q133" s="19"/>
      <c r="R133" s="19"/>
      <c r="S133" s="19"/>
      <c r="T133" s="19"/>
      <c r="U133" s="19"/>
      <c r="V133" s="19"/>
      <c r="W133" s="19"/>
      <c r="X133" s="19"/>
      <c r="Y133" s="21"/>
      <c r="Z133" s="19"/>
      <c r="AA133" s="19"/>
      <c r="AB133" s="19"/>
      <c r="AC133" s="19"/>
      <c r="AD133" s="19"/>
      <c r="AE133" s="19"/>
      <c r="AF133" s="19"/>
      <c r="AG133" s="19"/>
      <c r="AH133" s="19"/>
      <c r="AI133" s="19"/>
      <c r="AJ133" s="19"/>
      <c r="AK133" s="19"/>
      <c r="AL133" s="19"/>
      <c r="AM133" s="19" t="str">
        <f t="shared" ref="AM133" si="171">B133</f>
        <v>ActiveWorkbook.Close SaveChanges:=False</v>
      </c>
      <c r="AO133" t="s">
        <v>339</v>
      </c>
    </row>
    <row r="135" spans="2:41" x14ac:dyDescent="0.25">
      <c r="B135" s="22" t="s">
        <v>316</v>
      </c>
      <c r="C135" s="22"/>
      <c r="D135" s="22"/>
      <c r="E135" s="22"/>
      <c r="F135" s="22"/>
      <c r="G135" s="22"/>
      <c r="H135" s="22"/>
      <c r="I135" s="22"/>
      <c r="J135" s="22"/>
      <c r="K135" s="22"/>
      <c r="L135" s="22"/>
      <c r="M135" s="22"/>
      <c r="N135" s="22" t="s">
        <v>321</v>
      </c>
      <c r="O135" s="22"/>
      <c r="P135" s="22"/>
      <c r="Q135" s="22"/>
      <c r="R135" s="22"/>
      <c r="S135" s="22"/>
      <c r="T135" s="22"/>
      <c r="U135" s="22"/>
      <c r="V135" s="22">
        <f t="shared" si="156"/>
        <v>26</v>
      </c>
      <c r="W135" s="22"/>
      <c r="X135" s="22"/>
      <c r="Y135" s="23"/>
      <c r="Z135" s="22" t="s">
        <v>322</v>
      </c>
      <c r="AA135" s="22"/>
      <c r="AB135" s="22"/>
      <c r="AC135" s="22"/>
      <c r="AD135" s="22"/>
      <c r="AE135" s="22"/>
      <c r="AF135" s="22"/>
      <c r="AG135" s="22"/>
      <c r="AH135" s="22"/>
      <c r="AI135" s="22"/>
      <c r="AJ135" s="22"/>
      <c r="AK135" s="22"/>
      <c r="AL135" s="22"/>
      <c r="AM135" s="22" t="str">
        <f t="shared" ref="AM135" si="172">+_xlfn.CONCAT(N135&amp;V135&amp;Z135)</f>
        <v xml:space="preserve"> Workbooks.Open "A:\Homes for Ukraine data\Ukraine_sponsorship_data_26.ods"</v>
      </c>
      <c r="AO135" t="s">
        <v>727</v>
      </c>
    </row>
    <row r="136" spans="2:41" x14ac:dyDescent="0.25">
      <c r="B136" s="22" t="s">
        <v>380</v>
      </c>
      <c r="C136" s="22"/>
      <c r="D136" s="22"/>
      <c r="E136" s="22"/>
      <c r="F136" s="22"/>
      <c r="G136" s="22"/>
      <c r="H136" s="22"/>
      <c r="I136" s="22"/>
      <c r="J136" s="22"/>
      <c r="K136" s="22"/>
      <c r="L136" s="22"/>
      <c r="M136" s="22"/>
      <c r="N136" s="22" t="s">
        <v>323</v>
      </c>
      <c r="O136" s="22"/>
      <c r="P136" s="22"/>
      <c r="Q136" s="22"/>
      <c r="R136" s="22"/>
      <c r="S136" s="22"/>
      <c r="T136" s="22"/>
      <c r="U136" s="22"/>
      <c r="V136" s="22">
        <f t="shared" si="156"/>
        <v>26</v>
      </c>
      <c r="W136" s="22"/>
      <c r="X136" s="22"/>
      <c r="Y136" s="23"/>
      <c r="Z136" s="22" t="s">
        <v>381</v>
      </c>
      <c r="AA136" s="22"/>
      <c r="AB136" s="22"/>
      <c r="AC136" s="22"/>
      <c r="AD136" s="22"/>
      <c r="AE136" s="22" t="str">
        <f t="shared" ref="AE136:AF136" si="173">AE131</f>
        <v>E</v>
      </c>
      <c r="AF136" s="22">
        <f t="shared" si="173"/>
        <v>13</v>
      </c>
      <c r="AG136" s="22" t="s">
        <v>327</v>
      </c>
      <c r="AH136" s="22" t="str">
        <f t="shared" ref="AH136:AI136" si="174">AH131</f>
        <v>E</v>
      </c>
      <c r="AI136" s="22">
        <f t="shared" si="174"/>
        <v>53</v>
      </c>
      <c r="AJ136" s="22"/>
      <c r="AK136" s="22" t="s">
        <v>325</v>
      </c>
      <c r="AL136" s="22"/>
      <c r="AM136" s="22" t="str">
        <f t="shared" ref="AM136" si="175">_xlfn.CONCAT(N136&amp;V136&amp;Z136&amp;AE136&amp;AF136&amp;AG136&amp;AE136&amp;AI136&amp;AK136)</f>
        <v xml:space="preserve"> Workbooks("Ukraine_sponsorship_data_26.ods").Worksheets("Scotland").Range("E13:E53").Copy _</v>
      </c>
      <c r="AO136" t="s">
        <v>760</v>
      </c>
    </row>
    <row r="137" spans="2:41" x14ac:dyDescent="0.25">
      <c r="B137" s="22" t="s">
        <v>808</v>
      </c>
      <c r="C137" s="22"/>
      <c r="D137" s="22"/>
      <c r="E137" s="22"/>
      <c r="F137" s="22"/>
      <c r="G137" s="22"/>
      <c r="H137" s="22"/>
      <c r="I137" s="22"/>
      <c r="J137" s="22"/>
      <c r="K137" s="22"/>
      <c r="L137" s="22"/>
      <c r="M137" s="22"/>
      <c r="N137" s="22" t="s">
        <v>809</v>
      </c>
      <c r="O137" s="22"/>
      <c r="P137" s="22"/>
      <c r="Q137" s="22"/>
      <c r="R137" s="22"/>
      <c r="S137" s="22"/>
      <c r="T137" s="22"/>
      <c r="U137" s="22"/>
      <c r="V137" s="22"/>
      <c r="W137" s="22" t="str">
        <f t="shared" si="161"/>
        <v>B</v>
      </c>
      <c r="X137" s="22" t="str">
        <f t="shared" si="162"/>
        <v>Q</v>
      </c>
      <c r="Y137" s="23">
        <f t="shared" si="163"/>
        <v>174</v>
      </c>
      <c r="Z137" s="22" t="s">
        <v>324</v>
      </c>
      <c r="AA137" s="22"/>
      <c r="AB137" s="22"/>
      <c r="AC137" s="22"/>
      <c r="AD137" s="22"/>
      <c r="AE137" s="22"/>
      <c r="AF137" s="22"/>
      <c r="AG137" s="22"/>
      <c r="AH137" s="22"/>
      <c r="AI137" s="22"/>
      <c r="AJ137" s="22"/>
      <c r="AK137" s="22"/>
      <c r="AL137" s="22"/>
      <c r="AM137" s="22" t="str">
        <f t="shared" ref="AM137" si="176">_xlfn.CONCAT(N137&amp;W137&amp;X137&amp;Y137&amp;Z137)</f>
        <v>Workbooks("HFU Forecast UTLA 1.0.xlsm").Worksheets("Combined data").Range("BQ174")</v>
      </c>
      <c r="AO137" t="s">
        <v>991</v>
      </c>
    </row>
    <row r="138" spans="2:41" x14ac:dyDescent="0.25">
      <c r="B138" s="22" t="s">
        <v>339</v>
      </c>
      <c r="C138" s="22"/>
      <c r="D138" s="22"/>
      <c r="E138" s="22"/>
      <c r="F138" s="22"/>
      <c r="G138" s="22"/>
      <c r="H138" s="22"/>
      <c r="I138" s="22"/>
      <c r="J138" s="22"/>
      <c r="K138" s="22"/>
      <c r="L138" s="22"/>
      <c r="M138" s="22"/>
      <c r="N138" s="22"/>
      <c r="O138" s="22"/>
      <c r="P138" s="22"/>
      <c r="Q138" s="22"/>
      <c r="R138" s="22"/>
      <c r="S138" s="22"/>
      <c r="T138" s="22"/>
      <c r="U138" s="22"/>
      <c r="V138" s="22"/>
      <c r="W138" s="22"/>
      <c r="X138" s="22"/>
      <c r="Y138" s="23"/>
      <c r="Z138" s="22"/>
      <c r="AA138" s="22"/>
      <c r="AB138" s="22"/>
      <c r="AC138" s="22"/>
      <c r="AD138" s="22"/>
      <c r="AE138" s="22"/>
      <c r="AF138" s="22"/>
      <c r="AG138" s="22"/>
      <c r="AH138" s="22"/>
      <c r="AI138" s="22"/>
      <c r="AJ138" s="22"/>
      <c r="AK138" s="22"/>
      <c r="AL138" s="22"/>
      <c r="AM138" s="22" t="str">
        <f t="shared" ref="AM138" si="177">B138</f>
        <v>ActiveWorkbook.Close SaveChanges:=False</v>
      </c>
      <c r="AO138" t="s">
        <v>339</v>
      </c>
    </row>
    <row r="140" spans="2:41" x14ac:dyDescent="0.25">
      <c r="B140" s="19" t="s">
        <v>316</v>
      </c>
      <c r="C140" s="19"/>
      <c r="D140" s="19"/>
      <c r="E140" s="19"/>
      <c r="F140" s="19"/>
      <c r="G140" s="19"/>
      <c r="H140" s="19"/>
      <c r="I140" s="19"/>
      <c r="J140" s="19"/>
      <c r="K140" s="19"/>
      <c r="L140" s="19"/>
      <c r="M140" s="19"/>
      <c r="N140" s="19" t="s">
        <v>321</v>
      </c>
      <c r="O140" s="19"/>
      <c r="P140" s="19"/>
      <c r="Q140" s="19"/>
      <c r="R140" s="19"/>
      <c r="S140" s="19"/>
      <c r="T140" s="19"/>
      <c r="U140" s="19"/>
      <c r="V140" s="19">
        <f t="shared" si="147"/>
        <v>27</v>
      </c>
      <c r="W140" s="19"/>
      <c r="X140" s="19"/>
      <c r="Y140" s="21"/>
      <c r="Z140" s="19" t="s">
        <v>322</v>
      </c>
      <c r="AA140" s="19"/>
      <c r="AB140" s="19"/>
      <c r="AC140" s="19"/>
      <c r="AD140" s="19"/>
      <c r="AE140" s="19"/>
      <c r="AF140" s="19"/>
      <c r="AG140" s="19"/>
      <c r="AH140" s="19"/>
      <c r="AI140" s="19"/>
      <c r="AJ140" s="19"/>
      <c r="AK140" s="19"/>
      <c r="AL140" s="19"/>
      <c r="AM140" s="19" t="str">
        <f t="shared" ref="AM140" si="178">+_xlfn.CONCAT(N140&amp;V140&amp;Z140)</f>
        <v xml:space="preserve"> Workbooks.Open "A:\Homes for Ukraine data\Ukraine_sponsorship_data_27.ods"</v>
      </c>
      <c r="AO140" t="s">
        <v>729</v>
      </c>
    </row>
    <row r="141" spans="2:41" x14ac:dyDescent="0.25">
      <c r="B141" s="19" t="s">
        <v>380</v>
      </c>
      <c r="C141" s="19"/>
      <c r="D141" s="19"/>
      <c r="E141" s="19"/>
      <c r="F141" s="19"/>
      <c r="G141" s="19"/>
      <c r="H141" s="19"/>
      <c r="I141" s="19"/>
      <c r="J141" s="19"/>
      <c r="K141" s="19"/>
      <c r="L141" s="19"/>
      <c r="M141" s="19"/>
      <c r="N141" s="19" t="s">
        <v>323</v>
      </c>
      <c r="O141" s="19"/>
      <c r="P141" s="19"/>
      <c r="Q141" s="19"/>
      <c r="R141" s="19"/>
      <c r="S141" s="19"/>
      <c r="T141" s="19"/>
      <c r="U141" s="19"/>
      <c r="V141" s="19">
        <f t="shared" si="147"/>
        <v>27</v>
      </c>
      <c r="W141" s="19"/>
      <c r="X141" s="19"/>
      <c r="Y141" s="21"/>
      <c r="Z141" s="19" t="s">
        <v>381</v>
      </c>
      <c r="AA141" s="19"/>
      <c r="AB141" s="19"/>
      <c r="AC141" s="19"/>
      <c r="AD141" s="19"/>
      <c r="AE141" s="19" t="str">
        <f t="shared" ref="AE141:AF141" si="179">AE136</f>
        <v>E</v>
      </c>
      <c r="AF141" s="19">
        <f t="shared" si="179"/>
        <v>13</v>
      </c>
      <c r="AG141" s="19" t="s">
        <v>327</v>
      </c>
      <c r="AH141" s="19" t="str">
        <f t="shared" ref="AH141:AI141" si="180">AH136</f>
        <v>E</v>
      </c>
      <c r="AI141" s="19">
        <f t="shared" si="180"/>
        <v>53</v>
      </c>
      <c r="AJ141" s="19"/>
      <c r="AK141" s="19" t="s">
        <v>325</v>
      </c>
      <c r="AL141" s="19"/>
      <c r="AM141" s="19" t="str">
        <f t="shared" ref="AM141" si="181">_xlfn.CONCAT(N141&amp;V141&amp;Z141&amp;AE141&amp;AF141&amp;AG141&amp;AE141&amp;AI141&amp;AK141)</f>
        <v xml:space="preserve"> Workbooks("Ukraine_sponsorship_data_27.ods").Worksheets("Scotland").Range("E13:E53").Copy _</v>
      </c>
      <c r="AO141" t="s">
        <v>761</v>
      </c>
    </row>
    <row r="142" spans="2:41" x14ac:dyDescent="0.25">
      <c r="B142" s="19" t="s">
        <v>808</v>
      </c>
      <c r="C142" s="19"/>
      <c r="D142" s="19"/>
      <c r="E142" s="19"/>
      <c r="F142" s="19"/>
      <c r="G142" s="19"/>
      <c r="H142" s="19"/>
      <c r="I142" s="19"/>
      <c r="J142" s="19"/>
      <c r="K142" s="19"/>
      <c r="L142" s="19"/>
      <c r="M142" s="19"/>
      <c r="N142" s="19" t="s">
        <v>809</v>
      </c>
      <c r="O142" s="19"/>
      <c r="P142" s="19"/>
      <c r="Q142" s="19"/>
      <c r="R142" s="19"/>
      <c r="S142" s="19"/>
      <c r="T142" s="19"/>
      <c r="U142" s="19"/>
      <c r="V142" s="19"/>
      <c r="W142" s="19" t="s">
        <v>313</v>
      </c>
      <c r="X142" s="19" t="str">
        <f t="shared" si="152"/>
        <v>R</v>
      </c>
      <c r="Y142" s="21">
        <f t="shared" si="153"/>
        <v>174</v>
      </c>
      <c r="Z142" s="19" t="s">
        <v>324</v>
      </c>
      <c r="AA142" s="19"/>
      <c r="AB142" s="19"/>
      <c r="AC142" s="19"/>
      <c r="AD142" s="19"/>
      <c r="AE142" s="19"/>
      <c r="AF142" s="19"/>
      <c r="AG142" s="19"/>
      <c r="AH142" s="19"/>
      <c r="AI142" s="19"/>
      <c r="AJ142" s="19"/>
      <c r="AK142" s="19"/>
      <c r="AL142" s="19"/>
      <c r="AM142" s="19" t="str">
        <f t="shared" ref="AM142" si="182">_xlfn.CONCAT(N142&amp;W142&amp;X142&amp;Y142&amp;Z142)</f>
        <v>Workbooks("HFU Forecast UTLA 1.0.xlsm").Worksheets("Combined data").Range("BR174")</v>
      </c>
      <c r="AO142" t="s">
        <v>992</v>
      </c>
    </row>
    <row r="143" spans="2:41" x14ac:dyDescent="0.25">
      <c r="B143" s="19" t="s">
        <v>339</v>
      </c>
      <c r="C143" s="19"/>
      <c r="D143" s="19"/>
      <c r="E143" s="19"/>
      <c r="F143" s="19"/>
      <c r="G143" s="19"/>
      <c r="H143" s="19"/>
      <c r="I143" s="19"/>
      <c r="J143" s="19"/>
      <c r="K143" s="19"/>
      <c r="L143" s="19"/>
      <c r="M143" s="19"/>
      <c r="N143" s="19"/>
      <c r="O143" s="19"/>
      <c r="P143" s="19"/>
      <c r="Q143" s="19"/>
      <c r="R143" s="19"/>
      <c r="S143" s="19"/>
      <c r="T143" s="19"/>
      <c r="U143" s="19"/>
      <c r="V143" s="19"/>
      <c r="W143" s="19"/>
      <c r="X143" s="19"/>
      <c r="Y143" s="21"/>
      <c r="Z143" s="19"/>
      <c r="AA143" s="19"/>
      <c r="AB143" s="19"/>
      <c r="AC143" s="19"/>
      <c r="AD143" s="19"/>
      <c r="AE143" s="19"/>
      <c r="AF143" s="19"/>
      <c r="AG143" s="19"/>
      <c r="AH143" s="19"/>
      <c r="AI143" s="19"/>
      <c r="AJ143" s="19"/>
      <c r="AK143" s="19"/>
      <c r="AL143" s="19"/>
      <c r="AM143" s="19" t="str">
        <f t="shared" ref="AM143" si="183">B143</f>
        <v>ActiveWorkbook.Close SaveChanges:=False</v>
      </c>
      <c r="AO143" t="s">
        <v>339</v>
      </c>
    </row>
    <row r="145" spans="2:41" x14ac:dyDescent="0.25">
      <c r="B145" s="22" t="s">
        <v>316</v>
      </c>
      <c r="C145" s="22"/>
      <c r="D145" s="22"/>
      <c r="E145" s="22"/>
      <c r="F145" s="22"/>
      <c r="G145" s="22"/>
      <c r="H145" s="22"/>
      <c r="I145" s="22"/>
      <c r="J145" s="22"/>
      <c r="K145" s="22"/>
      <c r="L145" s="22"/>
      <c r="M145" s="22"/>
      <c r="N145" s="22" t="s">
        <v>321</v>
      </c>
      <c r="O145" s="22"/>
      <c r="P145" s="22"/>
      <c r="Q145" s="22"/>
      <c r="R145" s="22"/>
      <c r="S145" s="22"/>
      <c r="T145" s="22"/>
      <c r="U145" s="22"/>
      <c r="V145" s="22">
        <f t="shared" si="156"/>
        <v>28</v>
      </c>
      <c r="W145" s="22"/>
      <c r="X145" s="22"/>
      <c r="Y145" s="23"/>
      <c r="Z145" s="22" t="s">
        <v>322</v>
      </c>
      <c r="AA145" s="22"/>
      <c r="AB145" s="22"/>
      <c r="AC145" s="22"/>
      <c r="AD145" s="22"/>
      <c r="AE145" s="22"/>
      <c r="AF145" s="22"/>
      <c r="AG145" s="22"/>
      <c r="AH145" s="22"/>
      <c r="AI145" s="22"/>
      <c r="AJ145" s="22"/>
      <c r="AK145" s="22"/>
      <c r="AL145" s="22"/>
      <c r="AM145" s="22" t="str">
        <f t="shared" ref="AM145" si="184">+_xlfn.CONCAT(N145&amp;V145&amp;Z145)</f>
        <v xml:space="preserve"> Workbooks.Open "A:\Homes for Ukraine data\Ukraine_sponsorship_data_28.ods"</v>
      </c>
      <c r="AO145" t="s">
        <v>731</v>
      </c>
    </row>
    <row r="146" spans="2:41" x14ac:dyDescent="0.25">
      <c r="B146" s="22" t="s">
        <v>380</v>
      </c>
      <c r="C146" s="22"/>
      <c r="D146" s="22"/>
      <c r="E146" s="22"/>
      <c r="F146" s="22"/>
      <c r="G146" s="22"/>
      <c r="H146" s="22"/>
      <c r="I146" s="22"/>
      <c r="J146" s="22"/>
      <c r="K146" s="22"/>
      <c r="L146" s="22"/>
      <c r="M146" s="22"/>
      <c r="N146" s="22" t="s">
        <v>323</v>
      </c>
      <c r="O146" s="22"/>
      <c r="P146" s="22"/>
      <c r="Q146" s="22"/>
      <c r="R146" s="22"/>
      <c r="S146" s="22"/>
      <c r="T146" s="22"/>
      <c r="U146" s="22"/>
      <c r="V146" s="22">
        <f t="shared" si="156"/>
        <v>28</v>
      </c>
      <c r="W146" s="22"/>
      <c r="X146" s="22"/>
      <c r="Y146" s="23"/>
      <c r="Z146" s="22" t="s">
        <v>381</v>
      </c>
      <c r="AA146" s="22"/>
      <c r="AB146" s="22"/>
      <c r="AC146" s="22"/>
      <c r="AD146" s="22"/>
      <c r="AE146" s="22" t="str">
        <f t="shared" ref="AE146:AF146" si="185">AE141</f>
        <v>E</v>
      </c>
      <c r="AF146" s="22">
        <f t="shared" si="185"/>
        <v>13</v>
      </c>
      <c r="AG146" s="22" t="s">
        <v>327</v>
      </c>
      <c r="AH146" s="22" t="str">
        <f t="shared" ref="AH146:AI146" si="186">AH141</f>
        <v>E</v>
      </c>
      <c r="AI146" s="22">
        <f t="shared" si="186"/>
        <v>53</v>
      </c>
      <c r="AJ146" s="22"/>
      <c r="AK146" s="22" t="s">
        <v>325</v>
      </c>
      <c r="AL146" s="22"/>
      <c r="AM146" s="22" t="str">
        <f t="shared" ref="AM146" si="187">_xlfn.CONCAT(N146&amp;V146&amp;Z146&amp;AE146&amp;AF146&amp;AG146&amp;AE146&amp;AI146&amp;AK146)</f>
        <v xml:space="preserve"> Workbooks("Ukraine_sponsorship_data_28.ods").Worksheets("Scotland").Range("E13:E53").Copy _</v>
      </c>
      <c r="AO146" t="s">
        <v>762</v>
      </c>
    </row>
    <row r="147" spans="2:41" x14ac:dyDescent="0.25">
      <c r="B147" s="22" t="s">
        <v>808</v>
      </c>
      <c r="C147" s="22"/>
      <c r="D147" s="22"/>
      <c r="E147" s="22"/>
      <c r="F147" s="22"/>
      <c r="G147" s="22"/>
      <c r="H147" s="22"/>
      <c r="I147" s="22"/>
      <c r="J147" s="22"/>
      <c r="K147" s="22"/>
      <c r="L147" s="22"/>
      <c r="M147" s="22"/>
      <c r="N147" s="22" t="s">
        <v>809</v>
      </c>
      <c r="O147" s="22"/>
      <c r="P147" s="22"/>
      <c r="Q147" s="22"/>
      <c r="R147" s="22"/>
      <c r="S147" s="22"/>
      <c r="T147" s="22"/>
      <c r="U147" s="22"/>
      <c r="V147" s="22"/>
      <c r="W147" s="22" t="str">
        <f t="shared" si="161"/>
        <v>B</v>
      </c>
      <c r="X147" s="22" t="str">
        <f t="shared" si="162"/>
        <v>S</v>
      </c>
      <c r="Y147" s="23">
        <f t="shared" si="163"/>
        <v>174</v>
      </c>
      <c r="Z147" s="22" t="s">
        <v>324</v>
      </c>
      <c r="AA147" s="22"/>
      <c r="AB147" s="22"/>
      <c r="AC147" s="22"/>
      <c r="AD147" s="22"/>
      <c r="AE147" s="22"/>
      <c r="AF147" s="22"/>
      <c r="AG147" s="22"/>
      <c r="AH147" s="22"/>
      <c r="AI147" s="22"/>
      <c r="AJ147" s="22"/>
      <c r="AK147" s="22"/>
      <c r="AL147" s="22"/>
      <c r="AM147" s="22" t="str">
        <f t="shared" ref="AM147" si="188">_xlfn.CONCAT(N147&amp;W147&amp;X147&amp;Y147&amp;Z147)</f>
        <v>Workbooks("HFU Forecast UTLA 1.0.xlsm").Worksheets("Combined data").Range("BS174")</v>
      </c>
      <c r="AO147" t="s">
        <v>993</v>
      </c>
    </row>
    <row r="148" spans="2:41" x14ac:dyDescent="0.25">
      <c r="B148" s="22" t="s">
        <v>339</v>
      </c>
      <c r="C148" s="22"/>
      <c r="D148" s="22"/>
      <c r="E148" s="22"/>
      <c r="F148" s="22"/>
      <c r="G148" s="22"/>
      <c r="H148" s="22"/>
      <c r="I148" s="22"/>
      <c r="J148" s="22"/>
      <c r="K148" s="22"/>
      <c r="L148" s="22"/>
      <c r="M148" s="22"/>
      <c r="N148" s="22"/>
      <c r="O148" s="22"/>
      <c r="P148" s="22"/>
      <c r="Q148" s="22"/>
      <c r="R148" s="22"/>
      <c r="S148" s="22"/>
      <c r="T148" s="22"/>
      <c r="U148" s="22"/>
      <c r="V148" s="22"/>
      <c r="W148" s="22"/>
      <c r="X148" s="22"/>
      <c r="Y148" s="23"/>
      <c r="Z148" s="22"/>
      <c r="AA148" s="22"/>
      <c r="AB148" s="22"/>
      <c r="AC148" s="22"/>
      <c r="AD148" s="22"/>
      <c r="AE148" s="22"/>
      <c r="AF148" s="22"/>
      <c r="AG148" s="22"/>
      <c r="AH148" s="22"/>
      <c r="AI148" s="22"/>
      <c r="AJ148" s="22"/>
      <c r="AK148" s="22"/>
      <c r="AL148" s="22"/>
      <c r="AM148" s="22" t="str">
        <f t="shared" ref="AM148" si="189">B148</f>
        <v>ActiveWorkbook.Close SaveChanges:=False</v>
      </c>
      <c r="AO148" t="s">
        <v>339</v>
      </c>
    </row>
    <row r="150" spans="2:41" x14ac:dyDescent="0.25">
      <c r="B150" s="19" t="s">
        <v>316</v>
      </c>
      <c r="C150" s="19"/>
      <c r="D150" s="19"/>
      <c r="E150" s="19"/>
      <c r="F150" s="19"/>
      <c r="G150" s="19"/>
      <c r="H150" s="19"/>
      <c r="I150" s="19"/>
      <c r="J150" s="19"/>
      <c r="K150" s="19"/>
      <c r="L150" s="19"/>
      <c r="M150" s="19"/>
      <c r="N150" s="19" t="s">
        <v>321</v>
      </c>
      <c r="O150" s="19"/>
      <c r="P150" s="19"/>
      <c r="Q150" s="19"/>
      <c r="R150" s="19"/>
      <c r="S150" s="19"/>
      <c r="T150" s="19"/>
      <c r="U150" s="19"/>
      <c r="V150" s="19">
        <f t="shared" si="147"/>
        <v>29</v>
      </c>
      <c r="W150" s="19"/>
      <c r="X150" s="19"/>
      <c r="Y150" s="21"/>
      <c r="Z150" s="19" t="s">
        <v>322</v>
      </c>
      <c r="AA150" s="19"/>
      <c r="AB150" s="19"/>
      <c r="AC150" s="19"/>
      <c r="AD150" s="19"/>
      <c r="AE150" s="19"/>
      <c r="AF150" s="19"/>
      <c r="AG150" s="19"/>
      <c r="AH150" s="19"/>
      <c r="AI150" s="19"/>
      <c r="AJ150" s="19"/>
      <c r="AK150" s="19"/>
      <c r="AL150" s="19"/>
      <c r="AM150" s="19" t="str">
        <f t="shared" ref="AM150" si="190">+_xlfn.CONCAT(N150&amp;V150&amp;Z150)</f>
        <v xml:space="preserve"> Workbooks.Open "A:\Homes for Ukraine data\Ukraine_sponsorship_data_29.ods"</v>
      </c>
      <c r="AO150" t="s">
        <v>733</v>
      </c>
    </row>
    <row r="151" spans="2:41" x14ac:dyDescent="0.25">
      <c r="B151" s="19" t="s">
        <v>380</v>
      </c>
      <c r="C151" s="19"/>
      <c r="D151" s="19"/>
      <c r="E151" s="19"/>
      <c r="F151" s="19"/>
      <c r="G151" s="19"/>
      <c r="H151" s="19"/>
      <c r="I151" s="19"/>
      <c r="J151" s="19"/>
      <c r="K151" s="19"/>
      <c r="L151" s="19"/>
      <c r="M151" s="19"/>
      <c r="N151" s="19" t="s">
        <v>323</v>
      </c>
      <c r="O151" s="19"/>
      <c r="P151" s="19"/>
      <c r="Q151" s="19"/>
      <c r="R151" s="19"/>
      <c r="S151" s="19"/>
      <c r="T151" s="19"/>
      <c r="U151" s="19"/>
      <c r="V151" s="19">
        <f t="shared" si="147"/>
        <v>29</v>
      </c>
      <c r="W151" s="19"/>
      <c r="X151" s="19"/>
      <c r="Y151" s="21"/>
      <c r="Z151" s="19" t="s">
        <v>381</v>
      </c>
      <c r="AA151" s="19"/>
      <c r="AB151" s="19"/>
      <c r="AC151" s="19"/>
      <c r="AD151" s="19"/>
      <c r="AE151" s="19" t="str">
        <f t="shared" ref="AE151:AF151" si="191">AE146</f>
        <v>E</v>
      </c>
      <c r="AF151" s="19">
        <f t="shared" si="191"/>
        <v>13</v>
      </c>
      <c r="AG151" s="19" t="s">
        <v>327</v>
      </c>
      <c r="AH151" s="19" t="str">
        <f t="shared" ref="AH151:AI151" si="192">AH146</f>
        <v>E</v>
      </c>
      <c r="AI151" s="19">
        <f t="shared" si="192"/>
        <v>53</v>
      </c>
      <c r="AJ151" s="19"/>
      <c r="AK151" s="19" t="s">
        <v>325</v>
      </c>
      <c r="AL151" s="19"/>
      <c r="AM151" s="19" t="str">
        <f t="shared" ref="AM151" si="193">_xlfn.CONCAT(N151&amp;V151&amp;Z151&amp;AE151&amp;AF151&amp;AG151&amp;AE151&amp;AI151&amp;AK151)</f>
        <v xml:space="preserve"> Workbooks("Ukraine_sponsorship_data_29.ods").Worksheets("Scotland").Range("E13:E53").Copy _</v>
      </c>
      <c r="AO151" t="s">
        <v>763</v>
      </c>
    </row>
    <row r="152" spans="2:41" x14ac:dyDescent="0.25">
      <c r="B152" s="19" t="s">
        <v>808</v>
      </c>
      <c r="C152" s="19"/>
      <c r="D152" s="19"/>
      <c r="E152" s="19"/>
      <c r="F152" s="19"/>
      <c r="G152" s="19"/>
      <c r="H152" s="19"/>
      <c r="I152" s="19"/>
      <c r="J152" s="19"/>
      <c r="K152" s="19"/>
      <c r="L152" s="19"/>
      <c r="M152" s="19"/>
      <c r="N152" s="19" t="s">
        <v>809</v>
      </c>
      <c r="O152" s="19"/>
      <c r="P152" s="19"/>
      <c r="Q152" s="19"/>
      <c r="R152" s="19"/>
      <c r="S152" s="19"/>
      <c r="T152" s="19"/>
      <c r="U152" s="19"/>
      <c r="V152" s="19"/>
      <c r="W152" s="19" t="s">
        <v>313</v>
      </c>
      <c r="X152" s="19" t="str">
        <f t="shared" si="152"/>
        <v>T</v>
      </c>
      <c r="Y152" s="21">
        <f t="shared" si="153"/>
        <v>174</v>
      </c>
      <c r="Z152" s="19" t="s">
        <v>324</v>
      </c>
      <c r="AA152" s="19"/>
      <c r="AB152" s="19"/>
      <c r="AC152" s="19"/>
      <c r="AD152" s="19"/>
      <c r="AE152" s="19"/>
      <c r="AF152" s="19"/>
      <c r="AG152" s="19"/>
      <c r="AH152" s="19"/>
      <c r="AI152" s="19"/>
      <c r="AJ152" s="19"/>
      <c r="AK152" s="19"/>
      <c r="AL152" s="19"/>
      <c r="AM152" s="19" t="str">
        <f t="shared" ref="AM152" si="194">_xlfn.CONCAT(N152&amp;W152&amp;X152&amp;Y152&amp;Z152)</f>
        <v>Workbooks("HFU Forecast UTLA 1.0.xlsm").Worksheets("Combined data").Range("BT174")</v>
      </c>
      <c r="AO152" t="s">
        <v>994</v>
      </c>
    </row>
    <row r="153" spans="2:41" x14ac:dyDescent="0.25">
      <c r="B153" s="19" t="s">
        <v>339</v>
      </c>
      <c r="C153" s="19"/>
      <c r="D153" s="19"/>
      <c r="E153" s="19"/>
      <c r="F153" s="19"/>
      <c r="G153" s="19"/>
      <c r="H153" s="19"/>
      <c r="I153" s="19"/>
      <c r="J153" s="19"/>
      <c r="K153" s="19"/>
      <c r="L153" s="19"/>
      <c r="M153" s="19"/>
      <c r="N153" s="19"/>
      <c r="O153" s="19"/>
      <c r="P153" s="19"/>
      <c r="Q153" s="19"/>
      <c r="R153" s="19"/>
      <c r="S153" s="19"/>
      <c r="T153" s="19"/>
      <c r="U153" s="19"/>
      <c r="V153" s="19"/>
      <c r="W153" s="19"/>
      <c r="X153" s="19"/>
      <c r="Y153" s="21"/>
      <c r="Z153" s="19"/>
      <c r="AA153" s="19"/>
      <c r="AB153" s="19"/>
      <c r="AC153" s="19"/>
      <c r="AD153" s="19"/>
      <c r="AE153" s="19"/>
      <c r="AF153" s="19"/>
      <c r="AG153" s="19"/>
      <c r="AH153" s="19"/>
      <c r="AI153" s="19"/>
      <c r="AJ153" s="19"/>
      <c r="AK153" s="19"/>
      <c r="AL153" s="19"/>
      <c r="AM153" s="19" t="str">
        <f t="shared" ref="AM153" si="195">B153</f>
        <v>ActiveWorkbook.Close SaveChanges:=False</v>
      </c>
      <c r="AO153" t="s">
        <v>339</v>
      </c>
    </row>
    <row r="155" spans="2:41" x14ac:dyDescent="0.25">
      <c r="B155" s="22" t="s">
        <v>316</v>
      </c>
      <c r="C155" s="22"/>
      <c r="D155" s="22"/>
      <c r="E155" s="22"/>
      <c r="F155" s="22"/>
      <c r="G155" s="22"/>
      <c r="H155" s="22"/>
      <c r="I155" s="22"/>
      <c r="J155" s="22"/>
      <c r="K155" s="22"/>
      <c r="L155" s="22"/>
      <c r="M155" s="22"/>
      <c r="N155" s="22" t="s">
        <v>321</v>
      </c>
      <c r="O155" s="22"/>
      <c r="P155" s="22"/>
      <c r="Q155" s="22"/>
      <c r="R155" s="22"/>
      <c r="S155" s="22"/>
      <c r="T155" s="22"/>
      <c r="U155" s="22"/>
      <c r="V155" s="22">
        <f t="shared" si="156"/>
        <v>30</v>
      </c>
      <c r="W155" s="22"/>
      <c r="X155" s="22"/>
      <c r="Y155" s="23"/>
      <c r="Z155" s="22" t="s">
        <v>322</v>
      </c>
      <c r="AA155" s="22"/>
      <c r="AB155" s="22"/>
      <c r="AC155" s="22"/>
      <c r="AD155" s="22"/>
      <c r="AE155" s="22"/>
      <c r="AF155" s="22"/>
      <c r="AG155" s="22"/>
      <c r="AH155" s="22"/>
      <c r="AI155" s="22"/>
      <c r="AJ155" s="22"/>
      <c r="AK155" s="22"/>
      <c r="AL155" s="22"/>
      <c r="AM155" s="22" t="str">
        <f t="shared" ref="AM155" si="196">+_xlfn.CONCAT(N155&amp;V155&amp;Z155)</f>
        <v xml:space="preserve"> Workbooks.Open "A:\Homes for Ukraine data\Ukraine_sponsorship_data_30.ods"</v>
      </c>
      <c r="AO155" t="s">
        <v>735</v>
      </c>
    </row>
    <row r="156" spans="2:41" x14ac:dyDescent="0.25">
      <c r="B156" s="22" t="s">
        <v>380</v>
      </c>
      <c r="C156" s="22"/>
      <c r="D156" s="22"/>
      <c r="E156" s="22"/>
      <c r="F156" s="22"/>
      <c r="G156" s="22"/>
      <c r="H156" s="22"/>
      <c r="I156" s="22"/>
      <c r="J156" s="22"/>
      <c r="K156" s="22"/>
      <c r="L156" s="22"/>
      <c r="M156" s="22"/>
      <c r="N156" s="22" t="s">
        <v>323</v>
      </c>
      <c r="O156" s="22"/>
      <c r="P156" s="22"/>
      <c r="Q156" s="22"/>
      <c r="R156" s="22"/>
      <c r="S156" s="22"/>
      <c r="T156" s="22"/>
      <c r="U156" s="22"/>
      <c r="V156" s="22">
        <f t="shared" si="156"/>
        <v>30</v>
      </c>
      <c r="W156" s="22"/>
      <c r="X156" s="22"/>
      <c r="Y156" s="23"/>
      <c r="Z156" s="22" t="s">
        <v>381</v>
      </c>
      <c r="AA156" s="22"/>
      <c r="AB156" s="22"/>
      <c r="AC156" s="22"/>
      <c r="AD156" s="22"/>
      <c r="AE156" s="22" t="str">
        <f t="shared" ref="AE156:AF156" si="197">AE151</f>
        <v>E</v>
      </c>
      <c r="AF156" s="22">
        <f t="shared" si="197"/>
        <v>13</v>
      </c>
      <c r="AG156" s="22" t="s">
        <v>327</v>
      </c>
      <c r="AH156" s="22" t="str">
        <f t="shared" ref="AH156:AI156" si="198">AH151</f>
        <v>E</v>
      </c>
      <c r="AI156" s="22">
        <f t="shared" si="198"/>
        <v>53</v>
      </c>
      <c r="AJ156" s="22"/>
      <c r="AK156" s="22" t="s">
        <v>325</v>
      </c>
      <c r="AL156" s="22"/>
      <c r="AM156" s="22" t="str">
        <f t="shared" ref="AM156" si="199">_xlfn.CONCAT(N156&amp;V156&amp;Z156&amp;AE156&amp;AF156&amp;AG156&amp;AE156&amp;AI156&amp;AK156)</f>
        <v xml:space="preserve"> Workbooks("Ukraine_sponsorship_data_30.ods").Worksheets("Scotland").Range("E13:E53").Copy _</v>
      </c>
      <c r="AO156" t="s">
        <v>764</v>
      </c>
    </row>
    <row r="157" spans="2:41" x14ac:dyDescent="0.25">
      <c r="B157" s="22" t="s">
        <v>808</v>
      </c>
      <c r="C157" s="22"/>
      <c r="D157" s="22"/>
      <c r="E157" s="22"/>
      <c r="F157" s="22"/>
      <c r="G157" s="22"/>
      <c r="H157" s="22"/>
      <c r="I157" s="22"/>
      <c r="J157" s="22"/>
      <c r="K157" s="22"/>
      <c r="L157" s="22"/>
      <c r="M157" s="22"/>
      <c r="N157" s="22" t="s">
        <v>809</v>
      </c>
      <c r="O157" s="22"/>
      <c r="P157" s="22"/>
      <c r="Q157" s="22"/>
      <c r="R157" s="22"/>
      <c r="S157" s="22"/>
      <c r="T157" s="22"/>
      <c r="U157" s="22"/>
      <c r="V157" s="22"/>
      <c r="W157" s="22" t="str">
        <f t="shared" si="161"/>
        <v>B</v>
      </c>
      <c r="X157" s="22" t="str">
        <f t="shared" si="162"/>
        <v>U</v>
      </c>
      <c r="Y157" s="23">
        <f t="shared" si="163"/>
        <v>174</v>
      </c>
      <c r="Z157" s="22" t="s">
        <v>324</v>
      </c>
      <c r="AA157" s="22"/>
      <c r="AB157" s="22"/>
      <c r="AC157" s="22"/>
      <c r="AD157" s="22"/>
      <c r="AE157" s="22"/>
      <c r="AF157" s="22"/>
      <c r="AG157" s="22"/>
      <c r="AH157" s="22"/>
      <c r="AI157" s="22"/>
      <c r="AJ157" s="22"/>
      <c r="AK157" s="22"/>
      <c r="AL157" s="22"/>
      <c r="AM157" s="22" t="str">
        <f t="shared" ref="AM157" si="200">_xlfn.CONCAT(N157&amp;W157&amp;X157&amp;Y157&amp;Z157)</f>
        <v>Workbooks("HFU Forecast UTLA 1.0.xlsm").Worksheets("Combined data").Range("BU174")</v>
      </c>
      <c r="AO157" t="s">
        <v>995</v>
      </c>
    </row>
    <row r="158" spans="2:41" x14ac:dyDescent="0.25">
      <c r="B158" s="22" t="s">
        <v>339</v>
      </c>
      <c r="C158" s="22"/>
      <c r="D158" s="22"/>
      <c r="E158" s="22"/>
      <c r="F158" s="22"/>
      <c r="G158" s="22"/>
      <c r="H158" s="22"/>
      <c r="I158" s="22"/>
      <c r="J158" s="22"/>
      <c r="K158" s="22"/>
      <c r="L158" s="22"/>
      <c r="M158" s="22"/>
      <c r="N158" s="22"/>
      <c r="O158" s="22"/>
      <c r="P158" s="22"/>
      <c r="Q158" s="22"/>
      <c r="R158" s="22"/>
      <c r="S158" s="22"/>
      <c r="T158" s="22"/>
      <c r="U158" s="22"/>
      <c r="V158" s="22"/>
      <c r="W158" s="22"/>
      <c r="X158" s="22"/>
      <c r="Y158" s="23"/>
      <c r="Z158" s="22"/>
      <c r="AA158" s="22"/>
      <c r="AB158" s="22"/>
      <c r="AC158" s="22"/>
      <c r="AD158" s="22"/>
      <c r="AE158" s="22"/>
      <c r="AF158" s="22"/>
      <c r="AG158" s="22"/>
      <c r="AH158" s="22"/>
      <c r="AI158" s="22"/>
      <c r="AJ158" s="22"/>
      <c r="AK158" s="22"/>
      <c r="AL158" s="22"/>
      <c r="AM158" s="22" t="str">
        <f t="shared" ref="AM158" si="201">B158</f>
        <v>ActiveWorkbook.Close SaveChanges:=False</v>
      </c>
      <c r="AO158" t="s">
        <v>339</v>
      </c>
    </row>
    <row r="160" spans="2:41" x14ac:dyDescent="0.25">
      <c r="B160" s="19" t="s">
        <v>316</v>
      </c>
      <c r="C160" s="19"/>
      <c r="D160" s="19"/>
      <c r="E160" s="19"/>
      <c r="F160" s="19"/>
      <c r="G160" s="19"/>
      <c r="H160" s="19"/>
      <c r="I160" s="19"/>
      <c r="J160" s="19"/>
      <c r="K160" s="19"/>
      <c r="L160" s="19"/>
      <c r="M160" s="19"/>
      <c r="N160" s="19" t="s">
        <v>321</v>
      </c>
      <c r="O160" s="19"/>
      <c r="P160" s="19"/>
      <c r="Q160" s="19"/>
      <c r="R160" s="19"/>
      <c r="S160" s="19"/>
      <c r="T160" s="19"/>
      <c r="U160" s="19"/>
      <c r="V160" s="19">
        <f t="shared" si="147"/>
        <v>31</v>
      </c>
      <c r="W160" s="19"/>
      <c r="X160" s="19"/>
      <c r="Y160" s="21"/>
      <c r="Z160" s="19" t="s">
        <v>322</v>
      </c>
      <c r="AA160" s="19"/>
      <c r="AB160" s="19"/>
      <c r="AC160" s="19"/>
      <c r="AD160" s="19"/>
      <c r="AE160" s="19"/>
      <c r="AF160" s="19"/>
      <c r="AG160" s="19"/>
      <c r="AH160" s="19"/>
      <c r="AI160" s="19"/>
      <c r="AJ160" s="19"/>
      <c r="AK160" s="19"/>
      <c r="AL160" s="19"/>
      <c r="AM160" s="19" t="str">
        <f t="shared" ref="AM160" si="202">+_xlfn.CONCAT(N160&amp;V160&amp;Z160)</f>
        <v xml:space="preserve"> Workbooks.Open "A:\Homes for Ukraine data\Ukraine_sponsorship_data_31.ods"</v>
      </c>
      <c r="AO160" t="s">
        <v>737</v>
      </c>
    </row>
    <row r="161" spans="2:41" x14ac:dyDescent="0.25">
      <c r="B161" s="19" t="s">
        <v>380</v>
      </c>
      <c r="C161" s="19"/>
      <c r="D161" s="19"/>
      <c r="E161" s="19"/>
      <c r="F161" s="19"/>
      <c r="G161" s="19"/>
      <c r="H161" s="19"/>
      <c r="I161" s="19"/>
      <c r="J161" s="19"/>
      <c r="K161" s="19"/>
      <c r="L161" s="19"/>
      <c r="M161" s="19"/>
      <c r="N161" s="19" t="s">
        <v>323</v>
      </c>
      <c r="O161" s="19"/>
      <c r="P161" s="19"/>
      <c r="Q161" s="19"/>
      <c r="R161" s="19"/>
      <c r="S161" s="19"/>
      <c r="T161" s="19"/>
      <c r="U161" s="19"/>
      <c r="V161" s="19">
        <f t="shared" si="147"/>
        <v>31</v>
      </c>
      <c r="W161" s="19"/>
      <c r="X161" s="19"/>
      <c r="Y161" s="21"/>
      <c r="Z161" s="19" t="s">
        <v>381</v>
      </c>
      <c r="AA161" s="19"/>
      <c r="AB161" s="19"/>
      <c r="AC161" s="19"/>
      <c r="AD161" s="19"/>
      <c r="AE161" s="19" t="str">
        <f t="shared" ref="AE161:AF161" si="203">AE156</f>
        <v>E</v>
      </c>
      <c r="AF161" s="19">
        <f t="shared" si="203"/>
        <v>13</v>
      </c>
      <c r="AG161" s="19" t="s">
        <v>327</v>
      </c>
      <c r="AH161" s="19" t="str">
        <f t="shared" ref="AH161:AI161" si="204">AH156</f>
        <v>E</v>
      </c>
      <c r="AI161" s="19">
        <f t="shared" si="204"/>
        <v>53</v>
      </c>
      <c r="AJ161" s="19"/>
      <c r="AK161" s="19" t="s">
        <v>325</v>
      </c>
      <c r="AL161" s="19"/>
      <c r="AM161" s="19" t="str">
        <f t="shared" ref="AM161" si="205">_xlfn.CONCAT(N161&amp;V161&amp;Z161&amp;AE161&amp;AF161&amp;AG161&amp;AE161&amp;AI161&amp;AK161)</f>
        <v xml:space="preserve"> Workbooks("Ukraine_sponsorship_data_31.ods").Worksheets("Scotland").Range("E13:E53").Copy _</v>
      </c>
      <c r="AO161" t="s">
        <v>765</v>
      </c>
    </row>
    <row r="162" spans="2:41" x14ac:dyDescent="0.25">
      <c r="B162" s="19" t="s">
        <v>808</v>
      </c>
      <c r="C162" s="19"/>
      <c r="D162" s="19"/>
      <c r="E162" s="19"/>
      <c r="F162" s="19"/>
      <c r="G162" s="19"/>
      <c r="H162" s="19"/>
      <c r="I162" s="19"/>
      <c r="J162" s="19"/>
      <c r="K162" s="19"/>
      <c r="L162" s="19"/>
      <c r="M162" s="19"/>
      <c r="N162" s="19" t="s">
        <v>809</v>
      </c>
      <c r="O162" s="19"/>
      <c r="P162" s="19"/>
      <c r="Q162" s="19"/>
      <c r="R162" s="19"/>
      <c r="S162" s="19"/>
      <c r="T162" s="19"/>
      <c r="U162" s="19"/>
      <c r="V162" s="19"/>
      <c r="W162" s="19" t="s">
        <v>313</v>
      </c>
      <c r="X162" s="19" t="str">
        <f t="shared" si="152"/>
        <v>V</v>
      </c>
      <c r="Y162" s="21">
        <f t="shared" si="153"/>
        <v>174</v>
      </c>
      <c r="Z162" s="19" t="s">
        <v>324</v>
      </c>
      <c r="AA162" s="19"/>
      <c r="AB162" s="19"/>
      <c r="AC162" s="19"/>
      <c r="AD162" s="19"/>
      <c r="AE162" s="19"/>
      <c r="AF162" s="19"/>
      <c r="AG162" s="19"/>
      <c r="AH162" s="19"/>
      <c r="AI162" s="19"/>
      <c r="AJ162" s="19"/>
      <c r="AK162" s="19"/>
      <c r="AL162" s="19"/>
      <c r="AM162" s="19" t="str">
        <f t="shared" ref="AM162" si="206">_xlfn.CONCAT(N162&amp;W162&amp;X162&amp;Y162&amp;Z162)</f>
        <v>Workbooks("HFU Forecast UTLA 1.0.xlsm").Worksheets("Combined data").Range("BV174")</v>
      </c>
      <c r="AO162" t="s">
        <v>996</v>
      </c>
    </row>
    <row r="163" spans="2:41" x14ac:dyDescent="0.25">
      <c r="B163" s="19" t="s">
        <v>339</v>
      </c>
      <c r="C163" s="19"/>
      <c r="D163" s="19"/>
      <c r="E163" s="19"/>
      <c r="F163" s="19"/>
      <c r="G163" s="19"/>
      <c r="H163" s="19"/>
      <c r="I163" s="19"/>
      <c r="J163" s="19"/>
      <c r="K163" s="19"/>
      <c r="L163" s="19"/>
      <c r="M163" s="19"/>
      <c r="N163" s="19"/>
      <c r="O163" s="19"/>
      <c r="P163" s="19"/>
      <c r="Q163" s="19"/>
      <c r="R163" s="19"/>
      <c r="S163" s="19"/>
      <c r="T163" s="19"/>
      <c r="U163" s="19"/>
      <c r="V163" s="19"/>
      <c r="W163" s="19"/>
      <c r="X163" s="19"/>
      <c r="Y163" s="21"/>
      <c r="Z163" s="19"/>
      <c r="AA163" s="19"/>
      <c r="AB163" s="19"/>
      <c r="AC163" s="19"/>
      <c r="AD163" s="19"/>
      <c r="AE163" s="19"/>
      <c r="AF163" s="19"/>
      <c r="AG163" s="19"/>
      <c r="AH163" s="19"/>
      <c r="AI163" s="19"/>
      <c r="AJ163" s="19"/>
      <c r="AK163" s="19"/>
      <c r="AL163" s="19"/>
      <c r="AM163" s="19" t="str">
        <f t="shared" ref="AM163" si="207">B163</f>
        <v>ActiveWorkbook.Close SaveChanges:=False</v>
      </c>
      <c r="AO163" t="s">
        <v>339</v>
      </c>
    </row>
    <row r="165" spans="2:41" x14ac:dyDescent="0.25">
      <c r="B165" s="22" t="s">
        <v>316</v>
      </c>
      <c r="C165" s="22"/>
      <c r="D165" s="22"/>
      <c r="E165" s="22"/>
      <c r="F165" s="22"/>
      <c r="G165" s="22"/>
      <c r="H165" s="22"/>
      <c r="I165" s="22"/>
      <c r="J165" s="22"/>
      <c r="K165" s="22"/>
      <c r="L165" s="22"/>
      <c r="M165" s="22"/>
      <c r="N165" s="22" t="s">
        <v>321</v>
      </c>
      <c r="O165" s="22"/>
      <c r="P165" s="22"/>
      <c r="Q165" s="22"/>
      <c r="R165" s="22"/>
      <c r="S165" s="22"/>
      <c r="T165" s="22"/>
      <c r="U165" s="22"/>
      <c r="V165" s="22">
        <f t="shared" si="156"/>
        <v>32</v>
      </c>
      <c r="W165" s="22"/>
      <c r="X165" s="22"/>
      <c r="Y165" s="23"/>
      <c r="Z165" s="22" t="s">
        <v>322</v>
      </c>
      <c r="AA165" s="22"/>
      <c r="AB165" s="22"/>
      <c r="AC165" s="22"/>
      <c r="AD165" s="22"/>
      <c r="AE165" s="22"/>
      <c r="AF165" s="22"/>
      <c r="AG165" s="22"/>
      <c r="AH165" s="22"/>
      <c r="AI165" s="22"/>
      <c r="AJ165" s="22"/>
      <c r="AK165" s="22"/>
      <c r="AL165" s="22"/>
      <c r="AM165" s="22" t="str">
        <f t="shared" ref="AM165" si="208">+_xlfn.CONCAT(N165&amp;V165&amp;Z165)</f>
        <v xml:space="preserve"> Workbooks.Open "A:\Homes for Ukraine data\Ukraine_sponsorship_data_32.ods"</v>
      </c>
      <c r="AO165" t="s">
        <v>739</v>
      </c>
    </row>
    <row r="166" spans="2:41" x14ac:dyDescent="0.25">
      <c r="B166" s="22" t="s">
        <v>380</v>
      </c>
      <c r="C166" s="22"/>
      <c r="D166" s="22"/>
      <c r="E166" s="22"/>
      <c r="F166" s="22"/>
      <c r="G166" s="22"/>
      <c r="H166" s="22"/>
      <c r="I166" s="22"/>
      <c r="J166" s="22"/>
      <c r="K166" s="22"/>
      <c r="L166" s="22"/>
      <c r="M166" s="22"/>
      <c r="N166" s="22" t="s">
        <v>323</v>
      </c>
      <c r="O166" s="22"/>
      <c r="P166" s="22"/>
      <c r="Q166" s="22"/>
      <c r="R166" s="22"/>
      <c r="S166" s="22"/>
      <c r="T166" s="22"/>
      <c r="U166" s="22"/>
      <c r="V166" s="22">
        <f t="shared" si="156"/>
        <v>32</v>
      </c>
      <c r="W166" s="22"/>
      <c r="X166" s="22"/>
      <c r="Y166" s="23"/>
      <c r="Z166" s="22" t="s">
        <v>381</v>
      </c>
      <c r="AA166" s="22"/>
      <c r="AB166" s="22"/>
      <c r="AC166" s="22"/>
      <c r="AD166" s="22"/>
      <c r="AE166" s="22" t="str">
        <f t="shared" ref="AE166:AF166" si="209">AE161</f>
        <v>E</v>
      </c>
      <c r="AF166" s="22">
        <f t="shared" si="209"/>
        <v>13</v>
      </c>
      <c r="AG166" s="22" t="s">
        <v>327</v>
      </c>
      <c r="AH166" s="22" t="str">
        <f t="shared" ref="AH166:AI166" si="210">AH161</f>
        <v>E</v>
      </c>
      <c r="AI166" s="22">
        <f t="shared" si="210"/>
        <v>53</v>
      </c>
      <c r="AJ166" s="22"/>
      <c r="AK166" s="22" t="s">
        <v>325</v>
      </c>
      <c r="AL166" s="22"/>
      <c r="AM166" s="22" t="str">
        <f t="shared" ref="AM166" si="211">_xlfn.CONCAT(N166&amp;V166&amp;Z166&amp;AE166&amp;AF166&amp;AG166&amp;AE166&amp;AI166&amp;AK166)</f>
        <v xml:space="preserve"> Workbooks("Ukraine_sponsorship_data_32.ods").Worksheets("Scotland").Range("E13:E53").Copy _</v>
      </c>
      <c r="AO166" t="s">
        <v>766</v>
      </c>
    </row>
    <row r="167" spans="2:41" x14ac:dyDescent="0.25">
      <c r="B167" s="22" t="s">
        <v>808</v>
      </c>
      <c r="C167" s="22"/>
      <c r="D167" s="22"/>
      <c r="E167" s="22"/>
      <c r="F167" s="22"/>
      <c r="G167" s="22"/>
      <c r="H167" s="22"/>
      <c r="I167" s="22"/>
      <c r="J167" s="22"/>
      <c r="K167" s="22"/>
      <c r="L167" s="22"/>
      <c r="M167" s="22"/>
      <c r="N167" s="22" t="s">
        <v>809</v>
      </c>
      <c r="O167" s="22"/>
      <c r="P167" s="22"/>
      <c r="Q167" s="22"/>
      <c r="R167" s="22"/>
      <c r="S167" s="22"/>
      <c r="T167" s="22"/>
      <c r="U167" s="22"/>
      <c r="V167" s="22"/>
      <c r="W167" s="22" t="str">
        <f t="shared" si="161"/>
        <v>B</v>
      </c>
      <c r="X167" s="22" t="str">
        <f t="shared" si="162"/>
        <v>W</v>
      </c>
      <c r="Y167" s="23">
        <f t="shared" si="163"/>
        <v>174</v>
      </c>
      <c r="Z167" s="22" t="s">
        <v>324</v>
      </c>
      <c r="AA167" s="22"/>
      <c r="AB167" s="22"/>
      <c r="AC167" s="22"/>
      <c r="AD167" s="22"/>
      <c r="AE167" s="22"/>
      <c r="AF167" s="22"/>
      <c r="AG167" s="22"/>
      <c r="AH167" s="22"/>
      <c r="AI167" s="22"/>
      <c r="AJ167" s="22"/>
      <c r="AK167" s="22"/>
      <c r="AL167" s="22"/>
      <c r="AM167" s="22" t="str">
        <f t="shared" ref="AM167" si="212">_xlfn.CONCAT(N167&amp;W167&amp;X167&amp;Y167&amp;Z167)</f>
        <v>Workbooks("HFU Forecast UTLA 1.0.xlsm").Worksheets("Combined data").Range("BW174")</v>
      </c>
      <c r="AO167" t="s">
        <v>997</v>
      </c>
    </row>
    <row r="168" spans="2:41" x14ac:dyDescent="0.25">
      <c r="B168" s="22" t="s">
        <v>339</v>
      </c>
      <c r="C168" s="22"/>
      <c r="D168" s="22"/>
      <c r="E168" s="22"/>
      <c r="F168" s="22"/>
      <c r="G168" s="22"/>
      <c r="H168" s="22"/>
      <c r="I168" s="22"/>
      <c r="J168" s="22"/>
      <c r="K168" s="22"/>
      <c r="L168" s="22"/>
      <c r="M168" s="22"/>
      <c r="N168" s="22"/>
      <c r="O168" s="22"/>
      <c r="P168" s="22"/>
      <c r="Q168" s="22"/>
      <c r="R168" s="22"/>
      <c r="S168" s="22"/>
      <c r="T168" s="22"/>
      <c r="U168" s="22"/>
      <c r="V168" s="22"/>
      <c r="W168" s="22"/>
      <c r="X168" s="22"/>
      <c r="Y168" s="23"/>
      <c r="Z168" s="22"/>
      <c r="AA168" s="22"/>
      <c r="AB168" s="22"/>
      <c r="AC168" s="22"/>
      <c r="AD168" s="22"/>
      <c r="AE168" s="22"/>
      <c r="AF168" s="22"/>
      <c r="AG168" s="22"/>
      <c r="AH168" s="22"/>
      <c r="AI168" s="22"/>
      <c r="AJ168" s="22"/>
      <c r="AK168" s="22"/>
      <c r="AL168" s="22"/>
      <c r="AM168" s="22" t="str">
        <f t="shared" ref="AM168" si="213">B168</f>
        <v>ActiveWorkbook.Close SaveChanges:=False</v>
      </c>
      <c r="AO168" t="s">
        <v>339</v>
      </c>
    </row>
    <row r="170" spans="2:41" x14ac:dyDescent="0.25">
      <c r="B170" s="19" t="s">
        <v>316</v>
      </c>
      <c r="C170" s="19"/>
      <c r="D170" s="19"/>
      <c r="E170" s="19"/>
      <c r="F170" s="19"/>
      <c r="G170" s="19"/>
      <c r="H170" s="19"/>
      <c r="I170" s="19"/>
      <c r="J170" s="19"/>
      <c r="K170" s="19"/>
      <c r="L170" s="19"/>
      <c r="M170" s="19"/>
      <c r="N170" s="19" t="s">
        <v>321</v>
      </c>
      <c r="O170" s="19"/>
      <c r="P170" s="19"/>
      <c r="Q170" s="19"/>
      <c r="R170" s="19"/>
      <c r="S170" s="19"/>
      <c r="T170" s="19"/>
      <c r="U170" s="19"/>
      <c r="V170" s="19">
        <f t="shared" si="147"/>
        <v>33</v>
      </c>
      <c r="W170" s="19"/>
      <c r="X170" s="19"/>
      <c r="Y170" s="21"/>
      <c r="Z170" s="19" t="s">
        <v>322</v>
      </c>
      <c r="AA170" s="19"/>
      <c r="AB170" s="19"/>
      <c r="AC170" s="19"/>
      <c r="AD170" s="19"/>
      <c r="AE170" s="19"/>
      <c r="AF170" s="19"/>
      <c r="AG170" s="19"/>
      <c r="AH170" s="19"/>
      <c r="AI170" s="19"/>
      <c r="AJ170" s="19"/>
      <c r="AK170" s="19"/>
      <c r="AL170" s="19"/>
      <c r="AM170" s="19" t="str">
        <f t="shared" ref="AM170" si="214">+_xlfn.CONCAT(N170&amp;V170&amp;Z170)</f>
        <v xml:space="preserve"> Workbooks.Open "A:\Homes for Ukraine data\Ukraine_sponsorship_data_33.ods"</v>
      </c>
      <c r="AO170" t="s">
        <v>741</v>
      </c>
    </row>
    <row r="171" spans="2:41" x14ac:dyDescent="0.25">
      <c r="B171" s="19" t="s">
        <v>380</v>
      </c>
      <c r="C171" s="19"/>
      <c r="D171" s="19"/>
      <c r="E171" s="19"/>
      <c r="F171" s="19"/>
      <c r="G171" s="19"/>
      <c r="H171" s="19"/>
      <c r="I171" s="19"/>
      <c r="J171" s="19"/>
      <c r="K171" s="19"/>
      <c r="L171" s="19"/>
      <c r="M171" s="19"/>
      <c r="N171" s="19" t="s">
        <v>323</v>
      </c>
      <c r="O171" s="19"/>
      <c r="P171" s="19"/>
      <c r="Q171" s="19"/>
      <c r="R171" s="19"/>
      <c r="S171" s="19"/>
      <c r="T171" s="19"/>
      <c r="U171" s="19"/>
      <c r="V171" s="19">
        <f t="shared" si="147"/>
        <v>33</v>
      </c>
      <c r="W171" s="19"/>
      <c r="X171" s="19"/>
      <c r="Y171" s="21"/>
      <c r="Z171" s="19" t="s">
        <v>381</v>
      </c>
      <c r="AA171" s="19"/>
      <c r="AB171" s="19"/>
      <c r="AC171" s="19"/>
      <c r="AD171" s="19"/>
      <c r="AE171" s="19" t="str">
        <f t="shared" ref="AE171:AF171" si="215">AE166</f>
        <v>E</v>
      </c>
      <c r="AF171" s="19">
        <f t="shared" si="215"/>
        <v>13</v>
      </c>
      <c r="AG171" s="19" t="s">
        <v>327</v>
      </c>
      <c r="AH171" s="19" t="str">
        <f t="shared" ref="AH171:AI171" si="216">AH166</f>
        <v>E</v>
      </c>
      <c r="AI171" s="19">
        <f t="shared" si="216"/>
        <v>53</v>
      </c>
      <c r="AJ171" s="19"/>
      <c r="AK171" s="19" t="s">
        <v>325</v>
      </c>
      <c r="AL171" s="19"/>
      <c r="AM171" s="19" t="str">
        <f t="shared" ref="AM171" si="217">_xlfn.CONCAT(N171&amp;V171&amp;Z171&amp;AE171&amp;AF171&amp;AG171&amp;AE171&amp;AI171&amp;AK171)</f>
        <v xml:space="preserve"> Workbooks("Ukraine_sponsorship_data_33.ods").Worksheets("Scotland").Range("E13:E53").Copy _</v>
      </c>
      <c r="AO171" t="s">
        <v>767</v>
      </c>
    </row>
    <row r="172" spans="2:41" x14ac:dyDescent="0.25">
      <c r="B172" s="19" t="s">
        <v>808</v>
      </c>
      <c r="C172" s="19"/>
      <c r="D172" s="19"/>
      <c r="E172" s="19"/>
      <c r="F172" s="19"/>
      <c r="G172" s="19"/>
      <c r="H172" s="19"/>
      <c r="I172" s="19"/>
      <c r="J172" s="19"/>
      <c r="K172" s="19"/>
      <c r="L172" s="19"/>
      <c r="M172" s="19"/>
      <c r="N172" s="19" t="s">
        <v>809</v>
      </c>
      <c r="O172" s="19"/>
      <c r="P172" s="19"/>
      <c r="Q172" s="19"/>
      <c r="R172" s="19"/>
      <c r="S172" s="19"/>
      <c r="T172" s="19"/>
      <c r="U172" s="19"/>
      <c r="V172" s="19"/>
      <c r="W172" s="19" t="s">
        <v>313</v>
      </c>
      <c r="X172" s="19" t="str">
        <f t="shared" si="152"/>
        <v>X</v>
      </c>
      <c r="Y172" s="21">
        <f t="shared" si="153"/>
        <v>174</v>
      </c>
      <c r="Z172" s="19" t="s">
        <v>324</v>
      </c>
      <c r="AA172" s="19"/>
      <c r="AB172" s="19"/>
      <c r="AC172" s="19"/>
      <c r="AD172" s="19"/>
      <c r="AE172" s="19"/>
      <c r="AF172" s="19"/>
      <c r="AG172" s="19"/>
      <c r="AH172" s="19"/>
      <c r="AI172" s="19"/>
      <c r="AJ172" s="19"/>
      <c r="AK172" s="19"/>
      <c r="AL172" s="19"/>
      <c r="AM172" s="19" t="str">
        <f t="shared" ref="AM172" si="218">_xlfn.CONCAT(N172&amp;W172&amp;X172&amp;Y172&amp;Z172)</f>
        <v>Workbooks("HFU Forecast UTLA 1.0.xlsm").Worksheets("Combined data").Range("BX174")</v>
      </c>
      <c r="AO172" t="s">
        <v>998</v>
      </c>
    </row>
    <row r="173" spans="2:41" x14ac:dyDescent="0.25">
      <c r="B173" s="19" t="s">
        <v>339</v>
      </c>
      <c r="C173" s="19"/>
      <c r="D173" s="19"/>
      <c r="E173" s="19"/>
      <c r="F173" s="19"/>
      <c r="G173" s="19"/>
      <c r="H173" s="19"/>
      <c r="I173" s="19"/>
      <c r="J173" s="19"/>
      <c r="K173" s="19"/>
      <c r="L173" s="19"/>
      <c r="M173" s="19"/>
      <c r="N173" s="19"/>
      <c r="O173" s="19"/>
      <c r="P173" s="19"/>
      <c r="Q173" s="19"/>
      <c r="R173" s="19"/>
      <c r="S173" s="19"/>
      <c r="T173" s="19"/>
      <c r="U173" s="19"/>
      <c r="V173" s="19"/>
      <c r="W173" s="19"/>
      <c r="X173" s="19"/>
      <c r="Y173" s="21"/>
      <c r="Z173" s="19"/>
      <c r="AA173" s="19"/>
      <c r="AB173" s="19"/>
      <c r="AC173" s="19"/>
      <c r="AD173" s="19"/>
      <c r="AE173" s="19"/>
      <c r="AF173" s="19"/>
      <c r="AG173" s="19"/>
      <c r="AH173" s="19"/>
      <c r="AI173" s="19"/>
      <c r="AJ173" s="19"/>
      <c r="AK173" s="19"/>
      <c r="AL173" s="19"/>
      <c r="AM173" s="19" t="str">
        <f t="shared" ref="AM173" si="219">B173</f>
        <v>ActiveWorkbook.Close SaveChanges:=False</v>
      </c>
      <c r="AO173" t="s">
        <v>339</v>
      </c>
    </row>
    <row r="175" spans="2:41" x14ac:dyDescent="0.25">
      <c r="B175" s="22" t="s">
        <v>316</v>
      </c>
      <c r="C175" s="22"/>
      <c r="D175" s="22"/>
      <c r="E175" s="22"/>
      <c r="F175" s="22"/>
      <c r="G175" s="22"/>
      <c r="H175" s="22"/>
      <c r="I175" s="22"/>
      <c r="J175" s="22"/>
      <c r="K175" s="22"/>
      <c r="L175" s="22"/>
      <c r="M175" s="22"/>
      <c r="N175" s="22" t="s">
        <v>321</v>
      </c>
      <c r="O175" s="22"/>
      <c r="P175" s="22"/>
      <c r="Q175" s="22"/>
      <c r="R175" s="22"/>
      <c r="S175" s="22"/>
      <c r="T175" s="22"/>
      <c r="U175" s="22"/>
      <c r="V175" s="22">
        <f t="shared" si="156"/>
        <v>34</v>
      </c>
      <c r="W175" s="22"/>
      <c r="X175" s="22"/>
      <c r="Y175" s="23"/>
      <c r="Z175" s="22" t="s">
        <v>322</v>
      </c>
      <c r="AA175" s="22"/>
      <c r="AB175" s="22"/>
      <c r="AC175" s="22"/>
      <c r="AD175" s="22"/>
      <c r="AE175" s="22"/>
      <c r="AF175" s="22"/>
      <c r="AG175" s="22"/>
      <c r="AH175" s="22"/>
      <c r="AI175" s="22"/>
      <c r="AJ175" s="22"/>
      <c r="AK175" s="22"/>
      <c r="AL175" s="22"/>
      <c r="AM175" s="22" t="str">
        <f t="shared" ref="AM175" si="220">+_xlfn.CONCAT(N175&amp;V175&amp;Z175)</f>
        <v xml:space="preserve"> Workbooks.Open "A:\Homes for Ukraine data\Ukraine_sponsorship_data_34.ods"</v>
      </c>
      <c r="AO175" t="s">
        <v>743</v>
      </c>
    </row>
    <row r="176" spans="2:41" x14ac:dyDescent="0.25">
      <c r="B176" s="22" t="s">
        <v>380</v>
      </c>
      <c r="C176" s="22"/>
      <c r="D176" s="22"/>
      <c r="E176" s="22"/>
      <c r="F176" s="22"/>
      <c r="G176" s="22"/>
      <c r="H176" s="22"/>
      <c r="I176" s="22"/>
      <c r="J176" s="22"/>
      <c r="K176" s="22"/>
      <c r="L176" s="22"/>
      <c r="M176" s="22"/>
      <c r="N176" s="22" t="s">
        <v>323</v>
      </c>
      <c r="O176" s="22"/>
      <c r="P176" s="22"/>
      <c r="Q176" s="22"/>
      <c r="R176" s="22"/>
      <c r="S176" s="22"/>
      <c r="T176" s="22"/>
      <c r="U176" s="22"/>
      <c r="V176" s="22">
        <f t="shared" si="156"/>
        <v>34</v>
      </c>
      <c r="W176" s="22"/>
      <c r="X176" s="22"/>
      <c r="Y176" s="23"/>
      <c r="Z176" s="22" t="s">
        <v>381</v>
      </c>
      <c r="AA176" s="22"/>
      <c r="AB176" s="22"/>
      <c r="AC176" s="22"/>
      <c r="AD176" s="22"/>
      <c r="AE176" s="22" t="str">
        <f t="shared" ref="AE176:AF176" si="221">AE171</f>
        <v>E</v>
      </c>
      <c r="AF176" s="22">
        <f t="shared" si="221"/>
        <v>13</v>
      </c>
      <c r="AG176" s="22" t="s">
        <v>327</v>
      </c>
      <c r="AH176" s="22" t="str">
        <f t="shared" ref="AH176:AI176" si="222">AH171</f>
        <v>E</v>
      </c>
      <c r="AI176" s="22">
        <f t="shared" si="222"/>
        <v>53</v>
      </c>
      <c r="AJ176" s="22"/>
      <c r="AK176" s="22" t="s">
        <v>325</v>
      </c>
      <c r="AL176" s="22"/>
      <c r="AM176" s="22" t="str">
        <f t="shared" ref="AM176" si="223">_xlfn.CONCAT(N176&amp;V176&amp;Z176&amp;AE176&amp;AF176&amp;AG176&amp;AE176&amp;AI176&amp;AK176)</f>
        <v xml:space="preserve"> Workbooks("Ukraine_sponsorship_data_34.ods").Worksheets("Scotland").Range("E13:E53").Copy _</v>
      </c>
      <c r="AO176" t="s">
        <v>768</v>
      </c>
    </row>
    <row r="177" spans="2:41" x14ac:dyDescent="0.25">
      <c r="B177" s="22" t="s">
        <v>808</v>
      </c>
      <c r="C177" s="22"/>
      <c r="D177" s="22"/>
      <c r="E177" s="22"/>
      <c r="F177" s="22"/>
      <c r="G177" s="22"/>
      <c r="H177" s="22"/>
      <c r="I177" s="22"/>
      <c r="J177" s="22"/>
      <c r="K177" s="22"/>
      <c r="L177" s="22"/>
      <c r="M177" s="22"/>
      <c r="N177" s="22" t="s">
        <v>809</v>
      </c>
      <c r="O177" s="22"/>
      <c r="P177" s="22"/>
      <c r="Q177" s="22"/>
      <c r="R177" s="22"/>
      <c r="S177" s="22"/>
      <c r="T177" s="22"/>
      <c r="U177" s="22"/>
      <c r="V177" s="22"/>
      <c r="W177" s="22" t="str">
        <f t="shared" si="161"/>
        <v>B</v>
      </c>
      <c r="X177" s="22" t="str">
        <f t="shared" si="162"/>
        <v>Y</v>
      </c>
      <c r="Y177" s="23">
        <f t="shared" si="163"/>
        <v>174</v>
      </c>
      <c r="Z177" s="22" t="s">
        <v>324</v>
      </c>
      <c r="AA177" s="22"/>
      <c r="AB177" s="22"/>
      <c r="AC177" s="22"/>
      <c r="AD177" s="22"/>
      <c r="AE177" s="22"/>
      <c r="AF177" s="22"/>
      <c r="AG177" s="22"/>
      <c r="AH177" s="22"/>
      <c r="AI177" s="22"/>
      <c r="AJ177" s="22"/>
      <c r="AK177" s="22"/>
      <c r="AL177" s="22"/>
      <c r="AM177" s="22" t="str">
        <f t="shared" ref="AM177" si="224">_xlfn.CONCAT(N177&amp;W177&amp;X177&amp;Y177&amp;Z177)</f>
        <v>Workbooks("HFU Forecast UTLA 1.0.xlsm").Worksheets("Combined data").Range("BY174")</v>
      </c>
      <c r="AO177" t="s">
        <v>999</v>
      </c>
    </row>
    <row r="178" spans="2:41" x14ac:dyDescent="0.25">
      <c r="B178" s="22" t="s">
        <v>339</v>
      </c>
      <c r="C178" s="22"/>
      <c r="D178" s="22"/>
      <c r="E178" s="22"/>
      <c r="F178" s="22"/>
      <c r="G178" s="22"/>
      <c r="H178" s="22"/>
      <c r="I178" s="22"/>
      <c r="J178" s="22"/>
      <c r="K178" s="22"/>
      <c r="L178" s="22"/>
      <c r="M178" s="22"/>
      <c r="N178" s="22"/>
      <c r="O178" s="22"/>
      <c r="P178" s="22"/>
      <c r="Q178" s="22"/>
      <c r="R178" s="22"/>
      <c r="S178" s="22"/>
      <c r="T178" s="22"/>
      <c r="U178" s="22"/>
      <c r="V178" s="22"/>
      <c r="W178" s="22"/>
      <c r="X178" s="22"/>
      <c r="Y178" s="23"/>
      <c r="Z178" s="22"/>
      <c r="AA178" s="22"/>
      <c r="AB178" s="22"/>
      <c r="AC178" s="22"/>
      <c r="AD178" s="22"/>
      <c r="AE178" s="22"/>
      <c r="AF178" s="22"/>
      <c r="AG178" s="22"/>
      <c r="AH178" s="22"/>
      <c r="AI178" s="22"/>
      <c r="AJ178" s="22"/>
      <c r="AK178" s="22"/>
      <c r="AL178" s="22"/>
      <c r="AM178" s="22" t="str">
        <f t="shared" ref="AM178" si="225">B178</f>
        <v>ActiveWorkbook.Close SaveChanges:=False</v>
      </c>
      <c r="AO178" t="s">
        <v>339</v>
      </c>
    </row>
  </sheetData>
  <mergeCells count="2">
    <mergeCell ref="B3:P3"/>
    <mergeCell ref="AE5:AI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3CAC9-6B07-44E1-AB98-FEB543A48DFD}">
  <sheetPr codeName="Sheet8"/>
  <dimension ref="A1:AO184"/>
  <sheetViews>
    <sheetView topLeftCell="K1" zoomScaleNormal="100" workbookViewId="0">
      <selection activeCell="AO10" sqref="AO10:AO184"/>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2:41" x14ac:dyDescent="0.25">
      <c r="B1" t="s">
        <v>329</v>
      </c>
    </row>
    <row r="3" spans="2:41" ht="78.75" customHeight="1" x14ac:dyDescent="0.25">
      <c r="B3" s="320" t="s">
        <v>330</v>
      </c>
      <c r="C3" s="320"/>
      <c r="D3" s="320"/>
      <c r="E3" s="320"/>
      <c r="F3" s="320"/>
      <c r="G3" s="320"/>
      <c r="H3" s="320"/>
      <c r="I3" s="320"/>
      <c r="J3" s="320"/>
      <c r="K3" s="320"/>
      <c r="L3" s="320"/>
      <c r="M3" s="320"/>
      <c r="N3" s="320"/>
      <c r="O3" s="320"/>
      <c r="P3" s="320"/>
    </row>
    <row r="5" spans="2:41" x14ac:dyDescent="0.25">
      <c r="V5" t="s">
        <v>331</v>
      </c>
      <c r="W5" t="s">
        <v>333</v>
      </c>
      <c r="AE5" s="316" t="s">
        <v>332</v>
      </c>
      <c r="AF5" s="316"/>
      <c r="AG5" s="316"/>
      <c r="AH5" s="316"/>
      <c r="AI5" s="316"/>
    </row>
    <row r="6" spans="2:41" x14ac:dyDescent="0.25">
      <c r="B6" t="s">
        <v>319</v>
      </c>
    </row>
    <row r="7" spans="2:41" x14ac:dyDescent="0.25">
      <c r="N7" t="s">
        <v>320</v>
      </c>
    </row>
    <row r="8" spans="2:41" x14ac:dyDescent="0.25">
      <c r="B8" t="s">
        <v>315</v>
      </c>
      <c r="AM8" t="s">
        <v>328</v>
      </c>
    </row>
    <row r="10" spans="2:41" x14ac:dyDescent="0.25">
      <c r="B10" t="s">
        <v>316</v>
      </c>
      <c r="N10" t="s">
        <v>321</v>
      </c>
      <c r="V10">
        <v>1</v>
      </c>
      <c r="Z10" t="s">
        <v>322</v>
      </c>
      <c r="AM10" t="str">
        <f>+_xlfn.CONCAT(N10&amp;V10&amp;Z10)</f>
        <v xml:space="preserve"> Workbooks.Open "A:\Homes for Ukraine data\Ukraine_sponsorship_data_1.ods"</v>
      </c>
      <c r="AO10" t="s">
        <v>334</v>
      </c>
    </row>
    <row r="11" spans="2:41" x14ac:dyDescent="0.25">
      <c r="B11" t="s">
        <v>451</v>
      </c>
      <c r="N11" t="s">
        <v>323</v>
      </c>
      <c r="V11">
        <v>1</v>
      </c>
      <c r="Z11" t="s">
        <v>452</v>
      </c>
      <c r="AE11" t="s">
        <v>312</v>
      </c>
      <c r="AF11">
        <v>1</v>
      </c>
      <c r="AG11" t="s">
        <v>327</v>
      </c>
      <c r="AH11" t="s">
        <v>313</v>
      </c>
      <c r="AI11">
        <v>3</v>
      </c>
      <c r="AK11" t="s">
        <v>325</v>
      </c>
      <c r="AM11" t="str">
        <f>_xlfn.CONCAT(N11&amp;V11&amp;Z11&amp;AE11&amp;AF11&amp;AG11&amp;AH11&amp;AI11&amp;AK11)</f>
        <v xml:space="preserve"> Workbooks("Ukraine_sponsorship_data_1.ods").Worksheets("Wales").Range("A1:B3").Copy _</v>
      </c>
      <c r="AO11" t="s">
        <v>806</v>
      </c>
    </row>
    <row r="12" spans="2:41" x14ac:dyDescent="0.25">
      <c r="B12" t="s">
        <v>808</v>
      </c>
      <c r="N12" t="s">
        <v>809</v>
      </c>
      <c r="W12" t="s">
        <v>312</v>
      </c>
      <c r="Y12" s="20">
        <v>216</v>
      </c>
      <c r="Z12" t="s">
        <v>324</v>
      </c>
      <c r="AM12" t="str">
        <f>_xlfn.CONCAT(N12&amp;W12&amp;Y12&amp;Z12)</f>
        <v>Workbooks("HFU Forecast UTLA 1.0.xlsm").Worksheets("Combined data").Range("A216")</v>
      </c>
      <c r="AO12" t="s">
        <v>941</v>
      </c>
    </row>
    <row r="13" spans="2:41" x14ac:dyDescent="0.25">
      <c r="B13" t="s">
        <v>451</v>
      </c>
      <c r="N13" t="s">
        <v>323</v>
      </c>
      <c r="V13">
        <v>1</v>
      </c>
      <c r="Z13" t="s">
        <v>452</v>
      </c>
      <c r="AE13" t="s">
        <v>312</v>
      </c>
      <c r="AF13">
        <v>7</v>
      </c>
      <c r="AG13" t="s">
        <v>327</v>
      </c>
      <c r="AH13" t="s">
        <v>313</v>
      </c>
      <c r="AI13">
        <v>43</v>
      </c>
      <c r="AK13" t="s">
        <v>325</v>
      </c>
      <c r="AM13" t="str">
        <f>_xlfn.CONCAT(N13&amp;V13&amp;Z13&amp;AE13&amp;AF13&amp;AG13&amp;AH13&amp;AI13&amp;AK13)</f>
        <v xml:space="preserve"> Workbooks("Ukraine_sponsorship_data_1.ods").Worksheets("Wales").Range("A7:B43").Copy _</v>
      </c>
      <c r="AO13" t="s">
        <v>1049</v>
      </c>
    </row>
    <row r="14" spans="2:41" x14ac:dyDescent="0.25">
      <c r="B14" t="s">
        <v>808</v>
      </c>
      <c r="N14" t="s">
        <v>809</v>
      </c>
      <c r="W14" t="s">
        <v>312</v>
      </c>
      <c r="Y14" s="20">
        <v>219</v>
      </c>
      <c r="Z14" t="s">
        <v>324</v>
      </c>
      <c r="AM14" t="str">
        <f>_xlfn.CONCAT(N14&amp;W14&amp;Y14&amp;Z14)</f>
        <v>Workbooks("HFU Forecast UTLA 1.0.xlsm").Worksheets("Combined data").Range("A219")</v>
      </c>
      <c r="AO14" t="s">
        <v>942</v>
      </c>
    </row>
    <row r="16" spans="2:41" x14ac:dyDescent="0.25">
      <c r="B16" t="s">
        <v>316</v>
      </c>
      <c r="N16" t="s">
        <v>321</v>
      </c>
      <c r="V16">
        <v>1</v>
      </c>
      <c r="Z16" t="s">
        <v>322</v>
      </c>
      <c r="AM16" t="str">
        <f>+_xlfn.CONCAT(N16&amp;V16&amp;Z16)</f>
        <v xml:space="preserve"> Workbooks.Open "A:\Homes for Ukraine data\Ukraine_sponsorship_data_1.ods"</v>
      </c>
      <c r="AO16" t="s">
        <v>334</v>
      </c>
    </row>
    <row r="17" spans="1:41" x14ac:dyDescent="0.25">
      <c r="B17" t="s">
        <v>453</v>
      </c>
      <c r="N17" t="s">
        <v>323</v>
      </c>
      <c r="V17">
        <v>1</v>
      </c>
      <c r="Z17" t="s">
        <v>452</v>
      </c>
      <c r="AE17" t="s">
        <v>314</v>
      </c>
      <c r="AF17">
        <v>13</v>
      </c>
      <c r="AG17" t="s">
        <v>327</v>
      </c>
      <c r="AH17" t="s">
        <v>314</v>
      </c>
      <c r="AI17">
        <v>43</v>
      </c>
      <c r="AK17" t="s">
        <v>325</v>
      </c>
      <c r="AM17" t="str">
        <f>_xlfn.CONCAT(N17&amp;V17&amp;Z17&amp;AE17&amp;AF17&amp;AG17&amp;AE17&amp;AI17&amp;AK17)</f>
        <v xml:space="preserve"> Workbooks("Ukraine_sponsorship_data_1.ods").Worksheets("Wales").Range("C13:C43").Copy _</v>
      </c>
      <c r="AO17" t="s">
        <v>1050</v>
      </c>
    </row>
    <row r="18" spans="1:41" x14ac:dyDescent="0.25">
      <c r="B18" t="s">
        <v>808</v>
      </c>
      <c r="N18" t="s">
        <v>809</v>
      </c>
      <c r="W18" t="s">
        <v>311</v>
      </c>
      <c r="Y18" s="20">
        <v>225</v>
      </c>
      <c r="Z18" t="s">
        <v>324</v>
      </c>
      <c r="AM18" t="str">
        <f>_xlfn.CONCAT(N18&amp;W18&amp;Y18&amp;Z18)</f>
        <v>Workbooks("HFU Forecast UTLA 1.0.xlsm").Worksheets("Combined data").Range("H225")</v>
      </c>
      <c r="AO18" t="s">
        <v>943</v>
      </c>
    </row>
    <row r="19" spans="1:41" ht="17.25" customHeight="1" x14ac:dyDescent="0.25">
      <c r="B19" t="s">
        <v>339</v>
      </c>
      <c r="AM19" t="str">
        <f>B19</f>
        <v>ActiveWorkbook.Close SaveChanges:=False</v>
      </c>
      <c r="AO19" t="s">
        <v>339</v>
      </c>
    </row>
    <row r="21" spans="1:41" ht="17.25" customHeight="1" x14ac:dyDescent="0.25">
      <c r="A21" s="19"/>
      <c r="B21" s="22" t="s">
        <v>316</v>
      </c>
      <c r="C21" s="22"/>
      <c r="D21" s="22"/>
      <c r="E21" s="22"/>
      <c r="F21" s="22"/>
      <c r="G21" s="22"/>
      <c r="H21" s="22"/>
      <c r="I21" s="22"/>
      <c r="J21" s="22"/>
      <c r="K21" s="22"/>
      <c r="L21" s="22"/>
      <c r="M21" s="22"/>
      <c r="N21" s="22" t="s">
        <v>321</v>
      </c>
      <c r="O21" s="22"/>
      <c r="P21" s="22"/>
      <c r="Q21" s="22"/>
      <c r="R21" s="22"/>
      <c r="S21" s="22"/>
      <c r="T21" s="22"/>
      <c r="U21" s="22"/>
      <c r="V21" s="22">
        <f>V16+1</f>
        <v>2</v>
      </c>
      <c r="W21" s="22"/>
      <c r="X21" s="22"/>
      <c r="Y21" s="23"/>
      <c r="Z21" s="22" t="s">
        <v>322</v>
      </c>
      <c r="AA21" s="22"/>
      <c r="AB21" s="22"/>
      <c r="AC21" s="22"/>
      <c r="AD21" s="22"/>
      <c r="AE21" s="22"/>
      <c r="AF21" s="22"/>
      <c r="AG21" s="22"/>
      <c r="AH21" s="22"/>
      <c r="AI21" s="22"/>
      <c r="AJ21" s="22"/>
      <c r="AK21" s="22"/>
      <c r="AL21" s="22"/>
      <c r="AM21" s="22" t="str">
        <f>+_xlfn.CONCAT(N21&amp;V21&amp;Z21)</f>
        <v xml:space="preserve"> Workbooks.Open "A:\Homes for Ukraine data\Ukraine_sponsorship_data_2.ods"</v>
      </c>
      <c r="AO21" t="s">
        <v>335</v>
      </c>
    </row>
    <row r="22" spans="1:41" x14ac:dyDescent="0.25">
      <c r="A22" s="19"/>
      <c r="B22" s="22" t="s">
        <v>453</v>
      </c>
      <c r="C22" s="22"/>
      <c r="D22" s="22"/>
      <c r="E22" s="22"/>
      <c r="F22" s="22"/>
      <c r="G22" s="22"/>
      <c r="H22" s="22"/>
      <c r="I22" s="22"/>
      <c r="J22" s="22"/>
      <c r="K22" s="22"/>
      <c r="L22" s="22"/>
      <c r="M22" s="22"/>
      <c r="N22" s="22" t="s">
        <v>323</v>
      </c>
      <c r="O22" s="22"/>
      <c r="P22" s="22"/>
      <c r="Q22" s="22"/>
      <c r="R22" s="22"/>
      <c r="S22" s="22"/>
      <c r="T22" s="22"/>
      <c r="U22" s="22"/>
      <c r="V22" s="22">
        <f>V17+1</f>
        <v>2</v>
      </c>
      <c r="W22" s="22"/>
      <c r="X22" s="22"/>
      <c r="Y22" s="23"/>
      <c r="Z22" s="22" t="s">
        <v>452</v>
      </c>
      <c r="AA22" s="22"/>
      <c r="AB22" s="22"/>
      <c r="AC22" s="22"/>
      <c r="AD22" s="22"/>
      <c r="AE22" s="22" t="s">
        <v>382</v>
      </c>
      <c r="AF22" s="22">
        <f>AF17</f>
        <v>13</v>
      </c>
      <c r="AG22" s="22" t="s">
        <v>327</v>
      </c>
      <c r="AH22" s="22"/>
      <c r="AI22" s="22">
        <f>AI17</f>
        <v>43</v>
      </c>
      <c r="AJ22" s="22"/>
      <c r="AK22" s="22" t="s">
        <v>325</v>
      </c>
      <c r="AL22" s="22"/>
      <c r="AM22" s="22" t="str">
        <f>_xlfn.CONCAT(N22&amp;V22&amp;Z22&amp;AE22&amp;AF22&amp;AG22&amp;AE22&amp;AI22&amp;AK22)</f>
        <v xml:space="preserve"> Workbooks("Ukraine_sponsorship_data_2.ods").Worksheets("Wales").Range("D13:D43").Copy _</v>
      </c>
      <c r="AO22" t="s">
        <v>1051</v>
      </c>
    </row>
    <row r="23" spans="1:41" ht="17.25" customHeight="1" x14ac:dyDescent="0.25">
      <c r="A23" s="19"/>
      <c r="B23" s="22" t="s">
        <v>808</v>
      </c>
      <c r="C23" s="22"/>
      <c r="D23" s="22"/>
      <c r="E23" s="22"/>
      <c r="F23" s="22"/>
      <c r="G23" s="22"/>
      <c r="H23" s="22"/>
      <c r="I23" s="22"/>
      <c r="J23" s="22"/>
      <c r="K23" s="22"/>
      <c r="L23" s="22"/>
      <c r="M23" s="22"/>
      <c r="N23" s="22" t="s">
        <v>809</v>
      </c>
      <c r="O23" s="22"/>
      <c r="P23" s="22"/>
      <c r="Q23" s="22"/>
      <c r="R23" s="22"/>
      <c r="S23" s="22"/>
      <c r="T23" s="22"/>
      <c r="U23" s="22"/>
      <c r="V23" s="22"/>
      <c r="W23" s="22" t="str">
        <f>CHAR(CODE(W18)+1)</f>
        <v>I</v>
      </c>
      <c r="X23" s="22"/>
      <c r="Y23" s="23">
        <f>Y18</f>
        <v>225</v>
      </c>
      <c r="Z23" s="22" t="s">
        <v>324</v>
      </c>
      <c r="AA23" s="22"/>
      <c r="AB23" s="22"/>
      <c r="AC23" s="22"/>
      <c r="AD23" s="22"/>
      <c r="AE23" s="22"/>
      <c r="AF23" s="22"/>
      <c r="AG23" s="22"/>
      <c r="AH23" s="22"/>
      <c r="AI23" s="22"/>
      <c r="AJ23" s="22"/>
      <c r="AK23" s="22"/>
      <c r="AL23" s="22"/>
      <c r="AM23" s="22" t="str">
        <f>_xlfn.CONCAT(N23&amp;W23&amp;Y23&amp;Z23)</f>
        <v>Workbooks("HFU Forecast UTLA 1.0.xlsm").Worksheets("Combined data").Range("I225")</v>
      </c>
      <c r="AO23" t="s">
        <v>944</v>
      </c>
    </row>
    <row r="24" spans="1:41" ht="17.25" customHeight="1" x14ac:dyDescent="0.25">
      <c r="A24" s="19"/>
      <c r="B24" s="22" t="s">
        <v>339</v>
      </c>
      <c r="C24" s="22"/>
      <c r="D24" s="22"/>
      <c r="E24" s="22"/>
      <c r="F24" s="22"/>
      <c r="G24" s="22"/>
      <c r="H24" s="22"/>
      <c r="I24" s="22"/>
      <c r="J24" s="22"/>
      <c r="K24" s="22"/>
      <c r="L24" s="22"/>
      <c r="M24" s="22"/>
      <c r="N24" s="22"/>
      <c r="O24" s="22"/>
      <c r="P24" s="22"/>
      <c r="Q24" s="22"/>
      <c r="R24" s="22"/>
      <c r="S24" s="22"/>
      <c r="T24" s="22"/>
      <c r="U24" s="22"/>
      <c r="V24" s="22"/>
      <c r="W24" s="22"/>
      <c r="X24" s="22"/>
      <c r="Y24" s="23"/>
      <c r="Z24" s="22"/>
      <c r="AA24" s="22"/>
      <c r="AB24" s="22"/>
      <c r="AC24" s="22"/>
      <c r="AD24" s="22"/>
      <c r="AE24" s="22"/>
      <c r="AF24" s="22"/>
      <c r="AG24" s="22"/>
      <c r="AH24" s="22"/>
      <c r="AI24" s="22"/>
      <c r="AJ24" s="22"/>
      <c r="AK24" s="22"/>
      <c r="AL24" s="22"/>
      <c r="AM24" s="22" t="str">
        <f>B24</f>
        <v>ActiveWorkbook.Close SaveChanges:=False</v>
      </c>
      <c r="AO24" t="s">
        <v>339</v>
      </c>
    </row>
    <row r="26" spans="1:41" x14ac:dyDescent="0.25">
      <c r="B26" s="19" t="s">
        <v>316</v>
      </c>
      <c r="C26" s="19"/>
      <c r="D26" s="19"/>
      <c r="E26" s="19"/>
      <c r="F26" s="19"/>
      <c r="G26" s="19"/>
      <c r="H26" s="19"/>
      <c r="I26" s="19"/>
      <c r="J26" s="19"/>
      <c r="K26" s="19"/>
      <c r="L26" s="19"/>
      <c r="M26" s="19"/>
      <c r="N26" s="19" t="s">
        <v>321</v>
      </c>
      <c r="O26" s="19"/>
      <c r="P26" s="19"/>
      <c r="Q26" s="19"/>
      <c r="R26" s="19"/>
      <c r="S26" s="19"/>
      <c r="T26" s="19"/>
      <c r="U26" s="19"/>
      <c r="V26" s="19">
        <f>V21+1</f>
        <v>3</v>
      </c>
      <c r="W26" s="19"/>
      <c r="X26" s="19"/>
      <c r="Y26" s="21"/>
      <c r="Z26" s="19" t="s">
        <v>322</v>
      </c>
      <c r="AA26" s="19"/>
      <c r="AB26" s="19"/>
      <c r="AC26" s="19"/>
      <c r="AD26" s="19"/>
      <c r="AE26" s="19"/>
      <c r="AF26" s="19"/>
      <c r="AG26" s="19"/>
      <c r="AH26" s="19"/>
      <c r="AI26" s="19"/>
      <c r="AJ26" s="19"/>
      <c r="AK26" s="19"/>
      <c r="AL26" s="19"/>
      <c r="AM26" s="19" t="str">
        <f>+_xlfn.CONCAT(N26&amp;V26&amp;Z26)</f>
        <v xml:space="preserve"> Workbooks.Open "A:\Homes for Ukraine data\Ukraine_sponsorship_data_3.ods"</v>
      </c>
      <c r="AO26" t="s">
        <v>336</v>
      </c>
    </row>
    <row r="27" spans="1:41" x14ac:dyDescent="0.25">
      <c r="B27" s="19" t="s">
        <v>453</v>
      </c>
      <c r="C27" s="19"/>
      <c r="D27" s="19"/>
      <c r="E27" s="19"/>
      <c r="F27" s="19"/>
      <c r="G27" s="19"/>
      <c r="H27" s="19"/>
      <c r="I27" s="19"/>
      <c r="J27" s="19"/>
      <c r="K27" s="19"/>
      <c r="L27" s="19"/>
      <c r="M27" s="19"/>
      <c r="N27" s="19" t="s">
        <v>323</v>
      </c>
      <c r="O27" s="19"/>
      <c r="P27" s="19"/>
      <c r="Q27" s="19"/>
      <c r="R27" s="19"/>
      <c r="S27" s="19"/>
      <c r="T27" s="19"/>
      <c r="U27" s="19"/>
      <c r="V27" s="19">
        <f>V22+1</f>
        <v>3</v>
      </c>
      <c r="W27" s="19"/>
      <c r="X27" s="19"/>
      <c r="Y27" s="21"/>
      <c r="Z27" s="19" t="s">
        <v>452</v>
      </c>
      <c r="AA27" s="19"/>
      <c r="AB27" s="19"/>
      <c r="AC27" s="19"/>
      <c r="AD27" s="19"/>
      <c r="AE27" s="19" t="s">
        <v>382</v>
      </c>
      <c r="AF27" s="19">
        <f>AF22</f>
        <v>13</v>
      </c>
      <c r="AG27" s="19" t="s">
        <v>327</v>
      </c>
      <c r="AH27" s="19"/>
      <c r="AI27" s="19">
        <f>AI22</f>
        <v>43</v>
      </c>
      <c r="AJ27" s="19"/>
      <c r="AK27" s="19" t="s">
        <v>325</v>
      </c>
      <c r="AL27" s="19"/>
      <c r="AM27" s="19" t="str">
        <f>_xlfn.CONCAT(N27&amp;V27&amp;Z27&amp;AE27&amp;AF27&amp;AG27&amp;AE27&amp;AI27&amp;AK27)</f>
        <v xml:space="preserve"> Workbooks("Ukraine_sponsorship_data_3.ods").Worksheets("Wales").Range("D13:D43").Copy _</v>
      </c>
      <c r="AO27" t="s">
        <v>1052</v>
      </c>
    </row>
    <row r="28" spans="1:41" x14ac:dyDescent="0.25">
      <c r="B28" s="19" t="s">
        <v>808</v>
      </c>
      <c r="C28" s="19"/>
      <c r="D28" s="19"/>
      <c r="E28" s="19"/>
      <c r="F28" s="19"/>
      <c r="G28" s="19"/>
      <c r="H28" s="19"/>
      <c r="I28" s="19"/>
      <c r="J28" s="19"/>
      <c r="K28" s="19"/>
      <c r="L28" s="19"/>
      <c r="M28" s="19"/>
      <c r="N28" s="19" t="s">
        <v>809</v>
      </c>
      <c r="O28" s="19"/>
      <c r="P28" s="19"/>
      <c r="Q28" s="19"/>
      <c r="R28" s="19"/>
      <c r="S28" s="19"/>
      <c r="T28" s="19"/>
      <c r="U28" s="19"/>
      <c r="V28" s="19"/>
      <c r="W28" s="19" t="str">
        <f>CHAR(CODE(W23)+1)</f>
        <v>J</v>
      </c>
      <c r="X28" s="19"/>
      <c r="Y28" s="21">
        <f>Y23</f>
        <v>225</v>
      </c>
      <c r="Z28" s="19" t="s">
        <v>324</v>
      </c>
      <c r="AA28" s="19"/>
      <c r="AB28" s="19"/>
      <c r="AC28" s="19"/>
      <c r="AD28" s="19"/>
      <c r="AE28" s="19"/>
      <c r="AF28" s="19"/>
      <c r="AG28" s="19"/>
      <c r="AH28" s="19"/>
      <c r="AI28" s="19"/>
      <c r="AJ28" s="19"/>
      <c r="AK28" s="19"/>
      <c r="AL28" s="19"/>
      <c r="AM28" s="19" t="str">
        <f>_xlfn.CONCAT(N28&amp;W28&amp;Y28&amp;Z28)</f>
        <v>Workbooks("HFU Forecast UTLA 1.0.xlsm").Worksheets("Combined data").Range("J225")</v>
      </c>
      <c r="AO28" t="s">
        <v>945</v>
      </c>
    </row>
    <row r="29" spans="1:41" x14ac:dyDescent="0.25">
      <c r="B29" s="19" t="s">
        <v>339</v>
      </c>
      <c r="C29" s="19"/>
      <c r="D29" s="19"/>
      <c r="E29" s="19"/>
      <c r="F29" s="19"/>
      <c r="G29" s="19"/>
      <c r="H29" s="19"/>
      <c r="I29" s="19"/>
      <c r="J29" s="19"/>
      <c r="K29" s="19"/>
      <c r="L29" s="19"/>
      <c r="M29" s="19"/>
      <c r="N29" s="19"/>
      <c r="O29" s="19"/>
      <c r="P29" s="19"/>
      <c r="Q29" s="19"/>
      <c r="R29" s="19"/>
      <c r="S29" s="19"/>
      <c r="T29" s="19"/>
      <c r="U29" s="19"/>
      <c r="V29" s="19"/>
      <c r="W29" s="19"/>
      <c r="X29" s="19"/>
      <c r="Y29" s="21"/>
      <c r="Z29" s="19"/>
      <c r="AA29" s="19"/>
      <c r="AB29" s="19"/>
      <c r="AC29" s="19"/>
      <c r="AD29" s="19"/>
      <c r="AE29" s="19"/>
      <c r="AF29" s="19"/>
      <c r="AG29" s="19"/>
      <c r="AH29" s="19"/>
      <c r="AI29" s="19"/>
      <c r="AJ29" s="19"/>
      <c r="AK29" s="19"/>
      <c r="AL29" s="19"/>
      <c r="AM29" s="19" t="str">
        <f>B29</f>
        <v>ActiveWorkbook.Close SaveChanges:=False</v>
      </c>
      <c r="AO29" t="s">
        <v>339</v>
      </c>
    </row>
    <row r="31" spans="1:41" x14ac:dyDescent="0.25">
      <c r="B31" s="22" t="s">
        <v>316</v>
      </c>
      <c r="C31" s="22"/>
      <c r="D31" s="22"/>
      <c r="E31" s="22"/>
      <c r="F31" s="22"/>
      <c r="G31" s="22"/>
      <c r="H31" s="22"/>
      <c r="I31" s="22"/>
      <c r="J31" s="22"/>
      <c r="K31" s="22"/>
      <c r="L31" s="22"/>
      <c r="M31" s="22"/>
      <c r="N31" s="22" t="s">
        <v>321</v>
      </c>
      <c r="O31" s="22"/>
      <c r="P31" s="22"/>
      <c r="Q31" s="22"/>
      <c r="R31" s="22"/>
      <c r="S31" s="22"/>
      <c r="T31" s="22"/>
      <c r="U31" s="22"/>
      <c r="V31" s="22">
        <f>V26+1</f>
        <v>4</v>
      </c>
      <c r="W31" s="22"/>
      <c r="X31" s="22"/>
      <c r="Y31" s="23"/>
      <c r="Z31" s="22" t="s">
        <v>322</v>
      </c>
      <c r="AA31" s="22"/>
      <c r="AB31" s="22"/>
      <c r="AC31" s="22"/>
      <c r="AD31" s="22"/>
      <c r="AE31" s="22"/>
      <c r="AF31" s="22"/>
      <c r="AG31" s="22"/>
      <c r="AH31" s="22"/>
      <c r="AI31" s="22"/>
      <c r="AJ31" s="22"/>
      <c r="AK31" s="22"/>
      <c r="AL31" s="22"/>
      <c r="AM31" s="22" t="str">
        <f>+_xlfn.CONCAT(N31&amp;V31&amp;Z31)</f>
        <v xml:space="preserve"> Workbooks.Open "A:\Homes for Ukraine data\Ukraine_sponsorship_data_4.ods"</v>
      </c>
      <c r="AO31" t="s">
        <v>340</v>
      </c>
    </row>
    <row r="32" spans="1:41" x14ac:dyDescent="0.25">
      <c r="B32" s="22" t="s">
        <v>453</v>
      </c>
      <c r="C32" s="22"/>
      <c r="D32" s="22"/>
      <c r="E32" s="22"/>
      <c r="F32" s="22"/>
      <c r="G32" s="22"/>
      <c r="H32" s="22"/>
      <c r="I32" s="22"/>
      <c r="J32" s="22"/>
      <c r="K32" s="22"/>
      <c r="L32" s="22"/>
      <c r="M32" s="22"/>
      <c r="N32" s="22" t="s">
        <v>323</v>
      </c>
      <c r="O32" s="22"/>
      <c r="P32" s="22"/>
      <c r="Q32" s="22"/>
      <c r="R32" s="22"/>
      <c r="S32" s="22"/>
      <c r="T32" s="22"/>
      <c r="U32" s="22"/>
      <c r="V32" s="22">
        <f>V27+1</f>
        <v>4</v>
      </c>
      <c r="W32" s="22"/>
      <c r="X32" s="22"/>
      <c r="Y32" s="23"/>
      <c r="Z32" s="22" t="s">
        <v>452</v>
      </c>
      <c r="AA32" s="22"/>
      <c r="AB32" s="22"/>
      <c r="AC32" s="22"/>
      <c r="AD32" s="22"/>
      <c r="AE32" s="22" t="s">
        <v>382</v>
      </c>
      <c r="AF32" s="22">
        <f t="shared" ref="AF32" si="0">AF27</f>
        <v>13</v>
      </c>
      <c r="AG32" s="22" t="s">
        <v>327</v>
      </c>
      <c r="AH32" s="22"/>
      <c r="AI32" s="22">
        <f t="shared" ref="AI32" si="1">AI27</f>
        <v>43</v>
      </c>
      <c r="AJ32" s="22"/>
      <c r="AK32" s="22" t="s">
        <v>325</v>
      </c>
      <c r="AL32" s="22"/>
      <c r="AM32" s="22" t="str">
        <f>_xlfn.CONCAT(N32&amp;V32&amp;Z32&amp;AE32&amp;AF32&amp;AG32&amp;AE32&amp;AI32&amp;AK32)</f>
        <v xml:space="preserve"> Workbooks("Ukraine_sponsorship_data_4.ods").Worksheets("Wales").Range("D13:D43").Copy _</v>
      </c>
      <c r="AO32" t="s">
        <v>1053</v>
      </c>
    </row>
    <row r="33" spans="2:41" x14ac:dyDescent="0.25">
      <c r="B33" s="22" t="s">
        <v>808</v>
      </c>
      <c r="C33" s="22"/>
      <c r="D33" s="22"/>
      <c r="E33" s="22"/>
      <c r="F33" s="22"/>
      <c r="G33" s="22"/>
      <c r="H33" s="22"/>
      <c r="I33" s="22"/>
      <c r="J33" s="22"/>
      <c r="K33" s="22"/>
      <c r="L33" s="22"/>
      <c r="M33" s="22"/>
      <c r="N33" s="22" t="s">
        <v>809</v>
      </c>
      <c r="O33" s="22"/>
      <c r="P33" s="22"/>
      <c r="Q33" s="22"/>
      <c r="R33" s="22"/>
      <c r="S33" s="22"/>
      <c r="T33" s="22"/>
      <c r="U33" s="22"/>
      <c r="V33" s="22"/>
      <c r="W33" s="22" t="str">
        <f>CHAR(CODE(W28)+1)</f>
        <v>K</v>
      </c>
      <c r="X33" s="22"/>
      <c r="Y33" s="23">
        <f t="shared" ref="Y33" si="2">Y28</f>
        <v>225</v>
      </c>
      <c r="Z33" s="22" t="s">
        <v>324</v>
      </c>
      <c r="AA33" s="22"/>
      <c r="AB33" s="22"/>
      <c r="AC33" s="22"/>
      <c r="AD33" s="22"/>
      <c r="AE33" s="22"/>
      <c r="AF33" s="22"/>
      <c r="AG33" s="22"/>
      <c r="AH33" s="22"/>
      <c r="AI33" s="22"/>
      <c r="AJ33" s="22"/>
      <c r="AK33" s="22"/>
      <c r="AL33" s="22"/>
      <c r="AM33" s="22" t="str">
        <f>_xlfn.CONCAT(N33&amp;W33&amp;Y33&amp;Z33)</f>
        <v>Workbooks("HFU Forecast UTLA 1.0.xlsm").Worksheets("Combined data").Range("K225")</v>
      </c>
      <c r="AO33" t="s">
        <v>946</v>
      </c>
    </row>
    <row r="34" spans="2:41" x14ac:dyDescent="0.25">
      <c r="B34" s="22" t="s">
        <v>339</v>
      </c>
      <c r="C34" s="22"/>
      <c r="D34" s="22"/>
      <c r="E34" s="22"/>
      <c r="F34" s="22"/>
      <c r="G34" s="22"/>
      <c r="H34" s="22"/>
      <c r="I34" s="22"/>
      <c r="J34" s="22"/>
      <c r="K34" s="22"/>
      <c r="L34" s="22"/>
      <c r="M34" s="22"/>
      <c r="N34" s="22"/>
      <c r="O34" s="22"/>
      <c r="P34" s="22"/>
      <c r="Q34" s="22"/>
      <c r="R34" s="22"/>
      <c r="S34" s="22"/>
      <c r="T34" s="22"/>
      <c r="U34" s="22"/>
      <c r="V34" s="22"/>
      <c r="W34" s="22"/>
      <c r="X34" s="22"/>
      <c r="Y34" s="23"/>
      <c r="Z34" s="22"/>
      <c r="AA34" s="22"/>
      <c r="AB34" s="22"/>
      <c r="AC34" s="22"/>
      <c r="AD34" s="22"/>
      <c r="AE34" s="22"/>
      <c r="AF34" s="22"/>
      <c r="AG34" s="22"/>
      <c r="AH34" s="22"/>
      <c r="AI34" s="22"/>
      <c r="AJ34" s="22"/>
      <c r="AK34" s="22"/>
      <c r="AL34" s="22"/>
      <c r="AM34" s="22" t="str">
        <f>B34</f>
        <v>ActiveWorkbook.Close SaveChanges:=False</v>
      </c>
      <c r="AO34" t="s">
        <v>339</v>
      </c>
    </row>
    <row r="36" spans="2:41" x14ac:dyDescent="0.25">
      <c r="B36" s="19" t="s">
        <v>316</v>
      </c>
      <c r="C36" s="19"/>
      <c r="D36" s="19"/>
      <c r="E36" s="19"/>
      <c r="F36" s="19"/>
      <c r="G36" s="19"/>
      <c r="H36" s="19"/>
      <c r="I36" s="19"/>
      <c r="J36" s="19"/>
      <c r="K36" s="19"/>
      <c r="L36" s="19"/>
      <c r="M36" s="19"/>
      <c r="N36" s="19" t="s">
        <v>321</v>
      </c>
      <c r="O36" s="19"/>
      <c r="P36" s="19"/>
      <c r="Q36" s="19"/>
      <c r="R36" s="19"/>
      <c r="S36" s="19"/>
      <c r="T36" s="19"/>
      <c r="U36" s="19"/>
      <c r="V36" s="19">
        <f t="shared" ref="V36:V37" si="3">V31+1</f>
        <v>5</v>
      </c>
      <c r="W36" s="19"/>
      <c r="X36" s="19"/>
      <c r="Y36" s="21"/>
      <c r="Z36" s="19" t="s">
        <v>322</v>
      </c>
      <c r="AA36" s="19"/>
      <c r="AB36" s="19"/>
      <c r="AC36" s="19"/>
      <c r="AD36" s="19"/>
      <c r="AE36" s="19"/>
      <c r="AF36" s="19"/>
      <c r="AG36" s="19"/>
      <c r="AH36" s="19"/>
      <c r="AI36" s="19"/>
      <c r="AJ36" s="19"/>
      <c r="AK36" s="19"/>
      <c r="AL36" s="19"/>
      <c r="AM36" s="19" t="str">
        <f t="shared" ref="AM36" si="4">+_xlfn.CONCAT(N36&amp;V36&amp;Z36)</f>
        <v xml:space="preserve"> Workbooks.Open "A:\Homes for Ukraine data\Ukraine_sponsorship_data_5.ods"</v>
      </c>
      <c r="AO36" t="s">
        <v>341</v>
      </c>
    </row>
    <row r="37" spans="2:41" x14ac:dyDescent="0.25">
      <c r="B37" s="19" t="s">
        <v>453</v>
      </c>
      <c r="C37" s="19"/>
      <c r="D37" s="19"/>
      <c r="E37" s="19"/>
      <c r="F37" s="19"/>
      <c r="G37" s="19"/>
      <c r="H37" s="19"/>
      <c r="I37" s="19"/>
      <c r="J37" s="19"/>
      <c r="K37" s="19"/>
      <c r="L37" s="19"/>
      <c r="M37" s="19"/>
      <c r="N37" s="19" t="s">
        <v>323</v>
      </c>
      <c r="O37" s="19"/>
      <c r="P37" s="19"/>
      <c r="Q37" s="19"/>
      <c r="R37" s="19"/>
      <c r="S37" s="19"/>
      <c r="T37" s="19"/>
      <c r="U37" s="19"/>
      <c r="V37" s="19">
        <f t="shared" si="3"/>
        <v>5</v>
      </c>
      <c r="W37" s="19"/>
      <c r="X37" s="19"/>
      <c r="Y37" s="21"/>
      <c r="Z37" s="19" t="s">
        <v>452</v>
      </c>
      <c r="AA37" s="19"/>
      <c r="AB37" s="19"/>
      <c r="AC37" s="19"/>
      <c r="AD37" s="19"/>
      <c r="AE37" s="19" t="s">
        <v>382</v>
      </c>
      <c r="AF37" s="19">
        <f t="shared" ref="AF37" si="5">AF32</f>
        <v>13</v>
      </c>
      <c r="AG37" s="19" t="s">
        <v>327</v>
      </c>
      <c r="AH37" s="19"/>
      <c r="AI37" s="19">
        <f t="shared" ref="AI37" si="6">AI32</f>
        <v>43</v>
      </c>
      <c r="AJ37" s="19"/>
      <c r="AK37" s="19" t="s">
        <v>325</v>
      </c>
      <c r="AL37" s="19"/>
      <c r="AM37" s="19" t="str">
        <f t="shared" ref="AM37" si="7">_xlfn.CONCAT(N37&amp;V37&amp;Z37&amp;AE37&amp;AF37&amp;AG37&amp;AE37&amp;AI37&amp;AK37)</f>
        <v xml:space="preserve"> Workbooks("Ukraine_sponsorship_data_5.ods").Worksheets("Wales").Range("D13:D43").Copy _</v>
      </c>
      <c r="AO37" t="s">
        <v>1054</v>
      </c>
    </row>
    <row r="38" spans="2:41" x14ac:dyDescent="0.25">
      <c r="B38" s="19" t="s">
        <v>808</v>
      </c>
      <c r="C38" s="19"/>
      <c r="D38" s="19"/>
      <c r="E38" s="19"/>
      <c r="F38" s="19"/>
      <c r="G38" s="19"/>
      <c r="H38" s="19"/>
      <c r="I38" s="19"/>
      <c r="J38" s="19"/>
      <c r="K38" s="19"/>
      <c r="L38" s="19"/>
      <c r="M38" s="19"/>
      <c r="N38" s="19" t="s">
        <v>809</v>
      </c>
      <c r="O38" s="19"/>
      <c r="P38" s="19"/>
      <c r="Q38" s="19"/>
      <c r="R38" s="19"/>
      <c r="S38" s="19"/>
      <c r="T38" s="19"/>
      <c r="U38" s="19"/>
      <c r="V38" s="19"/>
      <c r="W38" s="19" t="str">
        <f t="shared" ref="W38" si="8">CHAR(CODE(W33)+1)</f>
        <v>L</v>
      </c>
      <c r="X38" s="19"/>
      <c r="Y38" s="21">
        <f t="shared" ref="Y38" si="9">Y33</f>
        <v>225</v>
      </c>
      <c r="Z38" s="19" t="s">
        <v>324</v>
      </c>
      <c r="AA38" s="19"/>
      <c r="AB38" s="19"/>
      <c r="AC38" s="19"/>
      <c r="AD38" s="19"/>
      <c r="AE38" s="19"/>
      <c r="AF38" s="19"/>
      <c r="AG38" s="19"/>
      <c r="AH38" s="19"/>
      <c r="AI38" s="19"/>
      <c r="AJ38" s="19"/>
      <c r="AK38" s="19"/>
      <c r="AL38" s="19"/>
      <c r="AM38" s="19" t="str">
        <f t="shared" ref="AM38" si="10">_xlfn.CONCAT(N38&amp;W38&amp;Y38&amp;Z38)</f>
        <v>Workbooks("HFU Forecast UTLA 1.0.xlsm").Worksheets("Combined data").Range("L225")</v>
      </c>
      <c r="AO38" t="s">
        <v>947</v>
      </c>
    </row>
    <row r="39" spans="2:41" x14ac:dyDescent="0.25">
      <c r="B39" s="19" t="s">
        <v>339</v>
      </c>
      <c r="C39" s="19"/>
      <c r="D39" s="19"/>
      <c r="E39" s="19"/>
      <c r="F39" s="19"/>
      <c r="G39" s="19"/>
      <c r="H39" s="19"/>
      <c r="I39" s="19"/>
      <c r="J39" s="19"/>
      <c r="K39" s="19"/>
      <c r="L39" s="19"/>
      <c r="M39" s="19"/>
      <c r="N39" s="19"/>
      <c r="O39" s="19"/>
      <c r="P39" s="19"/>
      <c r="Q39" s="19"/>
      <c r="R39" s="19"/>
      <c r="S39" s="19"/>
      <c r="T39" s="19"/>
      <c r="U39" s="19"/>
      <c r="V39" s="19"/>
      <c r="W39" s="19"/>
      <c r="X39" s="19"/>
      <c r="Y39" s="21"/>
      <c r="Z39" s="19"/>
      <c r="AA39" s="19"/>
      <c r="AB39" s="19"/>
      <c r="AC39" s="19"/>
      <c r="AD39" s="19"/>
      <c r="AE39" s="19"/>
      <c r="AF39" s="19"/>
      <c r="AG39" s="19"/>
      <c r="AH39" s="19"/>
      <c r="AI39" s="19"/>
      <c r="AJ39" s="19"/>
      <c r="AK39" s="19"/>
      <c r="AL39" s="19"/>
      <c r="AM39" s="19" t="str">
        <f t="shared" ref="AM39" si="11">B39</f>
        <v>ActiveWorkbook.Close SaveChanges:=False</v>
      </c>
      <c r="AO39" t="s">
        <v>339</v>
      </c>
    </row>
    <row r="41" spans="2:41" x14ac:dyDescent="0.25">
      <c r="B41" s="22" t="s">
        <v>316</v>
      </c>
      <c r="C41" s="22"/>
      <c r="D41" s="22"/>
      <c r="E41" s="22"/>
      <c r="F41" s="22"/>
      <c r="G41" s="22"/>
      <c r="H41" s="22"/>
      <c r="I41" s="22"/>
      <c r="J41" s="22"/>
      <c r="K41" s="22"/>
      <c r="L41" s="22"/>
      <c r="M41" s="22"/>
      <c r="N41" s="22" t="s">
        <v>321</v>
      </c>
      <c r="O41" s="22"/>
      <c r="P41" s="22"/>
      <c r="Q41" s="22"/>
      <c r="R41" s="22"/>
      <c r="S41" s="22"/>
      <c r="T41" s="22"/>
      <c r="U41" s="22"/>
      <c r="V41" s="22">
        <f t="shared" ref="V41:V42" si="12">V36+1</f>
        <v>6</v>
      </c>
      <c r="W41" s="22"/>
      <c r="X41" s="22"/>
      <c r="Y41" s="23"/>
      <c r="Z41" s="22" t="s">
        <v>322</v>
      </c>
      <c r="AA41" s="22"/>
      <c r="AB41" s="22"/>
      <c r="AC41" s="22"/>
      <c r="AD41" s="22"/>
      <c r="AE41" s="22"/>
      <c r="AF41" s="22"/>
      <c r="AG41" s="22"/>
      <c r="AH41" s="22"/>
      <c r="AI41" s="22"/>
      <c r="AJ41" s="22"/>
      <c r="AK41" s="22"/>
      <c r="AL41" s="22"/>
      <c r="AM41" s="22" t="str">
        <f t="shared" ref="AM41" si="13">+_xlfn.CONCAT(N41&amp;V41&amp;Z41)</f>
        <v xml:space="preserve"> Workbooks.Open "A:\Homes for Ukraine data\Ukraine_sponsorship_data_6.ods"</v>
      </c>
      <c r="AO41" t="s">
        <v>342</v>
      </c>
    </row>
    <row r="42" spans="2:41" x14ac:dyDescent="0.25">
      <c r="B42" s="22" t="s">
        <v>453</v>
      </c>
      <c r="C42" s="22"/>
      <c r="D42" s="22"/>
      <c r="E42" s="22"/>
      <c r="F42" s="22"/>
      <c r="G42" s="22"/>
      <c r="H42" s="22"/>
      <c r="I42" s="22"/>
      <c r="J42" s="22"/>
      <c r="K42" s="22"/>
      <c r="L42" s="22"/>
      <c r="M42" s="22"/>
      <c r="N42" s="22" t="s">
        <v>323</v>
      </c>
      <c r="O42" s="22"/>
      <c r="P42" s="22"/>
      <c r="Q42" s="22"/>
      <c r="R42" s="22"/>
      <c r="S42" s="22"/>
      <c r="T42" s="22"/>
      <c r="U42" s="22"/>
      <c r="V42" s="22">
        <f t="shared" si="12"/>
        <v>6</v>
      </c>
      <c r="W42" s="22"/>
      <c r="X42" s="22"/>
      <c r="Y42" s="23"/>
      <c r="Z42" s="22" t="s">
        <v>452</v>
      </c>
      <c r="AA42" s="22"/>
      <c r="AB42" s="22"/>
      <c r="AC42" s="22"/>
      <c r="AD42" s="22"/>
      <c r="AE42" s="22" t="s">
        <v>382</v>
      </c>
      <c r="AF42" s="22">
        <f t="shared" ref="AF42" si="14">AF37</f>
        <v>13</v>
      </c>
      <c r="AG42" s="22" t="s">
        <v>327</v>
      </c>
      <c r="AH42" s="22"/>
      <c r="AI42" s="22">
        <f t="shared" ref="AI42" si="15">AI37</f>
        <v>43</v>
      </c>
      <c r="AJ42" s="22"/>
      <c r="AK42" s="22" t="s">
        <v>325</v>
      </c>
      <c r="AL42" s="22"/>
      <c r="AM42" s="22" t="str">
        <f t="shared" ref="AM42" si="16">_xlfn.CONCAT(N42&amp;V42&amp;Z42&amp;AE42&amp;AF42&amp;AG42&amp;AE42&amp;AI42&amp;AK42)</f>
        <v xml:space="preserve"> Workbooks("Ukraine_sponsorship_data_6.ods").Worksheets("Wales").Range("D13:D43").Copy _</v>
      </c>
      <c r="AO42" t="s">
        <v>1055</v>
      </c>
    </row>
    <row r="43" spans="2:41" x14ac:dyDescent="0.25">
      <c r="B43" s="22" t="s">
        <v>808</v>
      </c>
      <c r="C43" s="22"/>
      <c r="D43" s="22"/>
      <c r="E43" s="22"/>
      <c r="F43" s="22"/>
      <c r="G43" s="22"/>
      <c r="H43" s="22"/>
      <c r="I43" s="22"/>
      <c r="J43" s="22"/>
      <c r="K43" s="22"/>
      <c r="L43" s="22"/>
      <c r="M43" s="22"/>
      <c r="N43" s="22" t="s">
        <v>809</v>
      </c>
      <c r="O43" s="22"/>
      <c r="P43" s="22"/>
      <c r="Q43" s="22"/>
      <c r="R43" s="22"/>
      <c r="S43" s="22"/>
      <c r="T43" s="22"/>
      <c r="U43" s="22"/>
      <c r="V43" s="22"/>
      <c r="W43" s="22" t="str">
        <f t="shared" ref="W43" si="17">CHAR(CODE(W38)+1)</f>
        <v>M</v>
      </c>
      <c r="X43" s="22"/>
      <c r="Y43" s="23">
        <f t="shared" ref="Y43" si="18">Y38</f>
        <v>225</v>
      </c>
      <c r="Z43" s="22" t="s">
        <v>324</v>
      </c>
      <c r="AA43" s="22"/>
      <c r="AB43" s="22"/>
      <c r="AC43" s="22"/>
      <c r="AD43" s="22"/>
      <c r="AE43" s="22"/>
      <c r="AF43" s="22"/>
      <c r="AG43" s="22"/>
      <c r="AH43" s="22"/>
      <c r="AI43" s="22"/>
      <c r="AJ43" s="22"/>
      <c r="AK43" s="22"/>
      <c r="AL43" s="22"/>
      <c r="AM43" s="22" t="str">
        <f t="shared" ref="AM43" si="19">_xlfn.CONCAT(N43&amp;W43&amp;Y43&amp;Z43)</f>
        <v>Workbooks("HFU Forecast UTLA 1.0.xlsm").Worksheets("Combined data").Range("M225")</v>
      </c>
      <c r="AO43" t="s">
        <v>948</v>
      </c>
    </row>
    <row r="44" spans="2:41" x14ac:dyDescent="0.25">
      <c r="B44" s="22" t="s">
        <v>339</v>
      </c>
      <c r="C44" s="22"/>
      <c r="D44" s="22"/>
      <c r="E44" s="22"/>
      <c r="F44" s="22"/>
      <c r="G44" s="22"/>
      <c r="H44" s="22"/>
      <c r="I44" s="22"/>
      <c r="J44" s="22"/>
      <c r="K44" s="22"/>
      <c r="L44" s="22"/>
      <c r="M44" s="22"/>
      <c r="N44" s="22"/>
      <c r="O44" s="22"/>
      <c r="P44" s="22"/>
      <c r="Q44" s="22"/>
      <c r="R44" s="22"/>
      <c r="S44" s="22"/>
      <c r="T44" s="22"/>
      <c r="U44" s="22"/>
      <c r="V44" s="22"/>
      <c r="W44" s="22"/>
      <c r="X44" s="22"/>
      <c r="Y44" s="23"/>
      <c r="Z44" s="22"/>
      <c r="AA44" s="22"/>
      <c r="AB44" s="22"/>
      <c r="AC44" s="22"/>
      <c r="AD44" s="22"/>
      <c r="AE44" s="22"/>
      <c r="AF44" s="22"/>
      <c r="AG44" s="22"/>
      <c r="AH44" s="22"/>
      <c r="AI44" s="22"/>
      <c r="AJ44" s="22"/>
      <c r="AK44" s="22"/>
      <c r="AL44" s="22"/>
      <c r="AM44" s="22" t="str">
        <f t="shared" ref="AM44" si="20">B44</f>
        <v>ActiveWorkbook.Close SaveChanges:=False</v>
      </c>
      <c r="AO44" t="s">
        <v>339</v>
      </c>
    </row>
    <row r="46" spans="2:41" x14ac:dyDescent="0.25">
      <c r="B46" s="19" t="s">
        <v>316</v>
      </c>
      <c r="C46" s="19"/>
      <c r="D46" s="19"/>
      <c r="E46" s="19"/>
      <c r="F46" s="19"/>
      <c r="G46" s="19"/>
      <c r="H46" s="19"/>
      <c r="I46" s="19"/>
      <c r="J46" s="19"/>
      <c r="K46" s="19"/>
      <c r="L46" s="19"/>
      <c r="M46" s="19"/>
      <c r="N46" s="19" t="s">
        <v>321</v>
      </c>
      <c r="O46" s="19"/>
      <c r="P46" s="19"/>
      <c r="Q46" s="19"/>
      <c r="R46" s="19"/>
      <c r="S46" s="19"/>
      <c r="T46" s="19"/>
      <c r="U46" s="19"/>
      <c r="V46" s="19">
        <f t="shared" ref="V46:V47" si="21">V41+1</f>
        <v>7</v>
      </c>
      <c r="W46" s="19"/>
      <c r="X46" s="19"/>
      <c r="Y46" s="21"/>
      <c r="Z46" s="19" t="s">
        <v>322</v>
      </c>
      <c r="AA46" s="19"/>
      <c r="AB46" s="19"/>
      <c r="AC46" s="19"/>
      <c r="AD46" s="19"/>
      <c r="AE46" s="19"/>
      <c r="AF46" s="19"/>
      <c r="AG46" s="19"/>
      <c r="AH46" s="19"/>
      <c r="AI46" s="19"/>
      <c r="AJ46" s="19"/>
      <c r="AK46" s="19"/>
      <c r="AL46" s="19"/>
      <c r="AM46" s="19" t="str">
        <f t="shared" ref="AM46" si="22">+_xlfn.CONCAT(N46&amp;V46&amp;Z46)</f>
        <v xml:space="preserve"> Workbooks.Open "A:\Homes for Ukraine data\Ukraine_sponsorship_data_7.ods"</v>
      </c>
      <c r="AO46" t="s">
        <v>343</v>
      </c>
    </row>
    <row r="47" spans="2:41" x14ac:dyDescent="0.25">
      <c r="B47" s="19" t="s">
        <v>453</v>
      </c>
      <c r="C47" s="19"/>
      <c r="D47" s="19"/>
      <c r="E47" s="19"/>
      <c r="F47" s="19"/>
      <c r="G47" s="19"/>
      <c r="H47" s="19"/>
      <c r="I47" s="19"/>
      <c r="J47" s="19"/>
      <c r="K47" s="19"/>
      <c r="L47" s="19"/>
      <c r="M47" s="19"/>
      <c r="N47" s="19" t="s">
        <v>323</v>
      </c>
      <c r="O47" s="19"/>
      <c r="P47" s="19"/>
      <c r="Q47" s="19"/>
      <c r="R47" s="19"/>
      <c r="S47" s="19"/>
      <c r="T47" s="19"/>
      <c r="U47" s="19"/>
      <c r="V47" s="19">
        <f t="shared" si="21"/>
        <v>7</v>
      </c>
      <c r="W47" s="19"/>
      <c r="X47" s="19"/>
      <c r="Y47" s="21"/>
      <c r="Z47" s="19" t="s">
        <v>452</v>
      </c>
      <c r="AA47" s="19"/>
      <c r="AB47" s="19"/>
      <c r="AC47" s="19"/>
      <c r="AD47" s="19"/>
      <c r="AE47" s="19" t="s">
        <v>382</v>
      </c>
      <c r="AF47" s="19">
        <f t="shared" ref="AF47" si="23">AF42</f>
        <v>13</v>
      </c>
      <c r="AG47" s="19" t="s">
        <v>327</v>
      </c>
      <c r="AH47" s="19"/>
      <c r="AI47" s="19">
        <f t="shared" ref="AI47" si="24">AI42</f>
        <v>43</v>
      </c>
      <c r="AJ47" s="19"/>
      <c r="AK47" s="19" t="s">
        <v>325</v>
      </c>
      <c r="AL47" s="19"/>
      <c r="AM47" s="19" t="str">
        <f t="shared" ref="AM47" si="25">_xlfn.CONCAT(N47&amp;V47&amp;Z47&amp;AE47&amp;AF47&amp;AG47&amp;AE47&amp;AI47&amp;AK47)</f>
        <v xml:space="preserve"> Workbooks("Ukraine_sponsorship_data_7.ods").Worksheets("Wales").Range("D13:D43").Copy _</v>
      </c>
      <c r="AO47" t="s">
        <v>1056</v>
      </c>
    </row>
    <row r="48" spans="2:41" x14ac:dyDescent="0.25">
      <c r="B48" s="19" t="s">
        <v>808</v>
      </c>
      <c r="C48" s="19"/>
      <c r="D48" s="19"/>
      <c r="E48" s="19"/>
      <c r="F48" s="19"/>
      <c r="G48" s="19"/>
      <c r="H48" s="19"/>
      <c r="I48" s="19"/>
      <c r="J48" s="19"/>
      <c r="K48" s="19"/>
      <c r="L48" s="19"/>
      <c r="M48" s="19"/>
      <c r="N48" s="19" t="s">
        <v>809</v>
      </c>
      <c r="O48" s="19"/>
      <c r="P48" s="19"/>
      <c r="Q48" s="19"/>
      <c r="R48" s="19"/>
      <c r="S48" s="19"/>
      <c r="T48" s="19"/>
      <c r="U48" s="19"/>
      <c r="V48" s="19"/>
      <c r="W48" s="19" t="str">
        <f t="shared" ref="W48" si="26">CHAR(CODE(W43)+1)</f>
        <v>N</v>
      </c>
      <c r="X48" s="19"/>
      <c r="Y48" s="21">
        <f t="shared" ref="Y48" si="27">Y43</f>
        <v>225</v>
      </c>
      <c r="Z48" s="19" t="s">
        <v>324</v>
      </c>
      <c r="AA48" s="19"/>
      <c r="AB48" s="19"/>
      <c r="AC48" s="19"/>
      <c r="AD48" s="19"/>
      <c r="AE48" s="19"/>
      <c r="AF48" s="19"/>
      <c r="AG48" s="19"/>
      <c r="AH48" s="19"/>
      <c r="AI48" s="19"/>
      <c r="AJ48" s="19"/>
      <c r="AK48" s="19"/>
      <c r="AL48" s="19"/>
      <c r="AM48" s="19" t="str">
        <f t="shared" ref="AM48" si="28">_xlfn.CONCAT(N48&amp;W48&amp;Y48&amp;Z48)</f>
        <v>Workbooks("HFU Forecast UTLA 1.0.xlsm").Worksheets("Combined data").Range("N225")</v>
      </c>
      <c r="AO48" t="s">
        <v>949</v>
      </c>
    </row>
    <row r="49" spans="2:41" x14ac:dyDescent="0.25">
      <c r="B49" s="19" t="s">
        <v>339</v>
      </c>
      <c r="C49" s="19"/>
      <c r="D49" s="19"/>
      <c r="E49" s="19"/>
      <c r="F49" s="19"/>
      <c r="G49" s="19"/>
      <c r="H49" s="19"/>
      <c r="I49" s="19"/>
      <c r="J49" s="19"/>
      <c r="K49" s="19"/>
      <c r="L49" s="19"/>
      <c r="M49" s="19"/>
      <c r="N49" s="19"/>
      <c r="O49" s="19"/>
      <c r="P49" s="19"/>
      <c r="Q49" s="19"/>
      <c r="R49" s="19"/>
      <c r="S49" s="19"/>
      <c r="T49" s="19"/>
      <c r="U49" s="19"/>
      <c r="V49" s="19"/>
      <c r="W49" s="19"/>
      <c r="X49" s="19"/>
      <c r="Y49" s="21"/>
      <c r="Z49" s="19"/>
      <c r="AA49" s="19"/>
      <c r="AB49" s="19"/>
      <c r="AC49" s="19"/>
      <c r="AD49" s="19"/>
      <c r="AE49" s="19"/>
      <c r="AF49" s="19"/>
      <c r="AG49" s="19"/>
      <c r="AH49" s="19"/>
      <c r="AI49" s="19"/>
      <c r="AJ49" s="19"/>
      <c r="AK49" s="19"/>
      <c r="AL49" s="19"/>
      <c r="AM49" s="19" t="str">
        <f t="shared" ref="AM49" si="29">B49</f>
        <v>ActiveWorkbook.Close SaveChanges:=False</v>
      </c>
      <c r="AO49" t="s">
        <v>339</v>
      </c>
    </row>
    <row r="51" spans="2:41" x14ac:dyDescent="0.25">
      <c r="B51" s="22" t="s">
        <v>316</v>
      </c>
      <c r="C51" s="22"/>
      <c r="D51" s="22"/>
      <c r="E51" s="22"/>
      <c r="F51" s="22"/>
      <c r="G51" s="22"/>
      <c r="H51" s="22"/>
      <c r="I51" s="22"/>
      <c r="J51" s="22"/>
      <c r="K51" s="22"/>
      <c r="L51" s="22"/>
      <c r="M51" s="22"/>
      <c r="N51" s="22" t="s">
        <v>321</v>
      </c>
      <c r="O51" s="22"/>
      <c r="P51" s="22"/>
      <c r="Q51" s="22"/>
      <c r="R51" s="22"/>
      <c r="S51" s="22"/>
      <c r="T51" s="22"/>
      <c r="U51" s="22"/>
      <c r="V51" s="22">
        <f t="shared" ref="V51:V52" si="30">V46+1</f>
        <v>8</v>
      </c>
      <c r="W51" s="22"/>
      <c r="X51" s="22"/>
      <c r="Y51" s="23"/>
      <c r="Z51" s="22" t="s">
        <v>322</v>
      </c>
      <c r="AA51" s="22"/>
      <c r="AB51" s="22"/>
      <c r="AC51" s="22"/>
      <c r="AD51" s="22"/>
      <c r="AE51" s="22"/>
      <c r="AF51" s="22"/>
      <c r="AG51" s="22"/>
      <c r="AH51" s="22"/>
      <c r="AI51" s="22"/>
      <c r="AJ51" s="22"/>
      <c r="AK51" s="22"/>
      <c r="AL51" s="22"/>
      <c r="AM51" s="22" t="str">
        <f t="shared" ref="AM51" si="31">+_xlfn.CONCAT(N51&amp;V51&amp;Z51)</f>
        <v xml:space="preserve"> Workbooks.Open "A:\Homes for Ukraine data\Ukraine_sponsorship_data_8.ods"</v>
      </c>
      <c r="AO51" t="s">
        <v>344</v>
      </c>
    </row>
    <row r="52" spans="2:41" x14ac:dyDescent="0.25">
      <c r="B52" s="22" t="s">
        <v>453</v>
      </c>
      <c r="C52" s="22"/>
      <c r="D52" s="22"/>
      <c r="E52" s="22"/>
      <c r="F52" s="22"/>
      <c r="G52" s="22"/>
      <c r="H52" s="22"/>
      <c r="I52" s="22"/>
      <c r="J52" s="22"/>
      <c r="K52" s="22"/>
      <c r="L52" s="22"/>
      <c r="M52" s="22"/>
      <c r="N52" s="22" t="s">
        <v>323</v>
      </c>
      <c r="O52" s="22"/>
      <c r="P52" s="22"/>
      <c r="Q52" s="22"/>
      <c r="R52" s="22"/>
      <c r="S52" s="22"/>
      <c r="T52" s="22"/>
      <c r="U52" s="22"/>
      <c r="V52" s="22">
        <f t="shared" si="30"/>
        <v>8</v>
      </c>
      <c r="W52" s="22"/>
      <c r="X52" s="22"/>
      <c r="Y52" s="23"/>
      <c r="Z52" s="22" t="s">
        <v>452</v>
      </c>
      <c r="AA52" s="22"/>
      <c r="AB52" s="22"/>
      <c r="AC52" s="22"/>
      <c r="AD52" s="22"/>
      <c r="AE52" s="22" t="s">
        <v>382</v>
      </c>
      <c r="AF52" s="22">
        <f t="shared" ref="AF52" si="32">AF47</f>
        <v>13</v>
      </c>
      <c r="AG52" s="22" t="s">
        <v>327</v>
      </c>
      <c r="AH52" s="22"/>
      <c r="AI52" s="22">
        <f t="shared" ref="AI52" si="33">AI47</f>
        <v>43</v>
      </c>
      <c r="AJ52" s="22"/>
      <c r="AK52" s="22" t="s">
        <v>325</v>
      </c>
      <c r="AL52" s="22"/>
      <c r="AM52" s="22" t="str">
        <f t="shared" ref="AM52" si="34">_xlfn.CONCAT(N52&amp;V52&amp;Z52&amp;AE52&amp;AF52&amp;AG52&amp;AE52&amp;AI52&amp;AK52)</f>
        <v xml:space="preserve"> Workbooks("Ukraine_sponsorship_data_8.ods").Worksheets("Wales").Range("D13:D43").Copy _</v>
      </c>
      <c r="AO52" t="s">
        <v>1057</v>
      </c>
    </row>
    <row r="53" spans="2:41" x14ac:dyDescent="0.25">
      <c r="B53" s="22" t="s">
        <v>808</v>
      </c>
      <c r="C53" s="22"/>
      <c r="D53" s="22"/>
      <c r="E53" s="22"/>
      <c r="F53" s="22"/>
      <c r="G53" s="22"/>
      <c r="H53" s="22"/>
      <c r="I53" s="22"/>
      <c r="J53" s="22"/>
      <c r="K53" s="22"/>
      <c r="L53" s="22"/>
      <c r="M53" s="22"/>
      <c r="N53" s="22" t="s">
        <v>809</v>
      </c>
      <c r="O53" s="22"/>
      <c r="P53" s="22"/>
      <c r="Q53" s="22"/>
      <c r="R53" s="22"/>
      <c r="S53" s="22"/>
      <c r="T53" s="22"/>
      <c r="U53" s="22"/>
      <c r="V53" s="22"/>
      <c r="W53" s="22" t="str">
        <f t="shared" ref="W53" si="35">CHAR(CODE(W48)+1)</f>
        <v>O</v>
      </c>
      <c r="X53" s="22"/>
      <c r="Y53" s="23">
        <f t="shared" ref="Y53" si="36">Y48</f>
        <v>225</v>
      </c>
      <c r="Z53" s="22" t="s">
        <v>324</v>
      </c>
      <c r="AA53" s="22"/>
      <c r="AB53" s="22"/>
      <c r="AC53" s="22"/>
      <c r="AD53" s="22"/>
      <c r="AE53" s="22"/>
      <c r="AF53" s="22"/>
      <c r="AG53" s="22"/>
      <c r="AH53" s="22"/>
      <c r="AI53" s="22"/>
      <c r="AJ53" s="22"/>
      <c r="AK53" s="22"/>
      <c r="AL53" s="22"/>
      <c r="AM53" s="22" t="str">
        <f t="shared" ref="AM53" si="37">_xlfn.CONCAT(N53&amp;W53&amp;Y53&amp;Z53)</f>
        <v>Workbooks("HFU Forecast UTLA 1.0.xlsm").Worksheets("Combined data").Range("O225")</v>
      </c>
      <c r="AO53" t="s">
        <v>950</v>
      </c>
    </row>
    <row r="54" spans="2:41" x14ac:dyDescent="0.25">
      <c r="B54" s="22" t="s">
        <v>339</v>
      </c>
      <c r="C54" s="22"/>
      <c r="D54" s="22"/>
      <c r="E54" s="22"/>
      <c r="F54" s="22"/>
      <c r="G54" s="22"/>
      <c r="H54" s="22"/>
      <c r="I54" s="22"/>
      <c r="J54" s="22"/>
      <c r="K54" s="22"/>
      <c r="L54" s="22"/>
      <c r="M54" s="22"/>
      <c r="N54" s="22"/>
      <c r="O54" s="22"/>
      <c r="P54" s="22"/>
      <c r="Q54" s="22"/>
      <c r="R54" s="22"/>
      <c r="S54" s="22"/>
      <c r="T54" s="22"/>
      <c r="U54" s="22"/>
      <c r="V54" s="22"/>
      <c r="W54" s="22"/>
      <c r="X54" s="22"/>
      <c r="Y54" s="23"/>
      <c r="Z54" s="22"/>
      <c r="AA54" s="22"/>
      <c r="AB54" s="22"/>
      <c r="AC54" s="22"/>
      <c r="AD54" s="22"/>
      <c r="AE54" s="22"/>
      <c r="AF54" s="22"/>
      <c r="AG54" s="22"/>
      <c r="AH54" s="22"/>
      <c r="AI54" s="22"/>
      <c r="AJ54" s="22"/>
      <c r="AK54" s="22"/>
      <c r="AL54" s="22"/>
      <c r="AM54" s="22" t="str">
        <f t="shared" ref="AM54" si="38">B54</f>
        <v>ActiveWorkbook.Close SaveChanges:=False</v>
      </c>
      <c r="AO54" t="s">
        <v>339</v>
      </c>
    </row>
    <row r="56" spans="2:41" x14ac:dyDescent="0.25">
      <c r="B56" s="19" t="s">
        <v>316</v>
      </c>
      <c r="C56" s="19"/>
      <c r="D56" s="19"/>
      <c r="E56" s="19"/>
      <c r="F56" s="19"/>
      <c r="G56" s="19"/>
      <c r="H56" s="19"/>
      <c r="I56" s="19"/>
      <c r="J56" s="19"/>
      <c r="K56" s="19"/>
      <c r="L56" s="19"/>
      <c r="M56" s="19"/>
      <c r="N56" s="19" t="s">
        <v>321</v>
      </c>
      <c r="O56" s="19"/>
      <c r="P56" s="19"/>
      <c r="Q56" s="19"/>
      <c r="R56" s="19"/>
      <c r="S56" s="19"/>
      <c r="T56" s="19"/>
      <c r="U56" s="19"/>
      <c r="V56" s="19">
        <f t="shared" ref="V56:V57" si="39">V51+1</f>
        <v>9</v>
      </c>
      <c r="W56" s="19"/>
      <c r="X56" s="19"/>
      <c r="Y56" s="21"/>
      <c r="Z56" s="19" t="s">
        <v>322</v>
      </c>
      <c r="AA56" s="19"/>
      <c r="AB56" s="19"/>
      <c r="AC56" s="19"/>
      <c r="AD56" s="19"/>
      <c r="AE56" s="19"/>
      <c r="AF56" s="19"/>
      <c r="AG56" s="19"/>
      <c r="AH56" s="19"/>
      <c r="AI56" s="19"/>
      <c r="AJ56" s="19"/>
      <c r="AK56" s="19"/>
      <c r="AL56" s="19"/>
      <c r="AM56" s="19" t="str">
        <f t="shared" ref="AM56" si="40">+_xlfn.CONCAT(N56&amp;V56&amp;Z56)</f>
        <v xml:space="preserve"> Workbooks.Open "A:\Homes for Ukraine data\Ukraine_sponsorship_data_9.ods"</v>
      </c>
      <c r="AO56" t="s">
        <v>345</v>
      </c>
    </row>
    <row r="57" spans="2:41" x14ac:dyDescent="0.25">
      <c r="B57" s="19" t="s">
        <v>453</v>
      </c>
      <c r="C57" s="19"/>
      <c r="D57" s="19"/>
      <c r="E57" s="19"/>
      <c r="F57" s="19"/>
      <c r="G57" s="19"/>
      <c r="H57" s="19"/>
      <c r="I57" s="19"/>
      <c r="J57" s="19"/>
      <c r="K57" s="19"/>
      <c r="L57" s="19"/>
      <c r="M57" s="19"/>
      <c r="N57" s="19" t="s">
        <v>323</v>
      </c>
      <c r="O57" s="19"/>
      <c r="P57" s="19"/>
      <c r="Q57" s="19"/>
      <c r="R57" s="19"/>
      <c r="S57" s="19"/>
      <c r="T57" s="19"/>
      <c r="U57" s="19"/>
      <c r="V57" s="19">
        <f t="shared" si="39"/>
        <v>9</v>
      </c>
      <c r="W57" s="19"/>
      <c r="X57" s="19"/>
      <c r="Y57" s="21"/>
      <c r="Z57" s="19" t="s">
        <v>452</v>
      </c>
      <c r="AA57" s="19"/>
      <c r="AB57" s="19"/>
      <c r="AC57" s="19"/>
      <c r="AD57" s="19"/>
      <c r="AE57" s="19" t="s">
        <v>382</v>
      </c>
      <c r="AF57" s="19">
        <f t="shared" ref="AF57" si="41">AF52</f>
        <v>13</v>
      </c>
      <c r="AG57" s="19" t="s">
        <v>327</v>
      </c>
      <c r="AH57" s="19"/>
      <c r="AI57" s="19">
        <f t="shared" ref="AI57" si="42">AI52</f>
        <v>43</v>
      </c>
      <c r="AJ57" s="19"/>
      <c r="AK57" s="19" t="s">
        <v>325</v>
      </c>
      <c r="AL57" s="19"/>
      <c r="AM57" s="19" t="str">
        <f t="shared" ref="AM57" si="43">_xlfn.CONCAT(N57&amp;V57&amp;Z57&amp;AE57&amp;AF57&amp;AG57&amp;AE57&amp;AI57&amp;AK57)</f>
        <v xml:space="preserve"> Workbooks("Ukraine_sponsorship_data_9.ods").Worksheets("Wales").Range("D13:D43").Copy _</v>
      </c>
      <c r="AO57" t="s">
        <v>1058</v>
      </c>
    </row>
    <row r="58" spans="2:41" x14ac:dyDescent="0.25">
      <c r="B58" s="19" t="s">
        <v>808</v>
      </c>
      <c r="C58" s="19"/>
      <c r="D58" s="19"/>
      <c r="E58" s="19"/>
      <c r="F58" s="19"/>
      <c r="G58" s="19"/>
      <c r="H58" s="19"/>
      <c r="I58" s="19"/>
      <c r="J58" s="19"/>
      <c r="K58" s="19"/>
      <c r="L58" s="19"/>
      <c r="M58" s="19"/>
      <c r="N58" s="19" t="s">
        <v>809</v>
      </c>
      <c r="O58" s="19"/>
      <c r="P58" s="19"/>
      <c r="Q58" s="19"/>
      <c r="R58" s="19"/>
      <c r="S58" s="19"/>
      <c r="T58" s="19"/>
      <c r="U58" s="19"/>
      <c r="V58" s="19"/>
      <c r="W58" s="19" t="str">
        <f t="shared" ref="W58" si="44">CHAR(CODE(W53)+1)</f>
        <v>P</v>
      </c>
      <c r="X58" s="19"/>
      <c r="Y58" s="21">
        <f t="shared" ref="Y58" si="45">Y53</f>
        <v>225</v>
      </c>
      <c r="Z58" s="19" t="s">
        <v>324</v>
      </c>
      <c r="AA58" s="19"/>
      <c r="AB58" s="19"/>
      <c r="AC58" s="19"/>
      <c r="AD58" s="19"/>
      <c r="AE58" s="19"/>
      <c r="AF58" s="19"/>
      <c r="AG58" s="19"/>
      <c r="AH58" s="19"/>
      <c r="AI58" s="19"/>
      <c r="AJ58" s="19"/>
      <c r="AK58" s="19"/>
      <c r="AL58" s="19"/>
      <c r="AM58" s="19" t="str">
        <f t="shared" ref="AM58" si="46">_xlfn.CONCAT(N58&amp;W58&amp;Y58&amp;Z58)</f>
        <v>Workbooks("HFU Forecast UTLA 1.0.xlsm").Worksheets("Combined data").Range("P225")</v>
      </c>
      <c r="AO58" t="s">
        <v>951</v>
      </c>
    </row>
    <row r="59" spans="2:41" x14ac:dyDescent="0.25">
      <c r="B59" s="19" t="s">
        <v>339</v>
      </c>
      <c r="C59" s="19"/>
      <c r="D59" s="19"/>
      <c r="E59" s="19"/>
      <c r="F59" s="19"/>
      <c r="G59" s="19"/>
      <c r="H59" s="19"/>
      <c r="I59" s="19"/>
      <c r="J59" s="19"/>
      <c r="K59" s="19"/>
      <c r="L59" s="19"/>
      <c r="M59" s="19"/>
      <c r="N59" s="19"/>
      <c r="O59" s="19"/>
      <c r="P59" s="19"/>
      <c r="Q59" s="19"/>
      <c r="R59" s="19"/>
      <c r="S59" s="19"/>
      <c r="T59" s="19"/>
      <c r="U59" s="19"/>
      <c r="V59" s="19"/>
      <c r="W59" s="19"/>
      <c r="X59" s="19"/>
      <c r="Y59" s="21"/>
      <c r="Z59" s="19"/>
      <c r="AA59" s="19"/>
      <c r="AB59" s="19"/>
      <c r="AC59" s="19"/>
      <c r="AD59" s="19"/>
      <c r="AE59" s="19"/>
      <c r="AF59" s="19"/>
      <c r="AG59" s="19"/>
      <c r="AH59" s="19"/>
      <c r="AI59" s="19"/>
      <c r="AJ59" s="19"/>
      <c r="AK59" s="19"/>
      <c r="AL59" s="19"/>
      <c r="AM59" s="19" t="str">
        <f t="shared" ref="AM59" si="47">B59</f>
        <v>ActiveWorkbook.Close SaveChanges:=False</v>
      </c>
      <c r="AO59" t="s">
        <v>339</v>
      </c>
    </row>
    <row r="61" spans="2:41" x14ac:dyDescent="0.25">
      <c r="B61" s="22" t="s">
        <v>316</v>
      </c>
      <c r="C61" s="22"/>
      <c r="D61" s="22"/>
      <c r="E61" s="22"/>
      <c r="F61" s="22"/>
      <c r="G61" s="22"/>
      <c r="H61" s="22"/>
      <c r="I61" s="22"/>
      <c r="J61" s="22"/>
      <c r="K61" s="22"/>
      <c r="L61" s="22"/>
      <c r="M61" s="22"/>
      <c r="N61" s="22" t="s">
        <v>321</v>
      </c>
      <c r="O61" s="22"/>
      <c r="P61" s="22"/>
      <c r="Q61" s="22"/>
      <c r="R61" s="22"/>
      <c r="S61" s="22"/>
      <c r="T61" s="22"/>
      <c r="U61" s="22"/>
      <c r="V61" s="22">
        <f t="shared" ref="V61:V62" si="48">V56+1</f>
        <v>10</v>
      </c>
      <c r="W61" s="22"/>
      <c r="X61" s="22"/>
      <c r="Y61" s="23"/>
      <c r="Z61" s="22" t="s">
        <v>322</v>
      </c>
      <c r="AA61" s="22"/>
      <c r="AB61" s="22"/>
      <c r="AC61" s="22"/>
      <c r="AD61" s="22"/>
      <c r="AE61" s="22"/>
      <c r="AF61" s="22"/>
      <c r="AG61" s="22"/>
      <c r="AH61" s="22"/>
      <c r="AI61" s="22"/>
      <c r="AJ61" s="22"/>
      <c r="AK61" s="22"/>
      <c r="AL61" s="22"/>
      <c r="AM61" s="22" t="str">
        <f t="shared" ref="AM61" si="49">+_xlfn.CONCAT(N61&amp;V61&amp;Z61)</f>
        <v xml:space="preserve"> Workbooks.Open "A:\Homes for Ukraine data\Ukraine_sponsorship_data_10.ods"</v>
      </c>
      <c r="AO61" t="s">
        <v>346</v>
      </c>
    </row>
    <row r="62" spans="2:41" x14ac:dyDescent="0.25">
      <c r="B62" s="22" t="s">
        <v>453</v>
      </c>
      <c r="C62" s="22"/>
      <c r="D62" s="22"/>
      <c r="E62" s="22"/>
      <c r="F62" s="22"/>
      <c r="G62" s="22"/>
      <c r="H62" s="22"/>
      <c r="I62" s="22"/>
      <c r="J62" s="22"/>
      <c r="K62" s="22"/>
      <c r="L62" s="22"/>
      <c r="M62" s="22"/>
      <c r="N62" s="22" t="s">
        <v>323</v>
      </c>
      <c r="O62" s="22"/>
      <c r="P62" s="22"/>
      <c r="Q62" s="22"/>
      <c r="R62" s="22"/>
      <c r="S62" s="22"/>
      <c r="T62" s="22"/>
      <c r="U62" s="22"/>
      <c r="V62" s="22">
        <f t="shared" si="48"/>
        <v>10</v>
      </c>
      <c r="W62" s="22"/>
      <c r="X62" s="22"/>
      <c r="Y62" s="23"/>
      <c r="Z62" s="22" t="s">
        <v>452</v>
      </c>
      <c r="AA62" s="22"/>
      <c r="AB62" s="22"/>
      <c r="AC62" s="22"/>
      <c r="AD62" s="22"/>
      <c r="AE62" s="22" t="s">
        <v>382</v>
      </c>
      <c r="AF62" s="22">
        <f t="shared" ref="AF62" si="50">AF57</f>
        <v>13</v>
      </c>
      <c r="AG62" s="22" t="s">
        <v>327</v>
      </c>
      <c r="AH62" s="22"/>
      <c r="AI62" s="22">
        <f t="shared" ref="AI62" si="51">AI57</f>
        <v>43</v>
      </c>
      <c r="AJ62" s="22"/>
      <c r="AK62" s="22" t="s">
        <v>325</v>
      </c>
      <c r="AL62" s="22"/>
      <c r="AM62" s="22" t="str">
        <f t="shared" ref="AM62" si="52">_xlfn.CONCAT(N62&amp;V62&amp;Z62&amp;AE62&amp;AF62&amp;AG62&amp;AE62&amp;AI62&amp;AK62)</f>
        <v xml:space="preserve"> Workbooks("Ukraine_sponsorship_data_10.ods").Worksheets("Wales").Range("D13:D43").Copy _</v>
      </c>
      <c r="AO62" t="s">
        <v>1059</v>
      </c>
    </row>
    <row r="63" spans="2:41" x14ac:dyDescent="0.25">
      <c r="B63" s="22" t="s">
        <v>808</v>
      </c>
      <c r="C63" s="22"/>
      <c r="D63" s="22"/>
      <c r="E63" s="22"/>
      <c r="F63" s="22"/>
      <c r="G63" s="22"/>
      <c r="H63" s="22"/>
      <c r="I63" s="22"/>
      <c r="J63" s="22"/>
      <c r="K63" s="22"/>
      <c r="L63" s="22"/>
      <c r="M63" s="22"/>
      <c r="N63" s="22" t="s">
        <v>809</v>
      </c>
      <c r="O63" s="22"/>
      <c r="P63" s="22"/>
      <c r="Q63" s="22"/>
      <c r="R63" s="22"/>
      <c r="S63" s="22"/>
      <c r="T63" s="22"/>
      <c r="U63" s="22"/>
      <c r="V63" s="22"/>
      <c r="W63" s="22" t="str">
        <f t="shared" ref="W63" si="53">CHAR(CODE(W58)+1)</f>
        <v>Q</v>
      </c>
      <c r="X63" s="22"/>
      <c r="Y63" s="23">
        <f t="shared" ref="Y63" si="54">Y58</f>
        <v>225</v>
      </c>
      <c r="Z63" s="22" t="s">
        <v>324</v>
      </c>
      <c r="AA63" s="22"/>
      <c r="AB63" s="22"/>
      <c r="AC63" s="22"/>
      <c r="AD63" s="22"/>
      <c r="AE63" s="22"/>
      <c r="AF63" s="22"/>
      <c r="AG63" s="22"/>
      <c r="AH63" s="22"/>
      <c r="AI63" s="22"/>
      <c r="AJ63" s="22"/>
      <c r="AK63" s="22"/>
      <c r="AL63" s="22"/>
      <c r="AM63" s="22" t="str">
        <f t="shared" ref="AM63" si="55">_xlfn.CONCAT(N63&amp;W63&amp;Y63&amp;Z63)</f>
        <v>Workbooks("HFU Forecast UTLA 1.0.xlsm").Worksheets("Combined data").Range("Q225")</v>
      </c>
      <c r="AO63" t="s">
        <v>952</v>
      </c>
    </row>
    <row r="64" spans="2:41" x14ac:dyDescent="0.25">
      <c r="B64" s="22" t="s">
        <v>339</v>
      </c>
      <c r="C64" s="22"/>
      <c r="D64" s="22"/>
      <c r="E64" s="22"/>
      <c r="F64" s="22"/>
      <c r="G64" s="22"/>
      <c r="H64" s="22"/>
      <c r="I64" s="22"/>
      <c r="J64" s="22"/>
      <c r="K64" s="22"/>
      <c r="L64" s="22"/>
      <c r="M64" s="22"/>
      <c r="N64" s="22"/>
      <c r="O64" s="22"/>
      <c r="P64" s="22"/>
      <c r="Q64" s="22"/>
      <c r="R64" s="22"/>
      <c r="S64" s="22"/>
      <c r="T64" s="22"/>
      <c r="U64" s="22"/>
      <c r="V64" s="22"/>
      <c r="W64" s="22"/>
      <c r="X64" s="22"/>
      <c r="Y64" s="23"/>
      <c r="Z64" s="22"/>
      <c r="AA64" s="22"/>
      <c r="AB64" s="22"/>
      <c r="AC64" s="22"/>
      <c r="AD64" s="22"/>
      <c r="AE64" s="22"/>
      <c r="AF64" s="22"/>
      <c r="AG64" s="22"/>
      <c r="AH64" s="22"/>
      <c r="AI64" s="22"/>
      <c r="AJ64" s="22"/>
      <c r="AK64" s="22"/>
      <c r="AL64" s="22"/>
      <c r="AM64" s="22" t="str">
        <f t="shared" ref="AM64" si="56">B64</f>
        <v>ActiveWorkbook.Close SaveChanges:=False</v>
      </c>
      <c r="AO64" t="s">
        <v>339</v>
      </c>
    </row>
    <row r="66" spans="2:41" x14ac:dyDescent="0.25">
      <c r="B66" s="19" t="s">
        <v>316</v>
      </c>
      <c r="C66" s="19"/>
      <c r="D66" s="19"/>
      <c r="E66" s="19"/>
      <c r="F66" s="19"/>
      <c r="G66" s="19"/>
      <c r="H66" s="19"/>
      <c r="I66" s="19"/>
      <c r="J66" s="19"/>
      <c r="K66" s="19"/>
      <c r="L66" s="19"/>
      <c r="M66" s="19"/>
      <c r="N66" s="19" t="s">
        <v>321</v>
      </c>
      <c r="O66" s="19"/>
      <c r="P66" s="19"/>
      <c r="Q66" s="19"/>
      <c r="R66" s="19"/>
      <c r="S66" s="19"/>
      <c r="T66" s="19"/>
      <c r="U66" s="19"/>
      <c r="V66" s="19">
        <f t="shared" ref="V66:V67" si="57">V61+1</f>
        <v>11</v>
      </c>
      <c r="W66" s="19"/>
      <c r="X66" s="19"/>
      <c r="Y66" s="21"/>
      <c r="Z66" s="19" t="s">
        <v>322</v>
      </c>
      <c r="AA66" s="19"/>
      <c r="AB66" s="19"/>
      <c r="AC66" s="19"/>
      <c r="AD66" s="19"/>
      <c r="AE66" s="19"/>
      <c r="AF66" s="19"/>
      <c r="AG66" s="19"/>
      <c r="AH66" s="19"/>
      <c r="AI66" s="19"/>
      <c r="AJ66" s="19"/>
      <c r="AK66" s="19"/>
      <c r="AL66" s="19"/>
      <c r="AM66" s="19" t="str">
        <f t="shared" ref="AM66" si="58">+_xlfn.CONCAT(N66&amp;V66&amp;Z66)</f>
        <v xml:space="preserve"> Workbooks.Open "A:\Homes for Ukraine data\Ukraine_sponsorship_data_11.ods"</v>
      </c>
      <c r="AO66" t="s">
        <v>347</v>
      </c>
    </row>
    <row r="67" spans="2:41" x14ac:dyDescent="0.25">
      <c r="B67" s="19" t="s">
        <v>453</v>
      </c>
      <c r="C67" s="19"/>
      <c r="D67" s="19"/>
      <c r="E67" s="19"/>
      <c r="F67" s="19"/>
      <c r="G67" s="19"/>
      <c r="H67" s="19"/>
      <c r="I67" s="19"/>
      <c r="J67" s="19"/>
      <c r="K67" s="19"/>
      <c r="L67" s="19"/>
      <c r="M67" s="19"/>
      <c r="N67" s="19" t="s">
        <v>323</v>
      </c>
      <c r="O67" s="19"/>
      <c r="P67" s="19"/>
      <c r="Q67" s="19"/>
      <c r="R67" s="19"/>
      <c r="S67" s="19"/>
      <c r="T67" s="19"/>
      <c r="U67" s="19"/>
      <c r="V67" s="19">
        <f t="shared" si="57"/>
        <v>11</v>
      </c>
      <c r="W67" s="19"/>
      <c r="X67" s="19"/>
      <c r="Y67" s="21"/>
      <c r="Z67" s="19" t="s">
        <v>452</v>
      </c>
      <c r="AA67" s="19"/>
      <c r="AB67" s="19"/>
      <c r="AC67" s="19"/>
      <c r="AD67" s="19"/>
      <c r="AE67" s="19" t="s">
        <v>382</v>
      </c>
      <c r="AF67" s="19">
        <f t="shared" ref="AF67" si="59">AF62</f>
        <v>13</v>
      </c>
      <c r="AG67" s="19" t="s">
        <v>327</v>
      </c>
      <c r="AH67" s="19"/>
      <c r="AI67" s="19">
        <f t="shared" ref="AI67" si="60">AI62</f>
        <v>43</v>
      </c>
      <c r="AJ67" s="19"/>
      <c r="AK67" s="19" t="s">
        <v>325</v>
      </c>
      <c r="AL67" s="19"/>
      <c r="AM67" s="19" t="str">
        <f t="shared" ref="AM67" si="61">_xlfn.CONCAT(N67&amp;V67&amp;Z67&amp;AE67&amp;AF67&amp;AG67&amp;AE67&amp;AI67&amp;AK67)</f>
        <v xml:space="preserve"> Workbooks("Ukraine_sponsorship_data_11.ods").Worksheets("Wales").Range("D13:D43").Copy _</v>
      </c>
      <c r="AO67" t="s">
        <v>1060</v>
      </c>
    </row>
    <row r="68" spans="2:41" x14ac:dyDescent="0.25">
      <c r="B68" s="19" t="s">
        <v>808</v>
      </c>
      <c r="C68" s="19"/>
      <c r="D68" s="19"/>
      <c r="E68" s="19"/>
      <c r="F68" s="19"/>
      <c r="G68" s="19"/>
      <c r="H68" s="19"/>
      <c r="I68" s="19"/>
      <c r="J68" s="19"/>
      <c r="K68" s="19"/>
      <c r="L68" s="19"/>
      <c r="M68" s="19"/>
      <c r="N68" s="19" t="s">
        <v>809</v>
      </c>
      <c r="O68" s="19"/>
      <c r="P68" s="19"/>
      <c r="Q68" s="19"/>
      <c r="R68" s="19"/>
      <c r="S68" s="19"/>
      <c r="T68" s="19"/>
      <c r="U68" s="19"/>
      <c r="V68" s="19"/>
      <c r="W68" s="19" t="str">
        <f t="shared" ref="W68" si="62">CHAR(CODE(W63)+1)</f>
        <v>R</v>
      </c>
      <c r="X68" s="19"/>
      <c r="Y68" s="21">
        <f t="shared" ref="Y68" si="63">Y63</f>
        <v>225</v>
      </c>
      <c r="Z68" s="19" t="s">
        <v>324</v>
      </c>
      <c r="AA68" s="19"/>
      <c r="AB68" s="19"/>
      <c r="AC68" s="19"/>
      <c r="AD68" s="19"/>
      <c r="AE68" s="19"/>
      <c r="AF68" s="19"/>
      <c r="AG68" s="19"/>
      <c r="AH68" s="19"/>
      <c r="AI68" s="19"/>
      <c r="AJ68" s="19"/>
      <c r="AK68" s="19"/>
      <c r="AL68" s="19"/>
      <c r="AM68" s="19" t="str">
        <f t="shared" ref="AM68" si="64">_xlfn.CONCAT(N68&amp;W68&amp;Y68&amp;Z68)</f>
        <v>Workbooks("HFU Forecast UTLA 1.0.xlsm").Worksheets("Combined data").Range("R225")</v>
      </c>
      <c r="AO68" t="s">
        <v>953</v>
      </c>
    </row>
    <row r="69" spans="2:41" x14ac:dyDescent="0.25">
      <c r="B69" s="19" t="s">
        <v>339</v>
      </c>
      <c r="C69" s="19"/>
      <c r="D69" s="19"/>
      <c r="E69" s="19"/>
      <c r="F69" s="19"/>
      <c r="G69" s="19"/>
      <c r="H69" s="19"/>
      <c r="I69" s="19"/>
      <c r="J69" s="19"/>
      <c r="K69" s="19"/>
      <c r="L69" s="19"/>
      <c r="M69" s="19"/>
      <c r="N69" s="19"/>
      <c r="O69" s="19"/>
      <c r="P69" s="19"/>
      <c r="Q69" s="19"/>
      <c r="R69" s="19"/>
      <c r="S69" s="19"/>
      <c r="T69" s="19"/>
      <c r="U69" s="19"/>
      <c r="V69" s="19"/>
      <c r="W69" s="19"/>
      <c r="X69" s="19"/>
      <c r="Y69" s="21"/>
      <c r="Z69" s="19"/>
      <c r="AA69" s="19"/>
      <c r="AB69" s="19"/>
      <c r="AC69" s="19"/>
      <c r="AD69" s="19"/>
      <c r="AE69" s="19"/>
      <c r="AF69" s="19"/>
      <c r="AG69" s="19"/>
      <c r="AH69" s="19"/>
      <c r="AI69" s="19"/>
      <c r="AJ69" s="19"/>
      <c r="AK69" s="19"/>
      <c r="AL69" s="19"/>
      <c r="AM69" s="19" t="str">
        <f t="shared" ref="AM69" si="65">B69</f>
        <v>ActiveWorkbook.Close SaveChanges:=False</v>
      </c>
      <c r="AO69" t="s">
        <v>339</v>
      </c>
    </row>
    <row r="71" spans="2:41" x14ac:dyDescent="0.25">
      <c r="B71" s="22" t="s">
        <v>316</v>
      </c>
      <c r="C71" s="22"/>
      <c r="D71" s="22"/>
      <c r="E71" s="22"/>
      <c r="F71" s="22"/>
      <c r="G71" s="22"/>
      <c r="H71" s="22"/>
      <c r="I71" s="22"/>
      <c r="J71" s="22"/>
      <c r="K71" s="22"/>
      <c r="L71" s="22"/>
      <c r="M71" s="22"/>
      <c r="N71" s="22" t="s">
        <v>321</v>
      </c>
      <c r="O71" s="22"/>
      <c r="P71" s="22"/>
      <c r="Q71" s="22"/>
      <c r="R71" s="22"/>
      <c r="S71" s="22"/>
      <c r="T71" s="22"/>
      <c r="U71" s="22"/>
      <c r="V71" s="22">
        <f t="shared" ref="V71:V72" si="66">V66+1</f>
        <v>12</v>
      </c>
      <c r="W71" s="22"/>
      <c r="X71" s="22"/>
      <c r="Y71" s="23"/>
      <c r="Z71" s="22" t="s">
        <v>322</v>
      </c>
      <c r="AA71" s="22"/>
      <c r="AB71" s="22"/>
      <c r="AC71" s="22"/>
      <c r="AD71" s="22"/>
      <c r="AE71" s="22"/>
      <c r="AF71" s="22"/>
      <c r="AG71" s="22"/>
      <c r="AH71" s="22"/>
      <c r="AI71" s="22"/>
      <c r="AJ71" s="22"/>
      <c r="AK71" s="22"/>
      <c r="AL71" s="22"/>
      <c r="AM71" s="22" t="str">
        <f t="shared" ref="AM71" si="67">+_xlfn.CONCAT(N71&amp;V71&amp;Z71)</f>
        <v xml:space="preserve"> Workbooks.Open "A:\Homes for Ukraine data\Ukraine_sponsorship_data_12.ods"</v>
      </c>
      <c r="AO71" t="s">
        <v>348</v>
      </c>
    </row>
    <row r="72" spans="2:41" x14ac:dyDescent="0.25">
      <c r="B72" s="22" t="s">
        <v>453</v>
      </c>
      <c r="C72" s="22"/>
      <c r="D72" s="22"/>
      <c r="E72" s="22"/>
      <c r="F72" s="22"/>
      <c r="G72" s="22"/>
      <c r="H72" s="22"/>
      <c r="I72" s="22"/>
      <c r="J72" s="22"/>
      <c r="K72" s="22"/>
      <c r="L72" s="22"/>
      <c r="M72" s="22"/>
      <c r="N72" s="22" t="s">
        <v>323</v>
      </c>
      <c r="O72" s="22"/>
      <c r="P72" s="22"/>
      <c r="Q72" s="22"/>
      <c r="R72" s="22"/>
      <c r="S72" s="22"/>
      <c r="T72" s="22"/>
      <c r="U72" s="22"/>
      <c r="V72" s="22">
        <f t="shared" si="66"/>
        <v>12</v>
      </c>
      <c r="W72" s="22"/>
      <c r="X72" s="22"/>
      <c r="Y72" s="23"/>
      <c r="Z72" s="22" t="s">
        <v>452</v>
      </c>
      <c r="AA72" s="22"/>
      <c r="AB72" s="22"/>
      <c r="AC72" s="22"/>
      <c r="AD72" s="22"/>
      <c r="AE72" s="22" t="s">
        <v>382</v>
      </c>
      <c r="AF72" s="22">
        <f t="shared" ref="AF72" si="68">AF67</f>
        <v>13</v>
      </c>
      <c r="AG72" s="22" t="s">
        <v>327</v>
      </c>
      <c r="AH72" s="22"/>
      <c r="AI72" s="22">
        <f t="shared" ref="AI72" si="69">AI67</f>
        <v>43</v>
      </c>
      <c r="AJ72" s="22"/>
      <c r="AK72" s="22" t="s">
        <v>325</v>
      </c>
      <c r="AL72" s="22"/>
      <c r="AM72" s="22" t="str">
        <f t="shared" ref="AM72" si="70">_xlfn.CONCAT(N72&amp;V72&amp;Z72&amp;AE72&amp;AF72&amp;AG72&amp;AE72&amp;AI72&amp;AK72)</f>
        <v xml:space="preserve"> Workbooks("Ukraine_sponsorship_data_12.ods").Worksheets("Wales").Range("D13:D43").Copy _</v>
      </c>
      <c r="AO72" t="s">
        <v>1061</v>
      </c>
    </row>
    <row r="73" spans="2:41" x14ac:dyDescent="0.25">
      <c r="B73" s="22" t="s">
        <v>808</v>
      </c>
      <c r="C73" s="22"/>
      <c r="D73" s="22"/>
      <c r="E73" s="22"/>
      <c r="F73" s="22"/>
      <c r="G73" s="22"/>
      <c r="H73" s="22"/>
      <c r="I73" s="22"/>
      <c r="J73" s="22"/>
      <c r="K73" s="22"/>
      <c r="L73" s="22"/>
      <c r="M73" s="22"/>
      <c r="N73" s="22" t="s">
        <v>809</v>
      </c>
      <c r="O73" s="22"/>
      <c r="P73" s="22"/>
      <c r="Q73" s="22"/>
      <c r="R73" s="22"/>
      <c r="S73" s="22"/>
      <c r="T73" s="22"/>
      <c r="U73" s="22"/>
      <c r="V73" s="22"/>
      <c r="W73" s="22" t="str">
        <f t="shared" ref="W73" si="71">CHAR(CODE(W68)+1)</f>
        <v>S</v>
      </c>
      <c r="X73" s="22"/>
      <c r="Y73" s="23">
        <f t="shared" ref="Y73" si="72">Y68</f>
        <v>225</v>
      </c>
      <c r="Z73" s="22" t="s">
        <v>324</v>
      </c>
      <c r="AA73" s="22"/>
      <c r="AB73" s="22"/>
      <c r="AC73" s="22"/>
      <c r="AD73" s="22"/>
      <c r="AE73" s="22"/>
      <c r="AF73" s="22"/>
      <c r="AG73" s="22"/>
      <c r="AH73" s="22"/>
      <c r="AI73" s="22"/>
      <c r="AJ73" s="22"/>
      <c r="AK73" s="22"/>
      <c r="AL73" s="22"/>
      <c r="AM73" s="22" t="str">
        <f t="shared" ref="AM73" si="73">_xlfn.CONCAT(N73&amp;W73&amp;Y73&amp;Z73)</f>
        <v>Workbooks("HFU Forecast UTLA 1.0.xlsm").Worksheets("Combined data").Range("S225")</v>
      </c>
      <c r="AO73" t="s">
        <v>954</v>
      </c>
    </row>
    <row r="74" spans="2:41" x14ac:dyDescent="0.25">
      <c r="B74" s="22" t="s">
        <v>339</v>
      </c>
      <c r="C74" s="22"/>
      <c r="D74" s="22"/>
      <c r="E74" s="22"/>
      <c r="F74" s="22"/>
      <c r="G74" s="22"/>
      <c r="H74" s="22"/>
      <c r="I74" s="22"/>
      <c r="J74" s="22"/>
      <c r="K74" s="22"/>
      <c r="L74" s="22"/>
      <c r="M74" s="22"/>
      <c r="N74" s="22"/>
      <c r="O74" s="22"/>
      <c r="P74" s="22"/>
      <c r="Q74" s="22"/>
      <c r="R74" s="22"/>
      <c r="S74" s="22"/>
      <c r="T74" s="22"/>
      <c r="U74" s="22"/>
      <c r="V74" s="22"/>
      <c r="W74" s="22"/>
      <c r="X74" s="22"/>
      <c r="Y74" s="23"/>
      <c r="Z74" s="22"/>
      <c r="AA74" s="22"/>
      <c r="AB74" s="22"/>
      <c r="AC74" s="22"/>
      <c r="AD74" s="22"/>
      <c r="AE74" s="22"/>
      <c r="AF74" s="22"/>
      <c r="AG74" s="22"/>
      <c r="AH74" s="22"/>
      <c r="AI74" s="22"/>
      <c r="AJ74" s="22"/>
      <c r="AK74" s="22"/>
      <c r="AL74" s="22"/>
      <c r="AM74" s="22" t="str">
        <f t="shared" ref="AM74" si="74">B74</f>
        <v>ActiveWorkbook.Close SaveChanges:=False</v>
      </c>
      <c r="AO74" t="s">
        <v>339</v>
      </c>
    </row>
    <row r="76" spans="2:41" x14ac:dyDescent="0.25">
      <c r="B76" s="19" t="s">
        <v>316</v>
      </c>
      <c r="C76" s="19"/>
      <c r="D76" s="19"/>
      <c r="E76" s="19"/>
      <c r="F76" s="19"/>
      <c r="G76" s="19"/>
      <c r="H76" s="19"/>
      <c r="I76" s="19"/>
      <c r="J76" s="19"/>
      <c r="K76" s="19"/>
      <c r="L76" s="19"/>
      <c r="M76" s="19"/>
      <c r="N76" s="19" t="s">
        <v>321</v>
      </c>
      <c r="O76" s="19"/>
      <c r="P76" s="19"/>
      <c r="Q76" s="19"/>
      <c r="R76" s="19"/>
      <c r="S76" s="19"/>
      <c r="T76" s="19"/>
      <c r="U76" s="19"/>
      <c r="V76" s="19">
        <f t="shared" ref="V76:V77" si="75">V71+1</f>
        <v>13</v>
      </c>
      <c r="W76" s="19"/>
      <c r="X76" s="19"/>
      <c r="Y76" s="21"/>
      <c r="Z76" s="19" t="s">
        <v>322</v>
      </c>
      <c r="AA76" s="19"/>
      <c r="AB76" s="19"/>
      <c r="AC76" s="19"/>
      <c r="AD76" s="19"/>
      <c r="AE76" s="19"/>
      <c r="AF76" s="19"/>
      <c r="AG76" s="19"/>
      <c r="AH76" s="19"/>
      <c r="AI76" s="19"/>
      <c r="AJ76" s="19"/>
      <c r="AK76" s="19"/>
      <c r="AL76" s="19"/>
      <c r="AM76" s="19" t="str">
        <f t="shared" ref="AM76" si="76">+_xlfn.CONCAT(N76&amp;V76&amp;Z76)</f>
        <v xml:space="preserve"> Workbooks.Open "A:\Homes for Ukraine data\Ukraine_sponsorship_data_13.ods"</v>
      </c>
      <c r="AO76" t="s">
        <v>349</v>
      </c>
    </row>
    <row r="77" spans="2:41" x14ac:dyDescent="0.25">
      <c r="B77" s="19" t="s">
        <v>453</v>
      </c>
      <c r="C77" s="19"/>
      <c r="D77" s="19"/>
      <c r="E77" s="19"/>
      <c r="F77" s="19"/>
      <c r="G77" s="19"/>
      <c r="H77" s="19"/>
      <c r="I77" s="19"/>
      <c r="J77" s="19"/>
      <c r="K77" s="19"/>
      <c r="L77" s="19"/>
      <c r="M77" s="19"/>
      <c r="N77" s="19" t="s">
        <v>323</v>
      </c>
      <c r="O77" s="19"/>
      <c r="P77" s="19"/>
      <c r="Q77" s="19"/>
      <c r="R77" s="19"/>
      <c r="S77" s="19"/>
      <c r="T77" s="19"/>
      <c r="U77" s="19"/>
      <c r="V77" s="19">
        <f t="shared" si="75"/>
        <v>13</v>
      </c>
      <c r="W77" s="19"/>
      <c r="X77" s="19"/>
      <c r="Y77" s="21"/>
      <c r="Z77" s="19" t="s">
        <v>452</v>
      </c>
      <c r="AA77" s="19"/>
      <c r="AB77" s="19"/>
      <c r="AC77" s="19"/>
      <c r="AD77" s="19"/>
      <c r="AE77" s="19" t="s">
        <v>382</v>
      </c>
      <c r="AF77" s="19">
        <f t="shared" ref="AF77" si="77">AF72</f>
        <v>13</v>
      </c>
      <c r="AG77" s="19" t="s">
        <v>327</v>
      </c>
      <c r="AH77" s="19"/>
      <c r="AI77" s="19">
        <f t="shared" ref="AI77" si="78">AI72</f>
        <v>43</v>
      </c>
      <c r="AJ77" s="19"/>
      <c r="AK77" s="19" t="s">
        <v>325</v>
      </c>
      <c r="AL77" s="19"/>
      <c r="AM77" s="19" t="str">
        <f t="shared" ref="AM77" si="79">_xlfn.CONCAT(N77&amp;V77&amp;Z77&amp;AE77&amp;AF77&amp;AG77&amp;AE77&amp;AI77&amp;AK77)</f>
        <v xml:space="preserve"> Workbooks("Ukraine_sponsorship_data_13.ods").Worksheets("Wales").Range("D13:D43").Copy _</v>
      </c>
      <c r="AO77" t="s">
        <v>1062</v>
      </c>
    </row>
    <row r="78" spans="2:41" x14ac:dyDescent="0.25">
      <c r="B78" s="19" t="s">
        <v>808</v>
      </c>
      <c r="C78" s="19"/>
      <c r="D78" s="19"/>
      <c r="E78" s="19"/>
      <c r="F78" s="19"/>
      <c r="G78" s="19"/>
      <c r="H78" s="19"/>
      <c r="I78" s="19"/>
      <c r="J78" s="19"/>
      <c r="K78" s="19"/>
      <c r="L78" s="19"/>
      <c r="M78" s="19"/>
      <c r="N78" s="19" t="s">
        <v>809</v>
      </c>
      <c r="O78" s="19"/>
      <c r="P78" s="19"/>
      <c r="Q78" s="19"/>
      <c r="R78" s="19"/>
      <c r="S78" s="19"/>
      <c r="T78" s="19"/>
      <c r="U78" s="19"/>
      <c r="V78" s="19"/>
      <c r="W78" s="19" t="str">
        <f t="shared" ref="W78" si="80">CHAR(CODE(W73)+1)</f>
        <v>T</v>
      </c>
      <c r="X78" s="19"/>
      <c r="Y78" s="21">
        <f t="shared" ref="Y78" si="81">Y73</f>
        <v>225</v>
      </c>
      <c r="Z78" s="19" t="s">
        <v>324</v>
      </c>
      <c r="AA78" s="19"/>
      <c r="AB78" s="19"/>
      <c r="AC78" s="19"/>
      <c r="AD78" s="19"/>
      <c r="AE78" s="19"/>
      <c r="AF78" s="19"/>
      <c r="AG78" s="19"/>
      <c r="AH78" s="19"/>
      <c r="AI78" s="19"/>
      <c r="AJ78" s="19"/>
      <c r="AK78" s="19"/>
      <c r="AL78" s="19"/>
      <c r="AM78" s="19" t="str">
        <f t="shared" ref="AM78" si="82">_xlfn.CONCAT(N78&amp;W78&amp;Y78&amp;Z78)</f>
        <v>Workbooks("HFU Forecast UTLA 1.0.xlsm").Worksheets("Combined data").Range("T225")</v>
      </c>
      <c r="AO78" t="s">
        <v>955</v>
      </c>
    </row>
    <row r="79" spans="2:41" x14ac:dyDescent="0.25">
      <c r="B79" s="19" t="s">
        <v>339</v>
      </c>
      <c r="C79" s="19"/>
      <c r="D79" s="19"/>
      <c r="E79" s="19"/>
      <c r="F79" s="19"/>
      <c r="G79" s="19"/>
      <c r="H79" s="19"/>
      <c r="I79" s="19"/>
      <c r="J79" s="19"/>
      <c r="K79" s="19"/>
      <c r="L79" s="19"/>
      <c r="M79" s="19"/>
      <c r="N79" s="19"/>
      <c r="O79" s="19"/>
      <c r="P79" s="19"/>
      <c r="Q79" s="19"/>
      <c r="R79" s="19"/>
      <c r="S79" s="19"/>
      <c r="T79" s="19"/>
      <c r="U79" s="19"/>
      <c r="V79" s="19"/>
      <c r="W79" s="19"/>
      <c r="X79" s="19"/>
      <c r="Y79" s="21"/>
      <c r="Z79" s="19"/>
      <c r="AA79" s="19"/>
      <c r="AB79" s="19"/>
      <c r="AC79" s="19"/>
      <c r="AD79" s="19"/>
      <c r="AE79" s="19"/>
      <c r="AF79" s="19"/>
      <c r="AG79" s="19"/>
      <c r="AH79" s="19"/>
      <c r="AI79" s="19"/>
      <c r="AJ79" s="19"/>
      <c r="AK79" s="19"/>
      <c r="AL79" s="19"/>
      <c r="AM79" s="19" t="str">
        <f t="shared" ref="AM79" si="83">B79</f>
        <v>ActiveWorkbook.Close SaveChanges:=False</v>
      </c>
      <c r="AO79" t="s">
        <v>339</v>
      </c>
    </row>
    <row r="81" spans="2:41" x14ac:dyDescent="0.25">
      <c r="B81" s="22" t="s">
        <v>316</v>
      </c>
      <c r="C81" s="22"/>
      <c r="D81" s="22"/>
      <c r="E81" s="22"/>
      <c r="F81" s="22"/>
      <c r="G81" s="22"/>
      <c r="H81" s="22"/>
      <c r="I81" s="22"/>
      <c r="J81" s="22"/>
      <c r="K81" s="22"/>
      <c r="L81" s="22"/>
      <c r="M81" s="22"/>
      <c r="N81" s="22" t="s">
        <v>321</v>
      </c>
      <c r="O81" s="22"/>
      <c r="P81" s="22"/>
      <c r="Q81" s="22"/>
      <c r="R81" s="22"/>
      <c r="S81" s="22"/>
      <c r="T81" s="22"/>
      <c r="U81" s="22"/>
      <c r="V81" s="22">
        <f t="shared" ref="V81:V82" si="84">V76+1</f>
        <v>14</v>
      </c>
      <c r="W81" s="22"/>
      <c r="X81" s="22"/>
      <c r="Y81" s="23"/>
      <c r="Z81" s="22" t="s">
        <v>322</v>
      </c>
      <c r="AA81" s="22"/>
      <c r="AB81" s="22"/>
      <c r="AC81" s="22"/>
      <c r="AD81" s="22"/>
      <c r="AE81" s="22"/>
      <c r="AF81" s="22"/>
      <c r="AG81" s="22"/>
      <c r="AH81" s="22"/>
      <c r="AI81" s="22"/>
      <c r="AJ81" s="22"/>
      <c r="AK81" s="22"/>
      <c r="AL81" s="22"/>
      <c r="AM81" s="22" t="str">
        <f t="shared" ref="AM81" si="85">+_xlfn.CONCAT(N81&amp;V81&amp;Z81)</f>
        <v xml:space="preserve"> Workbooks.Open "A:\Homes for Ukraine data\Ukraine_sponsorship_data_14.ods"</v>
      </c>
      <c r="AO81" t="s">
        <v>350</v>
      </c>
    </row>
    <row r="82" spans="2:41" x14ac:dyDescent="0.25">
      <c r="B82" s="22" t="s">
        <v>453</v>
      </c>
      <c r="C82" s="22"/>
      <c r="D82" s="22"/>
      <c r="E82" s="22"/>
      <c r="F82" s="22"/>
      <c r="G82" s="22"/>
      <c r="H82" s="22"/>
      <c r="I82" s="22"/>
      <c r="J82" s="22"/>
      <c r="K82" s="22"/>
      <c r="L82" s="22"/>
      <c r="M82" s="22"/>
      <c r="N82" s="22" t="s">
        <v>323</v>
      </c>
      <c r="O82" s="22"/>
      <c r="P82" s="22"/>
      <c r="Q82" s="22"/>
      <c r="R82" s="22"/>
      <c r="S82" s="22"/>
      <c r="T82" s="22"/>
      <c r="U82" s="22"/>
      <c r="V82" s="22">
        <f t="shared" si="84"/>
        <v>14</v>
      </c>
      <c r="W82" s="22"/>
      <c r="X82" s="22"/>
      <c r="Y82" s="23"/>
      <c r="Z82" s="22" t="s">
        <v>452</v>
      </c>
      <c r="AA82" s="22"/>
      <c r="AB82" s="22"/>
      <c r="AC82" s="22"/>
      <c r="AD82" s="22"/>
      <c r="AE82" s="22" t="s">
        <v>382</v>
      </c>
      <c r="AF82" s="22">
        <f t="shared" ref="AF82" si="86">AF77</f>
        <v>13</v>
      </c>
      <c r="AG82" s="22" t="s">
        <v>327</v>
      </c>
      <c r="AH82" s="22"/>
      <c r="AI82" s="22">
        <f t="shared" ref="AI82" si="87">AI77</f>
        <v>43</v>
      </c>
      <c r="AJ82" s="22"/>
      <c r="AK82" s="22" t="s">
        <v>325</v>
      </c>
      <c r="AL82" s="22"/>
      <c r="AM82" s="22" t="str">
        <f t="shared" ref="AM82" si="88">_xlfn.CONCAT(N82&amp;V82&amp;Z82&amp;AE82&amp;AF82&amp;AG82&amp;AE82&amp;AI82&amp;AK82)</f>
        <v xml:space="preserve"> Workbooks("Ukraine_sponsorship_data_14.ods").Worksheets("Wales").Range("D13:D43").Copy _</v>
      </c>
      <c r="AO82" t="s">
        <v>1063</v>
      </c>
    </row>
    <row r="83" spans="2:41" x14ac:dyDescent="0.25">
      <c r="B83" s="22" t="s">
        <v>808</v>
      </c>
      <c r="C83" s="22"/>
      <c r="D83" s="22"/>
      <c r="E83" s="22"/>
      <c r="F83" s="22"/>
      <c r="G83" s="22"/>
      <c r="H83" s="22"/>
      <c r="I83" s="22"/>
      <c r="J83" s="22"/>
      <c r="K83" s="22"/>
      <c r="L83" s="22"/>
      <c r="M83" s="22"/>
      <c r="N83" s="22" t="s">
        <v>809</v>
      </c>
      <c r="O83" s="22"/>
      <c r="P83" s="22"/>
      <c r="Q83" s="22"/>
      <c r="R83" s="22"/>
      <c r="S83" s="22"/>
      <c r="T83" s="22"/>
      <c r="U83" s="22"/>
      <c r="V83" s="22"/>
      <c r="W83" s="22" t="str">
        <f t="shared" ref="W83" si="89">CHAR(CODE(W78)+1)</f>
        <v>U</v>
      </c>
      <c r="X83" s="22"/>
      <c r="Y83" s="23">
        <f t="shared" ref="Y83" si="90">Y78</f>
        <v>225</v>
      </c>
      <c r="Z83" s="22" t="s">
        <v>324</v>
      </c>
      <c r="AA83" s="22"/>
      <c r="AB83" s="22"/>
      <c r="AC83" s="22"/>
      <c r="AD83" s="22"/>
      <c r="AE83" s="22"/>
      <c r="AF83" s="22"/>
      <c r="AG83" s="22"/>
      <c r="AH83" s="22"/>
      <c r="AI83" s="22"/>
      <c r="AJ83" s="22"/>
      <c r="AK83" s="22"/>
      <c r="AL83" s="22"/>
      <c r="AM83" s="22" t="str">
        <f t="shared" ref="AM83" si="91">_xlfn.CONCAT(N83&amp;W83&amp;Y83&amp;Z83)</f>
        <v>Workbooks("HFU Forecast UTLA 1.0.xlsm").Worksheets("Combined data").Range("U225")</v>
      </c>
      <c r="AO83" t="s">
        <v>956</v>
      </c>
    </row>
    <row r="84" spans="2:41" x14ac:dyDescent="0.25">
      <c r="B84" s="22" t="s">
        <v>339</v>
      </c>
      <c r="C84" s="22"/>
      <c r="D84" s="22"/>
      <c r="E84" s="22"/>
      <c r="F84" s="22"/>
      <c r="G84" s="22"/>
      <c r="H84" s="22"/>
      <c r="I84" s="22"/>
      <c r="J84" s="22"/>
      <c r="K84" s="22"/>
      <c r="L84" s="22"/>
      <c r="M84" s="22"/>
      <c r="N84" s="22"/>
      <c r="O84" s="22"/>
      <c r="P84" s="22"/>
      <c r="Q84" s="22"/>
      <c r="R84" s="22"/>
      <c r="S84" s="22"/>
      <c r="T84" s="22"/>
      <c r="U84" s="22"/>
      <c r="V84" s="22"/>
      <c r="W84" s="22"/>
      <c r="X84" s="22"/>
      <c r="Y84" s="23"/>
      <c r="Z84" s="22"/>
      <c r="AA84" s="22"/>
      <c r="AB84" s="22"/>
      <c r="AC84" s="22"/>
      <c r="AD84" s="22"/>
      <c r="AE84" s="22"/>
      <c r="AF84" s="22"/>
      <c r="AG84" s="22"/>
      <c r="AH84" s="22"/>
      <c r="AI84" s="22"/>
      <c r="AJ84" s="22"/>
      <c r="AK84" s="22"/>
      <c r="AL84" s="22"/>
      <c r="AM84" s="22" t="str">
        <f t="shared" ref="AM84" si="92">B84</f>
        <v>ActiveWorkbook.Close SaveChanges:=False</v>
      </c>
      <c r="AO84" t="s">
        <v>339</v>
      </c>
    </row>
    <row r="86" spans="2:41" x14ac:dyDescent="0.25">
      <c r="B86" s="19" t="s">
        <v>316</v>
      </c>
      <c r="C86" s="19"/>
      <c r="D86" s="19"/>
      <c r="E86" s="19"/>
      <c r="F86" s="19"/>
      <c r="G86" s="19"/>
      <c r="H86" s="19"/>
      <c r="I86" s="19"/>
      <c r="J86" s="19"/>
      <c r="K86" s="19"/>
      <c r="L86" s="19"/>
      <c r="M86" s="19"/>
      <c r="N86" s="19" t="s">
        <v>321</v>
      </c>
      <c r="O86" s="19"/>
      <c r="P86" s="19"/>
      <c r="Q86" s="19"/>
      <c r="R86" s="19"/>
      <c r="S86" s="19"/>
      <c r="T86" s="19"/>
      <c r="U86" s="19"/>
      <c r="V86" s="19">
        <f t="shared" ref="V86:V87" si="93">V81+1</f>
        <v>15</v>
      </c>
      <c r="W86" s="19"/>
      <c r="X86" s="19"/>
      <c r="Y86" s="21"/>
      <c r="Z86" s="19" t="s">
        <v>322</v>
      </c>
      <c r="AA86" s="19"/>
      <c r="AB86" s="19"/>
      <c r="AC86" s="19"/>
      <c r="AD86" s="19"/>
      <c r="AE86" s="19"/>
      <c r="AF86" s="19"/>
      <c r="AG86" s="19"/>
      <c r="AH86" s="19"/>
      <c r="AI86" s="19"/>
      <c r="AJ86" s="19"/>
      <c r="AK86" s="19"/>
      <c r="AL86" s="19"/>
      <c r="AM86" s="19" t="str">
        <f t="shared" ref="AM86" si="94">+_xlfn.CONCAT(N86&amp;V86&amp;Z86)</f>
        <v xml:space="preserve"> Workbooks.Open "A:\Homes for Ukraine data\Ukraine_sponsorship_data_15.ods"</v>
      </c>
      <c r="AO86" t="s">
        <v>351</v>
      </c>
    </row>
    <row r="87" spans="2:41" x14ac:dyDescent="0.25">
      <c r="B87" s="19" t="s">
        <v>453</v>
      </c>
      <c r="C87" s="19"/>
      <c r="D87" s="19"/>
      <c r="E87" s="19"/>
      <c r="F87" s="19"/>
      <c r="G87" s="19"/>
      <c r="H87" s="19"/>
      <c r="I87" s="19"/>
      <c r="J87" s="19"/>
      <c r="K87" s="19"/>
      <c r="L87" s="19"/>
      <c r="M87" s="19"/>
      <c r="N87" s="19" t="s">
        <v>323</v>
      </c>
      <c r="O87" s="19"/>
      <c r="P87" s="19"/>
      <c r="Q87" s="19"/>
      <c r="R87" s="19"/>
      <c r="S87" s="19"/>
      <c r="T87" s="19"/>
      <c r="U87" s="19"/>
      <c r="V87" s="19">
        <f t="shared" si="93"/>
        <v>15</v>
      </c>
      <c r="W87" s="19"/>
      <c r="X87" s="19"/>
      <c r="Y87" s="21"/>
      <c r="Z87" s="19" t="s">
        <v>452</v>
      </c>
      <c r="AA87" s="19"/>
      <c r="AB87" s="19"/>
      <c r="AC87" s="19"/>
      <c r="AD87" s="19"/>
      <c r="AE87" s="19" t="s">
        <v>382</v>
      </c>
      <c r="AF87" s="19">
        <f t="shared" ref="AF87" si="95">AF82</f>
        <v>13</v>
      </c>
      <c r="AG87" s="19" t="s">
        <v>327</v>
      </c>
      <c r="AH87" s="19"/>
      <c r="AI87" s="19">
        <f t="shared" ref="AI87" si="96">AI82</f>
        <v>43</v>
      </c>
      <c r="AJ87" s="19"/>
      <c r="AK87" s="19" t="s">
        <v>325</v>
      </c>
      <c r="AL87" s="19"/>
      <c r="AM87" s="19" t="str">
        <f t="shared" ref="AM87" si="97">_xlfn.CONCAT(N87&amp;V87&amp;Z87&amp;AE87&amp;AF87&amp;AG87&amp;AE87&amp;AI87&amp;AK87)</f>
        <v xml:space="preserve"> Workbooks("Ukraine_sponsorship_data_15.ods").Worksheets("Wales").Range("D13:D43").Copy _</v>
      </c>
      <c r="AO87" t="s">
        <v>1064</v>
      </c>
    </row>
    <row r="88" spans="2:41" x14ac:dyDescent="0.25">
      <c r="B88" s="19" t="s">
        <v>808</v>
      </c>
      <c r="C88" s="19"/>
      <c r="D88" s="19"/>
      <c r="E88" s="19"/>
      <c r="F88" s="19"/>
      <c r="G88" s="19"/>
      <c r="H88" s="19"/>
      <c r="I88" s="19"/>
      <c r="J88" s="19"/>
      <c r="K88" s="19"/>
      <c r="L88" s="19"/>
      <c r="M88" s="19"/>
      <c r="N88" s="19" t="s">
        <v>809</v>
      </c>
      <c r="O88" s="19"/>
      <c r="P88" s="19"/>
      <c r="Q88" s="19"/>
      <c r="R88" s="19"/>
      <c r="S88" s="19"/>
      <c r="T88" s="19"/>
      <c r="U88" s="19"/>
      <c r="V88" s="19"/>
      <c r="W88" s="19" t="str">
        <f t="shared" ref="W88" si="98">CHAR(CODE(W83)+1)</f>
        <v>V</v>
      </c>
      <c r="X88" s="19"/>
      <c r="Y88" s="21">
        <f t="shared" ref="Y88" si="99">Y83</f>
        <v>225</v>
      </c>
      <c r="Z88" s="19" t="s">
        <v>324</v>
      </c>
      <c r="AA88" s="19"/>
      <c r="AB88" s="19"/>
      <c r="AC88" s="19"/>
      <c r="AD88" s="19"/>
      <c r="AE88" s="19"/>
      <c r="AF88" s="19"/>
      <c r="AG88" s="19"/>
      <c r="AH88" s="19"/>
      <c r="AI88" s="19"/>
      <c r="AJ88" s="19"/>
      <c r="AK88" s="19"/>
      <c r="AL88" s="19"/>
      <c r="AM88" s="19" t="str">
        <f t="shared" ref="AM88" si="100">_xlfn.CONCAT(N88&amp;W88&amp;Y88&amp;Z88)</f>
        <v>Workbooks("HFU Forecast UTLA 1.0.xlsm").Worksheets("Combined data").Range("V225")</v>
      </c>
      <c r="AO88" t="s">
        <v>957</v>
      </c>
    </row>
    <row r="89" spans="2:41" x14ac:dyDescent="0.25">
      <c r="B89" s="19" t="s">
        <v>339</v>
      </c>
      <c r="C89" s="19"/>
      <c r="D89" s="19"/>
      <c r="E89" s="19"/>
      <c r="F89" s="19"/>
      <c r="G89" s="19"/>
      <c r="H89" s="19"/>
      <c r="I89" s="19"/>
      <c r="J89" s="19"/>
      <c r="K89" s="19"/>
      <c r="L89" s="19"/>
      <c r="M89" s="19"/>
      <c r="N89" s="19"/>
      <c r="O89" s="19"/>
      <c r="P89" s="19"/>
      <c r="Q89" s="19"/>
      <c r="R89" s="19"/>
      <c r="S89" s="19"/>
      <c r="T89" s="19"/>
      <c r="U89" s="19"/>
      <c r="V89" s="19"/>
      <c r="W89" s="19"/>
      <c r="X89" s="19"/>
      <c r="Y89" s="21"/>
      <c r="Z89" s="19"/>
      <c r="AA89" s="19"/>
      <c r="AB89" s="19"/>
      <c r="AC89" s="19"/>
      <c r="AD89" s="19"/>
      <c r="AE89" s="19"/>
      <c r="AF89" s="19"/>
      <c r="AG89" s="19"/>
      <c r="AH89" s="19"/>
      <c r="AI89" s="19"/>
      <c r="AJ89" s="19"/>
      <c r="AK89" s="19"/>
      <c r="AL89" s="19"/>
      <c r="AM89" s="19" t="str">
        <f t="shared" ref="AM89" si="101">B89</f>
        <v>ActiveWorkbook.Close SaveChanges:=False</v>
      </c>
      <c r="AO89" t="s">
        <v>339</v>
      </c>
    </row>
    <row r="91" spans="2:41" x14ac:dyDescent="0.25">
      <c r="B91" s="22" t="s">
        <v>316</v>
      </c>
      <c r="C91" s="22"/>
      <c r="D91" s="22"/>
      <c r="E91" s="22"/>
      <c r="F91" s="22"/>
      <c r="G91" s="22"/>
      <c r="H91" s="22"/>
      <c r="I91" s="22"/>
      <c r="J91" s="22"/>
      <c r="K91" s="22"/>
      <c r="L91" s="22"/>
      <c r="M91" s="22"/>
      <c r="N91" s="22" t="s">
        <v>321</v>
      </c>
      <c r="O91" s="22"/>
      <c r="P91" s="22"/>
      <c r="Q91" s="22"/>
      <c r="R91" s="22"/>
      <c r="S91" s="22"/>
      <c r="T91" s="22"/>
      <c r="U91" s="22"/>
      <c r="V91" s="22">
        <f t="shared" ref="V91:V92" si="102">V86+1</f>
        <v>16</v>
      </c>
      <c r="W91" s="22"/>
      <c r="X91" s="22"/>
      <c r="Y91" s="23"/>
      <c r="Z91" s="22" t="s">
        <v>322</v>
      </c>
      <c r="AA91" s="22"/>
      <c r="AB91" s="22"/>
      <c r="AC91" s="22"/>
      <c r="AD91" s="22"/>
      <c r="AE91" s="22"/>
      <c r="AF91" s="22"/>
      <c r="AG91" s="22"/>
      <c r="AH91" s="22"/>
      <c r="AI91" s="22"/>
      <c r="AJ91" s="22"/>
      <c r="AK91" s="22"/>
      <c r="AL91" s="22"/>
      <c r="AM91" s="22" t="str">
        <f t="shared" ref="AM91" si="103">+_xlfn.CONCAT(N91&amp;V91&amp;Z91)</f>
        <v xml:space="preserve"> Workbooks.Open "A:\Homes for Ukraine data\Ukraine_sponsorship_data_16.ods"</v>
      </c>
      <c r="AO91" t="s">
        <v>352</v>
      </c>
    </row>
    <row r="92" spans="2:41" x14ac:dyDescent="0.25">
      <c r="B92" s="22" t="s">
        <v>453</v>
      </c>
      <c r="C92" s="22"/>
      <c r="D92" s="22"/>
      <c r="E92" s="22"/>
      <c r="F92" s="22"/>
      <c r="G92" s="22"/>
      <c r="H92" s="22"/>
      <c r="I92" s="22"/>
      <c r="J92" s="22"/>
      <c r="K92" s="22"/>
      <c r="L92" s="22"/>
      <c r="M92" s="22"/>
      <c r="N92" s="22" t="s">
        <v>323</v>
      </c>
      <c r="O92" s="22"/>
      <c r="P92" s="22"/>
      <c r="Q92" s="22"/>
      <c r="R92" s="22"/>
      <c r="S92" s="22"/>
      <c r="T92" s="22"/>
      <c r="U92" s="22"/>
      <c r="V92" s="22">
        <f t="shared" si="102"/>
        <v>16</v>
      </c>
      <c r="W92" s="22"/>
      <c r="X92" s="22"/>
      <c r="Y92" s="23"/>
      <c r="Z92" s="22" t="s">
        <v>452</v>
      </c>
      <c r="AA92" s="22"/>
      <c r="AB92" s="22"/>
      <c r="AC92" s="22"/>
      <c r="AD92" s="22"/>
      <c r="AE92" s="22" t="s">
        <v>382</v>
      </c>
      <c r="AF92" s="22">
        <f t="shared" ref="AF92" si="104">AF87</f>
        <v>13</v>
      </c>
      <c r="AG92" s="22" t="s">
        <v>327</v>
      </c>
      <c r="AH92" s="22"/>
      <c r="AI92" s="22">
        <f t="shared" ref="AI92" si="105">AI87</f>
        <v>43</v>
      </c>
      <c r="AJ92" s="22"/>
      <c r="AK92" s="22" t="s">
        <v>325</v>
      </c>
      <c r="AL92" s="22"/>
      <c r="AM92" s="22" t="str">
        <f t="shared" ref="AM92" si="106">_xlfn.CONCAT(N92&amp;V92&amp;Z92&amp;AE92&amp;AF92&amp;AG92&amp;AE92&amp;AI92&amp;AK92)</f>
        <v xml:space="preserve"> Workbooks("Ukraine_sponsorship_data_16.ods").Worksheets("Wales").Range("D13:D43").Copy _</v>
      </c>
      <c r="AO92" t="s">
        <v>1065</v>
      </c>
    </row>
    <row r="93" spans="2:41" x14ac:dyDescent="0.25">
      <c r="B93" s="22" t="s">
        <v>808</v>
      </c>
      <c r="C93" s="22"/>
      <c r="D93" s="22"/>
      <c r="E93" s="22"/>
      <c r="F93" s="22"/>
      <c r="G93" s="22"/>
      <c r="H93" s="22"/>
      <c r="I93" s="22"/>
      <c r="J93" s="22"/>
      <c r="K93" s="22"/>
      <c r="L93" s="22"/>
      <c r="M93" s="22"/>
      <c r="N93" s="22" t="s">
        <v>809</v>
      </c>
      <c r="O93" s="22"/>
      <c r="P93" s="22"/>
      <c r="Q93" s="22"/>
      <c r="R93" s="22"/>
      <c r="S93" s="22"/>
      <c r="T93" s="22"/>
      <c r="U93" s="22"/>
      <c r="V93" s="22"/>
      <c r="W93" s="22" t="str">
        <f t="shared" ref="W93" si="107">CHAR(CODE(W88)+1)</f>
        <v>W</v>
      </c>
      <c r="X93" s="22"/>
      <c r="Y93" s="23">
        <f t="shared" ref="Y93" si="108">Y88</f>
        <v>225</v>
      </c>
      <c r="Z93" s="22" t="s">
        <v>324</v>
      </c>
      <c r="AA93" s="22"/>
      <c r="AB93" s="22"/>
      <c r="AC93" s="22"/>
      <c r="AD93" s="22"/>
      <c r="AE93" s="22"/>
      <c r="AF93" s="22"/>
      <c r="AG93" s="22"/>
      <c r="AH93" s="22"/>
      <c r="AI93" s="22"/>
      <c r="AJ93" s="22"/>
      <c r="AK93" s="22"/>
      <c r="AL93" s="22"/>
      <c r="AM93" s="22" t="str">
        <f t="shared" ref="AM93" si="109">_xlfn.CONCAT(N93&amp;W93&amp;Y93&amp;Z93)</f>
        <v>Workbooks("HFU Forecast UTLA 1.0.xlsm").Worksheets("Combined data").Range("W225")</v>
      </c>
      <c r="AO93" t="s">
        <v>958</v>
      </c>
    </row>
    <row r="94" spans="2:41" x14ac:dyDescent="0.25">
      <c r="B94" s="22" t="s">
        <v>339</v>
      </c>
      <c r="C94" s="22"/>
      <c r="D94" s="22"/>
      <c r="E94" s="22"/>
      <c r="F94" s="22"/>
      <c r="G94" s="22"/>
      <c r="H94" s="22"/>
      <c r="I94" s="22"/>
      <c r="J94" s="22"/>
      <c r="K94" s="22"/>
      <c r="L94" s="22"/>
      <c r="M94" s="22"/>
      <c r="N94" s="22"/>
      <c r="O94" s="22"/>
      <c r="P94" s="22"/>
      <c r="Q94" s="22"/>
      <c r="R94" s="22"/>
      <c r="S94" s="22"/>
      <c r="T94" s="22"/>
      <c r="U94" s="22"/>
      <c r="V94" s="22"/>
      <c r="W94" s="22"/>
      <c r="X94" s="22"/>
      <c r="Y94" s="23"/>
      <c r="Z94" s="22"/>
      <c r="AA94" s="22"/>
      <c r="AB94" s="22"/>
      <c r="AC94" s="22"/>
      <c r="AD94" s="22"/>
      <c r="AE94" s="22"/>
      <c r="AF94" s="22"/>
      <c r="AG94" s="22"/>
      <c r="AH94" s="22"/>
      <c r="AI94" s="22"/>
      <c r="AJ94" s="22"/>
      <c r="AK94" s="22"/>
      <c r="AL94" s="22"/>
      <c r="AM94" s="22" t="str">
        <f t="shared" ref="AM94" si="110">B94</f>
        <v>ActiveWorkbook.Close SaveChanges:=False</v>
      </c>
      <c r="AO94" t="s">
        <v>339</v>
      </c>
    </row>
    <row r="96" spans="2:41" x14ac:dyDescent="0.25">
      <c r="B96" s="19" t="s">
        <v>316</v>
      </c>
      <c r="C96" s="19"/>
      <c r="D96" s="19"/>
      <c r="E96" s="19"/>
      <c r="F96" s="19"/>
      <c r="G96" s="19"/>
      <c r="H96" s="19"/>
      <c r="I96" s="19"/>
      <c r="J96" s="19"/>
      <c r="K96" s="19"/>
      <c r="L96" s="19"/>
      <c r="M96" s="19"/>
      <c r="N96" s="19" t="s">
        <v>321</v>
      </c>
      <c r="O96" s="19"/>
      <c r="P96" s="19"/>
      <c r="Q96" s="19"/>
      <c r="R96" s="19"/>
      <c r="S96" s="19"/>
      <c r="T96" s="19"/>
      <c r="U96" s="19"/>
      <c r="V96" s="19">
        <f t="shared" ref="V96:V97" si="111">V91+1</f>
        <v>17</v>
      </c>
      <c r="W96" s="19"/>
      <c r="X96" s="19"/>
      <c r="Y96" s="21"/>
      <c r="Z96" s="19" t="s">
        <v>322</v>
      </c>
      <c r="AA96" s="19"/>
      <c r="AB96" s="19"/>
      <c r="AC96" s="19"/>
      <c r="AD96" s="19"/>
      <c r="AE96" s="19"/>
      <c r="AF96" s="19"/>
      <c r="AG96" s="19"/>
      <c r="AH96" s="19"/>
      <c r="AI96" s="19"/>
      <c r="AJ96" s="19"/>
      <c r="AK96" s="19"/>
      <c r="AL96" s="19"/>
      <c r="AM96" s="19" t="str">
        <f t="shared" ref="AM96" si="112">+_xlfn.CONCAT(N96&amp;V96&amp;Z96)</f>
        <v xml:space="preserve"> Workbooks.Open "A:\Homes for Ukraine data\Ukraine_sponsorship_data_17.ods"</v>
      </c>
      <c r="AO96" t="s">
        <v>353</v>
      </c>
    </row>
    <row r="97" spans="2:41" x14ac:dyDescent="0.25">
      <c r="B97" s="19" t="s">
        <v>453</v>
      </c>
      <c r="C97" s="19"/>
      <c r="D97" s="19"/>
      <c r="E97" s="19"/>
      <c r="F97" s="19"/>
      <c r="G97" s="19"/>
      <c r="H97" s="19"/>
      <c r="I97" s="19"/>
      <c r="J97" s="19"/>
      <c r="K97" s="19"/>
      <c r="L97" s="19"/>
      <c r="M97" s="19"/>
      <c r="N97" s="19" t="s">
        <v>323</v>
      </c>
      <c r="O97" s="19"/>
      <c r="P97" s="19"/>
      <c r="Q97" s="19"/>
      <c r="R97" s="19"/>
      <c r="S97" s="19"/>
      <c r="T97" s="19"/>
      <c r="U97" s="19"/>
      <c r="V97" s="19">
        <f t="shared" si="111"/>
        <v>17</v>
      </c>
      <c r="W97" s="19"/>
      <c r="X97" s="19"/>
      <c r="Y97" s="21"/>
      <c r="Z97" s="19" t="s">
        <v>452</v>
      </c>
      <c r="AA97" s="19"/>
      <c r="AB97" s="19"/>
      <c r="AC97" s="19"/>
      <c r="AD97" s="19"/>
      <c r="AE97" s="19" t="s">
        <v>382</v>
      </c>
      <c r="AF97" s="19">
        <f t="shared" ref="AF97" si="113">AF92</f>
        <v>13</v>
      </c>
      <c r="AG97" s="19" t="s">
        <v>327</v>
      </c>
      <c r="AH97" s="19"/>
      <c r="AI97" s="19">
        <f t="shared" ref="AI97" si="114">AI92</f>
        <v>43</v>
      </c>
      <c r="AJ97" s="19"/>
      <c r="AK97" s="19" t="s">
        <v>325</v>
      </c>
      <c r="AL97" s="19"/>
      <c r="AM97" s="19" t="str">
        <f t="shared" ref="AM97" si="115">_xlfn.CONCAT(N97&amp;V97&amp;Z97&amp;AE97&amp;AF97&amp;AG97&amp;AE97&amp;AI97&amp;AK97)</f>
        <v xml:space="preserve"> Workbooks("Ukraine_sponsorship_data_17.ods").Worksheets("Wales").Range("D13:D43").Copy _</v>
      </c>
      <c r="AO97" t="s">
        <v>1066</v>
      </c>
    </row>
    <row r="98" spans="2:41" x14ac:dyDescent="0.25">
      <c r="B98" s="19" t="s">
        <v>808</v>
      </c>
      <c r="C98" s="19"/>
      <c r="D98" s="19"/>
      <c r="E98" s="19"/>
      <c r="F98" s="19"/>
      <c r="G98" s="19"/>
      <c r="H98" s="19"/>
      <c r="I98" s="19"/>
      <c r="J98" s="19"/>
      <c r="K98" s="19"/>
      <c r="L98" s="19"/>
      <c r="M98" s="19"/>
      <c r="N98" s="19" t="s">
        <v>809</v>
      </c>
      <c r="O98" s="19"/>
      <c r="P98" s="19"/>
      <c r="Q98" s="19"/>
      <c r="R98" s="19"/>
      <c r="S98" s="19"/>
      <c r="T98" s="19"/>
      <c r="U98" s="19"/>
      <c r="V98" s="19"/>
      <c r="W98" s="19" t="str">
        <f t="shared" ref="W98" si="116">CHAR(CODE(W93)+1)</f>
        <v>X</v>
      </c>
      <c r="X98" s="19"/>
      <c r="Y98" s="21">
        <f t="shared" ref="Y98" si="117">Y93</f>
        <v>225</v>
      </c>
      <c r="Z98" s="19" t="s">
        <v>324</v>
      </c>
      <c r="AA98" s="19"/>
      <c r="AB98" s="19"/>
      <c r="AC98" s="19"/>
      <c r="AD98" s="19"/>
      <c r="AE98" s="19"/>
      <c r="AF98" s="19"/>
      <c r="AG98" s="19"/>
      <c r="AH98" s="19"/>
      <c r="AI98" s="19"/>
      <c r="AJ98" s="19"/>
      <c r="AK98" s="19"/>
      <c r="AL98" s="19"/>
      <c r="AM98" s="19" t="str">
        <f t="shared" ref="AM98" si="118">_xlfn.CONCAT(N98&amp;W98&amp;Y98&amp;Z98)</f>
        <v>Workbooks("HFU Forecast UTLA 1.0.xlsm").Worksheets("Combined data").Range("X225")</v>
      </c>
      <c r="AO98" t="s">
        <v>959</v>
      </c>
    </row>
    <row r="99" spans="2:41" x14ac:dyDescent="0.25">
      <c r="B99" s="19" t="s">
        <v>339</v>
      </c>
      <c r="C99" s="19"/>
      <c r="D99" s="19"/>
      <c r="E99" s="19"/>
      <c r="F99" s="19"/>
      <c r="G99" s="19"/>
      <c r="H99" s="19"/>
      <c r="I99" s="19"/>
      <c r="J99" s="19"/>
      <c r="K99" s="19"/>
      <c r="L99" s="19"/>
      <c r="M99" s="19"/>
      <c r="N99" s="19"/>
      <c r="O99" s="19"/>
      <c r="P99" s="19"/>
      <c r="Q99" s="19"/>
      <c r="R99" s="19"/>
      <c r="S99" s="19"/>
      <c r="T99" s="19"/>
      <c r="U99" s="19"/>
      <c r="V99" s="19"/>
      <c r="W99" s="19"/>
      <c r="X99" s="19"/>
      <c r="Y99" s="21"/>
      <c r="Z99" s="19"/>
      <c r="AA99" s="19"/>
      <c r="AB99" s="19"/>
      <c r="AC99" s="19"/>
      <c r="AD99" s="19"/>
      <c r="AE99" s="19"/>
      <c r="AF99" s="19"/>
      <c r="AG99" s="19"/>
      <c r="AH99" s="19"/>
      <c r="AI99" s="19"/>
      <c r="AJ99" s="19"/>
      <c r="AK99" s="19"/>
      <c r="AL99" s="19"/>
      <c r="AM99" s="19" t="str">
        <f t="shared" ref="AM99" si="119">B99</f>
        <v>ActiveWorkbook.Close SaveChanges:=False</v>
      </c>
      <c r="AO99" t="s">
        <v>339</v>
      </c>
    </row>
    <row r="101" spans="2:41" x14ac:dyDescent="0.25">
      <c r="B101" s="22" t="s">
        <v>316</v>
      </c>
      <c r="C101" s="22"/>
      <c r="D101" s="22"/>
      <c r="E101" s="22"/>
      <c r="F101" s="22"/>
      <c r="G101" s="22"/>
      <c r="H101" s="22"/>
      <c r="I101" s="22"/>
      <c r="J101" s="22"/>
      <c r="K101" s="22"/>
      <c r="L101" s="22"/>
      <c r="M101" s="22"/>
      <c r="N101" s="22" t="s">
        <v>321</v>
      </c>
      <c r="O101" s="22"/>
      <c r="P101" s="22"/>
      <c r="Q101" s="22"/>
      <c r="R101" s="22"/>
      <c r="S101" s="22"/>
      <c r="T101" s="22"/>
      <c r="U101" s="22"/>
      <c r="V101" s="22">
        <f t="shared" ref="V101:V102" si="120">V96+1</f>
        <v>18</v>
      </c>
      <c r="W101" s="22"/>
      <c r="X101" s="22"/>
      <c r="Y101" s="23"/>
      <c r="Z101" s="22" t="s">
        <v>322</v>
      </c>
      <c r="AA101" s="22"/>
      <c r="AB101" s="22"/>
      <c r="AC101" s="22"/>
      <c r="AD101" s="22"/>
      <c r="AE101" s="22"/>
      <c r="AF101" s="22"/>
      <c r="AG101" s="22"/>
      <c r="AH101" s="22"/>
      <c r="AI101" s="22"/>
      <c r="AJ101" s="22"/>
      <c r="AK101" s="22"/>
      <c r="AL101" s="22"/>
      <c r="AM101" s="22" t="str">
        <f t="shared" ref="AM101" si="121">+_xlfn.CONCAT(N101&amp;V101&amp;Z101)</f>
        <v xml:space="preserve"> Workbooks.Open "A:\Homes for Ukraine data\Ukraine_sponsorship_data_18.ods"</v>
      </c>
      <c r="AO101" t="s">
        <v>354</v>
      </c>
    </row>
    <row r="102" spans="2:41" x14ac:dyDescent="0.25">
      <c r="B102" s="22" t="s">
        <v>453</v>
      </c>
      <c r="C102" s="22"/>
      <c r="D102" s="22"/>
      <c r="E102" s="22"/>
      <c r="F102" s="22"/>
      <c r="G102" s="22"/>
      <c r="H102" s="22"/>
      <c r="I102" s="22"/>
      <c r="J102" s="22"/>
      <c r="K102" s="22"/>
      <c r="L102" s="22"/>
      <c r="M102" s="22"/>
      <c r="N102" s="22" t="s">
        <v>323</v>
      </c>
      <c r="O102" s="22"/>
      <c r="P102" s="22"/>
      <c r="Q102" s="22"/>
      <c r="R102" s="22"/>
      <c r="S102" s="22"/>
      <c r="T102" s="22"/>
      <c r="U102" s="22"/>
      <c r="V102" s="22">
        <f t="shared" si="120"/>
        <v>18</v>
      </c>
      <c r="W102" s="22"/>
      <c r="X102" s="22"/>
      <c r="Y102" s="23"/>
      <c r="Z102" s="22" t="s">
        <v>452</v>
      </c>
      <c r="AA102" s="22"/>
      <c r="AB102" s="22"/>
      <c r="AC102" s="22"/>
      <c r="AD102" s="22"/>
      <c r="AE102" s="22" t="s">
        <v>382</v>
      </c>
      <c r="AF102" s="22">
        <f t="shared" ref="AF102" si="122">AF97</f>
        <v>13</v>
      </c>
      <c r="AG102" s="22" t="s">
        <v>327</v>
      </c>
      <c r="AH102" s="22"/>
      <c r="AI102" s="22">
        <f t="shared" ref="AI102" si="123">AI97</f>
        <v>43</v>
      </c>
      <c r="AJ102" s="22"/>
      <c r="AK102" s="22" t="s">
        <v>325</v>
      </c>
      <c r="AL102" s="22"/>
      <c r="AM102" s="22" t="str">
        <f t="shared" ref="AM102" si="124">_xlfn.CONCAT(N102&amp;V102&amp;Z102&amp;AE102&amp;AF102&amp;AG102&amp;AE102&amp;AI102&amp;AK102)</f>
        <v xml:space="preserve"> Workbooks("Ukraine_sponsorship_data_18.ods").Worksheets("Wales").Range("D13:D43").Copy _</v>
      </c>
      <c r="AO102" t="s">
        <v>1067</v>
      </c>
    </row>
    <row r="103" spans="2:41" x14ac:dyDescent="0.25">
      <c r="B103" s="22" t="s">
        <v>808</v>
      </c>
      <c r="C103" s="22"/>
      <c r="D103" s="22"/>
      <c r="E103" s="22"/>
      <c r="F103" s="22"/>
      <c r="G103" s="22"/>
      <c r="H103" s="22"/>
      <c r="I103" s="22"/>
      <c r="J103" s="22"/>
      <c r="K103" s="22"/>
      <c r="L103" s="22"/>
      <c r="M103" s="22"/>
      <c r="N103" s="22" t="s">
        <v>809</v>
      </c>
      <c r="O103" s="22"/>
      <c r="P103" s="22"/>
      <c r="Q103" s="22"/>
      <c r="R103" s="22"/>
      <c r="S103" s="22"/>
      <c r="T103" s="22"/>
      <c r="U103" s="22"/>
      <c r="V103" s="22"/>
      <c r="W103" s="22" t="str">
        <f t="shared" ref="W103" si="125">CHAR(CODE(W98)+1)</f>
        <v>Y</v>
      </c>
      <c r="X103" s="22"/>
      <c r="Y103" s="23">
        <f t="shared" ref="Y103" si="126">Y98</f>
        <v>225</v>
      </c>
      <c r="Z103" s="22" t="s">
        <v>324</v>
      </c>
      <c r="AA103" s="22"/>
      <c r="AB103" s="22"/>
      <c r="AC103" s="22"/>
      <c r="AD103" s="22"/>
      <c r="AE103" s="22"/>
      <c r="AF103" s="22"/>
      <c r="AG103" s="22"/>
      <c r="AH103" s="22"/>
      <c r="AI103" s="22"/>
      <c r="AJ103" s="22"/>
      <c r="AK103" s="22"/>
      <c r="AL103" s="22"/>
      <c r="AM103" s="22" t="str">
        <f t="shared" ref="AM103" si="127">_xlfn.CONCAT(N103&amp;W103&amp;Y103&amp;Z103)</f>
        <v>Workbooks("HFU Forecast UTLA 1.0.xlsm").Worksheets("Combined data").Range("Y225")</v>
      </c>
      <c r="AO103" t="s">
        <v>960</v>
      </c>
    </row>
    <row r="104" spans="2:41" x14ac:dyDescent="0.25">
      <c r="B104" s="22" t="s">
        <v>339</v>
      </c>
      <c r="C104" s="22"/>
      <c r="D104" s="22"/>
      <c r="E104" s="22"/>
      <c r="F104" s="22"/>
      <c r="G104" s="22"/>
      <c r="H104" s="22"/>
      <c r="I104" s="22"/>
      <c r="J104" s="22"/>
      <c r="K104" s="22"/>
      <c r="L104" s="22"/>
      <c r="M104" s="22"/>
      <c r="N104" s="22"/>
      <c r="O104" s="22"/>
      <c r="P104" s="22"/>
      <c r="Q104" s="22"/>
      <c r="R104" s="22"/>
      <c r="S104" s="22"/>
      <c r="T104" s="22"/>
      <c r="U104" s="22"/>
      <c r="V104" s="22"/>
      <c r="W104" s="22"/>
      <c r="X104" s="22"/>
      <c r="Y104" s="23"/>
      <c r="Z104" s="22"/>
      <c r="AA104" s="22"/>
      <c r="AB104" s="22"/>
      <c r="AC104" s="22"/>
      <c r="AD104" s="22"/>
      <c r="AE104" s="22"/>
      <c r="AF104" s="22"/>
      <c r="AG104" s="22"/>
      <c r="AH104" s="22"/>
      <c r="AI104" s="22"/>
      <c r="AJ104" s="22"/>
      <c r="AK104" s="22"/>
      <c r="AL104" s="22"/>
      <c r="AM104" s="22" t="str">
        <f t="shared" ref="AM104" si="128">B104</f>
        <v>ActiveWorkbook.Close SaveChanges:=False</v>
      </c>
      <c r="AO104" t="s">
        <v>339</v>
      </c>
    </row>
    <row r="106" spans="2:41" x14ac:dyDescent="0.25">
      <c r="B106" s="19" t="s">
        <v>316</v>
      </c>
      <c r="C106" s="19"/>
      <c r="D106" s="19"/>
      <c r="E106" s="19"/>
      <c r="F106" s="19"/>
      <c r="G106" s="19"/>
      <c r="H106" s="19"/>
      <c r="I106" s="19"/>
      <c r="J106" s="19"/>
      <c r="K106" s="19"/>
      <c r="L106" s="19"/>
      <c r="M106" s="19"/>
      <c r="N106" s="19" t="s">
        <v>321</v>
      </c>
      <c r="O106" s="19"/>
      <c r="P106" s="19"/>
      <c r="Q106" s="19"/>
      <c r="R106" s="19"/>
      <c r="S106" s="19"/>
      <c r="T106" s="19"/>
      <c r="U106" s="19"/>
      <c r="V106" s="19">
        <f t="shared" ref="V106:V107" si="129">V101+1</f>
        <v>19</v>
      </c>
      <c r="W106" s="19"/>
      <c r="X106" s="19"/>
      <c r="Y106" s="21"/>
      <c r="Z106" s="19" t="s">
        <v>322</v>
      </c>
      <c r="AA106" s="19"/>
      <c r="AB106" s="19"/>
      <c r="AC106" s="19"/>
      <c r="AD106" s="19"/>
      <c r="AE106" s="19"/>
      <c r="AF106" s="19"/>
      <c r="AG106" s="19"/>
      <c r="AH106" s="19"/>
      <c r="AI106" s="19"/>
      <c r="AJ106" s="19"/>
      <c r="AK106" s="19"/>
      <c r="AL106" s="19"/>
      <c r="AM106" s="19" t="str">
        <f t="shared" ref="AM106" si="130">+_xlfn.CONCAT(N106&amp;V106&amp;Z106)</f>
        <v xml:space="preserve"> Workbooks.Open "A:\Homes for Ukraine data\Ukraine_sponsorship_data_19.ods"</v>
      </c>
      <c r="AO106" t="s">
        <v>355</v>
      </c>
    </row>
    <row r="107" spans="2:41" x14ac:dyDescent="0.25">
      <c r="B107" s="19" t="s">
        <v>453</v>
      </c>
      <c r="C107" s="19"/>
      <c r="D107" s="19"/>
      <c r="E107" s="19"/>
      <c r="F107" s="19"/>
      <c r="G107" s="19"/>
      <c r="H107" s="19"/>
      <c r="I107" s="19"/>
      <c r="J107" s="19"/>
      <c r="K107" s="19"/>
      <c r="L107" s="19"/>
      <c r="M107" s="19"/>
      <c r="N107" s="19" t="s">
        <v>323</v>
      </c>
      <c r="O107" s="19"/>
      <c r="P107" s="19"/>
      <c r="Q107" s="19"/>
      <c r="R107" s="19"/>
      <c r="S107" s="19"/>
      <c r="T107" s="19"/>
      <c r="U107" s="19"/>
      <c r="V107" s="19">
        <f t="shared" si="129"/>
        <v>19</v>
      </c>
      <c r="W107" s="19"/>
      <c r="X107" s="19"/>
      <c r="Y107" s="21"/>
      <c r="Z107" s="19" t="s">
        <v>452</v>
      </c>
      <c r="AA107" s="19"/>
      <c r="AB107" s="19"/>
      <c r="AC107" s="19"/>
      <c r="AD107" s="19"/>
      <c r="AE107" s="19" t="s">
        <v>382</v>
      </c>
      <c r="AF107" s="19">
        <f t="shared" ref="AF107" si="131">AF102</f>
        <v>13</v>
      </c>
      <c r="AG107" s="19" t="s">
        <v>327</v>
      </c>
      <c r="AH107" s="19"/>
      <c r="AI107" s="19">
        <f t="shared" ref="AI107" si="132">AI102</f>
        <v>43</v>
      </c>
      <c r="AJ107" s="19"/>
      <c r="AK107" s="19" t="s">
        <v>325</v>
      </c>
      <c r="AL107" s="19"/>
      <c r="AM107" s="19" t="str">
        <f t="shared" ref="AM107" si="133">_xlfn.CONCAT(N107&amp;V107&amp;Z107&amp;AE107&amp;AF107&amp;AG107&amp;AE107&amp;AI107&amp;AK107)</f>
        <v xml:space="preserve"> Workbooks("Ukraine_sponsorship_data_19.ods").Worksheets("Wales").Range("D13:D43").Copy _</v>
      </c>
      <c r="AO107" t="s">
        <v>1068</v>
      </c>
    </row>
    <row r="108" spans="2:41" x14ac:dyDescent="0.25">
      <c r="B108" s="19" t="s">
        <v>808</v>
      </c>
      <c r="C108" s="19"/>
      <c r="D108" s="19"/>
      <c r="E108" s="19"/>
      <c r="F108" s="19"/>
      <c r="G108" s="19"/>
      <c r="H108" s="19"/>
      <c r="I108" s="19"/>
      <c r="J108" s="19"/>
      <c r="K108" s="19"/>
      <c r="L108" s="19"/>
      <c r="M108" s="19"/>
      <c r="N108" s="19" t="s">
        <v>809</v>
      </c>
      <c r="O108" s="19"/>
      <c r="P108" s="19"/>
      <c r="Q108" s="19"/>
      <c r="R108" s="19"/>
      <c r="S108" s="19"/>
      <c r="T108" s="19"/>
      <c r="U108" s="19"/>
      <c r="V108" s="19"/>
      <c r="W108" s="19" t="str">
        <f t="shared" ref="W108" si="134">CHAR(CODE(W103)+1)</f>
        <v>Z</v>
      </c>
      <c r="X108" s="19"/>
      <c r="Y108" s="21">
        <f t="shared" ref="Y108" si="135">Y103</f>
        <v>225</v>
      </c>
      <c r="Z108" s="19" t="s">
        <v>324</v>
      </c>
      <c r="AA108" s="19"/>
      <c r="AB108" s="19"/>
      <c r="AC108" s="19"/>
      <c r="AD108" s="19"/>
      <c r="AE108" s="19"/>
      <c r="AF108" s="19"/>
      <c r="AG108" s="19"/>
      <c r="AH108" s="19"/>
      <c r="AI108" s="19"/>
      <c r="AJ108" s="19"/>
      <c r="AK108" s="19"/>
      <c r="AL108" s="19"/>
      <c r="AM108" s="19" t="str">
        <f t="shared" ref="AM108" si="136">_xlfn.CONCAT(N108&amp;W108&amp;Y108&amp;Z108)</f>
        <v>Workbooks("HFU Forecast UTLA 1.0.xlsm").Worksheets("Combined data").Range("Z225")</v>
      </c>
      <c r="AO108" t="s">
        <v>961</v>
      </c>
    </row>
    <row r="109" spans="2:41" x14ac:dyDescent="0.25">
      <c r="B109" s="19" t="s">
        <v>339</v>
      </c>
      <c r="C109" s="19"/>
      <c r="D109" s="19"/>
      <c r="E109" s="19"/>
      <c r="F109" s="19"/>
      <c r="G109" s="19"/>
      <c r="H109" s="19"/>
      <c r="I109" s="19"/>
      <c r="J109" s="19"/>
      <c r="K109" s="19"/>
      <c r="L109" s="19"/>
      <c r="M109" s="19"/>
      <c r="N109" s="19"/>
      <c r="O109" s="19"/>
      <c r="P109" s="19"/>
      <c r="Q109" s="19"/>
      <c r="R109" s="19"/>
      <c r="S109" s="19"/>
      <c r="T109" s="19"/>
      <c r="U109" s="19"/>
      <c r="V109" s="19"/>
      <c r="W109" s="19"/>
      <c r="X109" s="19"/>
      <c r="Y109" s="21"/>
      <c r="Z109" s="19"/>
      <c r="AA109" s="19"/>
      <c r="AB109" s="19"/>
      <c r="AC109" s="19"/>
      <c r="AD109" s="19"/>
      <c r="AE109" s="19"/>
      <c r="AF109" s="19"/>
      <c r="AG109" s="19"/>
      <c r="AH109" s="19"/>
      <c r="AI109" s="19"/>
      <c r="AJ109" s="19"/>
      <c r="AK109" s="19"/>
      <c r="AL109" s="19"/>
      <c r="AM109" s="19" t="str">
        <f t="shared" ref="AM109" si="137">B109</f>
        <v>ActiveWorkbook.Close SaveChanges:=False</v>
      </c>
      <c r="AO109" t="s">
        <v>339</v>
      </c>
    </row>
    <row r="111" spans="2:41" x14ac:dyDescent="0.25">
      <c r="B111" s="22" t="s">
        <v>316</v>
      </c>
      <c r="C111" s="22"/>
      <c r="D111" s="22"/>
      <c r="E111" s="22"/>
      <c r="F111" s="22"/>
      <c r="G111" s="22"/>
      <c r="H111" s="22"/>
      <c r="I111" s="22"/>
      <c r="J111" s="22"/>
      <c r="K111" s="22"/>
      <c r="L111" s="22"/>
      <c r="M111" s="22"/>
      <c r="N111" s="22" t="s">
        <v>321</v>
      </c>
      <c r="O111" s="22"/>
      <c r="P111" s="22"/>
      <c r="Q111" s="22"/>
      <c r="R111" s="22"/>
      <c r="S111" s="22"/>
      <c r="T111" s="22"/>
      <c r="U111" s="22"/>
      <c r="V111" s="22">
        <f t="shared" ref="V111:V112" si="138">V106+1</f>
        <v>20</v>
      </c>
      <c r="W111" s="22"/>
      <c r="X111" s="22"/>
      <c r="Y111" s="23"/>
      <c r="Z111" s="22" t="s">
        <v>322</v>
      </c>
      <c r="AA111" s="22"/>
      <c r="AB111" s="22"/>
      <c r="AC111" s="22"/>
      <c r="AD111" s="22"/>
      <c r="AE111" s="22"/>
      <c r="AF111" s="22"/>
      <c r="AG111" s="22"/>
      <c r="AH111" s="22"/>
      <c r="AI111" s="22"/>
      <c r="AJ111" s="22"/>
      <c r="AK111" s="22"/>
      <c r="AL111" s="22"/>
      <c r="AM111" s="22" t="str">
        <f t="shared" ref="AM111" si="139">+_xlfn.CONCAT(N111&amp;V111&amp;Z111)</f>
        <v xml:space="preserve"> Workbooks.Open "A:\Homes for Ukraine data\Ukraine_sponsorship_data_20.ods"</v>
      </c>
      <c r="AO111" t="s">
        <v>356</v>
      </c>
    </row>
    <row r="112" spans="2:41" x14ac:dyDescent="0.25">
      <c r="B112" s="22" t="s">
        <v>453</v>
      </c>
      <c r="C112" s="22"/>
      <c r="D112" s="22"/>
      <c r="E112" s="22"/>
      <c r="F112" s="22"/>
      <c r="G112" s="22"/>
      <c r="H112" s="22"/>
      <c r="I112" s="22"/>
      <c r="J112" s="22"/>
      <c r="K112" s="22"/>
      <c r="L112" s="22"/>
      <c r="M112" s="22"/>
      <c r="N112" s="22" t="s">
        <v>323</v>
      </c>
      <c r="O112" s="22"/>
      <c r="P112" s="22"/>
      <c r="Q112" s="22"/>
      <c r="R112" s="22"/>
      <c r="S112" s="22"/>
      <c r="T112" s="22"/>
      <c r="U112" s="22"/>
      <c r="V112" s="22">
        <f t="shared" si="138"/>
        <v>20</v>
      </c>
      <c r="W112" s="22"/>
      <c r="X112" s="22"/>
      <c r="Y112" s="23"/>
      <c r="Z112" s="22" t="s">
        <v>452</v>
      </c>
      <c r="AA112" s="22"/>
      <c r="AB112" s="22"/>
      <c r="AC112" s="22"/>
      <c r="AD112" s="22"/>
      <c r="AE112" s="22" t="s">
        <v>382</v>
      </c>
      <c r="AF112" s="22">
        <f t="shared" ref="AF112" si="140">AF107</f>
        <v>13</v>
      </c>
      <c r="AG112" s="22" t="s">
        <v>327</v>
      </c>
      <c r="AH112" s="22"/>
      <c r="AI112" s="22">
        <f t="shared" ref="AI112" si="141">AI107</f>
        <v>43</v>
      </c>
      <c r="AJ112" s="22"/>
      <c r="AK112" s="22" t="s">
        <v>325</v>
      </c>
      <c r="AL112" s="22"/>
      <c r="AM112" s="22" t="str">
        <f t="shared" ref="AM112" si="142">_xlfn.CONCAT(N112&amp;V112&amp;Z112&amp;AE112&amp;AF112&amp;AG112&amp;AE112&amp;AI112&amp;AK112)</f>
        <v xml:space="preserve"> Workbooks("Ukraine_sponsorship_data_20.ods").Worksheets("Wales").Range("D13:D43").Copy _</v>
      </c>
      <c r="AO112" t="s">
        <v>1069</v>
      </c>
    </row>
    <row r="113" spans="2:41" x14ac:dyDescent="0.25">
      <c r="B113" s="22" t="s">
        <v>808</v>
      </c>
      <c r="C113" s="22"/>
      <c r="D113" s="22"/>
      <c r="E113" s="22"/>
      <c r="F113" s="22"/>
      <c r="G113" s="22"/>
      <c r="H113" s="22"/>
      <c r="I113" s="22"/>
      <c r="J113" s="22"/>
      <c r="K113" s="22"/>
      <c r="L113" s="22"/>
      <c r="M113" s="22"/>
      <c r="N113" s="22" t="s">
        <v>809</v>
      </c>
      <c r="O113" s="22"/>
      <c r="P113" s="22"/>
      <c r="Q113" s="22"/>
      <c r="R113" s="22"/>
      <c r="S113" s="22"/>
      <c r="T113" s="22"/>
      <c r="U113" s="22"/>
      <c r="V113" s="22"/>
      <c r="W113" s="22" t="s">
        <v>312</v>
      </c>
      <c r="X113" s="22" t="s">
        <v>312</v>
      </c>
      <c r="Y113" s="23">
        <f t="shared" ref="Y113" si="143">Y108</f>
        <v>225</v>
      </c>
      <c r="Z113" s="22" t="s">
        <v>324</v>
      </c>
      <c r="AA113" s="22"/>
      <c r="AB113" s="22"/>
      <c r="AC113" s="22"/>
      <c r="AD113" s="22"/>
      <c r="AE113" s="22"/>
      <c r="AF113" s="22"/>
      <c r="AG113" s="22"/>
      <c r="AH113" s="22"/>
      <c r="AI113" s="22"/>
      <c r="AJ113" s="22"/>
      <c r="AK113" s="22"/>
      <c r="AL113" s="22"/>
      <c r="AM113" s="22" t="str">
        <f>_xlfn.CONCAT(N113&amp;W113&amp;X113&amp;Y113&amp;Z113)</f>
        <v>Workbooks("HFU Forecast UTLA 1.0.xlsm").Worksheets("Combined data").Range("AA225")</v>
      </c>
      <c r="AO113" t="s">
        <v>916</v>
      </c>
    </row>
    <row r="114" spans="2:41" x14ac:dyDescent="0.25">
      <c r="B114" s="22" t="s">
        <v>339</v>
      </c>
      <c r="C114" s="22"/>
      <c r="D114" s="22"/>
      <c r="E114" s="22"/>
      <c r="F114" s="22"/>
      <c r="G114" s="22"/>
      <c r="H114" s="22"/>
      <c r="I114" s="22"/>
      <c r="J114" s="22"/>
      <c r="K114" s="22"/>
      <c r="L114" s="22"/>
      <c r="M114" s="22"/>
      <c r="N114" s="22"/>
      <c r="O114" s="22"/>
      <c r="P114" s="22"/>
      <c r="Q114" s="22"/>
      <c r="R114" s="22"/>
      <c r="S114" s="22"/>
      <c r="T114" s="22"/>
      <c r="U114" s="22"/>
      <c r="V114" s="22"/>
      <c r="W114" s="22"/>
      <c r="X114" s="22"/>
      <c r="Y114" s="23"/>
      <c r="Z114" s="22"/>
      <c r="AA114" s="22"/>
      <c r="AB114" s="22"/>
      <c r="AC114" s="22"/>
      <c r="AD114" s="22"/>
      <c r="AE114" s="22"/>
      <c r="AF114" s="22"/>
      <c r="AG114" s="22"/>
      <c r="AH114" s="22"/>
      <c r="AI114" s="22"/>
      <c r="AJ114" s="22"/>
      <c r="AK114" s="22"/>
      <c r="AL114" s="22"/>
      <c r="AM114" s="22" t="str">
        <f t="shared" ref="AM114" si="144">B114</f>
        <v>ActiveWorkbook.Close SaveChanges:=False</v>
      </c>
      <c r="AO114" t="s">
        <v>339</v>
      </c>
    </row>
    <row r="116" spans="2:41" ht="18.75" customHeight="1" x14ac:dyDescent="0.25">
      <c r="B116" s="19" t="s">
        <v>316</v>
      </c>
      <c r="C116" s="19"/>
      <c r="D116" s="19"/>
      <c r="E116" s="19"/>
      <c r="F116" s="19"/>
      <c r="G116" s="19"/>
      <c r="H116" s="19"/>
      <c r="I116" s="19"/>
      <c r="J116" s="19"/>
      <c r="K116" s="19"/>
      <c r="L116" s="19"/>
      <c r="M116" s="19"/>
      <c r="N116" s="19" t="s">
        <v>321</v>
      </c>
      <c r="O116" s="19"/>
      <c r="P116" s="19"/>
      <c r="Q116" s="19"/>
      <c r="R116" s="19"/>
      <c r="S116" s="19"/>
      <c r="T116" s="19"/>
      <c r="U116" s="19"/>
      <c r="V116" s="19">
        <f t="shared" ref="V116:V117" si="145">V111+1</f>
        <v>21</v>
      </c>
      <c r="W116" s="19"/>
      <c r="X116" s="19"/>
      <c r="Y116" s="21"/>
      <c r="Z116" s="19" t="s">
        <v>322</v>
      </c>
      <c r="AA116" s="19"/>
      <c r="AB116" s="19"/>
      <c r="AC116" s="19"/>
      <c r="AD116" s="19"/>
      <c r="AE116" s="19"/>
      <c r="AF116" s="19"/>
      <c r="AG116" s="19"/>
      <c r="AH116" s="19"/>
      <c r="AI116" s="19"/>
      <c r="AJ116" s="19"/>
      <c r="AK116" s="19"/>
      <c r="AL116" s="19"/>
      <c r="AM116" s="19" t="str">
        <f t="shared" ref="AM116" si="146">+_xlfn.CONCAT(N116&amp;V116&amp;Z116)</f>
        <v xml:space="preserve"> Workbooks.Open "A:\Homes for Ukraine data\Ukraine_sponsorship_data_21.ods"</v>
      </c>
      <c r="AO116" t="s">
        <v>357</v>
      </c>
    </row>
    <row r="117" spans="2:41" x14ac:dyDescent="0.25">
      <c r="B117" s="19" t="s">
        <v>453</v>
      </c>
      <c r="C117" s="19"/>
      <c r="D117" s="19"/>
      <c r="E117" s="19"/>
      <c r="F117" s="19"/>
      <c r="G117" s="19"/>
      <c r="H117" s="19"/>
      <c r="I117" s="19"/>
      <c r="J117" s="19"/>
      <c r="K117" s="19"/>
      <c r="L117" s="19"/>
      <c r="M117" s="19"/>
      <c r="N117" s="19" t="s">
        <v>323</v>
      </c>
      <c r="O117" s="19"/>
      <c r="P117" s="19"/>
      <c r="Q117" s="19"/>
      <c r="R117" s="19"/>
      <c r="S117" s="19"/>
      <c r="T117" s="19"/>
      <c r="U117" s="19"/>
      <c r="V117" s="19">
        <f t="shared" si="145"/>
        <v>21</v>
      </c>
      <c r="W117" s="19"/>
      <c r="X117" s="19"/>
      <c r="Y117" s="21"/>
      <c r="Z117" s="19" t="s">
        <v>452</v>
      </c>
      <c r="AA117" s="19"/>
      <c r="AB117" s="19"/>
      <c r="AC117" s="19"/>
      <c r="AD117" s="19"/>
      <c r="AE117" s="19" t="s">
        <v>382</v>
      </c>
      <c r="AF117" s="19">
        <f t="shared" ref="AF117" si="147">AF112</f>
        <v>13</v>
      </c>
      <c r="AG117" s="19" t="s">
        <v>327</v>
      </c>
      <c r="AH117" s="19"/>
      <c r="AI117" s="19">
        <f t="shared" ref="AI117" si="148">AI112</f>
        <v>43</v>
      </c>
      <c r="AJ117" s="19"/>
      <c r="AK117" s="19" t="s">
        <v>325</v>
      </c>
      <c r="AL117" s="19"/>
      <c r="AM117" s="19" t="str">
        <f t="shared" ref="AM117" si="149">_xlfn.CONCAT(N117&amp;V117&amp;Z117&amp;AE117&amp;AF117&amp;AG117&amp;AE117&amp;AI117&amp;AK117)</f>
        <v xml:space="preserve"> Workbooks("Ukraine_sponsorship_data_21.ods").Worksheets("Wales").Range("D13:D43").Copy _</v>
      </c>
      <c r="AO117" t="s">
        <v>1070</v>
      </c>
    </row>
    <row r="118" spans="2:41" x14ac:dyDescent="0.25">
      <c r="B118" s="19" t="s">
        <v>808</v>
      </c>
      <c r="C118" s="19"/>
      <c r="D118" s="19"/>
      <c r="E118" s="19"/>
      <c r="F118" s="19"/>
      <c r="G118" s="19"/>
      <c r="H118" s="19"/>
      <c r="I118" s="19"/>
      <c r="J118" s="19"/>
      <c r="K118" s="19"/>
      <c r="L118" s="19"/>
      <c r="M118" s="19"/>
      <c r="N118" s="19" t="s">
        <v>809</v>
      </c>
      <c r="O118" s="19"/>
      <c r="P118" s="19"/>
      <c r="Q118" s="19"/>
      <c r="R118" s="19"/>
      <c r="S118" s="19"/>
      <c r="T118" s="19"/>
      <c r="U118" s="19"/>
      <c r="V118" s="19"/>
      <c r="W118" s="19" t="s">
        <v>312</v>
      </c>
      <c r="X118" s="19" t="str">
        <f>CHAR(CODE(X113)+1)</f>
        <v>B</v>
      </c>
      <c r="Y118" s="21">
        <f t="shared" ref="Y118" si="150">Y113</f>
        <v>225</v>
      </c>
      <c r="Z118" s="19" t="s">
        <v>324</v>
      </c>
      <c r="AA118" s="19"/>
      <c r="AB118" s="19"/>
      <c r="AC118" s="19"/>
      <c r="AD118" s="19"/>
      <c r="AE118" s="19"/>
      <c r="AF118" s="19"/>
      <c r="AG118" s="19"/>
      <c r="AH118" s="19"/>
      <c r="AI118" s="19"/>
      <c r="AJ118" s="19"/>
      <c r="AK118" s="19"/>
      <c r="AL118" s="19"/>
      <c r="AM118" s="19" t="str">
        <f>_xlfn.CONCAT(N118&amp;W118&amp;X118&amp;Y118&amp;Z118)</f>
        <v>Workbooks("HFU Forecast UTLA 1.0.xlsm").Worksheets("Combined data").Range("AB225")</v>
      </c>
      <c r="AO118" t="s">
        <v>917</v>
      </c>
    </row>
    <row r="119" spans="2:41" x14ac:dyDescent="0.25">
      <c r="B119" s="19" t="s">
        <v>339</v>
      </c>
      <c r="C119" s="19"/>
      <c r="D119" s="19"/>
      <c r="E119" s="19"/>
      <c r="F119" s="19"/>
      <c r="G119" s="19"/>
      <c r="H119" s="19"/>
      <c r="I119" s="19"/>
      <c r="J119" s="19"/>
      <c r="K119" s="19"/>
      <c r="L119" s="19"/>
      <c r="M119" s="19"/>
      <c r="N119" s="19"/>
      <c r="O119" s="19"/>
      <c r="P119" s="19"/>
      <c r="Q119" s="19"/>
      <c r="R119" s="19"/>
      <c r="S119" s="19"/>
      <c r="T119" s="19"/>
      <c r="U119" s="19"/>
      <c r="V119" s="19"/>
      <c r="W119" s="19"/>
      <c r="X119" s="19"/>
      <c r="Y119" s="21"/>
      <c r="Z119" s="19"/>
      <c r="AA119" s="19"/>
      <c r="AB119" s="19"/>
      <c r="AC119" s="19"/>
      <c r="AD119" s="19"/>
      <c r="AE119" s="19"/>
      <c r="AF119" s="19"/>
      <c r="AG119" s="19"/>
      <c r="AH119" s="19"/>
      <c r="AI119" s="19"/>
      <c r="AJ119" s="19"/>
      <c r="AK119" s="19"/>
      <c r="AL119" s="19"/>
      <c r="AM119" s="19" t="str">
        <f t="shared" ref="AM119" si="151">B119</f>
        <v>ActiveWorkbook.Close SaveChanges:=False</v>
      </c>
      <c r="AO119" t="s">
        <v>339</v>
      </c>
    </row>
    <row r="121" spans="2:41" x14ac:dyDescent="0.25">
      <c r="B121" s="22" t="s">
        <v>316</v>
      </c>
      <c r="C121" s="22"/>
      <c r="D121" s="22"/>
      <c r="E121" s="22"/>
      <c r="F121" s="22"/>
      <c r="G121" s="22"/>
      <c r="H121" s="22"/>
      <c r="I121" s="22"/>
      <c r="J121" s="22"/>
      <c r="K121" s="22"/>
      <c r="L121" s="22"/>
      <c r="M121" s="22"/>
      <c r="N121" s="22" t="s">
        <v>321</v>
      </c>
      <c r="O121" s="22"/>
      <c r="P121" s="22"/>
      <c r="Q121" s="22"/>
      <c r="R121" s="22"/>
      <c r="S121" s="22"/>
      <c r="T121" s="22"/>
      <c r="U121" s="22"/>
      <c r="V121" s="22">
        <f t="shared" ref="V121:V122" si="152">V116+1</f>
        <v>22</v>
      </c>
      <c r="W121" s="22"/>
      <c r="X121" s="22"/>
      <c r="Y121" s="23"/>
      <c r="Z121" s="22" t="s">
        <v>322</v>
      </c>
      <c r="AA121" s="22"/>
      <c r="AB121" s="22"/>
      <c r="AC121" s="22"/>
      <c r="AD121" s="22"/>
      <c r="AE121" s="22"/>
      <c r="AF121" s="22"/>
      <c r="AG121" s="22"/>
      <c r="AH121" s="22"/>
      <c r="AI121" s="22"/>
      <c r="AJ121" s="22"/>
      <c r="AK121" s="22"/>
      <c r="AL121" s="22"/>
      <c r="AM121" s="22" t="str">
        <f t="shared" ref="AM121" si="153">+_xlfn.CONCAT(N121&amp;V121&amp;Z121)</f>
        <v xml:space="preserve"> Workbooks.Open "A:\Homes for Ukraine data\Ukraine_sponsorship_data_22.ods"</v>
      </c>
      <c r="AO121" t="s">
        <v>358</v>
      </c>
    </row>
    <row r="122" spans="2:41" x14ac:dyDescent="0.25">
      <c r="B122" s="22" t="s">
        <v>453</v>
      </c>
      <c r="C122" s="22"/>
      <c r="D122" s="22"/>
      <c r="E122" s="22"/>
      <c r="F122" s="22"/>
      <c r="G122" s="22"/>
      <c r="H122" s="22"/>
      <c r="I122" s="22"/>
      <c r="J122" s="22"/>
      <c r="K122" s="22"/>
      <c r="L122" s="22"/>
      <c r="M122" s="22"/>
      <c r="N122" s="22" t="s">
        <v>323</v>
      </c>
      <c r="O122" s="22"/>
      <c r="P122" s="22"/>
      <c r="Q122" s="22"/>
      <c r="R122" s="22"/>
      <c r="S122" s="22"/>
      <c r="T122" s="22"/>
      <c r="U122" s="22"/>
      <c r="V122" s="22">
        <f t="shared" si="152"/>
        <v>22</v>
      </c>
      <c r="W122" s="22"/>
      <c r="X122" s="22"/>
      <c r="Y122" s="23"/>
      <c r="Z122" s="22" t="s">
        <v>452</v>
      </c>
      <c r="AA122" s="22"/>
      <c r="AB122" s="22"/>
      <c r="AC122" s="22"/>
      <c r="AD122" s="22"/>
      <c r="AE122" s="22" t="s">
        <v>382</v>
      </c>
      <c r="AF122" s="22">
        <f t="shared" ref="AF122" si="154">AF117</f>
        <v>13</v>
      </c>
      <c r="AG122" s="22" t="s">
        <v>327</v>
      </c>
      <c r="AH122" s="22"/>
      <c r="AI122" s="22">
        <f t="shared" ref="AI122" si="155">AI117</f>
        <v>43</v>
      </c>
      <c r="AJ122" s="22"/>
      <c r="AK122" s="22" t="s">
        <v>325</v>
      </c>
      <c r="AL122" s="22"/>
      <c r="AM122" s="22" t="str">
        <f t="shared" ref="AM122" si="156">_xlfn.CONCAT(N122&amp;V122&amp;Z122&amp;AE122&amp;AF122&amp;AG122&amp;AE122&amp;AI122&amp;AK122)</f>
        <v xml:space="preserve"> Workbooks("Ukraine_sponsorship_data_22.ods").Worksheets("Wales").Range("D13:D43").Copy _</v>
      </c>
      <c r="AO122" t="s">
        <v>1071</v>
      </c>
    </row>
    <row r="123" spans="2:41" x14ac:dyDescent="0.25">
      <c r="B123" s="22" t="s">
        <v>808</v>
      </c>
      <c r="C123" s="22"/>
      <c r="D123" s="22"/>
      <c r="E123" s="22"/>
      <c r="F123" s="22"/>
      <c r="G123" s="22"/>
      <c r="H123" s="22"/>
      <c r="I123" s="22"/>
      <c r="J123" s="22"/>
      <c r="K123" s="22"/>
      <c r="L123" s="22"/>
      <c r="M123" s="22"/>
      <c r="N123" s="22" t="s">
        <v>809</v>
      </c>
      <c r="O123" s="22"/>
      <c r="P123" s="22"/>
      <c r="Q123" s="22"/>
      <c r="R123" s="22"/>
      <c r="S123" s="22"/>
      <c r="T123" s="22"/>
      <c r="U123" s="22"/>
      <c r="V123" s="22"/>
      <c r="W123" s="22" t="s">
        <v>312</v>
      </c>
      <c r="X123" s="22" t="str">
        <f>CHAR(CODE(X118)+1)</f>
        <v>C</v>
      </c>
      <c r="Y123" s="23">
        <f t="shared" ref="Y123" si="157">Y118</f>
        <v>225</v>
      </c>
      <c r="Z123" s="22" t="s">
        <v>324</v>
      </c>
      <c r="AA123" s="22"/>
      <c r="AB123" s="22"/>
      <c r="AC123" s="22"/>
      <c r="AD123" s="22"/>
      <c r="AE123" s="22"/>
      <c r="AF123" s="22"/>
      <c r="AG123" s="22"/>
      <c r="AH123" s="22"/>
      <c r="AI123" s="22"/>
      <c r="AJ123" s="22"/>
      <c r="AK123" s="22"/>
      <c r="AL123" s="22"/>
      <c r="AM123" s="22" t="str">
        <f>_xlfn.CONCAT(N123&amp;W123&amp;X123&amp;Y123&amp;Z123)</f>
        <v>Workbooks("HFU Forecast UTLA 1.0.xlsm").Worksheets("Combined data").Range("AC225")</v>
      </c>
      <c r="AO123" t="s">
        <v>918</v>
      </c>
    </row>
    <row r="124" spans="2:41" x14ac:dyDescent="0.25">
      <c r="B124" s="22" t="s">
        <v>339</v>
      </c>
      <c r="C124" s="22"/>
      <c r="D124" s="22"/>
      <c r="E124" s="22"/>
      <c r="F124" s="22"/>
      <c r="G124" s="22"/>
      <c r="H124" s="22"/>
      <c r="I124" s="22"/>
      <c r="J124" s="22"/>
      <c r="K124" s="22"/>
      <c r="L124" s="22"/>
      <c r="M124" s="22"/>
      <c r="N124" s="22"/>
      <c r="O124" s="22"/>
      <c r="P124" s="22"/>
      <c r="Q124" s="22"/>
      <c r="R124" s="22"/>
      <c r="S124" s="22"/>
      <c r="T124" s="22"/>
      <c r="U124" s="22"/>
      <c r="V124" s="22"/>
      <c r="W124" s="22"/>
      <c r="X124" s="22"/>
      <c r="Y124" s="23"/>
      <c r="Z124" s="22"/>
      <c r="AA124" s="22"/>
      <c r="AB124" s="22"/>
      <c r="AC124" s="22"/>
      <c r="AD124" s="22"/>
      <c r="AE124" s="22"/>
      <c r="AF124" s="22"/>
      <c r="AG124" s="22"/>
      <c r="AH124" s="22"/>
      <c r="AI124" s="22"/>
      <c r="AJ124" s="22"/>
      <c r="AK124" s="22"/>
      <c r="AL124" s="22"/>
      <c r="AM124" s="22" t="str">
        <f t="shared" ref="AM124" si="158">B124</f>
        <v>ActiveWorkbook.Close SaveChanges:=False</v>
      </c>
      <c r="AO124" t="s">
        <v>339</v>
      </c>
    </row>
    <row r="126" spans="2:41" x14ac:dyDescent="0.25">
      <c r="B126" s="19" t="s">
        <v>316</v>
      </c>
      <c r="C126" s="19"/>
      <c r="D126" s="19"/>
      <c r="E126" s="19"/>
      <c r="F126" s="19"/>
      <c r="G126" s="19"/>
      <c r="H126" s="19"/>
      <c r="I126" s="19"/>
      <c r="J126" s="19"/>
      <c r="K126" s="19"/>
      <c r="L126" s="19"/>
      <c r="M126" s="19"/>
      <c r="N126" s="19" t="s">
        <v>321</v>
      </c>
      <c r="O126" s="19"/>
      <c r="P126" s="19"/>
      <c r="Q126" s="19"/>
      <c r="R126" s="19"/>
      <c r="S126" s="19"/>
      <c r="T126" s="19"/>
      <c r="U126" s="19"/>
      <c r="V126" s="19">
        <f t="shared" ref="V126:V177" si="159">V121+1</f>
        <v>23</v>
      </c>
      <c r="W126" s="19"/>
      <c r="X126" s="19"/>
      <c r="Y126" s="21"/>
      <c r="Z126" s="19" t="s">
        <v>322</v>
      </c>
      <c r="AA126" s="19"/>
      <c r="AB126" s="19"/>
      <c r="AC126" s="19"/>
      <c r="AD126" s="19"/>
      <c r="AE126" s="19"/>
      <c r="AF126" s="19"/>
      <c r="AG126" s="19"/>
      <c r="AH126" s="19"/>
      <c r="AI126" s="19"/>
      <c r="AJ126" s="19"/>
      <c r="AK126" s="19"/>
      <c r="AL126" s="19"/>
      <c r="AM126" s="19" t="str">
        <f t="shared" ref="AM126" si="160">+_xlfn.CONCAT(N126&amp;V126&amp;Z126)</f>
        <v xml:space="preserve"> Workbooks.Open "A:\Homes for Ukraine data\Ukraine_sponsorship_data_23.ods"</v>
      </c>
      <c r="AO126" t="s">
        <v>721</v>
      </c>
    </row>
    <row r="127" spans="2:41" x14ac:dyDescent="0.25">
      <c r="B127" s="19" t="s">
        <v>453</v>
      </c>
      <c r="C127" s="19"/>
      <c r="D127" s="19"/>
      <c r="E127" s="19"/>
      <c r="F127" s="19"/>
      <c r="G127" s="19"/>
      <c r="H127" s="19"/>
      <c r="I127" s="19"/>
      <c r="J127" s="19"/>
      <c r="K127" s="19"/>
      <c r="L127" s="19"/>
      <c r="M127" s="19"/>
      <c r="N127" s="19" t="s">
        <v>323</v>
      </c>
      <c r="O127" s="19"/>
      <c r="P127" s="19"/>
      <c r="Q127" s="19"/>
      <c r="R127" s="19"/>
      <c r="S127" s="19"/>
      <c r="T127" s="19"/>
      <c r="U127" s="19"/>
      <c r="V127" s="19">
        <f t="shared" si="159"/>
        <v>23</v>
      </c>
      <c r="W127" s="19"/>
      <c r="X127" s="19"/>
      <c r="Y127" s="21"/>
      <c r="Z127" s="19" t="s">
        <v>452</v>
      </c>
      <c r="AA127" s="19"/>
      <c r="AB127" s="19"/>
      <c r="AC127" s="19"/>
      <c r="AD127" s="19"/>
      <c r="AE127" s="19" t="s">
        <v>382</v>
      </c>
      <c r="AF127" s="19">
        <f t="shared" ref="AF127:AF177" si="161">AF122</f>
        <v>13</v>
      </c>
      <c r="AG127" s="19" t="s">
        <v>327</v>
      </c>
      <c r="AH127" s="19"/>
      <c r="AI127" s="19">
        <f t="shared" ref="AI127:AI177" si="162">AI122</f>
        <v>43</v>
      </c>
      <c r="AJ127" s="19"/>
      <c r="AK127" s="19" t="s">
        <v>325</v>
      </c>
      <c r="AL127" s="19"/>
      <c r="AM127" s="19" t="str">
        <f t="shared" ref="AM127" si="163">_xlfn.CONCAT(N127&amp;V127&amp;Z127&amp;AE127&amp;AF127&amp;AG127&amp;AE127&amp;AI127&amp;AK127)</f>
        <v xml:space="preserve"> Workbooks("Ukraine_sponsorship_data_23.ods").Worksheets("Wales").Range("D13:D43").Copy _</v>
      </c>
      <c r="AO127" t="s">
        <v>1072</v>
      </c>
    </row>
    <row r="128" spans="2:41" x14ac:dyDescent="0.25">
      <c r="B128" s="19" t="s">
        <v>808</v>
      </c>
      <c r="C128" s="19"/>
      <c r="D128" s="19"/>
      <c r="E128" s="19"/>
      <c r="F128" s="19"/>
      <c r="G128" s="19"/>
      <c r="H128" s="19"/>
      <c r="I128" s="19"/>
      <c r="J128" s="19"/>
      <c r="K128" s="19"/>
      <c r="L128" s="19"/>
      <c r="M128" s="19"/>
      <c r="N128" s="19" t="s">
        <v>809</v>
      </c>
      <c r="O128" s="19"/>
      <c r="P128" s="19"/>
      <c r="Q128" s="19"/>
      <c r="R128" s="19"/>
      <c r="S128" s="19"/>
      <c r="T128" s="19"/>
      <c r="U128" s="19"/>
      <c r="V128" s="19"/>
      <c r="W128" s="19" t="s">
        <v>312</v>
      </c>
      <c r="X128" s="19" t="str">
        <f t="shared" ref="X128" si="164">CHAR(CODE(X123)+1)</f>
        <v>D</v>
      </c>
      <c r="Y128" s="21">
        <f t="shared" ref="Y128:Y178" si="165">Y123</f>
        <v>225</v>
      </c>
      <c r="Z128" s="19" t="s">
        <v>324</v>
      </c>
      <c r="AA128" s="19"/>
      <c r="AB128" s="19"/>
      <c r="AC128" s="19"/>
      <c r="AD128" s="19"/>
      <c r="AE128" s="19"/>
      <c r="AF128" s="19"/>
      <c r="AG128" s="19"/>
      <c r="AH128" s="19"/>
      <c r="AI128" s="19"/>
      <c r="AJ128" s="19"/>
      <c r="AK128" s="19"/>
      <c r="AL128" s="19"/>
      <c r="AM128" s="19" t="str">
        <f t="shared" ref="AM128" si="166">_xlfn.CONCAT(N128&amp;W128&amp;X128&amp;Y128&amp;Z128)</f>
        <v>Workbooks("HFU Forecast UTLA 1.0.xlsm").Worksheets("Combined data").Range("AD225")</v>
      </c>
      <c r="AO128" t="s">
        <v>919</v>
      </c>
    </row>
    <row r="129" spans="2:41" x14ac:dyDescent="0.25">
      <c r="B129" s="19" t="s">
        <v>339</v>
      </c>
      <c r="C129" s="19"/>
      <c r="D129" s="19"/>
      <c r="E129" s="19"/>
      <c r="F129" s="19"/>
      <c r="G129" s="19"/>
      <c r="H129" s="19"/>
      <c r="I129" s="19"/>
      <c r="J129" s="19"/>
      <c r="K129" s="19"/>
      <c r="L129" s="19"/>
      <c r="M129" s="19"/>
      <c r="N129" s="19"/>
      <c r="O129" s="19"/>
      <c r="P129" s="19"/>
      <c r="Q129" s="19"/>
      <c r="R129" s="19"/>
      <c r="S129" s="19"/>
      <c r="T129" s="19"/>
      <c r="U129" s="19"/>
      <c r="V129" s="19"/>
      <c r="W129" s="19"/>
      <c r="X129" s="19"/>
      <c r="Y129" s="21"/>
      <c r="Z129" s="19"/>
      <c r="AA129" s="19"/>
      <c r="AB129" s="19"/>
      <c r="AC129" s="19"/>
      <c r="AD129" s="19"/>
      <c r="AE129" s="19"/>
      <c r="AF129" s="19"/>
      <c r="AG129" s="19"/>
      <c r="AH129" s="19"/>
      <c r="AI129" s="19"/>
      <c r="AJ129" s="19"/>
      <c r="AK129" s="19"/>
      <c r="AL129" s="19"/>
      <c r="AM129" s="19" t="str">
        <f t="shared" ref="AM129" si="167">B129</f>
        <v>ActiveWorkbook.Close SaveChanges:=False</v>
      </c>
      <c r="AO129" t="s">
        <v>339</v>
      </c>
    </row>
    <row r="131" spans="2:41" x14ac:dyDescent="0.25">
      <c r="B131" s="22" t="s">
        <v>316</v>
      </c>
      <c r="C131" s="22"/>
      <c r="D131" s="22"/>
      <c r="E131" s="22"/>
      <c r="F131" s="22"/>
      <c r="G131" s="22"/>
      <c r="H131" s="22"/>
      <c r="I131" s="22"/>
      <c r="J131" s="22"/>
      <c r="K131" s="22"/>
      <c r="L131" s="22"/>
      <c r="M131" s="22"/>
      <c r="N131" s="22" t="s">
        <v>321</v>
      </c>
      <c r="O131" s="22"/>
      <c r="P131" s="22"/>
      <c r="Q131" s="22"/>
      <c r="R131" s="22"/>
      <c r="S131" s="22"/>
      <c r="T131" s="22"/>
      <c r="U131" s="22"/>
      <c r="V131" s="22">
        <f t="shared" ref="V131:V182" si="168">V126+1</f>
        <v>24</v>
      </c>
      <c r="W131" s="22"/>
      <c r="X131" s="22"/>
      <c r="Y131" s="23"/>
      <c r="Z131" s="22" t="s">
        <v>322</v>
      </c>
      <c r="AA131" s="22"/>
      <c r="AB131" s="22"/>
      <c r="AC131" s="22"/>
      <c r="AD131" s="22"/>
      <c r="AE131" s="22"/>
      <c r="AF131" s="22"/>
      <c r="AG131" s="22"/>
      <c r="AH131" s="22"/>
      <c r="AI131" s="22"/>
      <c r="AJ131" s="22"/>
      <c r="AK131" s="22"/>
      <c r="AL131" s="22"/>
      <c r="AM131" s="22" t="str">
        <f t="shared" ref="AM131" si="169">+_xlfn.CONCAT(N131&amp;V131&amp;Z131)</f>
        <v xml:space="preserve"> Workbooks.Open "A:\Homes for Ukraine data\Ukraine_sponsorship_data_24.ods"</v>
      </c>
      <c r="AO131" t="s">
        <v>723</v>
      </c>
    </row>
    <row r="132" spans="2:41" x14ac:dyDescent="0.25">
      <c r="B132" s="22" t="s">
        <v>453</v>
      </c>
      <c r="C132" s="22"/>
      <c r="D132" s="22"/>
      <c r="E132" s="22"/>
      <c r="F132" s="22"/>
      <c r="G132" s="22"/>
      <c r="H132" s="22"/>
      <c r="I132" s="22"/>
      <c r="J132" s="22"/>
      <c r="K132" s="22"/>
      <c r="L132" s="22"/>
      <c r="M132" s="22"/>
      <c r="N132" s="22" t="s">
        <v>323</v>
      </c>
      <c r="O132" s="22"/>
      <c r="P132" s="22"/>
      <c r="Q132" s="22"/>
      <c r="R132" s="22"/>
      <c r="S132" s="22"/>
      <c r="T132" s="22"/>
      <c r="U132" s="22"/>
      <c r="V132" s="22">
        <f t="shared" si="168"/>
        <v>24</v>
      </c>
      <c r="W132" s="22"/>
      <c r="X132" s="22"/>
      <c r="Y132" s="23"/>
      <c r="Z132" s="22" t="s">
        <v>452</v>
      </c>
      <c r="AA132" s="22"/>
      <c r="AB132" s="22"/>
      <c r="AC132" s="22"/>
      <c r="AD132" s="22"/>
      <c r="AE132" s="22" t="s">
        <v>382</v>
      </c>
      <c r="AF132" s="22">
        <f t="shared" ref="AF132:AF182" si="170">AF127</f>
        <v>13</v>
      </c>
      <c r="AG132" s="22" t="s">
        <v>327</v>
      </c>
      <c r="AH132" s="22"/>
      <c r="AI132" s="22">
        <f t="shared" ref="AI132:AI182" si="171">AI127</f>
        <v>43</v>
      </c>
      <c r="AJ132" s="22"/>
      <c r="AK132" s="22" t="s">
        <v>325</v>
      </c>
      <c r="AL132" s="22"/>
      <c r="AM132" s="22" t="str">
        <f t="shared" ref="AM132" si="172">_xlfn.CONCAT(N132&amp;V132&amp;Z132&amp;AE132&amp;AF132&amp;AG132&amp;AE132&amp;AI132&amp;AK132)</f>
        <v xml:space="preserve"> Workbooks("Ukraine_sponsorship_data_24.ods").Worksheets("Wales").Range("D13:D43").Copy _</v>
      </c>
      <c r="AO132" t="s">
        <v>1073</v>
      </c>
    </row>
    <row r="133" spans="2:41" x14ac:dyDescent="0.25">
      <c r="B133" s="22" t="s">
        <v>808</v>
      </c>
      <c r="C133" s="22"/>
      <c r="D133" s="22"/>
      <c r="E133" s="22"/>
      <c r="F133" s="22"/>
      <c r="G133" s="22"/>
      <c r="H133" s="22"/>
      <c r="I133" s="22"/>
      <c r="J133" s="22"/>
      <c r="K133" s="22"/>
      <c r="L133" s="22"/>
      <c r="M133" s="22"/>
      <c r="N133" s="22" t="s">
        <v>809</v>
      </c>
      <c r="O133" s="22"/>
      <c r="P133" s="22"/>
      <c r="Q133" s="22"/>
      <c r="R133" s="22"/>
      <c r="S133" s="22"/>
      <c r="T133" s="22"/>
      <c r="U133" s="22"/>
      <c r="V133" s="22"/>
      <c r="W133" s="22" t="s">
        <v>312</v>
      </c>
      <c r="X133" s="22" t="str">
        <f t="shared" ref="X133" si="173">CHAR(CODE(X128)+1)</f>
        <v>E</v>
      </c>
      <c r="Y133" s="23">
        <f t="shared" ref="Y133:Y183" si="174">Y128</f>
        <v>225</v>
      </c>
      <c r="Z133" s="22" t="s">
        <v>324</v>
      </c>
      <c r="AA133" s="22"/>
      <c r="AB133" s="22"/>
      <c r="AC133" s="22"/>
      <c r="AD133" s="22"/>
      <c r="AE133" s="22"/>
      <c r="AF133" s="22"/>
      <c r="AG133" s="22"/>
      <c r="AH133" s="22"/>
      <c r="AI133" s="22"/>
      <c r="AJ133" s="22"/>
      <c r="AK133" s="22"/>
      <c r="AL133" s="22"/>
      <c r="AM133" s="22" t="str">
        <f t="shared" ref="AM133" si="175">_xlfn.CONCAT(N133&amp;W133&amp;X133&amp;Y133&amp;Z133)</f>
        <v>Workbooks("HFU Forecast UTLA 1.0.xlsm").Worksheets("Combined data").Range("AE225")</v>
      </c>
      <c r="AO133" t="s">
        <v>920</v>
      </c>
    </row>
    <row r="134" spans="2:41" x14ac:dyDescent="0.25">
      <c r="B134" s="22" t="s">
        <v>339</v>
      </c>
      <c r="C134" s="22"/>
      <c r="D134" s="22"/>
      <c r="E134" s="22"/>
      <c r="F134" s="22"/>
      <c r="G134" s="22"/>
      <c r="H134" s="22"/>
      <c r="I134" s="22"/>
      <c r="J134" s="22"/>
      <c r="K134" s="22"/>
      <c r="L134" s="22"/>
      <c r="M134" s="22"/>
      <c r="N134" s="22"/>
      <c r="O134" s="22"/>
      <c r="P134" s="22"/>
      <c r="Q134" s="22"/>
      <c r="R134" s="22"/>
      <c r="S134" s="22"/>
      <c r="T134" s="22"/>
      <c r="U134" s="22"/>
      <c r="V134" s="22"/>
      <c r="W134" s="22"/>
      <c r="X134" s="22"/>
      <c r="Y134" s="23"/>
      <c r="Z134" s="22"/>
      <c r="AA134" s="22"/>
      <c r="AB134" s="22"/>
      <c r="AC134" s="22"/>
      <c r="AD134" s="22"/>
      <c r="AE134" s="22"/>
      <c r="AF134" s="22"/>
      <c r="AG134" s="22"/>
      <c r="AH134" s="22"/>
      <c r="AI134" s="22"/>
      <c r="AJ134" s="22"/>
      <c r="AK134" s="22"/>
      <c r="AL134" s="22"/>
      <c r="AM134" s="22" t="str">
        <f t="shared" ref="AM134" si="176">B134</f>
        <v>ActiveWorkbook.Close SaveChanges:=False</v>
      </c>
      <c r="AO134" t="s">
        <v>339</v>
      </c>
    </row>
    <row r="136" spans="2:41" x14ac:dyDescent="0.25">
      <c r="B136" s="19" t="s">
        <v>316</v>
      </c>
      <c r="C136" s="19"/>
      <c r="D136" s="19"/>
      <c r="E136" s="19"/>
      <c r="F136" s="19"/>
      <c r="G136" s="19"/>
      <c r="H136" s="19"/>
      <c r="I136" s="19"/>
      <c r="J136" s="19"/>
      <c r="K136" s="19"/>
      <c r="L136" s="19"/>
      <c r="M136" s="19"/>
      <c r="N136" s="19" t="s">
        <v>321</v>
      </c>
      <c r="O136" s="19"/>
      <c r="P136" s="19"/>
      <c r="Q136" s="19"/>
      <c r="R136" s="19"/>
      <c r="S136" s="19"/>
      <c r="T136" s="19"/>
      <c r="U136" s="19"/>
      <c r="V136" s="19">
        <f t="shared" si="159"/>
        <v>25</v>
      </c>
      <c r="W136" s="19"/>
      <c r="X136" s="19"/>
      <c r="Y136" s="21"/>
      <c r="Z136" s="19" t="s">
        <v>322</v>
      </c>
      <c r="AA136" s="19"/>
      <c r="AB136" s="19"/>
      <c r="AC136" s="19"/>
      <c r="AD136" s="19"/>
      <c r="AE136" s="19"/>
      <c r="AF136" s="19"/>
      <c r="AG136" s="19"/>
      <c r="AH136" s="19"/>
      <c r="AI136" s="19"/>
      <c r="AJ136" s="19"/>
      <c r="AK136" s="19"/>
      <c r="AL136" s="19"/>
      <c r="AM136" s="19" t="str">
        <f t="shared" ref="AM136" si="177">+_xlfn.CONCAT(N136&amp;V136&amp;Z136)</f>
        <v xml:space="preserve"> Workbooks.Open "A:\Homes for Ukraine data\Ukraine_sponsorship_data_25.ods"</v>
      </c>
      <c r="AO136" t="s">
        <v>725</v>
      </c>
    </row>
    <row r="137" spans="2:41" x14ac:dyDescent="0.25">
      <c r="B137" s="19" t="s">
        <v>453</v>
      </c>
      <c r="C137" s="19"/>
      <c r="D137" s="19"/>
      <c r="E137" s="19"/>
      <c r="F137" s="19"/>
      <c r="G137" s="19"/>
      <c r="H137" s="19"/>
      <c r="I137" s="19"/>
      <c r="J137" s="19"/>
      <c r="K137" s="19"/>
      <c r="L137" s="19"/>
      <c r="M137" s="19"/>
      <c r="N137" s="19" t="s">
        <v>323</v>
      </c>
      <c r="O137" s="19"/>
      <c r="P137" s="19"/>
      <c r="Q137" s="19"/>
      <c r="R137" s="19"/>
      <c r="S137" s="19"/>
      <c r="T137" s="19"/>
      <c r="U137" s="19"/>
      <c r="V137" s="19">
        <f t="shared" si="159"/>
        <v>25</v>
      </c>
      <c r="W137" s="19"/>
      <c r="X137" s="19"/>
      <c r="Y137" s="21"/>
      <c r="Z137" s="19" t="s">
        <v>452</v>
      </c>
      <c r="AA137" s="19"/>
      <c r="AB137" s="19"/>
      <c r="AC137" s="19"/>
      <c r="AD137" s="19"/>
      <c r="AE137" s="19" t="s">
        <v>382</v>
      </c>
      <c r="AF137" s="19">
        <f t="shared" si="161"/>
        <v>13</v>
      </c>
      <c r="AG137" s="19" t="s">
        <v>327</v>
      </c>
      <c r="AH137" s="19"/>
      <c r="AI137" s="19">
        <f t="shared" si="162"/>
        <v>43</v>
      </c>
      <c r="AJ137" s="19"/>
      <c r="AK137" s="19" t="s">
        <v>325</v>
      </c>
      <c r="AL137" s="19"/>
      <c r="AM137" s="19" t="str">
        <f t="shared" ref="AM137" si="178">_xlfn.CONCAT(N137&amp;V137&amp;Z137&amp;AE137&amp;AF137&amp;AG137&amp;AE137&amp;AI137&amp;AK137)</f>
        <v xml:space="preserve"> Workbooks("Ukraine_sponsorship_data_25.ods").Worksheets("Wales").Range("D13:D43").Copy _</v>
      </c>
      <c r="AO137" t="s">
        <v>1074</v>
      </c>
    </row>
    <row r="138" spans="2:41" x14ac:dyDescent="0.25">
      <c r="B138" s="19" t="s">
        <v>808</v>
      </c>
      <c r="C138" s="19"/>
      <c r="D138" s="19"/>
      <c r="E138" s="19"/>
      <c r="F138" s="19"/>
      <c r="G138" s="19"/>
      <c r="H138" s="19"/>
      <c r="I138" s="19"/>
      <c r="J138" s="19"/>
      <c r="K138" s="19"/>
      <c r="L138" s="19"/>
      <c r="M138" s="19"/>
      <c r="N138" s="19" t="s">
        <v>809</v>
      </c>
      <c r="O138" s="19"/>
      <c r="P138" s="19"/>
      <c r="Q138" s="19"/>
      <c r="R138" s="19"/>
      <c r="S138" s="19"/>
      <c r="T138" s="19"/>
      <c r="U138" s="19"/>
      <c r="V138" s="19"/>
      <c r="W138" s="19" t="s">
        <v>312</v>
      </c>
      <c r="X138" s="19" t="str">
        <f t="shared" ref="X138" si="179">CHAR(CODE(X133)+1)</f>
        <v>F</v>
      </c>
      <c r="Y138" s="21">
        <f t="shared" si="165"/>
        <v>225</v>
      </c>
      <c r="Z138" s="19" t="s">
        <v>324</v>
      </c>
      <c r="AA138" s="19"/>
      <c r="AB138" s="19"/>
      <c r="AC138" s="19"/>
      <c r="AD138" s="19"/>
      <c r="AE138" s="19"/>
      <c r="AF138" s="19"/>
      <c r="AG138" s="19"/>
      <c r="AH138" s="19"/>
      <c r="AI138" s="19"/>
      <c r="AJ138" s="19"/>
      <c r="AK138" s="19"/>
      <c r="AL138" s="19"/>
      <c r="AM138" s="19" t="str">
        <f t="shared" ref="AM138" si="180">_xlfn.CONCAT(N138&amp;W138&amp;X138&amp;Y138&amp;Z138)</f>
        <v>Workbooks("HFU Forecast UTLA 1.0.xlsm").Worksheets("Combined data").Range("AF225")</v>
      </c>
      <c r="AO138" t="s">
        <v>921</v>
      </c>
    </row>
    <row r="139" spans="2:41" x14ac:dyDescent="0.25">
      <c r="B139" s="19" t="s">
        <v>339</v>
      </c>
      <c r="C139" s="19"/>
      <c r="D139" s="19"/>
      <c r="E139" s="19"/>
      <c r="F139" s="19"/>
      <c r="G139" s="19"/>
      <c r="H139" s="19"/>
      <c r="I139" s="19"/>
      <c r="J139" s="19"/>
      <c r="K139" s="19"/>
      <c r="L139" s="19"/>
      <c r="M139" s="19"/>
      <c r="N139" s="19"/>
      <c r="O139" s="19"/>
      <c r="P139" s="19"/>
      <c r="Q139" s="19"/>
      <c r="R139" s="19"/>
      <c r="S139" s="19"/>
      <c r="T139" s="19"/>
      <c r="U139" s="19"/>
      <c r="V139" s="19"/>
      <c r="W139" s="19"/>
      <c r="X139" s="19"/>
      <c r="Y139" s="21"/>
      <c r="Z139" s="19"/>
      <c r="AA139" s="19"/>
      <c r="AB139" s="19"/>
      <c r="AC139" s="19"/>
      <c r="AD139" s="19"/>
      <c r="AE139" s="19"/>
      <c r="AF139" s="19"/>
      <c r="AG139" s="19"/>
      <c r="AH139" s="19"/>
      <c r="AI139" s="19"/>
      <c r="AJ139" s="19"/>
      <c r="AK139" s="19"/>
      <c r="AL139" s="19"/>
      <c r="AM139" s="19" t="str">
        <f t="shared" ref="AM139" si="181">B139</f>
        <v>ActiveWorkbook.Close SaveChanges:=False</v>
      </c>
      <c r="AO139" t="s">
        <v>339</v>
      </c>
    </row>
    <row r="141" spans="2:41" x14ac:dyDescent="0.25">
      <c r="B141" s="22" t="s">
        <v>316</v>
      </c>
      <c r="C141" s="22"/>
      <c r="D141" s="22"/>
      <c r="E141" s="22"/>
      <c r="F141" s="22"/>
      <c r="G141" s="22"/>
      <c r="H141" s="22"/>
      <c r="I141" s="22"/>
      <c r="J141" s="22"/>
      <c r="K141" s="22"/>
      <c r="L141" s="22"/>
      <c r="M141" s="22"/>
      <c r="N141" s="22" t="s">
        <v>321</v>
      </c>
      <c r="O141" s="22"/>
      <c r="P141" s="22"/>
      <c r="Q141" s="22"/>
      <c r="R141" s="22"/>
      <c r="S141" s="22"/>
      <c r="T141" s="22"/>
      <c r="U141" s="22"/>
      <c r="V141" s="22">
        <f t="shared" si="168"/>
        <v>26</v>
      </c>
      <c r="W141" s="22"/>
      <c r="X141" s="22"/>
      <c r="Y141" s="23"/>
      <c r="Z141" s="22" t="s">
        <v>322</v>
      </c>
      <c r="AA141" s="22"/>
      <c r="AB141" s="22"/>
      <c r="AC141" s="22"/>
      <c r="AD141" s="22"/>
      <c r="AE141" s="22"/>
      <c r="AF141" s="22"/>
      <c r="AG141" s="22"/>
      <c r="AH141" s="22"/>
      <c r="AI141" s="22"/>
      <c r="AJ141" s="22"/>
      <c r="AK141" s="22"/>
      <c r="AL141" s="22"/>
      <c r="AM141" s="22" t="str">
        <f t="shared" ref="AM141" si="182">+_xlfn.CONCAT(N141&amp;V141&amp;Z141)</f>
        <v xml:space="preserve"> Workbooks.Open "A:\Homes for Ukraine data\Ukraine_sponsorship_data_26.ods"</v>
      </c>
      <c r="AO141" t="s">
        <v>727</v>
      </c>
    </row>
    <row r="142" spans="2:41" x14ac:dyDescent="0.25">
      <c r="B142" s="22" t="s">
        <v>453</v>
      </c>
      <c r="C142" s="22"/>
      <c r="D142" s="22"/>
      <c r="E142" s="22"/>
      <c r="F142" s="22"/>
      <c r="G142" s="22"/>
      <c r="H142" s="22"/>
      <c r="I142" s="22"/>
      <c r="J142" s="22"/>
      <c r="K142" s="22"/>
      <c r="L142" s="22"/>
      <c r="M142" s="22"/>
      <c r="N142" s="22" t="s">
        <v>323</v>
      </c>
      <c r="O142" s="22"/>
      <c r="P142" s="22"/>
      <c r="Q142" s="22"/>
      <c r="R142" s="22"/>
      <c r="S142" s="22"/>
      <c r="T142" s="22"/>
      <c r="U142" s="22"/>
      <c r="V142" s="22">
        <f t="shared" si="168"/>
        <v>26</v>
      </c>
      <c r="W142" s="22"/>
      <c r="X142" s="22"/>
      <c r="Y142" s="23"/>
      <c r="Z142" s="22" t="s">
        <v>452</v>
      </c>
      <c r="AA142" s="22"/>
      <c r="AB142" s="22"/>
      <c r="AC142" s="22"/>
      <c r="AD142" s="22"/>
      <c r="AE142" s="22" t="s">
        <v>382</v>
      </c>
      <c r="AF142" s="22">
        <f t="shared" si="170"/>
        <v>13</v>
      </c>
      <c r="AG142" s="22" t="s">
        <v>327</v>
      </c>
      <c r="AH142" s="22"/>
      <c r="AI142" s="22">
        <f t="shared" si="171"/>
        <v>43</v>
      </c>
      <c r="AJ142" s="22"/>
      <c r="AK142" s="22" t="s">
        <v>325</v>
      </c>
      <c r="AL142" s="22"/>
      <c r="AM142" s="22" t="str">
        <f t="shared" ref="AM142" si="183">_xlfn.CONCAT(N142&amp;V142&amp;Z142&amp;AE142&amp;AF142&amp;AG142&amp;AE142&amp;AI142&amp;AK142)</f>
        <v xml:space="preserve"> Workbooks("Ukraine_sponsorship_data_26.ods").Worksheets("Wales").Range("D13:D43").Copy _</v>
      </c>
      <c r="AO142" t="s">
        <v>1075</v>
      </c>
    </row>
    <row r="143" spans="2:41" x14ac:dyDescent="0.25">
      <c r="B143" s="22" t="s">
        <v>808</v>
      </c>
      <c r="C143" s="22"/>
      <c r="D143" s="22"/>
      <c r="E143" s="22"/>
      <c r="F143" s="22"/>
      <c r="G143" s="22"/>
      <c r="H143" s="22"/>
      <c r="I143" s="22"/>
      <c r="J143" s="22"/>
      <c r="K143" s="22"/>
      <c r="L143" s="22"/>
      <c r="M143" s="22"/>
      <c r="N143" s="22" t="s">
        <v>809</v>
      </c>
      <c r="O143" s="22"/>
      <c r="P143" s="22"/>
      <c r="Q143" s="22"/>
      <c r="R143" s="22"/>
      <c r="S143" s="22"/>
      <c r="T143" s="22"/>
      <c r="U143" s="22"/>
      <c r="V143" s="22"/>
      <c r="W143" s="22" t="s">
        <v>312</v>
      </c>
      <c r="X143" s="22" t="str">
        <f t="shared" ref="X143" si="184">CHAR(CODE(X138)+1)</f>
        <v>G</v>
      </c>
      <c r="Y143" s="23">
        <f t="shared" si="174"/>
        <v>225</v>
      </c>
      <c r="Z143" s="22" t="s">
        <v>324</v>
      </c>
      <c r="AA143" s="22"/>
      <c r="AB143" s="22"/>
      <c r="AC143" s="22"/>
      <c r="AD143" s="22"/>
      <c r="AE143" s="22"/>
      <c r="AF143" s="22"/>
      <c r="AG143" s="22"/>
      <c r="AH143" s="22"/>
      <c r="AI143" s="22"/>
      <c r="AJ143" s="22"/>
      <c r="AK143" s="22"/>
      <c r="AL143" s="22"/>
      <c r="AM143" s="22" t="str">
        <f t="shared" ref="AM143" si="185">_xlfn.CONCAT(N143&amp;W143&amp;X143&amp;Y143&amp;Z143)</f>
        <v>Workbooks("HFU Forecast UTLA 1.0.xlsm").Worksheets("Combined data").Range("AG225")</v>
      </c>
      <c r="AO143" t="s">
        <v>922</v>
      </c>
    </row>
    <row r="144" spans="2:41" x14ac:dyDescent="0.25">
      <c r="B144" s="22" t="s">
        <v>339</v>
      </c>
      <c r="C144" s="22"/>
      <c r="D144" s="22"/>
      <c r="E144" s="22"/>
      <c r="F144" s="22"/>
      <c r="G144" s="22"/>
      <c r="H144" s="22"/>
      <c r="I144" s="22"/>
      <c r="J144" s="22"/>
      <c r="K144" s="22"/>
      <c r="L144" s="22"/>
      <c r="M144" s="22"/>
      <c r="N144" s="22"/>
      <c r="O144" s="22"/>
      <c r="P144" s="22"/>
      <c r="Q144" s="22"/>
      <c r="R144" s="22"/>
      <c r="S144" s="22"/>
      <c r="T144" s="22"/>
      <c r="U144" s="22"/>
      <c r="V144" s="22"/>
      <c r="W144" s="22"/>
      <c r="X144" s="22"/>
      <c r="Y144" s="23"/>
      <c r="Z144" s="22"/>
      <c r="AA144" s="22"/>
      <c r="AB144" s="22"/>
      <c r="AC144" s="22"/>
      <c r="AD144" s="22"/>
      <c r="AE144" s="22"/>
      <c r="AF144" s="22"/>
      <c r="AG144" s="22"/>
      <c r="AH144" s="22"/>
      <c r="AI144" s="22"/>
      <c r="AJ144" s="22"/>
      <c r="AK144" s="22"/>
      <c r="AL144" s="22"/>
      <c r="AM144" s="22" t="str">
        <f t="shared" ref="AM144" si="186">B144</f>
        <v>ActiveWorkbook.Close SaveChanges:=False</v>
      </c>
      <c r="AO144" t="s">
        <v>339</v>
      </c>
    </row>
    <row r="146" spans="2:41" x14ac:dyDescent="0.25">
      <c r="B146" s="19" t="s">
        <v>316</v>
      </c>
      <c r="C146" s="19"/>
      <c r="D146" s="19"/>
      <c r="E146" s="19"/>
      <c r="F146" s="19"/>
      <c r="G146" s="19"/>
      <c r="H146" s="19"/>
      <c r="I146" s="19"/>
      <c r="J146" s="19"/>
      <c r="K146" s="19"/>
      <c r="L146" s="19"/>
      <c r="M146" s="19"/>
      <c r="N146" s="19" t="s">
        <v>321</v>
      </c>
      <c r="O146" s="19"/>
      <c r="P146" s="19"/>
      <c r="Q146" s="19"/>
      <c r="R146" s="19"/>
      <c r="S146" s="19"/>
      <c r="T146" s="19"/>
      <c r="U146" s="19"/>
      <c r="V146" s="19">
        <f t="shared" si="159"/>
        <v>27</v>
      </c>
      <c r="W146" s="19"/>
      <c r="X146" s="19"/>
      <c r="Y146" s="21"/>
      <c r="Z146" s="19" t="s">
        <v>322</v>
      </c>
      <c r="AA146" s="19"/>
      <c r="AB146" s="19"/>
      <c r="AC146" s="19"/>
      <c r="AD146" s="19"/>
      <c r="AE146" s="19"/>
      <c r="AF146" s="19"/>
      <c r="AG146" s="19"/>
      <c r="AH146" s="19"/>
      <c r="AI146" s="19"/>
      <c r="AJ146" s="19"/>
      <c r="AK146" s="19"/>
      <c r="AL146" s="19"/>
      <c r="AM146" s="19" t="str">
        <f t="shared" ref="AM146" si="187">+_xlfn.CONCAT(N146&amp;V146&amp;Z146)</f>
        <v xml:space="preserve"> Workbooks.Open "A:\Homes for Ukraine data\Ukraine_sponsorship_data_27.ods"</v>
      </c>
      <c r="AO146" t="s">
        <v>729</v>
      </c>
    </row>
    <row r="147" spans="2:41" x14ac:dyDescent="0.25">
      <c r="B147" s="19" t="s">
        <v>453</v>
      </c>
      <c r="C147" s="19"/>
      <c r="D147" s="19"/>
      <c r="E147" s="19"/>
      <c r="F147" s="19"/>
      <c r="G147" s="19"/>
      <c r="H147" s="19"/>
      <c r="I147" s="19"/>
      <c r="J147" s="19"/>
      <c r="K147" s="19"/>
      <c r="L147" s="19"/>
      <c r="M147" s="19"/>
      <c r="N147" s="19" t="s">
        <v>323</v>
      </c>
      <c r="O147" s="19"/>
      <c r="P147" s="19"/>
      <c r="Q147" s="19"/>
      <c r="R147" s="19"/>
      <c r="S147" s="19"/>
      <c r="T147" s="19"/>
      <c r="U147" s="19"/>
      <c r="V147" s="19">
        <f t="shared" si="159"/>
        <v>27</v>
      </c>
      <c r="W147" s="19"/>
      <c r="X147" s="19"/>
      <c r="Y147" s="21"/>
      <c r="Z147" s="19" t="s">
        <v>452</v>
      </c>
      <c r="AA147" s="19"/>
      <c r="AB147" s="19"/>
      <c r="AC147" s="19"/>
      <c r="AD147" s="19"/>
      <c r="AE147" s="19" t="s">
        <v>382</v>
      </c>
      <c r="AF147" s="19">
        <f t="shared" si="161"/>
        <v>13</v>
      </c>
      <c r="AG147" s="19" t="s">
        <v>327</v>
      </c>
      <c r="AH147" s="19"/>
      <c r="AI147" s="19">
        <f t="shared" si="162"/>
        <v>43</v>
      </c>
      <c r="AJ147" s="19"/>
      <c r="AK147" s="19" t="s">
        <v>325</v>
      </c>
      <c r="AL147" s="19"/>
      <c r="AM147" s="19" t="str">
        <f t="shared" ref="AM147" si="188">_xlfn.CONCAT(N147&amp;V147&amp;Z147&amp;AE147&amp;AF147&amp;AG147&amp;AE147&amp;AI147&amp;AK147)</f>
        <v xml:space="preserve"> Workbooks("Ukraine_sponsorship_data_27.ods").Worksheets("Wales").Range("D13:D43").Copy _</v>
      </c>
      <c r="AO147" t="s">
        <v>1076</v>
      </c>
    </row>
    <row r="148" spans="2:41" x14ac:dyDescent="0.25">
      <c r="B148" s="19" t="s">
        <v>808</v>
      </c>
      <c r="C148" s="19"/>
      <c r="D148" s="19"/>
      <c r="E148" s="19"/>
      <c r="F148" s="19"/>
      <c r="G148" s="19"/>
      <c r="H148" s="19"/>
      <c r="I148" s="19"/>
      <c r="J148" s="19"/>
      <c r="K148" s="19"/>
      <c r="L148" s="19"/>
      <c r="M148" s="19"/>
      <c r="N148" s="19" t="s">
        <v>809</v>
      </c>
      <c r="O148" s="19"/>
      <c r="P148" s="19"/>
      <c r="Q148" s="19"/>
      <c r="R148" s="19"/>
      <c r="S148" s="19"/>
      <c r="T148" s="19"/>
      <c r="U148" s="19"/>
      <c r="V148" s="19"/>
      <c r="W148" s="19" t="s">
        <v>312</v>
      </c>
      <c r="X148" s="19" t="str">
        <f t="shared" ref="X148" si="189">CHAR(CODE(X143)+1)</f>
        <v>H</v>
      </c>
      <c r="Y148" s="21">
        <f t="shared" si="165"/>
        <v>225</v>
      </c>
      <c r="Z148" s="19" t="s">
        <v>324</v>
      </c>
      <c r="AA148" s="19"/>
      <c r="AB148" s="19"/>
      <c r="AC148" s="19"/>
      <c r="AD148" s="19"/>
      <c r="AE148" s="19"/>
      <c r="AF148" s="19"/>
      <c r="AG148" s="19"/>
      <c r="AH148" s="19"/>
      <c r="AI148" s="19"/>
      <c r="AJ148" s="19"/>
      <c r="AK148" s="19"/>
      <c r="AL148" s="19"/>
      <c r="AM148" s="19" t="str">
        <f t="shared" ref="AM148" si="190">_xlfn.CONCAT(N148&amp;W148&amp;X148&amp;Y148&amp;Z148)</f>
        <v>Workbooks("HFU Forecast UTLA 1.0.xlsm").Worksheets("Combined data").Range("AH225")</v>
      </c>
      <c r="AO148" t="s">
        <v>923</v>
      </c>
    </row>
    <row r="149" spans="2:41" x14ac:dyDescent="0.25">
      <c r="B149" s="19" t="s">
        <v>339</v>
      </c>
      <c r="C149" s="19"/>
      <c r="D149" s="19"/>
      <c r="E149" s="19"/>
      <c r="F149" s="19"/>
      <c r="G149" s="19"/>
      <c r="H149" s="19"/>
      <c r="I149" s="19"/>
      <c r="J149" s="19"/>
      <c r="K149" s="19"/>
      <c r="L149" s="19"/>
      <c r="M149" s="19"/>
      <c r="N149" s="19"/>
      <c r="O149" s="19"/>
      <c r="P149" s="19"/>
      <c r="Q149" s="19"/>
      <c r="R149" s="19"/>
      <c r="S149" s="19"/>
      <c r="T149" s="19"/>
      <c r="U149" s="19"/>
      <c r="V149" s="19"/>
      <c r="W149" s="19"/>
      <c r="X149" s="19"/>
      <c r="Y149" s="21"/>
      <c r="Z149" s="19"/>
      <c r="AA149" s="19"/>
      <c r="AB149" s="19"/>
      <c r="AC149" s="19"/>
      <c r="AD149" s="19"/>
      <c r="AE149" s="19"/>
      <c r="AF149" s="19"/>
      <c r="AG149" s="19"/>
      <c r="AH149" s="19"/>
      <c r="AI149" s="19"/>
      <c r="AJ149" s="19"/>
      <c r="AK149" s="19"/>
      <c r="AL149" s="19"/>
      <c r="AM149" s="19" t="str">
        <f t="shared" ref="AM149" si="191">B149</f>
        <v>ActiveWorkbook.Close SaveChanges:=False</v>
      </c>
      <c r="AO149" t="s">
        <v>339</v>
      </c>
    </row>
    <row r="151" spans="2:41" x14ac:dyDescent="0.25">
      <c r="B151" s="22" t="s">
        <v>316</v>
      </c>
      <c r="C151" s="22"/>
      <c r="D151" s="22"/>
      <c r="E151" s="22"/>
      <c r="F151" s="22"/>
      <c r="G151" s="22"/>
      <c r="H151" s="22"/>
      <c r="I151" s="22"/>
      <c r="J151" s="22"/>
      <c r="K151" s="22"/>
      <c r="L151" s="22"/>
      <c r="M151" s="22"/>
      <c r="N151" s="22" t="s">
        <v>321</v>
      </c>
      <c r="O151" s="22"/>
      <c r="P151" s="22"/>
      <c r="Q151" s="22"/>
      <c r="R151" s="22"/>
      <c r="S151" s="22"/>
      <c r="T151" s="22"/>
      <c r="U151" s="22"/>
      <c r="V151" s="22">
        <f t="shared" si="168"/>
        <v>28</v>
      </c>
      <c r="W151" s="22"/>
      <c r="X151" s="22"/>
      <c r="Y151" s="23"/>
      <c r="Z151" s="22" t="s">
        <v>322</v>
      </c>
      <c r="AA151" s="22"/>
      <c r="AB151" s="22"/>
      <c r="AC151" s="22"/>
      <c r="AD151" s="22"/>
      <c r="AE151" s="22"/>
      <c r="AF151" s="22"/>
      <c r="AG151" s="22"/>
      <c r="AH151" s="22"/>
      <c r="AI151" s="22"/>
      <c r="AJ151" s="22"/>
      <c r="AK151" s="22"/>
      <c r="AL151" s="22"/>
      <c r="AM151" s="22" t="str">
        <f t="shared" ref="AM151" si="192">+_xlfn.CONCAT(N151&amp;V151&amp;Z151)</f>
        <v xml:space="preserve"> Workbooks.Open "A:\Homes for Ukraine data\Ukraine_sponsorship_data_28.ods"</v>
      </c>
      <c r="AO151" t="s">
        <v>731</v>
      </c>
    </row>
    <row r="152" spans="2:41" x14ac:dyDescent="0.25">
      <c r="B152" s="22" t="s">
        <v>453</v>
      </c>
      <c r="C152" s="22"/>
      <c r="D152" s="22"/>
      <c r="E152" s="22"/>
      <c r="F152" s="22"/>
      <c r="G152" s="22"/>
      <c r="H152" s="22"/>
      <c r="I152" s="22"/>
      <c r="J152" s="22"/>
      <c r="K152" s="22"/>
      <c r="L152" s="22"/>
      <c r="M152" s="22"/>
      <c r="N152" s="22" t="s">
        <v>323</v>
      </c>
      <c r="O152" s="22"/>
      <c r="P152" s="22"/>
      <c r="Q152" s="22"/>
      <c r="R152" s="22"/>
      <c r="S152" s="22"/>
      <c r="T152" s="22"/>
      <c r="U152" s="22"/>
      <c r="V152" s="22">
        <f t="shared" si="168"/>
        <v>28</v>
      </c>
      <c r="W152" s="22"/>
      <c r="X152" s="22"/>
      <c r="Y152" s="23"/>
      <c r="Z152" s="22" t="s">
        <v>452</v>
      </c>
      <c r="AA152" s="22"/>
      <c r="AB152" s="22"/>
      <c r="AC152" s="22"/>
      <c r="AD152" s="22"/>
      <c r="AE152" s="22" t="s">
        <v>382</v>
      </c>
      <c r="AF152" s="22">
        <f t="shared" si="170"/>
        <v>13</v>
      </c>
      <c r="AG152" s="22" t="s">
        <v>327</v>
      </c>
      <c r="AH152" s="22"/>
      <c r="AI152" s="22">
        <f t="shared" si="171"/>
        <v>43</v>
      </c>
      <c r="AJ152" s="22"/>
      <c r="AK152" s="22" t="s">
        <v>325</v>
      </c>
      <c r="AL152" s="22"/>
      <c r="AM152" s="22" t="str">
        <f t="shared" ref="AM152" si="193">_xlfn.CONCAT(N152&amp;V152&amp;Z152&amp;AE152&amp;AF152&amp;AG152&amp;AE152&amp;AI152&amp;AK152)</f>
        <v xml:space="preserve"> Workbooks("Ukraine_sponsorship_data_28.ods").Worksheets("Wales").Range("D13:D43").Copy _</v>
      </c>
      <c r="AO152" t="s">
        <v>1077</v>
      </c>
    </row>
    <row r="153" spans="2:41" x14ac:dyDescent="0.25">
      <c r="B153" s="22" t="s">
        <v>808</v>
      </c>
      <c r="C153" s="22"/>
      <c r="D153" s="22"/>
      <c r="E153" s="22"/>
      <c r="F153" s="22"/>
      <c r="G153" s="22"/>
      <c r="H153" s="22"/>
      <c r="I153" s="22"/>
      <c r="J153" s="22"/>
      <c r="K153" s="22"/>
      <c r="L153" s="22"/>
      <c r="M153" s="22"/>
      <c r="N153" s="22" t="s">
        <v>809</v>
      </c>
      <c r="O153" s="22"/>
      <c r="P153" s="22"/>
      <c r="Q153" s="22"/>
      <c r="R153" s="22"/>
      <c r="S153" s="22"/>
      <c r="T153" s="22"/>
      <c r="U153" s="22"/>
      <c r="V153" s="22"/>
      <c r="W153" s="22" t="s">
        <v>312</v>
      </c>
      <c r="X153" s="22" t="str">
        <f t="shared" ref="X153" si="194">CHAR(CODE(X148)+1)</f>
        <v>I</v>
      </c>
      <c r="Y153" s="23">
        <f t="shared" si="174"/>
        <v>225</v>
      </c>
      <c r="Z153" s="22" t="s">
        <v>324</v>
      </c>
      <c r="AA153" s="22"/>
      <c r="AB153" s="22"/>
      <c r="AC153" s="22"/>
      <c r="AD153" s="22"/>
      <c r="AE153" s="22"/>
      <c r="AF153" s="22"/>
      <c r="AG153" s="22"/>
      <c r="AH153" s="22"/>
      <c r="AI153" s="22"/>
      <c r="AJ153" s="22"/>
      <c r="AK153" s="22"/>
      <c r="AL153" s="22"/>
      <c r="AM153" s="22" t="str">
        <f t="shared" ref="AM153" si="195">_xlfn.CONCAT(N153&amp;W153&amp;X153&amp;Y153&amp;Z153)</f>
        <v>Workbooks("HFU Forecast UTLA 1.0.xlsm").Worksheets("Combined data").Range("AI225")</v>
      </c>
      <c r="AO153" t="s">
        <v>924</v>
      </c>
    </row>
    <row r="154" spans="2:41" x14ac:dyDescent="0.25">
      <c r="B154" s="22" t="s">
        <v>339</v>
      </c>
      <c r="C154" s="22"/>
      <c r="D154" s="22"/>
      <c r="E154" s="22"/>
      <c r="F154" s="22"/>
      <c r="G154" s="22"/>
      <c r="H154" s="22"/>
      <c r="I154" s="22"/>
      <c r="J154" s="22"/>
      <c r="K154" s="22"/>
      <c r="L154" s="22"/>
      <c r="M154" s="22"/>
      <c r="N154" s="22"/>
      <c r="O154" s="22"/>
      <c r="P154" s="22"/>
      <c r="Q154" s="22"/>
      <c r="R154" s="22"/>
      <c r="S154" s="22"/>
      <c r="T154" s="22"/>
      <c r="U154" s="22"/>
      <c r="V154" s="22"/>
      <c r="W154" s="22"/>
      <c r="X154" s="22"/>
      <c r="Y154" s="23"/>
      <c r="Z154" s="22"/>
      <c r="AA154" s="22"/>
      <c r="AB154" s="22"/>
      <c r="AC154" s="22"/>
      <c r="AD154" s="22"/>
      <c r="AE154" s="22"/>
      <c r="AF154" s="22"/>
      <c r="AG154" s="22"/>
      <c r="AH154" s="22"/>
      <c r="AI154" s="22"/>
      <c r="AJ154" s="22"/>
      <c r="AK154" s="22"/>
      <c r="AL154" s="22"/>
      <c r="AM154" s="22" t="str">
        <f t="shared" ref="AM154" si="196">B154</f>
        <v>ActiveWorkbook.Close SaveChanges:=False</v>
      </c>
      <c r="AO154" t="s">
        <v>339</v>
      </c>
    </row>
    <row r="156" spans="2:41" x14ac:dyDescent="0.25">
      <c r="B156" s="19" t="s">
        <v>316</v>
      </c>
      <c r="C156" s="19"/>
      <c r="D156" s="19"/>
      <c r="E156" s="19"/>
      <c r="F156" s="19"/>
      <c r="G156" s="19"/>
      <c r="H156" s="19"/>
      <c r="I156" s="19"/>
      <c r="J156" s="19"/>
      <c r="K156" s="19"/>
      <c r="L156" s="19"/>
      <c r="M156" s="19"/>
      <c r="N156" s="19" t="s">
        <v>321</v>
      </c>
      <c r="O156" s="19"/>
      <c r="P156" s="19"/>
      <c r="Q156" s="19"/>
      <c r="R156" s="19"/>
      <c r="S156" s="19"/>
      <c r="T156" s="19"/>
      <c r="U156" s="19"/>
      <c r="V156" s="19">
        <f t="shared" si="159"/>
        <v>29</v>
      </c>
      <c r="W156" s="19"/>
      <c r="X156" s="19"/>
      <c r="Y156" s="21"/>
      <c r="Z156" s="19" t="s">
        <v>322</v>
      </c>
      <c r="AA156" s="19"/>
      <c r="AB156" s="19"/>
      <c r="AC156" s="19"/>
      <c r="AD156" s="19"/>
      <c r="AE156" s="19"/>
      <c r="AF156" s="19"/>
      <c r="AG156" s="19"/>
      <c r="AH156" s="19"/>
      <c r="AI156" s="19"/>
      <c r="AJ156" s="19"/>
      <c r="AK156" s="19"/>
      <c r="AL156" s="19"/>
      <c r="AM156" s="19" t="str">
        <f t="shared" ref="AM156" si="197">+_xlfn.CONCAT(N156&amp;V156&amp;Z156)</f>
        <v xml:space="preserve"> Workbooks.Open "A:\Homes for Ukraine data\Ukraine_sponsorship_data_29.ods"</v>
      </c>
      <c r="AO156" t="s">
        <v>733</v>
      </c>
    </row>
    <row r="157" spans="2:41" x14ac:dyDescent="0.25">
      <c r="B157" s="19" t="s">
        <v>453</v>
      </c>
      <c r="C157" s="19"/>
      <c r="D157" s="19"/>
      <c r="E157" s="19"/>
      <c r="F157" s="19"/>
      <c r="G157" s="19"/>
      <c r="H157" s="19"/>
      <c r="I157" s="19"/>
      <c r="J157" s="19"/>
      <c r="K157" s="19"/>
      <c r="L157" s="19"/>
      <c r="M157" s="19"/>
      <c r="N157" s="19" t="s">
        <v>323</v>
      </c>
      <c r="O157" s="19"/>
      <c r="P157" s="19"/>
      <c r="Q157" s="19"/>
      <c r="R157" s="19"/>
      <c r="S157" s="19"/>
      <c r="T157" s="19"/>
      <c r="U157" s="19"/>
      <c r="V157" s="19">
        <f t="shared" si="159"/>
        <v>29</v>
      </c>
      <c r="W157" s="19"/>
      <c r="X157" s="19"/>
      <c r="Y157" s="21"/>
      <c r="Z157" s="19" t="s">
        <v>452</v>
      </c>
      <c r="AA157" s="19"/>
      <c r="AB157" s="19"/>
      <c r="AC157" s="19"/>
      <c r="AD157" s="19"/>
      <c r="AE157" s="19" t="s">
        <v>382</v>
      </c>
      <c r="AF157" s="19">
        <f t="shared" si="161"/>
        <v>13</v>
      </c>
      <c r="AG157" s="19" t="s">
        <v>327</v>
      </c>
      <c r="AH157" s="19"/>
      <c r="AI157" s="19">
        <f t="shared" si="162"/>
        <v>43</v>
      </c>
      <c r="AJ157" s="19"/>
      <c r="AK157" s="19" t="s">
        <v>325</v>
      </c>
      <c r="AL157" s="19"/>
      <c r="AM157" s="19" t="str">
        <f t="shared" ref="AM157" si="198">_xlfn.CONCAT(N157&amp;V157&amp;Z157&amp;AE157&amp;AF157&amp;AG157&amp;AE157&amp;AI157&amp;AK157)</f>
        <v xml:space="preserve"> Workbooks("Ukraine_sponsorship_data_29.ods").Worksheets("Wales").Range("D13:D43").Copy _</v>
      </c>
      <c r="AO157" t="s">
        <v>1078</v>
      </c>
    </row>
    <row r="158" spans="2:41" x14ac:dyDescent="0.25">
      <c r="B158" s="19" t="s">
        <v>808</v>
      </c>
      <c r="C158" s="19"/>
      <c r="D158" s="19"/>
      <c r="E158" s="19"/>
      <c r="F158" s="19"/>
      <c r="G158" s="19"/>
      <c r="H158" s="19"/>
      <c r="I158" s="19"/>
      <c r="J158" s="19"/>
      <c r="K158" s="19"/>
      <c r="L158" s="19"/>
      <c r="M158" s="19"/>
      <c r="N158" s="19" t="s">
        <v>809</v>
      </c>
      <c r="O158" s="19"/>
      <c r="P158" s="19"/>
      <c r="Q158" s="19"/>
      <c r="R158" s="19"/>
      <c r="S158" s="19"/>
      <c r="T158" s="19"/>
      <c r="U158" s="19"/>
      <c r="V158" s="19"/>
      <c r="W158" s="19" t="s">
        <v>312</v>
      </c>
      <c r="X158" s="19" t="str">
        <f t="shared" ref="X158" si="199">CHAR(CODE(X153)+1)</f>
        <v>J</v>
      </c>
      <c r="Y158" s="21">
        <f t="shared" si="165"/>
        <v>225</v>
      </c>
      <c r="Z158" s="19" t="s">
        <v>324</v>
      </c>
      <c r="AA158" s="19"/>
      <c r="AB158" s="19"/>
      <c r="AC158" s="19"/>
      <c r="AD158" s="19"/>
      <c r="AE158" s="19"/>
      <c r="AF158" s="19"/>
      <c r="AG158" s="19"/>
      <c r="AH158" s="19"/>
      <c r="AI158" s="19"/>
      <c r="AJ158" s="19"/>
      <c r="AK158" s="19"/>
      <c r="AL158" s="19"/>
      <c r="AM158" s="19" t="str">
        <f t="shared" ref="AM158" si="200">_xlfn.CONCAT(N158&amp;W158&amp;X158&amp;Y158&amp;Z158)</f>
        <v>Workbooks("HFU Forecast UTLA 1.0.xlsm").Worksheets("Combined data").Range("AJ225")</v>
      </c>
      <c r="AO158" t="s">
        <v>925</v>
      </c>
    </row>
    <row r="159" spans="2:41" x14ac:dyDescent="0.25">
      <c r="B159" s="19" t="s">
        <v>339</v>
      </c>
      <c r="C159" s="19"/>
      <c r="D159" s="19"/>
      <c r="E159" s="19"/>
      <c r="F159" s="19"/>
      <c r="G159" s="19"/>
      <c r="H159" s="19"/>
      <c r="I159" s="19"/>
      <c r="J159" s="19"/>
      <c r="K159" s="19"/>
      <c r="L159" s="19"/>
      <c r="M159" s="19"/>
      <c r="N159" s="19"/>
      <c r="O159" s="19"/>
      <c r="P159" s="19"/>
      <c r="Q159" s="19"/>
      <c r="R159" s="19"/>
      <c r="S159" s="19"/>
      <c r="T159" s="19"/>
      <c r="U159" s="19"/>
      <c r="V159" s="19"/>
      <c r="W159" s="19"/>
      <c r="X159" s="19"/>
      <c r="Y159" s="21"/>
      <c r="Z159" s="19"/>
      <c r="AA159" s="19"/>
      <c r="AB159" s="19"/>
      <c r="AC159" s="19"/>
      <c r="AD159" s="19"/>
      <c r="AE159" s="19"/>
      <c r="AF159" s="19"/>
      <c r="AG159" s="19"/>
      <c r="AH159" s="19"/>
      <c r="AI159" s="19"/>
      <c r="AJ159" s="19"/>
      <c r="AK159" s="19"/>
      <c r="AL159" s="19"/>
      <c r="AM159" s="19" t="str">
        <f t="shared" ref="AM159" si="201">B159</f>
        <v>ActiveWorkbook.Close SaveChanges:=False</v>
      </c>
      <c r="AO159" t="s">
        <v>339</v>
      </c>
    </row>
    <row r="161" spans="2:41" x14ac:dyDescent="0.25">
      <c r="B161" s="22" t="s">
        <v>316</v>
      </c>
      <c r="C161" s="22"/>
      <c r="D161" s="22"/>
      <c r="E161" s="22"/>
      <c r="F161" s="22"/>
      <c r="G161" s="22"/>
      <c r="H161" s="22"/>
      <c r="I161" s="22"/>
      <c r="J161" s="22"/>
      <c r="K161" s="22"/>
      <c r="L161" s="22"/>
      <c r="M161" s="22"/>
      <c r="N161" s="22" t="s">
        <v>321</v>
      </c>
      <c r="O161" s="22"/>
      <c r="P161" s="22"/>
      <c r="Q161" s="22"/>
      <c r="R161" s="22"/>
      <c r="S161" s="22"/>
      <c r="T161" s="22"/>
      <c r="U161" s="22"/>
      <c r="V161" s="22">
        <f t="shared" si="168"/>
        <v>30</v>
      </c>
      <c r="W161" s="22"/>
      <c r="X161" s="22"/>
      <c r="Y161" s="23"/>
      <c r="Z161" s="22" t="s">
        <v>322</v>
      </c>
      <c r="AA161" s="22"/>
      <c r="AB161" s="22"/>
      <c r="AC161" s="22"/>
      <c r="AD161" s="22"/>
      <c r="AE161" s="22"/>
      <c r="AF161" s="22"/>
      <c r="AG161" s="22"/>
      <c r="AH161" s="22"/>
      <c r="AI161" s="22"/>
      <c r="AJ161" s="22"/>
      <c r="AK161" s="22"/>
      <c r="AL161" s="22"/>
      <c r="AM161" s="22" t="str">
        <f t="shared" ref="AM161" si="202">+_xlfn.CONCAT(N161&amp;V161&amp;Z161)</f>
        <v xml:space="preserve"> Workbooks.Open "A:\Homes for Ukraine data\Ukraine_sponsorship_data_30.ods"</v>
      </c>
      <c r="AO161" t="s">
        <v>735</v>
      </c>
    </row>
    <row r="162" spans="2:41" x14ac:dyDescent="0.25">
      <c r="B162" s="22" t="s">
        <v>453</v>
      </c>
      <c r="C162" s="22"/>
      <c r="D162" s="22"/>
      <c r="E162" s="22"/>
      <c r="F162" s="22"/>
      <c r="G162" s="22"/>
      <c r="H162" s="22"/>
      <c r="I162" s="22"/>
      <c r="J162" s="22"/>
      <c r="K162" s="22"/>
      <c r="L162" s="22"/>
      <c r="M162" s="22"/>
      <c r="N162" s="22" t="s">
        <v>323</v>
      </c>
      <c r="O162" s="22"/>
      <c r="P162" s="22"/>
      <c r="Q162" s="22"/>
      <c r="R162" s="22"/>
      <c r="S162" s="22"/>
      <c r="T162" s="22"/>
      <c r="U162" s="22"/>
      <c r="V162" s="22">
        <f t="shared" si="168"/>
        <v>30</v>
      </c>
      <c r="W162" s="22"/>
      <c r="X162" s="22"/>
      <c r="Y162" s="23"/>
      <c r="Z162" s="22" t="s">
        <v>452</v>
      </c>
      <c r="AA162" s="22"/>
      <c r="AB162" s="22"/>
      <c r="AC162" s="22"/>
      <c r="AD162" s="22"/>
      <c r="AE162" s="22" t="s">
        <v>382</v>
      </c>
      <c r="AF162" s="22">
        <f t="shared" si="170"/>
        <v>13</v>
      </c>
      <c r="AG162" s="22" t="s">
        <v>327</v>
      </c>
      <c r="AH162" s="22"/>
      <c r="AI162" s="22">
        <f t="shared" si="171"/>
        <v>43</v>
      </c>
      <c r="AJ162" s="22"/>
      <c r="AK162" s="22" t="s">
        <v>325</v>
      </c>
      <c r="AL162" s="22"/>
      <c r="AM162" s="22" t="str">
        <f t="shared" ref="AM162" si="203">_xlfn.CONCAT(N162&amp;V162&amp;Z162&amp;AE162&amp;AF162&amp;AG162&amp;AE162&amp;AI162&amp;AK162)</f>
        <v xml:space="preserve"> Workbooks("Ukraine_sponsorship_data_30.ods").Worksheets("Wales").Range("D13:D43").Copy _</v>
      </c>
      <c r="AO162" t="s">
        <v>1079</v>
      </c>
    </row>
    <row r="163" spans="2:41" x14ac:dyDescent="0.25">
      <c r="B163" s="22" t="s">
        <v>808</v>
      </c>
      <c r="C163" s="22"/>
      <c r="D163" s="22"/>
      <c r="E163" s="22"/>
      <c r="F163" s="22"/>
      <c r="G163" s="22"/>
      <c r="H163" s="22"/>
      <c r="I163" s="22"/>
      <c r="J163" s="22"/>
      <c r="K163" s="22"/>
      <c r="L163" s="22"/>
      <c r="M163" s="22"/>
      <c r="N163" s="22" t="s">
        <v>809</v>
      </c>
      <c r="O163" s="22"/>
      <c r="P163" s="22"/>
      <c r="Q163" s="22"/>
      <c r="R163" s="22"/>
      <c r="S163" s="22"/>
      <c r="T163" s="22"/>
      <c r="U163" s="22"/>
      <c r="V163" s="22"/>
      <c r="W163" s="22" t="s">
        <v>312</v>
      </c>
      <c r="X163" s="22" t="str">
        <f t="shared" ref="X163" si="204">CHAR(CODE(X158)+1)</f>
        <v>K</v>
      </c>
      <c r="Y163" s="23">
        <f t="shared" si="174"/>
        <v>225</v>
      </c>
      <c r="Z163" s="22" t="s">
        <v>324</v>
      </c>
      <c r="AA163" s="22"/>
      <c r="AB163" s="22"/>
      <c r="AC163" s="22"/>
      <c r="AD163" s="22"/>
      <c r="AE163" s="22"/>
      <c r="AF163" s="22"/>
      <c r="AG163" s="22"/>
      <c r="AH163" s="22"/>
      <c r="AI163" s="22"/>
      <c r="AJ163" s="22"/>
      <c r="AK163" s="22"/>
      <c r="AL163" s="22"/>
      <c r="AM163" s="22" t="str">
        <f t="shared" ref="AM163" si="205">_xlfn.CONCAT(N163&amp;W163&amp;X163&amp;Y163&amp;Z163)</f>
        <v>Workbooks("HFU Forecast UTLA 1.0.xlsm").Worksheets("Combined data").Range("AK225")</v>
      </c>
      <c r="AO163" t="s">
        <v>926</v>
      </c>
    </row>
    <row r="164" spans="2:41" x14ac:dyDescent="0.25">
      <c r="B164" s="22" t="s">
        <v>339</v>
      </c>
      <c r="C164" s="22"/>
      <c r="D164" s="22"/>
      <c r="E164" s="22"/>
      <c r="F164" s="22"/>
      <c r="G164" s="22"/>
      <c r="H164" s="22"/>
      <c r="I164" s="22"/>
      <c r="J164" s="22"/>
      <c r="K164" s="22"/>
      <c r="L164" s="22"/>
      <c r="M164" s="22"/>
      <c r="N164" s="22"/>
      <c r="O164" s="22"/>
      <c r="P164" s="22"/>
      <c r="Q164" s="22"/>
      <c r="R164" s="22"/>
      <c r="S164" s="22"/>
      <c r="T164" s="22"/>
      <c r="U164" s="22"/>
      <c r="V164" s="22"/>
      <c r="W164" s="22"/>
      <c r="X164" s="22"/>
      <c r="Y164" s="23"/>
      <c r="Z164" s="22"/>
      <c r="AA164" s="22"/>
      <c r="AB164" s="22"/>
      <c r="AC164" s="22"/>
      <c r="AD164" s="22"/>
      <c r="AE164" s="22"/>
      <c r="AF164" s="22"/>
      <c r="AG164" s="22"/>
      <c r="AH164" s="22"/>
      <c r="AI164" s="22"/>
      <c r="AJ164" s="22"/>
      <c r="AK164" s="22"/>
      <c r="AL164" s="22"/>
      <c r="AM164" s="22" t="str">
        <f t="shared" ref="AM164" si="206">B164</f>
        <v>ActiveWorkbook.Close SaveChanges:=False</v>
      </c>
      <c r="AO164" t="s">
        <v>339</v>
      </c>
    </row>
    <row r="166" spans="2:41" x14ac:dyDescent="0.25">
      <c r="B166" s="19" t="s">
        <v>316</v>
      </c>
      <c r="C166" s="19"/>
      <c r="D166" s="19"/>
      <c r="E166" s="19"/>
      <c r="F166" s="19"/>
      <c r="G166" s="19"/>
      <c r="H166" s="19"/>
      <c r="I166" s="19"/>
      <c r="J166" s="19"/>
      <c r="K166" s="19"/>
      <c r="L166" s="19"/>
      <c r="M166" s="19"/>
      <c r="N166" s="19" t="s">
        <v>321</v>
      </c>
      <c r="O166" s="19"/>
      <c r="P166" s="19"/>
      <c r="Q166" s="19"/>
      <c r="R166" s="19"/>
      <c r="S166" s="19"/>
      <c r="T166" s="19"/>
      <c r="U166" s="19"/>
      <c r="V166" s="19">
        <f t="shared" si="159"/>
        <v>31</v>
      </c>
      <c r="W166" s="19"/>
      <c r="X166" s="19"/>
      <c r="Y166" s="21"/>
      <c r="Z166" s="19" t="s">
        <v>322</v>
      </c>
      <c r="AA166" s="19"/>
      <c r="AB166" s="19"/>
      <c r="AC166" s="19"/>
      <c r="AD166" s="19"/>
      <c r="AE166" s="19"/>
      <c r="AF166" s="19"/>
      <c r="AG166" s="19"/>
      <c r="AH166" s="19"/>
      <c r="AI166" s="19"/>
      <c r="AJ166" s="19"/>
      <c r="AK166" s="19"/>
      <c r="AL166" s="19"/>
      <c r="AM166" s="19" t="str">
        <f t="shared" ref="AM166" si="207">+_xlfn.CONCAT(N166&amp;V166&amp;Z166)</f>
        <v xml:space="preserve"> Workbooks.Open "A:\Homes for Ukraine data\Ukraine_sponsorship_data_31.ods"</v>
      </c>
      <c r="AO166" t="s">
        <v>737</v>
      </c>
    </row>
    <row r="167" spans="2:41" x14ac:dyDescent="0.25">
      <c r="B167" s="19" t="s">
        <v>453</v>
      </c>
      <c r="C167" s="19"/>
      <c r="D167" s="19"/>
      <c r="E167" s="19"/>
      <c r="F167" s="19"/>
      <c r="G167" s="19"/>
      <c r="H167" s="19"/>
      <c r="I167" s="19"/>
      <c r="J167" s="19"/>
      <c r="K167" s="19"/>
      <c r="L167" s="19"/>
      <c r="M167" s="19"/>
      <c r="N167" s="19" t="s">
        <v>323</v>
      </c>
      <c r="O167" s="19"/>
      <c r="P167" s="19"/>
      <c r="Q167" s="19"/>
      <c r="R167" s="19"/>
      <c r="S167" s="19"/>
      <c r="T167" s="19"/>
      <c r="U167" s="19"/>
      <c r="V167" s="19">
        <f t="shared" si="159"/>
        <v>31</v>
      </c>
      <c r="W167" s="19"/>
      <c r="X167" s="19"/>
      <c r="Y167" s="21"/>
      <c r="Z167" s="19" t="s">
        <v>452</v>
      </c>
      <c r="AA167" s="19"/>
      <c r="AB167" s="19"/>
      <c r="AC167" s="19"/>
      <c r="AD167" s="19"/>
      <c r="AE167" s="19" t="s">
        <v>382</v>
      </c>
      <c r="AF167" s="19">
        <f t="shared" si="161"/>
        <v>13</v>
      </c>
      <c r="AG167" s="19" t="s">
        <v>327</v>
      </c>
      <c r="AH167" s="19"/>
      <c r="AI167" s="19">
        <f t="shared" si="162"/>
        <v>43</v>
      </c>
      <c r="AJ167" s="19"/>
      <c r="AK167" s="19" t="s">
        <v>325</v>
      </c>
      <c r="AL167" s="19"/>
      <c r="AM167" s="19" t="str">
        <f t="shared" ref="AM167" si="208">_xlfn.CONCAT(N167&amp;V167&amp;Z167&amp;AE167&amp;AF167&amp;AG167&amp;AE167&amp;AI167&amp;AK167)</f>
        <v xml:space="preserve"> Workbooks("Ukraine_sponsorship_data_31.ods").Worksheets("Wales").Range("D13:D43").Copy _</v>
      </c>
      <c r="AO167" t="s">
        <v>1080</v>
      </c>
    </row>
    <row r="168" spans="2:41" x14ac:dyDescent="0.25">
      <c r="B168" s="19" t="s">
        <v>808</v>
      </c>
      <c r="C168" s="19"/>
      <c r="D168" s="19"/>
      <c r="E168" s="19"/>
      <c r="F168" s="19"/>
      <c r="G168" s="19"/>
      <c r="H168" s="19"/>
      <c r="I168" s="19"/>
      <c r="J168" s="19"/>
      <c r="K168" s="19"/>
      <c r="L168" s="19"/>
      <c r="M168" s="19"/>
      <c r="N168" s="19" t="s">
        <v>809</v>
      </c>
      <c r="O168" s="19"/>
      <c r="P168" s="19"/>
      <c r="Q168" s="19"/>
      <c r="R168" s="19"/>
      <c r="S168" s="19"/>
      <c r="T168" s="19"/>
      <c r="U168" s="19"/>
      <c r="V168" s="19"/>
      <c r="W168" s="19" t="s">
        <v>312</v>
      </c>
      <c r="X168" s="19" t="str">
        <f t="shared" ref="X168" si="209">CHAR(CODE(X163)+1)</f>
        <v>L</v>
      </c>
      <c r="Y168" s="21">
        <f t="shared" si="165"/>
        <v>225</v>
      </c>
      <c r="Z168" s="19" t="s">
        <v>324</v>
      </c>
      <c r="AA168" s="19"/>
      <c r="AB168" s="19"/>
      <c r="AC168" s="19"/>
      <c r="AD168" s="19"/>
      <c r="AE168" s="19"/>
      <c r="AF168" s="19"/>
      <c r="AG168" s="19"/>
      <c r="AH168" s="19"/>
      <c r="AI168" s="19"/>
      <c r="AJ168" s="19"/>
      <c r="AK168" s="19"/>
      <c r="AL168" s="19"/>
      <c r="AM168" s="19" t="str">
        <f t="shared" ref="AM168" si="210">_xlfn.CONCAT(N168&amp;W168&amp;X168&amp;Y168&amp;Z168)</f>
        <v>Workbooks("HFU Forecast UTLA 1.0.xlsm").Worksheets("Combined data").Range("AL225")</v>
      </c>
      <c r="AO168" t="s">
        <v>962</v>
      </c>
    </row>
    <row r="169" spans="2:41" x14ac:dyDescent="0.25">
      <c r="B169" s="19" t="s">
        <v>339</v>
      </c>
      <c r="C169" s="19"/>
      <c r="D169" s="19"/>
      <c r="E169" s="19"/>
      <c r="F169" s="19"/>
      <c r="G169" s="19"/>
      <c r="H169" s="19"/>
      <c r="I169" s="19"/>
      <c r="J169" s="19"/>
      <c r="K169" s="19"/>
      <c r="L169" s="19"/>
      <c r="M169" s="19"/>
      <c r="N169" s="19"/>
      <c r="O169" s="19"/>
      <c r="P169" s="19"/>
      <c r="Q169" s="19"/>
      <c r="R169" s="19"/>
      <c r="S169" s="19"/>
      <c r="T169" s="19"/>
      <c r="U169" s="19"/>
      <c r="V169" s="19"/>
      <c r="W169" s="19"/>
      <c r="X169" s="19"/>
      <c r="Y169" s="21"/>
      <c r="Z169" s="19"/>
      <c r="AA169" s="19"/>
      <c r="AB169" s="19"/>
      <c r="AC169" s="19"/>
      <c r="AD169" s="19"/>
      <c r="AE169" s="19"/>
      <c r="AF169" s="19"/>
      <c r="AG169" s="19"/>
      <c r="AH169" s="19"/>
      <c r="AI169" s="19"/>
      <c r="AJ169" s="19"/>
      <c r="AK169" s="19"/>
      <c r="AL169" s="19"/>
      <c r="AM169" s="19" t="str">
        <f t="shared" ref="AM169" si="211">B169</f>
        <v>ActiveWorkbook.Close SaveChanges:=False</v>
      </c>
      <c r="AO169" t="s">
        <v>339</v>
      </c>
    </row>
    <row r="171" spans="2:41" x14ac:dyDescent="0.25">
      <c r="B171" s="22" t="s">
        <v>316</v>
      </c>
      <c r="C171" s="22"/>
      <c r="D171" s="22"/>
      <c r="E171" s="22"/>
      <c r="F171" s="22"/>
      <c r="G171" s="22"/>
      <c r="H171" s="22"/>
      <c r="I171" s="22"/>
      <c r="J171" s="22"/>
      <c r="K171" s="22"/>
      <c r="L171" s="22"/>
      <c r="M171" s="22"/>
      <c r="N171" s="22" t="s">
        <v>321</v>
      </c>
      <c r="O171" s="22"/>
      <c r="P171" s="22"/>
      <c r="Q171" s="22"/>
      <c r="R171" s="22"/>
      <c r="S171" s="22"/>
      <c r="T171" s="22"/>
      <c r="U171" s="22"/>
      <c r="V171" s="22">
        <f t="shared" si="168"/>
        <v>32</v>
      </c>
      <c r="W171" s="22"/>
      <c r="X171" s="22"/>
      <c r="Y171" s="23"/>
      <c r="Z171" s="22" t="s">
        <v>322</v>
      </c>
      <c r="AA171" s="22"/>
      <c r="AB171" s="22"/>
      <c r="AC171" s="22"/>
      <c r="AD171" s="22"/>
      <c r="AE171" s="22"/>
      <c r="AF171" s="22"/>
      <c r="AG171" s="22"/>
      <c r="AH171" s="22"/>
      <c r="AI171" s="22"/>
      <c r="AJ171" s="22"/>
      <c r="AK171" s="22"/>
      <c r="AL171" s="22"/>
      <c r="AM171" s="22" t="str">
        <f t="shared" ref="AM171" si="212">+_xlfn.CONCAT(N171&amp;V171&amp;Z171)</f>
        <v xml:space="preserve"> Workbooks.Open "A:\Homes for Ukraine data\Ukraine_sponsorship_data_32.ods"</v>
      </c>
      <c r="AO171" t="s">
        <v>739</v>
      </c>
    </row>
    <row r="172" spans="2:41" x14ac:dyDescent="0.25">
      <c r="B172" s="22" t="s">
        <v>453</v>
      </c>
      <c r="C172" s="22"/>
      <c r="D172" s="22"/>
      <c r="E172" s="22"/>
      <c r="F172" s="22"/>
      <c r="G172" s="22"/>
      <c r="H172" s="22"/>
      <c r="I172" s="22"/>
      <c r="J172" s="22"/>
      <c r="K172" s="22"/>
      <c r="L172" s="22"/>
      <c r="M172" s="22"/>
      <c r="N172" s="22" t="s">
        <v>323</v>
      </c>
      <c r="O172" s="22"/>
      <c r="P172" s="22"/>
      <c r="Q172" s="22"/>
      <c r="R172" s="22"/>
      <c r="S172" s="22"/>
      <c r="T172" s="22"/>
      <c r="U172" s="22"/>
      <c r="V172" s="22">
        <f t="shared" si="168"/>
        <v>32</v>
      </c>
      <c r="W172" s="22"/>
      <c r="X172" s="22"/>
      <c r="Y172" s="23"/>
      <c r="Z172" s="22" t="s">
        <v>452</v>
      </c>
      <c r="AA172" s="22"/>
      <c r="AB172" s="22"/>
      <c r="AC172" s="22"/>
      <c r="AD172" s="22"/>
      <c r="AE172" s="22" t="s">
        <v>382</v>
      </c>
      <c r="AF172" s="22">
        <f t="shared" si="170"/>
        <v>13</v>
      </c>
      <c r="AG172" s="22" t="s">
        <v>327</v>
      </c>
      <c r="AH172" s="22"/>
      <c r="AI172" s="22">
        <f t="shared" si="171"/>
        <v>43</v>
      </c>
      <c r="AJ172" s="22"/>
      <c r="AK172" s="22" t="s">
        <v>325</v>
      </c>
      <c r="AL172" s="22"/>
      <c r="AM172" s="22" t="str">
        <f t="shared" ref="AM172" si="213">_xlfn.CONCAT(N172&amp;V172&amp;Z172&amp;AE172&amp;AF172&amp;AG172&amp;AE172&amp;AI172&amp;AK172)</f>
        <v xml:space="preserve"> Workbooks("Ukraine_sponsorship_data_32.ods").Worksheets("Wales").Range("D13:D43").Copy _</v>
      </c>
      <c r="AO172" t="s">
        <v>1081</v>
      </c>
    </row>
    <row r="173" spans="2:41" x14ac:dyDescent="0.25">
      <c r="B173" s="22" t="s">
        <v>808</v>
      </c>
      <c r="C173" s="22"/>
      <c r="D173" s="22"/>
      <c r="E173" s="22"/>
      <c r="F173" s="22"/>
      <c r="G173" s="22"/>
      <c r="H173" s="22"/>
      <c r="I173" s="22"/>
      <c r="J173" s="22"/>
      <c r="K173" s="22"/>
      <c r="L173" s="22"/>
      <c r="M173" s="22"/>
      <c r="N173" s="22" t="s">
        <v>809</v>
      </c>
      <c r="O173" s="22"/>
      <c r="P173" s="22"/>
      <c r="Q173" s="22"/>
      <c r="R173" s="22"/>
      <c r="S173" s="22"/>
      <c r="T173" s="22"/>
      <c r="U173" s="22"/>
      <c r="V173" s="22"/>
      <c r="W173" s="22" t="s">
        <v>312</v>
      </c>
      <c r="X173" s="22" t="str">
        <f t="shared" ref="X173" si="214">CHAR(CODE(X168)+1)</f>
        <v>M</v>
      </c>
      <c r="Y173" s="23">
        <f t="shared" si="174"/>
        <v>225</v>
      </c>
      <c r="Z173" s="22" t="s">
        <v>324</v>
      </c>
      <c r="AA173" s="22"/>
      <c r="AB173" s="22"/>
      <c r="AC173" s="22"/>
      <c r="AD173" s="22"/>
      <c r="AE173" s="22"/>
      <c r="AF173" s="22"/>
      <c r="AG173" s="22"/>
      <c r="AH173" s="22"/>
      <c r="AI173" s="22"/>
      <c r="AJ173" s="22"/>
      <c r="AK173" s="22"/>
      <c r="AL173" s="22"/>
      <c r="AM173" s="22" t="str">
        <f t="shared" ref="AM173" si="215">_xlfn.CONCAT(N173&amp;W173&amp;X173&amp;Y173&amp;Z173)</f>
        <v>Workbooks("HFU Forecast UTLA 1.0.xlsm").Worksheets("Combined data").Range("AM225")</v>
      </c>
      <c r="AO173" t="s">
        <v>963</v>
      </c>
    </row>
    <row r="174" spans="2:41" x14ac:dyDescent="0.25">
      <c r="B174" s="22" t="s">
        <v>339</v>
      </c>
      <c r="C174" s="22"/>
      <c r="D174" s="22"/>
      <c r="E174" s="22"/>
      <c r="F174" s="22"/>
      <c r="G174" s="22"/>
      <c r="H174" s="22"/>
      <c r="I174" s="22"/>
      <c r="J174" s="22"/>
      <c r="K174" s="22"/>
      <c r="L174" s="22"/>
      <c r="M174" s="22"/>
      <c r="N174" s="22"/>
      <c r="O174" s="22"/>
      <c r="P174" s="22"/>
      <c r="Q174" s="22"/>
      <c r="R174" s="22"/>
      <c r="S174" s="22"/>
      <c r="T174" s="22"/>
      <c r="U174" s="22"/>
      <c r="V174" s="22"/>
      <c r="W174" s="22"/>
      <c r="X174" s="22"/>
      <c r="Y174" s="23"/>
      <c r="Z174" s="22"/>
      <c r="AA174" s="22"/>
      <c r="AB174" s="22"/>
      <c r="AC174" s="22"/>
      <c r="AD174" s="22"/>
      <c r="AE174" s="22"/>
      <c r="AF174" s="22"/>
      <c r="AG174" s="22"/>
      <c r="AH174" s="22"/>
      <c r="AI174" s="22"/>
      <c r="AJ174" s="22"/>
      <c r="AK174" s="22"/>
      <c r="AL174" s="22"/>
      <c r="AM174" s="22" t="str">
        <f t="shared" ref="AM174" si="216">B174</f>
        <v>ActiveWorkbook.Close SaveChanges:=False</v>
      </c>
      <c r="AO174" t="s">
        <v>339</v>
      </c>
    </row>
    <row r="176" spans="2:41" x14ac:dyDescent="0.25">
      <c r="B176" s="19" t="s">
        <v>316</v>
      </c>
      <c r="C176" s="19"/>
      <c r="D176" s="19"/>
      <c r="E176" s="19"/>
      <c r="F176" s="19"/>
      <c r="G176" s="19"/>
      <c r="H176" s="19"/>
      <c r="I176" s="19"/>
      <c r="J176" s="19"/>
      <c r="K176" s="19"/>
      <c r="L176" s="19"/>
      <c r="M176" s="19"/>
      <c r="N176" s="19" t="s">
        <v>321</v>
      </c>
      <c r="O176" s="19"/>
      <c r="P176" s="19"/>
      <c r="Q176" s="19"/>
      <c r="R176" s="19"/>
      <c r="S176" s="19"/>
      <c r="T176" s="19"/>
      <c r="U176" s="19"/>
      <c r="V176" s="19">
        <f t="shared" si="159"/>
        <v>33</v>
      </c>
      <c r="W176" s="19"/>
      <c r="X176" s="19"/>
      <c r="Y176" s="21"/>
      <c r="Z176" s="19" t="s">
        <v>322</v>
      </c>
      <c r="AA176" s="19"/>
      <c r="AB176" s="19"/>
      <c r="AC176" s="19"/>
      <c r="AD176" s="19"/>
      <c r="AE176" s="19"/>
      <c r="AF176" s="19"/>
      <c r="AG176" s="19"/>
      <c r="AH176" s="19"/>
      <c r="AI176" s="19"/>
      <c r="AJ176" s="19"/>
      <c r="AK176" s="19"/>
      <c r="AL176" s="19"/>
      <c r="AM176" s="19" t="str">
        <f t="shared" ref="AM176" si="217">+_xlfn.CONCAT(N176&amp;V176&amp;Z176)</f>
        <v xml:space="preserve"> Workbooks.Open "A:\Homes for Ukraine data\Ukraine_sponsorship_data_33.ods"</v>
      </c>
      <c r="AO176" t="s">
        <v>741</v>
      </c>
    </row>
    <row r="177" spans="2:41" x14ac:dyDescent="0.25">
      <c r="B177" s="19" t="s">
        <v>453</v>
      </c>
      <c r="C177" s="19"/>
      <c r="D177" s="19"/>
      <c r="E177" s="19"/>
      <c r="F177" s="19"/>
      <c r="G177" s="19"/>
      <c r="H177" s="19"/>
      <c r="I177" s="19"/>
      <c r="J177" s="19"/>
      <c r="K177" s="19"/>
      <c r="L177" s="19"/>
      <c r="M177" s="19"/>
      <c r="N177" s="19" t="s">
        <v>323</v>
      </c>
      <c r="O177" s="19"/>
      <c r="P177" s="19"/>
      <c r="Q177" s="19"/>
      <c r="R177" s="19"/>
      <c r="S177" s="19"/>
      <c r="T177" s="19"/>
      <c r="U177" s="19"/>
      <c r="V177" s="19">
        <f t="shared" si="159"/>
        <v>33</v>
      </c>
      <c r="W177" s="19"/>
      <c r="X177" s="19"/>
      <c r="Y177" s="21"/>
      <c r="Z177" s="19" t="s">
        <v>452</v>
      </c>
      <c r="AA177" s="19"/>
      <c r="AB177" s="19"/>
      <c r="AC177" s="19"/>
      <c r="AD177" s="19"/>
      <c r="AE177" s="19" t="s">
        <v>382</v>
      </c>
      <c r="AF177" s="19">
        <f t="shared" si="161"/>
        <v>13</v>
      </c>
      <c r="AG177" s="19" t="s">
        <v>327</v>
      </c>
      <c r="AH177" s="19"/>
      <c r="AI177" s="19">
        <f t="shared" si="162"/>
        <v>43</v>
      </c>
      <c r="AJ177" s="19"/>
      <c r="AK177" s="19" t="s">
        <v>325</v>
      </c>
      <c r="AL177" s="19"/>
      <c r="AM177" s="19" t="str">
        <f t="shared" ref="AM177" si="218">_xlfn.CONCAT(N177&amp;V177&amp;Z177&amp;AE177&amp;AF177&amp;AG177&amp;AE177&amp;AI177&amp;AK177)</f>
        <v xml:space="preserve"> Workbooks("Ukraine_sponsorship_data_33.ods").Worksheets("Wales").Range("D13:D43").Copy _</v>
      </c>
      <c r="AO177" t="s">
        <v>1082</v>
      </c>
    </row>
    <row r="178" spans="2:41" x14ac:dyDescent="0.25">
      <c r="B178" s="19" t="s">
        <v>808</v>
      </c>
      <c r="C178" s="19"/>
      <c r="D178" s="19"/>
      <c r="E178" s="19"/>
      <c r="F178" s="19"/>
      <c r="G178" s="19"/>
      <c r="H178" s="19"/>
      <c r="I178" s="19"/>
      <c r="J178" s="19"/>
      <c r="K178" s="19"/>
      <c r="L178" s="19"/>
      <c r="M178" s="19"/>
      <c r="N178" s="19" t="s">
        <v>809</v>
      </c>
      <c r="O178" s="19"/>
      <c r="P178" s="19"/>
      <c r="Q178" s="19"/>
      <c r="R178" s="19"/>
      <c r="S178" s="19"/>
      <c r="T178" s="19"/>
      <c r="U178" s="19"/>
      <c r="V178" s="19"/>
      <c r="W178" s="19" t="s">
        <v>312</v>
      </c>
      <c r="X178" s="19" t="str">
        <f t="shared" ref="X178" si="219">CHAR(CODE(X173)+1)</f>
        <v>N</v>
      </c>
      <c r="Y178" s="21">
        <f t="shared" si="165"/>
        <v>225</v>
      </c>
      <c r="Z178" s="19" t="s">
        <v>324</v>
      </c>
      <c r="AA178" s="19"/>
      <c r="AB178" s="19"/>
      <c r="AC178" s="19"/>
      <c r="AD178" s="19"/>
      <c r="AE178" s="19"/>
      <c r="AF178" s="19"/>
      <c r="AG178" s="19"/>
      <c r="AH178" s="19"/>
      <c r="AI178" s="19"/>
      <c r="AJ178" s="19"/>
      <c r="AK178" s="19"/>
      <c r="AL178" s="19"/>
      <c r="AM178" s="19" t="str">
        <f t="shared" ref="AM178" si="220">_xlfn.CONCAT(N178&amp;W178&amp;X178&amp;Y178&amp;Z178)</f>
        <v>Workbooks("HFU Forecast UTLA 1.0.xlsm").Worksheets("Combined data").Range("AN225")</v>
      </c>
      <c r="AO178" t="s">
        <v>964</v>
      </c>
    </row>
    <row r="179" spans="2:41" x14ac:dyDescent="0.25">
      <c r="B179" s="19" t="s">
        <v>339</v>
      </c>
      <c r="C179" s="19"/>
      <c r="D179" s="19"/>
      <c r="E179" s="19"/>
      <c r="F179" s="19"/>
      <c r="G179" s="19"/>
      <c r="H179" s="19"/>
      <c r="I179" s="19"/>
      <c r="J179" s="19"/>
      <c r="K179" s="19"/>
      <c r="L179" s="19"/>
      <c r="M179" s="19"/>
      <c r="N179" s="19"/>
      <c r="O179" s="19"/>
      <c r="P179" s="19"/>
      <c r="Q179" s="19"/>
      <c r="R179" s="19"/>
      <c r="S179" s="19"/>
      <c r="T179" s="19"/>
      <c r="U179" s="19"/>
      <c r="V179" s="19"/>
      <c r="W179" s="19"/>
      <c r="X179" s="19"/>
      <c r="Y179" s="21"/>
      <c r="Z179" s="19"/>
      <c r="AA179" s="19"/>
      <c r="AB179" s="19"/>
      <c r="AC179" s="19"/>
      <c r="AD179" s="19"/>
      <c r="AE179" s="19"/>
      <c r="AF179" s="19"/>
      <c r="AG179" s="19"/>
      <c r="AH179" s="19"/>
      <c r="AI179" s="19"/>
      <c r="AJ179" s="19"/>
      <c r="AK179" s="19"/>
      <c r="AL179" s="19"/>
      <c r="AM179" s="19" t="str">
        <f t="shared" ref="AM179" si="221">B179</f>
        <v>ActiveWorkbook.Close SaveChanges:=False</v>
      </c>
      <c r="AO179" t="s">
        <v>339</v>
      </c>
    </row>
    <row r="181" spans="2:41" x14ac:dyDescent="0.25">
      <c r="B181" s="22" t="s">
        <v>316</v>
      </c>
      <c r="C181" s="22"/>
      <c r="D181" s="22"/>
      <c r="E181" s="22"/>
      <c r="F181" s="22"/>
      <c r="G181" s="22"/>
      <c r="H181" s="22"/>
      <c r="I181" s="22"/>
      <c r="J181" s="22"/>
      <c r="K181" s="22"/>
      <c r="L181" s="22"/>
      <c r="M181" s="22"/>
      <c r="N181" s="22" t="s">
        <v>321</v>
      </c>
      <c r="O181" s="22"/>
      <c r="P181" s="22"/>
      <c r="Q181" s="22"/>
      <c r="R181" s="22"/>
      <c r="S181" s="22"/>
      <c r="T181" s="22"/>
      <c r="U181" s="22"/>
      <c r="V181" s="22">
        <f t="shared" si="168"/>
        <v>34</v>
      </c>
      <c r="W181" s="22"/>
      <c r="X181" s="22"/>
      <c r="Y181" s="23"/>
      <c r="Z181" s="22" t="s">
        <v>322</v>
      </c>
      <c r="AA181" s="22"/>
      <c r="AB181" s="22"/>
      <c r="AC181" s="22"/>
      <c r="AD181" s="22"/>
      <c r="AE181" s="22"/>
      <c r="AF181" s="22"/>
      <c r="AG181" s="22"/>
      <c r="AH181" s="22"/>
      <c r="AI181" s="22"/>
      <c r="AJ181" s="22"/>
      <c r="AK181" s="22"/>
      <c r="AL181" s="22"/>
      <c r="AM181" s="22" t="str">
        <f t="shared" ref="AM181" si="222">+_xlfn.CONCAT(N181&amp;V181&amp;Z181)</f>
        <v xml:space="preserve"> Workbooks.Open "A:\Homes for Ukraine data\Ukraine_sponsorship_data_34.ods"</v>
      </c>
      <c r="AO181" t="s">
        <v>743</v>
      </c>
    </row>
    <row r="182" spans="2:41" x14ac:dyDescent="0.25">
      <c r="B182" s="22" t="s">
        <v>453</v>
      </c>
      <c r="C182" s="22"/>
      <c r="D182" s="22"/>
      <c r="E182" s="22"/>
      <c r="F182" s="22"/>
      <c r="G182" s="22"/>
      <c r="H182" s="22"/>
      <c r="I182" s="22"/>
      <c r="J182" s="22"/>
      <c r="K182" s="22"/>
      <c r="L182" s="22"/>
      <c r="M182" s="22"/>
      <c r="N182" s="22" t="s">
        <v>323</v>
      </c>
      <c r="O182" s="22"/>
      <c r="P182" s="22"/>
      <c r="Q182" s="22"/>
      <c r="R182" s="22"/>
      <c r="S182" s="22"/>
      <c r="T182" s="22"/>
      <c r="U182" s="22"/>
      <c r="V182" s="22">
        <f t="shared" si="168"/>
        <v>34</v>
      </c>
      <c r="W182" s="22"/>
      <c r="X182" s="22"/>
      <c r="Y182" s="23"/>
      <c r="Z182" s="22" t="s">
        <v>452</v>
      </c>
      <c r="AA182" s="22"/>
      <c r="AB182" s="22"/>
      <c r="AC182" s="22"/>
      <c r="AD182" s="22"/>
      <c r="AE182" s="22" t="s">
        <v>382</v>
      </c>
      <c r="AF182" s="22">
        <f t="shared" si="170"/>
        <v>13</v>
      </c>
      <c r="AG182" s="22" t="s">
        <v>327</v>
      </c>
      <c r="AH182" s="22"/>
      <c r="AI182" s="22">
        <f t="shared" si="171"/>
        <v>43</v>
      </c>
      <c r="AJ182" s="22"/>
      <c r="AK182" s="22" t="s">
        <v>325</v>
      </c>
      <c r="AL182" s="22"/>
      <c r="AM182" s="22" t="str">
        <f t="shared" ref="AM182" si="223">_xlfn.CONCAT(N182&amp;V182&amp;Z182&amp;AE182&amp;AF182&amp;AG182&amp;AE182&amp;AI182&amp;AK182)</f>
        <v xml:space="preserve"> Workbooks("Ukraine_sponsorship_data_34.ods").Worksheets("Wales").Range("D13:D43").Copy _</v>
      </c>
      <c r="AO182" t="s">
        <v>1083</v>
      </c>
    </row>
    <row r="183" spans="2:41" x14ac:dyDescent="0.25">
      <c r="B183" s="22" t="s">
        <v>808</v>
      </c>
      <c r="C183" s="22"/>
      <c r="D183" s="22"/>
      <c r="E183" s="22"/>
      <c r="F183" s="22"/>
      <c r="G183" s="22"/>
      <c r="H183" s="22"/>
      <c r="I183" s="22"/>
      <c r="J183" s="22"/>
      <c r="K183" s="22"/>
      <c r="L183" s="22"/>
      <c r="M183" s="22"/>
      <c r="N183" s="22" t="s">
        <v>809</v>
      </c>
      <c r="O183" s="22"/>
      <c r="P183" s="22"/>
      <c r="Q183" s="22"/>
      <c r="R183" s="22"/>
      <c r="S183" s="22"/>
      <c r="T183" s="22"/>
      <c r="U183" s="22"/>
      <c r="V183" s="22"/>
      <c r="W183" s="22" t="s">
        <v>312</v>
      </c>
      <c r="X183" s="22" t="str">
        <f t="shared" ref="X183" si="224">CHAR(CODE(X178)+1)</f>
        <v>O</v>
      </c>
      <c r="Y183" s="23">
        <f t="shared" si="174"/>
        <v>225</v>
      </c>
      <c r="Z183" s="22" t="s">
        <v>324</v>
      </c>
      <c r="AA183" s="22"/>
      <c r="AB183" s="22"/>
      <c r="AC183" s="22"/>
      <c r="AD183" s="22"/>
      <c r="AE183" s="22"/>
      <c r="AF183" s="22"/>
      <c r="AG183" s="22"/>
      <c r="AH183" s="22"/>
      <c r="AI183" s="22"/>
      <c r="AJ183" s="22"/>
      <c r="AK183" s="22"/>
      <c r="AL183" s="22"/>
      <c r="AM183" s="22" t="str">
        <f t="shared" ref="AM183" si="225">_xlfn.CONCAT(N183&amp;W183&amp;X183&amp;Y183&amp;Z183)</f>
        <v>Workbooks("HFU Forecast UTLA 1.0.xlsm").Worksheets("Combined data").Range("AO225")</v>
      </c>
      <c r="AO183" t="s">
        <v>965</v>
      </c>
    </row>
    <row r="184" spans="2:41" x14ac:dyDescent="0.25">
      <c r="B184" s="22" t="s">
        <v>339</v>
      </c>
      <c r="C184" s="22"/>
      <c r="D184" s="22"/>
      <c r="E184" s="22"/>
      <c r="F184" s="22"/>
      <c r="G184" s="22"/>
      <c r="H184" s="22"/>
      <c r="I184" s="22"/>
      <c r="J184" s="22"/>
      <c r="K184" s="22"/>
      <c r="L184" s="22"/>
      <c r="M184" s="22"/>
      <c r="N184" s="22"/>
      <c r="O184" s="22"/>
      <c r="P184" s="22"/>
      <c r="Q184" s="22"/>
      <c r="R184" s="22"/>
      <c r="S184" s="22"/>
      <c r="T184" s="22"/>
      <c r="U184" s="22"/>
      <c r="V184" s="22"/>
      <c r="W184" s="22"/>
      <c r="X184" s="22"/>
      <c r="Y184" s="23"/>
      <c r="Z184" s="22"/>
      <c r="AA184" s="22"/>
      <c r="AB184" s="22"/>
      <c r="AC184" s="22"/>
      <c r="AD184" s="22"/>
      <c r="AE184" s="22"/>
      <c r="AF184" s="22"/>
      <c r="AG184" s="22"/>
      <c r="AH184" s="22"/>
      <c r="AI184" s="22"/>
      <c r="AJ184" s="22"/>
      <c r="AK184" s="22"/>
      <c r="AL184" s="22"/>
      <c r="AM184" s="22" t="str">
        <f t="shared" ref="AM184" si="226">B184</f>
        <v>ActiveWorkbook.Close SaveChanges:=False</v>
      </c>
      <c r="AO184" t="s">
        <v>339</v>
      </c>
    </row>
  </sheetData>
  <mergeCells count="2">
    <mergeCell ref="B3:P3"/>
    <mergeCell ref="AE5:AI5"/>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197A1-B30A-482F-8887-FAC804BB841E}">
  <sheetPr codeName="Sheet9"/>
  <dimension ref="A1:AO177"/>
  <sheetViews>
    <sheetView topLeftCell="I1" zoomScaleNormal="100" workbookViewId="0">
      <selection activeCell="AO9" sqref="AO9:AO177"/>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1:41" x14ac:dyDescent="0.25">
      <c r="B1" t="s">
        <v>329</v>
      </c>
    </row>
    <row r="3" spans="1:41" ht="78.75" customHeight="1" x14ac:dyDescent="0.25">
      <c r="B3" s="320" t="s">
        <v>330</v>
      </c>
      <c r="C3" s="320"/>
      <c r="D3" s="320"/>
      <c r="E3" s="320"/>
      <c r="F3" s="320"/>
      <c r="G3" s="320"/>
      <c r="H3" s="320"/>
      <c r="I3" s="320"/>
      <c r="J3" s="320"/>
      <c r="K3" s="320"/>
      <c r="L3" s="320"/>
      <c r="M3" s="320"/>
      <c r="N3" s="320"/>
      <c r="O3" s="320"/>
      <c r="P3" s="320"/>
    </row>
    <row r="5" spans="1:41" x14ac:dyDescent="0.25">
      <c r="V5" t="s">
        <v>331</v>
      </c>
      <c r="W5" t="s">
        <v>333</v>
      </c>
      <c r="AE5" s="316" t="s">
        <v>332</v>
      </c>
      <c r="AF5" s="316"/>
      <c r="AG5" s="316"/>
      <c r="AH5" s="316"/>
      <c r="AI5" s="316"/>
    </row>
    <row r="6" spans="1:41" x14ac:dyDescent="0.25">
      <c r="B6" t="s">
        <v>319</v>
      </c>
    </row>
    <row r="7" spans="1:41" x14ac:dyDescent="0.25">
      <c r="N7" t="s">
        <v>320</v>
      </c>
    </row>
    <row r="8" spans="1:41" x14ac:dyDescent="0.25">
      <c r="B8" t="s">
        <v>315</v>
      </c>
      <c r="AM8" t="s">
        <v>328</v>
      </c>
    </row>
    <row r="9" spans="1:41" x14ac:dyDescent="0.25">
      <c r="B9" t="s">
        <v>316</v>
      </c>
      <c r="N9" t="s">
        <v>321</v>
      </c>
      <c r="V9">
        <v>1</v>
      </c>
      <c r="Z9" t="s">
        <v>322</v>
      </c>
      <c r="AM9" t="str">
        <f>+_xlfn.CONCAT(N9&amp;V9&amp;Z9)</f>
        <v xml:space="preserve"> Workbooks.Open "A:\Homes for Ukraine data\Ukraine_sponsorship_data_1.ods"</v>
      </c>
      <c r="AO9" t="s">
        <v>334</v>
      </c>
    </row>
    <row r="10" spans="1:41" x14ac:dyDescent="0.25">
      <c r="B10" t="s">
        <v>453</v>
      </c>
      <c r="N10" t="s">
        <v>323</v>
      </c>
      <c r="V10">
        <v>1</v>
      </c>
      <c r="Z10" t="s">
        <v>452</v>
      </c>
      <c r="AE10" t="s">
        <v>382</v>
      </c>
      <c r="AF10">
        <v>13</v>
      </c>
      <c r="AG10" t="s">
        <v>327</v>
      </c>
      <c r="AH10" t="s">
        <v>382</v>
      </c>
      <c r="AI10">
        <v>43</v>
      </c>
      <c r="AK10" t="s">
        <v>325</v>
      </c>
      <c r="AM10" t="str">
        <f>_xlfn.CONCAT(N10&amp;V10&amp;Z10&amp;AE10&amp;AF10&amp;AG10&amp;AE10&amp;AI10&amp;AK10)</f>
        <v xml:space="preserve"> Workbooks("Ukraine_sponsorship_data_1.ods").Worksheets("Wales").Range("D13:D43").Copy _</v>
      </c>
      <c r="AO10" t="s">
        <v>525</v>
      </c>
    </row>
    <row r="11" spans="1:41" x14ac:dyDescent="0.25">
      <c r="B11" t="s">
        <v>808</v>
      </c>
      <c r="N11" t="s">
        <v>809</v>
      </c>
      <c r="W11" t="s">
        <v>312</v>
      </c>
      <c r="X11" t="s">
        <v>805</v>
      </c>
      <c r="Y11" s="20">
        <v>225</v>
      </c>
      <c r="Z11" t="s">
        <v>324</v>
      </c>
      <c r="AM11" t="str">
        <f>_xlfn.CONCAT(N11&amp;W11&amp;X11&amp;Y11&amp;Z11)</f>
        <v>Workbooks("HFU Forecast UTLA 1.0.xlsm").Worksheets("Combined data").Range("AR225")</v>
      </c>
      <c r="AO11" t="s">
        <v>907</v>
      </c>
    </row>
    <row r="12" spans="1:41" x14ac:dyDescent="0.25">
      <c r="B12" t="s">
        <v>339</v>
      </c>
      <c r="AM12" t="str">
        <f>B12</f>
        <v>ActiveWorkbook.Close SaveChanges:=False</v>
      </c>
      <c r="AO12" t="s">
        <v>339</v>
      </c>
    </row>
    <row r="14" spans="1:41" x14ac:dyDescent="0.25">
      <c r="A14" s="19"/>
      <c r="B14" s="22" t="s">
        <v>316</v>
      </c>
      <c r="C14" s="22"/>
      <c r="D14" s="22"/>
      <c r="E14" s="22"/>
      <c r="F14" s="22"/>
      <c r="G14" s="22"/>
      <c r="H14" s="22"/>
      <c r="I14" s="22"/>
      <c r="J14" s="22"/>
      <c r="K14" s="22"/>
      <c r="L14" s="22"/>
      <c r="M14" s="22"/>
      <c r="N14" s="22" t="s">
        <v>321</v>
      </c>
      <c r="O14" s="22"/>
      <c r="P14" s="22"/>
      <c r="Q14" s="22"/>
      <c r="R14" s="22"/>
      <c r="S14" s="22"/>
      <c r="T14" s="22"/>
      <c r="U14" s="22"/>
      <c r="V14" s="22">
        <f>V9+1</f>
        <v>2</v>
      </c>
      <c r="W14" s="22"/>
      <c r="X14" s="22"/>
      <c r="Y14" s="23"/>
      <c r="Z14" s="22" t="s">
        <v>322</v>
      </c>
      <c r="AA14" s="22"/>
      <c r="AB14" s="22"/>
      <c r="AC14" s="22"/>
      <c r="AD14" s="22"/>
      <c r="AE14" s="22"/>
      <c r="AF14" s="22"/>
      <c r="AG14" s="22"/>
      <c r="AH14" s="22"/>
      <c r="AI14" s="22"/>
      <c r="AJ14" s="22"/>
      <c r="AK14" s="22"/>
      <c r="AL14" s="22"/>
      <c r="AM14" s="22" t="str">
        <f>+_xlfn.CONCAT(N14&amp;V14&amp;Z14)</f>
        <v xml:space="preserve"> Workbooks.Open "A:\Homes for Ukraine data\Ukraine_sponsorship_data_2.ods"</v>
      </c>
      <c r="AO14" t="s">
        <v>335</v>
      </c>
    </row>
    <row r="15" spans="1:41" x14ac:dyDescent="0.25">
      <c r="A15" s="19"/>
      <c r="B15" s="22" t="s">
        <v>453</v>
      </c>
      <c r="C15" s="22"/>
      <c r="D15" s="22"/>
      <c r="E15" s="22"/>
      <c r="F15" s="22"/>
      <c r="G15" s="22"/>
      <c r="H15" s="22"/>
      <c r="I15" s="22"/>
      <c r="J15" s="22"/>
      <c r="K15" s="22"/>
      <c r="L15" s="22"/>
      <c r="M15" s="22"/>
      <c r="N15" s="22" t="s">
        <v>323</v>
      </c>
      <c r="O15" s="22"/>
      <c r="P15" s="22"/>
      <c r="Q15" s="22"/>
      <c r="R15" s="22"/>
      <c r="S15" s="22"/>
      <c r="T15" s="22"/>
      <c r="U15" s="22"/>
      <c r="V15" s="22">
        <f>V10+1</f>
        <v>2</v>
      </c>
      <c r="W15" s="22"/>
      <c r="X15" s="22"/>
      <c r="Y15" s="23"/>
      <c r="Z15" s="22" t="s">
        <v>452</v>
      </c>
      <c r="AA15" s="22"/>
      <c r="AB15" s="22"/>
      <c r="AC15" s="22"/>
      <c r="AD15" s="22"/>
      <c r="AE15" s="22" t="s">
        <v>642</v>
      </c>
      <c r="AF15" s="22">
        <v>13</v>
      </c>
      <c r="AG15" s="22" t="s">
        <v>327</v>
      </c>
      <c r="AH15" s="22" t="s">
        <v>642</v>
      </c>
      <c r="AI15" s="22">
        <v>43</v>
      </c>
      <c r="AJ15" s="22"/>
      <c r="AK15" s="22" t="s">
        <v>325</v>
      </c>
      <c r="AL15" s="22"/>
      <c r="AM15" s="22" t="str">
        <f>_xlfn.CONCAT(N15&amp;V15&amp;Z15&amp;AE15&amp;AF15&amp;AG15&amp;AE15&amp;AI15&amp;AK15)</f>
        <v xml:space="preserve"> Workbooks("Ukraine_sponsorship_data_2.ods").Worksheets("Wales").Range("E13:E43").Copy _</v>
      </c>
      <c r="AO15" t="s">
        <v>664</v>
      </c>
    </row>
    <row r="16" spans="1:41" ht="17.25" customHeight="1" x14ac:dyDescent="0.25">
      <c r="A16" s="19"/>
      <c r="B16" s="22" t="s">
        <v>808</v>
      </c>
      <c r="C16" s="22"/>
      <c r="D16" s="22"/>
      <c r="E16" s="22"/>
      <c r="F16" s="22"/>
      <c r="G16" s="22"/>
      <c r="H16" s="22"/>
      <c r="I16" s="22"/>
      <c r="J16" s="22"/>
      <c r="K16" s="22"/>
      <c r="L16" s="22"/>
      <c r="M16" s="22"/>
      <c r="N16" s="22" t="s">
        <v>809</v>
      </c>
      <c r="O16" s="22"/>
      <c r="P16" s="22"/>
      <c r="Q16" s="22"/>
      <c r="R16" s="22"/>
      <c r="S16" s="22"/>
      <c r="T16" s="22"/>
      <c r="U16" s="22"/>
      <c r="V16" s="22"/>
      <c r="W16" s="22" t="str">
        <f>W11</f>
        <v>A</v>
      </c>
      <c r="X16" s="22" t="str">
        <f>CHAR(CODE(X11)+1)</f>
        <v>S</v>
      </c>
      <c r="Y16" s="23">
        <f>Y11</f>
        <v>225</v>
      </c>
      <c r="Z16" s="22" t="s">
        <v>324</v>
      </c>
      <c r="AA16" s="22"/>
      <c r="AB16" s="22"/>
      <c r="AC16" s="22"/>
      <c r="AD16" s="22"/>
      <c r="AE16" s="22"/>
      <c r="AF16" s="22"/>
      <c r="AG16" s="22"/>
      <c r="AH16" s="22"/>
      <c r="AI16" s="22"/>
      <c r="AJ16" s="22"/>
      <c r="AK16" s="22"/>
      <c r="AL16" s="22"/>
      <c r="AM16" s="22" t="str">
        <f>_xlfn.CONCAT(N16&amp;W16&amp;X16&amp;Y16&amp;Z16)</f>
        <v>Workbooks("HFU Forecast UTLA 1.0.xlsm").Worksheets("Combined data").Range("AS225")</v>
      </c>
      <c r="AO16" t="s">
        <v>908</v>
      </c>
    </row>
    <row r="17" spans="1:41" ht="17.25" customHeight="1" x14ac:dyDescent="0.25">
      <c r="A17" s="19"/>
      <c r="B17" s="22" t="s">
        <v>339</v>
      </c>
      <c r="C17" s="22"/>
      <c r="D17" s="22"/>
      <c r="E17" s="22"/>
      <c r="F17" s="22"/>
      <c r="G17" s="22"/>
      <c r="H17" s="22"/>
      <c r="I17" s="22"/>
      <c r="J17" s="22"/>
      <c r="K17" s="22"/>
      <c r="L17" s="22"/>
      <c r="M17" s="22"/>
      <c r="N17" s="22"/>
      <c r="O17" s="22"/>
      <c r="P17" s="22"/>
      <c r="Q17" s="22"/>
      <c r="R17" s="22"/>
      <c r="S17" s="22"/>
      <c r="T17" s="22"/>
      <c r="U17" s="22"/>
      <c r="V17" s="22"/>
      <c r="W17" s="22"/>
      <c r="X17" s="22"/>
      <c r="Y17" s="23"/>
      <c r="Z17" s="22"/>
      <c r="AA17" s="22"/>
      <c r="AB17" s="22"/>
      <c r="AC17" s="22"/>
      <c r="AD17" s="22"/>
      <c r="AE17" s="22"/>
      <c r="AF17" s="22"/>
      <c r="AG17" s="22"/>
      <c r="AH17" s="22"/>
      <c r="AI17" s="22"/>
      <c r="AJ17" s="22"/>
      <c r="AK17" s="22"/>
      <c r="AL17" s="22"/>
      <c r="AM17" s="22" t="str">
        <f>B17</f>
        <v>ActiveWorkbook.Close SaveChanges:=False</v>
      </c>
      <c r="AO17" t="s">
        <v>339</v>
      </c>
    </row>
    <row r="19" spans="1:41" x14ac:dyDescent="0.25">
      <c r="B19" s="19" t="s">
        <v>316</v>
      </c>
      <c r="C19" s="19"/>
      <c r="D19" s="19"/>
      <c r="E19" s="19"/>
      <c r="F19" s="19"/>
      <c r="G19" s="19"/>
      <c r="H19" s="19"/>
      <c r="I19" s="19"/>
      <c r="J19" s="19"/>
      <c r="K19" s="19"/>
      <c r="L19" s="19"/>
      <c r="M19" s="19"/>
      <c r="N19" s="19" t="s">
        <v>321</v>
      </c>
      <c r="O19" s="19"/>
      <c r="P19" s="19"/>
      <c r="Q19" s="19"/>
      <c r="R19" s="19"/>
      <c r="S19" s="19"/>
      <c r="T19" s="19"/>
      <c r="U19" s="19"/>
      <c r="V19" s="19">
        <f>V14+1</f>
        <v>3</v>
      </c>
      <c r="W19" s="19"/>
      <c r="X19" s="19"/>
      <c r="Y19" s="21"/>
      <c r="Z19" s="19" t="s">
        <v>322</v>
      </c>
      <c r="AA19" s="19"/>
      <c r="AB19" s="19"/>
      <c r="AC19" s="19"/>
      <c r="AD19" s="19"/>
      <c r="AE19" s="19"/>
      <c r="AF19" s="19"/>
      <c r="AG19" s="19"/>
      <c r="AH19" s="19"/>
      <c r="AI19" s="19"/>
      <c r="AJ19" s="19"/>
      <c r="AK19" s="19"/>
      <c r="AL19" s="19"/>
      <c r="AM19" s="19" t="str">
        <f>+_xlfn.CONCAT(N19&amp;V19&amp;Z19)</f>
        <v xml:space="preserve"> Workbooks.Open "A:\Homes for Ukraine data\Ukraine_sponsorship_data_3.ods"</v>
      </c>
      <c r="AO19" t="s">
        <v>336</v>
      </c>
    </row>
    <row r="20" spans="1:41" x14ac:dyDescent="0.25">
      <c r="B20" s="19" t="s">
        <v>453</v>
      </c>
      <c r="C20" s="19"/>
      <c r="D20" s="19"/>
      <c r="E20" s="19"/>
      <c r="F20" s="19"/>
      <c r="G20" s="19"/>
      <c r="H20" s="19"/>
      <c r="I20" s="19"/>
      <c r="J20" s="19"/>
      <c r="K20" s="19"/>
      <c r="L20" s="19"/>
      <c r="M20" s="19"/>
      <c r="N20" s="19" t="s">
        <v>323</v>
      </c>
      <c r="O20" s="19"/>
      <c r="P20" s="19"/>
      <c r="Q20" s="19"/>
      <c r="R20" s="19"/>
      <c r="S20" s="19"/>
      <c r="T20" s="19"/>
      <c r="U20" s="19"/>
      <c r="V20" s="19">
        <f>V15+1</f>
        <v>3</v>
      </c>
      <c r="W20" s="19"/>
      <c r="X20" s="19"/>
      <c r="Y20" s="21"/>
      <c r="Z20" s="19" t="s">
        <v>452</v>
      </c>
      <c r="AA20" s="19"/>
      <c r="AB20" s="19"/>
      <c r="AC20" s="19"/>
      <c r="AD20" s="19"/>
      <c r="AE20" s="19" t="str">
        <f>AE15</f>
        <v>E</v>
      </c>
      <c r="AF20" s="19">
        <f>AF15</f>
        <v>13</v>
      </c>
      <c r="AG20" s="19" t="s">
        <v>327</v>
      </c>
      <c r="AH20" s="19" t="str">
        <f>AH15</f>
        <v>E</v>
      </c>
      <c r="AI20" s="19">
        <f>AI15</f>
        <v>43</v>
      </c>
      <c r="AJ20" s="19"/>
      <c r="AK20" s="19" t="s">
        <v>325</v>
      </c>
      <c r="AL20" s="19"/>
      <c r="AM20" s="19" t="str">
        <f>_xlfn.CONCAT(N20&amp;V20&amp;Z20&amp;AE20&amp;AF20&amp;AG20&amp;AE20&amp;AI20&amp;AK20)</f>
        <v xml:space="preserve"> Workbooks("Ukraine_sponsorship_data_3.ods").Worksheets("Wales").Range("E13:E43").Copy _</v>
      </c>
      <c r="AO20" t="s">
        <v>665</v>
      </c>
    </row>
    <row r="21" spans="1:41" x14ac:dyDescent="0.25">
      <c r="B21" s="19" t="s">
        <v>808</v>
      </c>
      <c r="C21" s="19"/>
      <c r="D21" s="19"/>
      <c r="E21" s="19"/>
      <c r="F21" s="19"/>
      <c r="G21" s="19"/>
      <c r="H21" s="19"/>
      <c r="I21" s="19"/>
      <c r="J21" s="19"/>
      <c r="K21" s="19"/>
      <c r="L21" s="19"/>
      <c r="M21" s="19"/>
      <c r="N21" s="19" t="s">
        <v>809</v>
      </c>
      <c r="O21" s="19"/>
      <c r="P21" s="19"/>
      <c r="Q21" s="19"/>
      <c r="R21" s="19"/>
      <c r="S21" s="19"/>
      <c r="T21" s="19"/>
      <c r="U21" s="19"/>
      <c r="V21" s="19"/>
      <c r="W21" s="19" t="str">
        <f>W16</f>
        <v>A</v>
      </c>
      <c r="X21" s="19" t="str">
        <f>CHAR(CODE(X16)+1)</f>
        <v>T</v>
      </c>
      <c r="Y21" s="21">
        <f>Y16</f>
        <v>225</v>
      </c>
      <c r="Z21" s="19" t="s">
        <v>324</v>
      </c>
      <c r="AA21" s="19"/>
      <c r="AB21" s="19"/>
      <c r="AC21" s="19"/>
      <c r="AD21" s="19"/>
      <c r="AE21" s="19"/>
      <c r="AF21" s="19"/>
      <c r="AG21" s="19"/>
      <c r="AH21" s="19"/>
      <c r="AI21" s="19"/>
      <c r="AJ21" s="19"/>
      <c r="AK21" s="19"/>
      <c r="AL21" s="19"/>
      <c r="AM21" s="19" t="str">
        <f>_xlfn.CONCAT(N21&amp;W21&amp;X21&amp;Y21&amp;Z21)</f>
        <v>Workbooks("HFU Forecast UTLA 1.0.xlsm").Worksheets("Combined data").Range("AT225")</v>
      </c>
      <c r="AO21" t="s">
        <v>909</v>
      </c>
    </row>
    <row r="22" spans="1:41" x14ac:dyDescent="0.25">
      <c r="B22" s="19" t="s">
        <v>339</v>
      </c>
      <c r="C22" s="19"/>
      <c r="D22" s="19"/>
      <c r="E22" s="19"/>
      <c r="F22" s="19"/>
      <c r="G22" s="19"/>
      <c r="H22" s="19"/>
      <c r="I22" s="19"/>
      <c r="J22" s="19"/>
      <c r="K22" s="19"/>
      <c r="L22" s="19"/>
      <c r="M22" s="19"/>
      <c r="N22" s="19"/>
      <c r="O22" s="19"/>
      <c r="P22" s="19"/>
      <c r="Q22" s="19"/>
      <c r="R22" s="19"/>
      <c r="S22" s="19"/>
      <c r="T22" s="19"/>
      <c r="U22" s="19"/>
      <c r="V22" s="19"/>
      <c r="W22" s="19"/>
      <c r="X22" s="19"/>
      <c r="Y22" s="21"/>
      <c r="Z22" s="19"/>
      <c r="AA22" s="19"/>
      <c r="AB22" s="19"/>
      <c r="AC22" s="19"/>
      <c r="AD22" s="19"/>
      <c r="AE22" s="19"/>
      <c r="AF22" s="19"/>
      <c r="AG22" s="19"/>
      <c r="AH22" s="19"/>
      <c r="AI22" s="19"/>
      <c r="AJ22" s="19"/>
      <c r="AK22" s="19"/>
      <c r="AL22" s="19"/>
      <c r="AM22" s="19" t="str">
        <f>B22</f>
        <v>ActiveWorkbook.Close SaveChanges:=False</v>
      </c>
      <c r="AO22" t="s">
        <v>339</v>
      </c>
    </row>
    <row r="24" spans="1:41" x14ac:dyDescent="0.25">
      <c r="B24" s="22" t="s">
        <v>316</v>
      </c>
      <c r="C24" s="22"/>
      <c r="D24" s="22"/>
      <c r="E24" s="22"/>
      <c r="F24" s="22"/>
      <c r="G24" s="22"/>
      <c r="H24" s="22"/>
      <c r="I24" s="22"/>
      <c r="J24" s="22"/>
      <c r="K24" s="22"/>
      <c r="L24" s="22"/>
      <c r="M24" s="22"/>
      <c r="N24" s="22" t="s">
        <v>321</v>
      </c>
      <c r="O24" s="22"/>
      <c r="P24" s="22"/>
      <c r="Q24" s="22"/>
      <c r="R24" s="22"/>
      <c r="S24" s="22"/>
      <c r="T24" s="22"/>
      <c r="U24" s="22"/>
      <c r="V24" s="22">
        <f>V19+1</f>
        <v>4</v>
      </c>
      <c r="W24" s="22"/>
      <c r="X24" s="22"/>
      <c r="Y24" s="23"/>
      <c r="Z24" s="22" t="s">
        <v>322</v>
      </c>
      <c r="AA24" s="22"/>
      <c r="AB24" s="22"/>
      <c r="AC24" s="22"/>
      <c r="AD24" s="22"/>
      <c r="AE24" s="22"/>
      <c r="AF24" s="22"/>
      <c r="AG24" s="22"/>
      <c r="AH24" s="22"/>
      <c r="AI24" s="22"/>
      <c r="AJ24" s="22"/>
      <c r="AK24" s="22"/>
      <c r="AL24" s="22"/>
      <c r="AM24" s="22" t="str">
        <f>+_xlfn.CONCAT(N24&amp;V24&amp;Z24)</f>
        <v xml:space="preserve"> Workbooks.Open "A:\Homes for Ukraine data\Ukraine_sponsorship_data_4.ods"</v>
      </c>
      <c r="AO24" t="s">
        <v>340</v>
      </c>
    </row>
    <row r="25" spans="1:41" x14ac:dyDescent="0.25">
      <c r="B25" s="22" t="s">
        <v>453</v>
      </c>
      <c r="C25" s="22"/>
      <c r="D25" s="22"/>
      <c r="E25" s="22"/>
      <c r="F25" s="22"/>
      <c r="G25" s="22"/>
      <c r="H25" s="22"/>
      <c r="I25" s="22"/>
      <c r="J25" s="22"/>
      <c r="K25" s="22"/>
      <c r="L25" s="22"/>
      <c r="M25" s="22"/>
      <c r="N25" s="22" t="s">
        <v>323</v>
      </c>
      <c r="O25" s="22"/>
      <c r="P25" s="22"/>
      <c r="Q25" s="22"/>
      <c r="R25" s="22"/>
      <c r="S25" s="22"/>
      <c r="T25" s="22"/>
      <c r="U25" s="22"/>
      <c r="V25" s="22">
        <f>V20+1</f>
        <v>4</v>
      </c>
      <c r="W25" s="22"/>
      <c r="X25" s="22"/>
      <c r="Y25" s="23"/>
      <c r="Z25" s="22" t="s">
        <v>452</v>
      </c>
      <c r="AA25" s="22"/>
      <c r="AB25" s="22"/>
      <c r="AC25" s="22"/>
      <c r="AD25" s="22"/>
      <c r="AE25" s="22" t="str">
        <f t="shared" ref="AE25" si="0">AE20</f>
        <v>E</v>
      </c>
      <c r="AF25" s="22">
        <f>AF20</f>
        <v>13</v>
      </c>
      <c r="AG25" s="22" t="s">
        <v>327</v>
      </c>
      <c r="AH25" s="22" t="str">
        <f t="shared" ref="AH25" si="1">AH20</f>
        <v>E</v>
      </c>
      <c r="AI25" s="22">
        <f>AI20</f>
        <v>43</v>
      </c>
      <c r="AJ25" s="22"/>
      <c r="AK25" s="22" t="s">
        <v>325</v>
      </c>
      <c r="AL25" s="22"/>
      <c r="AM25" s="22" t="str">
        <f>_xlfn.CONCAT(N25&amp;V25&amp;Z25&amp;AE25&amp;AF25&amp;AG25&amp;AE25&amp;AI25&amp;AK25)</f>
        <v xml:space="preserve"> Workbooks("Ukraine_sponsorship_data_4.ods").Worksheets("Wales").Range("E13:E43").Copy _</v>
      </c>
      <c r="AO25" t="s">
        <v>666</v>
      </c>
    </row>
    <row r="26" spans="1:41" x14ac:dyDescent="0.25">
      <c r="B26" s="22" t="s">
        <v>808</v>
      </c>
      <c r="C26" s="22"/>
      <c r="D26" s="22"/>
      <c r="E26" s="22"/>
      <c r="F26" s="22"/>
      <c r="G26" s="22"/>
      <c r="H26" s="22"/>
      <c r="I26" s="22"/>
      <c r="J26" s="22"/>
      <c r="K26" s="22"/>
      <c r="L26" s="22"/>
      <c r="M26" s="22"/>
      <c r="N26" s="22" t="s">
        <v>809</v>
      </c>
      <c r="O26" s="22"/>
      <c r="P26" s="22"/>
      <c r="Q26" s="22"/>
      <c r="R26" s="22"/>
      <c r="S26" s="22"/>
      <c r="T26" s="22"/>
      <c r="U26" s="22"/>
      <c r="V26" s="22"/>
      <c r="W26" s="22" t="str">
        <f>W21</f>
        <v>A</v>
      </c>
      <c r="X26" s="22" t="str">
        <f>CHAR(CODE(X21)+1)</f>
        <v>U</v>
      </c>
      <c r="Y26" s="23">
        <f t="shared" ref="Y26" si="2">Y21</f>
        <v>225</v>
      </c>
      <c r="Z26" s="22" t="s">
        <v>324</v>
      </c>
      <c r="AA26" s="22"/>
      <c r="AB26" s="22"/>
      <c r="AC26" s="22"/>
      <c r="AD26" s="22"/>
      <c r="AE26" s="22"/>
      <c r="AF26" s="22"/>
      <c r="AG26" s="22"/>
      <c r="AH26" s="22"/>
      <c r="AI26" s="22"/>
      <c r="AJ26" s="22"/>
      <c r="AK26" s="22"/>
      <c r="AL26" s="22"/>
      <c r="AM26" s="22" t="str">
        <f>_xlfn.CONCAT(N26&amp;W26&amp;X26&amp;Y26&amp;Z26)</f>
        <v>Workbooks("HFU Forecast UTLA 1.0.xlsm").Worksheets("Combined data").Range("AU225")</v>
      </c>
      <c r="AO26" t="s">
        <v>910</v>
      </c>
    </row>
    <row r="27" spans="1:41" x14ac:dyDescent="0.25">
      <c r="B27" s="22" t="s">
        <v>339</v>
      </c>
      <c r="C27" s="22"/>
      <c r="D27" s="22"/>
      <c r="E27" s="22"/>
      <c r="F27" s="22"/>
      <c r="G27" s="22"/>
      <c r="H27" s="22"/>
      <c r="I27" s="22"/>
      <c r="J27" s="22"/>
      <c r="K27" s="22"/>
      <c r="L27" s="22"/>
      <c r="M27" s="22"/>
      <c r="N27" s="22"/>
      <c r="O27" s="22"/>
      <c r="P27" s="22"/>
      <c r="Q27" s="22"/>
      <c r="R27" s="22"/>
      <c r="S27" s="22"/>
      <c r="T27" s="22"/>
      <c r="U27" s="22"/>
      <c r="V27" s="22"/>
      <c r="W27" s="22"/>
      <c r="X27" s="22"/>
      <c r="Y27" s="23"/>
      <c r="Z27" s="22"/>
      <c r="AA27" s="22"/>
      <c r="AB27" s="22"/>
      <c r="AC27" s="22"/>
      <c r="AD27" s="22"/>
      <c r="AE27" s="22"/>
      <c r="AF27" s="22"/>
      <c r="AG27" s="22"/>
      <c r="AH27" s="22"/>
      <c r="AI27" s="22"/>
      <c r="AJ27" s="22"/>
      <c r="AK27" s="22"/>
      <c r="AL27" s="22"/>
      <c r="AM27" s="22" t="str">
        <f>B27</f>
        <v>ActiveWorkbook.Close SaveChanges:=False</v>
      </c>
      <c r="AO27" t="s">
        <v>339</v>
      </c>
    </row>
    <row r="29" spans="1:41" x14ac:dyDescent="0.25">
      <c r="B29" s="19" t="s">
        <v>316</v>
      </c>
      <c r="C29" s="19"/>
      <c r="D29" s="19"/>
      <c r="E29" s="19"/>
      <c r="F29" s="19"/>
      <c r="G29" s="19"/>
      <c r="H29" s="19"/>
      <c r="I29" s="19"/>
      <c r="J29" s="19"/>
      <c r="K29" s="19"/>
      <c r="L29" s="19"/>
      <c r="M29" s="19"/>
      <c r="N29" s="19" t="s">
        <v>321</v>
      </c>
      <c r="O29" s="19"/>
      <c r="P29" s="19"/>
      <c r="Q29" s="19"/>
      <c r="R29" s="19"/>
      <c r="S29" s="19"/>
      <c r="T29" s="19"/>
      <c r="U29" s="19"/>
      <c r="V29" s="19">
        <f t="shared" ref="V29:V30" si="3">V24+1</f>
        <v>5</v>
      </c>
      <c r="W29" s="19"/>
      <c r="X29" s="19"/>
      <c r="Y29" s="21"/>
      <c r="Z29" s="19" t="s">
        <v>322</v>
      </c>
      <c r="AA29" s="19"/>
      <c r="AB29" s="19"/>
      <c r="AC29" s="19"/>
      <c r="AD29" s="19"/>
      <c r="AE29" s="19"/>
      <c r="AF29" s="19"/>
      <c r="AG29" s="19"/>
      <c r="AH29" s="19"/>
      <c r="AI29" s="19"/>
      <c r="AJ29" s="19"/>
      <c r="AK29" s="19"/>
      <c r="AL29" s="19"/>
      <c r="AM29" s="19" t="str">
        <f t="shared" ref="AM29" si="4">+_xlfn.CONCAT(N29&amp;V29&amp;Z29)</f>
        <v xml:space="preserve"> Workbooks.Open "A:\Homes for Ukraine data\Ukraine_sponsorship_data_5.ods"</v>
      </c>
      <c r="AO29" t="s">
        <v>341</v>
      </c>
    </row>
    <row r="30" spans="1:41" x14ac:dyDescent="0.25">
      <c r="B30" s="19" t="s">
        <v>453</v>
      </c>
      <c r="C30" s="19"/>
      <c r="D30" s="19"/>
      <c r="E30" s="19"/>
      <c r="F30" s="19"/>
      <c r="G30" s="19"/>
      <c r="H30" s="19"/>
      <c r="I30" s="19"/>
      <c r="J30" s="19"/>
      <c r="K30" s="19"/>
      <c r="L30" s="19"/>
      <c r="M30" s="19"/>
      <c r="N30" s="19" t="s">
        <v>323</v>
      </c>
      <c r="O30" s="19"/>
      <c r="P30" s="19"/>
      <c r="Q30" s="19"/>
      <c r="R30" s="19"/>
      <c r="S30" s="19"/>
      <c r="T30" s="19"/>
      <c r="U30" s="19"/>
      <c r="V30" s="19">
        <f t="shared" si="3"/>
        <v>5</v>
      </c>
      <c r="W30" s="19"/>
      <c r="X30" s="19"/>
      <c r="Y30" s="21"/>
      <c r="Z30" s="19" t="s">
        <v>452</v>
      </c>
      <c r="AA30" s="19"/>
      <c r="AB30" s="19"/>
      <c r="AC30" s="19"/>
      <c r="AD30" s="19"/>
      <c r="AE30" s="19" t="str">
        <f t="shared" ref="AE30:AF30" si="5">AE25</f>
        <v>E</v>
      </c>
      <c r="AF30" s="19">
        <f t="shared" si="5"/>
        <v>13</v>
      </c>
      <c r="AG30" s="19" t="s">
        <v>327</v>
      </c>
      <c r="AH30" s="19" t="str">
        <f t="shared" ref="AH30:AI30" si="6">AH25</f>
        <v>E</v>
      </c>
      <c r="AI30" s="19">
        <f t="shared" si="6"/>
        <v>43</v>
      </c>
      <c r="AJ30" s="19"/>
      <c r="AK30" s="19" t="s">
        <v>325</v>
      </c>
      <c r="AL30" s="19"/>
      <c r="AM30" s="19" t="str">
        <f t="shared" ref="AM30" si="7">_xlfn.CONCAT(N30&amp;V30&amp;Z30&amp;AE30&amp;AF30&amp;AG30&amp;AE30&amp;AI30&amp;AK30)</f>
        <v xml:space="preserve"> Workbooks("Ukraine_sponsorship_data_5.ods").Worksheets("Wales").Range("E13:E43").Copy _</v>
      </c>
      <c r="AO30" t="s">
        <v>667</v>
      </c>
    </row>
    <row r="31" spans="1:41" x14ac:dyDescent="0.25">
      <c r="B31" s="19" t="s">
        <v>808</v>
      </c>
      <c r="C31" s="19"/>
      <c r="D31" s="19"/>
      <c r="E31" s="19"/>
      <c r="F31" s="19"/>
      <c r="G31" s="19"/>
      <c r="H31" s="19"/>
      <c r="I31" s="19"/>
      <c r="J31" s="19"/>
      <c r="K31" s="19"/>
      <c r="L31" s="19"/>
      <c r="M31" s="19"/>
      <c r="N31" s="19" t="s">
        <v>809</v>
      </c>
      <c r="O31" s="19"/>
      <c r="P31" s="19"/>
      <c r="Q31" s="19"/>
      <c r="R31" s="19"/>
      <c r="S31" s="19"/>
      <c r="T31" s="19"/>
      <c r="U31" s="19"/>
      <c r="V31" s="19"/>
      <c r="W31" s="19" t="str">
        <f t="shared" ref="W31" si="8">W26</f>
        <v>A</v>
      </c>
      <c r="X31" s="19" t="str">
        <f t="shared" ref="X31" si="9">CHAR(CODE(X26)+1)</f>
        <v>V</v>
      </c>
      <c r="Y31" s="21">
        <f t="shared" ref="Y31" si="10">Y26</f>
        <v>225</v>
      </c>
      <c r="Z31" s="19" t="s">
        <v>324</v>
      </c>
      <c r="AA31" s="19"/>
      <c r="AB31" s="19"/>
      <c r="AC31" s="19"/>
      <c r="AD31" s="19"/>
      <c r="AE31" s="19"/>
      <c r="AF31" s="19"/>
      <c r="AG31" s="19"/>
      <c r="AH31" s="19"/>
      <c r="AI31" s="19"/>
      <c r="AJ31" s="19"/>
      <c r="AK31" s="19"/>
      <c r="AL31" s="19"/>
      <c r="AM31" s="19" t="str">
        <f t="shared" ref="AM31" si="11">_xlfn.CONCAT(N31&amp;W31&amp;X31&amp;Y31&amp;Z31)</f>
        <v>Workbooks("HFU Forecast UTLA 1.0.xlsm").Worksheets("Combined data").Range("AV225")</v>
      </c>
      <c r="AO31" t="s">
        <v>911</v>
      </c>
    </row>
    <row r="32" spans="1:41" x14ac:dyDescent="0.25">
      <c r="B32" s="19" t="s">
        <v>339</v>
      </c>
      <c r="C32" s="19"/>
      <c r="D32" s="19"/>
      <c r="E32" s="19"/>
      <c r="F32" s="19"/>
      <c r="G32" s="19"/>
      <c r="H32" s="19"/>
      <c r="I32" s="19"/>
      <c r="J32" s="19"/>
      <c r="K32" s="19"/>
      <c r="L32" s="19"/>
      <c r="M32" s="19"/>
      <c r="N32" s="19"/>
      <c r="O32" s="19"/>
      <c r="P32" s="19"/>
      <c r="Q32" s="19"/>
      <c r="R32" s="19"/>
      <c r="S32" s="19"/>
      <c r="T32" s="19"/>
      <c r="U32" s="19"/>
      <c r="V32" s="19"/>
      <c r="W32" s="19"/>
      <c r="X32" s="19"/>
      <c r="Y32" s="21"/>
      <c r="Z32" s="19"/>
      <c r="AA32" s="19"/>
      <c r="AB32" s="19"/>
      <c r="AC32" s="19"/>
      <c r="AD32" s="19"/>
      <c r="AE32" s="19"/>
      <c r="AF32" s="19"/>
      <c r="AG32" s="19"/>
      <c r="AH32" s="19"/>
      <c r="AI32" s="19"/>
      <c r="AJ32" s="19"/>
      <c r="AK32" s="19"/>
      <c r="AL32" s="19"/>
      <c r="AM32" s="19" t="str">
        <f t="shared" ref="AM32" si="12">B32</f>
        <v>ActiveWorkbook.Close SaveChanges:=False</v>
      </c>
      <c r="AO32" t="s">
        <v>339</v>
      </c>
    </row>
    <row r="34" spans="2:41" x14ac:dyDescent="0.25">
      <c r="B34" s="22" t="s">
        <v>316</v>
      </c>
      <c r="C34" s="22"/>
      <c r="D34" s="22"/>
      <c r="E34" s="22"/>
      <c r="F34" s="22"/>
      <c r="G34" s="22"/>
      <c r="H34" s="22"/>
      <c r="I34" s="22"/>
      <c r="J34" s="22"/>
      <c r="K34" s="22"/>
      <c r="L34" s="22"/>
      <c r="M34" s="22"/>
      <c r="N34" s="22" t="s">
        <v>321</v>
      </c>
      <c r="O34" s="22"/>
      <c r="P34" s="22"/>
      <c r="Q34" s="22"/>
      <c r="R34" s="22"/>
      <c r="S34" s="22"/>
      <c r="T34" s="22"/>
      <c r="U34" s="22"/>
      <c r="V34" s="22">
        <f t="shared" ref="V34:V35" si="13">V29+1</f>
        <v>6</v>
      </c>
      <c r="W34" s="22"/>
      <c r="X34" s="22"/>
      <c r="Y34" s="23"/>
      <c r="Z34" s="22" t="s">
        <v>322</v>
      </c>
      <c r="AA34" s="22"/>
      <c r="AB34" s="22"/>
      <c r="AC34" s="22"/>
      <c r="AD34" s="22"/>
      <c r="AE34" s="22"/>
      <c r="AF34" s="22"/>
      <c r="AG34" s="22"/>
      <c r="AH34" s="22"/>
      <c r="AI34" s="22"/>
      <c r="AJ34" s="22"/>
      <c r="AK34" s="22"/>
      <c r="AL34" s="22"/>
      <c r="AM34" s="22" t="str">
        <f t="shared" ref="AM34" si="14">+_xlfn.CONCAT(N34&amp;V34&amp;Z34)</f>
        <v xml:space="preserve"> Workbooks.Open "A:\Homes for Ukraine data\Ukraine_sponsorship_data_6.ods"</v>
      </c>
      <c r="AO34" t="s">
        <v>342</v>
      </c>
    </row>
    <row r="35" spans="2:41" x14ac:dyDescent="0.25">
      <c r="B35" s="22" t="s">
        <v>453</v>
      </c>
      <c r="C35" s="22"/>
      <c r="D35" s="22"/>
      <c r="E35" s="22"/>
      <c r="F35" s="22"/>
      <c r="G35" s="22"/>
      <c r="H35" s="22"/>
      <c r="I35" s="22"/>
      <c r="J35" s="22"/>
      <c r="K35" s="22"/>
      <c r="L35" s="22"/>
      <c r="M35" s="22"/>
      <c r="N35" s="22" t="s">
        <v>323</v>
      </c>
      <c r="O35" s="22"/>
      <c r="P35" s="22"/>
      <c r="Q35" s="22"/>
      <c r="R35" s="22"/>
      <c r="S35" s="22"/>
      <c r="T35" s="22"/>
      <c r="U35" s="22"/>
      <c r="V35" s="22">
        <f t="shared" si="13"/>
        <v>6</v>
      </c>
      <c r="W35" s="22"/>
      <c r="X35" s="22"/>
      <c r="Y35" s="23"/>
      <c r="Z35" s="22" t="s">
        <v>452</v>
      </c>
      <c r="AA35" s="22"/>
      <c r="AB35" s="22"/>
      <c r="AC35" s="22"/>
      <c r="AD35" s="22"/>
      <c r="AE35" s="22" t="str">
        <f t="shared" ref="AE35:AF35" si="15">AE30</f>
        <v>E</v>
      </c>
      <c r="AF35" s="22">
        <f t="shared" si="15"/>
        <v>13</v>
      </c>
      <c r="AG35" s="22" t="s">
        <v>327</v>
      </c>
      <c r="AH35" s="22" t="str">
        <f t="shared" ref="AH35:AI35" si="16">AH30</f>
        <v>E</v>
      </c>
      <c r="AI35" s="22">
        <f t="shared" si="16"/>
        <v>43</v>
      </c>
      <c r="AJ35" s="22"/>
      <c r="AK35" s="22" t="s">
        <v>325</v>
      </c>
      <c r="AL35" s="22"/>
      <c r="AM35" s="22" t="str">
        <f t="shared" ref="AM35" si="17">_xlfn.CONCAT(N35&amp;V35&amp;Z35&amp;AE35&amp;AF35&amp;AG35&amp;AE35&amp;AI35&amp;AK35)</f>
        <v xml:space="preserve"> Workbooks("Ukraine_sponsorship_data_6.ods").Worksheets("Wales").Range("E13:E43").Copy _</v>
      </c>
      <c r="AO35" t="s">
        <v>668</v>
      </c>
    </row>
    <row r="36" spans="2:41" x14ac:dyDescent="0.25">
      <c r="B36" s="22" t="s">
        <v>808</v>
      </c>
      <c r="C36" s="22"/>
      <c r="D36" s="22"/>
      <c r="E36" s="22"/>
      <c r="F36" s="22"/>
      <c r="G36" s="22"/>
      <c r="H36" s="22"/>
      <c r="I36" s="22"/>
      <c r="J36" s="22"/>
      <c r="K36" s="22"/>
      <c r="L36" s="22"/>
      <c r="M36" s="22"/>
      <c r="N36" s="22" t="s">
        <v>809</v>
      </c>
      <c r="O36" s="22"/>
      <c r="P36" s="22"/>
      <c r="Q36" s="22"/>
      <c r="R36" s="22"/>
      <c r="S36" s="22"/>
      <c r="T36" s="22"/>
      <c r="U36" s="22"/>
      <c r="V36" s="22"/>
      <c r="W36" s="22" t="str">
        <f t="shared" ref="W36" si="18">W31</f>
        <v>A</v>
      </c>
      <c r="X36" s="22" t="str">
        <f t="shared" ref="X36" si="19">CHAR(CODE(X31)+1)</f>
        <v>W</v>
      </c>
      <c r="Y36" s="23">
        <f t="shared" ref="Y36" si="20">Y31</f>
        <v>225</v>
      </c>
      <c r="Z36" s="22" t="s">
        <v>324</v>
      </c>
      <c r="AA36" s="22"/>
      <c r="AB36" s="22"/>
      <c r="AC36" s="22"/>
      <c r="AD36" s="22"/>
      <c r="AE36" s="22"/>
      <c r="AF36" s="22"/>
      <c r="AG36" s="22"/>
      <c r="AH36" s="22"/>
      <c r="AI36" s="22"/>
      <c r="AJ36" s="22"/>
      <c r="AK36" s="22"/>
      <c r="AL36" s="22"/>
      <c r="AM36" s="22" t="str">
        <f t="shared" ref="AM36" si="21">_xlfn.CONCAT(N36&amp;W36&amp;X36&amp;Y36&amp;Z36)</f>
        <v>Workbooks("HFU Forecast UTLA 1.0.xlsm").Worksheets("Combined data").Range("AW225")</v>
      </c>
      <c r="AO36" t="s">
        <v>912</v>
      </c>
    </row>
    <row r="37" spans="2:41" x14ac:dyDescent="0.25">
      <c r="B37" s="22" t="s">
        <v>339</v>
      </c>
      <c r="C37" s="22"/>
      <c r="D37" s="22"/>
      <c r="E37" s="22"/>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2"/>
      <c r="AL37" s="22"/>
      <c r="AM37" s="22" t="str">
        <f t="shared" ref="AM37" si="22">B37</f>
        <v>ActiveWorkbook.Close SaveChanges:=False</v>
      </c>
      <c r="AO37" t="s">
        <v>339</v>
      </c>
    </row>
    <row r="39" spans="2:41" x14ac:dyDescent="0.25">
      <c r="B39" s="19" t="s">
        <v>316</v>
      </c>
      <c r="C39" s="19"/>
      <c r="D39" s="19"/>
      <c r="E39" s="19"/>
      <c r="F39" s="19"/>
      <c r="G39" s="19"/>
      <c r="H39" s="19"/>
      <c r="I39" s="19"/>
      <c r="J39" s="19"/>
      <c r="K39" s="19"/>
      <c r="L39" s="19"/>
      <c r="M39" s="19"/>
      <c r="N39" s="19" t="s">
        <v>321</v>
      </c>
      <c r="O39" s="19"/>
      <c r="P39" s="19"/>
      <c r="Q39" s="19"/>
      <c r="R39" s="19"/>
      <c r="S39" s="19"/>
      <c r="T39" s="19"/>
      <c r="U39" s="19"/>
      <c r="V39" s="19">
        <f t="shared" ref="V39:V40" si="23">V34+1</f>
        <v>7</v>
      </c>
      <c r="W39" s="19"/>
      <c r="X39" s="19"/>
      <c r="Y39" s="21"/>
      <c r="Z39" s="19" t="s">
        <v>322</v>
      </c>
      <c r="AA39" s="19"/>
      <c r="AB39" s="19"/>
      <c r="AC39" s="19"/>
      <c r="AD39" s="19"/>
      <c r="AE39" s="19"/>
      <c r="AF39" s="19"/>
      <c r="AG39" s="19"/>
      <c r="AH39" s="19"/>
      <c r="AI39" s="19"/>
      <c r="AJ39" s="19"/>
      <c r="AK39" s="19"/>
      <c r="AL39" s="19"/>
      <c r="AM39" s="19" t="str">
        <f t="shared" ref="AM39" si="24">+_xlfn.CONCAT(N39&amp;V39&amp;Z39)</f>
        <v xml:space="preserve"> Workbooks.Open "A:\Homes for Ukraine data\Ukraine_sponsorship_data_7.ods"</v>
      </c>
      <c r="AO39" t="s">
        <v>343</v>
      </c>
    </row>
    <row r="40" spans="2:41" x14ac:dyDescent="0.25">
      <c r="B40" s="19" t="s">
        <v>453</v>
      </c>
      <c r="C40" s="19"/>
      <c r="D40" s="19"/>
      <c r="E40" s="19"/>
      <c r="F40" s="19"/>
      <c r="G40" s="19"/>
      <c r="H40" s="19"/>
      <c r="I40" s="19"/>
      <c r="J40" s="19"/>
      <c r="K40" s="19"/>
      <c r="L40" s="19"/>
      <c r="M40" s="19"/>
      <c r="N40" s="19" t="s">
        <v>323</v>
      </c>
      <c r="O40" s="19"/>
      <c r="P40" s="19"/>
      <c r="Q40" s="19"/>
      <c r="R40" s="19"/>
      <c r="S40" s="19"/>
      <c r="T40" s="19"/>
      <c r="U40" s="19"/>
      <c r="V40" s="19">
        <f t="shared" si="23"/>
        <v>7</v>
      </c>
      <c r="W40" s="19"/>
      <c r="X40" s="19"/>
      <c r="Y40" s="21"/>
      <c r="Z40" s="19" t="s">
        <v>452</v>
      </c>
      <c r="AA40" s="19"/>
      <c r="AB40" s="19"/>
      <c r="AC40" s="19"/>
      <c r="AD40" s="19"/>
      <c r="AE40" s="19" t="str">
        <f t="shared" ref="AE40:AF40" si="25">AE35</f>
        <v>E</v>
      </c>
      <c r="AF40" s="19">
        <f t="shared" si="25"/>
        <v>13</v>
      </c>
      <c r="AG40" s="19" t="s">
        <v>327</v>
      </c>
      <c r="AH40" s="19" t="str">
        <f t="shared" ref="AH40:AI40" si="26">AH35</f>
        <v>E</v>
      </c>
      <c r="AI40" s="19">
        <f t="shared" si="26"/>
        <v>43</v>
      </c>
      <c r="AJ40" s="19"/>
      <c r="AK40" s="19" t="s">
        <v>325</v>
      </c>
      <c r="AL40" s="19"/>
      <c r="AM40" s="19" t="str">
        <f t="shared" ref="AM40" si="27">_xlfn.CONCAT(N40&amp;V40&amp;Z40&amp;AE40&amp;AF40&amp;AG40&amp;AE40&amp;AI40&amp;AK40)</f>
        <v xml:space="preserve"> Workbooks("Ukraine_sponsorship_data_7.ods").Worksheets("Wales").Range("E13:E43").Copy _</v>
      </c>
      <c r="AO40" t="s">
        <v>669</v>
      </c>
    </row>
    <row r="41" spans="2:41" x14ac:dyDescent="0.25">
      <c r="B41" s="19" t="s">
        <v>808</v>
      </c>
      <c r="C41" s="19"/>
      <c r="D41" s="19"/>
      <c r="E41" s="19"/>
      <c r="F41" s="19"/>
      <c r="G41" s="19"/>
      <c r="H41" s="19"/>
      <c r="I41" s="19"/>
      <c r="J41" s="19"/>
      <c r="K41" s="19"/>
      <c r="L41" s="19"/>
      <c r="M41" s="19"/>
      <c r="N41" s="19" t="s">
        <v>809</v>
      </c>
      <c r="O41" s="19"/>
      <c r="P41" s="19"/>
      <c r="Q41" s="19"/>
      <c r="R41" s="19"/>
      <c r="S41" s="19"/>
      <c r="T41" s="19"/>
      <c r="U41" s="19"/>
      <c r="V41" s="19"/>
      <c r="W41" s="19" t="str">
        <f t="shared" ref="W41" si="28">W36</f>
        <v>A</v>
      </c>
      <c r="X41" s="19" t="str">
        <f t="shared" ref="X41" si="29">CHAR(CODE(X36)+1)</f>
        <v>X</v>
      </c>
      <c r="Y41" s="21">
        <f t="shared" ref="Y41" si="30">Y36</f>
        <v>225</v>
      </c>
      <c r="Z41" s="19" t="s">
        <v>324</v>
      </c>
      <c r="AA41" s="19"/>
      <c r="AB41" s="19"/>
      <c r="AC41" s="19"/>
      <c r="AD41" s="19"/>
      <c r="AE41" s="19"/>
      <c r="AF41" s="19"/>
      <c r="AG41" s="19"/>
      <c r="AH41" s="19"/>
      <c r="AI41" s="19"/>
      <c r="AJ41" s="19"/>
      <c r="AK41" s="19"/>
      <c r="AL41" s="19"/>
      <c r="AM41" s="19" t="str">
        <f t="shared" ref="AM41" si="31">_xlfn.CONCAT(N41&amp;W41&amp;X41&amp;Y41&amp;Z41)</f>
        <v>Workbooks("HFU Forecast UTLA 1.0.xlsm").Worksheets("Combined data").Range("AX225")</v>
      </c>
      <c r="AO41" t="s">
        <v>913</v>
      </c>
    </row>
    <row r="42" spans="2:41" x14ac:dyDescent="0.25">
      <c r="B42" s="19" t="s">
        <v>339</v>
      </c>
      <c r="C42" s="19"/>
      <c r="D42" s="19"/>
      <c r="E42" s="19"/>
      <c r="F42" s="19"/>
      <c r="G42" s="19"/>
      <c r="H42" s="19"/>
      <c r="I42" s="19"/>
      <c r="J42" s="19"/>
      <c r="K42" s="19"/>
      <c r="L42" s="19"/>
      <c r="M42" s="19"/>
      <c r="N42" s="19"/>
      <c r="O42" s="19"/>
      <c r="P42" s="19"/>
      <c r="Q42" s="19"/>
      <c r="R42" s="19"/>
      <c r="S42" s="19"/>
      <c r="T42" s="19"/>
      <c r="U42" s="19"/>
      <c r="V42" s="19"/>
      <c r="W42" s="19"/>
      <c r="X42" s="19"/>
      <c r="Y42" s="21"/>
      <c r="Z42" s="19"/>
      <c r="AA42" s="19"/>
      <c r="AB42" s="19"/>
      <c r="AC42" s="19"/>
      <c r="AD42" s="19"/>
      <c r="AE42" s="19"/>
      <c r="AF42" s="19"/>
      <c r="AG42" s="19"/>
      <c r="AH42" s="19"/>
      <c r="AI42" s="19"/>
      <c r="AJ42" s="19"/>
      <c r="AK42" s="19"/>
      <c r="AL42" s="19"/>
      <c r="AM42" s="19" t="str">
        <f t="shared" ref="AM42" si="32">B42</f>
        <v>ActiveWorkbook.Close SaveChanges:=False</v>
      </c>
      <c r="AO42" t="s">
        <v>339</v>
      </c>
    </row>
    <row r="44" spans="2:41" x14ac:dyDescent="0.25">
      <c r="B44" s="22" t="s">
        <v>316</v>
      </c>
      <c r="C44" s="22"/>
      <c r="D44" s="22"/>
      <c r="E44" s="22"/>
      <c r="F44" s="22"/>
      <c r="G44" s="22"/>
      <c r="H44" s="22"/>
      <c r="I44" s="22"/>
      <c r="J44" s="22"/>
      <c r="K44" s="22"/>
      <c r="L44" s="22"/>
      <c r="M44" s="22"/>
      <c r="N44" s="22" t="s">
        <v>321</v>
      </c>
      <c r="O44" s="22"/>
      <c r="P44" s="22"/>
      <c r="Q44" s="22"/>
      <c r="R44" s="22"/>
      <c r="S44" s="22"/>
      <c r="T44" s="22"/>
      <c r="U44" s="22"/>
      <c r="V44" s="22">
        <f t="shared" ref="V44:V45" si="33">V39+1</f>
        <v>8</v>
      </c>
      <c r="W44" s="22"/>
      <c r="X44" s="22"/>
      <c r="Y44" s="23"/>
      <c r="Z44" s="22" t="s">
        <v>322</v>
      </c>
      <c r="AA44" s="22"/>
      <c r="AB44" s="22"/>
      <c r="AC44" s="22"/>
      <c r="AD44" s="22"/>
      <c r="AE44" s="22"/>
      <c r="AF44" s="22"/>
      <c r="AG44" s="22"/>
      <c r="AH44" s="22"/>
      <c r="AI44" s="22"/>
      <c r="AJ44" s="22"/>
      <c r="AK44" s="22"/>
      <c r="AL44" s="22"/>
      <c r="AM44" s="22" t="str">
        <f t="shared" ref="AM44" si="34">+_xlfn.CONCAT(N44&amp;V44&amp;Z44)</f>
        <v xml:space="preserve"> Workbooks.Open "A:\Homes for Ukraine data\Ukraine_sponsorship_data_8.ods"</v>
      </c>
      <c r="AO44" t="s">
        <v>344</v>
      </c>
    </row>
    <row r="45" spans="2:41" x14ac:dyDescent="0.25">
      <c r="B45" s="22" t="s">
        <v>453</v>
      </c>
      <c r="C45" s="22"/>
      <c r="D45" s="22"/>
      <c r="E45" s="22"/>
      <c r="F45" s="22"/>
      <c r="G45" s="22"/>
      <c r="H45" s="22"/>
      <c r="I45" s="22"/>
      <c r="J45" s="22"/>
      <c r="K45" s="22"/>
      <c r="L45" s="22"/>
      <c r="M45" s="22"/>
      <c r="N45" s="22" t="s">
        <v>323</v>
      </c>
      <c r="O45" s="22"/>
      <c r="P45" s="22"/>
      <c r="Q45" s="22"/>
      <c r="R45" s="22"/>
      <c r="S45" s="22"/>
      <c r="T45" s="22"/>
      <c r="U45" s="22"/>
      <c r="V45" s="22">
        <f t="shared" si="33"/>
        <v>8</v>
      </c>
      <c r="W45" s="22"/>
      <c r="X45" s="22"/>
      <c r="Y45" s="23"/>
      <c r="Z45" s="22" t="s">
        <v>452</v>
      </c>
      <c r="AA45" s="22"/>
      <c r="AB45" s="22"/>
      <c r="AC45" s="22"/>
      <c r="AD45" s="22"/>
      <c r="AE45" s="22" t="str">
        <f t="shared" ref="AE45:AF45" si="35">AE40</f>
        <v>E</v>
      </c>
      <c r="AF45" s="22">
        <f t="shared" si="35"/>
        <v>13</v>
      </c>
      <c r="AG45" s="22" t="s">
        <v>327</v>
      </c>
      <c r="AH45" s="22" t="str">
        <f t="shared" ref="AH45:AI45" si="36">AH40</f>
        <v>E</v>
      </c>
      <c r="AI45" s="22">
        <f t="shared" si="36"/>
        <v>43</v>
      </c>
      <c r="AJ45" s="22"/>
      <c r="AK45" s="22" t="s">
        <v>325</v>
      </c>
      <c r="AL45" s="22"/>
      <c r="AM45" s="22" t="str">
        <f t="shared" ref="AM45" si="37">_xlfn.CONCAT(N45&amp;V45&amp;Z45&amp;AE45&amp;AF45&amp;AG45&amp;AE45&amp;AI45&amp;AK45)</f>
        <v xml:space="preserve"> Workbooks("Ukraine_sponsorship_data_8.ods").Worksheets("Wales").Range("E13:E43").Copy _</v>
      </c>
      <c r="AO45" t="s">
        <v>670</v>
      </c>
    </row>
    <row r="46" spans="2:41" x14ac:dyDescent="0.25">
      <c r="B46" s="22" t="s">
        <v>808</v>
      </c>
      <c r="C46" s="22"/>
      <c r="D46" s="22"/>
      <c r="E46" s="22"/>
      <c r="F46" s="22"/>
      <c r="G46" s="22"/>
      <c r="H46" s="22"/>
      <c r="I46" s="22"/>
      <c r="J46" s="22"/>
      <c r="K46" s="22"/>
      <c r="L46" s="22"/>
      <c r="M46" s="22"/>
      <c r="N46" s="22" t="s">
        <v>809</v>
      </c>
      <c r="O46" s="22"/>
      <c r="P46" s="22"/>
      <c r="Q46" s="22"/>
      <c r="R46" s="22"/>
      <c r="S46" s="22"/>
      <c r="T46" s="22"/>
      <c r="U46" s="22"/>
      <c r="V46" s="22"/>
      <c r="W46" s="22" t="str">
        <f t="shared" ref="W46" si="38">W41</f>
        <v>A</v>
      </c>
      <c r="X46" s="22" t="str">
        <f t="shared" ref="X46" si="39">CHAR(CODE(X41)+1)</f>
        <v>Y</v>
      </c>
      <c r="Y46" s="23">
        <f t="shared" ref="Y46" si="40">Y41</f>
        <v>225</v>
      </c>
      <c r="Z46" s="22" t="s">
        <v>324</v>
      </c>
      <c r="AA46" s="22"/>
      <c r="AB46" s="22"/>
      <c r="AC46" s="22"/>
      <c r="AD46" s="22"/>
      <c r="AE46" s="22"/>
      <c r="AF46" s="22"/>
      <c r="AG46" s="22"/>
      <c r="AH46" s="22"/>
      <c r="AI46" s="22"/>
      <c r="AJ46" s="22"/>
      <c r="AK46" s="22"/>
      <c r="AL46" s="22"/>
      <c r="AM46" s="22" t="str">
        <f t="shared" ref="AM46" si="41">_xlfn.CONCAT(N46&amp;W46&amp;X46&amp;Y46&amp;Z46)</f>
        <v>Workbooks("HFU Forecast UTLA 1.0.xlsm").Worksheets("Combined data").Range("AY225")</v>
      </c>
      <c r="AO46" t="s">
        <v>914</v>
      </c>
    </row>
    <row r="47" spans="2:41" x14ac:dyDescent="0.25">
      <c r="B47" s="22" t="s">
        <v>339</v>
      </c>
      <c r="C47" s="22"/>
      <c r="D47" s="22"/>
      <c r="E47" s="22"/>
      <c r="F47" s="22"/>
      <c r="G47" s="22"/>
      <c r="H47" s="22"/>
      <c r="I47" s="22"/>
      <c r="J47" s="22"/>
      <c r="K47" s="22"/>
      <c r="L47" s="22"/>
      <c r="M47" s="22"/>
      <c r="N47" s="22"/>
      <c r="O47" s="22"/>
      <c r="P47" s="22"/>
      <c r="Q47" s="22"/>
      <c r="R47" s="22"/>
      <c r="S47" s="22"/>
      <c r="T47" s="22"/>
      <c r="U47" s="22"/>
      <c r="V47" s="22"/>
      <c r="W47" s="22"/>
      <c r="X47" s="22"/>
      <c r="Y47" s="23"/>
      <c r="Z47" s="22"/>
      <c r="AA47" s="22"/>
      <c r="AB47" s="22"/>
      <c r="AC47" s="22"/>
      <c r="AD47" s="22"/>
      <c r="AE47" s="22"/>
      <c r="AF47" s="22"/>
      <c r="AG47" s="22"/>
      <c r="AH47" s="22"/>
      <c r="AI47" s="22"/>
      <c r="AJ47" s="22"/>
      <c r="AK47" s="22"/>
      <c r="AL47" s="22"/>
      <c r="AM47" s="22" t="str">
        <f t="shared" ref="AM47" si="42">B47</f>
        <v>ActiveWorkbook.Close SaveChanges:=False</v>
      </c>
      <c r="AO47" t="s">
        <v>339</v>
      </c>
    </row>
    <row r="49" spans="2:41" x14ac:dyDescent="0.25">
      <c r="B49" s="19" t="s">
        <v>316</v>
      </c>
      <c r="C49" s="19"/>
      <c r="D49" s="19"/>
      <c r="E49" s="19"/>
      <c r="F49" s="19"/>
      <c r="G49" s="19"/>
      <c r="H49" s="19"/>
      <c r="I49" s="19"/>
      <c r="J49" s="19"/>
      <c r="K49" s="19"/>
      <c r="L49" s="19"/>
      <c r="M49" s="19"/>
      <c r="N49" s="19" t="s">
        <v>321</v>
      </c>
      <c r="O49" s="19"/>
      <c r="P49" s="19"/>
      <c r="Q49" s="19"/>
      <c r="R49" s="19"/>
      <c r="S49" s="19"/>
      <c r="T49" s="19"/>
      <c r="U49" s="19"/>
      <c r="V49" s="19">
        <f t="shared" ref="V49:V110" si="43">V44+1</f>
        <v>9</v>
      </c>
      <c r="W49" s="19"/>
      <c r="X49" s="19"/>
      <c r="Y49" s="21"/>
      <c r="Z49" s="19" t="s">
        <v>322</v>
      </c>
      <c r="AA49" s="19"/>
      <c r="AB49" s="19"/>
      <c r="AC49" s="19"/>
      <c r="AD49" s="19"/>
      <c r="AE49" s="19"/>
      <c r="AF49" s="19"/>
      <c r="AG49" s="19"/>
      <c r="AH49" s="19"/>
      <c r="AI49" s="19"/>
      <c r="AJ49" s="19"/>
      <c r="AK49" s="19"/>
      <c r="AL49" s="19"/>
      <c r="AM49" s="19" t="str">
        <f t="shared" ref="AM49" si="44">+_xlfn.CONCAT(N49&amp;V49&amp;Z49)</f>
        <v xml:space="preserve"> Workbooks.Open "A:\Homes for Ukraine data\Ukraine_sponsorship_data_9.ods"</v>
      </c>
      <c r="AO49" t="s">
        <v>345</v>
      </c>
    </row>
    <row r="50" spans="2:41" x14ac:dyDescent="0.25">
      <c r="B50" s="19" t="s">
        <v>453</v>
      </c>
      <c r="C50" s="19"/>
      <c r="D50" s="19"/>
      <c r="E50" s="19"/>
      <c r="F50" s="19"/>
      <c r="G50" s="19"/>
      <c r="H50" s="19"/>
      <c r="I50" s="19"/>
      <c r="J50" s="19"/>
      <c r="K50" s="19"/>
      <c r="L50" s="19"/>
      <c r="M50" s="19"/>
      <c r="N50" s="19" t="s">
        <v>323</v>
      </c>
      <c r="O50" s="19"/>
      <c r="P50" s="19"/>
      <c r="Q50" s="19"/>
      <c r="R50" s="19"/>
      <c r="S50" s="19"/>
      <c r="T50" s="19"/>
      <c r="U50" s="19"/>
      <c r="V50" s="19">
        <f t="shared" si="43"/>
        <v>9</v>
      </c>
      <c r="W50" s="19"/>
      <c r="X50" s="19"/>
      <c r="Y50" s="21"/>
      <c r="Z50" s="19" t="s">
        <v>452</v>
      </c>
      <c r="AA50" s="19"/>
      <c r="AB50" s="19"/>
      <c r="AC50" s="19"/>
      <c r="AD50" s="19"/>
      <c r="AE50" s="19" t="str">
        <f t="shared" ref="AE50:AF50" si="45">AE45</f>
        <v>E</v>
      </c>
      <c r="AF50" s="19">
        <f t="shared" si="45"/>
        <v>13</v>
      </c>
      <c r="AG50" s="19" t="s">
        <v>327</v>
      </c>
      <c r="AH50" s="19" t="str">
        <f t="shared" ref="AH50:AI50" si="46">AH45</f>
        <v>E</v>
      </c>
      <c r="AI50" s="19">
        <f t="shared" si="46"/>
        <v>43</v>
      </c>
      <c r="AJ50" s="19"/>
      <c r="AK50" s="19" t="s">
        <v>325</v>
      </c>
      <c r="AL50" s="19"/>
      <c r="AM50" s="19" t="str">
        <f t="shared" ref="AM50" si="47">_xlfn.CONCAT(N50&amp;V50&amp;Z50&amp;AE50&amp;AF50&amp;AG50&amp;AE50&amp;AI50&amp;AK50)</f>
        <v xml:space="preserve"> Workbooks("Ukraine_sponsorship_data_9.ods").Worksheets("Wales").Range("E13:E43").Copy _</v>
      </c>
      <c r="AO50" t="s">
        <v>671</v>
      </c>
    </row>
    <row r="51" spans="2:41" x14ac:dyDescent="0.25">
      <c r="B51" s="19" t="s">
        <v>808</v>
      </c>
      <c r="C51" s="19"/>
      <c r="D51" s="19"/>
      <c r="E51" s="19"/>
      <c r="F51" s="19"/>
      <c r="G51" s="19"/>
      <c r="H51" s="19"/>
      <c r="I51" s="19"/>
      <c r="J51" s="19"/>
      <c r="K51" s="19"/>
      <c r="L51" s="19"/>
      <c r="M51" s="19"/>
      <c r="N51" s="19" t="s">
        <v>809</v>
      </c>
      <c r="O51" s="19"/>
      <c r="P51" s="19"/>
      <c r="Q51" s="19"/>
      <c r="R51" s="19"/>
      <c r="S51" s="19"/>
      <c r="T51" s="19"/>
      <c r="U51" s="19"/>
      <c r="V51" s="19"/>
      <c r="W51" s="19" t="str">
        <f t="shared" ref="W51:W101" si="48">W46</f>
        <v>A</v>
      </c>
      <c r="X51" s="19" t="str">
        <f t="shared" ref="X51:X111" si="49">CHAR(CODE(X46)+1)</f>
        <v>Z</v>
      </c>
      <c r="Y51" s="21">
        <f t="shared" ref="Y51" si="50">Y46</f>
        <v>225</v>
      </c>
      <c r="Z51" s="19" t="s">
        <v>324</v>
      </c>
      <c r="AA51" s="19"/>
      <c r="AB51" s="19"/>
      <c r="AC51" s="19"/>
      <c r="AD51" s="19"/>
      <c r="AE51" s="19"/>
      <c r="AF51" s="19"/>
      <c r="AG51" s="19"/>
      <c r="AH51" s="19"/>
      <c r="AI51" s="19"/>
      <c r="AJ51" s="19"/>
      <c r="AK51" s="19"/>
      <c r="AL51" s="19"/>
      <c r="AM51" s="19" t="str">
        <f t="shared" ref="AM51" si="51">_xlfn.CONCAT(N51&amp;W51&amp;X51&amp;Y51&amp;Z51)</f>
        <v>Workbooks("HFU Forecast UTLA 1.0.xlsm").Worksheets("Combined data").Range("AZ225")</v>
      </c>
      <c r="AO51" t="s">
        <v>915</v>
      </c>
    </row>
    <row r="52" spans="2:41" x14ac:dyDescent="0.25">
      <c r="B52" s="19" t="s">
        <v>339</v>
      </c>
      <c r="C52" s="19"/>
      <c r="D52" s="19"/>
      <c r="E52" s="19"/>
      <c r="F52" s="19"/>
      <c r="G52" s="19"/>
      <c r="H52" s="19"/>
      <c r="I52" s="19"/>
      <c r="J52" s="19"/>
      <c r="K52" s="19"/>
      <c r="L52" s="19"/>
      <c r="M52" s="19"/>
      <c r="N52" s="19"/>
      <c r="O52" s="19"/>
      <c r="P52" s="19"/>
      <c r="Q52" s="19"/>
      <c r="R52" s="19"/>
      <c r="S52" s="19"/>
      <c r="T52" s="19"/>
      <c r="U52" s="19"/>
      <c r="V52" s="19"/>
      <c r="W52" s="19"/>
      <c r="X52" s="19"/>
      <c r="Y52" s="21"/>
      <c r="Z52" s="19"/>
      <c r="AA52" s="19"/>
      <c r="AB52" s="19"/>
      <c r="AC52" s="19"/>
      <c r="AD52" s="19"/>
      <c r="AE52" s="19"/>
      <c r="AF52" s="19"/>
      <c r="AG52" s="19"/>
      <c r="AH52" s="19"/>
      <c r="AI52" s="19"/>
      <c r="AJ52" s="19"/>
      <c r="AK52" s="19"/>
      <c r="AL52" s="19"/>
      <c r="AM52" s="19" t="str">
        <f t="shared" ref="AM52" si="52">B52</f>
        <v>ActiveWorkbook.Close SaveChanges:=False</v>
      </c>
      <c r="AO52" t="s">
        <v>339</v>
      </c>
    </row>
    <row r="54" spans="2:41" x14ac:dyDescent="0.25">
      <c r="B54" s="22" t="s">
        <v>316</v>
      </c>
      <c r="C54" s="22"/>
      <c r="D54" s="22"/>
      <c r="E54" s="22"/>
      <c r="F54" s="22"/>
      <c r="G54" s="22"/>
      <c r="H54" s="22"/>
      <c r="I54" s="22"/>
      <c r="J54" s="22"/>
      <c r="K54" s="22"/>
      <c r="L54" s="22"/>
      <c r="M54" s="22"/>
      <c r="N54" s="22" t="s">
        <v>321</v>
      </c>
      <c r="O54" s="22"/>
      <c r="P54" s="22"/>
      <c r="Q54" s="22"/>
      <c r="R54" s="22"/>
      <c r="S54" s="22"/>
      <c r="T54" s="22"/>
      <c r="U54" s="22"/>
      <c r="V54" s="22">
        <f t="shared" ref="V54:V115" si="53">V49+1</f>
        <v>10</v>
      </c>
      <c r="W54" s="22"/>
      <c r="X54" s="22"/>
      <c r="Y54" s="23"/>
      <c r="Z54" s="22" t="s">
        <v>322</v>
      </c>
      <c r="AA54" s="22"/>
      <c r="AB54" s="22"/>
      <c r="AC54" s="22"/>
      <c r="AD54" s="22"/>
      <c r="AE54" s="22"/>
      <c r="AF54" s="22"/>
      <c r="AG54" s="22"/>
      <c r="AH54" s="22"/>
      <c r="AI54" s="22"/>
      <c r="AJ54" s="22"/>
      <c r="AK54" s="22"/>
      <c r="AL54" s="22"/>
      <c r="AM54" s="22" t="str">
        <f t="shared" ref="AM54" si="54">+_xlfn.CONCAT(N54&amp;V54&amp;Z54)</f>
        <v xml:space="preserve"> Workbooks.Open "A:\Homes for Ukraine data\Ukraine_sponsorship_data_10.ods"</v>
      </c>
      <c r="AO54" t="s">
        <v>346</v>
      </c>
    </row>
    <row r="55" spans="2:41" x14ac:dyDescent="0.25">
      <c r="B55" s="22" t="s">
        <v>453</v>
      </c>
      <c r="C55" s="22"/>
      <c r="D55" s="22"/>
      <c r="E55" s="22"/>
      <c r="F55" s="22"/>
      <c r="G55" s="22"/>
      <c r="H55" s="22"/>
      <c r="I55" s="22"/>
      <c r="J55" s="22"/>
      <c r="K55" s="22"/>
      <c r="L55" s="22"/>
      <c r="M55" s="22"/>
      <c r="N55" s="22" t="s">
        <v>323</v>
      </c>
      <c r="O55" s="22"/>
      <c r="P55" s="22"/>
      <c r="Q55" s="22"/>
      <c r="R55" s="22"/>
      <c r="S55" s="22"/>
      <c r="T55" s="22"/>
      <c r="U55" s="22"/>
      <c r="V55" s="22">
        <f t="shared" si="53"/>
        <v>10</v>
      </c>
      <c r="W55" s="22"/>
      <c r="X55" s="22"/>
      <c r="Y55" s="23"/>
      <c r="Z55" s="22" t="s">
        <v>452</v>
      </c>
      <c r="AA55" s="22"/>
      <c r="AB55" s="22"/>
      <c r="AC55" s="22"/>
      <c r="AD55" s="22"/>
      <c r="AE55" s="22" t="str">
        <f t="shared" ref="AE55:AF55" si="55">AE50</f>
        <v>E</v>
      </c>
      <c r="AF55" s="22">
        <f t="shared" si="55"/>
        <v>13</v>
      </c>
      <c r="AG55" s="22" t="s">
        <v>327</v>
      </c>
      <c r="AH55" s="22" t="str">
        <f t="shared" ref="AH55:AI55" si="56">AH50</f>
        <v>E</v>
      </c>
      <c r="AI55" s="22">
        <f t="shared" si="56"/>
        <v>43</v>
      </c>
      <c r="AJ55" s="22"/>
      <c r="AK55" s="22" t="s">
        <v>325</v>
      </c>
      <c r="AL55" s="22"/>
      <c r="AM55" s="22" t="str">
        <f t="shared" ref="AM55" si="57">_xlfn.CONCAT(N55&amp;V55&amp;Z55&amp;AE55&amp;AF55&amp;AG55&amp;AE55&amp;AI55&amp;AK55)</f>
        <v xml:space="preserve"> Workbooks("Ukraine_sponsorship_data_10.ods").Worksheets("Wales").Range("E13:E43").Copy _</v>
      </c>
      <c r="AO55" t="s">
        <v>672</v>
      </c>
    </row>
    <row r="56" spans="2:41" x14ac:dyDescent="0.25">
      <c r="B56" s="22" t="s">
        <v>808</v>
      </c>
      <c r="C56" s="22"/>
      <c r="D56" s="22"/>
      <c r="E56" s="22"/>
      <c r="F56" s="22"/>
      <c r="G56" s="22"/>
      <c r="H56" s="22"/>
      <c r="I56" s="22"/>
      <c r="J56" s="22"/>
      <c r="K56" s="22"/>
      <c r="L56" s="22"/>
      <c r="M56" s="22"/>
      <c r="N56" s="22" t="s">
        <v>809</v>
      </c>
      <c r="O56" s="22"/>
      <c r="P56" s="22"/>
      <c r="Q56" s="22"/>
      <c r="R56" s="22"/>
      <c r="S56" s="22"/>
      <c r="T56" s="22"/>
      <c r="U56" s="22"/>
      <c r="V56" s="22"/>
      <c r="W56" s="22" t="s">
        <v>313</v>
      </c>
      <c r="X56" s="22" t="s">
        <v>312</v>
      </c>
      <c r="Y56" s="23">
        <f t="shared" ref="Y56" si="58">Y51</f>
        <v>225</v>
      </c>
      <c r="Z56" s="22" t="s">
        <v>324</v>
      </c>
      <c r="AA56" s="22"/>
      <c r="AB56" s="22"/>
      <c r="AC56" s="22"/>
      <c r="AD56" s="22"/>
      <c r="AE56" s="22"/>
      <c r="AF56" s="22"/>
      <c r="AG56" s="22"/>
      <c r="AH56" s="22"/>
      <c r="AI56" s="22"/>
      <c r="AJ56" s="22"/>
      <c r="AK56" s="22"/>
      <c r="AL56" s="22"/>
      <c r="AM56" s="22" t="str">
        <f t="shared" ref="AM56" si="59">_xlfn.CONCAT(N56&amp;W56&amp;X56&amp;Y56&amp;Z56)</f>
        <v>Workbooks("HFU Forecast UTLA 1.0.xlsm").Worksheets("Combined data").Range("BA225")</v>
      </c>
      <c r="AO56" t="s">
        <v>1084</v>
      </c>
    </row>
    <row r="57" spans="2:41" x14ac:dyDescent="0.25">
      <c r="B57" s="22" t="s">
        <v>339</v>
      </c>
      <c r="C57" s="22"/>
      <c r="D57" s="22"/>
      <c r="E57" s="22"/>
      <c r="F57" s="22"/>
      <c r="G57" s="22"/>
      <c r="H57" s="22"/>
      <c r="I57" s="22"/>
      <c r="J57" s="22"/>
      <c r="K57" s="22"/>
      <c r="L57" s="22"/>
      <c r="M57" s="22"/>
      <c r="N57" s="22"/>
      <c r="O57" s="22"/>
      <c r="P57" s="22"/>
      <c r="Q57" s="22"/>
      <c r="R57" s="22"/>
      <c r="S57" s="22"/>
      <c r="T57" s="22"/>
      <c r="U57" s="22"/>
      <c r="V57" s="22"/>
      <c r="W57" s="22"/>
      <c r="X57" s="22"/>
      <c r="Y57" s="23"/>
      <c r="Z57" s="22"/>
      <c r="AA57" s="22"/>
      <c r="AB57" s="22"/>
      <c r="AC57" s="22"/>
      <c r="AD57" s="22"/>
      <c r="AE57" s="22"/>
      <c r="AF57" s="22"/>
      <c r="AG57" s="22"/>
      <c r="AH57" s="22"/>
      <c r="AI57" s="22"/>
      <c r="AJ57" s="22"/>
      <c r="AK57" s="22"/>
      <c r="AL57" s="22"/>
      <c r="AM57" s="22" t="str">
        <f t="shared" ref="AM57" si="60">B57</f>
        <v>ActiveWorkbook.Close SaveChanges:=False</v>
      </c>
      <c r="AO57" t="s">
        <v>339</v>
      </c>
    </row>
    <row r="59" spans="2:41" x14ac:dyDescent="0.25">
      <c r="B59" s="19" t="s">
        <v>316</v>
      </c>
      <c r="C59" s="19"/>
      <c r="D59" s="19"/>
      <c r="E59" s="19"/>
      <c r="F59" s="19"/>
      <c r="G59" s="19"/>
      <c r="H59" s="19"/>
      <c r="I59" s="19"/>
      <c r="J59" s="19"/>
      <c r="K59" s="19"/>
      <c r="L59" s="19"/>
      <c r="M59" s="19"/>
      <c r="N59" s="19" t="s">
        <v>321</v>
      </c>
      <c r="O59" s="19"/>
      <c r="P59" s="19"/>
      <c r="Q59" s="19"/>
      <c r="R59" s="19"/>
      <c r="S59" s="19"/>
      <c r="T59" s="19"/>
      <c r="U59" s="19"/>
      <c r="V59" s="19">
        <f t="shared" si="43"/>
        <v>11</v>
      </c>
      <c r="W59" s="19"/>
      <c r="X59" s="19"/>
      <c r="Y59" s="21"/>
      <c r="Z59" s="19" t="s">
        <v>322</v>
      </c>
      <c r="AA59" s="19"/>
      <c r="AB59" s="19"/>
      <c r="AC59" s="19"/>
      <c r="AD59" s="19"/>
      <c r="AE59" s="19"/>
      <c r="AF59" s="19"/>
      <c r="AG59" s="19"/>
      <c r="AH59" s="19"/>
      <c r="AI59" s="19"/>
      <c r="AJ59" s="19"/>
      <c r="AK59" s="19"/>
      <c r="AL59" s="19"/>
      <c r="AM59" s="19" t="str">
        <f t="shared" ref="AM59" si="61">+_xlfn.CONCAT(N59&amp;V59&amp;Z59)</f>
        <v xml:space="preserve"> Workbooks.Open "A:\Homes for Ukraine data\Ukraine_sponsorship_data_11.ods"</v>
      </c>
      <c r="AO59" t="s">
        <v>347</v>
      </c>
    </row>
    <row r="60" spans="2:41" x14ac:dyDescent="0.25">
      <c r="B60" s="19" t="s">
        <v>453</v>
      </c>
      <c r="C60" s="19"/>
      <c r="D60" s="19"/>
      <c r="E60" s="19"/>
      <c r="F60" s="19"/>
      <c r="G60" s="19"/>
      <c r="H60" s="19"/>
      <c r="I60" s="19"/>
      <c r="J60" s="19"/>
      <c r="K60" s="19"/>
      <c r="L60" s="19"/>
      <c r="M60" s="19"/>
      <c r="N60" s="19" t="s">
        <v>323</v>
      </c>
      <c r="O60" s="19"/>
      <c r="P60" s="19"/>
      <c r="Q60" s="19"/>
      <c r="R60" s="19"/>
      <c r="S60" s="19"/>
      <c r="T60" s="19"/>
      <c r="U60" s="19"/>
      <c r="V60" s="19">
        <f t="shared" si="43"/>
        <v>11</v>
      </c>
      <c r="W60" s="19"/>
      <c r="X60" s="19"/>
      <c r="Y60" s="21"/>
      <c r="Z60" s="19" t="s">
        <v>452</v>
      </c>
      <c r="AA60" s="19"/>
      <c r="AB60" s="19"/>
      <c r="AC60" s="19"/>
      <c r="AD60" s="19"/>
      <c r="AE60" s="19" t="str">
        <f t="shared" ref="AE60:AF60" si="62">AE55</f>
        <v>E</v>
      </c>
      <c r="AF60" s="19">
        <f t="shared" si="62"/>
        <v>13</v>
      </c>
      <c r="AG60" s="19" t="s">
        <v>327</v>
      </c>
      <c r="AH60" s="19" t="str">
        <f t="shared" ref="AH60:AI60" si="63">AH55</f>
        <v>E</v>
      </c>
      <c r="AI60" s="19">
        <f t="shared" si="63"/>
        <v>43</v>
      </c>
      <c r="AJ60" s="19"/>
      <c r="AK60" s="19" t="s">
        <v>325</v>
      </c>
      <c r="AL60" s="19"/>
      <c r="AM60" s="19" t="str">
        <f t="shared" ref="AM60" si="64">_xlfn.CONCAT(N60&amp;V60&amp;Z60&amp;AE60&amp;AF60&amp;AG60&amp;AE60&amp;AI60&amp;AK60)</f>
        <v xml:space="preserve"> Workbooks("Ukraine_sponsorship_data_11.ods").Worksheets("Wales").Range("E13:E43").Copy _</v>
      </c>
      <c r="AO60" t="s">
        <v>673</v>
      </c>
    </row>
    <row r="61" spans="2:41" x14ac:dyDescent="0.25">
      <c r="B61" s="19" t="s">
        <v>808</v>
      </c>
      <c r="C61" s="19"/>
      <c r="D61" s="19"/>
      <c r="E61" s="19"/>
      <c r="F61" s="19"/>
      <c r="G61" s="19"/>
      <c r="H61" s="19"/>
      <c r="I61" s="19"/>
      <c r="J61" s="19"/>
      <c r="K61" s="19"/>
      <c r="L61" s="19"/>
      <c r="M61" s="19"/>
      <c r="N61" s="19" t="s">
        <v>809</v>
      </c>
      <c r="O61" s="19"/>
      <c r="P61" s="19"/>
      <c r="Q61" s="19"/>
      <c r="R61" s="19"/>
      <c r="S61" s="19"/>
      <c r="T61" s="19"/>
      <c r="U61" s="19"/>
      <c r="V61" s="19"/>
      <c r="W61" s="19" t="str">
        <f t="shared" si="48"/>
        <v>B</v>
      </c>
      <c r="X61" s="19" t="str">
        <f t="shared" si="49"/>
        <v>B</v>
      </c>
      <c r="Y61" s="21">
        <f t="shared" ref="Y61" si="65">Y56</f>
        <v>225</v>
      </c>
      <c r="Z61" s="19" t="s">
        <v>324</v>
      </c>
      <c r="AA61" s="19"/>
      <c r="AB61" s="19"/>
      <c r="AC61" s="19"/>
      <c r="AD61" s="19"/>
      <c r="AE61" s="19"/>
      <c r="AF61" s="19"/>
      <c r="AG61" s="19"/>
      <c r="AH61" s="19"/>
      <c r="AI61" s="19"/>
      <c r="AJ61" s="19"/>
      <c r="AK61" s="19"/>
      <c r="AL61" s="19"/>
      <c r="AM61" s="19" t="str">
        <f t="shared" ref="AM61" si="66">_xlfn.CONCAT(N61&amp;W61&amp;X61&amp;Y61&amp;Z61)</f>
        <v>Workbooks("HFU Forecast UTLA 1.0.xlsm").Worksheets("Combined data").Range("BB225")</v>
      </c>
      <c r="AO61" t="s">
        <v>1085</v>
      </c>
    </row>
    <row r="62" spans="2:41" x14ac:dyDescent="0.25">
      <c r="B62" s="19" t="s">
        <v>339</v>
      </c>
      <c r="C62" s="19"/>
      <c r="D62" s="19"/>
      <c r="E62" s="19"/>
      <c r="F62" s="19"/>
      <c r="G62" s="19"/>
      <c r="H62" s="19"/>
      <c r="I62" s="19"/>
      <c r="J62" s="19"/>
      <c r="K62" s="19"/>
      <c r="L62" s="19"/>
      <c r="M62" s="19"/>
      <c r="N62" s="19"/>
      <c r="O62" s="19"/>
      <c r="P62" s="19"/>
      <c r="Q62" s="19"/>
      <c r="R62" s="19"/>
      <c r="S62" s="19"/>
      <c r="T62" s="19"/>
      <c r="U62" s="19"/>
      <c r="V62" s="19"/>
      <c r="W62" s="19"/>
      <c r="X62" s="19"/>
      <c r="Y62" s="21"/>
      <c r="Z62" s="19"/>
      <c r="AA62" s="19"/>
      <c r="AB62" s="19"/>
      <c r="AC62" s="19"/>
      <c r="AD62" s="19"/>
      <c r="AE62" s="19"/>
      <c r="AF62" s="19"/>
      <c r="AG62" s="19"/>
      <c r="AH62" s="19"/>
      <c r="AI62" s="19"/>
      <c r="AJ62" s="19"/>
      <c r="AK62" s="19"/>
      <c r="AL62" s="19"/>
      <c r="AM62" s="19" t="str">
        <f t="shared" ref="AM62" si="67">B62</f>
        <v>ActiveWorkbook.Close SaveChanges:=False</v>
      </c>
      <c r="AO62" t="s">
        <v>339</v>
      </c>
    </row>
    <row r="64" spans="2:41" x14ac:dyDescent="0.25">
      <c r="B64" s="22" t="s">
        <v>316</v>
      </c>
      <c r="C64" s="22"/>
      <c r="D64" s="22"/>
      <c r="E64" s="22"/>
      <c r="F64" s="22"/>
      <c r="G64" s="22"/>
      <c r="H64" s="22"/>
      <c r="I64" s="22"/>
      <c r="J64" s="22"/>
      <c r="K64" s="22"/>
      <c r="L64" s="22"/>
      <c r="M64" s="22"/>
      <c r="N64" s="22" t="s">
        <v>321</v>
      </c>
      <c r="O64" s="22"/>
      <c r="P64" s="22"/>
      <c r="Q64" s="22"/>
      <c r="R64" s="22"/>
      <c r="S64" s="22"/>
      <c r="T64" s="22"/>
      <c r="U64" s="22"/>
      <c r="V64" s="22">
        <f t="shared" si="53"/>
        <v>12</v>
      </c>
      <c r="W64" s="22"/>
      <c r="X64" s="22"/>
      <c r="Y64" s="23"/>
      <c r="Z64" s="22" t="s">
        <v>322</v>
      </c>
      <c r="AA64" s="22"/>
      <c r="AB64" s="22"/>
      <c r="AC64" s="22"/>
      <c r="AD64" s="22"/>
      <c r="AE64" s="22"/>
      <c r="AF64" s="22"/>
      <c r="AG64" s="22"/>
      <c r="AH64" s="22"/>
      <c r="AI64" s="22"/>
      <c r="AJ64" s="22"/>
      <c r="AK64" s="22"/>
      <c r="AL64" s="22"/>
      <c r="AM64" s="22" t="str">
        <f t="shared" ref="AM64" si="68">+_xlfn.CONCAT(N64&amp;V64&amp;Z64)</f>
        <v xml:space="preserve"> Workbooks.Open "A:\Homes for Ukraine data\Ukraine_sponsorship_data_12.ods"</v>
      </c>
      <c r="AO64" t="s">
        <v>348</v>
      </c>
    </row>
    <row r="65" spans="2:41" x14ac:dyDescent="0.25">
      <c r="B65" s="22" t="s">
        <v>453</v>
      </c>
      <c r="C65" s="22"/>
      <c r="D65" s="22"/>
      <c r="E65" s="22"/>
      <c r="F65" s="22"/>
      <c r="G65" s="22"/>
      <c r="H65" s="22"/>
      <c r="I65" s="22"/>
      <c r="J65" s="22"/>
      <c r="K65" s="22"/>
      <c r="L65" s="22"/>
      <c r="M65" s="22"/>
      <c r="N65" s="22" t="s">
        <v>323</v>
      </c>
      <c r="O65" s="22"/>
      <c r="P65" s="22"/>
      <c r="Q65" s="22"/>
      <c r="R65" s="22"/>
      <c r="S65" s="22"/>
      <c r="T65" s="22"/>
      <c r="U65" s="22"/>
      <c r="V65" s="22">
        <f t="shared" si="53"/>
        <v>12</v>
      </c>
      <c r="W65" s="22"/>
      <c r="X65" s="22"/>
      <c r="Y65" s="23"/>
      <c r="Z65" s="22" t="s">
        <v>452</v>
      </c>
      <c r="AA65" s="22"/>
      <c r="AB65" s="22"/>
      <c r="AC65" s="22"/>
      <c r="AD65" s="22"/>
      <c r="AE65" s="22" t="str">
        <f t="shared" ref="AE65:AF65" si="69">AE60</f>
        <v>E</v>
      </c>
      <c r="AF65" s="22">
        <f t="shared" si="69"/>
        <v>13</v>
      </c>
      <c r="AG65" s="22" t="s">
        <v>327</v>
      </c>
      <c r="AH65" s="22" t="str">
        <f t="shared" ref="AH65:AI65" si="70">AH60</f>
        <v>E</v>
      </c>
      <c r="AI65" s="22">
        <f t="shared" si="70"/>
        <v>43</v>
      </c>
      <c r="AJ65" s="22"/>
      <c r="AK65" s="22" t="s">
        <v>325</v>
      </c>
      <c r="AL65" s="22"/>
      <c r="AM65" s="22" t="str">
        <f t="shared" ref="AM65" si="71">_xlfn.CONCAT(N65&amp;V65&amp;Z65&amp;AE65&amp;AF65&amp;AG65&amp;AE65&amp;AI65&amp;AK65)</f>
        <v xml:space="preserve"> Workbooks("Ukraine_sponsorship_data_12.ods").Worksheets("Wales").Range("E13:E43").Copy _</v>
      </c>
      <c r="AO65" t="s">
        <v>674</v>
      </c>
    </row>
    <row r="66" spans="2:41" x14ac:dyDescent="0.25">
      <c r="B66" s="22" t="s">
        <v>808</v>
      </c>
      <c r="C66" s="22"/>
      <c r="D66" s="22"/>
      <c r="E66" s="22"/>
      <c r="F66" s="22"/>
      <c r="G66" s="22"/>
      <c r="H66" s="22"/>
      <c r="I66" s="22"/>
      <c r="J66" s="22"/>
      <c r="K66" s="22"/>
      <c r="L66" s="22"/>
      <c r="M66" s="22"/>
      <c r="N66" s="22" t="s">
        <v>809</v>
      </c>
      <c r="O66" s="22"/>
      <c r="P66" s="22"/>
      <c r="Q66" s="22"/>
      <c r="R66" s="22"/>
      <c r="S66" s="22"/>
      <c r="T66" s="22"/>
      <c r="U66" s="22"/>
      <c r="V66" s="22"/>
      <c r="W66" s="22" t="str">
        <f t="shared" ref="W66:W116" si="72">W61</f>
        <v>B</v>
      </c>
      <c r="X66" s="22" t="str">
        <f t="shared" ref="X66:X116" si="73">CHAR(CODE(X61)+1)</f>
        <v>C</v>
      </c>
      <c r="Y66" s="23">
        <f t="shared" ref="Y66" si="74">Y61</f>
        <v>225</v>
      </c>
      <c r="Z66" s="22" t="s">
        <v>324</v>
      </c>
      <c r="AA66" s="22"/>
      <c r="AB66" s="22"/>
      <c r="AC66" s="22"/>
      <c r="AD66" s="22"/>
      <c r="AE66" s="22"/>
      <c r="AF66" s="22"/>
      <c r="AG66" s="22"/>
      <c r="AH66" s="22"/>
      <c r="AI66" s="22"/>
      <c r="AJ66" s="22"/>
      <c r="AK66" s="22"/>
      <c r="AL66" s="22"/>
      <c r="AM66" s="22" t="str">
        <f t="shared" ref="AM66" si="75">_xlfn.CONCAT(N66&amp;W66&amp;X66&amp;Y66&amp;Z66)</f>
        <v>Workbooks("HFU Forecast UTLA 1.0.xlsm").Worksheets("Combined data").Range("BC225")</v>
      </c>
      <c r="AO66" t="s">
        <v>1086</v>
      </c>
    </row>
    <row r="67" spans="2:41" x14ac:dyDescent="0.25">
      <c r="B67" s="22" t="s">
        <v>339</v>
      </c>
      <c r="C67" s="22"/>
      <c r="D67" s="22"/>
      <c r="E67" s="22"/>
      <c r="F67" s="22"/>
      <c r="G67" s="22"/>
      <c r="H67" s="22"/>
      <c r="I67" s="22"/>
      <c r="J67" s="22"/>
      <c r="K67" s="22"/>
      <c r="L67" s="22"/>
      <c r="M67" s="22"/>
      <c r="N67" s="22"/>
      <c r="O67" s="22"/>
      <c r="P67" s="22"/>
      <c r="Q67" s="22"/>
      <c r="R67" s="22"/>
      <c r="S67" s="22"/>
      <c r="T67" s="22"/>
      <c r="U67" s="22"/>
      <c r="V67" s="22"/>
      <c r="W67" s="22"/>
      <c r="X67" s="22"/>
      <c r="Y67" s="23"/>
      <c r="Z67" s="22"/>
      <c r="AA67" s="22"/>
      <c r="AB67" s="22"/>
      <c r="AC67" s="22"/>
      <c r="AD67" s="22"/>
      <c r="AE67" s="22"/>
      <c r="AF67" s="22"/>
      <c r="AG67" s="22"/>
      <c r="AH67" s="22"/>
      <c r="AI67" s="22"/>
      <c r="AJ67" s="22"/>
      <c r="AK67" s="22"/>
      <c r="AL67" s="22"/>
      <c r="AM67" s="22" t="str">
        <f t="shared" ref="AM67" si="76">B67</f>
        <v>ActiveWorkbook.Close SaveChanges:=False</v>
      </c>
      <c r="AO67" t="s">
        <v>339</v>
      </c>
    </row>
    <row r="69" spans="2:41" x14ac:dyDescent="0.25">
      <c r="B69" s="19" t="s">
        <v>316</v>
      </c>
      <c r="C69" s="19"/>
      <c r="D69" s="19"/>
      <c r="E69" s="19"/>
      <c r="F69" s="19"/>
      <c r="G69" s="19"/>
      <c r="H69" s="19"/>
      <c r="I69" s="19"/>
      <c r="J69" s="19"/>
      <c r="K69" s="19"/>
      <c r="L69" s="19"/>
      <c r="M69" s="19"/>
      <c r="N69" s="19" t="s">
        <v>321</v>
      </c>
      <c r="O69" s="19"/>
      <c r="P69" s="19"/>
      <c r="Q69" s="19"/>
      <c r="R69" s="19"/>
      <c r="S69" s="19"/>
      <c r="T69" s="19"/>
      <c r="U69" s="19"/>
      <c r="V69" s="19">
        <f t="shared" si="43"/>
        <v>13</v>
      </c>
      <c r="W69" s="19"/>
      <c r="X69" s="19"/>
      <c r="Y69" s="21"/>
      <c r="Z69" s="19" t="s">
        <v>322</v>
      </c>
      <c r="AA69" s="19"/>
      <c r="AB69" s="19"/>
      <c r="AC69" s="19"/>
      <c r="AD69" s="19"/>
      <c r="AE69" s="19"/>
      <c r="AF69" s="19"/>
      <c r="AG69" s="19"/>
      <c r="AH69" s="19"/>
      <c r="AI69" s="19"/>
      <c r="AJ69" s="19"/>
      <c r="AK69" s="19"/>
      <c r="AL69" s="19"/>
      <c r="AM69" s="19" t="str">
        <f t="shared" ref="AM69" si="77">+_xlfn.CONCAT(N69&amp;V69&amp;Z69)</f>
        <v xml:space="preserve"> Workbooks.Open "A:\Homes for Ukraine data\Ukraine_sponsorship_data_13.ods"</v>
      </c>
      <c r="AO69" t="s">
        <v>349</v>
      </c>
    </row>
    <row r="70" spans="2:41" x14ac:dyDescent="0.25">
      <c r="B70" s="19" t="s">
        <v>453</v>
      </c>
      <c r="C70" s="19"/>
      <c r="D70" s="19"/>
      <c r="E70" s="19"/>
      <c r="F70" s="19"/>
      <c r="G70" s="19"/>
      <c r="H70" s="19"/>
      <c r="I70" s="19"/>
      <c r="J70" s="19"/>
      <c r="K70" s="19"/>
      <c r="L70" s="19"/>
      <c r="M70" s="19"/>
      <c r="N70" s="19" t="s">
        <v>323</v>
      </c>
      <c r="O70" s="19"/>
      <c r="P70" s="19"/>
      <c r="Q70" s="19"/>
      <c r="R70" s="19"/>
      <c r="S70" s="19"/>
      <c r="T70" s="19"/>
      <c r="U70" s="19"/>
      <c r="V70" s="19">
        <f t="shared" si="43"/>
        <v>13</v>
      </c>
      <c r="W70" s="19"/>
      <c r="X70" s="19"/>
      <c r="Y70" s="21"/>
      <c r="Z70" s="19" t="s">
        <v>452</v>
      </c>
      <c r="AA70" s="19"/>
      <c r="AB70" s="19"/>
      <c r="AC70" s="19"/>
      <c r="AD70" s="19"/>
      <c r="AE70" s="19" t="str">
        <f t="shared" ref="AE70:AF70" si="78">AE65</f>
        <v>E</v>
      </c>
      <c r="AF70" s="19">
        <f t="shared" si="78"/>
        <v>13</v>
      </c>
      <c r="AG70" s="19" t="s">
        <v>327</v>
      </c>
      <c r="AH70" s="19" t="str">
        <f t="shared" ref="AH70:AI70" si="79">AH65</f>
        <v>E</v>
      </c>
      <c r="AI70" s="19">
        <f t="shared" si="79"/>
        <v>43</v>
      </c>
      <c r="AJ70" s="19"/>
      <c r="AK70" s="19" t="s">
        <v>325</v>
      </c>
      <c r="AL70" s="19"/>
      <c r="AM70" s="19" t="str">
        <f t="shared" ref="AM70" si="80">_xlfn.CONCAT(N70&amp;V70&amp;Z70&amp;AE70&amp;AF70&amp;AG70&amp;AE70&amp;AI70&amp;AK70)</f>
        <v xml:space="preserve"> Workbooks("Ukraine_sponsorship_data_13.ods").Worksheets("Wales").Range("E13:E43").Copy _</v>
      </c>
      <c r="AO70" t="s">
        <v>675</v>
      </c>
    </row>
    <row r="71" spans="2:41" x14ac:dyDescent="0.25">
      <c r="B71" s="19" t="s">
        <v>808</v>
      </c>
      <c r="C71" s="19"/>
      <c r="D71" s="19"/>
      <c r="E71" s="19"/>
      <c r="F71" s="19"/>
      <c r="G71" s="19"/>
      <c r="H71" s="19"/>
      <c r="I71" s="19"/>
      <c r="J71" s="19"/>
      <c r="K71" s="19"/>
      <c r="L71" s="19"/>
      <c r="M71" s="19"/>
      <c r="N71" s="19" t="s">
        <v>809</v>
      </c>
      <c r="O71" s="19"/>
      <c r="P71" s="19"/>
      <c r="Q71" s="19"/>
      <c r="R71" s="19"/>
      <c r="S71" s="19"/>
      <c r="T71" s="19"/>
      <c r="U71" s="19"/>
      <c r="V71" s="19"/>
      <c r="W71" s="19" t="str">
        <f t="shared" si="48"/>
        <v>B</v>
      </c>
      <c r="X71" s="19" t="str">
        <f t="shared" si="49"/>
        <v>D</v>
      </c>
      <c r="Y71" s="21">
        <f t="shared" ref="Y71" si="81">Y66</f>
        <v>225</v>
      </c>
      <c r="Z71" s="19" t="s">
        <v>324</v>
      </c>
      <c r="AA71" s="19"/>
      <c r="AB71" s="19"/>
      <c r="AC71" s="19"/>
      <c r="AD71" s="19"/>
      <c r="AE71" s="19"/>
      <c r="AF71" s="19"/>
      <c r="AG71" s="19"/>
      <c r="AH71" s="19"/>
      <c r="AI71" s="19"/>
      <c r="AJ71" s="19"/>
      <c r="AK71" s="19"/>
      <c r="AL71" s="19"/>
      <c r="AM71" s="19" t="str">
        <f t="shared" ref="AM71" si="82">_xlfn.CONCAT(N71&amp;W71&amp;X71&amp;Y71&amp;Z71)</f>
        <v>Workbooks("HFU Forecast UTLA 1.0.xlsm").Worksheets("Combined data").Range("BD225")</v>
      </c>
      <c r="AO71" t="s">
        <v>1087</v>
      </c>
    </row>
    <row r="72" spans="2:41" x14ac:dyDescent="0.25">
      <c r="B72" s="19" t="s">
        <v>339</v>
      </c>
      <c r="C72" s="19"/>
      <c r="D72" s="19"/>
      <c r="E72" s="19"/>
      <c r="F72" s="19"/>
      <c r="G72" s="19"/>
      <c r="H72" s="19"/>
      <c r="I72" s="19"/>
      <c r="J72" s="19"/>
      <c r="K72" s="19"/>
      <c r="L72" s="19"/>
      <c r="M72" s="19"/>
      <c r="N72" s="19"/>
      <c r="O72" s="19"/>
      <c r="P72" s="19"/>
      <c r="Q72" s="19"/>
      <c r="R72" s="19"/>
      <c r="S72" s="19"/>
      <c r="T72" s="19"/>
      <c r="U72" s="19"/>
      <c r="V72" s="19"/>
      <c r="W72" s="19"/>
      <c r="X72" s="19"/>
      <c r="Y72" s="21"/>
      <c r="Z72" s="19"/>
      <c r="AA72" s="19"/>
      <c r="AB72" s="19"/>
      <c r="AC72" s="19"/>
      <c r="AD72" s="19"/>
      <c r="AE72" s="19"/>
      <c r="AF72" s="19"/>
      <c r="AG72" s="19"/>
      <c r="AH72" s="19"/>
      <c r="AI72" s="19"/>
      <c r="AJ72" s="19"/>
      <c r="AK72" s="19"/>
      <c r="AL72" s="19"/>
      <c r="AM72" s="19" t="str">
        <f t="shared" ref="AM72" si="83">B72</f>
        <v>ActiveWorkbook.Close SaveChanges:=False</v>
      </c>
      <c r="AO72" t="s">
        <v>339</v>
      </c>
    </row>
    <row r="74" spans="2:41" x14ac:dyDescent="0.25">
      <c r="B74" s="22" t="s">
        <v>316</v>
      </c>
      <c r="C74" s="22"/>
      <c r="D74" s="22"/>
      <c r="E74" s="22"/>
      <c r="F74" s="22"/>
      <c r="G74" s="22"/>
      <c r="H74" s="22"/>
      <c r="I74" s="22"/>
      <c r="J74" s="22"/>
      <c r="K74" s="22"/>
      <c r="L74" s="22"/>
      <c r="M74" s="22"/>
      <c r="N74" s="22" t="s">
        <v>321</v>
      </c>
      <c r="O74" s="22"/>
      <c r="P74" s="22"/>
      <c r="Q74" s="22"/>
      <c r="R74" s="22"/>
      <c r="S74" s="22"/>
      <c r="T74" s="22"/>
      <c r="U74" s="22"/>
      <c r="V74" s="22">
        <f t="shared" si="53"/>
        <v>14</v>
      </c>
      <c r="W74" s="22"/>
      <c r="X74" s="22"/>
      <c r="Y74" s="23"/>
      <c r="Z74" s="22" t="s">
        <v>322</v>
      </c>
      <c r="AA74" s="22"/>
      <c r="AB74" s="22"/>
      <c r="AC74" s="22"/>
      <c r="AD74" s="22"/>
      <c r="AE74" s="22"/>
      <c r="AF74" s="22"/>
      <c r="AG74" s="22"/>
      <c r="AH74" s="22"/>
      <c r="AI74" s="22"/>
      <c r="AJ74" s="22"/>
      <c r="AK74" s="22"/>
      <c r="AL74" s="22"/>
      <c r="AM74" s="22" t="str">
        <f t="shared" ref="AM74" si="84">+_xlfn.CONCAT(N74&amp;V74&amp;Z74)</f>
        <v xml:space="preserve"> Workbooks.Open "A:\Homes for Ukraine data\Ukraine_sponsorship_data_14.ods"</v>
      </c>
      <c r="AO74" t="s">
        <v>350</v>
      </c>
    </row>
    <row r="75" spans="2:41" x14ac:dyDescent="0.25">
      <c r="B75" s="22" t="s">
        <v>453</v>
      </c>
      <c r="C75" s="22"/>
      <c r="D75" s="22"/>
      <c r="E75" s="22"/>
      <c r="F75" s="22"/>
      <c r="G75" s="22"/>
      <c r="H75" s="22"/>
      <c r="I75" s="22"/>
      <c r="J75" s="22"/>
      <c r="K75" s="22"/>
      <c r="L75" s="22"/>
      <c r="M75" s="22"/>
      <c r="N75" s="22" t="s">
        <v>323</v>
      </c>
      <c r="O75" s="22"/>
      <c r="P75" s="22"/>
      <c r="Q75" s="22"/>
      <c r="R75" s="22"/>
      <c r="S75" s="22"/>
      <c r="T75" s="22"/>
      <c r="U75" s="22"/>
      <c r="V75" s="22">
        <f t="shared" si="53"/>
        <v>14</v>
      </c>
      <c r="W75" s="22"/>
      <c r="X75" s="22"/>
      <c r="Y75" s="23"/>
      <c r="Z75" s="22" t="s">
        <v>452</v>
      </c>
      <c r="AA75" s="22"/>
      <c r="AB75" s="22"/>
      <c r="AC75" s="22"/>
      <c r="AD75" s="22"/>
      <c r="AE75" s="22" t="str">
        <f t="shared" ref="AE75:AF75" si="85">AE70</f>
        <v>E</v>
      </c>
      <c r="AF75" s="22">
        <f t="shared" si="85"/>
        <v>13</v>
      </c>
      <c r="AG75" s="22" t="s">
        <v>327</v>
      </c>
      <c r="AH75" s="22" t="str">
        <f t="shared" ref="AH75:AI75" si="86">AH70</f>
        <v>E</v>
      </c>
      <c r="AI75" s="22">
        <f t="shared" si="86"/>
        <v>43</v>
      </c>
      <c r="AJ75" s="22"/>
      <c r="AK75" s="22" t="s">
        <v>325</v>
      </c>
      <c r="AL75" s="22"/>
      <c r="AM75" s="22" t="str">
        <f t="shared" ref="AM75" si="87">_xlfn.CONCAT(N75&amp;V75&amp;Z75&amp;AE75&amp;AF75&amp;AG75&amp;AE75&amp;AI75&amp;AK75)</f>
        <v xml:space="preserve"> Workbooks("Ukraine_sponsorship_data_14.ods").Worksheets("Wales").Range("E13:E43").Copy _</v>
      </c>
      <c r="AO75" t="s">
        <v>676</v>
      </c>
    </row>
    <row r="76" spans="2:41" x14ac:dyDescent="0.25">
      <c r="B76" s="22" t="s">
        <v>808</v>
      </c>
      <c r="C76" s="22"/>
      <c r="D76" s="22"/>
      <c r="E76" s="22"/>
      <c r="F76" s="22"/>
      <c r="G76" s="22"/>
      <c r="H76" s="22"/>
      <c r="I76" s="22"/>
      <c r="J76" s="22"/>
      <c r="K76" s="22"/>
      <c r="L76" s="22"/>
      <c r="M76" s="22"/>
      <c r="N76" s="22" t="s">
        <v>809</v>
      </c>
      <c r="O76" s="22"/>
      <c r="P76" s="22"/>
      <c r="Q76" s="22"/>
      <c r="R76" s="22"/>
      <c r="S76" s="22"/>
      <c r="T76" s="22"/>
      <c r="U76" s="22"/>
      <c r="V76" s="22"/>
      <c r="W76" s="22" t="str">
        <f t="shared" si="72"/>
        <v>B</v>
      </c>
      <c r="X76" s="22" t="str">
        <f t="shared" si="73"/>
        <v>E</v>
      </c>
      <c r="Y76" s="23">
        <f t="shared" ref="Y76" si="88">Y71</f>
        <v>225</v>
      </c>
      <c r="Z76" s="22" t="s">
        <v>324</v>
      </c>
      <c r="AA76" s="22"/>
      <c r="AB76" s="22"/>
      <c r="AC76" s="22"/>
      <c r="AD76" s="22"/>
      <c r="AE76" s="22"/>
      <c r="AF76" s="22"/>
      <c r="AG76" s="22"/>
      <c r="AH76" s="22"/>
      <c r="AI76" s="22"/>
      <c r="AJ76" s="22"/>
      <c r="AK76" s="22"/>
      <c r="AL76" s="22"/>
      <c r="AM76" s="22" t="str">
        <f t="shared" ref="AM76" si="89">_xlfn.CONCAT(N76&amp;W76&amp;X76&amp;Y76&amp;Z76)</f>
        <v>Workbooks("HFU Forecast UTLA 1.0.xlsm").Worksheets("Combined data").Range("BE225")</v>
      </c>
      <c r="AO76" t="s">
        <v>1088</v>
      </c>
    </row>
    <row r="77" spans="2:41" x14ac:dyDescent="0.25">
      <c r="B77" s="22" t="s">
        <v>339</v>
      </c>
      <c r="C77" s="22"/>
      <c r="D77" s="22"/>
      <c r="E77" s="22"/>
      <c r="F77" s="22"/>
      <c r="G77" s="22"/>
      <c r="H77" s="22"/>
      <c r="I77" s="22"/>
      <c r="J77" s="22"/>
      <c r="K77" s="22"/>
      <c r="L77" s="22"/>
      <c r="M77" s="22"/>
      <c r="N77" s="22"/>
      <c r="O77" s="22"/>
      <c r="P77" s="22"/>
      <c r="Q77" s="22"/>
      <c r="R77" s="22"/>
      <c r="S77" s="22"/>
      <c r="T77" s="22"/>
      <c r="U77" s="22"/>
      <c r="V77" s="22"/>
      <c r="W77" s="22"/>
      <c r="X77" s="22"/>
      <c r="Y77" s="23"/>
      <c r="Z77" s="22"/>
      <c r="AA77" s="22"/>
      <c r="AB77" s="22"/>
      <c r="AC77" s="22"/>
      <c r="AD77" s="22"/>
      <c r="AE77" s="22"/>
      <c r="AF77" s="22"/>
      <c r="AG77" s="22"/>
      <c r="AH77" s="22"/>
      <c r="AI77" s="22"/>
      <c r="AJ77" s="22"/>
      <c r="AK77" s="22"/>
      <c r="AL77" s="22"/>
      <c r="AM77" s="22" t="str">
        <f t="shared" ref="AM77" si="90">B77</f>
        <v>ActiveWorkbook.Close SaveChanges:=False</v>
      </c>
      <c r="AO77" t="s">
        <v>339</v>
      </c>
    </row>
    <row r="79" spans="2:41" x14ac:dyDescent="0.25">
      <c r="B79" s="19" t="s">
        <v>316</v>
      </c>
      <c r="C79" s="19"/>
      <c r="D79" s="19"/>
      <c r="E79" s="19"/>
      <c r="F79" s="19"/>
      <c r="G79" s="19"/>
      <c r="H79" s="19"/>
      <c r="I79" s="19"/>
      <c r="J79" s="19"/>
      <c r="K79" s="19"/>
      <c r="L79" s="19"/>
      <c r="M79" s="19"/>
      <c r="N79" s="19" t="s">
        <v>321</v>
      </c>
      <c r="O79" s="19"/>
      <c r="P79" s="19"/>
      <c r="Q79" s="19"/>
      <c r="R79" s="19"/>
      <c r="S79" s="19"/>
      <c r="T79" s="19"/>
      <c r="U79" s="19"/>
      <c r="V79" s="19">
        <f t="shared" si="43"/>
        <v>15</v>
      </c>
      <c r="W79" s="19"/>
      <c r="X79" s="19"/>
      <c r="Y79" s="21"/>
      <c r="Z79" s="19" t="s">
        <v>322</v>
      </c>
      <c r="AA79" s="19"/>
      <c r="AB79" s="19"/>
      <c r="AC79" s="19"/>
      <c r="AD79" s="19"/>
      <c r="AE79" s="19"/>
      <c r="AF79" s="19"/>
      <c r="AG79" s="19"/>
      <c r="AH79" s="19"/>
      <c r="AI79" s="19"/>
      <c r="AJ79" s="19"/>
      <c r="AK79" s="19"/>
      <c r="AL79" s="19"/>
      <c r="AM79" s="19" t="str">
        <f t="shared" ref="AM79" si="91">+_xlfn.CONCAT(N79&amp;V79&amp;Z79)</f>
        <v xml:space="preserve"> Workbooks.Open "A:\Homes for Ukraine data\Ukraine_sponsorship_data_15.ods"</v>
      </c>
      <c r="AO79" t="s">
        <v>351</v>
      </c>
    </row>
    <row r="80" spans="2:41" x14ac:dyDescent="0.25">
      <c r="B80" s="19" t="s">
        <v>453</v>
      </c>
      <c r="C80" s="19"/>
      <c r="D80" s="19"/>
      <c r="E80" s="19"/>
      <c r="F80" s="19"/>
      <c r="G80" s="19"/>
      <c r="H80" s="19"/>
      <c r="I80" s="19"/>
      <c r="J80" s="19"/>
      <c r="K80" s="19"/>
      <c r="L80" s="19"/>
      <c r="M80" s="19"/>
      <c r="N80" s="19" t="s">
        <v>323</v>
      </c>
      <c r="O80" s="19"/>
      <c r="P80" s="19"/>
      <c r="Q80" s="19"/>
      <c r="R80" s="19"/>
      <c r="S80" s="19"/>
      <c r="T80" s="19"/>
      <c r="U80" s="19"/>
      <c r="V80" s="19">
        <f t="shared" si="43"/>
        <v>15</v>
      </c>
      <c r="W80" s="19"/>
      <c r="X80" s="19"/>
      <c r="Y80" s="21"/>
      <c r="Z80" s="19" t="s">
        <v>452</v>
      </c>
      <c r="AA80" s="19"/>
      <c r="AB80" s="19"/>
      <c r="AC80" s="19"/>
      <c r="AD80" s="19"/>
      <c r="AE80" s="19" t="str">
        <f t="shared" ref="AE80:AF80" si="92">AE75</f>
        <v>E</v>
      </c>
      <c r="AF80" s="19">
        <f t="shared" si="92"/>
        <v>13</v>
      </c>
      <c r="AG80" s="19" t="s">
        <v>327</v>
      </c>
      <c r="AH80" s="19" t="str">
        <f t="shared" ref="AH80:AI80" si="93">AH75</f>
        <v>E</v>
      </c>
      <c r="AI80" s="19">
        <f t="shared" si="93"/>
        <v>43</v>
      </c>
      <c r="AJ80" s="19"/>
      <c r="AK80" s="19" t="s">
        <v>325</v>
      </c>
      <c r="AL80" s="19"/>
      <c r="AM80" s="19" t="str">
        <f t="shared" ref="AM80" si="94">_xlfn.CONCAT(N80&amp;V80&amp;Z80&amp;AE80&amp;AF80&amp;AG80&amp;AE80&amp;AI80&amp;AK80)</f>
        <v xml:space="preserve"> Workbooks("Ukraine_sponsorship_data_15.ods").Worksheets("Wales").Range("E13:E43").Copy _</v>
      </c>
      <c r="AO80" t="s">
        <v>677</v>
      </c>
    </row>
    <row r="81" spans="2:41" x14ac:dyDescent="0.25">
      <c r="B81" s="19" t="s">
        <v>808</v>
      </c>
      <c r="C81" s="19"/>
      <c r="D81" s="19"/>
      <c r="E81" s="19"/>
      <c r="F81" s="19"/>
      <c r="G81" s="19"/>
      <c r="H81" s="19"/>
      <c r="I81" s="19"/>
      <c r="J81" s="19"/>
      <c r="K81" s="19"/>
      <c r="L81" s="19"/>
      <c r="M81" s="19"/>
      <c r="N81" s="19" t="s">
        <v>809</v>
      </c>
      <c r="O81" s="19"/>
      <c r="P81" s="19"/>
      <c r="Q81" s="19"/>
      <c r="R81" s="19"/>
      <c r="S81" s="19"/>
      <c r="T81" s="19"/>
      <c r="U81" s="19"/>
      <c r="V81" s="19"/>
      <c r="W81" s="19" t="str">
        <f t="shared" si="48"/>
        <v>B</v>
      </c>
      <c r="X81" s="19" t="str">
        <f t="shared" si="49"/>
        <v>F</v>
      </c>
      <c r="Y81" s="21">
        <f t="shared" ref="Y81" si="95">Y76</f>
        <v>225</v>
      </c>
      <c r="Z81" s="19" t="s">
        <v>324</v>
      </c>
      <c r="AA81" s="19"/>
      <c r="AB81" s="19"/>
      <c r="AC81" s="19"/>
      <c r="AD81" s="19"/>
      <c r="AE81" s="19"/>
      <c r="AF81" s="19"/>
      <c r="AG81" s="19"/>
      <c r="AH81" s="19"/>
      <c r="AI81" s="19"/>
      <c r="AJ81" s="19"/>
      <c r="AK81" s="19"/>
      <c r="AL81" s="19"/>
      <c r="AM81" s="19" t="str">
        <f t="shared" ref="AM81" si="96">_xlfn.CONCAT(N81&amp;W81&amp;X81&amp;Y81&amp;Z81)</f>
        <v>Workbooks("HFU Forecast UTLA 1.0.xlsm").Worksheets("Combined data").Range("BF225")</v>
      </c>
      <c r="AO81" t="s">
        <v>1089</v>
      </c>
    </row>
    <row r="82" spans="2:41" x14ac:dyDescent="0.25">
      <c r="B82" s="19" t="s">
        <v>339</v>
      </c>
      <c r="C82" s="19"/>
      <c r="D82" s="19"/>
      <c r="E82" s="19"/>
      <c r="F82" s="19"/>
      <c r="G82" s="19"/>
      <c r="H82" s="19"/>
      <c r="I82" s="19"/>
      <c r="J82" s="19"/>
      <c r="K82" s="19"/>
      <c r="L82" s="19"/>
      <c r="M82" s="19"/>
      <c r="N82" s="19"/>
      <c r="O82" s="19"/>
      <c r="P82" s="19"/>
      <c r="Q82" s="19"/>
      <c r="R82" s="19"/>
      <c r="S82" s="19"/>
      <c r="T82" s="19"/>
      <c r="U82" s="19"/>
      <c r="V82" s="19"/>
      <c r="W82" s="19"/>
      <c r="X82" s="19"/>
      <c r="Y82" s="21"/>
      <c r="Z82" s="19"/>
      <c r="AA82" s="19"/>
      <c r="AB82" s="19"/>
      <c r="AC82" s="19"/>
      <c r="AD82" s="19"/>
      <c r="AE82" s="19"/>
      <c r="AF82" s="19"/>
      <c r="AG82" s="19"/>
      <c r="AH82" s="19"/>
      <c r="AI82" s="19"/>
      <c r="AJ82" s="19"/>
      <c r="AK82" s="19"/>
      <c r="AL82" s="19"/>
      <c r="AM82" s="19" t="str">
        <f t="shared" ref="AM82" si="97">B82</f>
        <v>ActiveWorkbook.Close SaveChanges:=False</v>
      </c>
      <c r="AO82" t="s">
        <v>339</v>
      </c>
    </row>
    <row r="84" spans="2:41" x14ac:dyDescent="0.25">
      <c r="B84" s="22" t="s">
        <v>316</v>
      </c>
      <c r="C84" s="22"/>
      <c r="D84" s="22"/>
      <c r="E84" s="22"/>
      <c r="F84" s="22"/>
      <c r="G84" s="22"/>
      <c r="H84" s="22"/>
      <c r="I84" s="22"/>
      <c r="J84" s="22"/>
      <c r="K84" s="22"/>
      <c r="L84" s="22"/>
      <c r="M84" s="22"/>
      <c r="N84" s="22" t="s">
        <v>321</v>
      </c>
      <c r="O84" s="22"/>
      <c r="P84" s="22"/>
      <c r="Q84" s="22"/>
      <c r="R84" s="22"/>
      <c r="S84" s="22"/>
      <c r="T84" s="22"/>
      <c r="U84" s="22"/>
      <c r="V84" s="22">
        <f t="shared" si="53"/>
        <v>16</v>
      </c>
      <c r="W84" s="22"/>
      <c r="X84" s="22"/>
      <c r="Y84" s="23"/>
      <c r="Z84" s="22" t="s">
        <v>322</v>
      </c>
      <c r="AA84" s="22"/>
      <c r="AB84" s="22"/>
      <c r="AC84" s="22"/>
      <c r="AD84" s="22"/>
      <c r="AE84" s="22"/>
      <c r="AF84" s="22"/>
      <c r="AG84" s="22"/>
      <c r="AH84" s="22"/>
      <c r="AI84" s="22"/>
      <c r="AJ84" s="22"/>
      <c r="AK84" s="22"/>
      <c r="AL84" s="22"/>
      <c r="AM84" s="22" t="str">
        <f t="shared" ref="AM84" si="98">+_xlfn.CONCAT(N84&amp;V84&amp;Z84)</f>
        <v xml:space="preserve"> Workbooks.Open "A:\Homes for Ukraine data\Ukraine_sponsorship_data_16.ods"</v>
      </c>
      <c r="AO84" t="s">
        <v>352</v>
      </c>
    </row>
    <row r="85" spans="2:41" x14ac:dyDescent="0.25">
      <c r="B85" s="22" t="s">
        <v>453</v>
      </c>
      <c r="C85" s="22"/>
      <c r="D85" s="22"/>
      <c r="E85" s="22"/>
      <c r="F85" s="22"/>
      <c r="G85" s="22"/>
      <c r="H85" s="22"/>
      <c r="I85" s="22"/>
      <c r="J85" s="22"/>
      <c r="K85" s="22"/>
      <c r="L85" s="22"/>
      <c r="M85" s="22"/>
      <c r="N85" s="22" t="s">
        <v>323</v>
      </c>
      <c r="O85" s="22"/>
      <c r="P85" s="22"/>
      <c r="Q85" s="22"/>
      <c r="R85" s="22"/>
      <c r="S85" s="22"/>
      <c r="T85" s="22"/>
      <c r="U85" s="22"/>
      <c r="V85" s="22">
        <f t="shared" si="53"/>
        <v>16</v>
      </c>
      <c r="W85" s="22"/>
      <c r="X85" s="22"/>
      <c r="Y85" s="23"/>
      <c r="Z85" s="22" t="s">
        <v>452</v>
      </c>
      <c r="AA85" s="22"/>
      <c r="AB85" s="22"/>
      <c r="AC85" s="22"/>
      <c r="AD85" s="22"/>
      <c r="AE85" s="22" t="str">
        <f t="shared" ref="AE85:AF85" si="99">AE80</f>
        <v>E</v>
      </c>
      <c r="AF85" s="22">
        <f t="shared" si="99"/>
        <v>13</v>
      </c>
      <c r="AG85" s="22" t="s">
        <v>327</v>
      </c>
      <c r="AH85" s="22" t="str">
        <f t="shared" ref="AH85:AI85" si="100">AH80</f>
        <v>E</v>
      </c>
      <c r="AI85" s="22">
        <f t="shared" si="100"/>
        <v>43</v>
      </c>
      <c r="AJ85" s="22"/>
      <c r="AK85" s="22" t="s">
        <v>325</v>
      </c>
      <c r="AL85" s="22"/>
      <c r="AM85" s="22" t="str">
        <f t="shared" ref="AM85" si="101">_xlfn.CONCAT(N85&amp;V85&amp;Z85&amp;AE85&amp;AF85&amp;AG85&amp;AE85&amp;AI85&amp;AK85)</f>
        <v xml:space="preserve"> Workbooks("Ukraine_sponsorship_data_16.ods").Worksheets("Wales").Range("E13:E43").Copy _</v>
      </c>
      <c r="AO85" t="s">
        <v>678</v>
      </c>
    </row>
    <row r="86" spans="2:41" x14ac:dyDescent="0.25">
      <c r="B86" s="22" t="s">
        <v>808</v>
      </c>
      <c r="C86" s="22"/>
      <c r="D86" s="22"/>
      <c r="E86" s="22"/>
      <c r="F86" s="22"/>
      <c r="G86" s="22"/>
      <c r="H86" s="22"/>
      <c r="I86" s="22"/>
      <c r="J86" s="22"/>
      <c r="K86" s="22"/>
      <c r="L86" s="22"/>
      <c r="M86" s="22"/>
      <c r="N86" s="22" t="s">
        <v>809</v>
      </c>
      <c r="O86" s="22"/>
      <c r="P86" s="22"/>
      <c r="Q86" s="22"/>
      <c r="R86" s="22"/>
      <c r="S86" s="22"/>
      <c r="T86" s="22"/>
      <c r="U86" s="22"/>
      <c r="V86" s="22"/>
      <c r="W86" s="22" t="str">
        <f t="shared" si="72"/>
        <v>B</v>
      </c>
      <c r="X86" s="22" t="str">
        <f t="shared" si="73"/>
        <v>G</v>
      </c>
      <c r="Y86" s="23">
        <f t="shared" ref="Y86" si="102">Y81</f>
        <v>225</v>
      </c>
      <c r="Z86" s="22" t="s">
        <v>324</v>
      </c>
      <c r="AA86" s="22"/>
      <c r="AB86" s="22"/>
      <c r="AC86" s="22"/>
      <c r="AD86" s="22"/>
      <c r="AE86" s="22"/>
      <c r="AF86" s="22"/>
      <c r="AG86" s="22"/>
      <c r="AH86" s="22"/>
      <c r="AI86" s="22"/>
      <c r="AJ86" s="22"/>
      <c r="AK86" s="22"/>
      <c r="AL86" s="22"/>
      <c r="AM86" s="22" t="str">
        <f t="shared" ref="AM86" si="103">_xlfn.CONCAT(N86&amp;W86&amp;X86&amp;Y86&amp;Z86)</f>
        <v>Workbooks("HFU Forecast UTLA 1.0.xlsm").Worksheets("Combined data").Range("BG225")</v>
      </c>
      <c r="AO86" t="s">
        <v>1090</v>
      </c>
    </row>
    <row r="87" spans="2:41" x14ac:dyDescent="0.25">
      <c r="B87" s="22" t="s">
        <v>339</v>
      </c>
      <c r="C87" s="22"/>
      <c r="D87" s="22"/>
      <c r="E87" s="22"/>
      <c r="F87" s="22"/>
      <c r="G87" s="22"/>
      <c r="H87" s="22"/>
      <c r="I87" s="22"/>
      <c r="J87" s="22"/>
      <c r="K87" s="22"/>
      <c r="L87" s="22"/>
      <c r="M87" s="22"/>
      <c r="N87" s="22"/>
      <c r="O87" s="22"/>
      <c r="P87" s="22"/>
      <c r="Q87" s="22"/>
      <c r="R87" s="22"/>
      <c r="S87" s="22"/>
      <c r="T87" s="22"/>
      <c r="U87" s="22"/>
      <c r="V87" s="22"/>
      <c r="W87" s="22"/>
      <c r="X87" s="22"/>
      <c r="Y87" s="23"/>
      <c r="Z87" s="22"/>
      <c r="AA87" s="22"/>
      <c r="AB87" s="22"/>
      <c r="AC87" s="22"/>
      <c r="AD87" s="22"/>
      <c r="AE87" s="22"/>
      <c r="AF87" s="22"/>
      <c r="AG87" s="22"/>
      <c r="AH87" s="22"/>
      <c r="AI87" s="22"/>
      <c r="AJ87" s="22"/>
      <c r="AK87" s="22"/>
      <c r="AL87" s="22"/>
      <c r="AM87" s="22" t="str">
        <f t="shared" ref="AM87" si="104">B87</f>
        <v>ActiveWorkbook.Close SaveChanges:=False</v>
      </c>
      <c r="AO87" t="s">
        <v>339</v>
      </c>
    </row>
    <row r="89" spans="2:41" x14ac:dyDescent="0.25">
      <c r="B89" s="19" t="s">
        <v>316</v>
      </c>
      <c r="C89" s="19"/>
      <c r="D89" s="19"/>
      <c r="E89" s="19"/>
      <c r="F89" s="19"/>
      <c r="G89" s="19"/>
      <c r="H89" s="19"/>
      <c r="I89" s="19"/>
      <c r="J89" s="19"/>
      <c r="K89" s="19"/>
      <c r="L89" s="19"/>
      <c r="M89" s="19"/>
      <c r="N89" s="19" t="s">
        <v>321</v>
      </c>
      <c r="O89" s="19"/>
      <c r="P89" s="19"/>
      <c r="Q89" s="19"/>
      <c r="R89" s="19"/>
      <c r="S89" s="19"/>
      <c r="T89" s="19"/>
      <c r="U89" s="19"/>
      <c r="V89" s="19">
        <f t="shared" si="43"/>
        <v>17</v>
      </c>
      <c r="W89" s="19"/>
      <c r="X89" s="19"/>
      <c r="Y89" s="21"/>
      <c r="Z89" s="19" t="s">
        <v>322</v>
      </c>
      <c r="AA89" s="19"/>
      <c r="AB89" s="19"/>
      <c r="AC89" s="19"/>
      <c r="AD89" s="19"/>
      <c r="AE89" s="19"/>
      <c r="AF89" s="19"/>
      <c r="AG89" s="19"/>
      <c r="AH89" s="19"/>
      <c r="AI89" s="19"/>
      <c r="AJ89" s="19"/>
      <c r="AK89" s="19"/>
      <c r="AL89" s="19"/>
      <c r="AM89" s="19" t="str">
        <f t="shared" ref="AM89" si="105">+_xlfn.CONCAT(N89&amp;V89&amp;Z89)</f>
        <v xml:space="preserve"> Workbooks.Open "A:\Homes for Ukraine data\Ukraine_sponsorship_data_17.ods"</v>
      </c>
      <c r="AO89" t="s">
        <v>353</v>
      </c>
    </row>
    <row r="90" spans="2:41" x14ac:dyDescent="0.25">
      <c r="B90" s="19" t="s">
        <v>453</v>
      </c>
      <c r="C90" s="19"/>
      <c r="D90" s="19"/>
      <c r="E90" s="19"/>
      <c r="F90" s="19"/>
      <c r="G90" s="19"/>
      <c r="H90" s="19"/>
      <c r="I90" s="19"/>
      <c r="J90" s="19"/>
      <c r="K90" s="19"/>
      <c r="L90" s="19"/>
      <c r="M90" s="19"/>
      <c r="N90" s="19" t="s">
        <v>323</v>
      </c>
      <c r="O90" s="19"/>
      <c r="P90" s="19"/>
      <c r="Q90" s="19"/>
      <c r="R90" s="19"/>
      <c r="S90" s="19"/>
      <c r="T90" s="19"/>
      <c r="U90" s="19"/>
      <c r="V90" s="19">
        <f t="shared" si="43"/>
        <v>17</v>
      </c>
      <c r="W90" s="19"/>
      <c r="X90" s="19"/>
      <c r="Y90" s="21"/>
      <c r="Z90" s="19" t="s">
        <v>452</v>
      </c>
      <c r="AA90" s="19"/>
      <c r="AB90" s="19"/>
      <c r="AC90" s="19"/>
      <c r="AD90" s="19"/>
      <c r="AE90" s="19" t="str">
        <f t="shared" ref="AE90:AF90" si="106">AE85</f>
        <v>E</v>
      </c>
      <c r="AF90" s="19">
        <f t="shared" si="106"/>
        <v>13</v>
      </c>
      <c r="AG90" s="19" t="s">
        <v>327</v>
      </c>
      <c r="AH90" s="19" t="str">
        <f t="shared" ref="AH90:AI90" si="107">AH85</f>
        <v>E</v>
      </c>
      <c r="AI90" s="19">
        <f t="shared" si="107"/>
        <v>43</v>
      </c>
      <c r="AJ90" s="19"/>
      <c r="AK90" s="19" t="s">
        <v>325</v>
      </c>
      <c r="AL90" s="19"/>
      <c r="AM90" s="19" t="str">
        <f t="shared" ref="AM90" si="108">_xlfn.CONCAT(N90&amp;V90&amp;Z90&amp;AE90&amp;AF90&amp;AG90&amp;AE90&amp;AI90&amp;AK90)</f>
        <v xml:space="preserve"> Workbooks("Ukraine_sponsorship_data_17.ods").Worksheets("Wales").Range("E13:E43").Copy _</v>
      </c>
      <c r="AO90" t="s">
        <v>679</v>
      </c>
    </row>
    <row r="91" spans="2:41" x14ac:dyDescent="0.25">
      <c r="B91" s="19" t="s">
        <v>808</v>
      </c>
      <c r="C91" s="19"/>
      <c r="D91" s="19"/>
      <c r="E91" s="19"/>
      <c r="F91" s="19"/>
      <c r="G91" s="19"/>
      <c r="H91" s="19"/>
      <c r="I91" s="19"/>
      <c r="J91" s="19"/>
      <c r="K91" s="19"/>
      <c r="L91" s="19"/>
      <c r="M91" s="19"/>
      <c r="N91" s="19" t="s">
        <v>809</v>
      </c>
      <c r="O91" s="19"/>
      <c r="P91" s="19"/>
      <c r="Q91" s="19"/>
      <c r="R91" s="19"/>
      <c r="S91" s="19"/>
      <c r="T91" s="19"/>
      <c r="U91" s="19"/>
      <c r="V91" s="19"/>
      <c r="W91" s="19" t="str">
        <f t="shared" si="48"/>
        <v>B</v>
      </c>
      <c r="X91" s="19" t="str">
        <f t="shared" si="49"/>
        <v>H</v>
      </c>
      <c r="Y91" s="21">
        <f t="shared" ref="Y91" si="109">Y86</f>
        <v>225</v>
      </c>
      <c r="Z91" s="19" t="s">
        <v>324</v>
      </c>
      <c r="AA91" s="19"/>
      <c r="AB91" s="19"/>
      <c r="AC91" s="19"/>
      <c r="AD91" s="19"/>
      <c r="AE91" s="19"/>
      <c r="AF91" s="19"/>
      <c r="AG91" s="19"/>
      <c r="AH91" s="19"/>
      <c r="AI91" s="19"/>
      <c r="AJ91" s="19"/>
      <c r="AK91" s="19"/>
      <c r="AL91" s="19"/>
      <c r="AM91" s="19" t="str">
        <f t="shared" ref="AM91" si="110">_xlfn.CONCAT(N91&amp;W91&amp;X91&amp;Y91&amp;Z91)</f>
        <v>Workbooks("HFU Forecast UTLA 1.0.xlsm").Worksheets("Combined data").Range("BH225")</v>
      </c>
      <c r="AO91" t="s">
        <v>1091</v>
      </c>
    </row>
    <row r="92" spans="2:41" x14ac:dyDescent="0.25">
      <c r="B92" s="19" t="s">
        <v>339</v>
      </c>
      <c r="C92" s="19"/>
      <c r="D92" s="19"/>
      <c r="E92" s="19"/>
      <c r="F92" s="19"/>
      <c r="G92" s="19"/>
      <c r="H92" s="19"/>
      <c r="I92" s="19"/>
      <c r="J92" s="19"/>
      <c r="K92" s="19"/>
      <c r="L92" s="19"/>
      <c r="M92" s="19"/>
      <c r="N92" s="19"/>
      <c r="O92" s="19"/>
      <c r="P92" s="19"/>
      <c r="Q92" s="19"/>
      <c r="R92" s="19"/>
      <c r="S92" s="19"/>
      <c r="T92" s="19"/>
      <c r="U92" s="19"/>
      <c r="V92" s="19"/>
      <c r="W92" s="19"/>
      <c r="X92" s="19"/>
      <c r="Y92" s="21"/>
      <c r="Z92" s="19"/>
      <c r="AA92" s="19"/>
      <c r="AB92" s="19"/>
      <c r="AC92" s="19"/>
      <c r="AD92" s="19"/>
      <c r="AE92" s="19"/>
      <c r="AF92" s="19"/>
      <c r="AG92" s="19"/>
      <c r="AH92" s="19"/>
      <c r="AI92" s="19"/>
      <c r="AJ92" s="19"/>
      <c r="AK92" s="19"/>
      <c r="AL92" s="19"/>
      <c r="AM92" s="19" t="str">
        <f t="shared" ref="AM92" si="111">B92</f>
        <v>ActiveWorkbook.Close SaveChanges:=False</v>
      </c>
      <c r="AO92" t="s">
        <v>339</v>
      </c>
    </row>
    <row r="94" spans="2:41" x14ac:dyDescent="0.25">
      <c r="B94" s="22" t="s">
        <v>316</v>
      </c>
      <c r="C94" s="22"/>
      <c r="D94" s="22"/>
      <c r="E94" s="22"/>
      <c r="F94" s="22"/>
      <c r="G94" s="22"/>
      <c r="H94" s="22"/>
      <c r="I94" s="22"/>
      <c r="J94" s="22"/>
      <c r="K94" s="22"/>
      <c r="L94" s="22"/>
      <c r="M94" s="22"/>
      <c r="N94" s="22" t="s">
        <v>321</v>
      </c>
      <c r="O94" s="22"/>
      <c r="P94" s="22"/>
      <c r="Q94" s="22"/>
      <c r="R94" s="22"/>
      <c r="S94" s="22"/>
      <c r="T94" s="22"/>
      <c r="U94" s="22"/>
      <c r="V94" s="22">
        <f t="shared" si="53"/>
        <v>18</v>
      </c>
      <c r="W94" s="22"/>
      <c r="X94" s="22"/>
      <c r="Y94" s="23"/>
      <c r="Z94" s="22" t="s">
        <v>322</v>
      </c>
      <c r="AA94" s="22"/>
      <c r="AB94" s="22"/>
      <c r="AC94" s="22"/>
      <c r="AD94" s="22"/>
      <c r="AE94" s="22"/>
      <c r="AF94" s="22"/>
      <c r="AG94" s="22"/>
      <c r="AH94" s="22"/>
      <c r="AI94" s="22"/>
      <c r="AJ94" s="22"/>
      <c r="AK94" s="22"/>
      <c r="AL94" s="22"/>
      <c r="AM94" s="22" t="str">
        <f t="shared" ref="AM94" si="112">+_xlfn.CONCAT(N94&amp;V94&amp;Z94)</f>
        <v xml:space="preserve"> Workbooks.Open "A:\Homes for Ukraine data\Ukraine_sponsorship_data_18.ods"</v>
      </c>
      <c r="AO94" t="s">
        <v>354</v>
      </c>
    </row>
    <row r="95" spans="2:41" x14ac:dyDescent="0.25">
      <c r="B95" s="22" t="s">
        <v>453</v>
      </c>
      <c r="C95" s="22"/>
      <c r="D95" s="22"/>
      <c r="E95" s="22"/>
      <c r="F95" s="22"/>
      <c r="G95" s="22"/>
      <c r="H95" s="22"/>
      <c r="I95" s="22"/>
      <c r="J95" s="22"/>
      <c r="K95" s="22"/>
      <c r="L95" s="22"/>
      <c r="M95" s="22"/>
      <c r="N95" s="22" t="s">
        <v>323</v>
      </c>
      <c r="O95" s="22"/>
      <c r="P95" s="22"/>
      <c r="Q95" s="22"/>
      <c r="R95" s="22"/>
      <c r="S95" s="22"/>
      <c r="T95" s="22"/>
      <c r="U95" s="22"/>
      <c r="V95" s="22">
        <f t="shared" si="53"/>
        <v>18</v>
      </c>
      <c r="W95" s="22"/>
      <c r="X95" s="22"/>
      <c r="Y95" s="23"/>
      <c r="Z95" s="22" t="s">
        <v>452</v>
      </c>
      <c r="AA95" s="22"/>
      <c r="AB95" s="22"/>
      <c r="AC95" s="22"/>
      <c r="AD95" s="22"/>
      <c r="AE95" s="22" t="str">
        <f t="shared" ref="AE95:AF95" si="113">AE90</f>
        <v>E</v>
      </c>
      <c r="AF95" s="22">
        <f t="shared" si="113"/>
        <v>13</v>
      </c>
      <c r="AG95" s="22" t="s">
        <v>327</v>
      </c>
      <c r="AH95" s="22" t="str">
        <f t="shared" ref="AH95:AI95" si="114">AH90</f>
        <v>E</v>
      </c>
      <c r="AI95" s="22">
        <f t="shared" si="114"/>
        <v>43</v>
      </c>
      <c r="AJ95" s="22"/>
      <c r="AK95" s="22" t="s">
        <v>325</v>
      </c>
      <c r="AL95" s="22"/>
      <c r="AM95" s="22" t="str">
        <f t="shared" ref="AM95" si="115">_xlfn.CONCAT(N95&amp;V95&amp;Z95&amp;AE95&amp;AF95&amp;AG95&amp;AE95&amp;AI95&amp;AK95)</f>
        <v xml:space="preserve"> Workbooks("Ukraine_sponsorship_data_18.ods").Worksheets("Wales").Range("E13:E43").Copy _</v>
      </c>
      <c r="AO95" t="s">
        <v>680</v>
      </c>
    </row>
    <row r="96" spans="2:41" x14ac:dyDescent="0.25">
      <c r="B96" s="22" t="s">
        <v>808</v>
      </c>
      <c r="C96" s="22"/>
      <c r="D96" s="22"/>
      <c r="E96" s="22"/>
      <c r="F96" s="22"/>
      <c r="G96" s="22"/>
      <c r="H96" s="22"/>
      <c r="I96" s="22"/>
      <c r="J96" s="22"/>
      <c r="K96" s="22"/>
      <c r="L96" s="22"/>
      <c r="M96" s="22"/>
      <c r="N96" s="22" t="s">
        <v>809</v>
      </c>
      <c r="O96" s="22"/>
      <c r="P96" s="22"/>
      <c r="Q96" s="22"/>
      <c r="R96" s="22"/>
      <c r="S96" s="22"/>
      <c r="T96" s="22"/>
      <c r="U96" s="22"/>
      <c r="V96" s="22"/>
      <c r="W96" s="22" t="str">
        <f t="shared" si="72"/>
        <v>B</v>
      </c>
      <c r="X96" s="22" t="str">
        <f t="shared" si="73"/>
        <v>I</v>
      </c>
      <c r="Y96" s="23">
        <f t="shared" ref="Y96" si="116">Y91</f>
        <v>225</v>
      </c>
      <c r="Z96" s="22" t="s">
        <v>324</v>
      </c>
      <c r="AA96" s="22"/>
      <c r="AB96" s="22"/>
      <c r="AC96" s="22"/>
      <c r="AD96" s="22"/>
      <c r="AE96" s="22"/>
      <c r="AF96" s="22"/>
      <c r="AG96" s="22"/>
      <c r="AH96" s="22"/>
      <c r="AI96" s="22"/>
      <c r="AJ96" s="22"/>
      <c r="AK96" s="22"/>
      <c r="AL96" s="22"/>
      <c r="AM96" s="22" t="str">
        <f t="shared" ref="AM96" si="117">_xlfn.CONCAT(N96&amp;W96&amp;X96&amp;Y96&amp;Z96)</f>
        <v>Workbooks("HFU Forecast UTLA 1.0.xlsm").Worksheets("Combined data").Range("BI225")</v>
      </c>
      <c r="AO96" t="s">
        <v>1092</v>
      </c>
    </row>
    <row r="97" spans="2:41" x14ac:dyDescent="0.25">
      <c r="B97" s="22" t="s">
        <v>339</v>
      </c>
      <c r="C97" s="22"/>
      <c r="D97" s="22"/>
      <c r="E97" s="22"/>
      <c r="F97" s="22"/>
      <c r="G97" s="22"/>
      <c r="H97" s="22"/>
      <c r="I97" s="22"/>
      <c r="J97" s="22"/>
      <c r="K97" s="22"/>
      <c r="L97" s="22"/>
      <c r="M97" s="22"/>
      <c r="N97" s="22"/>
      <c r="O97" s="22"/>
      <c r="P97" s="22"/>
      <c r="Q97" s="22"/>
      <c r="R97" s="22"/>
      <c r="S97" s="22"/>
      <c r="T97" s="22"/>
      <c r="U97" s="22"/>
      <c r="V97" s="22"/>
      <c r="W97" s="22"/>
      <c r="X97" s="22"/>
      <c r="Y97" s="23"/>
      <c r="Z97" s="22"/>
      <c r="AA97" s="22"/>
      <c r="AB97" s="22"/>
      <c r="AC97" s="22"/>
      <c r="AD97" s="22"/>
      <c r="AE97" s="22"/>
      <c r="AF97" s="22"/>
      <c r="AG97" s="22"/>
      <c r="AH97" s="22"/>
      <c r="AI97" s="22"/>
      <c r="AJ97" s="22"/>
      <c r="AK97" s="22"/>
      <c r="AL97" s="22"/>
      <c r="AM97" s="22" t="str">
        <f t="shared" ref="AM97" si="118">B97</f>
        <v>ActiveWorkbook.Close SaveChanges:=False</v>
      </c>
      <c r="AO97" t="s">
        <v>339</v>
      </c>
    </row>
    <row r="99" spans="2:41" x14ac:dyDescent="0.25">
      <c r="B99" s="19" t="s">
        <v>316</v>
      </c>
      <c r="C99" s="19"/>
      <c r="D99" s="19"/>
      <c r="E99" s="19"/>
      <c r="F99" s="19"/>
      <c r="G99" s="19"/>
      <c r="H99" s="19"/>
      <c r="I99" s="19"/>
      <c r="J99" s="19"/>
      <c r="K99" s="19"/>
      <c r="L99" s="19"/>
      <c r="M99" s="19"/>
      <c r="N99" s="19" t="s">
        <v>321</v>
      </c>
      <c r="O99" s="19"/>
      <c r="P99" s="19"/>
      <c r="Q99" s="19"/>
      <c r="R99" s="19"/>
      <c r="S99" s="19"/>
      <c r="T99" s="19"/>
      <c r="U99" s="19"/>
      <c r="V99" s="19">
        <f t="shared" si="43"/>
        <v>19</v>
      </c>
      <c r="W99" s="19"/>
      <c r="X99" s="19"/>
      <c r="Y99" s="21"/>
      <c r="Z99" s="19" t="s">
        <v>322</v>
      </c>
      <c r="AA99" s="19"/>
      <c r="AB99" s="19"/>
      <c r="AC99" s="19"/>
      <c r="AD99" s="19"/>
      <c r="AE99" s="19"/>
      <c r="AF99" s="19"/>
      <c r="AG99" s="19"/>
      <c r="AH99" s="19"/>
      <c r="AI99" s="19"/>
      <c r="AJ99" s="19"/>
      <c r="AK99" s="19"/>
      <c r="AL99" s="19"/>
      <c r="AM99" s="19" t="str">
        <f t="shared" ref="AM99" si="119">+_xlfn.CONCAT(N99&amp;V99&amp;Z99)</f>
        <v xml:space="preserve"> Workbooks.Open "A:\Homes for Ukraine data\Ukraine_sponsorship_data_19.ods"</v>
      </c>
      <c r="AO99" t="s">
        <v>355</v>
      </c>
    </row>
    <row r="100" spans="2:41" x14ac:dyDescent="0.25">
      <c r="B100" s="19" t="s">
        <v>453</v>
      </c>
      <c r="C100" s="19"/>
      <c r="D100" s="19"/>
      <c r="E100" s="19"/>
      <c r="F100" s="19"/>
      <c r="G100" s="19"/>
      <c r="H100" s="19"/>
      <c r="I100" s="19"/>
      <c r="J100" s="19"/>
      <c r="K100" s="19"/>
      <c r="L100" s="19"/>
      <c r="M100" s="19"/>
      <c r="N100" s="19" t="s">
        <v>323</v>
      </c>
      <c r="O100" s="19"/>
      <c r="P100" s="19"/>
      <c r="Q100" s="19"/>
      <c r="R100" s="19"/>
      <c r="S100" s="19"/>
      <c r="T100" s="19"/>
      <c r="U100" s="19"/>
      <c r="V100" s="19">
        <f t="shared" si="43"/>
        <v>19</v>
      </c>
      <c r="W100" s="19"/>
      <c r="X100" s="19"/>
      <c r="Y100" s="21"/>
      <c r="Z100" s="19" t="s">
        <v>452</v>
      </c>
      <c r="AA100" s="19"/>
      <c r="AB100" s="19"/>
      <c r="AC100" s="19"/>
      <c r="AD100" s="19"/>
      <c r="AE100" s="19" t="str">
        <f t="shared" ref="AE100:AF100" si="120">AE95</f>
        <v>E</v>
      </c>
      <c r="AF100" s="19">
        <f t="shared" si="120"/>
        <v>13</v>
      </c>
      <c r="AG100" s="19" t="s">
        <v>327</v>
      </c>
      <c r="AH100" s="19" t="str">
        <f t="shared" ref="AH100:AI100" si="121">AH95</f>
        <v>E</v>
      </c>
      <c r="AI100" s="19">
        <f t="shared" si="121"/>
        <v>43</v>
      </c>
      <c r="AJ100" s="19"/>
      <c r="AK100" s="19" t="s">
        <v>325</v>
      </c>
      <c r="AL100" s="19"/>
      <c r="AM100" s="19" t="str">
        <f t="shared" ref="AM100" si="122">_xlfn.CONCAT(N100&amp;V100&amp;Z100&amp;AE100&amp;AF100&amp;AG100&amp;AE100&amp;AI100&amp;AK100)</f>
        <v xml:space="preserve"> Workbooks("Ukraine_sponsorship_data_19.ods").Worksheets("Wales").Range("E13:E43").Copy _</v>
      </c>
      <c r="AO100" t="s">
        <v>681</v>
      </c>
    </row>
    <row r="101" spans="2:41" x14ac:dyDescent="0.25">
      <c r="B101" s="19" t="s">
        <v>808</v>
      </c>
      <c r="C101" s="19"/>
      <c r="D101" s="19"/>
      <c r="E101" s="19"/>
      <c r="F101" s="19"/>
      <c r="G101" s="19"/>
      <c r="H101" s="19"/>
      <c r="I101" s="19"/>
      <c r="J101" s="19"/>
      <c r="K101" s="19"/>
      <c r="L101" s="19"/>
      <c r="M101" s="19"/>
      <c r="N101" s="19" t="s">
        <v>809</v>
      </c>
      <c r="O101" s="19"/>
      <c r="P101" s="19"/>
      <c r="Q101" s="19"/>
      <c r="R101" s="19"/>
      <c r="S101" s="19"/>
      <c r="T101" s="19"/>
      <c r="U101" s="19"/>
      <c r="V101" s="19"/>
      <c r="W101" s="19" t="str">
        <f t="shared" si="48"/>
        <v>B</v>
      </c>
      <c r="X101" s="19" t="str">
        <f t="shared" si="49"/>
        <v>J</v>
      </c>
      <c r="Y101" s="21">
        <f t="shared" ref="Y101" si="123">Y96</f>
        <v>225</v>
      </c>
      <c r="Z101" s="19" t="s">
        <v>324</v>
      </c>
      <c r="AA101" s="19"/>
      <c r="AB101" s="19"/>
      <c r="AC101" s="19"/>
      <c r="AD101" s="19"/>
      <c r="AE101" s="19"/>
      <c r="AF101" s="19"/>
      <c r="AG101" s="19"/>
      <c r="AH101" s="19"/>
      <c r="AI101" s="19"/>
      <c r="AJ101" s="19"/>
      <c r="AK101" s="19"/>
      <c r="AL101" s="19"/>
      <c r="AM101" s="19" t="str">
        <f t="shared" ref="AM101" si="124">_xlfn.CONCAT(N101&amp;W101&amp;X101&amp;Y101&amp;Z101)</f>
        <v>Workbooks("HFU Forecast UTLA 1.0.xlsm").Worksheets("Combined data").Range("BJ225")</v>
      </c>
      <c r="AO101" t="s">
        <v>1093</v>
      </c>
    </row>
    <row r="102" spans="2:41" x14ac:dyDescent="0.25">
      <c r="B102" s="19" t="s">
        <v>339</v>
      </c>
      <c r="C102" s="19"/>
      <c r="D102" s="19"/>
      <c r="E102" s="19"/>
      <c r="F102" s="19"/>
      <c r="G102" s="19"/>
      <c r="H102" s="19"/>
      <c r="I102" s="19"/>
      <c r="J102" s="19"/>
      <c r="K102" s="19"/>
      <c r="L102" s="19"/>
      <c r="M102" s="19"/>
      <c r="N102" s="19"/>
      <c r="O102" s="19"/>
      <c r="P102" s="19"/>
      <c r="Q102" s="19"/>
      <c r="R102" s="19"/>
      <c r="S102" s="19"/>
      <c r="T102" s="19"/>
      <c r="U102" s="19"/>
      <c r="V102" s="19"/>
      <c r="W102" s="19"/>
      <c r="X102" s="19"/>
      <c r="Y102" s="21"/>
      <c r="Z102" s="19"/>
      <c r="AA102" s="19"/>
      <c r="AB102" s="19"/>
      <c r="AC102" s="19"/>
      <c r="AD102" s="19"/>
      <c r="AE102" s="19"/>
      <c r="AF102" s="19"/>
      <c r="AG102" s="19"/>
      <c r="AH102" s="19"/>
      <c r="AI102" s="19"/>
      <c r="AJ102" s="19"/>
      <c r="AK102" s="19"/>
      <c r="AL102" s="19"/>
      <c r="AM102" s="19" t="str">
        <f t="shared" ref="AM102" si="125">B102</f>
        <v>ActiveWorkbook.Close SaveChanges:=False</v>
      </c>
      <c r="AO102" t="s">
        <v>339</v>
      </c>
    </row>
    <row r="104" spans="2:41" x14ac:dyDescent="0.25">
      <c r="B104" s="22" t="s">
        <v>316</v>
      </c>
      <c r="C104" s="22"/>
      <c r="D104" s="22"/>
      <c r="E104" s="22"/>
      <c r="F104" s="22"/>
      <c r="G104" s="22"/>
      <c r="H104" s="22"/>
      <c r="I104" s="22"/>
      <c r="J104" s="22"/>
      <c r="K104" s="22"/>
      <c r="L104" s="22"/>
      <c r="M104" s="22"/>
      <c r="N104" s="22" t="s">
        <v>321</v>
      </c>
      <c r="O104" s="22"/>
      <c r="P104" s="22"/>
      <c r="Q104" s="22"/>
      <c r="R104" s="22"/>
      <c r="S104" s="22"/>
      <c r="T104" s="22"/>
      <c r="U104" s="22"/>
      <c r="V104" s="22">
        <f t="shared" si="53"/>
        <v>20</v>
      </c>
      <c r="W104" s="22"/>
      <c r="X104" s="22"/>
      <c r="Y104" s="23"/>
      <c r="Z104" s="22" t="s">
        <v>322</v>
      </c>
      <c r="AA104" s="22"/>
      <c r="AB104" s="22"/>
      <c r="AC104" s="22"/>
      <c r="AD104" s="22"/>
      <c r="AE104" s="22"/>
      <c r="AF104" s="22"/>
      <c r="AG104" s="22"/>
      <c r="AH104" s="22"/>
      <c r="AI104" s="22"/>
      <c r="AJ104" s="22"/>
      <c r="AK104" s="22"/>
      <c r="AL104" s="22"/>
      <c r="AM104" s="22" t="str">
        <f t="shared" ref="AM104" si="126">+_xlfn.CONCAT(N104&amp;V104&amp;Z104)</f>
        <v xml:space="preserve"> Workbooks.Open "A:\Homes for Ukraine data\Ukraine_sponsorship_data_20.ods"</v>
      </c>
      <c r="AO104" t="s">
        <v>356</v>
      </c>
    </row>
    <row r="105" spans="2:41" x14ac:dyDescent="0.25">
      <c r="B105" s="22" t="s">
        <v>453</v>
      </c>
      <c r="C105" s="22"/>
      <c r="D105" s="22"/>
      <c r="E105" s="22"/>
      <c r="F105" s="22"/>
      <c r="G105" s="22"/>
      <c r="H105" s="22"/>
      <c r="I105" s="22"/>
      <c r="J105" s="22"/>
      <c r="K105" s="22"/>
      <c r="L105" s="22"/>
      <c r="M105" s="22"/>
      <c r="N105" s="22" t="s">
        <v>323</v>
      </c>
      <c r="O105" s="22"/>
      <c r="P105" s="22"/>
      <c r="Q105" s="22"/>
      <c r="R105" s="22"/>
      <c r="S105" s="22"/>
      <c r="T105" s="22"/>
      <c r="U105" s="22"/>
      <c r="V105" s="22">
        <f t="shared" si="53"/>
        <v>20</v>
      </c>
      <c r="W105" s="22"/>
      <c r="X105" s="22"/>
      <c r="Y105" s="23"/>
      <c r="Z105" s="22" t="s">
        <v>452</v>
      </c>
      <c r="AA105" s="22"/>
      <c r="AB105" s="22"/>
      <c r="AC105" s="22"/>
      <c r="AD105" s="22"/>
      <c r="AE105" s="22" t="str">
        <f t="shared" ref="AE105:AF105" si="127">AE100</f>
        <v>E</v>
      </c>
      <c r="AF105" s="22">
        <f t="shared" si="127"/>
        <v>13</v>
      </c>
      <c r="AG105" s="22" t="s">
        <v>327</v>
      </c>
      <c r="AH105" s="22" t="str">
        <f t="shared" ref="AH105:AI105" si="128">AH100</f>
        <v>E</v>
      </c>
      <c r="AI105" s="22">
        <f t="shared" si="128"/>
        <v>43</v>
      </c>
      <c r="AJ105" s="22"/>
      <c r="AK105" s="22" t="s">
        <v>325</v>
      </c>
      <c r="AL105" s="22"/>
      <c r="AM105" s="22" t="str">
        <f t="shared" ref="AM105" si="129">_xlfn.CONCAT(N105&amp;V105&amp;Z105&amp;AE105&amp;AF105&amp;AG105&amp;AE105&amp;AI105&amp;AK105)</f>
        <v xml:space="preserve"> Workbooks("Ukraine_sponsorship_data_20.ods").Worksheets("Wales").Range("E13:E43").Copy _</v>
      </c>
      <c r="AO105" t="s">
        <v>682</v>
      </c>
    </row>
    <row r="106" spans="2:41" x14ac:dyDescent="0.25">
      <c r="B106" s="22" t="s">
        <v>808</v>
      </c>
      <c r="C106" s="22"/>
      <c r="D106" s="22"/>
      <c r="E106" s="22"/>
      <c r="F106" s="22"/>
      <c r="G106" s="22"/>
      <c r="H106" s="22"/>
      <c r="I106" s="22"/>
      <c r="J106" s="22"/>
      <c r="K106" s="22"/>
      <c r="L106" s="22"/>
      <c r="M106" s="22"/>
      <c r="N106" s="22" t="s">
        <v>809</v>
      </c>
      <c r="O106" s="22"/>
      <c r="P106" s="22"/>
      <c r="Q106" s="22"/>
      <c r="R106" s="22"/>
      <c r="S106" s="22"/>
      <c r="T106" s="22"/>
      <c r="U106" s="22"/>
      <c r="V106" s="22"/>
      <c r="W106" s="22" t="str">
        <f t="shared" si="72"/>
        <v>B</v>
      </c>
      <c r="X106" s="22" t="str">
        <f t="shared" si="73"/>
        <v>K</v>
      </c>
      <c r="Y106" s="23">
        <f t="shared" ref="Y106" si="130">Y101</f>
        <v>225</v>
      </c>
      <c r="Z106" s="22" t="s">
        <v>324</v>
      </c>
      <c r="AA106" s="22"/>
      <c r="AB106" s="22"/>
      <c r="AC106" s="22"/>
      <c r="AD106" s="22"/>
      <c r="AE106" s="22"/>
      <c r="AF106" s="22"/>
      <c r="AG106" s="22"/>
      <c r="AH106" s="22"/>
      <c r="AI106" s="22"/>
      <c r="AJ106" s="22"/>
      <c r="AK106" s="22"/>
      <c r="AL106" s="22"/>
      <c r="AM106" s="22" t="str">
        <f t="shared" ref="AM106" si="131">_xlfn.CONCAT(N106&amp;W106&amp;X106&amp;Y106&amp;Z106)</f>
        <v>Workbooks("HFU Forecast UTLA 1.0.xlsm").Worksheets("Combined data").Range("BK225")</v>
      </c>
      <c r="AO106" t="s">
        <v>1094</v>
      </c>
    </row>
    <row r="107" spans="2:41" x14ac:dyDescent="0.25">
      <c r="B107" s="22" t="s">
        <v>339</v>
      </c>
      <c r="C107" s="22"/>
      <c r="D107" s="22"/>
      <c r="E107" s="22"/>
      <c r="F107" s="22"/>
      <c r="G107" s="22"/>
      <c r="H107" s="22"/>
      <c r="I107" s="22"/>
      <c r="J107" s="22"/>
      <c r="K107" s="22"/>
      <c r="L107" s="22"/>
      <c r="M107" s="22"/>
      <c r="N107" s="22"/>
      <c r="O107" s="22"/>
      <c r="P107" s="22"/>
      <c r="Q107" s="22"/>
      <c r="R107" s="22"/>
      <c r="S107" s="22"/>
      <c r="T107" s="22"/>
      <c r="U107" s="22"/>
      <c r="V107" s="22"/>
      <c r="W107" s="22"/>
      <c r="X107" s="22"/>
      <c r="Y107" s="23"/>
      <c r="Z107" s="22"/>
      <c r="AA107" s="22"/>
      <c r="AB107" s="22"/>
      <c r="AC107" s="22"/>
      <c r="AD107" s="22"/>
      <c r="AE107" s="22"/>
      <c r="AF107" s="22"/>
      <c r="AG107" s="22"/>
      <c r="AH107" s="22"/>
      <c r="AI107" s="22"/>
      <c r="AJ107" s="22"/>
      <c r="AK107" s="22"/>
      <c r="AL107" s="22"/>
      <c r="AM107" s="22" t="str">
        <f t="shared" ref="AM107" si="132">B107</f>
        <v>ActiveWorkbook.Close SaveChanges:=False</v>
      </c>
      <c r="AO107" t="s">
        <v>339</v>
      </c>
    </row>
    <row r="109" spans="2:41" x14ac:dyDescent="0.25">
      <c r="B109" s="19" t="s">
        <v>316</v>
      </c>
      <c r="C109" s="19"/>
      <c r="D109" s="19"/>
      <c r="E109" s="19"/>
      <c r="F109" s="19"/>
      <c r="G109" s="19"/>
      <c r="H109" s="19"/>
      <c r="I109" s="19"/>
      <c r="J109" s="19"/>
      <c r="K109" s="19"/>
      <c r="L109" s="19"/>
      <c r="M109" s="19"/>
      <c r="N109" s="19" t="s">
        <v>321</v>
      </c>
      <c r="O109" s="19"/>
      <c r="P109" s="19"/>
      <c r="Q109" s="19"/>
      <c r="R109" s="19"/>
      <c r="S109" s="19"/>
      <c r="T109" s="19"/>
      <c r="U109" s="19"/>
      <c r="V109" s="19">
        <f t="shared" si="43"/>
        <v>21</v>
      </c>
      <c r="W109" s="19"/>
      <c r="X109" s="19"/>
      <c r="Y109" s="21"/>
      <c r="Z109" s="19" t="s">
        <v>322</v>
      </c>
      <c r="AA109" s="19"/>
      <c r="AB109" s="19"/>
      <c r="AC109" s="19"/>
      <c r="AD109" s="19"/>
      <c r="AE109" s="19"/>
      <c r="AF109" s="19"/>
      <c r="AG109" s="19"/>
      <c r="AH109" s="19"/>
      <c r="AI109" s="19"/>
      <c r="AJ109" s="19"/>
      <c r="AK109" s="19"/>
      <c r="AL109" s="19"/>
      <c r="AM109" s="19" t="str">
        <f t="shared" ref="AM109" si="133">+_xlfn.CONCAT(N109&amp;V109&amp;Z109)</f>
        <v xml:space="preserve"> Workbooks.Open "A:\Homes for Ukraine data\Ukraine_sponsorship_data_21.ods"</v>
      </c>
      <c r="AO109" t="s">
        <v>357</v>
      </c>
    </row>
    <row r="110" spans="2:41" x14ac:dyDescent="0.25">
      <c r="B110" s="19" t="s">
        <v>453</v>
      </c>
      <c r="C110" s="19"/>
      <c r="D110" s="19"/>
      <c r="E110" s="19"/>
      <c r="F110" s="19"/>
      <c r="G110" s="19"/>
      <c r="H110" s="19"/>
      <c r="I110" s="19"/>
      <c r="J110" s="19"/>
      <c r="K110" s="19"/>
      <c r="L110" s="19"/>
      <c r="M110" s="19"/>
      <c r="N110" s="19" t="s">
        <v>323</v>
      </c>
      <c r="O110" s="19"/>
      <c r="P110" s="19"/>
      <c r="Q110" s="19"/>
      <c r="R110" s="19"/>
      <c r="S110" s="19"/>
      <c r="T110" s="19"/>
      <c r="U110" s="19"/>
      <c r="V110" s="19">
        <f t="shared" si="43"/>
        <v>21</v>
      </c>
      <c r="W110" s="19"/>
      <c r="X110" s="19"/>
      <c r="Y110" s="21"/>
      <c r="Z110" s="19" t="s">
        <v>452</v>
      </c>
      <c r="AA110" s="19"/>
      <c r="AB110" s="19"/>
      <c r="AC110" s="19"/>
      <c r="AD110" s="19"/>
      <c r="AE110" s="19" t="str">
        <f t="shared" ref="AE110:AF110" si="134">AE105</f>
        <v>E</v>
      </c>
      <c r="AF110" s="19">
        <f t="shared" si="134"/>
        <v>13</v>
      </c>
      <c r="AG110" s="19" t="s">
        <v>327</v>
      </c>
      <c r="AH110" s="19" t="str">
        <f t="shared" ref="AH110:AI110" si="135">AH105</f>
        <v>E</v>
      </c>
      <c r="AI110" s="19">
        <f t="shared" si="135"/>
        <v>43</v>
      </c>
      <c r="AJ110" s="19"/>
      <c r="AK110" s="19" t="s">
        <v>325</v>
      </c>
      <c r="AL110" s="19"/>
      <c r="AM110" s="19" t="str">
        <f t="shared" ref="AM110" si="136">_xlfn.CONCAT(N110&amp;V110&amp;Z110&amp;AE110&amp;AF110&amp;AG110&amp;AE110&amp;AI110&amp;AK110)</f>
        <v xml:space="preserve"> Workbooks("Ukraine_sponsorship_data_21.ods").Worksheets("Wales").Range("E13:E43").Copy _</v>
      </c>
      <c r="AO110" t="s">
        <v>683</v>
      </c>
    </row>
    <row r="111" spans="2:41" x14ac:dyDescent="0.25">
      <c r="B111" s="19" t="s">
        <v>808</v>
      </c>
      <c r="C111" s="19"/>
      <c r="D111" s="19"/>
      <c r="E111" s="19"/>
      <c r="F111" s="19"/>
      <c r="G111" s="19"/>
      <c r="H111" s="19"/>
      <c r="I111" s="19"/>
      <c r="J111" s="19"/>
      <c r="K111" s="19"/>
      <c r="L111" s="19"/>
      <c r="M111" s="19"/>
      <c r="N111" s="19" t="s">
        <v>809</v>
      </c>
      <c r="O111" s="19"/>
      <c r="P111" s="19"/>
      <c r="Q111" s="19"/>
      <c r="R111" s="19"/>
      <c r="S111" s="19"/>
      <c r="T111" s="19"/>
      <c r="U111" s="19"/>
      <c r="V111" s="19"/>
      <c r="W111" s="19" t="s">
        <v>313</v>
      </c>
      <c r="X111" s="19" t="str">
        <f t="shared" si="49"/>
        <v>L</v>
      </c>
      <c r="Y111" s="21">
        <f t="shared" ref="Y111" si="137">Y106</f>
        <v>225</v>
      </c>
      <c r="Z111" s="19" t="s">
        <v>324</v>
      </c>
      <c r="AA111" s="19"/>
      <c r="AB111" s="19"/>
      <c r="AC111" s="19"/>
      <c r="AD111" s="19"/>
      <c r="AE111" s="19"/>
      <c r="AF111" s="19"/>
      <c r="AG111" s="19"/>
      <c r="AH111" s="19"/>
      <c r="AI111" s="19"/>
      <c r="AJ111" s="19"/>
      <c r="AK111" s="19"/>
      <c r="AL111" s="19"/>
      <c r="AM111" s="19" t="str">
        <f t="shared" ref="AM111" si="138">_xlfn.CONCAT(N111&amp;W111&amp;X111&amp;Y111&amp;Z111)</f>
        <v>Workbooks("HFU Forecast UTLA 1.0.xlsm").Worksheets("Combined data").Range("BL225")</v>
      </c>
      <c r="AO111" t="s">
        <v>927</v>
      </c>
    </row>
    <row r="112" spans="2:41" x14ac:dyDescent="0.25">
      <c r="B112" s="19" t="s">
        <v>339</v>
      </c>
      <c r="C112" s="19"/>
      <c r="D112" s="19"/>
      <c r="E112" s="19"/>
      <c r="F112" s="19"/>
      <c r="G112" s="19"/>
      <c r="H112" s="19"/>
      <c r="I112" s="19"/>
      <c r="J112" s="19"/>
      <c r="K112" s="19"/>
      <c r="L112" s="19"/>
      <c r="M112" s="19"/>
      <c r="N112" s="19"/>
      <c r="O112" s="19"/>
      <c r="P112" s="19"/>
      <c r="Q112" s="19"/>
      <c r="R112" s="19"/>
      <c r="S112" s="19"/>
      <c r="T112" s="19"/>
      <c r="U112" s="19"/>
      <c r="V112" s="19"/>
      <c r="W112" s="19"/>
      <c r="X112" s="19"/>
      <c r="Y112" s="21"/>
      <c r="Z112" s="19"/>
      <c r="AA112" s="19"/>
      <c r="AB112" s="19"/>
      <c r="AC112" s="19"/>
      <c r="AD112" s="19"/>
      <c r="AE112" s="19"/>
      <c r="AF112" s="19"/>
      <c r="AG112" s="19"/>
      <c r="AH112" s="19"/>
      <c r="AI112" s="19"/>
      <c r="AJ112" s="19"/>
      <c r="AK112" s="19"/>
      <c r="AL112" s="19"/>
      <c r="AM112" s="19" t="str">
        <f t="shared" ref="AM112" si="139">B112</f>
        <v>ActiveWorkbook.Close SaveChanges:=False</v>
      </c>
      <c r="AO112" t="s">
        <v>339</v>
      </c>
    </row>
    <row r="114" spans="2:41" x14ac:dyDescent="0.25">
      <c r="B114" s="22" t="s">
        <v>316</v>
      </c>
      <c r="C114" s="22"/>
      <c r="D114" s="22"/>
      <c r="E114" s="22"/>
      <c r="F114" s="22"/>
      <c r="G114" s="22"/>
      <c r="H114" s="22"/>
      <c r="I114" s="22"/>
      <c r="J114" s="22"/>
      <c r="K114" s="22"/>
      <c r="L114" s="22"/>
      <c r="M114" s="22"/>
      <c r="N114" s="22" t="s">
        <v>321</v>
      </c>
      <c r="O114" s="22"/>
      <c r="P114" s="22"/>
      <c r="Q114" s="22"/>
      <c r="R114" s="22"/>
      <c r="S114" s="22"/>
      <c r="T114" s="22"/>
      <c r="U114" s="22"/>
      <c r="V114" s="22">
        <f t="shared" si="53"/>
        <v>22</v>
      </c>
      <c r="W114" s="22"/>
      <c r="X114" s="22"/>
      <c r="Y114" s="23"/>
      <c r="Z114" s="22" t="s">
        <v>322</v>
      </c>
      <c r="AA114" s="22"/>
      <c r="AB114" s="22"/>
      <c r="AC114" s="22"/>
      <c r="AD114" s="22"/>
      <c r="AE114" s="22"/>
      <c r="AF114" s="22"/>
      <c r="AG114" s="22"/>
      <c r="AH114" s="22"/>
      <c r="AI114" s="22"/>
      <c r="AJ114" s="22"/>
      <c r="AK114" s="22"/>
      <c r="AL114" s="22"/>
      <c r="AM114" s="22" t="str">
        <f t="shared" ref="AM114" si="140">+_xlfn.CONCAT(N114&amp;V114&amp;Z114)</f>
        <v xml:space="preserve"> Workbooks.Open "A:\Homes for Ukraine data\Ukraine_sponsorship_data_22.ods"</v>
      </c>
      <c r="AO114" t="s">
        <v>358</v>
      </c>
    </row>
    <row r="115" spans="2:41" x14ac:dyDescent="0.25">
      <c r="B115" s="22" t="s">
        <v>453</v>
      </c>
      <c r="C115" s="22"/>
      <c r="D115" s="22"/>
      <c r="E115" s="22"/>
      <c r="F115" s="22"/>
      <c r="G115" s="22"/>
      <c r="H115" s="22"/>
      <c r="I115" s="22"/>
      <c r="J115" s="22"/>
      <c r="K115" s="22"/>
      <c r="L115" s="22"/>
      <c r="M115" s="22"/>
      <c r="N115" s="22" t="s">
        <v>323</v>
      </c>
      <c r="O115" s="22"/>
      <c r="P115" s="22"/>
      <c r="Q115" s="22"/>
      <c r="R115" s="22"/>
      <c r="S115" s="22"/>
      <c r="T115" s="22"/>
      <c r="U115" s="22"/>
      <c r="V115" s="22">
        <f t="shared" si="53"/>
        <v>22</v>
      </c>
      <c r="W115" s="22"/>
      <c r="X115" s="22"/>
      <c r="Y115" s="23"/>
      <c r="Z115" s="22" t="s">
        <v>452</v>
      </c>
      <c r="AA115" s="22"/>
      <c r="AB115" s="22"/>
      <c r="AC115" s="22"/>
      <c r="AD115" s="22"/>
      <c r="AE115" s="22" t="str">
        <f t="shared" ref="AE115:AF115" si="141">AE110</f>
        <v>E</v>
      </c>
      <c r="AF115" s="22">
        <f t="shared" si="141"/>
        <v>13</v>
      </c>
      <c r="AG115" s="22" t="s">
        <v>327</v>
      </c>
      <c r="AH115" s="22" t="str">
        <f t="shared" ref="AH115:AI115" si="142">AH110</f>
        <v>E</v>
      </c>
      <c r="AI115" s="22">
        <f t="shared" si="142"/>
        <v>43</v>
      </c>
      <c r="AJ115" s="22"/>
      <c r="AK115" s="22" t="s">
        <v>325</v>
      </c>
      <c r="AL115" s="22"/>
      <c r="AM115" s="22" t="str">
        <f t="shared" ref="AM115" si="143">_xlfn.CONCAT(N115&amp;V115&amp;Z115&amp;AE115&amp;AF115&amp;AG115&amp;AE115&amp;AI115&amp;AK115)</f>
        <v xml:space="preserve"> Workbooks("Ukraine_sponsorship_data_22.ods").Worksheets("Wales").Range("E13:E43").Copy _</v>
      </c>
      <c r="AO115" t="s">
        <v>684</v>
      </c>
    </row>
    <row r="116" spans="2:41" x14ac:dyDescent="0.25">
      <c r="B116" s="22" t="s">
        <v>808</v>
      </c>
      <c r="C116" s="22"/>
      <c r="D116" s="22"/>
      <c r="E116" s="22"/>
      <c r="F116" s="22"/>
      <c r="G116" s="22"/>
      <c r="H116" s="22"/>
      <c r="I116" s="22"/>
      <c r="J116" s="22"/>
      <c r="K116" s="22"/>
      <c r="L116" s="22"/>
      <c r="M116" s="22"/>
      <c r="N116" s="22" t="s">
        <v>809</v>
      </c>
      <c r="O116" s="22"/>
      <c r="P116" s="22"/>
      <c r="Q116" s="22"/>
      <c r="R116" s="22"/>
      <c r="S116" s="22"/>
      <c r="T116" s="22"/>
      <c r="U116" s="22"/>
      <c r="V116" s="22"/>
      <c r="W116" s="22" t="str">
        <f t="shared" si="72"/>
        <v>B</v>
      </c>
      <c r="X116" s="22" t="str">
        <f t="shared" si="73"/>
        <v>M</v>
      </c>
      <c r="Y116" s="23">
        <f t="shared" ref="Y116" si="144">Y111</f>
        <v>225</v>
      </c>
      <c r="Z116" s="22" t="s">
        <v>324</v>
      </c>
      <c r="AA116" s="22"/>
      <c r="AB116" s="22"/>
      <c r="AC116" s="22"/>
      <c r="AD116" s="22"/>
      <c r="AE116" s="22"/>
      <c r="AF116" s="22"/>
      <c r="AG116" s="22"/>
      <c r="AH116" s="22"/>
      <c r="AI116" s="22"/>
      <c r="AJ116" s="22"/>
      <c r="AK116" s="22"/>
      <c r="AL116" s="22"/>
      <c r="AM116" s="22" t="str">
        <f t="shared" ref="AM116" si="145">_xlfn.CONCAT(N116&amp;W116&amp;X116&amp;Y116&amp;Z116)</f>
        <v>Workbooks("HFU Forecast UTLA 1.0.xlsm").Worksheets("Combined data").Range("BM225")</v>
      </c>
      <c r="AO116" t="s">
        <v>928</v>
      </c>
    </row>
    <row r="117" spans="2:41" x14ac:dyDescent="0.25">
      <c r="B117" s="22" t="s">
        <v>339</v>
      </c>
      <c r="C117" s="22"/>
      <c r="D117" s="22"/>
      <c r="E117" s="22"/>
      <c r="F117" s="22"/>
      <c r="G117" s="22"/>
      <c r="H117" s="22"/>
      <c r="I117" s="22"/>
      <c r="J117" s="22"/>
      <c r="K117" s="22"/>
      <c r="L117" s="22"/>
      <c r="M117" s="22"/>
      <c r="N117" s="22"/>
      <c r="O117" s="22"/>
      <c r="P117" s="22"/>
      <c r="Q117" s="22"/>
      <c r="R117" s="22"/>
      <c r="S117" s="22"/>
      <c r="T117" s="22"/>
      <c r="U117" s="22"/>
      <c r="V117" s="22"/>
      <c r="W117" s="22"/>
      <c r="X117" s="22"/>
      <c r="Y117" s="23"/>
      <c r="Z117" s="22"/>
      <c r="AA117" s="22"/>
      <c r="AB117" s="22"/>
      <c r="AC117" s="22"/>
      <c r="AD117" s="22"/>
      <c r="AE117" s="22"/>
      <c r="AF117" s="22"/>
      <c r="AG117" s="22"/>
      <c r="AH117" s="22"/>
      <c r="AI117" s="22"/>
      <c r="AJ117" s="22"/>
      <c r="AK117" s="22"/>
      <c r="AL117" s="22"/>
      <c r="AM117" s="22" t="str">
        <f t="shared" ref="AM117" si="146">B117</f>
        <v>ActiveWorkbook.Close SaveChanges:=False</v>
      </c>
      <c r="AO117" t="s">
        <v>339</v>
      </c>
    </row>
    <row r="119" spans="2:41" x14ac:dyDescent="0.25">
      <c r="B119" s="19" t="s">
        <v>316</v>
      </c>
      <c r="C119" s="19"/>
      <c r="D119" s="19"/>
      <c r="E119" s="19"/>
      <c r="F119" s="19"/>
      <c r="G119" s="19"/>
      <c r="H119" s="19"/>
      <c r="I119" s="19"/>
      <c r="J119" s="19"/>
      <c r="K119" s="19"/>
      <c r="L119" s="19"/>
      <c r="M119" s="19"/>
      <c r="N119" s="19" t="s">
        <v>321</v>
      </c>
      <c r="O119" s="19"/>
      <c r="P119" s="19"/>
      <c r="Q119" s="19"/>
      <c r="R119" s="19"/>
      <c r="S119" s="19"/>
      <c r="T119" s="19"/>
      <c r="U119" s="19"/>
      <c r="V119" s="19">
        <f t="shared" ref="V119:V170" si="147">V114+1</f>
        <v>23</v>
      </c>
      <c r="W119" s="19"/>
      <c r="X119" s="19"/>
      <c r="Y119" s="21"/>
      <c r="Z119" s="19" t="s">
        <v>322</v>
      </c>
      <c r="AA119" s="19"/>
      <c r="AB119" s="19"/>
      <c r="AC119" s="19"/>
      <c r="AD119" s="19"/>
      <c r="AE119" s="19"/>
      <c r="AF119" s="19"/>
      <c r="AG119" s="19"/>
      <c r="AH119" s="19"/>
      <c r="AI119" s="19"/>
      <c r="AJ119" s="19"/>
      <c r="AK119" s="19"/>
      <c r="AL119" s="19"/>
      <c r="AM119" s="19" t="str">
        <f t="shared" ref="AM119" si="148">+_xlfn.CONCAT(N119&amp;V119&amp;Z119)</f>
        <v xml:space="preserve"> Workbooks.Open "A:\Homes for Ukraine data\Ukraine_sponsorship_data_23.ods"</v>
      </c>
      <c r="AO119" t="s">
        <v>721</v>
      </c>
    </row>
    <row r="120" spans="2:41" x14ac:dyDescent="0.25">
      <c r="B120" s="19" t="s">
        <v>453</v>
      </c>
      <c r="C120" s="19"/>
      <c r="D120" s="19"/>
      <c r="E120" s="19"/>
      <c r="F120" s="19"/>
      <c r="G120" s="19"/>
      <c r="H120" s="19"/>
      <c r="I120" s="19"/>
      <c r="J120" s="19"/>
      <c r="K120" s="19"/>
      <c r="L120" s="19"/>
      <c r="M120" s="19"/>
      <c r="N120" s="19" t="s">
        <v>323</v>
      </c>
      <c r="O120" s="19"/>
      <c r="P120" s="19"/>
      <c r="Q120" s="19"/>
      <c r="R120" s="19"/>
      <c r="S120" s="19"/>
      <c r="T120" s="19"/>
      <c r="U120" s="19"/>
      <c r="V120" s="19">
        <f t="shared" si="147"/>
        <v>23</v>
      </c>
      <c r="W120" s="19"/>
      <c r="X120" s="19"/>
      <c r="Y120" s="21"/>
      <c r="Z120" s="19" t="s">
        <v>452</v>
      </c>
      <c r="AA120" s="19"/>
      <c r="AB120" s="19"/>
      <c r="AC120" s="19"/>
      <c r="AD120" s="19"/>
      <c r="AE120" s="19" t="str">
        <f t="shared" ref="AE120:AF120" si="149">AE115</f>
        <v>E</v>
      </c>
      <c r="AF120" s="19">
        <f t="shared" si="149"/>
        <v>13</v>
      </c>
      <c r="AG120" s="19" t="s">
        <v>327</v>
      </c>
      <c r="AH120" s="19" t="str">
        <f t="shared" ref="AH120:AI120" si="150">AH115</f>
        <v>E</v>
      </c>
      <c r="AI120" s="19">
        <f t="shared" si="150"/>
        <v>43</v>
      </c>
      <c r="AJ120" s="19"/>
      <c r="AK120" s="19" t="s">
        <v>325</v>
      </c>
      <c r="AL120" s="19"/>
      <c r="AM120" s="19" t="str">
        <f t="shared" ref="AM120" si="151">_xlfn.CONCAT(N120&amp;V120&amp;Z120&amp;AE120&amp;AF120&amp;AG120&amp;AE120&amp;AI120&amp;AK120)</f>
        <v xml:space="preserve"> Workbooks("Ukraine_sponsorship_data_23.ods").Worksheets("Wales").Range("E13:E43").Copy _</v>
      </c>
      <c r="AO120" t="s">
        <v>769</v>
      </c>
    </row>
    <row r="121" spans="2:41" x14ac:dyDescent="0.25">
      <c r="B121" s="19" t="s">
        <v>808</v>
      </c>
      <c r="C121" s="19"/>
      <c r="D121" s="19"/>
      <c r="E121" s="19"/>
      <c r="F121" s="19"/>
      <c r="G121" s="19"/>
      <c r="H121" s="19"/>
      <c r="I121" s="19"/>
      <c r="J121" s="19"/>
      <c r="K121" s="19"/>
      <c r="L121" s="19"/>
      <c r="M121" s="19"/>
      <c r="N121" s="19" t="s">
        <v>809</v>
      </c>
      <c r="O121" s="19"/>
      <c r="P121" s="19"/>
      <c r="Q121" s="19"/>
      <c r="R121" s="19"/>
      <c r="S121" s="19"/>
      <c r="T121" s="19"/>
      <c r="U121" s="19"/>
      <c r="V121" s="19"/>
      <c r="W121" s="19" t="s">
        <v>313</v>
      </c>
      <c r="X121" s="19" t="str">
        <f t="shared" ref="X121:X171" si="152">CHAR(CODE(X116)+1)</f>
        <v>N</v>
      </c>
      <c r="Y121" s="21">
        <f t="shared" ref="Y121:Y171" si="153">Y116</f>
        <v>225</v>
      </c>
      <c r="Z121" s="19" t="s">
        <v>324</v>
      </c>
      <c r="AA121" s="19"/>
      <c r="AB121" s="19"/>
      <c r="AC121" s="19"/>
      <c r="AD121" s="19"/>
      <c r="AE121" s="19"/>
      <c r="AF121" s="19"/>
      <c r="AG121" s="19"/>
      <c r="AH121" s="19"/>
      <c r="AI121" s="19"/>
      <c r="AJ121" s="19"/>
      <c r="AK121" s="19"/>
      <c r="AL121" s="19"/>
      <c r="AM121" s="19" t="str">
        <f t="shared" ref="AM121" si="154">_xlfn.CONCAT(N121&amp;W121&amp;X121&amp;Y121&amp;Z121)</f>
        <v>Workbooks("HFU Forecast UTLA 1.0.xlsm").Worksheets("Combined data").Range("BN225")</v>
      </c>
      <c r="AO121" t="s">
        <v>929</v>
      </c>
    </row>
    <row r="122" spans="2:41" x14ac:dyDescent="0.25">
      <c r="B122" s="19" t="s">
        <v>339</v>
      </c>
      <c r="C122" s="19"/>
      <c r="D122" s="19"/>
      <c r="E122" s="19"/>
      <c r="F122" s="19"/>
      <c r="G122" s="19"/>
      <c r="H122" s="19"/>
      <c r="I122" s="19"/>
      <c r="J122" s="19"/>
      <c r="K122" s="19"/>
      <c r="L122" s="19"/>
      <c r="M122" s="19"/>
      <c r="N122" s="19"/>
      <c r="O122" s="19"/>
      <c r="P122" s="19"/>
      <c r="Q122" s="19"/>
      <c r="R122" s="19"/>
      <c r="S122" s="19"/>
      <c r="T122" s="19"/>
      <c r="U122" s="19"/>
      <c r="V122" s="19"/>
      <c r="W122" s="19"/>
      <c r="X122" s="19"/>
      <c r="Y122" s="21"/>
      <c r="Z122" s="19"/>
      <c r="AA122" s="19"/>
      <c r="AB122" s="19"/>
      <c r="AC122" s="19"/>
      <c r="AD122" s="19"/>
      <c r="AE122" s="19"/>
      <c r="AF122" s="19"/>
      <c r="AG122" s="19"/>
      <c r="AH122" s="19"/>
      <c r="AI122" s="19"/>
      <c r="AJ122" s="19"/>
      <c r="AK122" s="19"/>
      <c r="AL122" s="19"/>
      <c r="AM122" s="19" t="str">
        <f t="shared" ref="AM122" si="155">B122</f>
        <v>ActiveWorkbook.Close SaveChanges:=False</v>
      </c>
      <c r="AO122" t="s">
        <v>339</v>
      </c>
    </row>
    <row r="124" spans="2:41" x14ac:dyDescent="0.25">
      <c r="B124" s="22" t="s">
        <v>316</v>
      </c>
      <c r="C124" s="22"/>
      <c r="D124" s="22"/>
      <c r="E124" s="22"/>
      <c r="F124" s="22"/>
      <c r="G124" s="22"/>
      <c r="H124" s="22"/>
      <c r="I124" s="22"/>
      <c r="J124" s="22"/>
      <c r="K124" s="22"/>
      <c r="L124" s="22"/>
      <c r="M124" s="22"/>
      <c r="N124" s="22" t="s">
        <v>321</v>
      </c>
      <c r="O124" s="22"/>
      <c r="P124" s="22"/>
      <c r="Q124" s="22"/>
      <c r="R124" s="22"/>
      <c r="S124" s="22"/>
      <c r="T124" s="22"/>
      <c r="U124" s="22"/>
      <c r="V124" s="22">
        <f t="shared" ref="V124:V175" si="156">V119+1</f>
        <v>24</v>
      </c>
      <c r="W124" s="22"/>
      <c r="X124" s="22"/>
      <c r="Y124" s="23"/>
      <c r="Z124" s="22" t="s">
        <v>322</v>
      </c>
      <c r="AA124" s="22"/>
      <c r="AB124" s="22"/>
      <c r="AC124" s="22"/>
      <c r="AD124" s="22"/>
      <c r="AE124" s="22"/>
      <c r="AF124" s="22"/>
      <c r="AG124" s="22"/>
      <c r="AH124" s="22"/>
      <c r="AI124" s="22"/>
      <c r="AJ124" s="22"/>
      <c r="AK124" s="22"/>
      <c r="AL124" s="22"/>
      <c r="AM124" s="22" t="str">
        <f t="shared" ref="AM124" si="157">+_xlfn.CONCAT(N124&amp;V124&amp;Z124)</f>
        <v xml:space="preserve"> Workbooks.Open "A:\Homes for Ukraine data\Ukraine_sponsorship_data_24.ods"</v>
      </c>
      <c r="AO124" t="s">
        <v>723</v>
      </c>
    </row>
    <row r="125" spans="2:41" x14ac:dyDescent="0.25">
      <c r="B125" s="22" t="s">
        <v>453</v>
      </c>
      <c r="C125" s="22"/>
      <c r="D125" s="22"/>
      <c r="E125" s="22"/>
      <c r="F125" s="22"/>
      <c r="G125" s="22"/>
      <c r="H125" s="22"/>
      <c r="I125" s="22"/>
      <c r="J125" s="22"/>
      <c r="K125" s="22"/>
      <c r="L125" s="22"/>
      <c r="M125" s="22"/>
      <c r="N125" s="22" t="s">
        <v>323</v>
      </c>
      <c r="O125" s="22"/>
      <c r="P125" s="22"/>
      <c r="Q125" s="22"/>
      <c r="R125" s="22"/>
      <c r="S125" s="22"/>
      <c r="T125" s="22"/>
      <c r="U125" s="22"/>
      <c r="V125" s="22">
        <f t="shared" si="156"/>
        <v>24</v>
      </c>
      <c r="W125" s="22"/>
      <c r="X125" s="22"/>
      <c r="Y125" s="23"/>
      <c r="Z125" s="22" t="s">
        <v>452</v>
      </c>
      <c r="AA125" s="22"/>
      <c r="AB125" s="22"/>
      <c r="AC125" s="22"/>
      <c r="AD125" s="22"/>
      <c r="AE125" s="22" t="str">
        <f t="shared" ref="AE125:AF125" si="158">AE120</f>
        <v>E</v>
      </c>
      <c r="AF125" s="22">
        <f t="shared" si="158"/>
        <v>13</v>
      </c>
      <c r="AG125" s="22" t="s">
        <v>327</v>
      </c>
      <c r="AH125" s="22" t="str">
        <f t="shared" ref="AH125:AI125" si="159">AH120</f>
        <v>E</v>
      </c>
      <c r="AI125" s="22">
        <f t="shared" si="159"/>
        <v>43</v>
      </c>
      <c r="AJ125" s="22"/>
      <c r="AK125" s="22" t="s">
        <v>325</v>
      </c>
      <c r="AL125" s="22"/>
      <c r="AM125" s="22" t="str">
        <f t="shared" ref="AM125" si="160">_xlfn.CONCAT(N125&amp;V125&amp;Z125&amp;AE125&amp;AF125&amp;AG125&amp;AE125&amp;AI125&amp;AK125)</f>
        <v xml:space="preserve"> Workbooks("Ukraine_sponsorship_data_24.ods").Worksheets("Wales").Range("E13:E43").Copy _</v>
      </c>
      <c r="AO125" t="s">
        <v>770</v>
      </c>
    </row>
    <row r="126" spans="2:41" x14ac:dyDescent="0.25">
      <c r="B126" s="22" t="s">
        <v>808</v>
      </c>
      <c r="C126" s="22"/>
      <c r="D126" s="22"/>
      <c r="E126" s="22"/>
      <c r="F126" s="22"/>
      <c r="G126" s="22"/>
      <c r="H126" s="22"/>
      <c r="I126" s="22"/>
      <c r="J126" s="22"/>
      <c r="K126" s="22"/>
      <c r="L126" s="22"/>
      <c r="M126" s="22"/>
      <c r="N126" s="22" t="s">
        <v>809</v>
      </c>
      <c r="O126" s="22"/>
      <c r="P126" s="22"/>
      <c r="Q126" s="22"/>
      <c r="R126" s="22"/>
      <c r="S126" s="22"/>
      <c r="T126" s="22"/>
      <c r="U126" s="22"/>
      <c r="V126" s="22"/>
      <c r="W126" s="22" t="str">
        <f t="shared" ref="W126:W176" si="161">W121</f>
        <v>B</v>
      </c>
      <c r="X126" s="22" t="str">
        <f t="shared" ref="X126:X176" si="162">CHAR(CODE(X121)+1)</f>
        <v>O</v>
      </c>
      <c r="Y126" s="23">
        <f t="shared" ref="Y126:Y176" si="163">Y121</f>
        <v>225</v>
      </c>
      <c r="Z126" s="22" t="s">
        <v>324</v>
      </c>
      <c r="AA126" s="22"/>
      <c r="AB126" s="22"/>
      <c r="AC126" s="22"/>
      <c r="AD126" s="22"/>
      <c r="AE126" s="22"/>
      <c r="AF126" s="22"/>
      <c r="AG126" s="22"/>
      <c r="AH126" s="22"/>
      <c r="AI126" s="22"/>
      <c r="AJ126" s="22"/>
      <c r="AK126" s="22"/>
      <c r="AL126" s="22"/>
      <c r="AM126" s="22" t="str">
        <f t="shared" ref="AM126" si="164">_xlfn.CONCAT(N126&amp;W126&amp;X126&amp;Y126&amp;Z126)</f>
        <v>Workbooks("HFU Forecast UTLA 1.0.xlsm").Worksheets("Combined data").Range("BO225")</v>
      </c>
      <c r="AO126" t="s">
        <v>930</v>
      </c>
    </row>
    <row r="127" spans="2:41" x14ac:dyDescent="0.25">
      <c r="B127" s="22" t="s">
        <v>339</v>
      </c>
      <c r="C127" s="22"/>
      <c r="D127" s="22"/>
      <c r="E127" s="22"/>
      <c r="F127" s="22"/>
      <c r="G127" s="22"/>
      <c r="H127" s="22"/>
      <c r="I127" s="22"/>
      <c r="J127" s="22"/>
      <c r="K127" s="22"/>
      <c r="L127" s="22"/>
      <c r="M127" s="22"/>
      <c r="N127" s="22"/>
      <c r="O127" s="22"/>
      <c r="P127" s="22"/>
      <c r="Q127" s="22"/>
      <c r="R127" s="22"/>
      <c r="S127" s="22"/>
      <c r="T127" s="22"/>
      <c r="U127" s="22"/>
      <c r="V127" s="22"/>
      <c r="W127" s="22"/>
      <c r="X127" s="22"/>
      <c r="Y127" s="23"/>
      <c r="Z127" s="22"/>
      <c r="AA127" s="22"/>
      <c r="AB127" s="22"/>
      <c r="AC127" s="22"/>
      <c r="AD127" s="22"/>
      <c r="AE127" s="22"/>
      <c r="AF127" s="22"/>
      <c r="AG127" s="22"/>
      <c r="AH127" s="22"/>
      <c r="AI127" s="22"/>
      <c r="AJ127" s="22"/>
      <c r="AK127" s="22"/>
      <c r="AL127" s="22"/>
      <c r="AM127" s="22" t="str">
        <f t="shared" ref="AM127" si="165">B127</f>
        <v>ActiveWorkbook.Close SaveChanges:=False</v>
      </c>
      <c r="AO127" t="s">
        <v>339</v>
      </c>
    </row>
    <row r="129" spans="2:41" x14ac:dyDescent="0.25">
      <c r="B129" s="19" t="s">
        <v>316</v>
      </c>
      <c r="C129" s="19"/>
      <c r="D129" s="19"/>
      <c r="E129" s="19"/>
      <c r="F129" s="19"/>
      <c r="G129" s="19"/>
      <c r="H129" s="19"/>
      <c r="I129" s="19"/>
      <c r="J129" s="19"/>
      <c r="K129" s="19"/>
      <c r="L129" s="19"/>
      <c r="M129" s="19"/>
      <c r="N129" s="19" t="s">
        <v>321</v>
      </c>
      <c r="O129" s="19"/>
      <c r="P129" s="19"/>
      <c r="Q129" s="19"/>
      <c r="R129" s="19"/>
      <c r="S129" s="19"/>
      <c r="T129" s="19"/>
      <c r="U129" s="19"/>
      <c r="V129" s="19">
        <f t="shared" si="147"/>
        <v>25</v>
      </c>
      <c r="W129" s="19"/>
      <c r="X129" s="19"/>
      <c r="Y129" s="21"/>
      <c r="Z129" s="19" t="s">
        <v>322</v>
      </c>
      <c r="AA129" s="19"/>
      <c r="AB129" s="19"/>
      <c r="AC129" s="19"/>
      <c r="AD129" s="19"/>
      <c r="AE129" s="19"/>
      <c r="AF129" s="19"/>
      <c r="AG129" s="19"/>
      <c r="AH129" s="19"/>
      <c r="AI129" s="19"/>
      <c r="AJ129" s="19"/>
      <c r="AK129" s="19"/>
      <c r="AL129" s="19"/>
      <c r="AM129" s="19" t="str">
        <f t="shared" ref="AM129" si="166">+_xlfn.CONCAT(N129&amp;V129&amp;Z129)</f>
        <v xml:space="preserve"> Workbooks.Open "A:\Homes for Ukraine data\Ukraine_sponsorship_data_25.ods"</v>
      </c>
      <c r="AO129" t="s">
        <v>725</v>
      </c>
    </row>
    <row r="130" spans="2:41" x14ac:dyDescent="0.25">
      <c r="B130" s="19" t="s">
        <v>453</v>
      </c>
      <c r="C130" s="19"/>
      <c r="D130" s="19"/>
      <c r="E130" s="19"/>
      <c r="F130" s="19"/>
      <c r="G130" s="19"/>
      <c r="H130" s="19"/>
      <c r="I130" s="19"/>
      <c r="J130" s="19"/>
      <c r="K130" s="19"/>
      <c r="L130" s="19"/>
      <c r="M130" s="19"/>
      <c r="N130" s="19" t="s">
        <v>323</v>
      </c>
      <c r="O130" s="19"/>
      <c r="P130" s="19"/>
      <c r="Q130" s="19"/>
      <c r="R130" s="19"/>
      <c r="S130" s="19"/>
      <c r="T130" s="19"/>
      <c r="U130" s="19"/>
      <c r="V130" s="19">
        <f t="shared" si="147"/>
        <v>25</v>
      </c>
      <c r="W130" s="19"/>
      <c r="X130" s="19"/>
      <c r="Y130" s="21"/>
      <c r="Z130" s="19" t="s">
        <v>452</v>
      </c>
      <c r="AA130" s="19"/>
      <c r="AB130" s="19"/>
      <c r="AC130" s="19"/>
      <c r="AD130" s="19"/>
      <c r="AE130" s="19" t="str">
        <f t="shared" ref="AE130:AF130" si="167">AE125</f>
        <v>E</v>
      </c>
      <c r="AF130" s="19">
        <f t="shared" si="167"/>
        <v>13</v>
      </c>
      <c r="AG130" s="19" t="s">
        <v>327</v>
      </c>
      <c r="AH130" s="19" t="str">
        <f t="shared" ref="AH130:AI130" si="168">AH125</f>
        <v>E</v>
      </c>
      <c r="AI130" s="19">
        <f t="shared" si="168"/>
        <v>43</v>
      </c>
      <c r="AJ130" s="19"/>
      <c r="AK130" s="19" t="s">
        <v>325</v>
      </c>
      <c r="AL130" s="19"/>
      <c r="AM130" s="19" t="str">
        <f t="shared" ref="AM130" si="169">_xlfn.CONCAT(N130&amp;V130&amp;Z130&amp;AE130&amp;AF130&amp;AG130&amp;AE130&amp;AI130&amp;AK130)</f>
        <v xml:space="preserve"> Workbooks("Ukraine_sponsorship_data_25.ods").Worksheets("Wales").Range("E13:E43").Copy _</v>
      </c>
      <c r="AO130" t="s">
        <v>771</v>
      </c>
    </row>
    <row r="131" spans="2:41" x14ac:dyDescent="0.25">
      <c r="B131" s="19" t="s">
        <v>808</v>
      </c>
      <c r="C131" s="19"/>
      <c r="D131" s="19"/>
      <c r="E131" s="19"/>
      <c r="F131" s="19"/>
      <c r="G131" s="19"/>
      <c r="H131" s="19"/>
      <c r="I131" s="19"/>
      <c r="J131" s="19"/>
      <c r="K131" s="19"/>
      <c r="L131" s="19"/>
      <c r="M131" s="19"/>
      <c r="N131" s="19" t="s">
        <v>809</v>
      </c>
      <c r="O131" s="19"/>
      <c r="P131" s="19"/>
      <c r="Q131" s="19"/>
      <c r="R131" s="19"/>
      <c r="S131" s="19"/>
      <c r="T131" s="19"/>
      <c r="U131" s="19"/>
      <c r="V131" s="19"/>
      <c r="W131" s="19" t="s">
        <v>313</v>
      </c>
      <c r="X131" s="19" t="str">
        <f t="shared" si="152"/>
        <v>P</v>
      </c>
      <c r="Y131" s="21">
        <f t="shared" si="153"/>
        <v>225</v>
      </c>
      <c r="Z131" s="19" t="s">
        <v>324</v>
      </c>
      <c r="AA131" s="19"/>
      <c r="AB131" s="19"/>
      <c r="AC131" s="19"/>
      <c r="AD131" s="19"/>
      <c r="AE131" s="19"/>
      <c r="AF131" s="19"/>
      <c r="AG131" s="19"/>
      <c r="AH131" s="19"/>
      <c r="AI131" s="19"/>
      <c r="AJ131" s="19"/>
      <c r="AK131" s="19"/>
      <c r="AL131" s="19"/>
      <c r="AM131" s="19" t="str">
        <f t="shared" ref="AM131" si="170">_xlfn.CONCAT(N131&amp;W131&amp;X131&amp;Y131&amp;Z131)</f>
        <v>Workbooks("HFU Forecast UTLA 1.0.xlsm").Worksheets("Combined data").Range("BP225")</v>
      </c>
      <c r="AO131" t="s">
        <v>931</v>
      </c>
    </row>
    <row r="132" spans="2:41" x14ac:dyDescent="0.25">
      <c r="B132" s="19" t="s">
        <v>339</v>
      </c>
      <c r="C132" s="19"/>
      <c r="D132" s="19"/>
      <c r="E132" s="19"/>
      <c r="F132" s="19"/>
      <c r="G132" s="19"/>
      <c r="H132" s="19"/>
      <c r="I132" s="19"/>
      <c r="J132" s="19"/>
      <c r="K132" s="19"/>
      <c r="L132" s="19"/>
      <c r="M132" s="19"/>
      <c r="N132" s="19"/>
      <c r="O132" s="19"/>
      <c r="P132" s="19"/>
      <c r="Q132" s="19"/>
      <c r="R132" s="19"/>
      <c r="S132" s="19"/>
      <c r="T132" s="19"/>
      <c r="U132" s="19"/>
      <c r="V132" s="19"/>
      <c r="W132" s="19"/>
      <c r="X132" s="19"/>
      <c r="Y132" s="21"/>
      <c r="Z132" s="19"/>
      <c r="AA132" s="19"/>
      <c r="AB132" s="19"/>
      <c r="AC132" s="19"/>
      <c r="AD132" s="19"/>
      <c r="AE132" s="19"/>
      <c r="AF132" s="19"/>
      <c r="AG132" s="19"/>
      <c r="AH132" s="19"/>
      <c r="AI132" s="19"/>
      <c r="AJ132" s="19"/>
      <c r="AK132" s="19"/>
      <c r="AL132" s="19"/>
      <c r="AM132" s="19" t="str">
        <f t="shared" ref="AM132" si="171">B132</f>
        <v>ActiveWorkbook.Close SaveChanges:=False</v>
      </c>
      <c r="AO132" t="s">
        <v>339</v>
      </c>
    </row>
    <row r="134" spans="2:41" x14ac:dyDescent="0.25">
      <c r="B134" s="22" t="s">
        <v>316</v>
      </c>
      <c r="C134" s="22"/>
      <c r="D134" s="22"/>
      <c r="E134" s="22"/>
      <c r="F134" s="22"/>
      <c r="G134" s="22"/>
      <c r="H134" s="22"/>
      <c r="I134" s="22"/>
      <c r="J134" s="22"/>
      <c r="K134" s="22"/>
      <c r="L134" s="22"/>
      <c r="M134" s="22"/>
      <c r="N134" s="22" t="s">
        <v>321</v>
      </c>
      <c r="O134" s="22"/>
      <c r="P134" s="22"/>
      <c r="Q134" s="22"/>
      <c r="R134" s="22"/>
      <c r="S134" s="22"/>
      <c r="T134" s="22"/>
      <c r="U134" s="22"/>
      <c r="V134" s="22">
        <f t="shared" si="156"/>
        <v>26</v>
      </c>
      <c r="W134" s="22"/>
      <c r="X134" s="22"/>
      <c r="Y134" s="23"/>
      <c r="Z134" s="22" t="s">
        <v>322</v>
      </c>
      <c r="AA134" s="22"/>
      <c r="AB134" s="22"/>
      <c r="AC134" s="22"/>
      <c r="AD134" s="22"/>
      <c r="AE134" s="22"/>
      <c r="AF134" s="22"/>
      <c r="AG134" s="22"/>
      <c r="AH134" s="22"/>
      <c r="AI134" s="22"/>
      <c r="AJ134" s="22"/>
      <c r="AK134" s="22"/>
      <c r="AL134" s="22"/>
      <c r="AM134" s="22" t="str">
        <f t="shared" ref="AM134" si="172">+_xlfn.CONCAT(N134&amp;V134&amp;Z134)</f>
        <v xml:space="preserve"> Workbooks.Open "A:\Homes for Ukraine data\Ukraine_sponsorship_data_26.ods"</v>
      </c>
      <c r="AO134" t="s">
        <v>727</v>
      </c>
    </row>
    <row r="135" spans="2:41" x14ac:dyDescent="0.25">
      <c r="B135" s="22" t="s">
        <v>453</v>
      </c>
      <c r="C135" s="22"/>
      <c r="D135" s="22"/>
      <c r="E135" s="22"/>
      <c r="F135" s="22"/>
      <c r="G135" s="22"/>
      <c r="H135" s="22"/>
      <c r="I135" s="22"/>
      <c r="J135" s="22"/>
      <c r="K135" s="22"/>
      <c r="L135" s="22"/>
      <c r="M135" s="22"/>
      <c r="N135" s="22" t="s">
        <v>323</v>
      </c>
      <c r="O135" s="22"/>
      <c r="P135" s="22"/>
      <c r="Q135" s="22"/>
      <c r="R135" s="22"/>
      <c r="S135" s="22"/>
      <c r="T135" s="22"/>
      <c r="U135" s="22"/>
      <c r="V135" s="22">
        <f t="shared" si="156"/>
        <v>26</v>
      </c>
      <c r="W135" s="22"/>
      <c r="X135" s="22"/>
      <c r="Y135" s="23"/>
      <c r="Z135" s="22" t="s">
        <v>452</v>
      </c>
      <c r="AA135" s="22"/>
      <c r="AB135" s="22"/>
      <c r="AC135" s="22"/>
      <c r="AD135" s="22"/>
      <c r="AE135" s="22" t="str">
        <f t="shared" ref="AE135:AF135" si="173">AE130</f>
        <v>E</v>
      </c>
      <c r="AF135" s="22">
        <f t="shared" si="173"/>
        <v>13</v>
      </c>
      <c r="AG135" s="22" t="s">
        <v>327</v>
      </c>
      <c r="AH135" s="22" t="str">
        <f t="shared" ref="AH135:AI135" si="174">AH130</f>
        <v>E</v>
      </c>
      <c r="AI135" s="22">
        <f t="shared" si="174"/>
        <v>43</v>
      </c>
      <c r="AJ135" s="22"/>
      <c r="AK135" s="22" t="s">
        <v>325</v>
      </c>
      <c r="AL135" s="22"/>
      <c r="AM135" s="22" t="str">
        <f t="shared" ref="AM135" si="175">_xlfn.CONCAT(N135&amp;V135&amp;Z135&amp;AE135&amp;AF135&amp;AG135&amp;AE135&amp;AI135&amp;AK135)</f>
        <v xml:space="preserve"> Workbooks("Ukraine_sponsorship_data_26.ods").Worksheets("Wales").Range("E13:E43").Copy _</v>
      </c>
      <c r="AO135" t="s">
        <v>772</v>
      </c>
    </row>
    <row r="136" spans="2:41" x14ac:dyDescent="0.25">
      <c r="B136" s="22" t="s">
        <v>808</v>
      </c>
      <c r="C136" s="22"/>
      <c r="D136" s="22"/>
      <c r="E136" s="22"/>
      <c r="F136" s="22"/>
      <c r="G136" s="22"/>
      <c r="H136" s="22"/>
      <c r="I136" s="22"/>
      <c r="J136" s="22"/>
      <c r="K136" s="22"/>
      <c r="L136" s="22"/>
      <c r="M136" s="22"/>
      <c r="N136" s="22" t="s">
        <v>809</v>
      </c>
      <c r="O136" s="22"/>
      <c r="P136" s="22"/>
      <c r="Q136" s="22"/>
      <c r="R136" s="22"/>
      <c r="S136" s="22"/>
      <c r="T136" s="22"/>
      <c r="U136" s="22"/>
      <c r="V136" s="22"/>
      <c r="W136" s="22" t="str">
        <f t="shared" si="161"/>
        <v>B</v>
      </c>
      <c r="X136" s="22" t="str">
        <f t="shared" si="162"/>
        <v>Q</v>
      </c>
      <c r="Y136" s="23">
        <f t="shared" si="163"/>
        <v>225</v>
      </c>
      <c r="Z136" s="22" t="s">
        <v>324</v>
      </c>
      <c r="AA136" s="22"/>
      <c r="AB136" s="22"/>
      <c r="AC136" s="22"/>
      <c r="AD136" s="22"/>
      <c r="AE136" s="22"/>
      <c r="AF136" s="22"/>
      <c r="AG136" s="22"/>
      <c r="AH136" s="22"/>
      <c r="AI136" s="22"/>
      <c r="AJ136" s="22"/>
      <c r="AK136" s="22"/>
      <c r="AL136" s="22"/>
      <c r="AM136" s="22" t="str">
        <f t="shared" ref="AM136" si="176">_xlfn.CONCAT(N136&amp;W136&amp;X136&amp;Y136&amp;Z136)</f>
        <v>Workbooks("HFU Forecast UTLA 1.0.xlsm").Worksheets("Combined data").Range("BQ225")</v>
      </c>
      <c r="AO136" t="s">
        <v>932</v>
      </c>
    </row>
    <row r="137" spans="2:41" x14ac:dyDescent="0.25">
      <c r="B137" s="22" t="s">
        <v>339</v>
      </c>
      <c r="C137" s="22"/>
      <c r="D137" s="22"/>
      <c r="E137" s="22"/>
      <c r="F137" s="22"/>
      <c r="G137" s="22"/>
      <c r="H137" s="22"/>
      <c r="I137" s="22"/>
      <c r="J137" s="22"/>
      <c r="K137" s="22"/>
      <c r="L137" s="22"/>
      <c r="M137" s="22"/>
      <c r="N137" s="22"/>
      <c r="O137" s="22"/>
      <c r="P137" s="22"/>
      <c r="Q137" s="22"/>
      <c r="R137" s="22"/>
      <c r="S137" s="22"/>
      <c r="T137" s="22"/>
      <c r="U137" s="22"/>
      <c r="V137" s="22"/>
      <c r="W137" s="22"/>
      <c r="X137" s="22"/>
      <c r="Y137" s="23"/>
      <c r="Z137" s="22"/>
      <c r="AA137" s="22"/>
      <c r="AB137" s="22"/>
      <c r="AC137" s="22"/>
      <c r="AD137" s="22"/>
      <c r="AE137" s="22"/>
      <c r="AF137" s="22"/>
      <c r="AG137" s="22"/>
      <c r="AH137" s="22"/>
      <c r="AI137" s="22"/>
      <c r="AJ137" s="22"/>
      <c r="AK137" s="22"/>
      <c r="AL137" s="22"/>
      <c r="AM137" s="22" t="str">
        <f t="shared" ref="AM137" si="177">B137</f>
        <v>ActiveWorkbook.Close SaveChanges:=False</v>
      </c>
      <c r="AO137" t="s">
        <v>339</v>
      </c>
    </row>
    <row r="139" spans="2:41" x14ac:dyDescent="0.25">
      <c r="B139" s="19" t="s">
        <v>316</v>
      </c>
      <c r="C139" s="19"/>
      <c r="D139" s="19"/>
      <c r="E139" s="19"/>
      <c r="F139" s="19"/>
      <c r="G139" s="19"/>
      <c r="H139" s="19"/>
      <c r="I139" s="19"/>
      <c r="J139" s="19"/>
      <c r="K139" s="19"/>
      <c r="L139" s="19"/>
      <c r="M139" s="19"/>
      <c r="N139" s="19" t="s">
        <v>321</v>
      </c>
      <c r="O139" s="19"/>
      <c r="P139" s="19"/>
      <c r="Q139" s="19"/>
      <c r="R139" s="19"/>
      <c r="S139" s="19"/>
      <c r="T139" s="19"/>
      <c r="U139" s="19"/>
      <c r="V139" s="19">
        <f t="shared" si="147"/>
        <v>27</v>
      </c>
      <c r="W139" s="19"/>
      <c r="X139" s="19"/>
      <c r="Y139" s="21"/>
      <c r="Z139" s="19" t="s">
        <v>322</v>
      </c>
      <c r="AA139" s="19"/>
      <c r="AB139" s="19"/>
      <c r="AC139" s="19"/>
      <c r="AD139" s="19"/>
      <c r="AE139" s="19"/>
      <c r="AF139" s="19"/>
      <c r="AG139" s="19"/>
      <c r="AH139" s="19"/>
      <c r="AI139" s="19"/>
      <c r="AJ139" s="19"/>
      <c r="AK139" s="19"/>
      <c r="AL139" s="19"/>
      <c r="AM139" s="19" t="str">
        <f t="shared" ref="AM139" si="178">+_xlfn.CONCAT(N139&amp;V139&amp;Z139)</f>
        <v xml:space="preserve"> Workbooks.Open "A:\Homes for Ukraine data\Ukraine_sponsorship_data_27.ods"</v>
      </c>
      <c r="AO139" t="s">
        <v>729</v>
      </c>
    </row>
    <row r="140" spans="2:41" x14ac:dyDescent="0.25">
      <c r="B140" s="19" t="s">
        <v>453</v>
      </c>
      <c r="C140" s="19"/>
      <c r="D140" s="19"/>
      <c r="E140" s="19"/>
      <c r="F140" s="19"/>
      <c r="G140" s="19"/>
      <c r="H140" s="19"/>
      <c r="I140" s="19"/>
      <c r="J140" s="19"/>
      <c r="K140" s="19"/>
      <c r="L140" s="19"/>
      <c r="M140" s="19"/>
      <c r="N140" s="19" t="s">
        <v>323</v>
      </c>
      <c r="O140" s="19"/>
      <c r="P140" s="19"/>
      <c r="Q140" s="19"/>
      <c r="R140" s="19"/>
      <c r="S140" s="19"/>
      <c r="T140" s="19"/>
      <c r="U140" s="19"/>
      <c r="V140" s="19">
        <f t="shared" si="147"/>
        <v>27</v>
      </c>
      <c r="W140" s="19"/>
      <c r="X140" s="19"/>
      <c r="Y140" s="21"/>
      <c r="Z140" s="19" t="s">
        <v>452</v>
      </c>
      <c r="AA140" s="19"/>
      <c r="AB140" s="19"/>
      <c r="AC140" s="19"/>
      <c r="AD140" s="19"/>
      <c r="AE140" s="19" t="str">
        <f t="shared" ref="AE140:AF140" si="179">AE135</f>
        <v>E</v>
      </c>
      <c r="AF140" s="19">
        <f t="shared" si="179"/>
        <v>13</v>
      </c>
      <c r="AG140" s="19" t="s">
        <v>327</v>
      </c>
      <c r="AH140" s="19" t="str">
        <f t="shared" ref="AH140:AI140" si="180">AH135</f>
        <v>E</v>
      </c>
      <c r="AI140" s="19">
        <f t="shared" si="180"/>
        <v>43</v>
      </c>
      <c r="AJ140" s="19"/>
      <c r="AK140" s="19" t="s">
        <v>325</v>
      </c>
      <c r="AL140" s="19"/>
      <c r="AM140" s="19" t="str">
        <f t="shared" ref="AM140" si="181">_xlfn.CONCAT(N140&amp;V140&amp;Z140&amp;AE140&amp;AF140&amp;AG140&amp;AE140&amp;AI140&amp;AK140)</f>
        <v xml:space="preserve"> Workbooks("Ukraine_sponsorship_data_27.ods").Worksheets("Wales").Range("E13:E43").Copy _</v>
      </c>
      <c r="AO140" t="s">
        <v>773</v>
      </c>
    </row>
    <row r="141" spans="2:41" x14ac:dyDescent="0.25">
      <c r="B141" s="19" t="s">
        <v>808</v>
      </c>
      <c r="C141" s="19"/>
      <c r="D141" s="19"/>
      <c r="E141" s="19"/>
      <c r="F141" s="19"/>
      <c r="G141" s="19"/>
      <c r="H141" s="19"/>
      <c r="I141" s="19"/>
      <c r="J141" s="19"/>
      <c r="K141" s="19"/>
      <c r="L141" s="19"/>
      <c r="M141" s="19"/>
      <c r="N141" s="19" t="s">
        <v>809</v>
      </c>
      <c r="O141" s="19"/>
      <c r="P141" s="19"/>
      <c r="Q141" s="19"/>
      <c r="R141" s="19"/>
      <c r="S141" s="19"/>
      <c r="T141" s="19"/>
      <c r="U141" s="19"/>
      <c r="V141" s="19"/>
      <c r="W141" s="19" t="s">
        <v>313</v>
      </c>
      <c r="X141" s="19" t="str">
        <f t="shared" si="152"/>
        <v>R</v>
      </c>
      <c r="Y141" s="21">
        <f t="shared" si="153"/>
        <v>225</v>
      </c>
      <c r="Z141" s="19" t="s">
        <v>324</v>
      </c>
      <c r="AA141" s="19"/>
      <c r="AB141" s="19"/>
      <c r="AC141" s="19"/>
      <c r="AD141" s="19"/>
      <c r="AE141" s="19"/>
      <c r="AF141" s="19"/>
      <c r="AG141" s="19"/>
      <c r="AH141" s="19"/>
      <c r="AI141" s="19"/>
      <c r="AJ141" s="19"/>
      <c r="AK141" s="19"/>
      <c r="AL141" s="19"/>
      <c r="AM141" s="19" t="str">
        <f t="shared" ref="AM141" si="182">_xlfn.CONCAT(N141&amp;W141&amp;X141&amp;Y141&amp;Z141)</f>
        <v>Workbooks("HFU Forecast UTLA 1.0.xlsm").Worksheets("Combined data").Range("BR225")</v>
      </c>
      <c r="AO141" t="s">
        <v>933</v>
      </c>
    </row>
    <row r="142" spans="2:41" x14ac:dyDescent="0.25">
      <c r="B142" s="19" t="s">
        <v>339</v>
      </c>
      <c r="C142" s="19"/>
      <c r="D142" s="19"/>
      <c r="E142" s="19"/>
      <c r="F142" s="19"/>
      <c r="G142" s="19"/>
      <c r="H142" s="19"/>
      <c r="I142" s="19"/>
      <c r="J142" s="19"/>
      <c r="K142" s="19"/>
      <c r="L142" s="19"/>
      <c r="M142" s="19"/>
      <c r="N142" s="19"/>
      <c r="O142" s="19"/>
      <c r="P142" s="19"/>
      <c r="Q142" s="19"/>
      <c r="R142" s="19"/>
      <c r="S142" s="19"/>
      <c r="T142" s="19"/>
      <c r="U142" s="19"/>
      <c r="V142" s="19"/>
      <c r="W142" s="19"/>
      <c r="X142" s="19"/>
      <c r="Y142" s="21"/>
      <c r="Z142" s="19"/>
      <c r="AA142" s="19"/>
      <c r="AB142" s="19"/>
      <c r="AC142" s="19"/>
      <c r="AD142" s="19"/>
      <c r="AE142" s="19"/>
      <c r="AF142" s="19"/>
      <c r="AG142" s="19"/>
      <c r="AH142" s="19"/>
      <c r="AI142" s="19"/>
      <c r="AJ142" s="19"/>
      <c r="AK142" s="19"/>
      <c r="AL142" s="19"/>
      <c r="AM142" s="19" t="str">
        <f t="shared" ref="AM142" si="183">B142</f>
        <v>ActiveWorkbook.Close SaveChanges:=False</v>
      </c>
      <c r="AO142" t="s">
        <v>339</v>
      </c>
    </row>
    <row r="144" spans="2:41" x14ac:dyDescent="0.25">
      <c r="B144" s="22" t="s">
        <v>316</v>
      </c>
      <c r="C144" s="22"/>
      <c r="D144" s="22"/>
      <c r="E144" s="22"/>
      <c r="F144" s="22"/>
      <c r="G144" s="22"/>
      <c r="H144" s="22"/>
      <c r="I144" s="22"/>
      <c r="J144" s="22"/>
      <c r="K144" s="22"/>
      <c r="L144" s="22"/>
      <c r="M144" s="22"/>
      <c r="N144" s="22" t="s">
        <v>321</v>
      </c>
      <c r="O144" s="22"/>
      <c r="P144" s="22"/>
      <c r="Q144" s="22"/>
      <c r="R144" s="22"/>
      <c r="S144" s="22"/>
      <c r="T144" s="22"/>
      <c r="U144" s="22"/>
      <c r="V144" s="22">
        <f t="shared" si="156"/>
        <v>28</v>
      </c>
      <c r="W144" s="22"/>
      <c r="X144" s="22"/>
      <c r="Y144" s="23"/>
      <c r="Z144" s="22" t="s">
        <v>322</v>
      </c>
      <c r="AA144" s="22"/>
      <c r="AB144" s="22"/>
      <c r="AC144" s="22"/>
      <c r="AD144" s="22"/>
      <c r="AE144" s="22"/>
      <c r="AF144" s="22"/>
      <c r="AG144" s="22"/>
      <c r="AH144" s="22"/>
      <c r="AI144" s="22"/>
      <c r="AJ144" s="22"/>
      <c r="AK144" s="22"/>
      <c r="AL144" s="22"/>
      <c r="AM144" s="22" t="str">
        <f t="shared" ref="AM144" si="184">+_xlfn.CONCAT(N144&amp;V144&amp;Z144)</f>
        <v xml:space="preserve"> Workbooks.Open "A:\Homes for Ukraine data\Ukraine_sponsorship_data_28.ods"</v>
      </c>
      <c r="AO144" t="s">
        <v>731</v>
      </c>
    </row>
    <row r="145" spans="2:41" x14ac:dyDescent="0.25">
      <c r="B145" s="22" t="s">
        <v>453</v>
      </c>
      <c r="C145" s="22"/>
      <c r="D145" s="22"/>
      <c r="E145" s="22"/>
      <c r="F145" s="22"/>
      <c r="G145" s="22"/>
      <c r="H145" s="22"/>
      <c r="I145" s="22"/>
      <c r="J145" s="22"/>
      <c r="K145" s="22"/>
      <c r="L145" s="22"/>
      <c r="M145" s="22"/>
      <c r="N145" s="22" t="s">
        <v>323</v>
      </c>
      <c r="O145" s="22"/>
      <c r="P145" s="22"/>
      <c r="Q145" s="22"/>
      <c r="R145" s="22"/>
      <c r="S145" s="22"/>
      <c r="T145" s="22"/>
      <c r="U145" s="22"/>
      <c r="V145" s="22">
        <f t="shared" si="156"/>
        <v>28</v>
      </c>
      <c r="W145" s="22"/>
      <c r="X145" s="22"/>
      <c r="Y145" s="23"/>
      <c r="Z145" s="22" t="s">
        <v>452</v>
      </c>
      <c r="AA145" s="22"/>
      <c r="AB145" s="22"/>
      <c r="AC145" s="22"/>
      <c r="AD145" s="22"/>
      <c r="AE145" s="22" t="str">
        <f t="shared" ref="AE145:AF145" si="185">AE140</f>
        <v>E</v>
      </c>
      <c r="AF145" s="22">
        <f t="shared" si="185"/>
        <v>13</v>
      </c>
      <c r="AG145" s="22" t="s">
        <v>327</v>
      </c>
      <c r="AH145" s="22" t="str">
        <f t="shared" ref="AH145:AI145" si="186">AH140</f>
        <v>E</v>
      </c>
      <c r="AI145" s="22">
        <f t="shared" si="186"/>
        <v>43</v>
      </c>
      <c r="AJ145" s="22"/>
      <c r="AK145" s="22" t="s">
        <v>325</v>
      </c>
      <c r="AL145" s="22"/>
      <c r="AM145" s="22" t="str">
        <f t="shared" ref="AM145" si="187">_xlfn.CONCAT(N145&amp;V145&amp;Z145&amp;AE145&amp;AF145&amp;AG145&amp;AE145&amp;AI145&amp;AK145)</f>
        <v xml:space="preserve"> Workbooks("Ukraine_sponsorship_data_28.ods").Worksheets("Wales").Range("E13:E43").Copy _</v>
      </c>
      <c r="AO145" t="s">
        <v>774</v>
      </c>
    </row>
    <row r="146" spans="2:41" x14ac:dyDescent="0.25">
      <c r="B146" s="22" t="s">
        <v>808</v>
      </c>
      <c r="C146" s="22"/>
      <c r="D146" s="22"/>
      <c r="E146" s="22"/>
      <c r="F146" s="22"/>
      <c r="G146" s="22"/>
      <c r="H146" s="22"/>
      <c r="I146" s="22"/>
      <c r="J146" s="22"/>
      <c r="K146" s="22"/>
      <c r="L146" s="22"/>
      <c r="M146" s="22"/>
      <c r="N146" s="22" t="s">
        <v>809</v>
      </c>
      <c r="O146" s="22"/>
      <c r="P146" s="22"/>
      <c r="Q146" s="22"/>
      <c r="R146" s="22"/>
      <c r="S146" s="22"/>
      <c r="T146" s="22"/>
      <c r="U146" s="22"/>
      <c r="V146" s="22"/>
      <c r="W146" s="22" t="str">
        <f t="shared" si="161"/>
        <v>B</v>
      </c>
      <c r="X146" s="22" t="str">
        <f t="shared" si="162"/>
        <v>S</v>
      </c>
      <c r="Y146" s="23">
        <f t="shared" si="163"/>
        <v>225</v>
      </c>
      <c r="Z146" s="22" t="s">
        <v>324</v>
      </c>
      <c r="AA146" s="22"/>
      <c r="AB146" s="22"/>
      <c r="AC146" s="22"/>
      <c r="AD146" s="22"/>
      <c r="AE146" s="22"/>
      <c r="AF146" s="22"/>
      <c r="AG146" s="22"/>
      <c r="AH146" s="22"/>
      <c r="AI146" s="22"/>
      <c r="AJ146" s="22"/>
      <c r="AK146" s="22"/>
      <c r="AL146" s="22"/>
      <c r="AM146" s="22" t="str">
        <f t="shared" ref="AM146" si="188">_xlfn.CONCAT(N146&amp;W146&amp;X146&amp;Y146&amp;Z146)</f>
        <v>Workbooks("HFU Forecast UTLA 1.0.xlsm").Worksheets("Combined data").Range("BS225")</v>
      </c>
      <c r="AO146" t="s">
        <v>934</v>
      </c>
    </row>
    <row r="147" spans="2:41" x14ac:dyDescent="0.25">
      <c r="B147" s="22" t="s">
        <v>339</v>
      </c>
      <c r="C147" s="22"/>
      <c r="D147" s="22"/>
      <c r="E147" s="22"/>
      <c r="F147" s="22"/>
      <c r="G147" s="22"/>
      <c r="H147" s="22"/>
      <c r="I147" s="22"/>
      <c r="J147" s="22"/>
      <c r="K147" s="22"/>
      <c r="L147" s="22"/>
      <c r="M147" s="22"/>
      <c r="N147" s="22"/>
      <c r="O147" s="22"/>
      <c r="P147" s="22"/>
      <c r="Q147" s="22"/>
      <c r="R147" s="22"/>
      <c r="S147" s="22"/>
      <c r="T147" s="22"/>
      <c r="U147" s="22"/>
      <c r="V147" s="22"/>
      <c r="W147" s="22"/>
      <c r="X147" s="22"/>
      <c r="Y147" s="23"/>
      <c r="Z147" s="22"/>
      <c r="AA147" s="22"/>
      <c r="AB147" s="22"/>
      <c r="AC147" s="22"/>
      <c r="AD147" s="22"/>
      <c r="AE147" s="22"/>
      <c r="AF147" s="22"/>
      <c r="AG147" s="22"/>
      <c r="AH147" s="22"/>
      <c r="AI147" s="22"/>
      <c r="AJ147" s="22"/>
      <c r="AK147" s="22"/>
      <c r="AL147" s="22"/>
      <c r="AM147" s="22" t="str">
        <f t="shared" ref="AM147" si="189">B147</f>
        <v>ActiveWorkbook.Close SaveChanges:=False</v>
      </c>
      <c r="AO147" t="s">
        <v>339</v>
      </c>
    </row>
    <row r="149" spans="2:41" x14ac:dyDescent="0.25">
      <c r="B149" s="19" t="s">
        <v>316</v>
      </c>
      <c r="C149" s="19"/>
      <c r="D149" s="19"/>
      <c r="E149" s="19"/>
      <c r="F149" s="19"/>
      <c r="G149" s="19"/>
      <c r="H149" s="19"/>
      <c r="I149" s="19"/>
      <c r="J149" s="19"/>
      <c r="K149" s="19"/>
      <c r="L149" s="19"/>
      <c r="M149" s="19"/>
      <c r="N149" s="19" t="s">
        <v>321</v>
      </c>
      <c r="O149" s="19"/>
      <c r="P149" s="19"/>
      <c r="Q149" s="19"/>
      <c r="R149" s="19"/>
      <c r="S149" s="19"/>
      <c r="T149" s="19"/>
      <c r="U149" s="19"/>
      <c r="V149" s="19">
        <f t="shared" si="147"/>
        <v>29</v>
      </c>
      <c r="W149" s="19"/>
      <c r="X149" s="19"/>
      <c r="Y149" s="21"/>
      <c r="Z149" s="19" t="s">
        <v>322</v>
      </c>
      <c r="AA149" s="19"/>
      <c r="AB149" s="19"/>
      <c r="AC149" s="19"/>
      <c r="AD149" s="19"/>
      <c r="AE149" s="19"/>
      <c r="AF149" s="19"/>
      <c r="AG149" s="19"/>
      <c r="AH149" s="19"/>
      <c r="AI149" s="19"/>
      <c r="AJ149" s="19"/>
      <c r="AK149" s="19"/>
      <c r="AL149" s="19"/>
      <c r="AM149" s="19" t="str">
        <f t="shared" ref="AM149" si="190">+_xlfn.CONCAT(N149&amp;V149&amp;Z149)</f>
        <v xml:space="preserve"> Workbooks.Open "A:\Homes for Ukraine data\Ukraine_sponsorship_data_29.ods"</v>
      </c>
      <c r="AO149" t="s">
        <v>733</v>
      </c>
    </row>
    <row r="150" spans="2:41" x14ac:dyDescent="0.25">
      <c r="B150" s="19" t="s">
        <v>453</v>
      </c>
      <c r="C150" s="19"/>
      <c r="D150" s="19"/>
      <c r="E150" s="19"/>
      <c r="F150" s="19"/>
      <c r="G150" s="19"/>
      <c r="H150" s="19"/>
      <c r="I150" s="19"/>
      <c r="J150" s="19"/>
      <c r="K150" s="19"/>
      <c r="L150" s="19"/>
      <c r="M150" s="19"/>
      <c r="N150" s="19" t="s">
        <v>323</v>
      </c>
      <c r="O150" s="19"/>
      <c r="P150" s="19"/>
      <c r="Q150" s="19"/>
      <c r="R150" s="19"/>
      <c r="S150" s="19"/>
      <c r="T150" s="19"/>
      <c r="U150" s="19"/>
      <c r="V150" s="19">
        <f t="shared" si="147"/>
        <v>29</v>
      </c>
      <c r="W150" s="19"/>
      <c r="X150" s="19"/>
      <c r="Y150" s="21"/>
      <c r="Z150" s="19" t="s">
        <v>452</v>
      </c>
      <c r="AA150" s="19"/>
      <c r="AB150" s="19"/>
      <c r="AC150" s="19"/>
      <c r="AD150" s="19"/>
      <c r="AE150" s="19" t="str">
        <f t="shared" ref="AE150:AF150" si="191">AE145</f>
        <v>E</v>
      </c>
      <c r="AF150" s="19">
        <f t="shared" si="191"/>
        <v>13</v>
      </c>
      <c r="AG150" s="19" t="s">
        <v>327</v>
      </c>
      <c r="AH150" s="19" t="str">
        <f t="shared" ref="AH150:AI150" si="192">AH145</f>
        <v>E</v>
      </c>
      <c r="AI150" s="19">
        <f t="shared" si="192"/>
        <v>43</v>
      </c>
      <c r="AJ150" s="19"/>
      <c r="AK150" s="19" t="s">
        <v>325</v>
      </c>
      <c r="AL150" s="19"/>
      <c r="AM150" s="19" t="str">
        <f t="shared" ref="AM150" si="193">_xlfn.CONCAT(N150&amp;V150&amp;Z150&amp;AE150&amp;AF150&amp;AG150&amp;AE150&amp;AI150&amp;AK150)</f>
        <v xml:space="preserve"> Workbooks("Ukraine_sponsorship_data_29.ods").Worksheets("Wales").Range("E13:E43").Copy _</v>
      </c>
      <c r="AO150" t="s">
        <v>775</v>
      </c>
    </row>
    <row r="151" spans="2:41" x14ac:dyDescent="0.25">
      <c r="B151" s="19" t="s">
        <v>808</v>
      </c>
      <c r="C151" s="19"/>
      <c r="D151" s="19"/>
      <c r="E151" s="19"/>
      <c r="F151" s="19"/>
      <c r="G151" s="19"/>
      <c r="H151" s="19"/>
      <c r="I151" s="19"/>
      <c r="J151" s="19"/>
      <c r="K151" s="19"/>
      <c r="L151" s="19"/>
      <c r="M151" s="19"/>
      <c r="N151" s="19" t="s">
        <v>809</v>
      </c>
      <c r="O151" s="19"/>
      <c r="P151" s="19"/>
      <c r="Q151" s="19"/>
      <c r="R151" s="19"/>
      <c r="S151" s="19"/>
      <c r="T151" s="19"/>
      <c r="U151" s="19"/>
      <c r="V151" s="19"/>
      <c r="W151" s="19" t="s">
        <v>313</v>
      </c>
      <c r="X151" s="19" t="str">
        <f t="shared" si="152"/>
        <v>T</v>
      </c>
      <c r="Y151" s="21">
        <f t="shared" si="153"/>
        <v>225</v>
      </c>
      <c r="Z151" s="19" t="s">
        <v>324</v>
      </c>
      <c r="AA151" s="19"/>
      <c r="AB151" s="19"/>
      <c r="AC151" s="19"/>
      <c r="AD151" s="19"/>
      <c r="AE151" s="19"/>
      <c r="AF151" s="19"/>
      <c r="AG151" s="19"/>
      <c r="AH151" s="19"/>
      <c r="AI151" s="19"/>
      <c r="AJ151" s="19"/>
      <c r="AK151" s="19"/>
      <c r="AL151" s="19"/>
      <c r="AM151" s="19" t="str">
        <f t="shared" ref="AM151" si="194">_xlfn.CONCAT(N151&amp;W151&amp;X151&amp;Y151&amp;Z151)</f>
        <v>Workbooks("HFU Forecast UTLA 1.0.xlsm").Worksheets("Combined data").Range("BT225")</v>
      </c>
      <c r="AO151" t="s">
        <v>935</v>
      </c>
    </row>
    <row r="152" spans="2:41" x14ac:dyDescent="0.25">
      <c r="B152" s="19" t="s">
        <v>339</v>
      </c>
      <c r="C152" s="19"/>
      <c r="D152" s="19"/>
      <c r="E152" s="19"/>
      <c r="F152" s="19"/>
      <c r="G152" s="19"/>
      <c r="H152" s="19"/>
      <c r="I152" s="19"/>
      <c r="J152" s="19"/>
      <c r="K152" s="19"/>
      <c r="L152" s="19"/>
      <c r="M152" s="19"/>
      <c r="N152" s="19"/>
      <c r="O152" s="19"/>
      <c r="P152" s="19"/>
      <c r="Q152" s="19"/>
      <c r="R152" s="19"/>
      <c r="S152" s="19"/>
      <c r="T152" s="19"/>
      <c r="U152" s="19"/>
      <c r="V152" s="19"/>
      <c r="W152" s="19"/>
      <c r="X152" s="19"/>
      <c r="Y152" s="21"/>
      <c r="Z152" s="19"/>
      <c r="AA152" s="19"/>
      <c r="AB152" s="19"/>
      <c r="AC152" s="19"/>
      <c r="AD152" s="19"/>
      <c r="AE152" s="19"/>
      <c r="AF152" s="19"/>
      <c r="AG152" s="19"/>
      <c r="AH152" s="19"/>
      <c r="AI152" s="19"/>
      <c r="AJ152" s="19"/>
      <c r="AK152" s="19"/>
      <c r="AL152" s="19"/>
      <c r="AM152" s="19" t="str">
        <f t="shared" ref="AM152" si="195">B152</f>
        <v>ActiveWorkbook.Close SaveChanges:=False</v>
      </c>
      <c r="AO152" t="s">
        <v>339</v>
      </c>
    </row>
    <row r="154" spans="2:41" x14ac:dyDescent="0.25">
      <c r="B154" s="22" t="s">
        <v>316</v>
      </c>
      <c r="C154" s="22"/>
      <c r="D154" s="22"/>
      <c r="E154" s="22"/>
      <c r="F154" s="22"/>
      <c r="G154" s="22"/>
      <c r="H154" s="22"/>
      <c r="I154" s="22"/>
      <c r="J154" s="22"/>
      <c r="K154" s="22"/>
      <c r="L154" s="22"/>
      <c r="M154" s="22"/>
      <c r="N154" s="22" t="s">
        <v>321</v>
      </c>
      <c r="O154" s="22"/>
      <c r="P154" s="22"/>
      <c r="Q154" s="22"/>
      <c r="R154" s="22"/>
      <c r="S154" s="22"/>
      <c r="T154" s="22"/>
      <c r="U154" s="22"/>
      <c r="V154" s="22">
        <f t="shared" si="156"/>
        <v>30</v>
      </c>
      <c r="W154" s="22"/>
      <c r="X154" s="22"/>
      <c r="Y154" s="23"/>
      <c r="Z154" s="22" t="s">
        <v>322</v>
      </c>
      <c r="AA154" s="22"/>
      <c r="AB154" s="22"/>
      <c r="AC154" s="22"/>
      <c r="AD154" s="22"/>
      <c r="AE154" s="22"/>
      <c r="AF154" s="22"/>
      <c r="AG154" s="22"/>
      <c r="AH154" s="22"/>
      <c r="AI154" s="22"/>
      <c r="AJ154" s="22"/>
      <c r="AK154" s="22"/>
      <c r="AL154" s="22"/>
      <c r="AM154" s="22" t="str">
        <f t="shared" ref="AM154" si="196">+_xlfn.CONCAT(N154&amp;V154&amp;Z154)</f>
        <v xml:space="preserve"> Workbooks.Open "A:\Homes for Ukraine data\Ukraine_sponsorship_data_30.ods"</v>
      </c>
      <c r="AO154" t="s">
        <v>735</v>
      </c>
    </row>
    <row r="155" spans="2:41" x14ac:dyDescent="0.25">
      <c r="B155" s="22" t="s">
        <v>453</v>
      </c>
      <c r="C155" s="22"/>
      <c r="D155" s="22"/>
      <c r="E155" s="22"/>
      <c r="F155" s="22"/>
      <c r="G155" s="22"/>
      <c r="H155" s="22"/>
      <c r="I155" s="22"/>
      <c r="J155" s="22"/>
      <c r="K155" s="22"/>
      <c r="L155" s="22"/>
      <c r="M155" s="22"/>
      <c r="N155" s="22" t="s">
        <v>323</v>
      </c>
      <c r="O155" s="22"/>
      <c r="P155" s="22"/>
      <c r="Q155" s="22"/>
      <c r="R155" s="22"/>
      <c r="S155" s="22"/>
      <c r="T155" s="22"/>
      <c r="U155" s="22"/>
      <c r="V155" s="22">
        <f t="shared" si="156"/>
        <v>30</v>
      </c>
      <c r="W155" s="22"/>
      <c r="X155" s="22"/>
      <c r="Y155" s="23"/>
      <c r="Z155" s="22" t="s">
        <v>452</v>
      </c>
      <c r="AA155" s="22"/>
      <c r="AB155" s="22"/>
      <c r="AC155" s="22"/>
      <c r="AD155" s="22"/>
      <c r="AE155" s="22" t="str">
        <f t="shared" ref="AE155:AF155" si="197">AE150</f>
        <v>E</v>
      </c>
      <c r="AF155" s="22">
        <f t="shared" si="197"/>
        <v>13</v>
      </c>
      <c r="AG155" s="22" t="s">
        <v>327</v>
      </c>
      <c r="AH155" s="22" t="str">
        <f t="shared" ref="AH155:AI155" si="198">AH150</f>
        <v>E</v>
      </c>
      <c r="AI155" s="22">
        <f t="shared" si="198"/>
        <v>43</v>
      </c>
      <c r="AJ155" s="22"/>
      <c r="AK155" s="22" t="s">
        <v>325</v>
      </c>
      <c r="AL155" s="22"/>
      <c r="AM155" s="22" t="str">
        <f t="shared" ref="AM155" si="199">_xlfn.CONCAT(N155&amp;V155&amp;Z155&amp;AE155&amp;AF155&amp;AG155&amp;AE155&amp;AI155&amp;AK155)</f>
        <v xml:space="preserve"> Workbooks("Ukraine_sponsorship_data_30.ods").Worksheets("Wales").Range("E13:E43").Copy _</v>
      </c>
      <c r="AO155" t="s">
        <v>776</v>
      </c>
    </row>
    <row r="156" spans="2:41" x14ac:dyDescent="0.25">
      <c r="B156" s="22" t="s">
        <v>808</v>
      </c>
      <c r="C156" s="22"/>
      <c r="D156" s="22"/>
      <c r="E156" s="22"/>
      <c r="F156" s="22"/>
      <c r="G156" s="22"/>
      <c r="H156" s="22"/>
      <c r="I156" s="22"/>
      <c r="J156" s="22"/>
      <c r="K156" s="22"/>
      <c r="L156" s="22"/>
      <c r="M156" s="22"/>
      <c r="N156" s="22" t="s">
        <v>809</v>
      </c>
      <c r="O156" s="22"/>
      <c r="P156" s="22"/>
      <c r="Q156" s="22"/>
      <c r="R156" s="22"/>
      <c r="S156" s="22"/>
      <c r="T156" s="22"/>
      <c r="U156" s="22"/>
      <c r="V156" s="22"/>
      <c r="W156" s="22" t="str">
        <f t="shared" si="161"/>
        <v>B</v>
      </c>
      <c r="X156" s="22" t="str">
        <f t="shared" si="162"/>
        <v>U</v>
      </c>
      <c r="Y156" s="23">
        <f t="shared" si="163"/>
        <v>225</v>
      </c>
      <c r="Z156" s="22" t="s">
        <v>324</v>
      </c>
      <c r="AA156" s="22"/>
      <c r="AB156" s="22"/>
      <c r="AC156" s="22"/>
      <c r="AD156" s="22"/>
      <c r="AE156" s="22"/>
      <c r="AF156" s="22"/>
      <c r="AG156" s="22"/>
      <c r="AH156" s="22"/>
      <c r="AI156" s="22"/>
      <c r="AJ156" s="22"/>
      <c r="AK156" s="22"/>
      <c r="AL156" s="22"/>
      <c r="AM156" s="22" t="str">
        <f t="shared" ref="AM156" si="200">_xlfn.CONCAT(N156&amp;W156&amp;X156&amp;Y156&amp;Z156)</f>
        <v>Workbooks("HFU Forecast UTLA 1.0.xlsm").Worksheets("Combined data").Range("BU225")</v>
      </c>
      <c r="AO156" t="s">
        <v>936</v>
      </c>
    </row>
    <row r="157" spans="2:41" x14ac:dyDescent="0.25">
      <c r="B157" s="22" t="s">
        <v>339</v>
      </c>
      <c r="C157" s="22"/>
      <c r="D157" s="22"/>
      <c r="E157" s="22"/>
      <c r="F157" s="22"/>
      <c r="G157" s="22"/>
      <c r="H157" s="22"/>
      <c r="I157" s="22"/>
      <c r="J157" s="22"/>
      <c r="K157" s="22"/>
      <c r="L157" s="22"/>
      <c r="M157" s="22"/>
      <c r="N157" s="22"/>
      <c r="O157" s="22"/>
      <c r="P157" s="22"/>
      <c r="Q157" s="22"/>
      <c r="R157" s="22"/>
      <c r="S157" s="22"/>
      <c r="T157" s="22"/>
      <c r="U157" s="22"/>
      <c r="V157" s="22"/>
      <c r="W157" s="22"/>
      <c r="X157" s="22"/>
      <c r="Y157" s="23"/>
      <c r="Z157" s="22"/>
      <c r="AA157" s="22"/>
      <c r="AB157" s="22"/>
      <c r="AC157" s="22"/>
      <c r="AD157" s="22"/>
      <c r="AE157" s="22"/>
      <c r="AF157" s="22"/>
      <c r="AG157" s="22"/>
      <c r="AH157" s="22"/>
      <c r="AI157" s="22"/>
      <c r="AJ157" s="22"/>
      <c r="AK157" s="22"/>
      <c r="AL157" s="22"/>
      <c r="AM157" s="22" t="str">
        <f t="shared" ref="AM157" si="201">B157</f>
        <v>ActiveWorkbook.Close SaveChanges:=False</v>
      </c>
      <c r="AO157" t="s">
        <v>339</v>
      </c>
    </row>
    <row r="159" spans="2:41" x14ac:dyDescent="0.25">
      <c r="B159" s="19" t="s">
        <v>316</v>
      </c>
      <c r="C159" s="19"/>
      <c r="D159" s="19"/>
      <c r="E159" s="19"/>
      <c r="F159" s="19"/>
      <c r="G159" s="19"/>
      <c r="H159" s="19"/>
      <c r="I159" s="19"/>
      <c r="J159" s="19"/>
      <c r="K159" s="19"/>
      <c r="L159" s="19"/>
      <c r="M159" s="19"/>
      <c r="N159" s="19" t="s">
        <v>321</v>
      </c>
      <c r="O159" s="19"/>
      <c r="P159" s="19"/>
      <c r="Q159" s="19"/>
      <c r="R159" s="19"/>
      <c r="S159" s="19"/>
      <c r="T159" s="19"/>
      <c r="U159" s="19"/>
      <c r="V159" s="19">
        <f t="shared" si="147"/>
        <v>31</v>
      </c>
      <c r="W159" s="19"/>
      <c r="X159" s="19"/>
      <c r="Y159" s="21"/>
      <c r="Z159" s="19" t="s">
        <v>322</v>
      </c>
      <c r="AA159" s="19"/>
      <c r="AB159" s="19"/>
      <c r="AC159" s="19"/>
      <c r="AD159" s="19"/>
      <c r="AE159" s="19"/>
      <c r="AF159" s="19"/>
      <c r="AG159" s="19"/>
      <c r="AH159" s="19"/>
      <c r="AI159" s="19"/>
      <c r="AJ159" s="19"/>
      <c r="AK159" s="19"/>
      <c r="AL159" s="19"/>
      <c r="AM159" s="19" t="str">
        <f t="shared" ref="AM159" si="202">+_xlfn.CONCAT(N159&amp;V159&amp;Z159)</f>
        <v xml:space="preserve"> Workbooks.Open "A:\Homes for Ukraine data\Ukraine_sponsorship_data_31.ods"</v>
      </c>
      <c r="AO159" t="s">
        <v>737</v>
      </c>
    </row>
    <row r="160" spans="2:41" x14ac:dyDescent="0.25">
      <c r="B160" s="19" t="s">
        <v>453</v>
      </c>
      <c r="C160" s="19"/>
      <c r="D160" s="19"/>
      <c r="E160" s="19"/>
      <c r="F160" s="19"/>
      <c r="G160" s="19"/>
      <c r="H160" s="19"/>
      <c r="I160" s="19"/>
      <c r="J160" s="19"/>
      <c r="K160" s="19"/>
      <c r="L160" s="19"/>
      <c r="M160" s="19"/>
      <c r="N160" s="19" t="s">
        <v>323</v>
      </c>
      <c r="O160" s="19"/>
      <c r="P160" s="19"/>
      <c r="Q160" s="19"/>
      <c r="R160" s="19"/>
      <c r="S160" s="19"/>
      <c r="T160" s="19"/>
      <c r="U160" s="19"/>
      <c r="V160" s="19">
        <f t="shared" si="147"/>
        <v>31</v>
      </c>
      <c r="W160" s="19"/>
      <c r="X160" s="19"/>
      <c r="Y160" s="21"/>
      <c r="Z160" s="19" t="s">
        <v>452</v>
      </c>
      <c r="AA160" s="19"/>
      <c r="AB160" s="19"/>
      <c r="AC160" s="19"/>
      <c r="AD160" s="19"/>
      <c r="AE160" s="19" t="str">
        <f t="shared" ref="AE160:AF160" si="203">AE155</f>
        <v>E</v>
      </c>
      <c r="AF160" s="19">
        <f t="shared" si="203"/>
        <v>13</v>
      </c>
      <c r="AG160" s="19" t="s">
        <v>327</v>
      </c>
      <c r="AH160" s="19" t="str">
        <f t="shared" ref="AH160:AI160" si="204">AH155</f>
        <v>E</v>
      </c>
      <c r="AI160" s="19">
        <f t="shared" si="204"/>
        <v>43</v>
      </c>
      <c r="AJ160" s="19"/>
      <c r="AK160" s="19" t="s">
        <v>325</v>
      </c>
      <c r="AL160" s="19"/>
      <c r="AM160" s="19" t="str">
        <f t="shared" ref="AM160" si="205">_xlfn.CONCAT(N160&amp;V160&amp;Z160&amp;AE160&amp;AF160&amp;AG160&amp;AE160&amp;AI160&amp;AK160)</f>
        <v xml:space="preserve"> Workbooks("Ukraine_sponsorship_data_31.ods").Worksheets("Wales").Range("E13:E43").Copy _</v>
      </c>
      <c r="AO160" t="s">
        <v>777</v>
      </c>
    </row>
    <row r="161" spans="2:41" x14ac:dyDescent="0.25">
      <c r="B161" s="19" t="s">
        <v>808</v>
      </c>
      <c r="C161" s="19"/>
      <c r="D161" s="19"/>
      <c r="E161" s="19"/>
      <c r="F161" s="19"/>
      <c r="G161" s="19"/>
      <c r="H161" s="19"/>
      <c r="I161" s="19"/>
      <c r="J161" s="19"/>
      <c r="K161" s="19"/>
      <c r="L161" s="19"/>
      <c r="M161" s="19"/>
      <c r="N161" s="19" t="s">
        <v>809</v>
      </c>
      <c r="O161" s="19"/>
      <c r="P161" s="19"/>
      <c r="Q161" s="19"/>
      <c r="R161" s="19"/>
      <c r="S161" s="19"/>
      <c r="T161" s="19"/>
      <c r="U161" s="19"/>
      <c r="V161" s="19"/>
      <c r="W161" s="19" t="s">
        <v>313</v>
      </c>
      <c r="X161" s="19" t="str">
        <f t="shared" si="152"/>
        <v>V</v>
      </c>
      <c r="Y161" s="21">
        <f t="shared" si="153"/>
        <v>225</v>
      </c>
      <c r="Z161" s="19" t="s">
        <v>324</v>
      </c>
      <c r="AA161" s="19"/>
      <c r="AB161" s="19"/>
      <c r="AC161" s="19"/>
      <c r="AD161" s="19"/>
      <c r="AE161" s="19"/>
      <c r="AF161" s="19"/>
      <c r="AG161" s="19"/>
      <c r="AH161" s="19"/>
      <c r="AI161" s="19"/>
      <c r="AJ161" s="19"/>
      <c r="AK161" s="19"/>
      <c r="AL161" s="19"/>
      <c r="AM161" s="19" t="str">
        <f t="shared" ref="AM161" si="206">_xlfn.CONCAT(N161&amp;W161&amp;X161&amp;Y161&amp;Z161)</f>
        <v>Workbooks("HFU Forecast UTLA 1.0.xlsm").Worksheets("Combined data").Range("BV225")</v>
      </c>
      <c r="AO161" t="s">
        <v>937</v>
      </c>
    </row>
    <row r="162" spans="2:41" x14ac:dyDescent="0.25">
      <c r="B162" s="19" t="s">
        <v>339</v>
      </c>
      <c r="C162" s="19"/>
      <c r="D162" s="19"/>
      <c r="E162" s="19"/>
      <c r="F162" s="19"/>
      <c r="G162" s="19"/>
      <c r="H162" s="19"/>
      <c r="I162" s="19"/>
      <c r="J162" s="19"/>
      <c r="K162" s="19"/>
      <c r="L162" s="19"/>
      <c r="M162" s="19"/>
      <c r="N162" s="19"/>
      <c r="O162" s="19"/>
      <c r="P162" s="19"/>
      <c r="Q162" s="19"/>
      <c r="R162" s="19"/>
      <c r="S162" s="19"/>
      <c r="T162" s="19"/>
      <c r="U162" s="19"/>
      <c r="V162" s="19"/>
      <c r="W162" s="19"/>
      <c r="X162" s="19"/>
      <c r="Y162" s="21"/>
      <c r="Z162" s="19"/>
      <c r="AA162" s="19"/>
      <c r="AB162" s="19"/>
      <c r="AC162" s="19"/>
      <c r="AD162" s="19"/>
      <c r="AE162" s="19"/>
      <c r="AF162" s="19"/>
      <c r="AG162" s="19"/>
      <c r="AH162" s="19"/>
      <c r="AI162" s="19"/>
      <c r="AJ162" s="19"/>
      <c r="AK162" s="19"/>
      <c r="AL162" s="19"/>
      <c r="AM162" s="19" t="str">
        <f t="shared" ref="AM162" si="207">B162</f>
        <v>ActiveWorkbook.Close SaveChanges:=False</v>
      </c>
      <c r="AO162" t="s">
        <v>339</v>
      </c>
    </row>
    <row r="164" spans="2:41" x14ac:dyDescent="0.25">
      <c r="B164" s="22" t="s">
        <v>316</v>
      </c>
      <c r="C164" s="22"/>
      <c r="D164" s="22"/>
      <c r="E164" s="22"/>
      <c r="F164" s="22"/>
      <c r="G164" s="22"/>
      <c r="H164" s="22"/>
      <c r="I164" s="22"/>
      <c r="J164" s="22"/>
      <c r="K164" s="22"/>
      <c r="L164" s="22"/>
      <c r="M164" s="22"/>
      <c r="N164" s="22" t="s">
        <v>321</v>
      </c>
      <c r="O164" s="22"/>
      <c r="P164" s="22"/>
      <c r="Q164" s="22"/>
      <c r="R164" s="22"/>
      <c r="S164" s="22"/>
      <c r="T164" s="22"/>
      <c r="U164" s="22"/>
      <c r="V164" s="22">
        <f t="shared" si="156"/>
        <v>32</v>
      </c>
      <c r="W164" s="22"/>
      <c r="X164" s="22"/>
      <c r="Y164" s="23"/>
      <c r="Z164" s="22" t="s">
        <v>322</v>
      </c>
      <c r="AA164" s="22"/>
      <c r="AB164" s="22"/>
      <c r="AC164" s="22"/>
      <c r="AD164" s="22"/>
      <c r="AE164" s="22"/>
      <c r="AF164" s="22"/>
      <c r="AG164" s="22"/>
      <c r="AH164" s="22"/>
      <c r="AI164" s="22"/>
      <c r="AJ164" s="22"/>
      <c r="AK164" s="22"/>
      <c r="AL164" s="22"/>
      <c r="AM164" s="22" t="str">
        <f t="shared" ref="AM164" si="208">+_xlfn.CONCAT(N164&amp;V164&amp;Z164)</f>
        <v xml:space="preserve"> Workbooks.Open "A:\Homes for Ukraine data\Ukraine_sponsorship_data_32.ods"</v>
      </c>
      <c r="AO164" t="s">
        <v>739</v>
      </c>
    </row>
    <row r="165" spans="2:41" x14ac:dyDescent="0.25">
      <c r="B165" s="22" t="s">
        <v>453</v>
      </c>
      <c r="C165" s="22"/>
      <c r="D165" s="22"/>
      <c r="E165" s="22"/>
      <c r="F165" s="22"/>
      <c r="G165" s="22"/>
      <c r="H165" s="22"/>
      <c r="I165" s="22"/>
      <c r="J165" s="22"/>
      <c r="K165" s="22"/>
      <c r="L165" s="22"/>
      <c r="M165" s="22"/>
      <c r="N165" s="22" t="s">
        <v>323</v>
      </c>
      <c r="O165" s="22"/>
      <c r="P165" s="22"/>
      <c r="Q165" s="22"/>
      <c r="R165" s="22"/>
      <c r="S165" s="22"/>
      <c r="T165" s="22"/>
      <c r="U165" s="22"/>
      <c r="V165" s="22">
        <f t="shared" si="156"/>
        <v>32</v>
      </c>
      <c r="W165" s="22"/>
      <c r="X165" s="22"/>
      <c r="Y165" s="23"/>
      <c r="Z165" s="22" t="s">
        <v>452</v>
      </c>
      <c r="AA165" s="22"/>
      <c r="AB165" s="22"/>
      <c r="AC165" s="22"/>
      <c r="AD165" s="22"/>
      <c r="AE165" s="22" t="str">
        <f t="shared" ref="AE165:AF165" si="209">AE160</f>
        <v>E</v>
      </c>
      <c r="AF165" s="22">
        <f t="shared" si="209"/>
        <v>13</v>
      </c>
      <c r="AG165" s="22" t="s">
        <v>327</v>
      </c>
      <c r="AH165" s="22" t="str">
        <f t="shared" ref="AH165:AI165" si="210">AH160</f>
        <v>E</v>
      </c>
      <c r="AI165" s="22">
        <f t="shared" si="210"/>
        <v>43</v>
      </c>
      <c r="AJ165" s="22"/>
      <c r="AK165" s="22" t="s">
        <v>325</v>
      </c>
      <c r="AL165" s="22"/>
      <c r="AM165" s="22" t="str">
        <f t="shared" ref="AM165" si="211">_xlfn.CONCAT(N165&amp;V165&amp;Z165&amp;AE165&amp;AF165&amp;AG165&amp;AE165&amp;AI165&amp;AK165)</f>
        <v xml:space="preserve"> Workbooks("Ukraine_sponsorship_data_32.ods").Worksheets("Wales").Range("E13:E43").Copy _</v>
      </c>
      <c r="AO165" t="s">
        <v>778</v>
      </c>
    </row>
    <row r="166" spans="2:41" x14ac:dyDescent="0.25">
      <c r="B166" s="22" t="s">
        <v>808</v>
      </c>
      <c r="C166" s="22"/>
      <c r="D166" s="22"/>
      <c r="E166" s="22"/>
      <c r="F166" s="22"/>
      <c r="G166" s="22"/>
      <c r="H166" s="22"/>
      <c r="I166" s="22"/>
      <c r="J166" s="22"/>
      <c r="K166" s="22"/>
      <c r="L166" s="22"/>
      <c r="M166" s="22"/>
      <c r="N166" s="22" t="s">
        <v>809</v>
      </c>
      <c r="O166" s="22"/>
      <c r="P166" s="22"/>
      <c r="Q166" s="22"/>
      <c r="R166" s="22"/>
      <c r="S166" s="22"/>
      <c r="T166" s="22"/>
      <c r="U166" s="22"/>
      <c r="V166" s="22"/>
      <c r="W166" s="22" t="str">
        <f t="shared" si="161"/>
        <v>B</v>
      </c>
      <c r="X166" s="22" t="str">
        <f t="shared" si="162"/>
        <v>W</v>
      </c>
      <c r="Y166" s="23">
        <f t="shared" si="163"/>
        <v>225</v>
      </c>
      <c r="Z166" s="22" t="s">
        <v>324</v>
      </c>
      <c r="AA166" s="22"/>
      <c r="AB166" s="22"/>
      <c r="AC166" s="22"/>
      <c r="AD166" s="22"/>
      <c r="AE166" s="22"/>
      <c r="AF166" s="22"/>
      <c r="AG166" s="22"/>
      <c r="AH166" s="22"/>
      <c r="AI166" s="22"/>
      <c r="AJ166" s="22"/>
      <c r="AK166" s="22"/>
      <c r="AL166" s="22"/>
      <c r="AM166" s="22" t="str">
        <f t="shared" ref="AM166" si="212">_xlfn.CONCAT(N166&amp;W166&amp;X166&amp;Y166&amp;Z166)</f>
        <v>Workbooks("HFU Forecast UTLA 1.0.xlsm").Worksheets("Combined data").Range("BW225")</v>
      </c>
      <c r="AO166" t="s">
        <v>938</v>
      </c>
    </row>
    <row r="167" spans="2:41" x14ac:dyDescent="0.25">
      <c r="B167" s="22" t="s">
        <v>339</v>
      </c>
      <c r="C167" s="22"/>
      <c r="D167" s="22"/>
      <c r="E167" s="22"/>
      <c r="F167" s="22"/>
      <c r="G167" s="22"/>
      <c r="H167" s="22"/>
      <c r="I167" s="22"/>
      <c r="J167" s="22"/>
      <c r="K167" s="22"/>
      <c r="L167" s="22"/>
      <c r="M167" s="22"/>
      <c r="N167" s="22"/>
      <c r="O167" s="22"/>
      <c r="P167" s="22"/>
      <c r="Q167" s="22"/>
      <c r="R167" s="22"/>
      <c r="S167" s="22"/>
      <c r="T167" s="22"/>
      <c r="U167" s="22"/>
      <c r="V167" s="22"/>
      <c r="W167" s="22"/>
      <c r="X167" s="22"/>
      <c r="Y167" s="23"/>
      <c r="Z167" s="22"/>
      <c r="AA167" s="22"/>
      <c r="AB167" s="22"/>
      <c r="AC167" s="22"/>
      <c r="AD167" s="22"/>
      <c r="AE167" s="22"/>
      <c r="AF167" s="22"/>
      <c r="AG167" s="22"/>
      <c r="AH167" s="22"/>
      <c r="AI167" s="22"/>
      <c r="AJ167" s="22"/>
      <c r="AK167" s="22"/>
      <c r="AL167" s="22"/>
      <c r="AM167" s="22" t="str">
        <f t="shared" ref="AM167" si="213">B167</f>
        <v>ActiveWorkbook.Close SaveChanges:=False</v>
      </c>
      <c r="AO167" t="s">
        <v>339</v>
      </c>
    </row>
    <row r="169" spans="2:41" x14ac:dyDescent="0.25">
      <c r="B169" s="19" t="s">
        <v>316</v>
      </c>
      <c r="C169" s="19"/>
      <c r="D169" s="19"/>
      <c r="E169" s="19"/>
      <c r="F169" s="19"/>
      <c r="G169" s="19"/>
      <c r="H169" s="19"/>
      <c r="I169" s="19"/>
      <c r="J169" s="19"/>
      <c r="K169" s="19"/>
      <c r="L169" s="19"/>
      <c r="M169" s="19"/>
      <c r="N169" s="19" t="s">
        <v>321</v>
      </c>
      <c r="O169" s="19"/>
      <c r="P169" s="19"/>
      <c r="Q169" s="19"/>
      <c r="R169" s="19"/>
      <c r="S169" s="19"/>
      <c r="T169" s="19"/>
      <c r="U169" s="19"/>
      <c r="V169" s="19">
        <f t="shared" si="147"/>
        <v>33</v>
      </c>
      <c r="W169" s="19"/>
      <c r="X169" s="19"/>
      <c r="Y169" s="21"/>
      <c r="Z169" s="19" t="s">
        <v>322</v>
      </c>
      <c r="AA169" s="19"/>
      <c r="AB169" s="19"/>
      <c r="AC169" s="19"/>
      <c r="AD169" s="19"/>
      <c r="AE169" s="19"/>
      <c r="AF169" s="19"/>
      <c r="AG169" s="19"/>
      <c r="AH169" s="19"/>
      <c r="AI169" s="19"/>
      <c r="AJ169" s="19"/>
      <c r="AK169" s="19"/>
      <c r="AL169" s="19"/>
      <c r="AM169" s="19" t="str">
        <f t="shared" ref="AM169" si="214">+_xlfn.CONCAT(N169&amp;V169&amp;Z169)</f>
        <v xml:space="preserve"> Workbooks.Open "A:\Homes for Ukraine data\Ukraine_sponsorship_data_33.ods"</v>
      </c>
      <c r="AO169" t="s">
        <v>741</v>
      </c>
    </row>
    <row r="170" spans="2:41" x14ac:dyDescent="0.25">
      <c r="B170" s="19" t="s">
        <v>453</v>
      </c>
      <c r="C170" s="19"/>
      <c r="D170" s="19"/>
      <c r="E170" s="19"/>
      <c r="F170" s="19"/>
      <c r="G170" s="19"/>
      <c r="H170" s="19"/>
      <c r="I170" s="19"/>
      <c r="J170" s="19"/>
      <c r="K170" s="19"/>
      <c r="L170" s="19"/>
      <c r="M170" s="19"/>
      <c r="N170" s="19" t="s">
        <v>323</v>
      </c>
      <c r="O170" s="19"/>
      <c r="P170" s="19"/>
      <c r="Q170" s="19"/>
      <c r="R170" s="19"/>
      <c r="S170" s="19"/>
      <c r="T170" s="19"/>
      <c r="U170" s="19"/>
      <c r="V170" s="19">
        <f t="shared" si="147"/>
        <v>33</v>
      </c>
      <c r="W170" s="19"/>
      <c r="X170" s="19"/>
      <c r="Y170" s="21"/>
      <c r="Z170" s="19" t="s">
        <v>452</v>
      </c>
      <c r="AA170" s="19"/>
      <c r="AB170" s="19"/>
      <c r="AC170" s="19"/>
      <c r="AD170" s="19"/>
      <c r="AE170" s="19" t="str">
        <f t="shared" ref="AE170:AF170" si="215">AE165</f>
        <v>E</v>
      </c>
      <c r="AF170" s="19">
        <f t="shared" si="215"/>
        <v>13</v>
      </c>
      <c r="AG170" s="19" t="s">
        <v>327</v>
      </c>
      <c r="AH170" s="19" t="str">
        <f t="shared" ref="AH170:AI170" si="216">AH165</f>
        <v>E</v>
      </c>
      <c r="AI170" s="19">
        <f t="shared" si="216"/>
        <v>43</v>
      </c>
      <c r="AJ170" s="19"/>
      <c r="AK170" s="19" t="s">
        <v>325</v>
      </c>
      <c r="AL170" s="19"/>
      <c r="AM170" s="19" t="str">
        <f t="shared" ref="AM170" si="217">_xlfn.CONCAT(N170&amp;V170&amp;Z170&amp;AE170&amp;AF170&amp;AG170&amp;AE170&amp;AI170&amp;AK170)</f>
        <v xml:space="preserve"> Workbooks("Ukraine_sponsorship_data_33.ods").Worksheets("Wales").Range("E13:E43").Copy _</v>
      </c>
      <c r="AO170" t="s">
        <v>779</v>
      </c>
    </row>
    <row r="171" spans="2:41" x14ac:dyDescent="0.25">
      <c r="B171" s="19" t="s">
        <v>808</v>
      </c>
      <c r="C171" s="19"/>
      <c r="D171" s="19"/>
      <c r="E171" s="19"/>
      <c r="F171" s="19"/>
      <c r="G171" s="19"/>
      <c r="H171" s="19"/>
      <c r="I171" s="19"/>
      <c r="J171" s="19"/>
      <c r="K171" s="19"/>
      <c r="L171" s="19"/>
      <c r="M171" s="19"/>
      <c r="N171" s="19" t="s">
        <v>809</v>
      </c>
      <c r="O171" s="19"/>
      <c r="P171" s="19"/>
      <c r="Q171" s="19"/>
      <c r="R171" s="19"/>
      <c r="S171" s="19"/>
      <c r="T171" s="19"/>
      <c r="U171" s="19"/>
      <c r="V171" s="19"/>
      <c r="W171" s="19" t="s">
        <v>313</v>
      </c>
      <c r="X171" s="19" t="str">
        <f t="shared" si="152"/>
        <v>X</v>
      </c>
      <c r="Y171" s="21">
        <f t="shared" si="153"/>
        <v>225</v>
      </c>
      <c r="Z171" s="19" t="s">
        <v>324</v>
      </c>
      <c r="AA171" s="19"/>
      <c r="AB171" s="19"/>
      <c r="AC171" s="19"/>
      <c r="AD171" s="19"/>
      <c r="AE171" s="19"/>
      <c r="AF171" s="19"/>
      <c r="AG171" s="19"/>
      <c r="AH171" s="19"/>
      <c r="AI171" s="19"/>
      <c r="AJ171" s="19"/>
      <c r="AK171" s="19"/>
      <c r="AL171" s="19"/>
      <c r="AM171" s="19" t="str">
        <f t="shared" ref="AM171" si="218">_xlfn.CONCAT(N171&amp;W171&amp;X171&amp;Y171&amp;Z171)</f>
        <v>Workbooks("HFU Forecast UTLA 1.0.xlsm").Worksheets("Combined data").Range("BX225")</v>
      </c>
      <c r="AO171" t="s">
        <v>939</v>
      </c>
    </row>
    <row r="172" spans="2:41" x14ac:dyDescent="0.25">
      <c r="B172" s="19" t="s">
        <v>339</v>
      </c>
      <c r="C172" s="19"/>
      <c r="D172" s="19"/>
      <c r="E172" s="19"/>
      <c r="F172" s="19"/>
      <c r="G172" s="19"/>
      <c r="H172" s="19"/>
      <c r="I172" s="19"/>
      <c r="J172" s="19"/>
      <c r="K172" s="19"/>
      <c r="L172" s="19"/>
      <c r="M172" s="19"/>
      <c r="N172" s="19"/>
      <c r="O172" s="19"/>
      <c r="P172" s="19"/>
      <c r="Q172" s="19"/>
      <c r="R172" s="19"/>
      <c r="S172" s="19"/>
      <c r="T172" s="19"/>
      <c r="U172" s="19"/>
      <c r="V172" s="19"/>
      <c r="W172" s="19"/>
      <c r="X172" s="19"/>
      <c r="Y172" s="21"/>
      <c r="Z172" s="19"/>
      <c r="AA172" s="19"/>
      <c r="AB172" s="19"/>
      <c r="AC172" s="19"/>
      <c r="AD172" s="19"/>
      <c r="AE172" s="19"/>
      <c r="AF172" s="19"/>
      <c r="AG172" s="19"/>
      <c r="AH172" s="19"/>
      <c r="AI172" s="19"/>
      <c r="AJ172" s="19"/>
      <c r="AK172" s="19"/>
      <c r="AL172" s="19"/>
      <c r="AM172" s="19" t="str">
        <f t="shared" ref="AM172" si="219">B172</f>
        <v>ActiveWorkbook.Close SaveChanges:=False</v>
      </c>
      <c r="AO172" t="s">
        <v>339</v>
      </c>
    </row>
    <row r="174" spans="2:41" x14ac:dyDescent="0.25">
      <c r="B174" s="22" t="s">
        <v>316</v>
      </c>
      <c r="C174" s="22"/>
      <c r="D174" s="22"/>
      <c r="E174" s="22"/>
      <c r="F174" s="22"/>
      <c r="G174" s="22"/>
      <c r="H174" s="22"/>
      <c r="I174" s="22"/>
      <c r="J174" s="22"/>
      <c r="K174" s="22"/>
      <c r="L174" s="22"/>
      <c r="M174" s="22"/>
      <c r="N174" s="22" t="s">
        <v>321</v>
      </c>
      <c r="O174" s="22"/>
      <c r="P174" s="22"/>
      <c r="Q174" s="22"/>
      <c r="R174" s="22"/>
      <c r="S174" s="22"/>
      <c r="T174" s="22"/>
      <c r="U174" s="22"/>
      <c r="V174" s="22">
        <f t="shared" si="156"/>
        <v>34</v>
      </c>
      <c r="W174" s="22"/>
      <c r="X174" s="22"/>
      <c r="Y174" s="23"/>
      <c r="Z174" s="22" t="s">
        <v>322</v>
      </c>
      <c r="AA174" s="22"/>
      <c r="AB174" s="22"/>
      <c r="AC174" s="22"/>
      <c r="AD174" s="22"/>
      <c r="AE174" s="22"/>
      <c r="AF174" s="22"/>
      <c r="AG174" s="22"/>
      <c r="AH174" s="22"/>
      <c r="AI174" s="22"/>
      <c r="AJ174" s="22"/>
      <c r="AK174" s="22"/>
      <c r="AL174" s="22"/>
      <c r="AM174" s="22" t="str">
        <f t="shared" ref="AM174" si="220">+_xlfn.CONCAT(N174&amp;V174&amp;Z174)</f>
        <v xml:space="preserve"> Workbooks.Open "A:\Homes for Ukraine data\Ukraine_sponsorship_data_34.ods"</v>
      </c>
      <c r="AO174" t="s">
        <v>743</v>
      </c>
    </row>
    <row r="175" spans="2:41" x14ac:dyDescent="0.25">
      <c r="B175" s="22" t="s">
        <v>453</v>
      </c>
      <c r="C175" s="22"/>
      <c r="D175" s="22"/>
      <c r="E175" s="22"/>
      <c r="F175" s="22"/>
      <c r="G175" s="22"/>
      <c r="H175" s="22"/>
      <c r="I175" s="22"/>
      <c r="J175" s="22"/>
      <c r="K175" s="22"/>
      <c r="L175" s="22"/>
      <c r="M175" s="22"/>
      <c r="N175" s="22" t="s">
        <v>323</v>
      </c>
      <c r="O175" s="22"/>
      <c r="P175" s="22"/>
      <c r="Q175" s="22"/>
      <c r="R175" s="22"/>
      <c r="S175" s="22"/>
      <c r="T175" s="22"/>
      <c r="U175" s="22"/>
      <c r="V175" s="22">
        <f t="shared" si="156"/>
        <v>34</v>
      </c>
      <c r="W175" s="22"/>
      <c r="X175" s="22"/>
      <c r="Y175" s="23"/>
      <c r="Z175" s="22" t="s">
        <v>452</v>
      </c>
      <c r="AA175" s="22"/>
      <c r="AB175" s="22"/>
      <c r="AC175" s="22"/>
      <c r="AD175" s="22"/>
      <c r="AE175" s="22" t="str">
        <f t="shared" ref="AE175:AF175" si="221">AE170</f>
        <v>E</v>
      </c>
      <c r="AF175" s="22">
        <f t="shared" si="221"/>
        <v>13</v>
      </c>
      <c r="AG175" s="22" t="s">
        <v>327</v>
      </c>
      <c r="AH175" s="22" t="str">
        <f t="shared" ref="AH175:AI175" si="222">AH170</f>
        <v>E</v>
      </c>
      <c r="AI175" s="22">
        <f t="shared" si="222"/>
        <v>43</v>
      </c>
      <c r="AJ175" s="22"/>
      <c r="AK175" s="22" t="s">
        <v>325</v>
      </c>
      <c r="AL175" s="22"/>
      <c r="AM175" s="22" t="str">
        <f t="shared" ref="AM175" si="223">_xlfn.CONCAT(N175&amp;V175&amp;Z175&amp;AE175&amp;AF175&amp;AG175&amp;AE175&amp;AI175&amp;AK175)</f>
        <v xml:space="preserve"> Workbooks("Ukraine_sponsorship_data_34.ods").Worksheets("Wales").Range("E13:E43").Copy _</v>
      </c>
      <c r="AO175" t="s">
        <v>780</v>
      </c>
    </row>
    <row r="176" spans="2:41" x14ac:dyDescent="0.25">
      <c r="B176" s="22" t="s">
        <v>808</v>
      </c>
      <c r="C176" s="22"/>
      <c r="D176" s="22"/>
      <c r="E176" s="22"/>
      <c r="F176" s="22"/>
      <c r="G176" s="22"/>
      <c r="H176" s="22"/>
      <c r="I176" s="22"/>
      <c r="J176" s="22"/>
      <c r="K176" s="22"/>
      <c r="L176" s="22"/>
      <c r="M176" s="22"/>
      <c r="N176" s="22" t="s">
        <v>809</v>
      </c>
      <c r="O176" s="22"/>
      <c r="P176" s="22"/>
      <c r="Q176" s="22"/>
      <c r="R176" s="22"/>
      <c r="S176" s="22"/>
      <c r="T176" s="22"/>
      <c r="U176" s="22"/>
      <c r="V176" s="22"/>
      <c r="W176" s="22" t="str">
        <f t="shared" si="161"/>
        <v>B</v>
      </c>
      <c r="X176" s="22" t="str">
        <f t="shared" si="162"/>
        <v>Y</v>
      </c>
      <c r="Y176" s="23">
        <f t="shared" si="163"/>
        <v>225</v>
      </c>
      <c r="Z176" s="22" t="s">
        <v>324</v>
      </c>
      <c r="AA176" s="22"/>
      <c r="AB176" s="22"/>
      <c r="AC176" s="22"/>
      <c r="AD176" s="22"/>
      <c r="AE176" s="22"/>
      <c r="AF176" s="22"/>
      <c r="AG176" s="22"/>
      <c r="AH176" s="22"/>
      <c r="AI176" s="22"/>
      <c r="AJ176" s="22"/>
      <c r="AK176" s="22"/>
      <c r="AL176" s="22"/>
      <c r="AM176" s="22" t="str">
        <f t="shared" ref="AM176" si="224">_xlfn.CONCAT(N176&amp;W176&amp;X176&amp;Y176&amp;Z176)</f>
        <v>Workbooks("HFU Forecast UTLA 1.0.xlsm").Worksheets("Combined data").Range("BY225")</v>
      </c>
      <c r="AO176" t="s">
        <v>940</v>
      </c>
    </row>
    <row r="177" spans="2:41" x14ac:dyDescent="0.25">
      <c r="B177" s="22" t="s">
        <v>339</v>
      </c>
      <c r="C177" s="22"/>
      <c r="D177" s="22"/>
      <c r="E177" s="22"/>
      <c r="F177" s="22"/>
      <c r="G177" s="22"/>
      <c r="H177" s="22"/>
      <c r="I177" s="22"/>
      <c r="J177" s="22"/>
      <c r="K177" s="22"/>
      <c r="L177" s="22"/>
      <c r="M177" s="22"/>
      <c r="N177" s="22"/>
      <c r="O177" s="22"/>
      <c r="P177" s="22"/>
      <c r="Q177" s="22"/>
      <c r="R177" s="22"/>
      <c r="S177" s="22"/>
      <c r="T177" s="22"/>
      <c r="U177" s="22"/>
      <c r="V177" s="22"/>
      <c r="W177" s="22"/>
      <c r="X177" s="22"/>
      <c r="Y177" s="23"/>
      <c r="Z177" s="22"/>
      <c r="AA177" s="22"/>
      <c r="AB177" s="22"/>
      <c r="AC177" s="22"/>
      <c r="AD177" s="22"/>
      <c r="AE177" s="22"/>
      <c r="AF177" s="22"/>
      <c r="AG177" s="22"/>
      <c r="AH177" s="22"/>
      <c r="AI177" s="22"/>
      <c r="AJ177" s="22"/>
      <c r="AK177" s="22"/>
      <c r="AL177" s="22"/>
      <c r="AM177" s="22" t="str">
        <f t="shared" ref="AM177" si="225">B177</f>
        <v>ActiveWorkbook.Close SaveChanges:=False</v>
      </c>
      <c r="AO177" t="s">
        <v>339</v>
      </c>
    </row>
  </sheetData>
  <mergeCells count="2">
    <mergeCell ref="B3:P3"/>
    <mergeCell ref="AE5:AI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460EA-4767-4E7C-A4C4-AC2AD3921B60}">
  <sheetPr codeName="Sheet10"/>
  <dimension ref="A1:AO184"/>
  <sheetViews>
    <sheetView topLeftCell="K1" zoomScaleNormal="100" workbookViewId="0">
      <selection activeCell="AO10" sqref="AO10:AO184"/>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2:41" x14ac:dyDescent="0.25">
      <c r="B1" t="s">
        <v>329</v>
      </c>
    </row>
    <row r="3" spans="2:41" ht="78.75" customHeight="1" x14ac:dyDescent="0.25">
      <c r="B3" s="320" t="s">
        <v>330</v>
      </c>
      <c r="C3" s="320"/>
      <c r="D3" s="320"/>
      <c r="E3" s="320"/>
      <c r="F3" s="320"/>
      <c r="G3" s="320"/>
      <c r="H3" s="320"/>
      <c r="I3" s="320"/>
      <c r="J3" s="320"/>
      <c r="K3" s="320"/>
      <c r="L3" s="320"/>
      <c r="M3" s="320"/>
      <c r="N3" s="320"/>
      <c r="O3" s="320"/>
      <c r="P3" s="320"/>
    </row>
    <row r="5" spans="2:41" x14ac:dyDescent="0.25">
      <c r="V5" t="s">
        <v>331</v>
      </c>
      <c r="W5" t="s">
        <v>333</v>
      </c>
      <c r="AE5" s="316" t="s">
        <v>332</v>
      </c>
      <c r="AF5" s="316"/>
      <c r="AG5" s="316"/>
      <c r="AH5" s="316"/>
      <c r="AI5" s="316"/>
    </row>
    <row r="6" spans="2:41" x14ac:dyDescent="0.25">
      <c r="B6" t="s">
        <v>319</v>
      </c>
    </row>
    <row r="7" spans="2:41" x14ac:dyDescent="0.25">
      <c r="N7" t="s">
        <v>320</v>
      </c>
    </row>
    <row r="8" spans="2:41" x14ac:dyDescent="0.25">
      <c r="B8" t="s">
        <v>315</v>
      </c>
      <c r="AM8" t="s">
        <v>328</v>
      </c>
    </row>
    <row r="10" spans="2:41" x14ac:dyDescent="0.25">
      <c r="B10" t="s">
        <v>316</v>
      </c>
      <c r="N10" t="s">
        <v>321</v>
      </c>
      <c r="V10">
        <v>1</v>
      </c>
      <c r="Z10" t="s">
        <v>322</v>
      </c>
      <c r="AM10" t="str">
        <f>+_xlfn.CONCAT(N10&amp;V10&amp;Z10)</f>
        <v xml:space="preserve"> Workbooks.Open "A:\Homes for Ukraine data\Ukraine_sponsorship_data_1.ods"</v>
      </c>
      <c r="AO10" t="s">
        <v>334</v>
      </c>
    </row>
    <row r="11" spans="2:41" x14ac:dyDescent="0.25">
      <c r="B11" t="s">
        <v>531</v>
      </c>
      <c r="N11" t="s">
        <v>323</v>
      </c>
      <c r="V11">
        <v>1</v>
      </c>
      <c r="Z11" t="s">
        <v>532</v>
      </c>
      <c r="AE11" t="s">
        <v>312</v>
      </c>
      <c r="AF11">
        <v>1</v>
      </c>
      <c r="AG11" t="s">
        <v>327</v>
      </c>
      <c r="AH11" t="s">
        <v>313</v>
      </c>
      <c r="AI11">
        <v>3</v>
      </c>
      <c r="AK11" t="s">
        <v>325</v>
      </c>
      <c r="AM11" t="str">
        <f>_xlfn.CONCAT(N11&amp;V11&amp;Z11&amp;AE11&amp;AF11&amp;AG11&amp;AH11&amp;AI11&amp;AK11)</f>
        <v xml:space="preserve"> Workbooks("Ukraine_sponsorship_data_1.ods").Worksheets("Northern_Ireland").Range("A1:B3").Copy _</v>
      </c>
      <c r="AO11" t="s">
        <v>534</v>
      </c>
    </row>
    <row r="12" spans="2:41" x14ac:dyDescent="0.25">
      <c r="B12" t="s">
        <v>808</v>
      </c>
      <c r="N12" t="s">
        <v>809</v>
      </c>
      <c r="W12" t="s">
        <v>312</v>
      </c>
      <c r="Y12" s="20">
        <v>257</v>
      </c>
      <c r="Z12" t="s">
        <v>324</v>
      </c>
      <c r="AM12" t="str">
        <f>_xlfn.CONCAT(N12&amp;W12&amp;Y12&amp;Z12)</f>
        <v>Workbooks("HFU Forecast UTLA 1.0.xlsm").Worksheets("Combined data").Range("A257")</v>
      </c>
      <c r="AO12" t="s">
        <v>882</v>
      </c>
    </row>
    <row r="13" spans="2:41" x14ac:dyDescent="0.25">
      <c r="B13" t="s">
        <v>531</v>
      </c>
      <c r="N13" t="s">
        <v>323</v>
      </c>
      <c r="V13">
        <v>1</v>
      </c>
      <c r="Z13" t="s">
        <v>532</v>
      </c>
      <c r="AE13" t="s">
        <v>312</v>
      </c>
      <c r="AF13">
        <v>7</v>
      </c>
      <c r="AG13" t="s">
        <v>327</v>
      </c>
      <c r="AH13" t="s">
        <v>313</v>
      </c>
      <c r="AI13">
        <v>24</v>
      </c>
      <c r="AK13" t="s">
        <v>325</v>
      </c>
      <c r="AM13" t="str">
        <f>_xlfn.CONCAT(N13&amp;V13&amp;Z13&amp;AE13&amp;AF13&amp;AG13&amp;AH13&amp;AI13&amp;AK13)</f>
        <v xml:space="preserve"> Workbooks("Ukraine_sponsorship_data_1.ods").Worksheets("Northern_Ireland").Range("A7:B24").Copy _</v>
      </c>
      <c r="AO13" t="s">
        <v>535</v>
      </c>
    </row>
    <row r="14" spans="2:41" x14ac:dyDescent="0.25">
      <c r="B14" t="s">
        <v>808</v>
      </c>
      <c r="N14" t="s">
        <v>809</v>
      </c>
      <c r="W14" t="s">
        <v>312</v>
      </c>
      <c r="Y14" s="20">
        <v>260</v>
      </c>
      <c r="Z14" t="s">
        <v>324</v>
      </c>
      <c r="AM14" t="str">
        <f>_xlfn.CONCAT(N14&amp;W14&amp;Y14&amp;Z14)</f>
        <v>Workbooks("HFU Forecast UTLA 1.0.xlsm").Worksheets("Combined data").Range("A260")</v>
      </c>
      <c r="AO14" t="s">
        <v>883</v>
      </c>
    </row>
    <row r="16" spans="2:41" x14ac:dyDescent="0.25">
      <c r="B16" t="s">
        <v>316</v>
      </c>
      <c r="N16" t="s">
        <v>321</v>
      </c>
      <c r="V16">
        <v>1</v>
      </c>
      <c r="Z16" t="s">
        <v>322</v>
      </c>
      <c r="AM16" t="str">
        <f>+_xlfn.CONCAT(N16&amp;V16&amp;Z16)</f>
        <v xml:space="preserve"> Workbooks.Open "A:\Homes for Ukraine data\Ukraine_sponsorship_data_1.ods"</v>
      </c>
      <c r="AO16" t="s">
        <v>334</v>
      </c>
    </row>
    <row r="17" spans="1:41" x14ac:dyDescent="0.25">
      <c r="B17" t="s">
        <v>533</v>
      </c>
      <c r="N17" t="s">
        <v>323</v>
      </c>
      <c r="V17">
        <v>1</v>
      </c>
      <c r="Z17" t="s">
        <v>532</v>
      </c>
      <c r="AE17" t="s">
        <v>314</v>
      </c>
      <c r="AF17">
        <v>11</v>
      </c>
      <c r="AG17" t="s">
        <v>327</v>
      </c>
      <c r="AH17" t="s">
        <v>314</v>
      </c>
      <c r="AI17">
        <f>AI13</f>
        <v>24</v>
      </c>
      <c r="AK17" t="s">
        <v>325</v>
      </c>
      <c r="AM17" t="str">
        <f>_xlfn.CONCAT(N17&amp;V17&amp;Z17&amp;AE17&amp;AF17&amp;AG17&amp;AE17&amp;AI17&amp;AK17)</f>
        <v xml:space="preserve"> Workbooks("Ukraine_sponsorship_data_1.ods").Worksheets("Northern_Ireland").Range("C11:C24").Copy _</v>
      </c>
      <c r="AO17" t="s">
        <v>582</v>
      </c>
    </row>
    <row r="18" spans="1:41" x14ac:dyDescent="0.25">
      <c r="B18" t="s">
        <v>808</v>
      </c>
      <c r="N18" t="s">
        <v>809</v>
      </c>
      <c r="W18" t="s">
        <v>311</v>
      </c>
      <c r="Y18" s="20">
        <v>264</v>
      </c>
      <c r="Z18" t="s">
        <v>324</v>
      </c>
      <c r="AM18" t="str">
        <f>_xlfn.CONCAT(N18&amp;W18&amp;Y18&amp;Z18)</f>
        <v>Workbooks("HFU Forecast UTLA 1.0.xlsm").Worksheets("Combined data").Range("H264")</v>
      </c>
      <c r="AO18" t="s">
        <v>884</v>
      </c>
    </row>
    <row r="19" spans="1:41" ht="17.25" customHeight="1" x14ac:dyDescent="0.25">
      <c r="B19" t="s">
        <v>339</v>
      </c>
      <c r="AM19" t="str">
        <f>B19</f>
        <v>ActiveWorkbook.Close SaveChanges:=False</v>
      </c>
      <c r="AO19" t="s">
        <v>339</v>
      </c>
    </row>
    <row r="21" spans="1:41" ht="17.25" customHeight="1" x14ac:dyDescent="0.25">
      <c r="A21" s="19"/>
      <c r="B21" s="22" t="s">
        <v>316</v>
      </c>
      <c r="C21" s="22"/>
      <c r="D21" s="22"/>
      <c r="E21" s="22"/>
      <c r="F21" s="22"/>
      <c r="G21" s="22"/>
      <c r="H21" s="22"/>
      <c r="I21" s="22"/>
      <c r="J21" s="22"/>
      <c r="K21" s="22"/>
      <c r="L21" s="22"/>
      <c r="M21" s="22"/>
      <c r="N21" s="22" t="s">
        <v>321</v>
      </c>
      <c r="O21" s="22"/>
      <c r="P21" s="22"/>
      <c r="Q21" s="22"/>
      <c r="R21" s="22"/>
      <c r="S21" s="22"/>
      <c r="T21" s="22"/>
      <c r="U21" s="22"/>
      <c r="V21" s="22">
        <f>V16+1</f>
        <v>2</v>
      </c>
      <c r="W21" s="22"/>
      <c r="X21" s="22"/>
      <c r="Y21" s="23"/>
      <c r="Z21" s="22" t="s">
        <v>322</v>
      </c>
      <c r="AA21" s="22"/>
      <c r="AB21" s="22"/>
      <c r="AC21" s="22"/>
      <c r="AD21" s="22"/>
      <c r="AE21" s="22"/>
      <c r="AF21" s="22"/>
      <c r="AG21" s="22"/>
      <c r="AH21" s="22"/>
      <c r="AI21" s="22"/>
      <c r="AJ21" s="22"/>
      <c r="AK21" s="22"/>
      <c r="AL21" s="22"/>
      <c r="AM21" s="22" t="str">
        <f>+_xlfn.CONCAT(N21&amp;V21&amp;Z21)</f>
        <v xml:space="preserve"> Workbooks.Open "A:\Homes for Ukraine data\Ukraine_sponsorship_data_2.ods"</v>
      </c>
      <c r="AO21" t="s">
        <v>335</v>
      </c>
    </row>
    <row r="22" spans="1:41" x14ac:dyDescent="0.25">
      <c r="A22" s="19"/>
      <c r="B22" s="22" t="s">
        <v>533</v>
      </c>
      <c r="C22" s="22"/>
      <c r="D22" s="22"/>
      <c r="E22" s="22"/>
      <c r="F22" s="22"/>
      <c r="G22" s="22"/>
      <c r="H22" s="22"/>
      <c r="I22" s="22"/>
      <c r="J22" s="22"/>
      <c r="K22" s="22"/>
      <c r="L22" s="22"/>
      <c r="M22" s="22"/>
      <c r="N22" s="22" t="s">
        <v>323</v>
      </c>
      <c r="O22" s="22"/>
      <c r="P22" s="22"/>
      <c r="Q22" s="22"/>
      <c r="R22" s="22"/>
      <c r="S22" s="22"/>
      <c r="T22" s="22"/>
      <c r="U22" s="22"/>
      <c r="V22" s="22">
        <f>V17+1</f>
        <v>2</v>
      </c>
      <c r="W22" s="22"/>
      <c r="X22" s="22"/>
      <c r="Y22" s="23"/>
      <c r="Z22" s="22" t="s">
        <v>532</v>
      </c>
      <c r="AA22" s="22"/>
      <c r="AB22" s="22"/>
      <c r="AC22" s="22"/>
      <c r="AD22" s="22"/>
      <c r="AE22" s="22" t="s">
        <v>382</v>
      </c>
      <c r="AF22" s="22">
        <f>AF17</f>
        <v>11</v>
      </c>
      <c r="AG22" s="22" t="s">
        <v>327</v>
      </c>
      <c r="AH22" s="22"/>
      <c r="AI22" s="22">
        <f>AI17</f>
        <v>24</v>
      </c>
      <c r="AJ22" s="22"/>
      <c r="AK22" s="22" t="s">
        <v>325</v>
      </c>
      <c r="AL22" s="22"/>
      <c r="AM22" s="22" t="str">
        <f>_xlfn.CONCAT(N22&amp;V22&amp;Z22&amp;AE22&amp;AF22&amp;AG22&amp;AE22&amp;AI22&amp;AK22)</f>
        <v xml:space="preserve"> Workbooks("Ukraine_sponsorship_data_2.ods").Worksheets("Northern_Ireland").Range("D11:D24").Copy _</v>
      </c>
      <c r="AO22" t="s">
        <v>537</v>
      </c>
    </row>
    <row r="23" spans="1:41" ht="17.25" customHeight="1" x14ac:dyDescent="0.25">
      <c r="A23" s="19"/>
      <c r="B23" s="22" t="s">
        <v>808</v>
      </c>
      <c r="C23" s="22"/>
      <c r="D23" s="22"/>
      <c r="E23" s="22"/>
      <c r="F23" s="22"/>
      <c r="G23" s="22"/>
      <c r="H23" s="22"/>
      <c r="I23" s="22"/>
      <c r="J23" s="22"/>
      <c r="K23" s="22"/>
      <c r="L23" s="22"/>
      <c r="M23" s="22"/>
      <c r="N23" s="22" t="s">
        <v>809</v>
      </c>
      <c r="O23" s="22"/>
      <c r="P23" s="22"/>
      <c r="Q23" s="22"/>
      <c r="R23" s="22"/>
      <c r="S23" s="22"/>
      <c r="T23" s="22"/>
      <c r="U23" s="22"/>
      <c r="V23" s="22"/>
      <c r="W23" s="22" t="str">
        <f>CHAR(CODE(W18)+1)</f>
        <v>I</v>
      </c>
      <c r="X23" s="22"/>
      <c r="Y23" s="23">
        <f>Y18</f>
        <v>264</v>
      </c>
      <c r="Z23" s="22" t="s">
        <v>324</v>
      </c>
      <c r="AA23" s="22"/>
      <c r="AB23" s="22"/>
      <c r="AC23" s="22"/>
      <c r="AD23" s="22"/>
      <c r="AE23" s="22"/>
      <c r="AF23" s="22"/>
      <c r="AG23" s="22"/>
      <c r="AH23" s="22"/>
      <c r="AI23" s="22"/>
      <c r="AJ23" s="22"/>
      <c r="AK23" s="22"/>
      <c r="AL23" s="22"/>
      <c r="AM23" s="22" t="str">
        <f>_xlfn.CONCAT(N23&amp;W23&amp;Y23&amp;Z23)</f>
        <v>Workbooks("HFU Forecast UTLA 1.0.xlsm").Worksheets("Combined data").Range("I264")</v>
      </c>
      <c r="AO23" t="s">
        <v>885</v>
      </c>
    </row>
    <row r="24" spans="1:41" ht="17.25" customHeight="1" x14ac:dyDescent="0.25">
      <c r="A24" s="19"/>
      <c r="B24" s="22" t="s">
        <v>339</v>
      </c>
      <c r="C24" s="22"/>
      <c r="D24" s="22"/>
      <c r="E24" s="22"/>
      <c r="F24" s="22"/>
      <c r="G24" s="22"/>
      <c r="H24" s="22"/>
      <c r="I24" s="22"/>
      <c r="J24" s="22"/>
      <c r="K24" s="22"/>
      <c r="L24" s="22"/>
      <c r="M24" s="22"/>
      <c r="N24" s="22"/>
      <c r="O24" s="22"/>
      <c r="P24" s="22"/>
      <c r="Q24" s="22"/>
      <c r="R24" s="22"/>
      <c r="S24" s="22"/>
      <c r="T24" s="22"/>
      <c r="U24" s="22"/>
      <c r="V24" s="22"/>
      <c r="W24" s="22"/>
      <c r="X24" s="22"/>
      <c r="Y24" s="23"/>
      <c r="Z24" s="22"/>
      <c r="AA24" s="22"/>
      <c r="AB24" s="22"/>
      <c r="AC24" s="22"/>
      <c r="AD24" s="22"/>
      <c r="AE24" s="22"/>
      <c r="AF24" s="22"/>
      <c r="AG24" s="22"/>
      <c r="AH24" s="22"/>
      <c r="AI24" s="22"/>
      <c r="AJ24" s="22"/>
      <c r="AK24" s="22"/>
      <c r="AL24" s="22"/>
      <c r="AM24" s="22" t="str">
        <f>B24</f>
        <v>ActiveWorkbook.Close SaveChanges:=False</v>
      </c>
      <c r="AO24" t="s">
        <v>339</v>
      </c>
    </row>
    <row r="26" spans="1:41" x14ac:dyDescent="0.25">
      <c r="B26" s="19" t="s">
        <v>316</v>
      </c>
      <c r="C26" s="19"/>
      <c r="D26" s="19"/>
      <c r="E26" s="19"/>
      <c r="F26" s="19"/>
      <c r="G26" s="19"/>
      <c r="H26" s="19"/>
      <c r="I26" s="19"/>
      <c r="J26" s="19"/>
      <c r="K26" s="19"/>
      <c r="L26" s="19"/>
      <c r="M26" s="19"/>
      <c r="N26" s="19" t="s">
        <v>321</v>
      </c>
      <c r="O26" s="19"/>
      <c r="P26" s="19"/>
      <c r="Q26" s="19"/>
      <c r="R26" s="19"/>
      <c r="S26" s="19"/>
      <c r="T26" s="19"/>
      <c r="U26" s="19"/>
      <c r="V26" s="19">
        <f>V21+1</f>
        <v>3</v>
      </c>
      <c r="W26" s="19"/>
      <c r="X26" s="19"/>
      <c r="Y26" s="21"/>
      <c r="Z26" s="19" t="s">
        <v>322</v>
      </c>
      <c r="AA26" s="19"/>
      <c r="AB26" s="19"/>
      <c r="AC26" s="19"/>
      <c r="AD26" s="19"/>
      <c r="AE26" s="19"/>
      <c r="AF26" s="19"/>
      <c r="AG26" s="19"/>
      <c r="AH26" s="19"/>
      <c r="AI26" s="19"/>
      <c r="AJ26" s="19"/>
      <c r="AK26" s="19"/>
      <c r="AL26" s="19"/>
      <c r="AM26" s="19" t="str">
        <f>+_xlfn.CONCAT(N26&amp;V26&amp;Z26)</f>
        <v xml:space="preserve"> Workbooks.Open "A:\Homes for Ukraine data\Ukraine_sponsorship_data_3.ods"</v>
      </c>
      <c r="AO26" t="s">
        <v>336</v>
      </c>
    </row>
    <row r="27" spans="1:41" x14ac:dyDescent="0.25">
      <c r="B27" s="19" t="s">
        <v>533</v>
      </c>
      <c r="C27" s="19"/>
      <c r="D27" s="19"/>
      <c r="E27" s="19"/>
      <c r="F27" s="19"/>
      <c r="G27" s="19"/>
      <c r="H27" s="19"/>
      <c r="I27" s="19"/>
      <c r="J27" s="19"/>
      <c r="K27" s="19"/>
      <c r="L27" s="19"/>
      <c r="M27" s="19"/>
      <c r="N27" s="19" t="s">
        <v>323</v>
      </c>
      <c r="O27" s="19"/>
      <c r="P27" s="19"/>
      <c r="Q27" s="19"/>
      <c r="R27" s="19"/>
      <c r="S27" s="19"/>
      <c r="T27" s="19"/>
      <c r="U27" s="19"/>
      <c r="V27" s="19">
        <f>V22+1</f>
        <v>3</v>
      </c>
      <c r="W27" s="19"/>
      <c r="X27" s="19"/>
      <c r="Y27" s="21"/>
      <c r="Z27" s="19" t="s">
        <v>532</v>
      </c>
      <c r="AA27" s="19"/>
      <c r="AB27" s="19"/>
      <c r="AC27" s="19"/>
      <c r="AD27" s="19"/>
      <c r="AE27" s="19" t="s">
        <v>382</v>
      </c>
      <c r="AF27" s="19">
        <f>AF22</f>
        <v>11</v>
      </c>
      <c r="AG27" s="19" t="s">
        <v>327</v>
      </c>
      <c r="AH27" s="19"/>
      <c r="AI27" s="19">
        <f>AI22</f>
        <v>24</v>
      </c>
      <c r="AJ27" s="19"/>
      <c r="AK27" s="19" t="s">
        <v>325</v>
      </c>
      <c r="AL27" s="19"/>
      <c r="AM27" s="19" t="str">
        <f>_xlfn.CONCAT(N27&amp;V27&amp;Z27&amp;AE27&amp;AF27&amp;AG27&amp;AE27&amp;AI27&amp;AK27)</f>
        <v xml:space="preserve"> Workbooks("Ukraine_sponsorship_data_3.ods").Worksheets("Northern_Ireland").Range("D11:D24").Copy _</v>
      </c>
      <c r="AO27" t="s">
        <v>538</v>
      </c>
    </row>
    <row r="28" spans="1:41" x14ac:dyDescent="0.25">
      <c r="B28" s="19" t="s">
        <v>808</v>
      </c>
      <c r="C28" s="19"/>
      <c r="D28" s="19"/>
      <c r="E28" s="19"/>
      <c r="F28" s="19"/>
      <c r="G28" s="19"/>
      <c r="H28" s="19"/>
      <c r="I28" s="19"/>
      <c r="J28" s="19"/>
      <c r="K28" s="19"/>
      <c r="L28" s="19"/>
      <c r="M28" s="19"/>
      <c r="N28" s="19" t="s">
        <v>809</v>
      </c>
      <c r="O28" s="19"/>
      <c r="P28" s="19"/>
      <c r="Q28" s="19"/>
      <c r="R28" s="19"/>
      <c r="S28" s="19"/>
      <c r="T28" s="19"/>
      <c r="U28" s="19"/>
      <c r="V28" s="19"/>
      <c r="W28" s="19" t="str">
        <f>CHAR(CODE(W23)+1)</f>
        <v>J</v>
      </c>
      <c r="X28" s="19"/>
      <c r="Y28" s="21">
        <f>Y23</f>
        <v>264</v>
      </c>
      <c r="Z28" s="19" t="s">
        <v>324</v>
      </c>
      <c r="AA28" s="19"/>
      <c r="AB28" s="19"/>
      <c r="AC28" s="19"/>
      <c r="AD28" s="19"/>
      <c r="AE28" s="19"/>
      <c r="AF28" s="19"/>
      <c r="AG28" s="19"/>
      <c r="AH28" s="19"/>
      <c r="AI28" s="19"/>
      <c r="AJ28" s="19"/>
      <c r="AK28" s="19"/>
      <c r="AL28" s="19"/>
      <c r="AM28" s="19" t="str">
        <f>_xlfn.CONCAT(N28&amp;W28&amp;Y28&amp;Z28)</f>
        <v>Workbooks("HFU Forecast UTLA 1.0.xlsm").Worksheets("Combined data").Range("J264")</v>
      </c>
      <c r="AO28" t="s">
        <v>886</v>
      </c>
    </row>
    <row r="29" spans="1:41" x14ac:dyDescent="0.25">
      <c r="B29" s="19" t="s">
        <v>339</v>
      </c>
      <c r="C29" s="19"/>
      <c r="D29" s="19"/>
      <c r="E29" s="19"/>
      <c r="F29" s="19"/>
      <c r="G29" s="19"/>
      <c r="H29" s="19"/>
      <c r="I29" s="19"/>
      <c r="J29" s="19"/>
      <c r="K29" s="19"/>
      <c r="L29" s="19"/>
      <c r="M29" s="19"/>
      <c r="N29" s="19"/>
      <c r="O29" s="19"/>
      <c r="P29" s="19"/>
      <c r="Q29" s="19"/>
      <c r="R29" s="19"/>
      <c r="S29" s="19"/>
      <c r="T29" s="19"/>
      <c r="U29" s="19"/>
      <c r="V29" s="19"/>
      <c r="W29" s="19"/>
      <c r="X29" s="19"/>
      <c r="Y29" s="21"/>
      <c r="Z29" s="19"/>
      <c r="AA29" s="19"/>
      <c r="AB29" s="19"/>
      <c r="AC29" s="19"/>
      <c r="AD29" s="19"/>
      <c r="AE29" s="19"/>
      <c r="AF29" s="19"/>
      <c r="AG29" s="19"/>
      <c r="AH29" s="19"/>
      <c r="AI29" s="19"/>
      <c r="AJ29" s="19"/>
      <c r="AK29" s="19"/>
      <c r="AL29" s="19"/>
      <c r="AM29" s="19" t="str">
        <f>B29</f>
        <v>ActiveWorkbook.Close SaveChanges:=False</v>
      </c>
      <c r="AO29" t="s">
        <v>339</v>
      </c>
    </row>
    <row r="31" spans="1:41" x14ac:dyDescent="0.25">
      <c r="B31" s="22" t="s">
        <v>316</v>
      </c>
      <c r="C31" s="22"/>
      <c r="D31" s="22"/>
      <c r="E31" s="22"/>
      <c r="F31" s="22"/>
      <c r="G31" s="22"/>
      <c r="H31" s="22"/>
      <c r="I31" s="22"/>
      <c r="J31" s="22"/>
      <c r="K31" s="22"/>
      <c r="L31" s="22"/>
      <c r="M31" s="22"/>
      <c r="N31" s="22" t="s">
        <v>321</v>
      </c>
      <c r="O31" s="22"/>
      <c r="P31" s="22"/>
      <c r="Q31" s="22"/>
      <c r="R31" s="22"/>
      <c r="S31" s="22"/>
      <c r="T31" s="22"/>
      <c r="U31" s="22"/>
      <c r="V31" s="22">
        <f>V26+1</f>
        <v>4</v>
      </c>
      <c r="W31" s="22"/>
      <c r="X31" s="22"/>
      <c r="Y31" s="23"/>
      <c r="Z31" s="22" t="s">
        <v>322</v>
      </c>
      <c r="AA31" s="22"/>
      <c r="AB31" s="22"/>
      <c r="AC31" s="22"/>
      <c r="AD31" s="22"/>
      <c r="AE31" s="22"/>
      <c r="AF31" s="22"/>
      <c r="AG31" s="22"/>
      <c r="AH31" s="22"/>
      <c r="AI31" s="22"/>
      <c r="AJ31" s="22"/>
      <c r="AK31" s="22"/>
      <c r="AL31" s="22"/>
      <c r="AM31" s="22" t="str">
        <f>+_xlfn.CONCAT(N31&amp;V31&amp;Z31)</f>
        <v xml:space="preserve"> Workbooks.Open "A:\Homes for Ukraine data\Ukraine_sponsorship_data_4.ods"</v>
      </c>
      <c r="AO31" t="s">
        <v>340</v>
      </c>
    </row>
    <row r="32" spans="1:41" x14ac:dyDescent="0.25">
      <c r="B32" s="22" t="s">
        <v>533</v>
      </c>
      <c r="C32" s="22"/>
      <c r="D32" s="22"/>
      <c r="E32" s="22"/>
      <c r="F32" s="22"/>
      <c r="G32" s="22"/>
      <c r="H32" s="22"/>
      <c r="I32" s="22"/>
      <c r="J32" s="22"/>
      <c r="K32" s="22"/>
      <c r="L32" s="22"/>
      <c r="M32" s="22"/>
      <c r="N32" s="22" t="s">
        <v>323</v>
      </c>
      <c r="O32" s="22"/>
      <c r="P32" s="22"/>
      <c r="Q32" s="22"/>
      <c r="R32" s="22"/>
      <c r="S32" s="22"/>
      <c r="T32" s="22"/>
      <c r="U32" s="22"/>
      <c r="V32" s="22">
        <f>V27+1</f>
        <v>4</v>
      </c>
      <c r="W32" s="22"/>
      <c r="X32" s="22"/>
      <c r="Y32" s="23"/>
      <c r="Z32" s="22" t="s">
        <v>532</v>
      </c>
      <c r="AA32" s="22"/>
      <c r="AB32" s="22"/>
      <c r="AC32" s="22"/>
      <c r="AD32" s="22"/>
      <c r="AE32" s="22" t="s">
        <v>382</v>
      </c>
      <c r="AF32" s="22">
        <f t="shared" ref="AF32" si="0">AF27</f>
        <v>11</v>
      </c>
      <c r="AG32" s="22" t="s">
        <v>327</v>
      </c>
      <c r="AH32" s="22"/>
      <c r="AI32" s="22">
        <f t="shared" ref="AI32" si="1">AI27</f>
        <v>24</v>
      </c>
      <c r="AJ32" s="22"/>
      <c r="AK32" s="22" t="s">
        <v>325</v>
      </c>
      <c r="AL32" s="22"/>
      <c r="AM32" s="22" t="str">
        <f>_xlfn.CONCAT(N32&amp;V32&amp;Z32&amp;AE32&amp;AF32&amp;AG32&amp;AE32&amp;AI32&amp;AK32)</f>
        <v xml:space="preserve"> Workbooks("Ukraine_sponsorship_data_4.ods").Worksheets("Northern_Ireland").Range("D11:D24").Copy _</v>
      </c>
      <c r="AO32" t="s">
        <v>539</v>
      </c>
    </row>
    <row r="33" spans="2:41" x14ac:dyDescent="0.25">
      <c r="B33" s="22" t="s">
        <v>808</v>
      </c>
      <c r="C33" s="22"/>
      <c r="D33" s="22"/>
      <c r="E33" s="22"/>
      <c r="F33" s="22"/>
      <c r="G33" s="22"/>
      <c r="H33" s="22"/>
      <c r="I33" s="22"/>
      <c r="J33" s="22"/>
      <c r="K33" s="22"/>
      <c r="L33" s="22"/>
      <c r="M33" s="22"/>
      <c r="N33" s="22" t="s">
        <v>809</v>
      </c>
      <c r="O33" s="22"/>
      <c r="P33" s="22"/>
      <c r="Q33" s="22"/>
      <c r="R33" s="22"/>
      <c r="S33" s="22"/>
      <c r="T33" s="22"/>
      <c r="U33" s="22"/>
      <c r="V33" s="22"/>
      <c r="W33" s="22" t="str">
        <f>CHAR(CODE(W28)+1)</f>
        <v>K</v>
      </c>
      <c r="X33" s="22"/>
      <c r="Y33" s="23">
        <f t="shared" ref="Y33" si="2">Y28</f>
        <v>264</v>
      </c>
      <c r="Z33" s="22" t="s">
        <v>324</v>
      </c>
      <c r="AA33" s="22"/>
      <c r="AB33" s="22"/>
      <c r="AC33" s="22"/>
      <c r="AD33" s="22"/>
      <c r="AE33" s="22"/>
      <c r="AF33" s="22"/>
      <c r="AG33" s="22"/>
      <c r="AH33" s="22"/>
      <c r="AI33" s="22"/>
      <c r="AJ33" s="22"/>
      <c r="AK33" s="22"/>
      <c r="AL33" s="22"/>
      <c r="AM33" s="22" t="str">
        <f>_xlfn.CONCAT(N33&amp;W33&amp;Y33&amp;Z33)</f>
        <v>Workbooks("HFU Forecast UTLA 1.0.xlsm").Worksheets("Combined data").Range("K264")</v>
      </c>
      <c r="AO33" t="s">
        <v>887</v>
      </c>
    </row>
    <row r="34" spans="2:41" x14ac:dyDescent="0.25">
      <c r="B34" s="22" t="s">
        <v>339</v>
      </c>
      <c r="C34" s="22"/>
      <c r="D34" s="22"/>
      <c r="E34" s="22"/>
      <c r="F34" s="22"/>
      <c r="G34" s="22"/>
      <c r="H34" s="22"/>
      <c r="I34" s="22"/>
      <c r="J34" s="22"/>
      <c r="K34" s="22"/>
      <c r="L34" s="22"/>
      <c r="M34" s="22"/>
      <c r="N34" s="22"/>
      <c r="O34" s="22"/>
      <c r="P34" s="22"/>
      <c r="Q34" s="22"/>
      <c r="R34" s="22"/>
      <c r="S34" s="22"/>
      <c r="T34" s="22"/>
      <c r="U34" s="22"/>
      <c r="V34" s="22"/>
      <c r="W34" s="22"/>
      <c r="X34" s="22"/>
      <c r="Y34" s="23"/>
      <c r="Z34" s="22"/>
      <c r="AA34" s="22"/>
      <c r="AB34" s="22"/>
      <c r="AC34" s="22"/>
      <c r="AD34" s="22"/>
      <c r="AE34" s="22"/>
      <c r="AF34" s="22"/>
      <c r="AG34" s="22"/>
      <c r="AH34" s="22"/>
      <c r="AI34" s="22"/>
      <c r="AJ34" s="22"/>
      <c r="AK34" s="22"/>
      <c r="AL34" s="22"/>
      <c r="AM34" s="22" t="str">
        <f>B34</f>
        <v>ActiveWorkbook.Close SaveChanges:=False</v>
      </c>
      <c r="AO34" t="s">
        <v>339</v>
      </c>
    </row>
    <row r="36" spans="2:41" x14ac:dyDescent="0.25">
      <c r="B36" s="19" t="s">
        <v>316</v>
      </c>
      <c r="C36" s="19"/>
      <c r="D36" s="19"/>
      <c r="E36" s="19"/>
      <c r="F36" s="19"/>
      <c r="G36" s="19"/>
      <c r="H36" s="19"/>
      <c r="I36" s="19"/>
      <c r="J36" s="19"/>
      <c r="K36" s="19"/>
      <c r="L36" s="19"/>
      <c r="M36" s="19"/>
      <c r="N36" s="19" t="s">
        <v>321</v>
      </c>
      <c r="O36" s="19"/>
      <c r="P36" s="19"/>
      <c r="Q36" s="19"/>
      <c r="R36" s="19"/>
      <c r="S36" s="19"/>
      <c r="T36" s="19"/>
      <c r="U36" s="19"/>
      <c r="V36" s="19">
        <f t="shared" ref="V36:V37" si="3">V31+1</f>
        <v>5</v>
      </c>
      <c r="W36" s="19"/>
      <c r="X36" s="19"/>
      <c r="Y36" s="21"/>
      <c r="Z36" s="19" t="s">
        <v>322</v>
      </c>
      <c r="AA36" s="19"/>
      <c r="AB36" s="19"/>
      <c r="AC36" s="19"/>
      <c r="AD36" s="19"/>
      <c r="AE36" s="19"/>
      <c r="AF36" s="19"/>
      <c r="AG36" s="19"/>
      <c r="AH36" s="19"/>
      <c r="AI36" s="19"/>
      <c r="AJ36" s="19"/>
      <c r="AK36" s="19"/>
      <c r="AL36" s="19"/>
      <c r="AM36" s="19" t="str">
        <f t="shared" ref="AM36" si="4">+_xlfn.CONCAT(N36&amp;V36&amp;Z36)</f>
        <v xml:space="preserve"> Workbooks.Open "A:\Homes for Ukraine data\Ukraine_sponsorship_data_5.ods"</v>
      </c>
      <c r="AO36" t="s">
        <v>341</v>
      </c>
    </row>
    <row r="37" spans="2:41" x14ac:dyDescent="0.25">
      <c r="B37" s="19" t="s">
        <v>533</v>
      </c>
      <c r="C37" s="19"/>
      <c r="D37" s="19"/>
      <c r="E37" s="19"/>
      <c r="F37" s="19"/>
      <c r="G37" s="19"/>
      <c r="H37" s="19"/>
      <c r="I37" s="19"/>
      <c r="J37" s="19"/>
      <c r="K37" s="19"/>
      <c r="L37" s="19"/>
      <c r="M37" s="19"/>
      <c r="N37" s="19" t="s">
        <v>323</v>
      </c>
      <c r="O37" s="19"/>
      <c r="P37" s="19"/>
      <c r="Q37" s="19"/>
      <c r="R37" s="19"/>
      <c r="S37" s="19"/>
      <c r="T37" s="19"/>
      <c r="U37" s="19"/>
      <c r="V37" s="19">
        <f t="shared" si="3"/>
        <v>5</v>
      </c>
      <c r="W37" s="19"/>
      <c r="X37" s="19"/>
      <c r="Y37" s="21"/>
      <c r="Z37" s="19" t="s">
        <v>532</v>
      </c>
      <c r="AA37" s="19"/>
      <c r="AB37" s="19"/>
      <c r="AC37" s="19"/>
      <c r="AD37" s="19"/>
      <c r="AE37" s="19" t="s">
        <v>382</v>
      </c>
      <c r="AF37" s="19">
        <f t="shared" ref="AF37" si="5">AF32</f>
        <v>11</v>
      </c>
      <c r="AG37" s="19" t="s">
        <v>327</v>
      </c>
      <c r="AH37" s="19"/>
      <c r="AI37" s="19">
        <f t="shared" ref="AI37" si="6">AI32</f>
        <v>24</v>
      </c>
      <c r="AJ37" s="19"/>
      <c r="AK37" s="19" t="s">
        <v>325</v>
      </c>
      <c r="AL37" s="19"/>
      <c r="AM37" s="19" t="str">
        <f t="shared" ref="AM37" si="7">_xlfn.CONCAT(N37&amp;V37&amp;Z37&amp;AE37&amp;AF37&amp;AG37&amp;AE37&amp;AI37&amp;AK37)</f>
        <v xml:space="preserve"> Workbooks("Ukraine_sponsorship_data_5.ods").Worksheets("Northern_Ireland").Range("D11:D24").Copy _</v>
      </c>
      <c r="AO37" t="s">
        <v>540</v>
      </c>
    </row>
    <row r="38" spans="2:41" x14ac:dyDescent="0.25">
      <c r="B38" s="19" t="s">
        <v>808</v>
      </c>
      <c r="C38" s="19"/>
      <c r="D38" s="19"/>
      <c r="E38" s="19"/>
      <c r="F38" s="19"/>
      <c r="G38" s="19"/>
      <c r="H38" s="19"/>
      <c r="I38" s="19"/>
      <c r="J38" s="19"/>
      <c r="K38" s="19"/>
      <c r="L38" s="19"/>
      <c r="M38" s="19"/>
      <c r="N38" s="19" t="s">
        <v>809</v>
      </c>
      <c r="O38" s="19"/>
      <c r="P38" s="19"/>
      <c r="Q38" s="19"/>
      <c r="R38" s="19"/>
      <c r="S38" s="19"/>
      <c r="T38" s="19"/>
      <c r="U38" s="19"/>
      <c r="V38" s="19"/>
      <c r="W38" s="19" t="str">
        <f t="shared" ref="W38" si="8">CHAR(CODE(W33)+1)</f>
        <v>L</v>
      </c>
      <c r="X38" s="19"/>
      <c r="Y38" s="21">
        <f t="shared" ref="Y38" si="9">Y33</f>
        <v>264</v>
      </c>
      <c r="Z38" s="19" t="s">
        <v>324</v>
      </c>
      <c r="AA38" s="19"/>
      <c r="AB38" s="19"/>
      <c r="AC38" s="19"/>
      <c r="AD38" s="19"/>
      <c r="AE38" s="19"/>
      <c r="AF38" s="19"/>
      <c r="AG38" s="19"/>
      <c r="AH38" s="19"/>
      <c r="AI38" s="19"/>
      <c r="AJ38" s="19"/>
      <c r="AK38" s="19"/>
      <c r="AL38" s="19"/>
      <c r="AM38" s="19" t="str">
        <f t="shared" ref="AM38" si="10">_xlfn.CONCAT(N38&amp;W38&amp;Y38&amp;Z38)</f>
        <v>Workbooks("HFU Forecast UTLA 1.0.xlsm").Worksheets("Combined data").Range("L264")</v>
      </c>
      <c r="AO38" t="s">
        <v>888</v>
      </c>
    </row>
    <row r="39" spans="2:41" x14ac:dyDescent="0.25">
      <c r="B39" s="19" t="s">
        <v>339</v>
      </c>
      <c r="C39" s="19"/>
      <c r="D39" s="19"/>
      <c r="E39" s="19"/>
      <c r="F39" s="19"/>
      <c r="G39" s="19"/>
      <c r="H39" s="19"/>
      <c r="I39" s="19"/>
      <c r="J39" s="19"/>
      <c r="K39" s="19"/>
      <c r="L39" s="19"/>
      <c r="M39" s="19"/>
      <c r="N39" s="19"/>
      <c r="O39" s="19"/>
      <c r="P39" s="19"/>
      <c r="Q39" s="19"/>
      <c r="R39" s="19"/>
      <c r="S39" s="19"/>
      <c r="T39" s="19"/>
      <c r="U39" s="19"/>
      <c r="V39" s="19"/>
      <c r="W39" s="19"/>
      <c r="X39" s="19"/>
      <c r="Y39" s="21"/>
      <c r="Z39" s="19"/>
      <c r="AA39" s="19"/>
      <c r="AB39" s="19"/>
      <c r="AC39" s="19"/>
      <c r="AD39" s="19"/>
      <c r="AE39" s="19"/>
      <c r="AF39" s="19"/>
      <c r="AG39" s="19"/>
      <c r="AH39" s="19"/>
      <c r="AI39" s="19"/>
      <c r="AJ39" s="19"/>
      <c r="AK39" s="19"/>
      <c r="AL39" s="19"/>
      <c r="AM39" s="19" t="str">
        <f t="shared" ref="AM39" si="11">B39</f>
        <v>ActiveWorkbook.Close SaveChanges:=False</v>
      </c>
      <c r="AO39" t="s">
        <v>339</v>
      </c>
    </row>
    <row r="41" spans="2:41" x14ac:dyDescent="0.25">
      <c r="B41" s="22" t="s">
        <v>316</v>
      </c>
      <c r="C41" s="22"/>
      <c r="D41" s="22"/>
      <c r="E41" s="22"/>
      <c r="F41" s="22"/>
      <c r="G41" s="22"/>
      <c r="H41" s="22"/>
      <c r="I41" s="22"/>
      <c r="J41" s="22"/>
      <c r="K41" s="22"/>
      <c r="L41" s="22"/>
      <c r="M41" s="22"/>
      <c r="N41" s="22" t="s">
        <v>321</v>
      </c>
      <c r="O41" s="22"/>
      <c r="P41" s="22"/>
      <c r="Q41" s="22"/>
      <c r="R41" s="22"/>
      <c r="S41" s="22"/>
      <c r="T41" s="22"/>
      <c r="U41" s="22"/>
      <c r="V41" s="22">
        <f t="shared" ref="V41:V42" si="12">V36+1</f>
        <v>6</v>
      </c>
      <c r="W41" s="22"/>
      <c r="X41" s="22"/>
      <c r="Y41" s="23"/>
      <c r="Z41" s="22" t="s">
        <v>322</v>
      </c>
      <c r="AA41" s="22"/>
      <c r="AB41" s="22"/>
      <c r="AC41" s="22"/>
      <c r="AD41" s="22"/>
      <c r="AE41" s="22"/>
      <c r="AF41" s="22"/>
      <c r="AG41" s="22"/>
      <c r="AH41" s="22"/>
      <c r="AI41" s="22"/>
      <c r="AJ41" s="22"/>
      <c r="AK41" s="22"/>
      <c r="AL41" s="22"/>
      <c r="AM41" s="22" t="str">
        <f t="shared" ref="AM41" si="13">+_xlfn.CONCAT(N41&amp;V41&amp;Z41)</f>
        <v xml:space="preserve"> Workbooks.Open "A:\Homes for Ukraine data\Ukraine_sponsorship_data_6.ods"</v>
      </c>
      <c r="AO41" t="s">
        <v>342</v>
      </c>
    </row>
    <row r="42" spans="2:41" x14ac:dyDescent="0.25">
      <c r="B42" s="22" t="s">
        <v>533</v>
      </c>
      <c r="C42" s="22"/>
      <c r="D42" s="22"/>
      <c r="E42" s="22"/>
      <c r="F42" s="22"/>
      <c r="G42" s="22"/>
      <c r="H42" s="22"/>
      <c r="I42" s="22"/>
      <c r="J42" s="22"/>
      <c r="K42" s="22"/>
      <c r="L42" s="22"/>
      <c r="M42" s="22"/>
      <c r="N42" s="22" t="s">
        <v>323</v>
      </c>
      <c r="O42" s="22"/>
      <c r="P42" s="22"/>
      <c r="Q42" s="22"/>
      <c r="R42" s="22"/>
      <c r="S42" s="22"/>
      <c r="T42" s="22"/>
      <c r="U42" s="22"/>
      <c r="V42" s="22">
        <f t="shared" si="12"/>
        <v>6</v>
      </c>
      <c r="W42" s="22"/>
      <c r="X42" s="22"/>
      <c r="Y42" s="23"/>
      <c r="Z42" s="22" t="s">
        <v>532</v>
      </c>
      <c r="AA42" s="22"/>
      <c r="AB42" s="22"/>
      <c r="AC42" s="22"/>
      <c r="AD42" s="22"/>
      <c r="AE42" s="22" t="s">
        <v>382</v>
      </c>
      <c r="AF42" s="22">
        <f t="shared" ref="AF42" si="14">AF37</f>
        <v>11</v>
      </c>
      <c r="AG42" s="22" t="s">
        <v>327</v>
      </c>
      <c r="AH42" s="22"/>
      <c r="AI42" s="22">
        <f t="shared" ref="AI42" si="15">AI37</f>
        <v>24</v>
      </c>
      <c r="AJ42" s="22"/>
      <c r="AK42" s="22" t="s">
        <v>325</v>
      </c>
      <c r="AL42" s="22"/>
      <c r="AM42" s="22" t="str">
        <f t="shared" ref="AM42" si="16">_xlfn.CONCAT(N42&amp;V42&amp;Z42&amp;AE42&amp;AF42&amp;AG42&amp;AE42&amp;AI42&amp;AK42)</f>
        <v xml:space="preserve"> Workbooks("Ukraine_sponsorship_data_6.ods").Worksheets("Northern_Ireland").Range("D11:D24").Copy _</v>
      </c>
      <c r="AO42" t="s">
        <v>541</v>
      </c>
    </row>
    <row r="43" spans="2:41" x14ac:dyDescent="0.25">
      <c r="B43" s="22" t="s">
        <v>808</v>
      </c>
      <c r="C43" s="22"/>
      <c r="D43" s="22"/>
      <c r="E43" s="22"/>
      <c r="F43" s="22"/>
      <c r="G43" s="22"/>
      <c r="H43" s="22"/>
      <c r="I43" s="22"/>
      <c r="J43" s="22"/>
      <c r="K43" s="22"/>
      <c r="L43" s="22"/>
      <c r="M43" s="22"/>
      <c r="N43" s="22" t="s">
        <v>809</v>
      </c>
      <c r="O43" s="22"/>
      <c r="P43" s="22"/>
      <c r="Q43" s="22"/>
      <c r="R43" s="22"/>
      <c r="S43" s="22"/>
      <c r="T43" s="22"/>
      <c r="U43" s="22"/>
      <c r="V43" s="22"/>
      <c r="W43" s="22" t="str">
        <f t="shared" ref="W43" si="17">CHAR(CODE(W38)+1)</f>
        <v>M</v>
      </c>
      <c r="X43" s="22"/>
      <c r="Y43" s="23">
        <f t="shared" ref="Y43" si="18">Y38</f>
        <v>264</v>
      </c>
      <c r="Z43" s="22" t="s">
        <v>324</v>
      </c>
      <c r="AA43" s="22"/>
      <c r="AB43" s="22"/>
      <c r="AC43" s="22"/>
      <c r="AD43" s="22"/>
      <c r="AE43" s="22"/>
      <c r="AF43" s="22"/>
      <c r="AG43" s="22"/>
      <c r="AH43" s="22"/>
      <c r="AI43" s="22"/>
      <c r="AJ43" s="22"/>
      <c r="AK43" s="22"/>
      <c r="AL43" s="22"/>
      <c r="AM43" s="22" t="str">
        <f t="shared" ref="AM43" si="19">_xlfn.CONCAT(N43&amp;W43&amp;Y43&amp;Z43)</f>
        <v>Workbooks("HFU Forecast UTLA 1.0.xlsm").Worksheets("Combined data").Range("M264")</v>
      </c>
      <c r="AO43" t="s">
        <v>889</v>
      </c>
    </row>
    <row r="44" spans="2:41" x14ac:dyDescent="0.25">
      <c r="B44" s="22" t="s">
        <v>339</v>
      </c>
      <c r="C44" s="22"/>
      <c r="D44" s="22"/>
      <c r="E44" s="22"/>
      <c r="F44" s="22"/>
      <c r="G44" s="22"/>
      <c r="H44" s="22"/>
      <c r="I44" s="22"/>
      <c r="J44" s="22"/>
      <c r="K44" s="22"/>
      <c r="L44" s="22"/>
      <c r="M44" s="22"/>
      <c r="N44" s="22"/>
      <c r="O44" s="22"/>
      <c r="P44" s="22"/>
      <c r="Q44" s="22"/>
      <c r="R44" s="22"/>
      <c r="S44" s="22"/>
      <c r="T44" s="22"/>
      <c r="U44" s="22"/>
      <c r="V44" s="22"/>
      <c r="W44" s="22"/>
      <c r="X44" s="22"/>
      <c r="Y44" s="23"/>
      <c r="Z44" s="22"/>
      <c r="AA44" s="22"/>
      <c r="AB44" s="22"/>
      <c r="AC44" s="22"/>
      <c r="AD44" s="22"/>
      <c r="AE44" s="22"/>
      <c r="AF44" s="22"/>
      <c r="AG44" s="22"/>
      <c r="AH44" s="22"/>
      <c r="AI44" s="22"/>
      <c r="AJ44" s="22"/>
      <c r="AK44" s="22"/>
      <c r="AL44" s="22"/>
      <c r="AM44" s="22" t="str">
        <f t="shared" ref="AM44" si="20">B44</f>
        <v>ActiveWorkbook.Close SaveChanges:=False</v>
      </c>
      <c r="AO44" t="s">
        <v>339</v>
      </c>
    </row>
    <row r="46" spans="2:41" x14ac:dyDescent="0.25">
      <c r="B46" s="19" t="s">
        <v>316</v>
      </c>
      <c r="C46" s="19"/>
      <c r="D46" s="19"/>
      <c r="E46" s="19"/>
      <c r="F46" s="19"/>
      <c r="G46" s="19"/>
      <c r="H46" s="19"/>
      <c r="I46" s="19"/>
      <c r="J46" s="19"/>
      <c r="K46" s="19"/>
      <c r="L46" s="19"/>
      <c r="M46" s="19"/>
      <c r="N46" s="19" t="s">
        <v>321</v>
      </c>
      <c r="O46" s="19"/>
      <c r="P46" s="19"/>
      <c r="Q46" s="19"/>
      <c r="R46" s="19"/>
      <c r="S46" s="19"/>
      <c r="T46" s="19"/>
      <c r="U46" s="19"/>
      <c r="V46" s="19">
        <f t="shared" ref="V46:V47" si="21">V41+1</f>
        <v>7</v>
      </c>
      <c r="W46" s="19"/>
      <c r="X46" s="19"/>
      <c r="Y46" s="21"/>
      <c r="Z46" s="19" t="s">
        <v>322</v>
      </c>
      <c r="AA46" s="19"/>
      <c r="AB46" s="19"/>
      <c r="AC46" s="19"/>
      <c r="AD46" s="19"/>
      <c r="AE46" s="19"/>
      <c r="AF46" s="19"/>
      <c r="AG46" s="19"/>
      <c r="AH46" s="19"/>
      <c r="AI46" s="19"/>
      <c r="AJ46" s="19"/>
      <c r="AK46" s="19"/>
      <c r="AL46" s="19"/>
      <c r="AM46" s="19" t="str">
        <f t="shared" ref="AM46" si="22">+_xlfn.CONCAT(N46&amp;V46&amp;Z46)</f>
        <v xml:space="preserve"> Workbooks.Open "A:\Homes for Ukraine data\Ukraine_sponsorship_data_7.ods"</v>
      </c>
      <c r="AO46" t="s">
        <v>343</v>
      </c>
    </row>
    <row r="47" spans="2:41" x14ac:dyDescent="0.25">
      <c r="B47" s="19" t="s">
        <v>533</v>
      </c>
      <c r="C47" s="19"/>
      <c r="D47" s="19"/>
      <c r="E47" s="19"/>
      <c r="F47" s="19"/>
      <c r="G47" s="19"/>
      <c r="H47" s="19"/>
      <c r="I47" s="19"/>
      <c r="J47" s="19"/>
      <c r="K47" s="19"/>
      <c r="L47" s="19"/>
      <c r="M47" s="19"/>
      <c r="N47" s="19" t="s">
        <v>323</v>
      </c>
      <c r="O47" s="19"/>
      <c r="P47" s="19"/>
      <c r="Q47" s="19"/>
      <c r="R47" s="19"/>
      <c r="S47" s="19"/>
      <c r="T47" s="19"/>
      <c r="U47" s="19"/>
      <c r="V47" s="19">
        <f t="shared" si="21"/>
        <v>7</v>
      </c>
      <c r="W47" s="19"/>
      <c r="X47" s="19"/>
      <c r="Y47" s="21"/>
      <c r="Z47" s="19" t="s">
        <v>532</v>
      </c>
      <c r="AA47" s="19"/>
      <c r="AB47" s="19"/>
      <c r="AC47" s="19"/>
      <c r="AD47" s="19"/>
      <c r="AE47" s="19" t="s">
        <v>382</v>
      </c>
      <c r="AF47" s="19">
        <f t="shared" ref="AF47" si="23">AF42</f>
        <v>11</v>
      </c>
      <c r="AG47" s="19" t="s">
        <v>327</v>
      </c>
      <c r="AH47" s="19"/>
      <c r="AI47" s="19">
        <f t="shared" ref="AI47" si="24">AI42</f>
        <v>24</v>
      </c>
      <c r="AJ47" s="19"/>
      <c r="AK47" s="19" t="s">
        <v>325</v>
      </c>
      <c r="AL47" s="19"/>
      <c r="AM47" s="19" t="str">
        <f t="shared" ref="AM47" si="25">_xlfn.CONCAT(N47&amp;V47&amp;Z47&amp;AE47&amp;AF47&amp;AG47&amp;AE47&amp;AI47&amp;AK47)</f>
        <v xml:space="preserve"> Workbooks("Ukraine_sponsorship_data_7.ods").Worksheets("Northern_Ireland").Range("D11:D24").Copy _</v>
      </c>
      <c r="AO47" t="s">
        <v>542</v>
      </c>
    </row>
    <row r="48" spans="2:41" x14ac:dyDescent="0.25">
      <c r="B48" s="19" t="s">
        <v>808</v>
      </c>
      <c r="C48" s="19"/>
      <c r="D48" s="19"/>
      <c r="E48" s="19"/>
      <c r="F48" s="19"/>
      <c r="G48" s="19"/>
      <c r="H48" s="19"/>
      <c r="I48" s="19"/>
      <c r="J48" s="19"/>
      <c r="K48" s="19"/>
      <c r="L48" s="19"/>
      <c r="M48" s="19"/>
      <c r="N48" s="19" t="s">
        <v>809</v>
      </c>
      <c r="O48" s="19"/>
      <c r="P48" s="19"/>
      <c r="Q48" s="19"/>
      <c r="R48" s="19"/>
      <c r="S48" s="19"/>
      <c r="T48" s="19"/>
      <c r="U48" s="19"/>
      <c r="V48" s="19"/>
      <c r="W48" s="19" t="str">
        <f t="shared" ref="W48" si="26">CHAR(CODE(W43)+1)</f>
        <v>N</v>
      </c>
      <c r="X48" s="19"/>
      <c r="Y48" s="21">
        <f t="shared" ref="Y48" si="27">Y43</f>
        <v>264</v>
      </c>
      <c r="Z48" s="19" t="s">
        <v>324</v>
      </c>
      <c r="AA48" s="19"/>
      <c r="AB48" s="19"/>
      <c r="AC48" s="19"/>
      <c r="AD48" s="19"/>
      <c r="AE48" s="19"/>
      <c r="AF48" s="19"/>
      <c r="AG48" s="19"/>
      <c r="AH48" s="19"/>
      <c r="AI48" s="19"/>
      <c r="AJ48" s="19"/>
      <c r="AK48" s="19"/>
      <c r="AL48" s="19"/>
      <c r="AM48" s="19" t="str">
        <f t="shared" ref="AM48" si="28">_xlfn.CONCAT(N48&amp;W48&amp;Y48&amp;Z48)</f>
        <v>Workbooks("HFU Forecast UTLA 1.0.xlsm").Worksheets("Combined data").Range("N264")</v>
      </c>
      <c r="AO48" t="s">
        <v>890</v>
      </c>
    </row>
    <row r="49" spans="2:41" x14ac:dyDescent="0.25">
      <c r="B49" s="19" t="s">
        <v>339</v>
      </c>
      <c r="C49" s="19"/>
      <c r="D49" s="19"/>
      <c r="E49" s="19"/>
      <c r="F49" s="19"/>
      <c r="G49" s="19"/>
      <c r="H49" s="19"/>
      <c r="I49" s="19"/>
      <c r="J49" s="19"/>
      <c r="K49" s="19"/>
      <c r="L49" s="19"/>
      <c r="M49" s="19"/>
      <c r="N49" s="19"/>
      <c r="O49" s="19"/>
      <c r="P49" s="19"/>
      <c r="Q49" s="19"/>
      <c r="R49" s="19"/>
      <c r="S49" s="19"/>
      <c r="T49" s="19"/>
      <c r="U49" s="19"/>
      <c r="V49" s="19"/>
      <c r="W49" s="19"/>
      <c r="X49" s="19"/>
      <c r="Y49" s="21"/>
      <c r="Z49" s="19"/>
      <c r="AA49" s="19"/>
      <c r="AB49" s="19"/>
      <c r="AC49" s="19"/>
      <c r="AD49" s="19"/>
      <c r="AE49" s="19"/>
      <c r="AF49" s="19"/>
      <c r="AG49" s="19"/>
      <c r="AH49" s="19"/>
      <c r="AI49" s="19"/>
      <c r="AJ49" s="19"/>
      <c r="AK49" s="19"/>
      <c r="AL49" s="19"/>
      <c r="AM49" s="19" t="str">
        <f t="shared" ref="AM49" si="29">B49</f>
        <v>ActiveWorkbook.Close SaveChanges:=False</v>
      </c>
      <c r="AO49" t="s">
        <v>339</v>
      </c>
    </row>
    <row r="51" spans="2:41" x14ac:dyDescent="0.25">
      <c r="B51" s="22" t="s">
        <v>316</v>
      </c>
      <c r="C51" s="22"/>
      <c r="D51" s="22"/>
      <c r="E51" s="22"/>
      <c r="F51" s="22"/>
      <c r="G51" s="22"/>
      <c r="H51" s="22"/>
      <c r="I51" s="22"/>
      <c r="J51" s="22"/>
      <c r="K51" s="22"/>
      <c r="L51" s="22"/>
      <c r="M51" s="22"/>
      <c r="N51" s="22" t="s">
        <v>321</v>
      </c>
      <c r="O51" s="22"/>
      <c r="P51" s="22"/>
      <c r="Q51" s="22"/>
      <c r="R51" s="22"/>
      <c r="S51" s="22"/>
      <c r="T51" s="22"/>
      <c r="U51" s="22"/>
      <c r="V51" s="22">
        <f t="shared" ref="V51:V52" si="30">V46+1</f>
        <v>8</v>
      </c>
      <c r="W51" s="22"/>
      <c r="X51" s="22"/>
      <c r="Y51" s="23"/>
      <c r="Z51" s="22" t="s">
        <v>322</v>
      </c>
      <c r="AA51" s="22"/>
      <c r="AB51" s="22"/>
      <c r="AC51" s="22"/>
      <c r="AD51" s="22"/>
      <c r="AE51" s="22"/>
      <c r="AF51" s="22"/>
      <c r="AG51" s="22"/>
      <c r="AH51" s="22"/>
      <c r="AI51" s="22"/>
      <c r="AJ51" s="22"/>
      <c r="AK51" s="22"/>
      <c r="AL51" s="22"/>
      <c r="AM51" s="22" t="str">
        <f t="shared" ref="AM51" si="31">+_xlfn.CONCAT(N51&amp;V51&amp;Z51)</f>
        <v xml:space="preserve"> Workbooks.Open "A:\Homes for Ukraine data\Ukraine_sponsorship_data_8.ods"</v>
      </c>
      <c r="AO51" t="s">
        <v>344</v>
      </c>
    </row>
    <row r="52" spans="2:41" x14ac:dyDescent="0.25">
      <c r="B52" s="22" t="s">
        <v>533</v>
      </c>
      <c r="C52" s="22"/>
      <c r="D52" s="22"/>
      <c r="E52" s="22"/>
      <c r="F52" s="22"/>
      <c r="G52" s="22"/>
      <c r="H52" s="22"/>
      <c r="I52" s="22"/>
      <c r="J52" s="22"/>
      <c r="K52" s="22"/>
      <c r="L52" s="22"/>
      <c r="M52" s="22"/>
      <c r="N52" s="22" t="s">
        <v>323</v>
      </c>
      <c r="O52" s="22"/>
      <c r="P52" s="22"/>
      <c r="Q52" s="22"/>
      <c r="R52" s="22"/>
      <c r="S52" s="22"/>
      <c r="T52" s="22"/>
      <c r="U52" s="22"/>
      <c r="V52" s="22">
        <f t="shared" si="30"/>
        <v>8</v>
      </c>
      <c r="W52" s="22"/>
      <c r="X52" s="22"/>
      <c r="Y52" s="23"/>
      <c r="Z52" s="22" t="s">
        <v>532</v>
      </c>
      <c r="AA52" s="22"/>
      <c r="AB52" s="22"/>
      <c r="AC52" s="22"/>
      <c r="AD52" s="22"/>
      <c r="AE52" s="22" t="s">
        <v>382</v>
      </c>
      <c r="AF52" s="22">
        <f t="shared" ref="AF52" si="32">AF47</f>
        <v>11</v>
      </c>
      <c r="AG52" s="22" t="s">
        <v>327</v>
      </c>
      <c r="AH52" s="22"/>
      <c r="AI52" s="22">
        <f t="shared" ref="AI52" si="33">AI47</f>
        <v>24</v>
      </c>
      <c r="AJ52" s="22"/>
      <c r="AK52" s="22" t="s">
        <v>325</v>
      </c>
      <c r="AL52" s="22"/>
      <c r="AM52" s="22" t="str">
        <f t="shared" ref="AM52" si="34">_xlfn.CONCAT(N52&amp;V52&amp;Z52&amp;AE52&amp;AF52&amp;AG52&amp;AE52&amp;AI52&amp;AK52)</f>
        <v xml:space="preserve"> Workbooks("Ukraine_sponsorship_data_8.ods").Worksheets("Northern_Ireland").Range("D11:D24").Copy _</v>
      </c>
      <c r="AO52" t="s">
        <v>543</v>
      </c>
    </row>
    <row r="53" spans="2:41" x14ac:dyDescent="0.25">
      <c r="B53" s="22" t="s">
        <v>808</v>
      </c>
      <c r="C53" s="22"/>
      <c r="D53" s="22"/>
      <c r="E53" s="22"/>
      <c r="F53" s="22"/>
      <c r="G53" s="22"/>
      <c r="H53" s="22"/>
      <c r="I53" s="22"/>
      <c r="J53" s="22"/>
      <c r="K53" s="22"/>
      <c r="L53" s="22"/>
      <c r="M53" s="22"/>
      <c r="N53" s="22" t="s">
        <v>809</v>
      </c>
      <c r="O53" s="22"/>
      <c r="P53" s="22"/>
      <c r="Q53" s="22"/>
      <c r="R53" s="22"/>
      <c r="S53" s="22"/>
      <c r="T53" s="22"/>
      <c r="U53" s="22"/>
      <c r="V53" s="22"/>
      <c r="W53" s="22" t="str">
        <f t="shared" ref="W53" si="35">CHAR(CODE(W48)+1)</f>
        <v>O</v>
      </c>
      <c r="X53" s="22"/>
      <c r="Y53" s="23">
        <f t="shared" ref="Y53" si="36">Y48</f>
        <v>264</v>
      </c>
      <c r="Z53" s="22" t="s">
        <v>324</v>
      </c>
      <c r="AA53" s="22"/>
      <c r="AB53" s="22"/>
      <c r="AC53" s="22"/>
      <c r="AD53" s="22"/>
      <c r="AE53" s="22"/>
      <c r="AF53" s="22"/>
      <c r="AG53" s="22"/>
      <c r="AH53" s="22"/>
      <c r="AI53" s="22"/>
      <c r="AJ53" s="22"/>
      <c r="AK53" s="22"/>
      <c r="AL53" s="22"/>
      <c r="AM53" s="22" t="str">
        <f t="shared" ref="AM53" si="37">_xlfn.CONCAT(N53&amp;W53&amp;Y53&amp;Z53)</f>
        <v>Workbooks("HFU Forecast UTLA 1.0.xlsm").Worksheets("Combined data").Range("O264")</v>
      </c>
      <c r="AO53" t="s">
        <v>891</v>
      </c>
    </row>
    <row r="54" spans="2:41" x14ac:dyDescent="0.25">
      <c r="B54" s="22" t="s">
        <v>339</v>
      </c>
      <c r="C54" s="22"/>
      <c r="D54" s="22"/>
      <c r="E54" s="22"/>
      <c r="F54" s="22"/>
      <c r="G54" s="22"/>
      <c r="H54" s="22"/>
      <c r="I54" s="22"/>
      <c r="J54" s="22"/>
      <c r="K54" s="22"/>
      <c r="L54" s="22"/>
      <c r="M54" s="22"/>
      <c r="N54" s="22"/>
      <c r="O54" s="22"/>
      <c r="P54" s="22"/>
      <c r="Q54" s="22"/>
      <c r="R54" s="22"/>
      <c r="S54" s="22"/>
      <c r="T54" s="22"/>
      <c r="U54" s="22"/>
      <c r="V54" s="22"/>
      <c r="W54" s="22"/>
      <c r="X54" s="22"/>
      <c r="Y54" s="23"/>
      <c r="Z54" s="22"/>
      <c r="AA54" s="22"/>
      <c r="AB54" s="22"/>
      <c r="AC54" s="22"/>
      <c r="AD54" s="22"/>
      <c r="AE54" s="22"/>
      <c r="AF54" s="22"/>
      <c r="AG54" s="22"/>
      <c r="AH54" s="22"/>
      <c r="AI54" s="22"/>
      <c r="AJ54" s="22"/>
      <c r="AK54" s="22"/>
      <c r="AL54" s="22"/>
      <c r="AM54" s="22" t="str">
        <f t="shared" ref="AM54" si="38">B54</f>
        <v>ActiveWorkbook.Close SaveChanges:=False</v>
      </c>
      <c r="AO54" t="s">
        <v>339</v>
      </c>
    </row>
    <row r="56" spans="2:41" x14ac:dyDescent="0.25">
      <c r="B56" s="19" t="s">
        <v>316</v>
      </c>
      <c r="C56" s="19"/>
      <c r="D56" s="19"/>
      <c r="E56" s="19"/>
      <c r="F56" s="19"/>
      <c r="G56" s="19"/>
      <c r="H56" s="19"/>
      <c r="I56" s="19"/>
      <c r="J56" s="19"/>
      <c r="K56" s="19"/>
      <c r="L56" s="19"/>
      <c r="M56" s="19"/>
      <c r="N56" s="19" t="s">
        <v>321</v>
      </c>
      <c r="O56" s="19"/>
      <c r="P56" s="19"/>
      <c r="Q56" s="19"/>
      <c r="R56" s="19"/>
      <c r="S56" s="19"/>
      <c r="T56" s="19"/>
      <c r="U56" s="19"/>
      <c r="V56" s="19">
        <f t="shared" ref="V56:V57" si="39">V51+1</f>
        <v>9</v>
      </c>
      <c r="W56" s="19"/>
      <c r="X56" s="19"/>
      <c r="Y56" s="21"/>
      <c r="Z56" s="19" t="s">
        <v>322</v>
      </c>
      <c r="AA56" s="19"/>
      <c r="AB56" s="19"/>
      <c r="AC56" s="19"/>
      <c r="AD56" s="19"/>
      <c r="AE56" s="19"/>
      <c r="AF56" s="19"/>
      <c r="AG56" s="19"/>
      <c r="AH56" s="19"/>
      <c r="AI56" s="19"/>
      <c r="AJ56" s="19"/>
      <c r="AK56" s="19"/>
      <c r="AL56" s="19"/>
      <c r="AM56" s="19" t="str">
        <f t="shared" ref="AM56" si="40">+_xlfn.CONCAT(N56&amp;V56&amp;Z56)</f>
        <v xml:space="preserve"> Workbooks.Open "A:\Homes for Ukraine data\Ukraine_sponsorship_data_9.ods"</v>
      </c>
      <c r="AO56" t="s">
        <v>345</v>
      </c>
    </row>
    <row r="57" spans="2:41" x14ac:dyDescent="0.25">
      <c r="B57" s="19" t="s">
        <v>533</v>
      </c>
      <c r="C57" s="19"/>
      <c r="D57" s="19"/>
      <c r="E57" s="19"/>
      <c r="F57" s="19"/>
      <c r="G57" s="19"/>
      <c r="H57" s="19"/>
      <c r="I57" s="19"/>
      <c r="J57" s="19"/>
      <c r="K57" s="19"/>
      <c r="L57" s="19"/>
      <c r="M57" s="19"/>
      <c r="N57" s="19" t="s">
        <v>323</v>
      </c>
      <c r="O57" s="19"/>
      <c r="P57" s="19"/>
      <c r="Q57" s="19"/>
      <c r="R57" s="19"/>
      <c r="S57" s="19"/>
      <c r="T57" s="19"/>
      <c r="U57" s="19"/>
      <c r="V57" s="19">
        <f t="shared" si="39"/>
        <v>9</v>
      </c>
      <c r="W57" s="19"/>
      <c r="X57" s="19"/>
      <c r="Y57" s="21"/>
      <c r="Z57" s="19" t="s">
        <v>532</v>
      </c>
      <c r="AA57" s="19"/>
      <c r="AB57" s="19"/>
      <c r="AC57" s="19"/>
      <c r="AD57" s="19"/>
      <c r="AE57" s="19" t="s">
        <v>382</v>
      </c>
      <c r="AF57" s="19">
        <f t="shared" ref="AF57" si="41">AF52</f>
        <v>11</v>
      </c>
      <c r="AG57" s="19" t="s">
        <v>327</v>
      </c>
      <c r="AH57" s="19"/>
      <c r="AI57" s="19">
        <f t="shared" ref="AI57" si="42">AI52</f>
        <v>24</v>
      </c>
      <c r="AJ57" s="19"/>
      <c r="AK57" s="19" t="s">
        <v>325</v>
      </c>
      <c r="AL57" s="19"/>
      <c r="AM57" s="19" t="str">
        <f t="shared" ref="AM57" si="43">_xlfn.CONCAT(N57&amp;V57&amp;Z57&amp;AE57&amp;AF57&amp;AG57&amp;AE57&amp;AI57&amp;AK57)</f>
        <v xml:space="preserve"> Workbooks("Ukraine_sponsorship_data_9.ods").Worksheets("Northern_Ireland").Range("D11:D24").Copy _</v>
      </c>
      <c r="AO57" t="s">
        <v>544</v>
      </c>
    </row>
    <row r="58" spans="2:41" x14ac:dyDescent="0.25">
      <c r="B58" s="19" t="s">
        <v>808</v>
      </c>
      <c r="C58" s="19"/>
      <c r="D58" s="19"/>
      <c r="E58" s="19"/>
      <c r="F58" s="19"/>
      <c r="G58" s="19"/>
      <c r="H58" s="19"/>
      <c r="I58" s="19"/>
      <c r="J58" s="19"/>
      <c r="K58" s="19"/>
      <c r="L58" s="19"/>
      <c r="M58" s="19"/>
      <c r="N58" s="19" t="s">
        <v>809</v>
      </c>
      <c r="O58" s="19"/>
      <c r="P58" s="19"/>
      <c r="Q58" s="19"/>
      <c r="R58" s="19"/>
      <c r="S58" s="19"/>
      <c r="T58" s="19"/>
      <c r="U58" s="19"/>
      <c r="V58" s="19"/>
      <c r="W58" s="19" t="str">
        <f t="shared" ref="W58" si="44">CHAR(CODE(W53)+1)</f>
        <v>P</v>
      </c>
      <c r="X58" s="19"/>
      <c r="Y58" s="21">
        <f t="shared" ref="Y58" si="45">Y53</f>
        <v>264</v>
      </c>
      <c r="Z58" s="19" t="s">
        <v>324</v>
      </c>
      <c r="AA58" s="19"/>
      <c r="AB58" s="19"/>
      <c r="AC58" s="19"/>
      <c r="AD58" s="19"/>
      <c r="AE58" s="19"/>
      <c r="AF58" s="19"/>
      <c r="AG58" s="19"/>
      <c r="AH58" s="19"/>
      <c r="AI58" s="19"/>
      <c r="AJ58" s="19"/>
      <c r="AK58" s="19"/>
      <c r="AL58" s="19"/>
      <c r="AM58" s="19" t="str">
        <f t="shared" ref="AM58" si="46">_xlfn.CONCAT(N58&amp;W58&amp;Y58&amp;Z58)</f>
        <v>Workbooks("HFU Forecast UTLA 1.0.xlsm").Worksheets("Combined data").Range("P264")</v>
      </c>
      <c r="AO58" t="s">
        <v>892</v>
      </c>
    </row>
    <row r="59" spans="2:41" x14ac:dyDescent="0.25">
      <c r="B59" s="19" t="s">
        <v>339</v>
      </c>
      <c r="C59" s="19"/>
      <c r="D59" s="19"/>
      <c r="E59" s="19"/>
      <c r="F59" s="19"/>
      <c r="G59" s="19"/>
      <c r="H59" s="19"/>
      <c r="I59" s="19"/>
      <c r="J59" s="19"/>
      <c r="K59" s="19"/>
      <c r="L59" s="19"/>
      <c r="M59" s="19"/>
      <c r="N59" s="19"/>
      <c r="O59" s="19"/>
      <c r="P59" s="19"/>
      <c r="Q59" s="19"/>
      <c r="R59" s="19"/>
      <c r="S59" s="19"/>
      <c r="T59" s="19"/>
      <c r="U59" s="19"/>
      <c r="V59" s="19"/>
      <c r="W59" s="19"/>
      <c r="X59" s="19"/>
      <c r="Y59" s="21"/>
      <c r="Z59" s="19"/>
      <c r="AA59" s="19"/>
      <c r="AB59" s="19"/>
      <c r="AC59" s="19"/>
      <c r="AD59" s="19"/>
      <c r="AE59" s="19"/>
      <c r="AF59" s="19"/>
      <c r="AG59" s="19"/>
      <c r="AH59" s="19"/>
      <c r="AI59" s="19"/>
      <c r="AJ59" s="19"/>
      <c r="AK59" s="19"/>
      <c r="AL59" s="19"/>
      <c r="AM59" s="19" t="str">
        <f t="shared" ref="AM59" si="47">B59</f>
        <v>ActiveWorkbook.Close SaveChanges:=False</v>
      </c>
      <c r="AO59" t="s">
        <v>339</v>
      </c>
    </row>
    <row r="61" spans="2:41" x14ac:dyDescent="0.25">
      <c r="B61" s="22" t="s">
        <v>316</v>
      </c>
      <c r="C61" s="22"/>
      <c r="D61" s="22"/>
      <c r="E61" s="22"/>
      <c r="F61" s="22"/>
      <c r="G61" s="22"/>
      <c r="H61" s="22"/>
      <c r="I61" s="22"/>
      <c r="J61" s="22"/>
      <c r="K61" s="22"/>
      <c r="L61" s="22"/>
      <c r="M61" s="22"/>
      <c r="N61" s="22" t="s">
        <v>321</v>
      </c>
      <c r="O61" s="22"/>
      <c r="P61" s="22"/>
      <c r="Q61" s="22"/>
      <c r="R61" s="22"/>
      <c r="S61" s="22"/>
      <c r="T61" s="22"/>
      <c r="U61" s="22"/>
      <c r="V61" s="22">
        <f t="shared" ref="V61:V62" si="48">V56+1</f>
        <v>10</v>
      </c>
      <c r="W61" s="22"/>
      <c r="X61" s="22"/>
      <c r="Y61" s="23"/>
      <c r="Z61" s="22" t="s">
        <v>322</v>
      </c>
      <c r="AA61" s="22"/>
      <c r="AB61" s="22"/>
      <c r="AC61" s="22"/>
      <c r="AD61" s="22"/>
      <c r="AE61" s="22"/>
      <c r="AF61" s="22"/>
      <c r="AG61" s="22"/>
      <c r="AH61" s="22"/>
      <c r="AI61" s="22"/>
      <c r="AJ61" s="22"/>
      <c r="AK61" s="22"/>
      <c r="AL61" s="22"/>
      <c r="AM61" s="22" t="str">
        <f t="shared" ref="AM61" si="49">+_xlfn.CONCAT(N61&amp;V61&amp;Z61)</f>
        <v xml:space="preserve"> Workbooks.Open "A:\Homes for Ukraine data\Ukraine_sponsorship_data_10.ods"</v>
      </c>
      <c r="AO61" t="s">
        <v>346</v>
      </c>
    </row>
    <row r="62" spans="2:41" x14ac:dyDescent="0.25">
      <c r="B62" s="22" t="s">
        <v>533</v>
      </c>
      <c r="C62" s="22"/>
      <c r="D62" s="22"/>
      <c r="E62" s="22"/>
      <c r="F62" s="22"/>
      <c r="G62" s="22"/>
      <c r="H62" s="22"/>
      <c r="I62" s="22"/>
      <c r="J62" s="22"/>
      <c r="K62" s="22"/>
      <c r="L62" s="22"/>
      <c r="M62" s="22"/>
      <c r="N62" s="22" t="s">
        <v>323</v>
      </c>
      <c r="O62" s="22"/>
      <c r="P62" s="22"/>
      <c r="Q62" s="22"/>
      <c r="R62" s="22"/>
      <c r="S62" s="22"/>
      <c r="T62" s="22"/>
      <c r="U62" s="22"/>
      <c r="V62" s="22">
        <f t="shared" si="48"/>
        <v>10</v>
      </c>
      <c r="W62" s="22"/>
      <c r="X62" s="22"/>
      <c r="Y62" s="23"/>
      <c r="Z62" s="22" t="s">
        <v>532</v>
      </c>
      <c r="AA62" s="22"/>
      <c r="AB62" s="22"/>
      <c r="AC62" s="22"/>
      <c r="AD62" s="22"/>
      <c r="AE62" s="22" t="s">
        <v>382</v>
      </c>
      <c r="AF62" s="22">
        <f t="shared" ref="AF62" si="50">AF57</f>
        <v>11</v>
      </c>
      <c r="AG62" s="22" t="s">
        <v>327</v>
      </c>
      <c r="AH62" s="22"/>
      <c r="AI62" s="22">
        <f t="shared" ref="AI62" si="51">AI57</f>
        <v>24</v>
      </c>
      <c r="AJ62" s="22"/>
      <c r="AK62" s="22" t="s">
        <v>325</v>
      </c>
      <c r="AL62" s="22"/>
      <c r="AM62" s="22" t="str">
        <f t="shared" ref="AM62" si="52">_xlfn.CONCAT(N62&amp;V62&amp;Z62&amp;AE62&amp;AF62&amp;AG62&amp;AE62&amp;AI62&amp;AK62)</f>
        <v xml:space="preserve"> Workbooks("Ukraine_sponsorship_data_10.ods").Worksheets("Northern_Ireland").Range("D11:D24").Copy _</v>
      </c>
      <c r="AO62" t="s">
        <v>545</v>
      </c>
    </row>
    <row r="63" spans="2:41" x14ac:dyDescent="0.25">
      <c r="B63" s="22" t="s">
        <v>808</v>
      </c>
      <c r="C63" s="22"/>
      <c r="D63" s="22"/>
      <c r="E63" s="22"/>
      <c r="F63" s="22"/>
      <c r="G63" s="22"/>
      <c r="H63" s="22"/>
      <c r="I63" s="22"/>
      <c r="J63" s="22"/>
      <c r="K63" s="22"/>
      <c r="L63" s="22"/>
      <c r="M63" s="22"/>
      <c r="N63" s="22" t="s">
        <v>809</v>
      </c>
      <c r="O63" s="22"/>
      <c r="P63" s="22"/>
      <c r="Q63" s="22"/>
      <c r="R63" s="22"/>
      <c r="S63" s="22"/>
      <c r="T63" s="22"/>
      <c r="U63" s="22"/>
      <c r="V63" s="22"/>
      <c r="W63" s="22" t="str">
        <f t="shared" ref="W63" si="53">CHAR(CODE(W58)+1)</f>
        <v>Q</v>
      </c>
      <c r="X63" s="22"/>
      <c r="Y63" s="23">
        <f t="shared" ref="Y63" si="54">Y58</f>
        <v>264</v>
      </c>
      <c r="Z63" s="22" t="s">
        <v>324</v>
      </c>
      <c r="AA63" s="22"/>
      <c r="AB63" s="22"/>
      <c r="AC63" s="22"/>
      <c r="AD63" s="22"/>
      <c r="AE63" s="22"/>
      <c r="AF63" s="22"/>
      <c r="AG63" s="22"/>
      <c r="AH63" s="22"/>
      <c r="AI63" s="22"/>
      <c r="AJ63" s="22"/>
      <c r="AK63" s="22"/>
      <c r="AL63" s="22"/>
      <c r="AM63" s="22" t="str">
        <f t="shared" ref="AM63" si="55">_xlfn.CONCAT(N63&amp;W63&amp;Y63&amp;Z63)</f>
        <v>Workbooks("HFU Forecast UTLA 1.0.xlsm").Worksheets("Combined data").Range("Q264")</v>
      </c>
      <c r="AO63" t="s">
        <v>893</v>
      </c>
    </row>
    <row r="64" spans="2:41" x14ac:dyDescent="0.25">
      <c r="B64" s="22" t="s">
        <v>339</v>
      </c>
      <c r="C64" s="22"/>
      <c r="D64" s="22"/>
      <c r="E64" s="22"/>
      <c r="F64" s="22"/>
      <c r="G64" s="22"/>
      <c r="H64" s="22"/>
      <c r="I64" s="22"/>
      <c r="J64" s="22"/>
      <c r="K64" s="22"/>
      <c r="L64" s="22"/>
      <c r="M64" s="22"/>
      <c r="N64" s="22"/>
      <c r="O64" s="22"/>
      <c r="P64" s="22"/>
      <c r="Q64" s="22"/>
      <c r="R64" s="22"/>
      <c r="S64" s="22"/>
      <c r="T64" s="22"/>
      <c r="U64" s="22"/>
      <c r="V64" s="22"/>
      <c r="W64" s="22"/>
      <c r="X64" s="22"/>
      <c r="Y64" s="23"/>
      <c r="Z64" s="22"/>
      <c r="AA64" s="22"/>
      <c r="AB64" s="22"/>
      <c r="AC64" s="22"/>
      <c r="AD64" s="22"/>
      <c r="AE64" s="22"/>
      <c r="AF64" s="22"/>
      <c r="AG64" s="22"/>
      <c r="AH64" s="22"/>
      <c r="AI64" s="22"/>
      <c r="AJ64" s="22"/>
      <c r="AK64" s="22"/>
      <c r="AL64" s="22"/>
      <c r="AM64" s="22" t="str">
        <f t="shared" ref="AM64" si="56">B64</f>
        <v>ActiveWorkbook.Close SaveChanges:=False</v>
      </c>
      <c r="AO64" t="s">
        <v>339</v>
      </c>
    </row>
    <row r="66" spans="2:41" x14ac:dyDescent="0.25">
      <c r="B66" s="19" t="s">
        <v>316</v>
      </c>
      <c r="C66" s="19"/>
      <c r="D66" s="19"/>
      <c r="E66" s="19"/>
      <c r="F66" s="19"/>
      <c r="G66" s="19"/>
      <c r="H66" s="19"/>
      <c r="I66" s="19"/>
      <c r="J66" s="19"/>
      <c r="K66" s="19"/>
      <c r="L66" s="19"/>
      <c r="M66" s="19"/>
      <c r="N66" s="19" t="s">
        <v>321</v>
      </c>
      <c r="O66" s="19"/>
      <c r="P66" s="19"/>
      <c r="Q66" s="19"/>
      <c r="R66" s="19"/>
      <c r="S66" s="19"/>
      <c r="T66" s="19"/>
      <c r="U66" s="19"/>
      <c r="V66" s="19">
        <f t="shared" ref="V66:V67" si="57">V61+1</f>
        <v>11</v>
      </c>
      <c r="W66" s="19"/>
      <c r="X66" s="19"/>
      <c r="Y66" s="21"/>
      <c r="Z66" s="19" t="s">
        <v>322</v>
      </c>
      <c r="AA66" s="19"/>
      <c r="AB66" s="19"/>
      <c r="AC66" s="19"/>
      <c r="AD66" s="19"/>
      <c r="AE66" s="19"/>
      <c r="AF66" s="19"/>
      <c r="AG66" s="19"/>
      <c r="AH66" s="19"/>
      <c r="AI66" s="19"/>
      <c r="AJ66" s="19"/>
      <c r="AK66" s="19"/>
      <c r="AL66" s="19"/>
      <c r="AM66" s="19" t="str">
        <f t="shared" ref="AM66" si="58">+_xlfn.CONCAT(N66&amp;V66&amp;Z66)</f>
        <v xml:space="preserve"> Workbooks.Open "A:\Homes for Ukraine data\Ukraine_sponsorship_data_11.ods"</v>
      </c>
      <c r="AO66" t="s">
        <v>347</v>
      </c>
    </row>
    <row r="67" spans="2:41" x14ac:dyDescent="0.25">
      <c r="B67" s="19" t="s">
        <v>533</v>
      </c>
      <c r="C67" s="19"/>
      <c r="D67" s="19"/>
      <c r="E67" s="19"/>
      <c r="F67" s="19"/>
      <c r="G67" s="19"/>
      <c r="H67" s="19"/>
      <c r="I67" s="19"/>
      <c r="J67" s="19"/>
      <c r="K67" s="19"/>
      <c r="L67" s="19"/>
      <c r="M67" s="19"/>
      <c r="N67" s="19" t="s">
        <v>323</v>
      </c>
      <c r="O67" s="19"/>
      <c r="P67" s="19"/>
      <c r="Q67" s="19"/>
      <c r="R67" s="19"/>
      <c r="S67" s="19"/>
      <c r="T67" s="19"/>
      <c r="U67" s="19"/>
      <c r="V67" s="19">
        <f t="shared" si="57"/>
        <v>11</v>
      </c>
      <c r="W67" s="19"/>
      <c r="X67" s="19"/>
      <c r="Y67" s="21"/>
      <c r="Z67" s="19" t="s">
        <v>532</v>
      </c>
      <c r="AA67" s="19"/>
      <c r="AB67" s="19"/>
      <c r="AC67" s="19"/>
      <c r="AD67" s="19"/>
      <c r="AE67" s="19" t="s">
        <v>382</v>
      </c>
      <c r="AF67" s="19">
        <f t="shared" ref="AF67" si="59">AF62</f>
        <v>11</v>
      </c>
      <c r="AG67" s="19" t="s">
        <v>327</v>
      </c>
      <c r="AH67" s="19"/>
      <c r="AI67" s="19">
        <f t="shared" ref="AI67" si="60">AI62</f>
        <v>24</v>
      </c>
      <c r="AJ67" s="19"/>
      <c r="AK67" s="19" t="s">
        <v>325</v>
      </c>
      <c r="AL67" s="19"/>
      <c r="AM67" s="19" t="str">
        <f t="shared" ref="AM67" si="61">_xlfn.CONCAT(N67&amp;V67&amp;Z67&amp;AE67&amp;AF67&amp;AG67&amp;AE67&amp;AI67&amp;AK67)</f>
        <v xml:space="preserve"> Workbooks("Ukraine_sponsorship_data_11.ods").Worksheets("Northern_Ireland").Range("D11:D24").Copy _</v>
      </c>
      <c r="AO67" t="s">
        <v>546</v>
      </c>
    </row>
    <row r="68" spans="2:41" x14ac:dyDescent="0.25">
      <c r="B68" s="19" t="s">
        <v>808</v>
      </c>
      <c r="C68" s="19"/>
      <c r="D68" s="19"/>
      <c r="E68" s="19"/>
      <c r="F68" s="19"/>
      <c r="G68" s="19"/>
      <c r="H68" s="19"/>
      <c r="I68" s="19"/>
      <c r="J68" s="19"/>
      <c r="K68" s="19"/>
      <c r="L68" s="19"/>
      <c r="M68" s="19"/>
      <c r="N68" s="19" t="s">
        <v>809</v>
      </c>
      <c r="O68" s="19"/>
      <c r="P68" s="19"/>
      <c r="Q68" s="19"/>
      <c r="R68" s="19"/>
      <c r="S68" s="19"/>
      <c r="T68" s="19"/>
      <c r="U68" s="19"/>
      <c r="V68" s="19"/>
      <c r="W68" s="19" t="str">
        <f t="shared" ref="W68" si="62">CHAR(CODE(W63)+1)</f>
        <v>R</v>
      </c>
      <c r="X68" s="19"/>
      <c r="Y68" s="21">
        <f t="shared" ref="Y68" si="63">Y63</f>
        <v>264</v>
      </c>
      <c r="Z68" s="19" t="s">
        <v>324</v>
      </c>
      <c r="AA68" s="19"/>
      <c r="AB68" s="19"/>
      <c r="AC68" s="19"/>
      <c r="AD68" s="19"/>
      <c r="AE68" s="19"/>
      <c r="AF68" s="19"/>
      <c r="AG68" s="19"/>
      <c r="AH68" s="19"/>
      <c r="AI68" s="19"/>
      <c r="AJ68" s="19"/>
      <c r="AK68" s="19"/>
      <c r="AL68" s="19"/>
      <c r="AM68" s="19" t="str">
        <f t="shared" ref="AM68" si="64">_xlfn.CONCAT(N68&amp;W68&amp;Y68&amp;Z68)</f>
        <v>Workbooks("HFU Forecast UTLA 1.0.xlsm").Worksheets("Combined data").Range("R264")</v>
      </c>
      <c r="AO68" t="s">
        <v>894</v>
      </c>
    </row>
    <row r="69" spans="2:41" x14ac:dyDescent="0.25">
      <c r="B69" s="19" t="s">
        <v>339</v>
      </c>
      <c r="C69" s="19"/>
      <c r="D69" s="19"/>
      <c r="E69" s="19"/>
      <c r="F69" s="19"/>
      <c r="G69" s="19"/>
      <c r="H69" s="19"/>
      <c r="I69" s="19"/>
      <c r="J69" s="19"/>
      <c r="K69" s="19"/>
      <c r="L69" s="19"/>
      <c r="M69" s="19"/>
      <c r="N69" s="19"/>
      <c r="O69" s="19"/>
      <c r="P69" s="19"/>
      <c r="Q69" s="19"/>
      <c r="R69" s="19"/>
      <c r="S69" s="19"/>
      <c r="T69" s="19"/>
      <c r="U69" s="19"/>
      <c r="V69" s="19"/>
      <c r="W69" s="19"/>
      <c r="X69" s="19"/>
      <c r="Y69" s="21"/>
      <c r="Z69" s="19"/>
      <c r="AA69" s="19"/>
      <c r="AB69" s="19"/>
      <c r="AC69" s="19"/>
      <c r="AD69" s="19"/>
      <c r="AE69" s="19"/>
      <c r="AF69" s="19"/>
      <c r="AG69" s="19"/>
      <c r="AH69" s="19"/>
      <c r="AI69" s="19"/>
      <c r="AJ69" s="19"/>
      <c r="AK69" s="19"/>
      <c r="AL69" s="19"/>
      <c r="AM69" s="19" t="str">
        <f t="shared" ref="AM69" si="65">B69</f>
        <v>ActiveWorkbook.Close SaveChanges:=False</v>
      </c>
      <c r="AO69" t="s">
        <v>339</v>
      </c>
    </row>
    <row r="71" spans="2:41" x14ac:dyDescent="0.25">
      <c r="B71" s="22" t="s">
        <v>316</v>
      </c>
      <c r="C71" s="22"/>
      <c r="D71" s="22"/>
      <c r="E71" s="22"/>
      <c r="F71" s="22"/>
      <c r="G71" s="22"/>
      <c r="H71" s="22"/>
      <c r="I71" s="22"/>
      <c r="J71" s="22"/>
      <c r="K71" s="22"/>
      <c r="L71" s="22"/>
      <c r="M71" s="22"/>
      <c r="N71" s="22" t="s">
        <v>321</v>
      </c>
      <c r="O71" s="22"/>
      <c r="P71" s="22"/>
      <c r="Q71" s="22"/>
      <c r="R71" s="22"/>
      <c r="S71" s="22"/>
      <c r="T71" s="22"/>
      <c r="U71" s="22"/>
      <c r="V71" s="22">
        <f t="shared" ref="V71:V72" si="66">V66+1</f>
        <v>12</v>
      </c>
      <c r="W71" s="22"/>
      <c r="X71" s="22"/>
      <c r="Y71" s="23"/>
      <c r="Z71" s="22" t="s">
        <v>322</v>
      </c>
      <c r="AA71" s="22"/>
      <c r="AB71" s="22"/>
      <c r="AC71" s="22"/>
      <c r="AD71" s="22"/>
      <c r="AE71" s="22"/>
      <c r="AF71" s="22"/>
      <c r="AG71" s="22"/>
      <c r="AH71" s="22"/>
      <c r="AI71" s="22"/>
      <c r="AJ71" s="22"/>
      <c r="AK71" s="22"/>
      <c r="AL71" s="22"/>
      <c r="AM71" s="22" t="str">
        <f t="shared" ref="AM71" si="67">+_xlfn.CONCAT(N71&amp;V71&amp;Z71)</f>
        <v xml:space="preserve"> Workbooks.Open "A:\Homes for Ukraine data\Ukraine_sponsorship_data_12.ods"</v>
      </c>
      <c r="AO71" t="s">
        <v>348</v>
      </c>
    </row>
    <row r="72" spans="2:41" x14ac:dyDescent="0.25">
      <c r="B72" s="22" t="s">
        <v>533</v>
      </c>
      <c r="C72" s="22"/>
      <c r="D72" s="22"/>
      <c r="E72" s="22"/>
      <c r="F72" s="22"/>
      <c r="G72" s="22"/>
      <c r="H72" s="22"/>
      <c r="I72" s="22"/>
      <c r="J72" s="22"/>
      <c r="K72" s="22"/>
      <c r="L72" s="22"/>
      <c r="M72" s="22"/>
      <c r="N72" s="22" t="s">
        <v>323</v>
      </c>
      <c r="O72" s="22"/>
      <c r="P72" s="22"/>
      <c r="Q72" s="22"/>
      <c r="R72" s="22"/>
      <c r="S72" s="22"/>
      <c r="T72" s="22"/>
      <c r="U72" s="22"/>
      <c r="V72" s="22">
        <f t="shared" si="66"/>
        <v>12</v>
      </c>
      <c r="W72" s="22"/>
      <c r="X72" s="22"/>
      <c r="Y72" s="23"/>
      <c r="Z72" s="22" t="s">
        <v>532</v>
      </c>
      <c r="AA72" s="22"/>
      <c r="AB72" s="22"/>
      <c r="AC72" s="22"/>
      <c r="AD72" s="22"/>
      <c r="AE72" s="22" t="s">
        <v>382</v>
      </c>
      <c r="AF72" s="22">
        <f t="shared" ref="AF72" si="68">AF67</f>
        <v>11</v>
      </c>
      <c r="AG72" s="22" t="s">
        <v>327</v>
      </c>
      <c r="AH72" s="22"/>
      <c r="AI72" s="22">
        <f t="shared" ref="AI72" si="69">AI67</f>
        <v>24</v>
      </c>
      <c r="AJ72" s="22"/>
      <c r="AK72" s="22" t="s">
        <v>325</v>
      </c>
      <c r="AL72" s="22"/>
      <c r="AM72" s="22" t="str">
        <f t="shared" ref="AM72" si="70">_xlfn.CONCAT(N72&amp;V72&amp;Z72&amp;AE72&amp;AF72&amp;AG72&amp;AE72&amp;AI72&amp;AK72)</f>
        <v xml:space="preserve"> Workbooks("Ukraine_sponsorship_data_12.ods").Worksheets("Northern_Ireland").Range("D11:D24").Copy _</v>
      </c>
      <c r="AO72" t="s">
        <v>547</v>
      </c>
    </row>
    <row r="73" spans="2:41" x14ac:dyDescent="0.25">
      <c r="B73" s="22" t="s">
        <v>808</v>
      </c>
      <c r="C73" s="22"/>
      <c r="D73" s="22"/>
      <c r="E73" s="22"/>
      <c r="F73" s="22"/>
      <c r="G73" s="22"/>
      <c r="H73" s="22"/>
      <c r="I73" s="22"/>
      <c r="J73" s="22"/>
      <c r="K73" s="22"/>
      <c r="L73" s="22"/>
      <c r="M73" s="22"/>
      <c r="N73" s="22" t="s">
        <v>809</v>
      </c>
      <c r="O73" s="22"/>
      <c r="P73" s="22"/>
      <c r="Q73" s="22"/>
      <c r="R73" s="22"/>
      <c r="S73" s="22"/>
      <c r="T73" s="22"/>
      <c r="U73" s="22"/>
      <c r="V73" s="22"/>
      <c r="W73" s="22" t="str">
        <f t="shared" ref="W73" si="71">CHAR(CODE(W68)+1)</f>
        <v>S</v>
      </c>
      <c r="X73" s="22"/>
      <c r="Y73" s="23">
        <f t="shared" ref="Y73" si="72">Y68</f>
        <v>264</v>
      </c>
      <c r="Z73" s="22" t="s">
        <v>324</v>
      </c>
      <c r="AA73" s="22"/>
      <c r="AB73" s="22"/>
      <c r="AC73" s="22"/>
      <c r="AD73" s="22"/>
      <c r="AE73" s="22"/>
      <c r="AF73" s="22"/>
      <c r="AG73" s="22"/>
      <c r="AH73" s="22"/>
      <c r="AI73" s="22"/>
      <c r="AJ73" s="22"/>
      <c r="AK73" s="22"/>
      <c r="AL73" s="22"/>
      <c r="AM73" s="22" t="str">
        <f t="shared" ref="AM73" si="73">_xlfn.CONCAT(N73&amp;W73&amp;Y73&amp;Z73)</f>
        <v>Workbooks("HFU Forecast UTLA 1.0.xlsm").Worksheets("Combined data").Range("S264")</v>
      </c>
      <c r="AO73" t="s">
        <v>895</v>
      </c>
    </row>
    <row r="74" spans="2:41" x14ac:dyDescent="0.25">
      <c r="B74" s="22" t="s">
        <v>339</v>
      </c>
      <c r="C74" s="22"/>
      <c r="D74" s="22"/>
      <c r="E74" s="22"/>
      <c r="F74" s="22"/>
      <c r="G74" s="22"/>
      <c r="H74" s="22"/>
      <c r="I74" s="22"/>
      <c r="J74" s="22"/>
      <c r="K74" s="22"/>
      <c r="L74" s="22"/>
      <c r="M74" s="22"/>
      <c r="N74" s="22"/>
      <c r="O74" s="22"/>
      <c r="P74" s="22"/>
      <c r="Q74" s="22"/>
      <c r="R74" s="22"/>
      <c r="S74" s="22"/>
      <c r="T74" s="22"/>
      <c r="U74" s="22"/>
      <c r="V74" s="22"/>
      <c r="W74" s="22"/>
      <c r="X74" s="22"/>
      <c r="Y74" s="23"/>
      <c r="Z74" s="22"/>
      <c r="AA74" s="22"/>
      <c r="AB74" s="22"/>
      <c r="AC74" s="22"/>
      <c r="AD74" s="22"/>
      <c r="AE74" s="22"/>
      <c r="AF74" s="22"/>
      <c r="AG74" s="22"/>
      <c r="AH74" s="22"/>
      <c r="AI74" s="22"/>
      <c r="AJ74" s="22"/>
      <c r="AK74" s="22"/>
      <c r="AL74" s="22"/>
      <c r="AM74" s="22" t="str">
        <f t="shared" ref="AM74" si="74">B74</f>
        <v>ActiveWorkbook.Close SaveChanges:=False</v>
      </c>
      <c r="AO74" t="s">
        <v>339</v>
      </c>
    </row>
    <row r="76" spans="2:41" x14ac:dyDescent="0.25">
      <c r="B76" s="19" t="s">
        <v>316</v>
      </c>
      <c r="C76" s="19"/>
      <c r="D76" s="19"/>
      <c r="E76" s="19"/>
      <c r="F76" s="19"/>
      <c r="G76" s="19"/>
      <c r="H76" s="19"/>
      <c r="I76" s="19"/>
      <c r="J76" s="19"/>
      <c r="K76" s="19"/>
      <c r="L76" s="19"/>
      <c r="M76" s="19"/>
      <c r="N76" s="19" t="s">
        <v>321</v>
      </c>
      <c r="O76" s="19"/>
      <c r="P76" s="19"/>
      <c r="Q76" s="19"/>
      <c r="R76" s="19"/>
      <c r="S76" s="19"/>
      <c r="T76" s="19"/>
      <c r="U76" s="19"/>
      <c r="V76" s="19">
        <f t="shared" ref="V76:V77" si="75">V71+1</f>
        <v>13</v>
      </c>
      <c r="W76" s="19"/>
      <c r="X76" s="19"/>
      <c r="Y76" s="21"/>
      <c r="Z76" s="19" t="s">
        <v>322</v>
      </c>
      <c r="AA76" s="19"/>
      <c r="AB76" s="19"/>
      <c r="AC76" s="19"/>
      <c r="AD76" s="19"/>
      <c r="AE76" s="19"/>
      <c r="AF76" s="19"/>
      <c r="AG76" s="19"/>
      <c r="AH76" s="19"/>
      <c r="AI76" s="19"/>
      <c r="AJ76" s="19"/>
      <c r="AK76" s="19"/>
      <c r="AL76" s="19"/>
      <c r="AM76" s="19" t="str">
        <f t="shared" ref="AM76" si="76">+_xlfn.CONCAT(N76&amp;V76&amp;Z76)</f>
        <v xml:space="preserve"> Workbooks.Open "A:\Homes for Ukraine data\Ukraine_sponsorship_data_13.ods"</v>
      </c>
      <c r="AO76" t="s">
        <v>349</v>
      </c>
    </row>
    <row r="77" spans="2:41" x14ac:dyDescent="0.25">
      <c r="B77" s="19" t="s">
        <v>533</v>
      </c>
      <c r="C77" s="19"/>
      <c r="D77" s="19"/>
      <c r="E77" s="19"/>
      <c r="F77" s="19"/>
      <c r="G77" s="19"/>
      <c r="H77" s="19"/>
      <c r="I77" s="19"/>
      <c r="J77" s="19"/>
      <c r="K77" s="19"/>
      <c r="L77" s="19"/>
      <c r="M77" s="19"/>
      <c r="N77" s="19" t="s">
        <v>323</v>
      </c>
      <c r="O77" s="19"/>
      <c r="P77" s="19"/>
      <c r="Q77" s="19"/>
      <c r="R77" s="19"/>
      <c r="S77" s="19"/>
      <c r="T77" s="19"/>
      <c r="U77" s="19"/>
      <c r="V77" s="19">
        <f t="shared" si="75"/>
        <v>13</v>
      </c>
      <c r="W77" s="19"/>
      <c r="X77" s="19"/>
      <c r="Y77" s="21"/>
      <c r="Z77" s="19" t="s">
        <v>532</v>
      </c>
      <c r="AA77" s="19"/>
      <c r="AB77" s="19"/>
      <c r="AC77" s="19"/>
      <c r="AD77" s="19"/>
      <c r="AE77" s="19" t="s">
        <v>382</v>
      </c>
      <c r="AF77" s="19">
        <f t="shared" ref="AF77" si="77">AF72</f>
        <v>11</v>
      </c>
      <c r="AG77" s="19" t="s">
        <v>327</v>
      </c>
      <c r="AH77" s="19"/>
      <c r="AI77" s="19">
        <f t="shared" ref="AI77" si="78">AI72</f>
        <v>24</v>
      </c>
      <c r="AJ77" s="19"/>
      <c r="AK77" s="19" t="s">
        <v>325</v>
      </c>
      <c r="AL77" s="19"/>
      <c r="AM77" s="19" t="str">
        <f t="shared" ref="AM77" si="79">_xlfn.CONCAT(N77&amp;V77&amp;Z77&amp;AE77&amp;AF77&amp;AG77&amp;AE77&amp;AI77&amp;AK77)</f>
        <v xml:space="preserve"> Workbooks("Ukraine_sponsorship_data_13.ods").Worksheets("Northern_Ireland").Range("D11:D24").Copy _</v>
      </c>
      <c r="AO77" t="s">
        <v>548</v>
      </c>
    </row>
    <row r="78" spans="2:41" x14ac:dyDescent="0.25">
      <c r="B78" s="19" t="s">
        <v>808</v>
      </c>
      <c r="C78" s="19"/>
      <c r="D78" s="19"/>
      <c r="E78" s="19"/>
      <c r="F78" s="19"/>
      <c r="G78" s="19"/>
      <c r="H78" s="19"/>
      <c r="I78" s="19"/>
      <c r="J78" s="19"/>
      <c r="K78" s="19"/>
      <c r="L78" s="19"/>
      <c r="M78" s="19"/>
      <c r="N78" s="19" t="s">
        <v>809</v>
      </c>
      <c r="O78" s="19"/>
      <c r="P78" s="19"/>
      <c r="Q78" s="19"/>
      <c r="R78" s="19"/>
      <c r="S78" s="19"/>
      <c r="T78" s="19"/>
      <c r="U78" s="19"/>
      <c r="V78" s="19"/>
      <c r="W78" s="19" t="str">
        <f t="shared" ref="W78" si="80">CHAR(CODE(W73)+1)</f>
        <v>T</v>
      </c>
      <c r="X78" s="19"/>
      <c r="Y78" s="21">
        <f t="shared" ref="Y78" si="81">Y73</f>
        <v>264</v>
      </c>
      <c r="Z78" s="19" t="s">
        <v>324</v>
      </c>
      <c r="AA78" s="19"/>
      <c r="AB78" s="19"/>
      <c r="AC78" s="19"/>
      <c r="AD78" s="19"/>
      <c r="AE78" s="19"/>
      <c r="AF78" s="19"/>
      <c r="AG78" s="19"/>
      <c r="AH78" s="19"/>
      <c r="AI78" s="19"/>
      <c r="AJ78" s="19"/>
      <c r="AK78" s="19"/>
      <c r="AL78" s="19"/>
      <c r="AM78" s="19" t="str">
        <f t="shared" ref="AM78" si="82">_xlfn.CONCAT(N78&amp;W78&amp;Y78&amp;Z78)</f>
        <v>Workbooks("HFU Forecast UTLA 1.0.xlsm").Worksheets("Combined data").Range("T264")</v>
      </c>
      <c r="AO78" t="s">
        <v>896</v>
      </c>
    </row>
    <row r="79" spans="2:41" x14ac:dyDescent="0.25">
      <c r="B79" s="19" t="s">
        <v>339</v>
      </c>
      <c r="C79" s="19"/>
      <c r="D79" s="19"/>
      <c r="E79" s="19"/>
      <c r="F79" s="19"/>
      <c r="G79" s="19"/>
      <c r="H79" s="19"/>
      <c r="I79" s="19"/>
      <c r="J79" s="19"/>
      <c r="K79" s="19"/>
      <c r="L79" s="19"/>
      <c r="M79" s="19"/>
      <c r="N79" s="19"/>
      <c r="O79" s="19"/>
      <c r="P79" s="19"/>
      <c r="Q79" s="19"/>
      <c r="R79" s="19"/>
      <c r="S79" s="19"/>
      <c r="T79" s="19"/>
      <c r="U79" s="19"/>
      <c r="V79" s="19"/>
      <c r="W79" s="19"/>
      <c r="X79" s="19"/>
      <c r="Y79" s="21"/>
      <c r="Z79" s="19"/>
      <c r="AA79" s="19"/>
      <c r="AB79" s="19"/>
      <c r="AC79" s="19"/>
      <c r="AD79" s="19"/>
      <c r="AE79" s="19"/>
      <c r="AF79" s="19"/>
      <c r="AG79" s="19"/>
      <c r="AH79" s="19"/>
      <c r="AI79" s="19"/>
      <c r="AJ79" s="19"/>
      <c r="AK79" s="19"/>
      <c r="AL79" s="19"/>
      <c r="AM79" s="19" t="str">
        <f t="shared" ref="AM79" si="83">B79</f>
        <v>ActiveWorkbook.Close SaveChanges:=False</v>
      </c>
      <c r="AO79" t="s">
        <v>339</v>
      </c>
    </row>
    <row r="81" spans="2:41" x14ac:dyDescent="0.25">
      <c r="B81" s="22" t="s">
        <v>316</v>
      </c>
      <c r="C81" s="22"/>
      <c r="D81" s="22"/>
      <c r="E81" s="22"/>
      <c r="F81" s="22"/>
      <c r="G81" s="22"/>
      <c r="H81" s="22"/>
      <c r="I81" s="22"/>
      <c r="J81" s="22"/>
      <c r="K81" s="22"/>
      <c r="L81" s="22"/>
      <c r="M81" s="22"/>
      <c r="N81" s="22" t="s">
        <v>321</v>
      </c>
      <c r="O81" s="22"/>
      <c r="P81" s="22"/>
      <c r="Q81" s="22"/>
      <c r="R81" s="22"/>
      <c r="S81" s="22"/>
      <c r="T81" s="22"/>
      <c r="U81" s="22"/>
      <c r="V81" s="22">
        <f t="shared" ref="V81:V82" si="84">V76+1</f>
        <v>14</v>
      </c>
      <c r="W81" s="22"/>
      <c r="X81" s="22"/>
      <c r="Y81" s="23"/>
      <c r="Z81" s="22" t="s">
        <v>322</v>
      </c>
      <c r="AA81" s="22"/>
      <c r="AB81" s="22"/>
      <c r="AC81" s="22"/>
      <c r="AD81" s="22"/>
      <c r="AE81" s="22"/>
      <c r="AF81" s="22"/>
      <c r="AG81" s="22"/>
      <c r="AH81" s="22"/>
      <c r="AI81" s="22"/>
      <c r="AJ81" s="22"/>
      <c r="AK81" s="22"/>
      <c r="AL81" s="22"/>
      <c r="AM81" s="22" t="str">
        <f t="shared" ref="AM81" si="85">+_xlfn.CONCAT(N81&amp;V81&amp;Z81)</f>
        <v xml:space="preserve"> Workbooks.Open "A:\Homes for Ukraine data\Ukraine_sponsorship_data_14.ods"</v>
      </c>
      <c r="AO81" t="s">
        <v>350</v>
      </c>
    </row>
    <row r="82" spans="2:41" x14ac:dyDescent="0.25">
      <c r="B82" s="22" t="s">
        <v>533</v>
      </c>
      <c r="C82" s="22"/>
      <c r="D82" s="22"/>
      <c r="E82" s="22"/>
      <c r="F82" s="22"/>
      <c r="G82" s="22"/>
      <c r="H82" s="22"/>
      <c r="I82" s="22"/>
      <c r="J82" s="22"/>
      <c r="K82" s="22"/>
      <c r="L82" s="22"/>
      <c r="M82" s="22"/>
      <c r="N82" s="22" t="s">
        <v>323</v>
      </c>
      <c r="O82" s="22"/>
      <c r="P82" s="22"/>
      <c r="Q82" s="22"/>
      <c r="R82" s="22"/>
      <c r="S82" s="22"/>
      <c r="T82" s="22"/>
      <c r="U82" s="22"/>
      <c r="V82" s="22">
        <f t="shared" si="84"/>
        <v>14</v>
      </c>
      <c r="W82" s="22"/>
      <c r="X82" s="22"/>
      <c r="Y82" s="23"/>
      <c r="Z82" s="22" t="s">
        <v>532</v>
      </c>
      <c r="AA82" s="22"/>
      <c r="AB82" s="22"/>
      <c r="AC82" s="22"/>
      <c r="AD82" s="22"/>
      <c r="AE82" s="22" t="s">
        <v>382</v>
      </c>
      <c r="AF82" s="22">
        <f t="shared" ref="AF82" si="86">AF77</f>
        <v>11</v>
      </c>
      <c r="AG82" s="22" t="s">
        <v>327</v>
      </c>
      <c r="AH82" s="22"/>
      <c r="AI82" s="22">
        <f t="shared" ref="AI82" si="87">AI77</f>
        <v>24</v>
      </c>
      <c r="AJ82" s="22"/>
      <c r="AK82" s="22" t="s">
        <v>325</v>
      </c>
      <c r="AL82" s="22"/>
      <c r="AM82" s="22" t="str">
        <f t="shared" ref="AM82" si="88">_xlfn.CONCAT(N82&amp;V82&amp;Z82&amp;AE82&amp;AF82&amp;AG82&amp;AE82&amp;AI82&amp;AK82)</f>
        <v xml:space="preserve"> Workbooks("Ukraine_sponsorship_data_14.ods").Worksheets("Northern_Ireland").Range("D11:D24").Copy _</v>
      </c>
      <c r="AO82" t="s">
        <v>549</v>
      </c>
    </row>
    <row r="83" spans="2:41" x14ac:dyDescent="0.25">
      <c r="B83" s="22" t="s">
        <v>808</v>
      </c>
      <c r="C83" s="22"/>
      <c r="D83" s="22"/>
      <c r="E83" s="22"/>
      <c r="F83" s="22"/>
      <c r="G83" s="22"/>
      <c r="H83" s="22"/>
      <c r="I83" s="22"/>
      <c r="J83" s="22"/>
      <c r="K83" s="22"/>
      <c r="L83" s="22"/>
      <c r="M83" s="22"/>
      <c r="N83" s="22" t="s">
        <v>809</v>
      </c>
      <c r="O83" s="22"/>
      <c r="P83" s="22"/>
      <c r="Q83" s="22"/>
      <c r="R83" s="22"/>
      <c r="S83" s="22"/>
      <c r="T83" s="22"/>
      <c r="U83" s="22"/>
      <c r="V83" s="22"/>
      <c r="W83" s="22" t="str">
        <f t="shared" ref="W83" si="89">CHAR(CODE(W78)+1)</f>
        <v>U</v>
      </c>
      <c r="X83" s="22"/>
      <c r="Y83" s="23">
        <f t="shared" ref="Y83" si="90">Y78</f>
        <v>264</v>
      </c>
      <c r="Z83" s="22" t="s">
        <v>324</v>
      </c>
      <c r="AA83" s="22"/>
      <c r="AB83" s="22"/>
      <c r="AC83" s="22"/>
      <c r="AD83" s="22"/>
      <c r="AE83" s="22"/>
      <c r="AF83" s="22"/>
      <c r="AG83" s="22"/>
      <c r="AH83" s="22"/>
      <c r="AI83" s="22"/>
      <c r="AJ83" s="22"/>
      <c r="AK83" s="22"/>
      <c r="AL83" s="22"/>
      <c r="AM83" s="22" t="str">
        <f t="shared" ref="AM83" si="91">_xlfn.CONCAT(N83&amp;W83&amp;Y83&amp;Z83)</f>
        <v>Workbooks("HFU Forecast UTLA 1.0.xlsm").Worksheets("Combined data").Range("U264")</v>
      </c>
      <c r="AO83" t="s">
        <v>897</v>
      </c>
    </row>
    <row r="84" spans="2:41" x14ac:dyDescent="0.25">
      <c r="B84" s="22" t="s">
        <v>339</v>
      </c>
      <c r="C84" s="22"/>
      <c r="D84" s="22"/>
      <c r="E84" s="22"/>
      <c r="F84" s="22"/>
      <c r="G84" s="22"/>
      <c r="H84" s="22"/>
      <c r="I84" s="22"/>
      <c r="J84" s="22"/>
      <c r="K84" s="22"/>
      <c r="L84" s="22"/>
      <c r="M84" s="22"/>
      <c r="N84" s="22"/>
      <c r="O84" s="22"/>
      <c r="P84" s="22"/>
      <c r="Q84" s="22"/>
      <c r="R84" s="22"/>
      <c r="S84" s="22"/>
      <c r="T84" s="22"/>
      <c r="U84" s="22"/>
      <c r="V84" s="22"/>
      <c r="W84" s="22"/>
      <c r="X84" s="22"/>
      <c r="Y84" s="23"/>
      <c r="Z84" s="22"/>
      <c r="AA84" s="22"/>
      <c r="AB84" s="22"/>
      <c r="AC84" s="22"/>
      <c r="AD84" s="22"/>
      <c r="AE84" s="22"/>
      <c r="AF84" s="22"/>
      <c r="AG84" s="22"/>
      <c r="AH84" s="22"/>
      <c r="AI84" s="22"/>
      <c r="AJ84" s="22"/>
      <c r="AK84" s="22"/>
      <c r="AL84" s="22"/>
      <c r="AM84" s="22" t="str">
        <f t="shared" ref="AM84" si="92">B84</f>
        <v>ActiveWorkbook.Close SaveChanges:=False</v>
      </c>
      <c r="AO84" t="s">
        <v>339</v>
      </c>
    </row>
    <row r="86" spans="2:41" x14ac:dyDescent="0.25">
      <c r="B86" s="19" t="s">
        <v>316</v>
      </c>
      <c r="C86" s="19"/>
      <c r="D86" s="19"/>
      <c r="E86" s="19"/>
      <c r="F86" s="19"/>
      <c r="G86" s="19"/>
      <c r="H86" s="19"/>
      <c r="I86" s="19"/>
      <c r="J86" s="19"/>
      <c r="K86" s="19"/>
      <c r="L86" s="19"/>
      <c r="M86" s="19"/>
      <c r="N86" s="19" t="s">
        <v>321</v>
      </c>
      <c r="O86" s="19"/>
      <c r="P86" s="19"/>
      <c r="Q86" s="19"/>
      <c r="R86" s="19"/>
      <c r="S86" s="19"/>
      <c r="T86" s="19"/>
      <c r="U86" s="19"/>
      <c r="V86" s="19">
        <f t="shared" ref="V86:V87" si="93">V81+1</f>
        <v>15</v>
      </c>
      <c r="W86" s="19"/>
      <c r="X86" s="19"/>
      <c r="Y86" s="21"/>
      <c r="Z86" s="19" t="s">
        <v>322</v>
      </c>
      <c r="AA86" s="19"/>
      <c r="AB86" s="19"/>
      <c r="AC86" s="19"/>
      <c r="AD86" s="19"/>
      <c r="AE86" s="19"/>
      <c r="AF86" s="19"/>
      <c r="AG86" s="19"/>
      <c r="AH86" s="19"/>
      <c r="AI86" s="19"/>
      <c r="AJ86" s="19"/>
      <c r="AK86" s="19"/>
      <c r="AL86" s="19"/>
      <c r="AM86" s="19" t="str">
        <f t="shared" ref="AM86" si="94">+_xlfn.CONCAT(N86&amp;V86&amp;Z86)</f>
        <v xml:space="preserve"> Workbooks.Open "A:\Homes for Ukraine data\Ukraine_sponsorship_data_15.ods"</v>
      </c>
      <c r="AO86" t="s">
        <v>351</v>
      </c>
    </row>
    <row r="87" spans="2:41" x14ac:dyDescent="0.25">
      <c r="B87" s="19" t="s">
        <v>533</v>
      </c>
      <c r="C87" s="19"/>
      <c r="D87" s="19"/>
      <c r="E87" s="19"/>
      <c r="F87" s="19"/>
      <c r="G87" s="19"/>
      <c r="H87" s="19"/>
      <c r="I87" s="19"/>
      <c r="J87" s="19"/>
      <c r="K87" s="19"/>
      <c r="L87" s="19"/>
      <c r="M87" s="19"/>
      <c r="N87" s="19" t="s">
        <v>323</v>
      </c>
      <c r="O87" s="19"/>
      <c r="P87" s="19"/>
      <c r="Q87" s="19"/>
      <c r="R87" s="19"/>
      <c r="S87" s="19"/>
      <c r="T87" s="19"/>
      <c r="U87" s="19"/>
      <c r="V87" s="19">
        <f t="shared" si="93"/>
        <v>15</v>
      </c>
      <c r="W87" s="19"/>
      <c r="X87" s="19"/>
      <c r="Y87" s="21"/>
      <c r="Z87" s="19" t="s">
        <v>532</v>
      </c>
      <c r="AA87" s="19"/>
      <c r="AB87" s="19"/>
      <c r="AC87" s="19"/>
      <c r="AD87" s="19"/>
      <c r="AE87" s="19" t="s">
        <v>382</v>
      </c>
      <c r="AF87" s="19">
        <f t="shared" ref="AF87" si="95">AF82</f>
        <v>11</v>
      </c>
      <c r="AG87" s="19" t="s">
        <v>327</v>
      </c>
      <c r="AH87" s="19"/>
      <c r="AI87" s="19">
        <f t="shared" ref="AI87" si="96">AI82</f>
        <v>24</v>
      </c>
      <c r="AJ87" s="19"/>
      <c r="AK87" s="19" t="s">
        <v>325</v>
      </c>
      <c r="AL87" s="19"/>
      <c r="AM87" s="19" t="str">
        <f t="shared" ref="AM87" si="97">_xlfn.CONCAT(N87&amp;V87&amp;Z87&amp;AE87&amp;AF87&amp;AG87&amp;AE87&amp;AI87&amp;AK87)</f>
        <v xml:space="preserve"> Workbooks("Ukraine_sponsorship_data_15.ods").Worksheets("Northern_Ireland").Range("D11:D24").Copy _</v>
      </c>
      <c r="AO87" t="s">
        <v>550</v>
      </c>
    </row>
    <row r="88" spans="2:41" x14ac:dyDescent="0.25">
      <c r="B88" s="19" t="s">
        <v>808</v>
      </c>
      <c r="C88" s="19"/>
      <c r="D88" s="19"/>
      <c r="E88" s="19"/>
      <c r="F88" s="19"/>
      <c r="G88" s="19"/>
      <c r="H88" s="19"/>
      <c r="I88" s="19"/>
      <c r="J88" s="19"/>
      <c r="K88" s="19"/>
      <c r="L88" s="19"/>
      <c r="M88" s="19"/>
      <c r="N88" s="19" t="s">
        <v>809</v>
      </c>
      <c r="O88" s="19"/>
      <c r="P88" s="19"/>
      <c r="Q88" s="19"/>
      <c r="R88" s="19"/>
      <c r="S88" s="19"/>
      <c r="T88" s="19"/>
      <c r="U88" s="19"/>
      <c r="V88" s="19"/>
      <c r="W88" s="19" t="str">
        <f t="shared" ref="W88" si="98">CHAR(CODE(W83)+1)</f>
        <v>V</v>
      </c>
      <c r="X88" s="19"/>
      <c r="Y88" s="21">
        <f t="shared" ref="Y88" si="99">Y83</f>
        <v>264</v>
      </c>
      <c r="Z88" s="19" t="s">
        <v>324</v>
      </c>
      <c r="AA88" s="19"/>
      <c r="AB88" s="19"/>
      <c r="AC88" s="19"/>
      <c r="AD88" s="19"/>
      <c r="AE88" s="19"/>
      <c r="AF88" s="19"/>
      <c r="AG88" s="19"/>
      <c r="AH88" s="19"/>
      <c r="AI88" s="19"/>
      <c r="AJ88" s="19"/>
      <c r="AK88" s="19"/>
      <c r="AL88" s="19"/>
      <c r="AM88" s="19" t="str">
        <f t="shared" ref="AM88" si="100">_xlfn.CONCAT(N88&amp;W88&amp;Y88&amp;Z88)</f>
        <v>Workbooks("HFU Forecast UTLA 1.0.xlsm").Worksheets("Combined data").Range("V264")</v>
      </c>
      <c r="AO88" t="s">
        <v>898</v>
      </c>
    </row>
    <row r="89" spans="2:41" x14ac:dyDescent="0.25">
      <c r="B89" s="19" t="s">
        <v>339</v>
      </c>
      <c r="C89" s="19"/>
      <c r="D89" s="19"/>
      <c r="E89" s="19"/>
      <c r="F89" s="19"/>
      <c r="G89" s="19"/>
      <c r="H89" s="19"/>
      <c r="I89" s="19"/>
      <c r="J89" s="19"/>
      <c r="K89" s="19"/>
      <c r="L89" s="19"/>
      <c r="M89" s="19"/>
      <c r="N89" s="19"/>
      <c r="O89" s="19"/>
      <c r="P89" s="19"/>
      <c r="Q89" s="19"/>
      <c r="R89" s="19"/>
      <c r="S89" s="19"/>
      <c r="T89" s="19"/>
      <c r="U89" s="19"/>
      <c r="V89" s="19"/>
      <c r="W89" s="19"/>
      <c r="X89" s="19"/>
      <c r="Y89" s="21"/>
      <c r="Z89" s="19"/>
      <c r="AA89" s="19"/>
      <c r="AB89" s="19"/>
      <c r="AC89" s="19"/>
      <c r="AD89" s="19"/>
      <c r="AE89" s="19"/>
      <c r="AF89" s="19"/>
      <c r="AG89" s="19"/>
      <c r="AH89" s="19"/>
      <c r="AI89" s="19"/>
      <c r="AJ89" s="19"/>
      <c r="AK89" s="19"/>
      <c r="AL89" s="19"/>
      <c r="AM89" s="19" t="str">
        <f t="shared" ref="AM89" si="101">B89</f>
        <v>ActiveWorkbook.Close SaveChanges:=False</v>
      </c>
      <c r="AO89" t="s">
        <v>339</v>
      </c>
    </row>
    <row r="91" spans="2:41" x14ac:dyDescent="0.25">
      <c r="B91" s="22" t="s">
        <v>316</v>
      </c>
      <c r="C91" s="22"/>
      <c r="D91" s="22"/>
      <c r="E91" s="22"/>
      <c r="F91" s="22"/>
      <c r="G91" s="22"/>
      <c r="H91" s="22"/>
      <c r="I91" s="22"/>
      <c r="J91" s="22"/>
      <c r="K91" s="22"/>
      <c r="L91" s="22"/>
      <c r="M91" s="22"/>
      <c r="N91" s="22" t="s">
        <v>321</v>
      </c>
      <c r="O91" s="22"/>
      <c r="P91" s="22"/>
      <c r="Q91" s="22"/>
      <c r="R91" s="22"/>
      <c r="S91" s="22"/>
      <c r="T91" s="22"/>
      <c r="U91" s="22"/>
      <c r="V91" s="22">
        <f t="shared" ref="V91:V92" si="102">V86+1</f>
        <v>16</v>
      </c>
      <c r="W91" s="22"/>
      <c r="X91" s="22"/>
      <c r="Y91" s="23"/>
      <c r="Z91" s="22" t="s">
        <v>322</v>
      </c>
      <c r="AA91" s="22"/>
      <c r="AB91" s="22"/>
      <c r="AC91" s="22"/>
      <c r="AD91" s="22"/>
      <c r="AE91" s="22"/>
      <c r="AF91" s="22"/>
      <c r="AG91" s="22"/>
      <c r="AH91" s="22"/>
      <c r="AI91" s="22"/>
      <c r="AJ91" s="22"/>
      <c r="AK91" s="22"/>
      <c r="AL91" s="22"/>
      <c r="AM91" s="22" t="str">
        <f t="shared" ref="AM91" si="103">+_xlfn.CONCAT(N91&amp;V91&amp;Z91)</f>
        <v xml:space="preserve"> Workbooks.Open "A:\Homes for Ukraine data\Ukraine_sponsorship_data_16.ods"</v>
      </c>
      <c r="AO91" t="s">
        <v>352</v>
      </c>
    </row>
    <row r="92" spans="2:41" x14ac:dyDescent="0.25">
      <c r="B92" s="22" t="s">
        <v>533</v>
      </c>
      <c r="C92" s="22"/>
      <c r="D92" s="22"/>
      <c r="E92" s="22"/>
      <c r="F92" s="22"/>
      <c r="G92" s="22"/>
      <c r="H92" s="22"/>
      <c r="I92" s="22"/>
      <c r="J92" s="22"/>
      <c r="K92" s="22"/>
      <c r="L92" s="22"/>
      <c r="M92" s="22"/>
      <c r="N92" s="22" t="s">
        <v>323</v>
      </c>
      <c r="O92" s="22"/>
      <c r="P92" s="22"/>
      <c r="Q92" s="22"/>
      <c r="R92" s="22"/>
      <c r="S92" s="22"/>
      <c r="T92" s="22"/>
      <c r="U92" s="22"/>
      <c r="V92" s="22">
        <f t="shared" si="102"/>
        <v>16</v>
      </c>
      <c r="W92" s="22"/>
      <c r="X92" s="22"/>
      <c r="Y92" s="23"/>
      <c r="Z92" s="22" t="s">
        <v>532</v>
      </c>
      <c r="AA92" s="22"/>
      <c r="AB92" s="22"/>
      <c r="AC92" s="22"/>
      <c r="AD92" s="22"/>
      <c r="AE92" s="22" t="s">
        <v>382</v>
      </c>
      <c r="AF92" s="22">
        <f t="shared" ref="AF92" si="104">AF87</f>
        <v>11</v>
      </c>
      <c r="AG92" s="22" t="s">
        <v>327</v>
      </c>
      <c r="AH92" s="22"/>
      <c r="AI92" s="22">
        <f t="shared" ref="AI92" si="105">AI87</f>
        <v>24</v>
      </c>
      <c r="AJ92" s="22"/>
      <c r="AK92" s="22" t="s">
        <v>325</v>
      </c>
      <c r="AL92" s="22"/>
      <c r="AM92" s="22" t="str">
        <f t="shared" ref="AM92" si="106">_xlfn.CONCAT(N92&amp;V92&amp;Z92&amp;AE92&amp;AF92&amp;AG92&amp;AE92&amp;AI92&amp;AK92)</f>
        <v xml:space="preserve"> Workbooks("Ukraine_sponsorship_data_16.ods").Worksheets("Northern_Ireland").Range("D11:D24").Copy _</v>
      </c>
      <c r="AO92" t="s">
        <v>551</v>
      </c>
    </row>
    <row r="93" spans="2:41" x14ac:dyDescent="0.25">
      <c r="B93" s="22" t="s">
        <v>808</v>
      </c>
      <c r="C93" s="22"/>
      <c r="D93" s="22"/>
      <c r="E93" s="22"/>
      <c r="F93" s="22"/>
      <c r="G93" s="22"/>
      <c r="H93" s="22"/>
      <c r="I93" s="22"/>
      <c r="J93" s="22"/>
      <c r="K93" s="22"/>
      <c r="L93" s="22"/>
      <c r="M93" s="22"/>
      <c r="N93" s="22" t="s">
        <v>809</v>
      </c>
      <c r="O93" s="22"/>
      <c r="P93" s="22"/>
      <c r="Q93" s="22"/>
      <c r="R93" s="22"/>
      <c r="S93" s="22"/>
      <c r="T93" s="22"/>
      <c r="U93" s="22"/>
      <c r="V93" s="22"/>
      <c r="W93" s="22" t="str">
        <f t="shared" ref="W93" si="107">CHAR(CODE(W88)+1)</f>
        <v>W</v>
      </c>
      <c r="X93" s="22"/>
      <c r="Y93" s="23">
        <f t="shared" ref="Y93" si="108">Y88</f>
        <v>264</v>
      </c>
      <c r="Z93" s="22" t="s">
        <v>324</v>
      </c>
      <c r="AA93" s="22"/>
      <c r="AB93" s="22"/>
      <c r="AC93" s="22"/>
      <c r="AD93" s="22"/>
      <c r="AE93" s="22"/>
      <c r="AF93" s="22"/>
      <c r="AG93" s="22"/>
      <c r="AH93" s="22"/>
      <c r="AI93" s="22"/>
      <c r="AJ93" s="22"/>
      <c r="AK93" s="22"/>
      <c r="AL93" s="22"/>
      <c r="AM93" s="22" t="str">
        <f t="shared" ref="AM93" si="109">_xlfn.CONCAT(N93&amp;W93&amp;Y93&amp;Z93)</f>
        <v>Workbooks("HFU Forecast UTLA 1.0.xlsm").Worksheets("Combined data").Range("W264")</v>
      </c>
      <c r="AO93" t="s">
        <v>899</v>
      </c>
    </row>
    <row r="94" spans="2:41" x14ac:dyDescent="0.25">
      <c r="B94" s="22" t="s">
        <v>339</v>
      </c>
      <c r="C94" s="22"/>
      <c r="D94" s="22"/>
      <c r="E94" s="22"/>
      <c r="F94" s="22"/>
      <c r="G94" s="22"/>
      <c r="H94" s="22"/>
      <c r="I94" s="22"/>
      <c r="J94" s="22"/>
      <c r="K94" s="22"/>
      <c r="L94" s="22"/>
      <c r="M94" s="22"/>
      <c r="N94" s="22"/>
      <c r="O94" s="22"/>
      <c r="P94" s="22"/>
      <c r="Q94" s="22"/>
      <c r="R94" s="22"/>
      <c r="S94" s="22"/>
      <c r="T94" s="22"/>
      <c r="U94" s="22"/>
      <c r="V94" s="22"/>
      <c r="W94" s="22"/>
      <c r="X94" s="22"/>
      <c r="Y94" s="23"/>
      <c r="Z94" s="22"/>
      <c r="AA94" s="22"/>
      <c r="AB94" s="22"/>
      <c r="AC94" s="22"/>
      <c r="AD94" s="22"/>
      <c r="AE94" s="22"/>
      <c r="AF94" s="22"/>
      <c r="AG94" s="22"/>
      <c r="AH94" s="22"/>
      <c r="AI94" s="22"/>
      <c r="AJ94" s="22"/>
      <c r="AK94" s="22"/>
      <c r="AL94" s="22"/>
      <c r="AM94" s="22" t="str">
        <f t="shared" ref="AM94" si="110">B94</f>
        <v>ActiveWorkbook.Close SaveChanges:=False</v>
      </c>
      <c r="AO94" t="s">
        <v>339</v>
      </c>
    </row>
    <row r="96" spans="2:41" x14ac:dyDescent="0.25">
      <c r="B96" s="19" t="s">
        <v>316</v>
      </c>
      <c r="C96" s="19"/>
      <c r="D96" s="19"/>
      <c r="E96" s="19"/>
      <c r="F96" s="19"/>
      <c r="G96" s="19"/>
      <c r="H96" s="19"/>
      <c r="I96" s="19"/>
      <c r="J96" s="19"/>
      <c r="K96" s="19"/>
      <c r="L96" s="19"/>
      <c r="M96" s="19"/>
      <c r="N96" s="19" t="s">
        <v>321</v>
      </c>
      <c r="O96" s="19"/>
      <c r="P96" s="19"/>
      <c r="Q96" s="19"/>
      <c r="R96" s="19"/>
      <c r="S96" s="19"/>
      <c r="T96" s="19"/>
      <c r="U96" s="19"/>
      <c r="V96" s="19">
        <f t="shared" ref="V96:V97" si="111">V91+1</f>
        <v>17</v>
      </c>
      <c r="W96" s="19"/>
      <c r="X96" s="19"/>
      <c r="Y96" s="21"/>
      <c r="Z96" s="19" t="s">
        <v>322</v>
      </c>
      <c r="AA96" s="19"/>
      <c r="AB96" s="19"/>
      <c r="AC96" s="19"/>
      <c r="AD96" s="19"/>
      <c r="AE96" s="19"/>
      <c r="AF96" s="19"/>
      <c r="AG96" s="19"/>
      <c r="AH96" s="19"/>
      <c r="AI96" s="19"/>
      <c r="AJ96" s="19"/>
      <c r="AK96" s="19"/>
      <c r="AL96" s="19"/>
      <c r="AM96" s="19" t="str">
        <f t="shared" ref="AM96" si="112">+_xlfn.CONCAT(N96&amp;V96&amp;Z96)</f>
        <v xml:space="preserve"> Workbooks.Open "A:\Homes for Ukraine data\Ukraine_sponsorship_data_17.ods"</v>
      </c>
      <c r="AO96" t="s">
        <v>353</v>
      </c>
    </row>
    <row r="97" spans="2:41" x14ac:dyDescent="0.25">
      <c r="B97" s="19" t="s">
        <v>533</v>
      </c>
      <c r="C97" s="19"/>
      <c r="D97" s="19"/>
      <c r="E97" s="19"/>
      <c r="F97" s="19"/>
      <c r="G97" s="19"/>
      <c r="H97" s="19"/>
      <c r="I97" s="19"/>
      <c r="J97" s="19"/>
      <c r="K97" s="19"/>
      <c r="L97" s="19"/>
      <c r="M97" s="19"/>
      <c r="N97" s="19" t="s">
        <v>323</v>
      </c>
      <c r="O97" s="19"/>
      <c r="P97" s="19"/>
      <c r="Q97" s="19"/>
      <c r="R97" s="19"/>
      <c r="S97" s="19"/>
      <c r="T97" s="19"/>
      <c r="U97" s="19"/>
      <c r="V97" s="19">
        <f t="shared" si="111"/>
        <v>17</v>
      </c>
      <c r="W97" s="19"/>
      <c r="X97" s="19"/>
      <c r="Y97" s="21"/>
      <c r="Z97" s="19" t="s">
        <v>532</v>
      </c>
      <c r="AA97" s="19"/>
      <c r="AB97" s="19"/>
      <c r="AC97" s="19"/>
      <c r="AD97" s="19"/>
      <c r="AE97" s="19" t="s">
        <v>382</v>
      </c>
      <c r="AF97" s="19">
        <f t="shared" ref="AF97" si="113">AF92</f>
        <v>11</v>
      </c>
      <c r="AG97" s="19" t="s">
        <v>327</v>
      </c>
      <c r="AH97" s="19"/>
      <c r="AI97" s="19">
        <f t="shared" ref="AI97" si="114">AI92</f>
        <v>24</v>
      </c>
      <c r="AJ97" s="19"/>
      <c r="AK97" s="19" t="s">
        <v>325</v>
      </c>
      <c r="AL97" s="19"/>
      <c r="AM97" s="19" t="str">
        <f t="shared" ref="AM97" si="115">_xlfn.CONCAT(N97&amp;V97&amp;Z97&amp;AE97&amp;AF97&amp;AG97&amp;AE97&amp;AI97&amp;AK97)</f>
        <v xml:space="preserve"> Workbooks("Ukraine_sponsorship_data_17.ods").Worksheets("Northern_Ireland").Range("D11:D24").Copy _</v>
      </c>
      <c r="AO97" t="s">
        <v>552</v>
      </c>
    </row>
    <row r="98" spans="2:41" x14ac:dyDescent="0.25">
      <c r="B98" s="19" t="s">
        <v>808</v>
      </c>
      <c r="C98" s="19"/>
      <c r="D98" s="19"/>
      <c r="E98" s="19"/>
      <c r="F98" s="19"/>
      <c r="G98" s="19"/>
      <c r="H98" s="19"/>
      <c r="I98" s="19"/>
      <c r="J98" s="19"/>
      <c r="K98" s="19"/>
      <c r="L98" s="19"/>
      <c r="M98" s="19"/>
      <c r="N98" s="19" t="s">
        <v>809</v>
      </c>
      <c r="O98" s="19"/>
      <c r="P98" s="19"/>
      <c r="Q98" s="19"/>
      <c r="R98" s="19"/>
      <c r="S98" s="19"/>
      <c r="T98" s="19"/>
      <c r="U98" s="19"/>
      <c r="V98" s="19"/>
      <c r="W98" s="19" t="str">
        <f t="shared" ref="W98" si="116">CHAR(CODE(W93)+1)</f>
        <v>X</v>
      </c>
      <c r="X98" s="19"/>
      <c r="Y98" s="21">
        <f t="shared" ref="Y98" si="117">Y93</f>
        <v>264</v>
      </c>
      <c r="Z98" s="19" t="s">
        <v>324</v>
      </c>
      <c r="AA98" s="19"/>
      <c r="AB98" s="19"/>
      <c r="AC98" s="19"/>
      <c r="AD98" s="19"/>
      <c r="AE98" s="19"/>
      <c r="AF98" s="19"/>
      <c r="AG98" s="19"/>
      <c r="AH98" s="19"/>
      <c r="AI98" s="19"/>
      <c r="AJ98" s="19"/>
      <c r="AK98" s="19"/>
      <c r="AL98" s="19"/>
      <c r="AM98" s="19" t="str">
        <f t="shared" ref="AM98" si="118">_xlfn.CONCAT(N98&amp;W98&amp;Y98&amp;Z98)</f>
        <v>Workbooks("HFU Forecast UTLA 1.0.xlsm").Worksheets("Combined data").Range("X264")</v>
      </c>
      <c r="AO98" t="s">
        <v>900</v>
      </c>
    </row>
    <row r="99" spans="2:41" x14ac:dyDescent="0.25">
      <c r="B99" s="19" t="s">
        <v>339</v>
      </c>
      <c r="C99" s="19"/>
      <c r="D99" s="19"/>
      <c r="E99" s="19"/>
      <c r="F99" s="19"/>
      <c r="G99" s="19"/>
      <c r="H99" s="19"/>
      <c r="I99" s="19"/>
      <c r="J99" s="19"/>
      <c r="K99" s="19"/>
      <c r="L99" s="19"/>
      <c r="M99" s="19"/>
      <c r="N99" s="19"/>
      <c r="O99" s="19"/>
      <c r="P99" s="19"/>
      <c r="Q99" s="19"/>
      <c r="R99" s="19"/>
      <c r="S99" s="19"/>
      <c r="T99" s="19"/>
      <c r="U99" s="19"/>
      <c r="V99" s="19"/>
      <c r="W99" s="19"/>
      <c r="X99" s="19"/>
      <c r="Y99" s="21"/>
      <c r="Z99" s="19"/>
      <c r="AA99" s="19"/>
      <c r="AB99" s="19"/>
      <c r="AC99" s="19"/>
      <c r="AD99" s="19"/>
      <c r="AE99" s="19"/>
      <c r="AF99" s="19"/>
      <c r="AG99" s="19"/>
      <c r="AH99" s="19"/>
      <c r="AI99" s="19"/>
      <c r="AJ99" s="19"/>
      <c r="AK99" s="19"/>
      <c r="AL99" s="19"/>
      <c r="AM99" s="19" t="str">
        <f t="shared" ref="AM99" si="119">B99</f>
        <v>ActiveWorkbook.Close SaveChanges:=False</v>
      </c>
      <c r="AO99" t="s">
        <v>339</v>
      </c>
    </row>
    <row r="101" spans="2:41" x14ac:dyDescent="0.25">
      <c r="B101" s="22" t="s">
        <v>316</v>
      </c>
      <c r="C101" s="22"/>
      <c r="D101" s="22"/>
      <c r="E101" s="22"/>
      <c r="F101" s="22"/>
      <c r="G101" s="22"/>
      <c r="H101" s="22"/>
      <c r="I101" s="22"/>
      <c r="J101" s="22"/>
      <c r="K101" s="22"/>
      <c r="L101" s="22"/>
      <c r="M101" s="22"/>
      <c r="N101" s="22" t="s">
        <v>321</v>
      </c>
      <c r="O101" s="22"/>
      <c r="P101" s="22"/>
      <c r="Q101" s="22"/>
      <c r="R101" s="22"/>
      <c r="S101" s="22"/>
      <c r="T101" s="22"/>
      <c r="U101" s="22"/>
      <c r="V101" s="22">
        <f t="shared" ref="V101:V102" si="120">V96+1</f>
        <v>18</v>
      </c>
      <c r="W101" s="22"/>
      <c r="X101" s="22"/>
      <c r="Y101" s="23"/>
      <c r="Z101" s="22" t="s">
        <v>322</v>
      </c>
      <c r="AA101" s="22"/>
      <c r="AB101" s="22"/>
      <c r="AC101" s="22"/>
      <c r="AD101" s="22"/>
      <c r="AE101" s="22"/>
      <c r="AF101" s="22"/>
      <c r="AG101" s="22"/>
      <c r="AH101" s="22"/>
      <c r="AI101" s="22"/>
      <c r="AJ101" s="22"/>
      <c r="AK101" s="22"/>
      <c r="AL101" s="22"/>
      <c r="AM101" s="22" t="str">
        <f t="shared" ref="AM101" si="121">+_xlfn.CONCAT(N101&amp;V101&amp;Z101)</f>
        <v xml:space="preserve"> Workbooks.Open "A:\Homes for Ukraine data\Ukraine_sponsorship_data_18.ods"</v>
      </c>
      <c r="AO101" t="s">
        <v>354</v>
      </c>
    </row>
    <row r="102" spans="2:41" x14ac:dyDescent="0.25">
      <c r="B102" s="22" t="s">
        <v>533</v>
      </c>
      <c r="C102" s="22"/>
      <c r="D102" s="22"/>
      <c r="E102" s="22"/>
      <c r="F102" s="22"/>
      <c r="G102" s="22"/>
      <c r="H102" s="22"/>
      <c r="I102" s="22"/>
      <c r="J102" s="22"/>
      <c r="K102" s="22"/>
      <c r="L102" s="22"/>
      <c r="M102" s="22"/>
      <c r="N102" s="22" t="s">
        <v>323</v>
      </c>
      <c r="O102" s="22"/>
      <c r="P102" s="22"/>
      <c r="Q102" s="22"/>
      <c r="R102" s="22"/>
      <c r="S102" s="22"/>
      <c r="T102" s="22"/>
      <c r="U102" s="22"/>
      <c r="V102" s="22">
        <f t="shared" si="120"/>
        <v>18</v>
      </c>
      <c r="W102" s="22"/>
      <c r="X102" s="22"/>
      <c r="Y102" s="23"/>
      <c r="Z102" s="22" t="s">
        <v>532</v>
      </c>
      <c r="AA102" s="22"/>
      <c r="AB102" s="22"/>
      <c r="AC102" s="22"/>
      <c r="AD102" s="22"/>
      <c r="AE102" s="22" t="s">
        <v>382</v>
      </c>
      <c r="AF102" s="22">
        <f t="shared" ref="AF102" si="122">AF97</f>
        <v>11</v>
      </c>
      <c r="AG102" s="22" t="s">
        <v>327</v>
      </c>
      <c r="AH102" s="22"/>
      <c r="AI102" s="22">
        <f t="shared" ref="AI102" si="123">AI97</f>
        <v>24</v>
      </c>
      <c r="AJ102" s="22"/>
      <c r="AK102" s="22" t="s">
        <v>325</v>
      </c>
      <c r="AL102" s="22"/>
      <c r="AM102" s="22" t="str">
        <f t="shared" ref="AM102" si="124">_xlfn.CONCAT(N102&amp;V102&amp;Z102&amp;AE102&amp;AF102&amp;AG102&amp;AE102&amp;AI102&amp;AK102)</f>
        <v xml:space="preserve"> Workbooks("Ukraine_sponsorship_data_18.ods").Worksheets("Northern_Ireland").Range("D11:D24").Copy _</v>
      </c>
      <c r="AO102" t="s">
        <v>553</v>
      </c>
    </row>
    <row r="103" spans="2:41" x14ac:dyDescent="0.25">
      <c r="B103" s="22" t="s">
        <v>808</v>
      </c>
      <c r="C103" s="22"/>
      <c r="D103" s="22"/>
      <c r="E103" s="22"/>
      <c r="F103" s="22"/>
      <c r="G103" s="22"/>
      <c r="H103" s="22"/>
      <c r="I103" s="22"/>
      <c r="J103" s="22"/>
      <c r="K103" s="22"/>
      <c r="L103" s="22"/>
      <c r="M103" s="22"/>
      <c r="N103" s="22" t="s">
        <v>809</v>
      </c>
      <c r="O103" s="22"/>
      <c r="P103" s="22"/>
      <c r="Q103" s="22"/>
      <c r="R103" s="22"/>
      <c r="S103" s="22"/>
      <c r="T103" s="22"/>
      <c r="U103" s="22"/>
      <c r="V103" s="22"/>
      <c r="W103" s="22" t="str">
        <f t="shared" ref="W103" si="125">CHAR(CODE(W98)+1)</f>
        <v>Y</v>
      </c>
      <c r="X103" s="22"/>
      <c r="Y103" s="23">
        <f t="shared" ref="Y103" si="126">Y98</f>
        <v>264</v>
      </c>
      <c r="Z103" s="22" t="s">
        <v>324</v>
      </c>
      <c r="AA103" s="22"/>
      <c r="AB103" s="22"/>
      <c r="AC103" s="22"/>
      <c r="AD103" s="22"/>
      <c r="AE103" s="22"/>
      <c r="AF103" s="22"/>
      <c r="AG103" s="22"/>
      <c r="AH103" s="22"/>
      <c r="AI103" s="22"/>
      <c r="AJ103" s="22"/>
      <c r="AK103" s="22"/>
      <c r="AL103" s="22"/>
      <c r="AM103" s="22" t="str">
        <f t="shared" ref="AM103" si="127">_xlfn.CONCAT(N103&amp;W103&amp;Y103&amp;Z103)</f>
        <v>Workbooks("HFU Forecast UTLA 1.0.xlsm").Worksheets("Combined data").Range("Y264")</v>
      </c>
      <c r="AO103" t="s">
        <v>901</v>
      </c>
    </row>
    <row r="104" spans="2:41" x14ac:dyDescent="0.25">
      <c r="B104" s="22" t="s">
        <v>339</v>
      </c>
      <c r="C104" s="22"/>
      <c r="D104" s="22"/>
      <c r="E104" s="22"/>
      <c r="F104" s="22"/>
      <c r="G104" s="22"/>
      <c r="H104" s="22"/>
      <c r="I104" s="22"/>
      <c r="J104" s="22"/>
      <c r="K104" s="22"/>
      <c r="L104" s="22"/>
      <c r="M104" s="22"/>
      <c r="N104" s="22"/>
      <c r="O104" s="22"/>
      <c r="P104" s="22"/>
      <c r="Q104" s="22"/>
      <c r="R104" s="22"/>
      <c r="S104" s="22"/>
      <c r="T104" s="22"/>
      <c r="U104" s="22"/>
      <c r="V104" s="22"/>
      <c r="W104" s="22"/>
      <c r="X104" s="22"/>
      <c r="Y104" s="23"/>
      <c r="Z104" s="22"/>
      <c r="AA104" s="22"/>
      <c r="AB104" s="22"/>
      <c r="AC104" s="22"/>
      <c r="AD104" s="22"/>
      <c r="AE104" s="22"/>
      <c r="AF104" s="22"/>
      <c r="AG104" s="22"/>
      <c r="AH104" s="22"/>
      <c r="AI104" s="22"/>
      <c r="AJ104" s="22"/>
      <c r="AK104" s="22"/>
      <c r="AL104" s="22"/>
      <c r="AM104" s="22" t="str">
        <f t="shared" ref="AM104" si="128">B104</f>
        <v>ActiveWorkbook.Close SaveChanges:=False</v>
      </c>
      <c r="AO104" t="s">
        <v>339</v>
      </c>
    </row>
    <row r="106" spans="2:41" x14ac:dyDescent="0.25">
      <c r="B106" s="19" t="s">
        <v>316</v>
      </c>
      <c r="C106" s="19"/>
      <c r="D106" s="19"/>
      <c r="E106" s="19"/>
      <c r="F106" s="19"/>
      <c r="G106" s="19"/>
      <c r="H106" s="19"/>
      <c r="I106" s="19"/>
      <c r="J106" s="19"/>
      <c r="K106" s="19"/>
      <c r="L106" s="19"/>
      <c r="M106" s="19"/>
      <c r="N106" s="19" t="s">
        <v>321</v>
      </c>
      <c r="O106" s="19"/>
      <c r="P106" s="19"/>
      <c r="Q106" s="19"/>
      <c r="R106" s="19"/>
      <c r="S106" s="19"/>
      <c r="T106" s="19"/>
      <c r="U106" s="19"/>
      <c r="V106" s="19">
        <f t="shared" ref="V106:V107" si="129">V101+1</f>
        <v>19</v>
      </c>
      <c r="W106" s="19"/>
      <c r="X106" s="19"/>
      <c r="Y106" s="21"/>
      <c r="Z106" s="19" t="s">
        <v>322</v>
      </c>
      <c r="AA106" s="19"/>
      <c r="AB106" s="19"/>
      <c r="AC106" s="19"/>
      <c r="AD106" s="19"/>
      <c r="AE106" s="19"/>
      <c r="AF106" s="19"/>
      <c r="AG106" s="19"/>
      <c r="AH106" s="19"/>
      <c r="AI106" s="19"/>
      <c r="AJ106" s="19"/>
      <c r="AK106" s="19"/>
      <c r="AL106" s="19"/>
      <c r="AM106" s="19" t="str">
        <f t="shared" ref="AM106" si="130">+_xlfn.CONCAT(N106&amp;V106&amp;Z106)</f>
        <v xml:space="preserve"> Workbooks.Open "A:\Homes for Ukraine data\Ukraine_sponsorship_data_19.ods"</v>
      </c>
      <c r="AO106" t="s">
        <v>355</v>
      </c>
    </row>
    <row r="107" spans="2:41" x14ac:dyDescent="0.25">
      <c r="B107" s="19" t="s">
        <v>533</v>
      </c>
      <c r="C107" s="19"/>
      <c r="D107" s="19"/>
      <c r="E107" s="19"/>
      <c r="F107" s="19"/>
      <c r="G107" s="19"/>
      <c r="H107" s="19"/>
      <c r="I107" s="19"/>
      <c r="J107" s="19"/>
      <c r="K107" s="19"/>
      <c r="L107" s="19"/>
      <c r="M107" s="19"/>
      <c r="N107" s="19" t="s">
        <v>323</v>
      </c>
      <c r="O107" s="19"/>
      <c r="P107" s="19"/>
      <c r="Q107" s="19"/>
      <c r="R107" s="19"/>
      <c r="S107" s="19"/>
      <c r="T107" s="19"/>
      <c r="U107" s="19"/>
      <c r="V107" s="19">
        <f t="shared" si="129"/>
        <v>19</v>
      </c>
      <c r="W107" s="19"/>
      <c r="X107" s="19"/>
      <c r="Y107" s="21"/>
      <c r="Z107" s="19" t="s">
        <v>532</v>
      </c>
      <c r="AA107" s="19"/>
      <c r="AB107" s="19"/>
      <c r="AC107" s="19"/>
      <c r="AD107" s="19"/>
      <c r="AE107" s="19" t="s">
        <v>382</v>
      </c>
      <c r="AF107" s="19">
        <f t="shared" ref="AF107" si="131">AF102</f>
        <v>11</v>
      </c>
      <c r="AG107" s="19" t="s">
        <v>327</v>
      </c>
      <c r="AH107" s="19"/>
      <c r="AI107" s="19">
        <f t="shared" ref="AI107" si="132">AI102</f>
        <v>24</v>
      </c>
      <c r="AJ107" s="19"/>
      <c r="AK107" s="19" t="s">
        <v>325</v>
      </c>
      <c r="AL107" s="19"/>
      <c r="AM107" s="19" t="str">
        <f t="shared" ref="AM107" si="133">_xlfn.CONCAT(N107&amp;V107&amp;Z107&amp;AE107&amp;AF107&amp;AG107&amp;AE107&amp;AI107&amp;AK107)</f>
        <v xml:space="preserve"> Workbooks("Ukraine_sponsorship_data_19.ods").Worksheets("Northern_Ireland").Range("D11:D24").Copy _</v>
      </c>
      <c r="AO107" t="s">
        <v>554</v>
      </c>
    </row>
    <row r="108" spans="2:41" x14ac:dyDescent="0.25">
      <c r="B108" s="19" t="s">
        <v>808</v>
      </c>
      <c r="C108" s="19"/>
      <c r="D108" s="19"/>
      <c r="E108" s="19"/>
      <c r="F108" s="19"/>
      <c r="G108" s="19"/>
      <c r="H108" s="19"/>
      <c r="I108" s="19"/>
      <c r="J108" s="19"/>
      <c r="K108" s="19"/>
      <c r="L108" s="19"/>
      <c r="M108" s="19"/>
      <c r="N108" s="19" t="s">
        <v>809</v>
      </c>
      <c r="O108" s="19"/>
      <c r="P108" s="19"/>
      <c r="Q108" s="19"/>
      <c r="R108" s="19"/>
      <c r="S108" s="19"/>
      <c r="T108" s="19"/>
      <c r="U108" s="19"/>
      <c r="V108" s="19"/>
      <c r="W108" s="19" t="str">
        <f t="shared" ref="W108" si="134">CHAR(CODE(W103)+1)</f>
        <v>Z</v>
      </c>
      <c r="X108" s="19"/>
      <c r="Y108" s="21">
        <f t="shared" ref="Y108" si="135">Y103</f>
        <v>264</v>
      </c>
      <c r="Z108" s="19" t="s">
        <v>324</v>
      </c>
      <c r="AA108" s="19"/>
      <c r="AB108" s="19"/>
      <c r="AC108" s="19"/>
      <c r="AD108" s="19"/>
      <c r="AE108" s="19"/>
      <c r="AF108" s="19"/>
      <c r="AG108" s="19"/>
      <c r="AH108" s="19"/>
      <c r="AI108" s="19"/>
      <c r="AJ108" s="19"/>
      <c r="AK108" s="19"/>
      <c r="AL108" s="19"/>
      <c r="AM108" s="19" t="str">
        <f t="shared" ref="AM108" si="136">_xlfn.CONCAT(N108&amp;W108&amp;Y108&amp;Z108)</f>
        <v>Workbooks("HFU Forecast UTLA 1.0.xlsm").Worksheets("Combined data").Range("Z264")</v>
      </c>
      <c r="AO108" t="s">
        <v>902</v>
      </c>
    </row>
    <row r="109" spans="2:41" x14ac:dyDescent="0.25">
      <c r="B109" s="19" t="s">
        <v>339</v>
      </c>
      <c r="C109" s="19"/>
      <c r="D109" s="19"/>
      <c r="E109" s="19"/>
      <c r="F109" s="19"/>
      <c r="G109" s="19"/>
      <c r="H109" s="19"/>
      <c r="I109" s="19"/>
      <c r="J109" s="19"/>
      <c r="K109" s="19"/>
      <c r="L109" s="19"/>
      <c r="M109" s="19"/>
      <c r="N109" s="19"/>
      <c r="O109" s="19"/>
      <c r="P109" s="19"/>
      <c r="Q109" s="19"/>
      <c r="R109" s="19"/>
      <c r="S109" s="19"/>
      <c r="T109" s="19"/>
      <c r="U109" s="19"/>
      <c r="V109" s="19"/>
      <c r="W109" s="19"/>
      <c r="X109" s="19"/>
      <c r="Y109" s="21"/>
      <c r="Z109" s="19"/>
      <c r="AA109" s="19"/>
      <c r="AB109" s="19"/>
      <c r="AC109" s="19"/>
      <c r="AD109" s="19"/>
      <c r="AE109" s="19"/>
      <c r="AF109" s="19"/>
      <c r="AG109" s="19"/>
      <c r="AH109" s="19"/>
      <c r="AI109" s="19"/>
      <c r="AJ109" s="19"/>
      <c r="AK109" s="19"/>
      <c r="AL109" s="19"/>
      <c r="AM109" s="19" t="str">
        <f t="shared" ref="AM109" si="137">B109</f>
        <v>ActiveWorkbook.Close SaveChanges:=False</v>
      </c>
      <c r="AO109" t="s">
        <v>339</v>
      </c>
    </row>
    <row r="111" spans="2:41" x14ac:dyDescent="0.25">
      <c r="B111" s="22" t="s">
        <v>316</v>
      </c>
      <c r="C111" s="22"/>
      <c r="D111" s="22"/>
      <c r="E111" s="22"/>
      <c r="F111" s="22"/>
      <c r="G111" s="22"/>
      <c r="H111" s="22"/>
      <c r="I111" s="22"/>
      <c r="J111" s="22"/>
      <c r="K111" s="22"/>
      <c r="L111" s="22"/>
      <c r="M111" s="22"/>
      <c r="N111" s="22" t="s">
        <v>321</v>
      </c>
      <c r="O111" s="22"/>
      <c r="P111" s="22"/>
      <c r="Q111" s="22"/>
      <c r="R111" s="22"/>
      <c r="S111" s="22"/>
      <c r="T111" s="22"/>
      <c r="U111" s="22"/>
      <c r="V111" s="22">
        <f t="shared" ref="V111:V112" si="138">V106+1</f>
        <v>20</v>
      </c>
      <c r="W111" s="22"/>
      <c r="X111" s="22"/>
      <c r="Y111" s="23"/>
      <c r="Z111" s="22" t="s">
        <v>322</v>
      </c>
      <c r="AA111" s="22"/>
      <c r="AB111" s="22"/>
      <c r="AC111" s="22"/>
      <c r="AD111" s="22"/>
      <c r="AE111" s="22"/>
      <c r="AF111" s="22"/>
      <c r="AG111" s="22"/>
      <c r="AH111" s="22"/>
      <c r="AI111" s="22"/>
      <c r="AJ111" s="22"/>
      <c r="AK111" s="22"/>
      <c r="AL111" s="22"/>
      <c r="AM111" s="22" t="str">
        <f t="shared" ref="AM111" si="139">+_xlfn.CONCAT(N111&amp;V111&amp;Z111)</f>
        <v xml:space="preserve"> Workbooks.Open "A:\Homes for Ukraine data\Ukraine_sponsorship_data_20.ods"</v>
      </c>
      <c r="AO111" t="s">
        <v>356</v>
      </c>
    </row>
    <row r="112" spans="2:41" x14ac:dyDescent="0.25">
      <c r="B112" s="22" t="s">
        <v>533</v>
      </c>
      <c r="C112" s="22"/>
      <c r="D112" s="22"/>
      <c r="E112" s="22"/>
      <c r="F112" s="22"/>
      <c r="G112" s="22"/>
      <c r="H112" s="22"/>
      <c r="I112" s="22"/>
      <c r="J112" s="22"/>
      <c r="K112" s="22"/>
      <c r="L112" s="22"/>
      <c r="M112" s="22"/>
      <c r="N112" s="22" t="s">
        <v>323</v>
      </c>
      <c r="O112" s="22"/>
      <c r="P112" s="22"/>
      <c r="Q112" s="22"/>
      <c r="R112" s="22"/>
      <c r="S112" s="22"/>
      <c r="T112" s="22"/>
      <c r="U112" s="22"/>
      <c r="V112" s="22">
        <f t="shared" si="138"/>
        <v>20</v>
      </c>
      <c r="W112" s="22"/>
      <c r="X112" s="22"/>
      <c r="Y112" s="23"/>
      <c r="Z112" s="22" t="s">
        <v>532</v>
      </c>
      <c r="AA112" s="22"/>
      <c r="AB112" s="22"/>
      <c r="AC112" s="22"/>
      <c r="AD112" s="22"/>
      <c r="AE112" s="22" t="s">
        <v>382</v>
      </c>
      <c r="AF112" s="22">
        <f t="shared" ref="AF112" si="140">AF107</f>
        <v>11</v>
      </c>
      <c r="AG112" s="22" t="s">
        <v>327</v>
      </c>
      <c r="AH112" s="22"/>
      <c r="AI112" s="22">
        <f t="shared" ref="AI112" si="141">AI107</f>
        <v>24</v>
      </c>
      <c r="AJ112" s="22"/>
      <c r="AK112" s="22" t="s">
        <v>325</v>
      </c>
      <c r="AL112" s="22"/>
      <c r="AM112" s="22" t="str">
        <f t="shared" ref="AM112" si="142">_xlfn.CONCAT(N112&amp;V112&amp;Z112&amp;AE112&amp;AF112&amp;AG112&amp;AE112&amp;AI112&amp;AK112)</f>
        <v xml:space="preserve"> Workbooks("Ukraine_sponsorship_data_20.ods").Worksheets("Northern_Ireland").Range("D11:D24").Copy _</v>
      </c>
      <c r="AO112" t="s">
        <v>555</v>
      </c>
    </row>
    <row r="113" spans="2:41" x14ac:dyDescent="0.25">
      <c r="B113" s="22" t="s">
        <v>808</v>
      </c>
      <c r="C113" s="22"/>
      <c r="D113" s="22"/>
      <c r="E113" s="22"/>
      <c r="F113" s="22"/>
      <c r="G113" s="22"/>
      <c r="H113" s="22"/>
      <c r="I113" s="22"/>
      <c r="J113" s="22"/>
      <c r="K113" s="22"/>
      <c r="L113" s="22"/>
      <c r="M113" s="22"/>
      <c r="N113" s="22" t="s">
        <v>809</v>
      </c>
      <c r="O113" s="22"/>
      <c r="P113" s="22"/>
      <c r="Q113" s="22"/>
      <c r="R113" s="22"/>
      <c r="S113" s="22"/>
      <c r="T113" s="22"/>
      <c r="U113" s="22"/>
      <c r="V113" s="22"/>
      <c r="W113" s="22" t="s">
        <v>312</v>
      </c>
      <c r="X113" s="22" t="s">
        <v>312</v>
      </c>
      <c r="Y113" s="23">
        <f t="shared" ref="Y113" si="143">Y108</f>
        <v>264</v>
      </c>
      <c r="Z113" s="22" t="s">
        <v>324</v>
      </c>
      <c r="AA113" s="22"/>
      <c r="AB113" s="22"/>
      <c r="AC113" s="22"/>
      <c r="AD113" s="22"/>
      <c r="AE113" s="22"/>
      <c r="AF113" s="22"/>
      <c r="AG113" s="22"/>
      <c r="AH113" s="22"/>
      <c r="AI113" s="22"/>
      <c r="AJ113" s="22"/>
      <c r="AK113" s="22"/>
      <c r="AL113" s="22"/>
      <c r="AM113" s="22" t="str">
        <f>_xlfn.CONCAT(N113&amp;W113&amp;X113&amp;Y113&amp;Z113)</f>
        <v>Workbooks("HFU Forecast UTLA 1.0.xlsm").Worksheets("Combined data").Range("AA264")</v>
      </c>
      <c r="AO113" t="s">
        <v>857</v>
      </c>
    </row>
    <row r="114" spans="2:41" x14ac:dyDescent="0.25">
      <c r="B114" s="22" t="s">
        <v>339</v>
      </c>
      <c r="C114" s="22"/>
      <c r="D114" s="22"/>
      <c r="E114" s="22"/>
      <c r="F114" s="22"/>
      <c r="G114" s="22"/>
      <c r="H114" s="22"/>
      <c r="I114" s="22"/>
      <c r="J114" s="22"/>
      <c r="K114" s="22"/>
      <c r="L114" s="22"/>
      <c r="M114" s="22"/>
      <c r="N114" s="22"/>
      <c r="O114" s="22"/>
      <c r="P114" s="22"/>
      <c r="Q114" s="22"/>
      <c r="R114" s="22"/>
      <c r="S114" s="22"/>
      <c r="T114" s="22"/>
      <c r="U114" s="22"/>
      <c r="V114" s="22"/>
      <c r="W114" s="22"/>
      <c r="X114" s="22"/>
      <c r="Y114" s="23"/>
      <c r="Z114" s="22"/>
      <c r="AA114" s="22"/>
      <c r="AB114" s="22"/>
      <c r="AC114" s="22"/>
      <c r="AD114" s="22"/>
      <c r="AE114" s="22"/>
      <c r="AF114" s="22"/>
      <c r="AG114" s="22"/>
      <c r="AH114" s="22"/>
      <c r="AI114" s="22"/>
      <c r="AJ114" s="22"/>
      <c r="AK114" s="22"/>
      <c r="AL114" s="22"/>
      <c r="AM114" s="22" t="str">
        <f t="shared" ref="AM114" si="144">B114</f>
        <v>ActiveWorkbook.Close SaveChanges:=False</v>
      </c>
      <c r="AO114" t="s">
        <v>339</v>
      </c>
    </row>
    <row r="116" spans="2:41" ht="18.75" customHeight="1" x14ac:dyDescent="0.25">
      <c r="B116" s="19" t="s">
        <v>316</v>
      </c>
      <c r="C116" s="19"/>
      <c r="D116" s="19"/>
      <c r="E116" s="19"/>
      <c r="F116" s="19"/>
      <c r="G116" s="19"/>
      <c r="H116" s="19"/>
      <c r="I116" s="19"/>
      <c r="J116" s="19"/>
      <c r="K116" s="19"/>
      <c r="L116" s="19"/>
      <c r="M116" s="19"/>
      <c r="N116" s="19" t="s">
        <v>321</v>
      </c>
      <c r="O116" s="19"/>
      <c r="P116" s="19"/>
      <c r="Q116" s="19"/>
      <c r="R116" s="19"/>
      <c r="S116" s="19"/>
      <c r="T116" s="19"/>
      <c r="U116" s="19"/>
      <c r="V116" s="19">
        <f t="shared" ref="V116:V117" si="145">V111+1</f>
        <v>21</v>
      </c>
      <c r="W116" s="19"/>
      <c r="X116" s="19"/>
      <c r="Y116" s="21"/>
      <c r="Z116" s="19" t="s">
        <v>322</v>
      </c>
      <c r="AA116" s="19"/>
      <c r="AB116" s="19"/>
      <c r="AC116" s="19"/>
      <c r="AD116" s="19"/>
      <c r="AE116" s="19"/>
      <c r="AF116" s="19"/>
      <c r="AG116" s="19"/>
      <c r="AH116" s="19"/>
      <c r="AI116" s="19"/>
      <c r="AJ116" s="19"/>
      <c r="AK116" s="19"/>
      <c r="AL116" s="19"/>
      <c r="AM116" s="19" t="str">
        <f t="shared" ref="AM116" si="146">+_xlfn.CONCAT(N116&amp;V116&amp;Z116)</f>
        <v xml:space="preserve"> Workbooks.Open "A:\Homes for Ukraine data\Ukraine_sponsorship_data_21.ods"</v>
      </c>
      <c r="AO116" t="s">
        <v>357</v>
      </c>
    </row>
    <row r="117" spans="2:41" x14ac:dyDescent="0.25">
      <c r="B117" s="19" t="s">
        <v>533</v>
      </c>
      <c r="C117" s="19"/>
      <c r="D117" s="19"/>
      <c r="E117" s="19"/>
      <c r="F117" s="19"/>
      <c r="G117" s="19"/>
      <c r="H117" s="19"/>
      <c r="I117" s="19"/>
      <c r="J117" s="19"/>
      <c r="K117" s="19"/>
      <c r="L117" s="19"/>
      <c r="M117" s="19"/>
      <c r="N117" s="19" t="s">
        <v>323</v>
      </c>
      <c r="O117" s="19"/>
      <c r="P117" s="19"/>
      <c r="Q117" s="19"/>
      <c r="R117" s="19"/>
      <c r="S117" s="19"/>
      <c r="T117" s="19"/>
      <c r="U117" s="19"/>
      <c r="V117" s="19">
        <f t="shared" si="145"/>
        <v>21</v>
      </c>
      <c r="W117" s="19"/>
      <c r="X117" s="19"/>
      <c r="Y117" s="21"/>
      <c r="Z117" s="19" t="s">
        <v>532</v>
      </c>
      <c r="AA117" s="19"/>
      <c r="AB117" s="19"/>
      <c r="AC117" s="19"/>
      <c r="AD117" s="19"/>
      <c r="AE117" s="19" t="s">
        <v>382</v>
      </c>
      <c r="AF117" s="19">
        <f t="shared" ref="AF117" si="147">AF112</f>
        <v>11</v>
      </c>
      <c r="AG117" s="19" t="s">
        <v>327</v>
      </c>
      <c r="AH117" s="19"/>
      <c r="AI117" s="19">
        <f t="shared" ref="AI117" si="148">AI112</f>
        <v>24</v>
      </c>
      <c r="AJ117" s="19"/>
      <c r="AK117" s="19" t="s">
        <v>325</v>
      </c>
      <c r="AL117" s="19"/>
      <c r="AM117" s="19" t="str">
        <f t="shared" ref="AM117" si="149">_xlfn.CONCAT(N117&amp;V117&amp;Z117&amp;AE117&amp;AF117&amp;AG117&amp;AE117&amp;AI117&amp;AK117)</f>
        <v xml:space="preserve"> Workbooks("Ukraine_sponsorship_data_21.ods").Worksheets("Northern_Ireland").Range("D11:D24").Copy _</v>
      </c>
      <c r="AO117" t="s">
        <v>556</v>
      </c>
    </row>
    <row r="118" spans="2:41" x14ac:dyDescent="0.25">
      <c r="B118" s="19" t="s">
        <v>808</v>
      </c>
      <c r="C118" s="19"/>
      <c r="D118" s="19"/>
      <c r="E118" s="19"/>
      <c r="F118" s="19"/>
      <c r="G118" s="19"/>
      <c r="H118" s="19"/>
      <c r="I118" s="19"/>
      <c r="J118" s="19"/>
      <c r="K118" s="19"/>
      <c r="L118" s="19"/>
      <c r="M118" s="19"/>
      <c r="N118" s="19" t="s">
        <v>809</v>
      </c>
      <c r="O118" s="19"/>
      <c r="P118" s="19"/>
      <c r="Q118" s="19"/>
      <c r="R118" s="19"/>
      <c r="S118" s="19"/>
      <c r="T118" s="19"/>
      <c r="U118" s="19"/>
      <c r="V118" s="19"/>
      <c r="W118" s="19" t="s">
        <v>312</v>
      </c>
      <c r="X118" s="19" t="str">
        <f>CHAR(CODE(X113)+1)</f>
        <v>B</v>
      </c>
      <c r="Y118" s="21">
        <f t="shared" ref="Y118" si="150">Y113</f>
        <v>264</v>
      </c>
      <c r="Z118" s="19" t="s">
        <v>324</v>
      </c>
      <c r="AA118" s="19"/>
      <c r="AB118" s="19"/>
      <c r="AC118" s="19"/>
      <c r="AD118" s="19"/>
      <c r="AE118" s="19"/>
      <c r="AF118" s="19"/>
      <c r="AG118" s="19"/>
      <c r="AH118" s="19"/>
      <c r="AI118" s="19"/>
      <c r="AJ118" s="19"/>
      <c r="AK118" s="19"/>
      <c r="AL118" s="19"/>
      <c r="AM118" s="19" t="str">
        <f>_xlfn.CONCAT(N118&amp;W118&amp;X118&amp;Y118&amp;Z118)</f>
        <v>Workbooks("HFU Forecast UTLA 1.0.xlsm").Worksheets("Combined data").Range("AB264")</v>
      </c>
      <c r="AO118" t="s">
        <v>858</v>
      </c>
    </row>
    <row r="119" spans="2:41" x14ac:dyDescent="0.25">
      <c r="B119" s="19" t="s">
        <v>339</v>
      </c>
      <c r="C119" s="19"/>
      <c r="D119" s="19"/>
      <c r="E119" s="19"/>
      <c r="F119" s="19"/>
      <c r="G119" s="19"/>
      <c r="H119" s="19"/>
      <c r="I119" s="19"/>
      <c r="J119" s="19"/>
      <c r="K119" s="19"/>
      <c r="L119" s="19"/>
      <c r="M119" s="19"/>
      <c r="N119" s="19"/>
      <c r="O119" s="19"/>
      <c r="P119" s="19"/>
      <c r="Q119" s="19"/>
      <c r="R119" s="19"/>
      <c r="S119" s="19"/>
      <c r="T119" s="19"/>
      <c r="U119" s="19"/>
      <c r="V119" s="19"/>
      <c r="W119" s="19"/>
      <c r="X119" s="19"/>
      <c r="Y119" s="21"/>
      <c r="Z119" s="19"/>
      <c r="AA119" s="19"/>
      <c r="AB119" s="19"/>
      <c r="AC119" s="19"/>
      <c r="AD119" s="19"/>
      <c r="AE119" s="19"/>
      <c r="AF119" s="19"/>
      <c r="AG119" s="19"/>
      <c r="AH119" s="19"/>
      <c r="AI119" s="19"/>
      <c r="AJ119" s="19"/>
      <c r="AK119" s="19"/>
      <c r="AL119" s="19"/>
      <c r="AM119" s="19" t="str">
        <f t="shared" ref="AM119" si="151">B119</f>
        <v>ActiveWorkbook.Close SaveChanges:=False</v>
      </c>
      <c r="AO119" t="s">
        <v>339</v>
      </c>
    </row>
    <row r="121" spans="2:41" x14ac:dyDescent="0.25">
      <c r="B121" s="22" t="s">
        <v>316</v>
      </c>
      <c r="C121" s="22"/>
      <c r="D121" s="22"/>
      <c r="E121" s="22"/>
      <c r="F121" s="22"/>
      <c r="G121" s="22"/>
      <c r="H121" s="22"/>
      <c r="I121" s="22"/>
      <c r="J121" s="22"/>
      <c r="K121" s="22"/>
      <c r="L121" s="22"/>
      <c r="M121" s="22"/>
      <c r="N121" s="22" t="s">
        <v>321</v>
      </c>
      <c r="O121" s="22"/>
      <c r="P121" s="22"/>
      <c r="Q121" s="22"/>
      <c r="R121" s="22"/>
      <c r="S121" s="22"/>
      <c r="T121" s="22"/>
      <c r="U121" s="22"/>
      <c r="V121" s="22">
        <f t="shared" ref="V121:V122" si="152">V116+1</f>
        <v>22</v>
      </c>
      <c r="W121" s="22"/>
      <c r="X121" s="22"/>
      <c r="Y121" s="23"/>
      <c r="Z121" s="22" t="s">
        <v>322</v>
      </c>
      <c r="AA121" s="22"/>
      <c r="AB121" s="22"/>
      <c r="AC121" s="22"/>
      <c r="AD121" s="22"/>
      <c r="AE121" s="22"/>
      <c r="AF121" s="22"/>
      <c r="AG121" s="22"/>
      <c r="AH121" s="22"/>
      <c r="AI121" s="22"/>
      <c r="AJ121" s="22"/>
      <c r="AK121" s="22"/>
      <c r="AL121" s="22"/>
      <c r="AM121" s="22" t="str">
        <f t="shared" ref="AM121" si="153">+_xlfn.CONCAT(N121&amp;V121&amp;Z121)</f>
        <v xml:space="preserve"> Workbooks.Open "A:\Homes for Ukraine data\Ukraine_sponsorship_data_22.ods"</v>
      </c>
      <c r="AO121" t="s">
        <v>358</v>
      </c>
    </row>
    <row r="122" spans="2:41" x14ac:dyDescent="0.25">
      <c r="B122" s="22" t="s">
        <v>533</v>
      </c>
      <c r="C122" s="22"/>
      <c r="D122" s="22"/>
      <c r="E122" s="22"/>
      <c r="F122" s="22"/>
      <c r="G122" s="22"/>
      <c r="H122" s="22"/>
      <c r="I122" s="22"/>
      <c r="J122" s="22"/>
      <c r="K122" s="22"/>
      <c r="L122" s="22"/>
      <c r="M122" s="22"/>
      <c r="N122" s="22" t="s">
        <v>323</v>
      </c>
      <c r="O122" s="22"/>
      <c r="P122" s="22"/>
      <c r="Q122" s="22"/>
      <c r="R122" s="22"/>
      <c r="S122" s="22"/>
      <c r="T122" s="22"/>
      <c r="U122" s="22"/>
      <c r="V122" s="22">
        <f t="shared" si="152"/>
        <v>22</v>
      </c>
      <c r="W122" s="22"/>
      <c r="X122" s="22"/>
      <c r="Y122" s="23"/>
      <c r="Z122" s="22" t="s">
        <v>532</v>
      </c>
      <c r="AA122" s="22"/>
      <c r="AB122" s="22"/>
      <c r="AC122" s="22"/>
      <c r="AD122" s="22"/>
      <c r="AE122" s="22" t="s">
        <v>382</v>
      </c>
      <c r="AF122" s="22">
        <f t="shared" ref="AF122" si="154">AF117</f>
        <v>11</v>
      </c>
      <c r="AG122" s="22" t="s">
        <v>327</v>
      </c>
      <c r="AH122" s="22"/>
      <c r="AI122" s="22">
        <f t="shared" ref="AI122" si="155">AI117</f>
        <v>24</v>
      </c>
      <c r="AJ122" s="22"/>
      <c r="AK122" s="22" t="s">
        <v>325</v>
      </c>
      <c r="AL122" s="22"/>
      <c r="AM122" s="22" t="str">
        <f t="shared" ref="AM122" si="156">_xlfn.CONCAT(N122&amp;V122&amp;Z122&amp;AE122&amp;AF122&amp;AG122&amp;AE122&amp;AI122&amp;AK122)</f>
        <v xml:space="preserve"> Workbooks("Ukraine_sponsorship_data_22.ods").Worksheets("Northern_Ireland").Range("D11:D24").Copy _</v>
      </c>
      <c r="AO122" t="s">
        <v>557</v>
      </c>
    </row>
    <row r="123" spans="2:41" x14ac:dyDescent="0.25">
      <c r="B123" s="22" t="s">
        <v>808</v>
      </c>
      <c r="C123" s="22"/>
      <c r="D123" s="22"/>
      <c r="E123" s="22"/>
      <c r="F123" s="22"/>
      <c r="G123" s="22"/>
      <c r="H123" s="22"/>
      <c r="I123" s="22"/>
      <c r="J123" s="22"/>
      <c r="K123" s="22"/>
      <c r="L123" s="22"/>
      <c r="M123" s="22"/>
      <c r="N123" s="22" t="s">
        <v>809</v>
      </c>
      <c r="O123" s="22"/>
      <c r="P123" s="22"/>
      <c r="Q123" s="22"/>
      <c r="R123" s="22"/>
      <c r="S123" s="22"/>
      <c r="T123" s="22"/>
      <c r="U123" s="22"/>
      <c r="V123" s="22"/>
      <c r="W123" s="22" t="s">
        <v>312</v>
      </c>
      <c r="X123" s="22" t="str">
        <f>CHAR(CODE(X118)+1)</f>
        <v>C</v>
      </c>
      <c r="Y123" s="23">
        <f t="shared" ref="Y123" si="157">Y118</f>
        <v>264</v>
      </c>
      <c r="Z123" s="22" t="s">
        <v>324</v>
      </c>
      <c r="AA123" s="22"/>
      <c r="AB123" s="22"/>
      <c r="AC123" s="22"/>
      <c r="AD123" s="22"/>
      <c r="AE123" s="22"/>
      <c r="AF123" s="22"/>
      <c r="AG123" s="22"/>
      <c r="AH123" s="22"/>
      <c r="AI123" s="22"/>
      <c r="AJ123" s="22"/>
      <c r="AK123" s="22"/>
      <c r="AL123" s="22"/>
      <c r="AM123" s="22" t="str">
        <f>_xlfn.CONCAT(N123&amp;W123&amp;X123&amp;Y123&amp;Z123)</f>
        <v>Workbooks("HFU Forecast UTLA 1.0.xlsm").Worksheets("Combined data").Range("AC264")</v>
      </c>
      <c r="AO123" t="s">
        <v>859</v>
      </c>
    </row>
    <row r="124" spans="2:41" x14ac:dyDescent="0.25">
      <c r="B124" s="22" t="s">
        <v>339</v>
      </c>
      <c r="C124" s="22"/>
      <c r="D124" s="22"/>
      <c r="E124" s="22"/>
      <c r="F124" s="22"/>
      <c r="G124" s="22"/>
      <c r="H124" s="22"/>
      <c r="I124" s="22"/>
      <c r="J124" s="22"/>
      <c r="K124" s="22"/>
      <c r="L124" s="22"/>
      <c r="M124" s="22"/>
      <c r="N124" s="22"/>
      <c r="O124" s="22"/>
      <c r="P124" s="22"/>
      <c r="Q124" s="22"/>
      <c r="R124" s="22"/>
      <c r="S124" s="22"/>
      <c r="T124" s="22"/>
      <c r="U124" s="22"/>
      <c r="V124" s="22"/>
      <c r="W124" s="22"/>
      <c r="X124" s="22"/>
      <c r="Y124" s="23"/>
      <c r="Z124" s="22"/>
      <c r="AA124" s="22"/>
      <c r="AB124" s="22"/>
      <c r="AC124" s="22"/>
      <c r="AD124" s="22"/>
      <c r="AE124" s="22"/>
      <c r="AF124" s="22"/>
      <c r="AG124" s="22"/>
      <c r="AH124" s="22"/>
      <c r="AI124" s="22"/>
      <c r="AJ124" s="22"/>
      <c r="AK124" s="22"/>
      <c r="AL124" s="22"/>
      <c r="AM124" s="22" t="str">
        <f t="shared" ref="AM124" si="158">B124</f>
        <v>ActiveWorkbook.Close SaveChanges:=False</v>
      </c>
      <c r="AO124" t="s">
        <v>339</v>
      </c>
    </row>
    <row r="126" spans="2:41" x14ac:dyDescent="0.25">
      <c r="B126" s="19" t="s">
        <v>316</v>
      </c>
      <c r="C126" s="19"/>
      <c r="D126" s="19"/>
      <c r="E126" s="19"/>
      <c r="F126" s="19"/>
      <c r="G126" s="19"/>
      <c r="H126" s="19"/>
      <c r="I126" s="19"/>
      <c r="J126" s="19"/>
      <c r="K126" s="19"/>
      <c r="L126" s="19"/>
      <c r="M126" s="19"/>
      <c r="N126" s="19" t="s">
        <v>321</v>
      </c>
      <c r="O126" s="19"/>
      <c r="P126" s="19"/>
      <c r="Q126" s="19"/>
      <c r="R126" s="19"/>
      <c r="S126" s="19"/>
      <c r="T126" s="19"/>
      <c r="U126" s="19"/>
      <c r="V126" s="19">
        <f t="shared" ref="V126:V177" si="159">V121+1</f>
        <v>23</v>
      </c>
      <c r="W126" s="19"/>
      <c r="X126" s="19"/>
      <c r="Y126" s="21"/>
      <c r="Z126" s="19" t="s">
        <v>322</v>
      </c>
      <c r="AA126" s="19"/>
      <c r="AB126" s="19"/>
      <c r="AC126" s="19"/>
      <c r="AD126" s="19"/>
      <c r="AE126" s="19"/>
      <c r="AF126" s="19"/>
      <c r="AG126" s="19"/>
      <c r="AH126" s="19"/>
      <c r="AI126" s="19"/>
      <c r="AJ126" s="19"/>
      <c r="AK126" s="19"/>
      <c r="AL126" s="19"/>
      <c r="AM126" s="19" t="str">
        <f t="shared" ref="AM126" si="160">+_xlfn.CONCAT(N126&amp;V126&amp;Z126)</f>
        <v xml:space="preserve"> Workbooks.Open "A:\Homes for Ukraine data\Ukraine_sponsorship_data_23.ods"</v>
      </c>
      <c r="AO126" t="s">
        <v>721</v>
      </c>
    </row>
    <row r="127" spans="2:41" x14ac:dyDescent="0.25">
      <c r="B127" s="19" t="s">
        <v>533</v>
      </c>
      <c r="C127" s="19"/>
      <c r="D127" s="19"/>
      <c r="E127" s="19"/>
      <c r="F127" s="19"/>
      <c r="G127" s="19"/>
      <c r="H127" s="19"/>
      <c r="I127" s="19"/>
      <c r="J127" s="19"/>
      <c r="K127" s="19"/>
      <c r="L127" s="19"/>
      <c r="M127" s="19"/>
      <c r="N127" s="19" t="s">
        <v>323</v>
      </c>
      <c r="O127" s="19"/>
      <c r="P127" s="19"/>
      <c r="Q127" s="19"/>
      <c r="R127" s="19"/>
      <c r="S127" s="19"/>
      <c r="T127" s="19"/>
      <c r="U127" s="19"/>
      <c r="V127" s="19">
        <f t="shared" si="159"/>
        <v>23</v>
      </c>
      <c r="W127" s="19"/>
      <c r="X127" s="19"/>
      <c r="Y127" s="21"/>
      <c r="Z127" s="19" t="s">
        <v>532</v>
      </c>
      <c r="AA127" s="19"/>
      <c r="AB127" s="19"/>
      <c r="AC127" s="19"/>
      <c r="AD127" s="19"/>
      <c r="AE127" s="19" t="s">
        <v>382</v>
      </c>
      <c r="AF127" s="19">
        <f t="shared" ref="AF127:AF177" si="161">AF122</f>
        <v>11</v>
      </c>
      <c r="AG127" s="19" t="s">
        <v>327</v>
      </c>
      <c r="AH127" s="19"/>
      <c r="AI127" s="19">
        <f t="shared" ref="AI127:AI177" si="162">AI122</f>
        <v>24</v>
      </c>
      <c r="AJ127" s="19"/>
      <c r="AK127" s="19" t="s">
        <v>325</v>
      </c>
      <c r="AL127" s="19"/>
      <c r="AM127" s="19" t="str">
        <f t="shared" ref="AM127" si="163">_xlfn.CONCAT(N127&amp;V127&amp;Z127&amp;AE127&amp;AF127&amp;AG127&amp;AE127&amp;AI127&amp;AK127)</f>
        <v xml:space="preserve"> Workbooks("Ukraine_sponsorship_data_23.ods").Worksheets("Northern_Ireland").Range("D11:D24").Copy _</v>
      </c>
      <c r="AO127" t="s">
        <v>781</v>
      </c>
    </row>
    <row r="128" spans="2:41" x14ac:dyDescent="0.25">
      <c r="B128" s="19" t="s">
        <v>808</v>
      </c>
      <c r="C128" s="19"/>
      <c r="D128" s="19"/>
      <c r="E128" s="19"/>
      <c r="F128" s="19"/>
      <c r="G128" s="19"/>
      <c r="H128" s="19"/>
      <c r="I128" s="19"/>
      <c r="J128" s="19"/>
      <c r="K128" s="19"/>
      <c r="L128" s="19"/>
      <c r="M128" s="19"/>
      <c r="N128" s="19" t="s">
        <v>809</v>
      </c>
      <c r="O128" s="19"/>
      <c r="P128" s="19"/>
      <c r="Q128" s="19"/>
      <c r="R128" s="19"/>
      <c r="S128" s="19"/>
      <c r="T128" s="19"/>
      <c r="U128" s="19"/>
      <c r="V128" s="19"/>
      <c r="W128" s="19" t="s">
        <v>312</v>
      </c>
      <c r="X128" s="19" t="str">
        <f t="shared" ref="X128" si="164">CHAR(CODE(X123)+1)</f>
        <v>D</v>
      </c>
      <c r="Y128" s="21">
        <f t="shared" ref="Y128:Y178" si="165">Y123</f>
        <v>264</v>
      </c>
      <c r="Z128" s="19" t="s">
        <v>324</v>
      </c>
      <c r="AA128" s="19"/>
      <c r="AB128" s="19"/>
      <c r="AC128" s="19"/>
      <c r="AD128" s="19"/>
      <c r="AE128" s="19"/>
      <c r="AF128" s="19"/>
      <c r="AG128" s="19"/>
      <c r="AH128" s="19"/>
      <c r="AI128" s="19"/>
      <c r="AJ128" s="19"/>
      <c r="AK128" s="19"/>
      <c r="AL128" s="19"/>
      <c r="AM128" s="19" t="str">
        <f t="shared" ref="AM128" si="166">_xlfn.CONCAT(N128&amp;W128&amp;X128&amp;Y128&amp;Z128)</f>
        <v>Workbooks("HFU Forecast UTLA 1.0.xlsm").Worksheets("Combined data").Range("AD264")</v>
      </c>
      <c r="AO128" t="s">
        <v>860</v>
      </c>
    </row>
    <row r="129" spans="2:41" x14ac:dyDescent="0.25">
      <c r="B129" s="19" t="s">
        <v>339</v>
      </c>
      <c r="C129" s="19"/>
      <c r="D129" s="19"/>
      <c r="E129" s="19"/>
      <c r="F129" s="19"/>
      <c r="G129" s="19"/>
      <c r="H129" s="19"/>
      <c r="I129" s="19"/>
      <c r="J129" s="19"/>
      <c r="K129" s="19"/>
      <c r="L129" s="19"/>
      <c r="M129" s="19"/>
      <c r="N129" s="19"/>
      <c r="O129" s="19"/>
      <c r="P129" s="19"/>
      <c r="Q129" s="19"/>
      <c r="R129" s="19"/>
      <c r="S129" s="19"/>
      <c r="T129" s="19"/>
      <c r="U129" s="19"/>
      <c r="V129" s="19"/>
      <c r="W129" s="19"/>
      <c r="X129" s="19"/>
      <c r="Y129" s="21"/>
      <c r="Z129" s="19"/>
      <c r="AA129" s="19"/>
      <c r="AB129" s="19"/>
      <c r="AC129" s="19"/>
      <c r="AD129" s="19"/>
      <c r="AE129" s="19"/>
      <c r="AF129" s="19"/>
      <c r="AG129" s="19"/>
      <c r="AH129" s="19"/>
      <c r="AI129" s="19"/>
      <c r="AJ129" s="19"/>
      <c r="AK129" s="19"/>
      <c r="AL129" s="19"/>
      <c r="AM129" s="19" t="str">
        <f t="shared" ref="AM129" si="167">B129</f>
        <v>ActiveWorkbook.Close SaveChanges:=False</v>
      </c>
      <c r="AO129" t="s">
        <v>339</v>
      </c>
    </row>
    <row r="131" spans="2:41" x14ac:dyDescent="0.25">
      <c r="B131" s="22" t="s">
        <v>316</v>
      </c>
      <c r="C131" s="22"/>
      <c r="D131" s="22"/>
      <c r="E131" s="22"/>
      <c r="F131" s="22"/>
      <c r="G131" s="22"/>
      <c r="H131" s="22"/>
      <c r="I131" s="22"/>
      <c r="J131" s="22"/>
      <c r="K131" s="22"/>
      <c r="L131" s="22"/>
      <c r="M131" s="22"/>
      <c r="N131" s="22" t="s">
        <v>321</v>
      </c>
      <c r="O131" s="22"/>
      <c r="P131" s="22"/>
      <c r="Q131" s="22"/>
      <c r="R131" s="22"/>
      <c r="S131" s="22"/>
      <c r="T131" s="22"/>
      <c r="U131" s="22"/>
      <c r="V131" s="22">
        <f t="shared" ref="V131:V182" si="168">V126+1</f>
        <v>24</v>
      </c>
      <c r="W131" s="22"/>
      <c r="X131" s="22"/>
      <c r="Y131" s="23"/>
      <c r="Z131" s="22" t="s">
        <v>322</v>
      </c>
      <c r="AA131" s="22"/>
      <c r="AB131" s="22"/>
      <c r="AC131" s="22"/>
      <c r="AD131" s="22"/>
      <c r="AE131" s="22"/>
      <c r="AF131" s="22"/>
      <c r="AG131" s="22"/>
      <c r="AH131" s="22"/>
      <c r="AI131" s="22"/>
      <c r="AJ131" s="22"/>
      <c r="AK131" s="22"/>
      <c r="AL131" s="22"/>
      <c r="AM131" s="22" t="str">
        <f t="shared" ref="AM131" si="169">+_xlfn.CONCAT(N131&amp;V131&amp;Z131)</f>
        <v xml:space="preserve"> Workbooks.Open "A:\Homes for Ukraine data\Ukraine_sponsorship_data_24.ods"</v>
      </c>
      <c r="AO131" t="s">
        <v>723</v>
      </c>
    </row>
    <row r="132" spans="2:41" x14ac:dyDescent="0.25">
      <c r="B132" s="22" t="s">
        <v>533</v>
      </c>
      <c r="C132" s="22"/>
      <c r="D132" s="22"/>
      <c r="E132" s="22"/>
      <c r="F132" s="22"/>
      <c r="G132" s="22"/>
      <c r="H132" s="22"/>
      <c r="I132" s="22"/>
      <c r="J132" s="22"/>
      <c r="K132" s="22"/>
      <c r="L132" s="22"/>
      <c r="M132" s="22"/>
      <c r="N132" s="22" t="s">
        <v>323</v>
      </c>
      <c r="O132" s="22"/>
      <c r="P132" s="22"/>
      <c r="Q132" s="22"/>
      <c r="R132" s="22"/>
      <c r="S132" s="22"/>
      <c r="T132" s="22"/>
      <c r="U132" s="22"/>
      <c r="V132" s="22">
        <f t="shared" si="168"/>
        <v>24</v>
      </c>
      <c r="W132" s="22"/>
      <c r="X132" s="22"/>
      <c r="Y132" s="23"/>
      <c r="Z132" s="22" t="s">
        <v>532</v>
      </c>
      <c r="AA132" s="22"/>
      <c r="AB132" s="22"/>
      <c r="AC132" s="22"/>
      <c r="AD132" s="22"/>
      <c r="AE132" s="22" t="s">
        <v>382</v>
      </c>
      <c r="AF132" s="22">
        <f t="shared" ref="AF132:AF182" si="170">AF127</f>
        <v>11</v>
      </c>
      <c r="AG132" s="22" t="s">
        <v>327</v>
      </c>
      <c r="AH132" s="22"/>
      <c r="AI132" s="22">
        <f t="shared" ref="AI132:AI182" si="171">AI127</f>
        <v>24</v>
      </c>
      <c r="AJ132" s="22"/>
      <c r="AK132" s="22" t="s">
        <v>325</v>
      </c>
      <c r="AL132" s="22"/>
      <c r="AM132" s="22" t="str">
        <f t="shared" ref="AM132" si="172">_xlfn.CONCAT(N132&amp;V132&amp;Z132&amp;AE132&amp;AF132&amp;AG132&amp;AE132&amp;AI132&amp;AK132)</f>
        <v xml:space="preserve"> Workbooks("Ukraine_sponsorship_data_24.ods").Worksheets("Northern_Ireland").Range("D11:D24").Copy _</v>
      </c>
      <c r="AO132" t="s">
        <v>782</v>
      </c>
    </row>
    <row r="133" spans="2:41" x14ac:dyDescent="0.25">
      <c r="B133" s="22" t="s">
        <v>808</v>
      </c>
      <c r="C133" s="22"/>
      <c r="D133" s="22"/>
      <c r="E133" s="22"/>
      <c r="F133" s="22"/>
      <c r="G133" s="22"/>
      <c r="H133" s="22"/>
      <c r="I133" s="22"/>
      <c r="J133" s="22"/>
      <c r="K133" s="22"/>
      <c r="L133" s="22"/>
      <c r="M133" s="22"/>
      <c r="N133" s="22" t="s">
        <v>809</v>
      </c>
      <c r="O133" s="22"/>
      <c r="P133" s="22"/>
      <c r="Q133" s="22"/>
      <c r="R133" s="22"/>
      <c r="S133" s="22"/>
      <c r="T133" s="22"/>
      <c r="U133" s="22"/>
      <c r="V133" s="22"/>
      <c r="W133" s="22" t="s">
        <v>312</v>
      </c>
      <c r="X133" s="22" t="str">
        <f t="shared" ref="X133" si="173">CHAR(CODE(X128)+1)</f>
        <v>E</v>
      </c>
      <c r="Y133" s="23">
        <f t="shared" ref="Y133:Y183" si="174">Y128</f>
        <v>264</v>
      </c>
      <c r="Z133" s="22" t="s">
        <v>324</v>
      </c>
      <c r="AA133" s="22"/>
      <c r="AB133" s="22"/>
      <c r="AC133" s="22"/>
      <c r="AD133" s="22"/>
      <c r="AE133" s="22"/>
      <c r="AF133" s="22"/>
      <c r="AG133" s="22"/>
      <c r="AH133" s="22"/>
      <c r="AI133" s="22"/>
      <c r="AJ133" s="22"/>
      <c r="AK133" s="22"/>
      <c r="AL133" s="22"/>
      <c r="AM133" s="22" t="str">
        <f t="shared" ref="AM133" si="175">_xlfn.CONCAT(N133&amp;W133&amp;X133&amp;Y133&amp;Z133)</f>
        <v>Workbooks("HFU Forecast UTLA 1.0.xlsm").Worksheets("Combined data").Range("AE264")</v>
      </c>
      <c r="AO133" t="s">
        <v>861</v>
      </c>
    </row>
    <row r="134" spans="2:41" x14ac:dyDescent="0.25">
      <c r="B134" s="22" t="s">
        <v>339</v>
      </c>
      <c r="C134" s="22"/>
      <c r="D134" s="22"/>
      <c r="E134" s="22"/>
      <c r="F134" s="22"/>
      <c r="G134" s="22"/>
      <c r="H134" s="22"/>
      <c r="I134" s="22"/>
      <c r="J134" s="22"/>
      <c r="K134" s="22"/>
      <c r="L134" s="22"/>
      <c r="M134" s="22"/>
      <c r="N134" s="22"/>
      <c r="O134" s="22"/>
      <c r="P134" s="22"/>
      <c r="Q134" s="22"/>
      <c r="R134" s="22"/>
      <c r="S134" s="22"/>
      <c r="T134" s="22"/>
      <c r="U134" s="22"/>
      <c r="V134" s="22"/>
      <c r="W134" s="22"/>
      <c r="X134" s="22"/>
      <c r="Y134" s="23"/>
      <c r="Z134" s="22"/>
      <c r="AA134" s="22"/>
      <c r="AB134" s="22"/>
      <c r="AC134" s="22"/>
      <c r="AD134" s="22"/>
      <c r="AE134" s="22"/>
      <c r="AF134" s="22"/>
      <c r="AG134" s="22"/>
      <c r="AH134" s="22"/>
      <c r="AI134" s="22"/>
      <c r="AJ134" s="22"/>
      <c r="AK134" s="22"/>
      <c r="AL134" s="22"/>
      <c r="AM134" s="22" t="str">
        <f t="shared" ref="AM134" si="176">B134</f>
        <v>ActiveWorkbook.Close SaveChanges:=False</v>
      </c>
      <c r="AO134" t="s">
        <v>339</v>
      </c>
    </row>
    <row r="136" spans="2:41" x14ac:dyDescent="0.25">
      <c r="B136" s="19" t="s">
        <v>316</v>
      </c>
      <c r="C136" s="19"/>
      <c r="D136" s="19"/>
      <c r="E136" s="19"/>
      <c r="F136" s="19"/>
      <c r="G136" s="19"/>
      <c r="H136" s="19"/>
      <c r="I136" s="19"/>
      <c r="J136" s="19"/>
      <c r="K136" s="19"/>
      <c r="L136" s="19"/>
      <c r="M136" s="19"/>
      <c r="N136" s="19" t="s">
        <v>321</v>
      </c>
      <c r="O136" s="19"/>
      <c r="P136" s="19"/>
      <c r="Q136" s="19"/>
      <c r="R136" s="19"/>
      <c r="S136" s="19"/>
      <c r="T136" s="19"/>
      <c r="U136" s="19"/>
      <c r="V136" s="19">
        <f t="shared" si="159"/>
        <v>25</v>
      </c>
      <c r="W136" s="19"/>
      <c r="X136" s="19"/>
      <c r="Y136" s="21"/>
      <c r="Z136" s="19" t="s">
        <v>322</v>
      </c>
      <c r="AA136" s="19"/>
      <c r="AB136" s="19"/>
      <c r="AC136" s="19"/>
      <c r="AD136" s="19"/>
      <c r="AE136" s="19"/>
      <c r="AF136" s="19"/>
      <c r="AG136" s="19"/>
      <c r="AH136" s="19"/>
      <c r="AI136" s="19"/>
      <c r="AJ136" s="19"/>
      <c r="AK136" s="19"/>
      <c r="AL136" s="19"/>
      <c r="AM136" s="19" t="str">
        <f t="shared" ref="AM136" si="177">+_xlfn.CONCAT(N136&amp;V136&amp;Z136)</f>
        <v xml:space="preserve"> Workbooks.Open "A:\Homes for Ukraine data\Ukraine_sponsorship_data_25.ods"</v>
      </c>
      <c r="AO136" t="s">
        <v>725</v>
      </c>
    </row>
    <row r="137" spans="2:41" x14ac:dyDescent="0.25">
      <c r="B137" s="19" t="s">
        <v>533</v>
      </c>
      <c r="C137" s="19"/>
      <c r="D137" s="19"/>
      <c r="E137" s="19"/>
      <c r="F137" s="19"/>
      <c r="G137" s="19"/>
      <c r="H137" s="19"/>
      <c r="I137" s="19"/>
      <c r="J137" s="19"/>
      <c r="K137" s="19"/>
      <c r="L137" s="19"/>
      <c r="M137" s="19"/>
      <c r="N137" s="19" t="s">
        <v>323</v>
      </c>
      <c r="O137" s="19"/>
      <c r="P137" s="19"/>
      <c r="Q137" s="19"/>
      <c r="R137" s="19"/>
      <c r="S137" s="19"/>
      <c r="T137" s="19"/>
      <c r="U137" s="19"/>
      <c r="V137" s="19">
        <f t="shared" si="159"/>
        <v>25</v>
      </c>
      <c r="W137" s="19"/>
      <c r="X137" s="19"/>
      <c r="Y137" s="21"/>
      <c r="Z137" s="19" t="s">
        <v>532</v>
      </c>
      <c r="AA137" s="19"/>
      <c r="AB137" s="19"/>
      <c r="AC137" s="19"/>
      <c r="AD137" s="19"/>
      <c r="AE137" s="19" t="s">
        <v>382</v>
      </c>
      <c r="AF137" s="19">
        <f t="shared" si="161"/>
        <v>11</v>
      </c>
      <c r="AG137" s="19" t="s">
        <v>327</v>
      </c>
      <c r="AH137" s="19"/>
      <c r="AI137" s="19">
        <f t="shared" si="162"/>
        <v>24</v>
      </c>
      <c r="AJ137" s="19"/>
      <c r="AK137" s="19" t="s">
        <v>325</v>
      </c>
      <c r="AL137" s="19"/>
      <c r="AM137" s="19" t="str">
        <f t="shared" ref="AM137" si="178">_xlfn.CONCAT(N137&amp;V137&amp;Z137&amp;AE137&amp;AF137&amp;AG137&amp;AE137&amp;AI137&amp;AK137)</f>
        <v xml:space="preserve"> Workbooks("Ukraine_sponsorship_data_25.ods").Worksheets("Northern_Ireland").Range("D11:D24").Copy _</v>
      </c>
      <c r="AO137" t="s">
        <v>783</v>
      </c>
    </row>
    <row r="138" spans="2:41" x14ac:dyDescent="0.25">
      <c r="B138" s="19" t="s">
        <v>808</v>
      </c>
      <c r="C138" s="19"/>
      <c r="D138" s="19"/>
      <c r="E138" s="19"/>
      <c r="F138" s="19"/>
      <c r="G138" s="19"/>
      <c r="H138" s="19"/>
      <c r="I138" s="19"/>
      <c r="J138" s="19"/>
      <c r="K138" s="19"/>
      <c r="L138" s="19"/>
      <c r="M138" s="19"/>
      <c r="N138" s="19" t="s">
        <v>809</v>
      </c>
      <c r="O138" s="19"/>
      <c r="P138" s="19"/>
      <c r="Q138" s="19"/>
      <c r="R138" s="19"/>
      <c r="S138" s="19"/>
      <c r="T138" s="19"/>
      <c r="U138" s="19"/>
      <c r="V138" s="19"/>
      <c r="W138" s="19" t="s">
        <v>312</v>
      </c>
      <c r="X138" s="19" t="str">
        <f t="shared" ref="X138" si="179">CHAR(CODE(X133)+1)</f>
        <v>F</v>
      </c>
      <c r="Y138" s="21">
        <f t="shared" si="165"/>
        <v>264</v>
      </c>
      <c r="Z138" s="19" t="s">
        <v>324</v>
      </c>
      <c r="AA138" s="19"/>
      <c r="AB138" s="19"/>
      <c r="AC138" s="19"/>
      <c r="AD138" s="19"/>
      <c r="AE138" s="19"/>
      <c r="AF138" s="19"/>
      <c r="AG138" s="19"/>
      <c r="AH138" s="19"/>
      <c r="AI138" s="19"/>
      <c r="AJ138" s="19"/>
      <c r="AK138" s="19"/>
      <c r="AL138" s="19"/>
      <c r="AM138" s="19" t="str">
        <f t="shared" ref="AM138" si="180">_xlfn.CONCAT(N138&amp;W138&amp;X138&amp;Y138&amp;Z138)</f>
        <v>Workbooks("HFU Forecast UTLA 1.0.xlsm").Worksheets("Combined data").Range("AF264")</v>
      </c>
      <c r="AO138" t="s">
        <v>862</v>
      </c>
    </row>
    <row r="139" spans="2:41" x14ac:dyDescent="0.25">
      <c r="B139" s="19" t="s">
        <v>339</v>
      </c>
      <c r="C139" s="19"/>
      <c r="D139" s="19"/>
      <c r="E139" s="19"/>
      <c r="F139" s="19"/>
      <c r="G139" s="19"/>
      <c r="H139" s="19"/>
      <c r="I139" s="19"/>
      <c r="J139" s="19"/>
      <c r="K139" s="19"/>
      <c r="L139" s="19"/>
      <c r="M139" s="19"/>
      <c r="N139" s="19"/>
      <c r="O139" s="19"/>
      <c r="P139" s="19"/>
      <c r="Q139" s="19"/>
      <c r="R139" s="19"/>
      <c r="S139" s="19"/>
      <c r="T139" s="19"/>
      <c r="U139" s="19"/>
      <c r="V139" s="19"/>
      <c r="W139" s="19"/>
      <c r="X139" s="19"/>
      <c r="Y139" s="21"/>
      <c r="Z139" s="19"/>
      <c r="AA139" s="19"/>
      <c r="AB139" s="19"/>
      <c r="AC139" s="19"/>
      <c r="AD139" s="19"/>
      <c r="AE139" s="19"/>
      <c r="AF139" s="19"/>
      <c r="AG139" s="19"/>
      <c r="AH139" s="19"/>
      <c r="AI139" s="19"/>
      <c r="AJ139" s="19"/>
      <c r="AK139" s="19"/>
      <c r="AL139" s="19"/>
      <c r="AM139" s="19" t="str">
        <f t="shared" ref="AM139" si="181">B139</f>
        <v>ActiveWorkbook.Close SaveChanges:=False</v>
      </c>
      <c r="AO139" t="s">
        <v>339</v>
      </c>
    </row>
    <row r="141" spans="2:41" x14ac:dyDescent="0.25">
      <c r="B141" s="22" t="s">
        <v>316</v>
      </c>
      <c r="C141" s="22"/>
      <c r="D141" s="22"/>
      <c r="E141" s="22"/>
      <c r="F141" s="22"/>
      <c r="G141" s="22"/>
      <c r="H141" s="22"/>
      <c r="I141" s="22"/>
      <c r="J141" s="22"/>
      <c r="K141" s="22"/>
      <c r="L141" s="22"/>
      <c r="M141" s="22"/>
      <c r="N141" s="22" t="s">
        <v>321</v>
      </c>
      <c r="O141" s="22"/>
      <c r="P141" s="22"/>
      <c r="Q141" s="22"/>
      <c r="R141" s="22"/>
      <c r="S141" s="22"/>
      <c r="T141" s="22"/>
      <c r="U141" s="22"/>
      <c r="V141" s="22">
        <f t="shared" si="168"/>
        <v>26</v>
      </c>
      <c r="W141" s="22"/>
      <c r="X141" s="22"/>
      <c r="Y141" s="23"/>
      <c r="Z141" s="22" t="s">
        <v>322</v>
      </c>
      <c r="AA141" s="22"/>
      <c r="AB141" s="22"/>
      <c r="AC141" s="22"/>
      <c r="AD141" s="22"/>
      <c r="AE141" s="22"/>
      <c r="AF141" s="22"/>
      <c r="AG141" s="22"/>
      <c r="AH141" s="22"/>
      <c r="AI141" s="22"/>
      <c r="AJ141" s="22"/>
      <c r="AK141" s="22"/>
      <c r="AL141" s="22"/>
      <c r="AM141" s="22" t="str">
        <f t="shared" ref="AM141" si="182">+_xlfn.CONCAT(N141&amp;V141&amp;Z141)</f>
        <v xml:space="preserve"> Workbooks.Open "A:\Homes for Ukraine data\Ukraine_sponsorship_data_26.ods"</v>
      </c>
      <c r="AO141" t="s">
        <v>727</v>
      </c>
    </row>
    <row r="142" spans="2:41" x14ac:dyDescent="0.25">
      <c r="B142" s="22" t="s">
        <v>533</v>
      </c>
      <c r="C142" s="22"/>
      <c r="D142" s="22"/>
      <c r="E142" s="22"/>
      <c r="F142" s="22"/>
      <c r="G142" s="22"/>
      <c r="H142" s="22"/>
      <c r="I142" s="22"/>
      <c r="J142" s="22"/>
      <c r="K142" s="22"/>
      <c r="L142" s="22"/>
      <c r="M142" s="22"/>
      <c r="N142" s="22" t="s">
        <v>323</v>
      </c>
      <c r="O142" s="22"/>
      <c r="P142" s="22"/>
      <c r="Q142" s="22"/>
      <c r="R142" s="22"/>
      <c r="S142" s="22"/>
      <c r="T142" s="22"/>
      <c r="U142" s="22"/>
      <c r="V142" s="22">
        <f t="shared" si="168"/>
        <v>26</v>
      </c>
      <c r="W142" s="22"/>
      <c r="X142" s="22"/>
      <c r="Y142" s="23"/>
      <c r="Z142" s="22" t="s">
        <v>532</v>
      </c>
      <c r="AA142" s="22"/>
      <c r="AB142" s="22"/>
      <c r="AC142" s="22"/>
      <c r="AD142" s="22"/>
      <c r="AE142" s="22" t="s">
        <v>382</v>
      </c>
      <c r="AF142" s="22">
        <f t="shared" si="170"/>
        <v>11</v>
      </c>
      <c r="AG142" s="22" t="s">
        <v>327</v>
      </c>
      <c r="AH142" s="22"/>
      <c r="AI142" s="22">
        <f t="shared" si="171"/>
        <v>24</v>
      </c>
      <c r="AJ142" s="22"/>
      <c r="AK142" s="22" t="s">
        <v>325</v>
      </c>
      <c r="AL142" s="22"/>
      <c r="AM142" s="22" t="str">
        <f t="shared" ref="AM142" si="183">_xlfn.CONCAT(N142&amp;V142&amp;Z142&amp;AE142&amp;AF142&amp;AG142&amp;AE142&amp;AI142&amp;AK142)</f>
        <v xml:space="preserve"> Workbooks("Ukraine_sponsorship_data_26.ods").Worksheets("Northern_Ireland").Range("D11:D24").Copy _</v>
      </c>
      <c r="AO142" t="s">
        <v>784</v>
      </c>
    </row>
    <row r="143" spans="2:41" x14ac:dyDescent="0.25">
      <c r="B143" s="22" t="s">
        <v>808</v>
      </c>
      <c r="C143" s="22"/>
      <c r="D143" s="22"/>
      <c r="E143" s="22"/>
      <c r="F143" s="22"/>
      <c r="G143" s="22"/>
      <c r="H143" s="22"/>
      <c r="I143" s="22"/>
      <c r="J143" s="22"/>
      <c r="K143" s="22"/>
      <c r="L143" s="22"/>
      <c r="M143" s="22"/>
      <c r="N143" s="22" t="s">
        <v>809</v>
      </c>
      <c r="O143" s="22"/>
      <c r="P143" s="22"/>
      <c r="Q143" s="22"/>
      <c r="R143" s="22"/>
      <c r="S143" s="22"/>
      <c r="T143" s="22"/>
      <c r="U143" s="22"/>
      <c r="V143" s="22"/>
      <c r="W143" s="22" t="s">
        <v>312</v>
      </c>
      <c r="X143" s="22" t="str">
        <f t="shared" ref="X143" si="184">CHAR(CODE(X138)+1)</f>
        <v>G</v>
      </c>
      <c r="Y143" s="23">
        <f t="shared" si="174"/>
        <v>264</v>
      </c>
      <c r="Z143" s="22" t="s">
        <v>324</v>
      </c>
      <c r="AA143" s="22"/>
      <c r="AB143" s="22"/>
      <c r="AC143" s="22"/>
      <c r="AD143" s="22"/>
      <c r="AE143" s="22"/>
      <c r="AF143" s="22"/>
      <c r="AG143" s="22"/>
      <c r="AH143" s="22"/>
      <c r="AI143" s="22"/>
      <c r="AJ143" s="22"/>
      <c r="AK143" s="22"/>
      <c r="AL143" s="22"/>
      <c r="AM143" s="22" t="str">
        <f t="shared" ref="AM143" si="185">_xlfn.CONCAT(N143&amp;W143&amp;X143&amp;Y143&amp;Z143)</f>
        <v>Workbooks("HFU Forecast UTLA 1.0.xlsm").Worksheets("Combined data").Range("AG264")</v>
      </c>
      <c r="AO143" t="s">
        <v>863</v>
      </c>
    </row>
    <row r="144" spans="2:41" x14ac:dyDescent="0.25">
      <c r="B144" s="22" t="s">
        <v>339</v>
      </c>
      <c r="C144" s="22"/>
      <c r="D144" s="22"/>
      <c r="E144" s="22"/>
      <c r="F144" s="22"/>
      <c r="G144" s="22"/>
      <c r="H144" s="22"/>
      <c r="I144" s="22"/>
      <c r="J144" s="22"/>
      <c r="K144" s="22"/>
      <c r="L144" s="22"/>
      <c r="M144" s="22"/>
      <c r="N144" s="22"/>
      <c r="O144" s="22"/>
      <c r="P144" s="22"/>
      <c r="Q144" s="22"/>
      <c r="R144" s="22"/>
      <c r="S144" s="22"/>
      <c r="T144" s="22"/>
      <c r="U144" s="22"/>
      <c r="V144" s="22"/>
      <c r="W144" s="22"/>
      <c r="X144" s="22"/>
      <c r="Y144" s="23"/>
      <c r="Z144" s="22"/>
      <c r="AA144" s="22"/>
      <c r="AB144" s="22"/>
      <c r="AC144" s="22"/>
      <c r="AD144" s="22"/>
      <c r="AE144" s="22"/>
      <c r="AF144" s="22"/>
      <c r="AG144" s="22"/>
      <c r="AH144" s="22"/>
      <c r="AI144" s="22"/>
      <c r="AJ144" s="22"/>
      <c r="AK144" s="22"/>
      <c r="AL144" s="22"/>
      <c r="AM144" s="22" t="str">
        <f t="shared" ref="AM144" si="186">B144</f>
        <v>ActiveWorkbook.Close SaveChanges:=False</v>
      </c>
      <c r="AO144" t="s">
        <v>339</v>
      </c>
    </row>
    <row r="146" spans="2:41" x14ac:dyDescent="0.25">
      <c r="B146" s="19" t="s">
        <v>316</v>
      </c>
      <c r="C146" s="19"/>
      <c r="D146" s="19"/>
      <c r="E146" s="19"/>
      <c r="F146" s="19"/>
      <c r="G146" s="19"/>
      <c r="H146" s="19"/>
      <c r="I146" s="19"/>
      <c r="J146" s="19"/>
      <c r="K146" s="19"/>
      <c r="L146" s="19"/>
      <c r="M146" s="19"/>
      <c r="N146" s="19" t="s">
        <v>321</v>
      </c>
      <c r="O146" s="19"/>
      <c r="P146" s="19"/>
      <c r="Q146" s="19"/>
      <c r="R146" s="19"/>
      <c r="S146" s="19"/>
      <c r="T146" s="19"/>
      <c r="U146" s="19"/>
      <c r="V146" s="19">
        <f t="shared" si="159"/>
        <v>27</v>
      </c>
      <c r="W146" s="19"/>
      <c r="X146" s="19"/>
      <c r="Y146" s="21"/>
      <c r="Z146" s="19" t="s">
        <v>322</v>
      </c>
      <c r="AA146" s="19"/>
      <c r="AB146" s="19"/>
      <c r="AC146" s="19"/>
      <c r="AD146" s="19"/>
      <c r="AE146" s="19"/>
      <c r="AF146" s="19"/>
      <c r="AG146" s="19"/>
      <c r="AH146" s="19"/>
      <c r="AI146" s="19"/>
      <c r="AJ146" s="19"/>
      <c r="AK146" s="19"/>
      <c r="AL146" s="19"/>
      <c r="AM146" s="19" t="str">
        <f t="shared" ref="AM146" si="187">+_xlfn.CONCAT(N146&amp;V146&amp;Z146)</f>
        <v xml:space="preserve"> Workbooks.Open "A:\Homes for Ukraine data\Ukraine_sponsorship_data_27.ods"</v>
      </c>
      <c r="AO146" t="s">
        <v>729</v>
      </c>
    </row>
    <row r="147" spans="2:41" x14ac:dyDescent="0.25">
      <c r="B147" s="19" t="s">
        <v>533</v>
      </c>
      <c r="C147" s="19"/>
      <c r="D147" s="19"/>
      <c r="E147" s="19"/>
      <c r="F147" s="19"/>
      <c r="G147" s="19"/>
      <c r="H147" s="19"/>
      <c r="I147" s="19"/>
      <c r="J147" s="19"/>
      <c r="K147" s="19"/>
      <c r="L147" s="19"/>
      <c r="M147" s="19"/>
      <c r="N147" s="19" t="s">
        <v>323</v>
      </c>
      <c r="O147" s="19"/>
      <c r="P147" s="19"/>
      <c r="Q147" s="19"/>
      <c r="R147" s="19"/>
      <c r="S147" s="19"/>
      <c r="T147" s="19"/>
      <c r="U147" s="19"/>
      <c r="V147" s="19">
        <f t="shared" si="159"/>
        <v>27</v>
      </c>
      <c r="W147" s="19"/>
      <c r="X147" s="19"/>
      <c r="Y147" s="21"/>
      <c r="Z147" s="19" t="s">
        <v>532</v>
      </c>
      <c r="AA147" s="19"/>
      <c r="AB147" s="19"/>
      <c r="AC147" s="19"/>
      <c r="AD147" s="19"/>
      <c r="AE147" s="19" t="s">
        <v>382</v>
      </c>
      <c r="AF147" s="19">
        <f t="shared" si="161"/>
        <v>11</v>
      </c>
      <c r="AG147" s="19" t="s">
        <v>327</v>
      </c>
      <c r="AH147" s="19"/>
      <c r="AI147" s="19">
        <f t="shared" si="162"/>
        <v>24</v>
      </c>
      <c r="AJ147" s="19"/>
      <c r="AK147" s="19" t="s">
        <v>325</v>
      </c>
      <c r="AL147" s="19"/>
      <c r="AM147" s="19" t="str">
        <f t="shared" ref="AM147" si="188">_xlfn.CONCAT(N147&amp;V147&amp;Z147&amp;AE147&amp;AF147&amp;AG147&amp;AE147&amp;AI147&amp;AK147)</f>
        <v xml:space="preserve"> Workbooks("Ukraine_sponsorship_data_27.ods").Worksheets("Northern_Ireland").Range("D11:D24").Copy _</v>
      </c>
      <c r="AO147" t="s">
        <v>785</v>
      </c>
    </row>
    <row r="148" spans="2:41" x14ac:dyDescent="0.25">
      <c r="B148" s="19" t="s">
        <v>808</v>
      </c>
      <c r="C148" s="19"/>
      <c r="D148" s="19"/>
      <c r="E148" s="19"/>
      <c r="F148" s="19"/>
      <c r="G148" s="19"/>
      <c r="H148" s="19"/>
      <c r="I148" s="19"/>
      <c r="J148" s="19"/>
      <c r="K148" s="19"/>
      <c r="L148" s="19"/>
      <c r="M148" s="19"/>
      <c r="N148" s="19" t="s">
        <v>809</v>
      </c>
      <c r="O148" s="19"/>
      <c r="P148" s="19"/>
      <c r="Q148" s="19"/>
      <c r="R148" s="19"/>
      <c r="S148" s="19"/>
      <c r="T148" s="19"/>
      <c r="U148" s="19"/>
      <c r="V148" s="19"/>
      <c r="W148" s="19" t="s">
        <v>312</v>
      </c>
      <c r="X148" s="19" t="str">
        <f t="shared" ref="X148" si="189">CHAR(CODE(X143)+1)</f>
        <v>H</v>
      </c>
      <c r="Y148" s="21">
        <f t="shared" si="165"/>
        <v>264</v>
      </c>
      <c r="Z148" s="19" t="s">
        <v>324</v>
      </c>
      <c r="AA148" s="19"/>
      <c r="AB148" s="19"/>
      <c r="AC148" s="19"/>
      <c r="AD148" s="19"/>
      <c r="AE148" s="19"/>
      <c r="AF148" s="19"/>
      <c r="AG148" s="19"/>
      <c r="AH148" s="19"/>
      <c r="AI148" s="19"/>
      <c r="AJ148" s="19"/>
      <c r="AK148" s="19"/>
      <c r="AL148" s="19"/>
      <c r="AM148" s="19" t="str">
        <f t="shared" ref="AM148" si="190">_xlfn.CONCAT(N148&amp;W148&amp;X148&amp;Y148&amp;Z148)</f>
        <v>Workbooks("HFU Forecast UTLA 1.0.xlsm").Worksheets("Combined data").Range("AH264")</v>
      </c>
      <c r="AO148" t="s">
        <v>864</v>
      </c>
    </row>
    <row r="149" spans="2:41" x14ac:dyDescent="0.25">
      <c r="B149" s="19" t="s">
        <v>339</v>
      </c>
      <c r="C149" s="19"/>
      <c r="D149" s="19"/>
      <c r="E149" s="19"/>
      <c r="F149" s="19"/>
      <c r="G149" s="19"/>
      <c r="H149" s="19"/>
      <c r="I149" s="19"/>
      <c r="J149" s="19"/>
      <c r="K149" s="19"/>
      <c r="L149" s="19"/>
      <c r="M149" s="19"/>
      <c r="N149" s="19"/>
      <c r="O149" s="19"/>
      <c r="P149" s="19"/>
      <c r="Q149" s="19"/>
      <c r="R149" s="19"/>
      <c r="S149" s="19"/>
      <c r="T149" s="19"/>
      <c r="U149" s="19"/>
      <c r="V149" s="19"/>
      <c r="W149" s="19"/>
      <c r="X149" s="19"/>
      <c r="Y149" s="21"/>
      <c r="Z149" s="19"/>
      <c r="AA149" s="19"/>
      <c r="AB149" s="19"/>
      <c r="AC149" s="19"/>
      <c r="AD149" s="19"/>
      <c r="AE149" s="19"/>
      <c r="AF149" s="19"/>
      <c r="AG149" s="19"/>
      <c r="AH149" s="19"/>
      <c r="AI149" s="19"/>
      <c r="AJ149" s="19"/>
      <c r="AK149" s="19"/>
      <c r="AL149" s="19"/>
      <c r="AM149" s="19" t="str">
        <f t="shared" ref="AM149" si="191">B149</f>
        <v>ActiveWorkbook.Close SaveChanges:=False</v>
      </c>
      <c r="AO149" t="s">
        <v>339</v>
      </c>
    </row>
    <row r="151" spans="2:41" x14ac:dyDescent="0.25">
      <c r="B151" s="22" t="s">
        <v>316</v>
      </c>
      <c r="C151" s="22"/>
      <c r="D151" s="22"/>
      <c r="E151" s="22"/>
      <c r="F151" s="22"/>
      <c r="G151" s="22"/>
      <c r="H151" s="22"/>
      <c r="I151" s="22"/>
      <c r="J151" s="22"/>
      <c r="K151" s="22"/>
      <c r="L151" s="22"/>
      <c r="M151" s="22"/>
      <c r="N151" s="22" t="s">
        <v>321</v>
      </c>
      <c r="O151" s="22"/>
      <c r="P151" s="22"/>
      <c r="Q151" s="22"/>
      <c r="R151" s="22"/>
      <c r="S151" s="22"/>
      <c r="T151" s="22"/>
      <c r="U151" s="22"/>
      <c r="V151" s="22">
        <f t="shared" si="168"/>
        <v>28</v>
      </c>
      <c r="W151" s="22"/>
      <c r="X151" s="22"/>
      <c r="Y151" s="23"/>
      <c r="Z151" s="22" t="s">
        <v>322</v>
      </c>
      <c r="AA151" s="22"/>
      <c r="AB151" s="22"/>
      <c r="AC151" s="22"/>
      <c r="AD151" s="22"/>
      <c r="AE151" s="22"/>
      <c r="AF151" s="22"/>
      <c r="AG151" s="22"/>
      <c r="AH151" s="22"/>
      <c r="AI151" s="22"/>
      <c r="AJ151" s="22"/>
      <c r="AK151" s="22"/>
      <c r="AL151" s="22"/>
      <c r="AM151" s="22" t="str">
        <f t="shared" ref="AM151" si="192">+_xlfn.CONCAT(N151&amp;V151&amp;Z151)</f>
        <v xml:space="preserve"> Workbooks.Open "A:\Homes for Ukraine data\Ukraine_sponsorship_data_28.ods"</v>
      </c>
      <c r="AO151" t="s">
        <v>731</v>
      </c>
    </row>
    <row r="152" spans="2:41" x14ac:dyDescent="0.25">
      <c r="B152" s="22" t="s">
        <v>533</v>
      </c>
      <c r="C152" s="22"/>
      <c r="D152" s="22"/>
      <c r="E152" s="22"/>
      <c r="F152" s="22"/>
      <c r="G152" s="22"/>
      <c r="H152" s="22"/>
      <c r="I152" s="22"/>
      <c r="J152" s="22"/>
      <c r="K152" s="22"/>
      <c r="L152" s="22"/>
      <c r="M152" s="22"/>
      <c r="N152" s="22" t="s">
        <v>323</v>
      </c>
      <c r="O152" s="22"/>
      <c r="P152" s="22"/>
      <c r="Q152" s="22"/>
      <c r="R152" s="22"/>
      <c r="S152" s="22"/>
      <c r="T152" s="22"/>
      <c r="U152" s="22"/>
      <c r="V152" s="22">
        <f t="shared" si="168"/>
        <v>28</v>
      </c>
      <c r="W152" s="22"/>
      <c r="X152" s="22"/>
      <c r="Y152" s="23"/>
      <c r="Z152" s="22" t="s">
        <v>532</v>
      </c>
      <c r="AA152" s="22"/>
      <c r="AB152" s="22"/>
      <c r="AC152" s="22"/>
      <c r="AD152" s="22"/>
      <c r="AE152" s="22" t="s">
        <v>382</v>
      </c>
      <c r="AF152" s="22">
        <f t="shared" si="170"/>
        <v>11</v>
      </c>
      <c r="AG152" s="22" t="s">
        <v>327</v>
      </c>
      <c r="AH152" s="22"/>
      <c r="AI152" s="22">
        <f t="shared" si="171"/>
        <v>24</v>
      </c>
      <c r="AJ152" s="22"/>
      <c r="AK152" s="22" t="s">
        <v>325</v>
      </c>
      <c r="AL152" s="22"/>
      <c r="AM152" s="22" t="str">
        <f t="shared" ref="AM152" si="193">_xlfn.CONCAT(N152&amp;V152&amp;Z152&amp;AE152&amp;AF152&amp;AG152&amp;AE152&amp;AI152&amp;AK152)</f>
        <v xml:space="preserve"> Workbooks("Ukraine_sponsorship_data_28.ods").Worksheets("Northern_Ireland").Range("D11:D24").Copy _</v>
      </c>
      <c r="AO152" t="s">
        <v>786</v>
      </c>
    </row>
    <row r="153" spans="2:41" x14ac:dyDescent="0.25">
      <c r="B153" s="22" t="s">
        <v>808</v>
      </c>
      <c r="C153" s="22"/>
      <c r="D153" s="22"/>
      <c r="E153" s="22"/>
      <c r="F153" s="22"/>
      <c r="G153" s="22"/>
      <c r="H153" s="22"/>
      <c r="I153" s="22"/>
      <c r="J153" s="22"/>
      <c r="K153" s="22"/>
      <c r="L153" s="22"/>
      <c r="M153" s="22"/>
      <c r="N153" s="22" t="s">
        <v>809</v>
      </c>
      <c r="O153" s="22"/>
      <c r="P153" s="22"/>
      <c r="Q153" s="22"/>
      <c r="R153" s="22"/>
      <c r="S153" s="22"/>
      <c r="T153" s="22"/>
      <c r="U153" s="22"/>
      <c r="V153" s="22"/>
      <c r="W153" s="22" t="s">
        <v>312</v>
      </c>
      <c r="X153" s="22" t="str">
        <f t="shared" ref="X153" si="194">CHAR(CODE(X148)+1)</f>
        <v>I</v>
      </c>
      <c r="Y153" s="23">
        <f t="shared" si="174"/>
        <v>264</v>
      </c>
      <c r="Z153" s="22" t="s">
        <v>324</v>
      </c>
      <c r="AA153" s="22"/>
      <c r="AB153" s="22"/>
      <c r="AC153" s="22"/>
      <c r="AD153" s="22"/>
      <c r="AE153" s="22"/>
      <c r="AF153" s="22"/>
      <c r="AG153" s="22"/>
      <c r="AH153" s="22"/>
      <c r="AI153" s="22"/>
      <c r="AJ153" s="22"/>
      <c r="AK153" s="22"/>
      <c r="AL153" s="22"/>
      <c r="AM153" s="22" t="str">
        <f t="shared" ref="AM153" si="195">_xlfn.CONCAT(N153&amp;W153&amp;X153&amp;Y153&amp;Z153)</f>
        <v>Workbooks("HFU Forecast UTLA 1.0.xlsm").Worksheets("Combined data").Range("AI264")</v>
      </c>
      <c r="AO153" t="s">
        <v>865</v>
      </c>
    </row>
    <row r="154" spans="2:41" x14ac:dyDescent="0.25">
      <c r="B154" s="22" t="s">
        <v>339</v>
      </c>
      <c r="C154" s="22"/>
      <c r="D154" s="22"/>
      <c r="E154" s="22"/>
      <c r="F154" s="22"/>
      <c r="G154" s="22"/>
      <c r="H154" s="22"/>
      <c r="I154" s="22"/>
      <c r="J154" s="22"/>
      <c r="K154" s="22"/>
      <c r="L154" s="22"/>
      <c r="M154" s="22"/>
      <c r="N154" s="22"/>
      <c r="O154" s="22"/>
      <c r="P154" s="22"/>
      <c r="Q154" s="22"/>
      <c r="R154" s="22"/>
      <c r="S154" s="22"/>
      <c r="T154" s="22"/>
      <c r="U154" s="22"/>
      <c r="V154" s="22"/>
      <c r="W154" s="22"/>
      <c r="X154" s="22"/>
      <c r="Y154" s="23"/>
      <c r="Z154" s="22"/>
      <c r="AA154" s="22"/>
      <c r="AB154" s="22"/>
      <c r="AC154" s="22"/>
      <c r="AD154" s="22"/>
      <c r="AE154" s="22"/>
      <c r="AF154" s="22"/>
      <c r="AG154" s="22"/>
      <c r="AH154" s="22"/>
      <c r="AI154" s="22"/>
      <c r="AJ154" s="22"/>
      <c r="AK154" s="22"/>
      <c r="AL154" s="22"/>
      <c r="AM154" s="22" t="str">
        <f t="shared" ref="AM154" si="196">B154</f>
        <v>ActiveWorkbook.Close SaveChanges:=False</v>
      </c>
      <c r="AO154" t="s">
        <v>339</v>
      </c>
    </row>
    <row r="156" spans="2:41" x14ac:dyDescent="0.25">
      <c r="B156" s="19" t="s">
        <v>316</v>
      </c>
      <c r="C156" s="19"/>
      <c r="D156" s="19"/>
      <c r="E156" s="19"/>
      <c r="F156" s="19"/>
      <c r="G156" s="19"/>
      <c r="H156" s="19"/>
      <c r="I156" s="19"/>
      <c r="J156" s="19"/>
      <c r="K156" s="19"/>
      <c r="L156" s="19"/>
      <c r="M156" s="19"/>
      <c r="N156" s="19" t="s">
        <v>321</v>
      </c>
      <c r="O156" s="19"/>
      <c r="P156" s="19"/>
      <c r="Q156" s="19"/>
      <c r="R156" s="19"/>
      <c r="S156" s="19"/>
      <c r="T156" s="19"/>
      <c r="U156" s="19"/>
      <c r="V156" s="19">
        <f t="shared" si="159"/>
        <v>29</v>
      </c>
      <c r="W156" s="19"/>
      <c r="X156" s="19"/>
      <c r="Y156" s="21"/>
      <c r="Z156" s="19" t="s">
        <v>322</v>
      </c>
      <c r="AA156" s="19"/>
      <c r="AB156" s="19"/>
      <c r="AC156" s="19"/>
      <c r="AD156" s="19"/>
      <c r="AE156" s="19"/>
      <c r="AF156" s="19"/>
      <c r="AG156" s="19"/>
      <c r="AH156" s="19"/>
      <c r="AI156" s="19"/>
      <c r="AJ156" s="19"/>
      <c r="AK156" s="19"/>
      <c r="AL156" s="19"/>
      <c r="AM156" s="19" t="str">
        <f t="shared" ref="AM156" si="197">+_xlfn.CONCAT(N156&amp;V156&amp;Z156)</f>
        <v xml:space="preserve"> Workbooks.Open "A:\Homes for Ukraine data\Ukraine_sponsorship_data_29.ods"</v>
      </c>
      <c r="AO156" t="s">
        <v>733</v>
      </c>
    </row>
    <row r="157" spans="2:41" x14ac:dyDescent="0.25">
      <c r="B157" s="19" t="s">
        <v>533</v>
      </c>
      <c r="C157" s="19"/>
      <c r="D157" s="19"/>
      <c r="E157" s="19"/>
      <c r="F157" s="19"/>
      <c r="G157" s="19"/>
      <c r="H157" s="19"/>
      <c r="I157" s="19"/>
      <c r="J157" s="19"/>
      <c r="K157" s="19"/>
      <c r="L157" s="19"/>
      <c r="M157" s="19"/>
      <c r="N157" s="19" t="s">
        <v>323</v>
      </c>
      <c r="O157" s="19"/>
      <c r="P157" s="19"/>
      <c r="Q157" s="19"/>
      <c r="R157" s="19"/>
      <c r="S157" s="19"/>
      <c r="T157" s="19"/>
      <c r="U157" s="19"/>
      <c r="V157" s="19">
        <f t="shared" si="159"/>
        <v>29</v>
      </c>
      <c r="W157" s="19"/>
      <c r="X157" s="19"/>
      <c r="Y157" s="21"/>
      <c r="Z157" s="19" t="s">
        <v>532</v>
      </c>
      <c r="AA157" s="19"/>
      <c r="AB157" s="19"/>
      <c r="AC157" s="19"/>
      <c r="AD157" s="19"/>
      <c r="AE157" s="19" t="s">
        <v>382</v>
      </c>
      <c r="AF157" s="19">
        <f t="shared" si="161"/>
        <v>11</v>
      </c>
      <c r="AG157" s="19" t="s">
        <v>327</v>
      </c>
      <c r="AH157" s="19"/>
      <c r="AI157" s="19">
        <f t="shared" si="162"/>
        <v>24</v>
      </c>
      <c r="AJ157" s="19"/>
      <c r="AK157" s="19" t="s">
        <v>325</v>
      </c>
      <c r="AL157" s="19"/>
      <c r="AM157" s="19" t="str">
        <f t="shared" ref="AM157" si="198">_xlfn.CONCAT(N157&amp;V157&amp;Z157&amp;AE157&amp;AF157&amp;AG157&amp;AE157&amp;AI157&amp;AK157)</f>
        <v xml:space="preserve"> Workbooks("Ukraine_sponsorship_data_29.ods").Worksheets("Northern_Ireland").Range("D11:D24").Copy _</v>
      </c>
      <c r="AO157" t="s">
        <v>787</v>
      </c>
    </row>
    <row r="158" spans="2:41" x14ac:dyDescent="0.25">
      <c r="B158" s="19" t="s">
        <v>808</v>
      </c>
      <c r="C158" s="19"/>
      <c r="D158" s="19"/>
      <c r="E158" s="19"/>
      <c r="F158" s="19"/>
      <c r="G158" s="19"/>
      <c r="H158" s="19"/>
      <c r="I158" s="19"/>
      <c r="J158" s="19"/>
      <c r="K158" s="19"/>
      <c r="L158" s="19"/>
      <c r="M158" s="19"/>
      <c r="N158" s="19" t="s">
        <v>809</v>
      </c>
      <c r="O158" s="19"/>
      <c r="P158" s="19"/>
      <c r="Q158" s="19"/>
      <c r="R158" s="19"/>
      <c r="S158" s="19"/>
      <c r="T158" s="19"/>
      <c r="U158" s="19"/>
      <c r="V158" s="19"/>
      <c r="W158" s="19" t="s">
        <v>312</v>
      </c>
      <c r="X158" s="19" t="str">
        <f t="shared" ref="X158" si="199">CHAR(CODE(X153)+1)</f>
        <v>J</v>
      </c>
      <c r="Y158" s="21">
        <f t="shared" si="165"/>
        <v>264</v>
      </c>
      <c r="Z158" s="19" t="s">
        <v>324</v>
      </c>
      <c r="AA158" s="19"/>
      <c r="AB158" s="19"/>
      <c r="AC158" s="19"/>
      <c r="AD158" s="19"/>
      <c r="AE158" s="19"/>
      <c r="AF158" s="19"/>
      <c r="AG158" s="19"/>
      <c r="AH158" s="19"/>
      <c r="AI158" s="19"/>
      <c r="AJ158" s="19"/>
      <c r="AK158" s="19"/>
      <c r="AL158" s="19"/>
      <c r="AM158" s="19" t="str">
        <f t="shared" ref="AM158" si="200">_xlfn.CONCAT(N158&amp;W158&amp;X158&amp;Y158&amp;Z158)</f>
        <v>Workbooks("HFU Forecast UTLA 1.0.xlsm").Worksheets("Combined data").Range("AJ264")</v>
      </c>
      <c r="AO158" t="s">
        <v>866</v>
      </c>
    </row>
    <row r="159" spans="2:41" x14ac:dyDescent="0.25">
      <c r="B159" s="19" t="s">
        <v>339</v>
      </c>
      <c r="C159" s="19"/>
      <c r="D159" s="19"/>
      <c r="E159" s="19"/>
      <c r="F159" s="19"/>
      <c r="G159" s="19"/>
      <c r="H159" s="19"/>
      <c r="I159" s="19"/>
      <c r="J159" s="19"/>
      <c r="K159" s="19"/>
      <c r="L159" s="19"/>
      <c r="M159" s="19"/>
      <c r="N159" s="19"/>
      <c r="O159" s="19"/>
      <c r="P159" s="19"/>
      <c r="Q159" s="19"/>
      <c r="R159" s="19"/>
      <c r="S159" s="19"/>
      <c r="T159" s="19"/>
      <c r="U159" s="19"/>
      <c r="V159" s="19"/>
      <c r="W159" s="19"/>
      <c r="X159" s="19"/>
      <c r="Y159" s="21"/>
      <c r="Z159" s="19"/>
      <c r="AA159" s="19"/>
      <c r="AB159" s="19"/>
      <c r="AC159" s="19"/>
      <c r="AD159" s="19"/>
      <c r="AE159" s="19"/>
      <c r="AF159" s="19"/>
      <c r="AG159" s="19"/>
      <c r="AH159" s="19"/>
      <c r="AI159" s="19"/>
      <c r="AJ159" s="19"/>
      <c r="AK159" s="19"/>
      <c r="AL159" s="19"/>
      <c r="AM159" s="19" t="str">
        <f t="shared" ref="AM159" si="201">B159</f>
        <v>ActiveWorkbook.Close SaveChanges:=False</v>
      </c>
      <c r="AO159" t="s">
        <v>339</v>
      </c>
    </row>
    <row r="161" spans="2:41" x14ac:dyDescent="0.25">
      <c r="B161" s="22" t="s">
        <v>316</v>
      </c>
      <c r="C161" s="22"/>
      <c r="D161" s="22"/>
      <c r="E161" s="22"/>
      <c r="F161" s="22"/>
      <c r="G161" s="22"/>
      <c r="H161" s="22"/>
      <c r="I161" s="22"/>
      <c r="J161" s="22"/>
      <c r="K161" s="22"/>
      <c r="L161" s="22"/>
      <c r="M161" s="22"/>
      <c r="N161" s="22" t="s">
        <v>321</v>
      </c>
      <c r="O161" s="22"/>
      <c r="P161" s="22"/>
      <c r="Q161" s="22"/>
      <c r="R161" s="22"/>
      <c r="S161" s="22"/>
      <c r="T161" s="22"/>
      <c r="U161" s="22"/>
      <c r="V161" s="22">
        <f t="shared" si="168"/>
        <v>30</v>
      </c>
      <c r="W161" s="22"/>
      <c r="X161" s="22"/>
      <c r="Y161" s="23"/>
      <c r="Z161" s="22" t="s">
        <v>322</v>
      </c>
      <c r="AA161" s="22"/>
      <c r="AB161" s="22"/>
      <c r="AC161" s="22"/>
      <c r="AD161" s="22"/>
      <c r="AE161" s="22"/>
      <c r="AF161" s="22"/>
      <c r="AG161" s="22"/>
      <c r="AH161" s="22"/>
      <c r="AI161" s="22"/>
      <c r="AJ161" s="22"/>
      <c r="AK161" s="22"/>
      <c r="AL161" s="22"/>
      <c r="AM161" s="22" t="str">
        <f t="shared" ref="AM161" si="202">+_xlfn.CONCAT(N161&amp;V161&amp;Z161)</f>
        <v xml:space="preserve"> Workbooks.Open "A:\Homes for Ukraine data\Ukraine_sponsorship_data_30.ods"</v>
      </c>
      <c r="AO161" t="s">
        <v>735</v>
      </c>
    </row>
    <row r="162" spans="2:41" x14ac:dyDescent="0.25">
      <c r="B162" s="22" t="s">
        <v>533</v>
      </c>
      <c r="C162" s="22"/>
      <c r="D162" s="22"/>
      <c r="E162" s="22"/>
      <c r="F162" s="22"/>
      <c r="G162" s="22"/>
      <c r="H162" s="22"/>
      <c r="I162" s="22"/>
      <c r="J162" s="22"/>
      <c r="K162" s="22"/>
      <c r="L162" s="22"/>
      <c r="M162" s="22"/>
      <c r="N162" s="22" t="s">
        <v>323</v>
      </c>
      <c r="O162" s="22"/>
      <c r="P162" s="22"/>
      <c r="Q162" s="22"/>
      <c r="R162" s="22"/>
      <c r="S162" s="22"/>
      <c r="T162" s="22"/>
      <c r="U162" s="22"/>
      <c r="V162" s="22">
        <f t="shared" si="168"/>
        <v>30</v>
      </c>
      <c r="W162" s="22"/>
      <c r="X162" s="22"/>
      <c r="Y162" s="23"/>
      <c r="Z162" s="22" t="s">
        <v>532</v>
      </c>
      <c r="AA162" s="22"/>
      <c r="AB162" s="22"/>
      <c r="AC162" s="22"/>
      <c r="AD162" s="22"/>
      <c r="AE162" s="22" t="s">
        <v>382</v>
      </c>
      <c r="AF162" s="22">
        <f t="shared" si="170"/>
        <v>11</v>
      </c>
      <c r="AG162" s="22" t="s">
        <v>327</v>
      </c>
      <c r="AH162" s="22"/>
      <c r="AI162" s="22">
        <f t="shared" si="171"/>
        <v>24</v>
      </c>
      <c r="AJ162" s="22"/>
      <c r="AK162" s="22" t="s">
        <v>325</v>
      </c>
      <c r="AL162" s="22"/>
      <c r="AM162" s="22" t="str">
        <f t="shared" ref="AM162" si="203">_xlfn.CONCAT(N162&amp;V162&amp;Z162&amp;AE162&amp;AF162&amp;AG162&amp;AE162&amp;AI162&amp;AK162)</f>
        <v xml:space="preserve"> Workbooks("Ukraine_sponsorship_data_30.ods").Worksheets("Northern_Ireland").Range("D11:D24").Copy _</v>
      </c>
      <c r="AO162" t="s">
        <v>788</v>
      </c>
    </row>
    <row r="163" spans="2:41" x14ac:dyDescent="0.25">
      <c r="B163" s="22" t="s">
        <v>808</v>
      </c>
      <c r="C163" s="22"/>
      <c r="D163" s="22"/>
      <c r="E163" s="22"/>
      <c r="F163" s="22"/>
      <c r="G163" s="22"/>
      <c r="H163" s="22"/>
      <c r="I163" s="22"/>
      <c r="J163" s="22"/>
      <c r="K163" s="22"/>
      <c r="L163" s="22"/>
      <c r="M163" s="22"/>
      <c r="N163" s="22" t="s">
        <v>809</v>
      </c>
      <c r="O163" s="22"/>
      <c r="P163" s="22"/>
      <c r="Q163" s="22"/>
      <c r="R163" s="22"/>
      <c r="S163" s="22"/>
      <c r="T163" s="22"/>
      <c r="U163" s="22"/>
      <c r="V163" s="22"/>
      <c r="W163" s="22" t="s">
        <v>312</v>
      </c>
      <c r="X163" s="22" t="str">
        <f t="shared" ref="X163" si="204">CHAR(CODE(X158)+1)</f>
        <v>K</v>
      </c>
      <c r="Y163" s="23">
        <f t="shared" si="174"/>
        <v>264</v>
      </c>
      <c r="Z163" s="22" t="s">
        <v>324</v>
      </c>
      <c r="AA163" s="22"/>
      <c r="AB163" s="22"/>
      <c r="AC163" s="22"/>
      <c r="AD163" s="22"/>
      <c r="AE163" s="22"/>
      <c r="AF163" s="22"/>
      <c r="AG163" s="22"/>
      <c r="AH163" s="22"/>
      <c r="AI163" s="22"/>
      <c r="AJ163" s="22"/>
      <c r="AK163" s="22"/>
      <c r="AL163" s="22"/>
      <c r="AM163" s="22" t="str">
        <f t="shared" ref="AM163" si="205">_xlfn.CONCAT(N163&amp;W163&amp;X163&amp;Y163&amp;Z163)</f>
        <v>Workbooks("HFU Forecast UTLA 1.0.xlsm").Worksheets("Combined data").Range("AK264")</v>
      </c>
      <c r="AO163" t="s">
        <v>867</v>
      </c>
    </row>
    <row r="164" spans="2:41" x14ac:dyDescent="0.25">
      <c r="B164" s="22" t="s">
        <v>339</v>
      </c>
      <c r="C164" s="22"/>
      <c r="D164" s="22"/>
      <c r="E164" s="22"/>
      <c r="F164" s="22"/>
      <c r="G164" s="22"/>
      <c r="H164" s="22"/>
      <c r="I164" s="22"/>
      <c r="J164" s="22"/>
      <c r="K164" s="22"/>
      <c r="L164" s="22"/>
      <c r="M164" s="22"/>
      <c r="N164" s="22"/>
      <c r="O164" s="22"/>
      <c r="P164" s="22"/>
      <c r="Q164" s="22"/>
      <c r="R164" s="22"/>
      <c r="S164" s="22"/>
      <c r="T164" s="22"/>
      <c r="U164" s="22"/>
      <c r="V164" s="22"/>
      <c r="W164" s="22"/>
      <c r="X164" s="22"/>
      <c r="Y164" s="23"/>
      <c r="Z164" s="22"/>
      <c r="AA164" s="22"/>
      <c r="AB164" s="22"/>
      <c r="AC164" s="22"/>
      <c r="AD164" s="22"/>
      <c r="AE164" s="22"/>
      <c r="AF164" s="22"/>
      <c r="AG164" s="22"/>
      <c r="AH164" s="22"/>
      <c r="AI164" s="22"/>
      <c r="AJ164" s="22"/>
      <c r="AK164" s="22"/>
      <c r="AL164" s="22"/>
      <c r="AM164" s="22" t="str">
        <f t="shared" ref="AM164" si="206">B164</f>
        <v>ActiveWorkbook.Close SaveChanges:=False</v>
      </c>
      <c r="AO164" t="s">
        <v>339</v>
      </c>
    </row>
    <row r="166" spans="2:41" x14ac:dyDescent="0.25">
      <c r="B166" s="19" t="s">
        <v>316</v>
      </c>
      <c r="C166" s="19"/>
      <c r="D166" s="19"/>
      <c r="E166" s="19"/>
      <c r="F166" s="19"/>
      <c r="G166" s="19"/>
      <c r="H166" s="19"/>
      <c r="I166" s="19"/>
      <c r="J166" s="19"/>
      <c r="K166" s="19"/>
      <c r="L166" s="19"/>
      <c r="M166" s="19"/>
      <c r="N166" s="19" t="s">
        <v>321</v>
      </c>
      <c r="O166" s="19"/>
      <c r="P166" s="19"/>
      <c r="Q166" s="19"/>
      <c r="R166" s="19"/>
      <c r="S166" s="19"/>
      <c r="T166" s="19"/>
      <c r="U166" s="19"/>
      <c r="V166" s="19">
        <f t="shared" si="159"/>
        <v>31</v>
      </c>
      <c r="W166" s="19"/>
      <c r="X166" s="19"/>
      <c r="Y166" s="21"/>
      <c r="Z166" s="19" t="s">
        <v>322</v>
      </c>
      <c r="AA166" s="19"/>
      <c r="AB166" s="19"/>
      <c r="AC166" s="19"/>
      <c r="AD166" s="19"/>
      <c r="AE166" s="19"/>
      <c r="AF166" s="19"/>
      <c r="AG166" s="19"/>
      <c r="AH166" s="19"/>
      <c r="AI166" s="19"/>
      <c r="AJ166" s="19"/>
      <c r="AK166" s="19"/>
      <c r="AL166" s="19"/>
      <c r="AM166" s="19" t="str">
        <f t="shared" ref="AM166" si="207">+_xlfn.CONCAT(N166&amp;V166&amp;Z166)</f>
        <v xml:space="preserve"> Workbooks.Open "A:\Homes for Ukraine data\Ukraine_sponsorship_data_31.ods"</v>
      </c>
      <c r="AO166" t="s">
        <v>737</v>
      </c>
    </row>
    <row r="167" spans="2:41" x14ac:dyDescent="0.25">
      <c r="B167" s="19" t="s">
        <v>533</v>
      </c>
      <c r="C167" s="19"/>
      <c r="D167" s="19"/>
      <c r="E167" s="19"/>
      <c r="F167" s="19"/>
      <c r="G167" s="19"/>
      <c r="H167" s="19"/>
      <c r="I167" s="19"/>
      <c r="J167" s="19"/>
      <c r="K167" s="19"/>
      <c r="L167" s="19"/>
      <c r="M167" s="19"/>
      <c r="N167" s="19" t="s">
        <v>323</v>
      </c>
      <c r="O167" s="19"/>
      <c r="P167" s="19"/>
      <c r="Q167" s="19"/>
      <c r="R167" s="19"/>
      <c r="S167" s="19"/>
      <c r="T167" s="19"/>
      <c r="U167" s="19"/>
      <c r="V167" s="19">
        <f t="shared" si="159"/>
        <v>31</v>
      </c>
      <c r="W167" s="19"/>
      <c r="X167" s="19"/>
      <c r="Y167" s="21"/>
      <c r="Z167" s="19" t="s">
        <v>532</v>
      </c>
      <c r="AA167" s="19"/>
      <c r="AB167" s="19"/>
      <c r="AC167" s="19"/>
      <c r="AD167" s="19"/>
      <c r="AE167" s="19" t="s">
        <v>382</v>
      </c>
      <c r="AF167" s="19">
        <f t="shared" si="161"/>
        <v>11</v>
      </c>
      <c r="AG167" s="19" t="s">
        <v>327</v>
      </c>
      <c r="AH167" s="19"/>
      <c r="AI167" s="19">
        <f t="shared" si="162"/>
        <v>24</v>
      </c>
      <c r="AJ167" s="19"/>
      <c r="AK167" s="19" t="s">
        <v>325</v>
      </c>
      <c r="AL167" s="19"/>
      <c r="AM167" s="19" t="str">
        <f t="shared" ref="AM167" si="208">_xlfn.CONCAT(N167&amp;V167&amp;Z167&amp;AE167&amp;AF167&amp;AG167&amp;AE167&amp;AI167&amp;AK167)</f>
        <v xml:space="preserve"> Workbooks("Ukraine_sponsorship_data_31.ods").Worksheets("Northern_Ireland").Range("D11:D24").Copy _</v>
      </c>
      <c r="AO167" t="s">
        <v>789</v>
      </c>
    </row>
    <row r="168" spans="2:41" x14ac:dyDescent="0.25">
      <c r="B168" s="19" t="s">
        <v>808</v>
      </c>
      <c r="C168" s="19"/>
      <c r="D168" s="19"/>
      <c r="E168" s="19"/>
      <c r="F168" s="19"/>
      <c r="G168" s="19"/>
      <c r="H168" s="19"/>
      <c r="I168" s="19"/>
      <c r="J168" s="19"/>
      <c r="K168" s="19"/>
      <c r="L168" s="19"/>
      <c r="M168" s="19"/>
      <c r="N168" s="19" t="s">
        <v>809</v>
      </c>
      <c r="O168" s="19"/>
      <c r="P168" s="19"/>
      <c r="Q168" s="19"/>
      <c r="R168" s="19"/>
      <c r="S168" s="19"/>
      <c r="T168" s="19"/>
      <c r="U168" s="19"/>
      <c r="V168" s="19"/>
      <c r="W168" s="19" t="s">
        <v>312</v>
      </c>
      <c r="X168" s="19" t="str">
        <f t="shared" ref="X168" si="209">CHAR(CODE(X163)+1)</f>
        <v>L</v>
      </c>
      <c r="Y168" s="21">
        <f t="shared" si="165"/>
        <v>264</v>
      </c>
      <c r="Z168" s="19" t="s">
        <v>324</v>
      </c>
      <c r="AA168" s="19"/>
      <c r="AB168" s="19"/>
      <c r="AC168" s="19"/>
      <c r="AD168" s="19"/>
      <c r="AE168" s="19"/>
      <c r="AF168" s="19"/>
      <c r="AG168" s="19"/>
      <c r="AH168" s="19"/>
      <c r="AI168" s="19"/>
      <c r="AJ168" s="19"/>
      <c r="AK168" s="19"/>
      <c r="AL168" s="19"/>
      <c r="AM168" s="19" t="str">
        <f t="shared" ref="AM168" si="210">_xlfn.CONCAT(N168&amp;W168&amp;X168&amp;Y168&amp;Z168)</f>
        <v>Workbooks("HFU Forecast UTLA 1.0.xlsm").Worksheets("Combined data").Range("AL264")</v>
      </c>
      <c r="AO168" t="s">
        <v>903</v>
      </c>
    </row>
    <row r="169" spans="2:41" x14ac:dyDescent="0.25">
      <c r="B169" s="19" t="s">
        <v>339</v>
      </c>
      <c r="C169" s="19"/>
      <c r="D169" s="19"/>
      <c r="E169" s="19"/>
      <c r="F169" s="19"/>
      <c r="G169" s="19"/>
      <c r="H169" s="19"/>
      <c r="I169" s="19"/>
      <c r="J169" s="19"/>
      <c r="K169" s="19"/>
      <c r="L169" s="19"/>
      <c r="M169" s="19"/>
      <c r="N169" s="19"/>
      <c r="O169" s="19"/>
      <c r="P169" s="19"/>
      <c r="Q169" s="19"/>
      <c r="R169" s="19"/>
      <c r="S169" s="19"/>
      <c r="T169" s="19"/>
      <c r="U169" s="19"/>
      <c r="V169" s="19"/>
      <c r="W169" s="19"/>
      <c r="X169" s="19"/>
      <c r="Y169" s="21"/>
      <c r="Z169" s="19"/>
      <c r="AA169" s="19"/>
      <c r="AB169" s="19"/>
      <c r="AC169" s="19"/>
      <c r="AD169" s="19"/>
      <c r="AE169" s="19"/>
      <c r="AF169" s="19"/>
      <c r="AG169" s="19"/>
      <c r="AH169" s="19"/>
      <c r="AI169" s="19"/>
      <c r="AJ169" s="19"/>
      <c r="AK169" s="19"/>
      <c r="AL169" s="19"/>
      <c r="AM169" s="19" t="str">
        <f t="shared" ref="AM169" si="211">B169</f>
        <v>ActiveWorkbook.Close SaveChanges:=False</v>
      </c>
      <c r="AO169" t="s">
        <v>339</v>
      </c>
    </row>
    <row r="171" spans="2:41" x14ac:dyDescent="0.25">
      <c r="B171" s="22" t="s">
        <v>316</v>
      </c>
      <c r="C171" s="22"/>
      <c r="D171" s="22"/>
      <c r="E171" s="22"/>
      <c r="F171" s="22"/>
      <c r="G171" s="22"/>
      <c r="H171" s="22"/>
      <c r="I171" s="22"/>
      <c r="J171" s="22"/>
      <c r="K171" s="22"/>
      <c r="L171" s="22"/>
      <c r="M171" s="22"/>
      <c r="N171" s="22" t="s">
        <v>321</v>
      </c>
      <c r="O171" s="22"/>
      <c r="P171" s="22"/>
      <c r="Q171" s="22"/>
      <c r="R171" s="22"/>
      <c r="S171" s="22"/>
      <c r="T171" s="22"/>
      <c r="U171" s="22"/>
      <c r="V171" s="22">
        <f t="shared" si="168"/>
        <v>32</v>
      </c>
      <c r="W171" s="22"/>
      <c r="X171" s="22"/>
      <c r="Y171" s="23"/>
      <c r="Z171" s="22" t="s">
        <v>322</v>
      </c>
      <c r="AA171" s="22"/>
      <c r="AB171" s="22"/>
      <c r="AC171" s="22"/>
      <c r="AD171" s="22"/>
      <c r="AE171" s="22"/>
      <c r="AF171" s="22"/>
      <c r="AG171" s="22"/>
      <c r="AH171" s="22"/>
      <c r="AI171" s="22"/>
      <c r="AJ171" s="22"/>
      <c r="AK171" s="22"/>
      <c r="AL171" s="22"/>
      <c r="AM171" s="22" t="str">
        <f t="shared" ref="AM171" si="212">+_xlfn.CONCAT(N171&amp;V171&amp;Z171)</f>
        <v xml:space="preserve"> Workbooks.Open "A:\Homes for Ukraine data\Ukraine_sponsorship_data_32.ods"</v>
      </c>
      <c r="AO171" t="s">
        <v>739</v>
      </c>
    </row>
    <row r="172" spans="2:41" x14ac:dyDescent="0.25">
      <c r="B172" s="22" t="s">
        <v>533</v>
      </c>
      <c r="C172" s="22"/>
      <c r="D172" s="22"/>
      <c r="E172" s="22"/>
      <c r="F172" s="22"/>
      <c r="G172" s="22"/>
      <c r="H172" s="22"/>
      <c r="I172" s="22"/>
      <c r="J172" s="22"/>
      <c r="K172" s="22"/>
      <c r="L172" s="22"/>
      <c r="M172" s="22"/>
      <c r="N172" s="22" t="s">
        <v>323</v>
      </c>
      <c r="O172" s="22"/>
      <c r="P172" s="22"/>
      <c r="Q172" s="22"/>
      <c r="R172" s="22"/>
      <c r="S172" s="22"/>
      <c r="T172" s="22"/>
      <c r="U172" s="22"/>
      <c r="V172" s="22">
        <f t="shared" si="168"/>
        <v>32</v>
      </c>
      <c r="W172" s="22"/>
      <c r="X172" s="22"/>
      <c r="Y172" s="23"/>
      <c r="Z172" s="22" t="s">
        <v>532</v>
      </c>
      <c r="AA172" s="22"/>
      <c r="AB172" s="22"/>
      <c r="AC172" s="22"/>
      <c r="AD172" s="22"/>
      <c r="AE172" s="22" t="s">
        <v>382</v>
      </c>
      <c r="AF172" s="22">
        <f t="shared" si="170"/>
        <v>11</v>
      </c>
      <c r="AG172" s="22" t="s">
        <v>327</v>
      </c>
      <c r="AH172" s="22"/>
      <c r="AI172" s="22">
        <f t="shared" si="171"/>
        <v>24</v>
      </c>
      <c r="AJ172" s="22"/>
      <c r="AK172" s="22" t="s">
        <v>325</v>
      </c>
      <c r="AL172" s="22"/>
      <c r="AM172" s="22" t="str">
        <f t="shared" ref="AM172" si="213">_xlfn.CONCAT(N172&amp;V172&amp;Z172&amp;AE172&amp;AF172&amp;AG172&amp;AE172&amp;AI172&amp;AK172)</f>
        <v xml:space="preserve"> Workbooks("Ukraine_sponsorship_data_32.ods").Worksheets("Northern_Ireland").Range("D11:D24").Copy _</v>
      </c>
      <c r="AO172" t="s">
        <v>790</v>
      </c>
    </row>
    <row r="173" spans="2:41" x14ac:dyDescent="0.25">
      <c r="B173" s="22" t="s">
        <v>808</v>
      </c>
      <c r="C173" s="22"/>
      <c r="D173" s="22"/>
      <c r="E173" s="22"/>
      <c r="F173" s="22"/>
      <c r="G173" s="22"/>
      <c r="H173" s="22"/>
      <c r="I173" s="22"/>
      <c r="J173" s="22"/>
      <c r="K173" s="22"/>
      <c r="L173" s="22"/>
      <c r="M173" s="22"/>
      <c r="N173" s="22" t="s">
        <v>809</v>
      </c>
      <c r="O173" s="22"/>
      <c r="P173" s="22"/>
      <c r="Q173" s="22"/>
      <c r="R173" s="22"/>
      <c r="S173" s="22"/>
      <c r="T173" s="22"/>
      <c r="U173" s="22"/>
      <c r="V173" s="22"/>
      <c r="W173" s="22" t="s">
        <v>312</v>
      </c>
      <c r="X173" s="22" t="str">
        <f t="shared" ref="X173" si="214">CHAR(CODE(X168)+1)</f>
        <v>M</v>
      </c>
      <c r="Y173" s="23">
        <f t="shared" si="174"/>
        <v>264</v>
      </c>
      <c r="Z173" s="22" t="s">
        <v>324</v>
      </c>
      <c r="AA173" s="22"/>
      <c r="AB173" s="22"/>
      <c r="AC173" s="22"/>
      <c r="AD173" s="22"/>
      <c r="AE173" s="22"/>
      <c r="AF173" s="22"/>
      <c r="AG173" s="22"/>
      <c r="AH173" s="22"/>
      <c r="AI173" s="22"/>
      <c r="AJ173" s="22"/>
      <c r="AK173" s="22"/>
      <c r="AL173" s="22"/>
      <c r="AM173" s="22" t="str">
        <f t="shared" ref="AM173" si="215">_xlfn.CONCAT(N173&amp;W173&amp;X173&amp;Y173&amp;Z173)</f>
        <v>Workbooks("HFU Forecast UTLA 1.0.xlsm").Worksheets("Combined data").Range("AM264")</v>
      </c>
      <c r="AO173" t="s">
        <v>904</v>
      </c>
    </row>
    <row r="174" spans="2:41" x14ac:dyDescent="0.25">
      <c r="B174" s="22" t="s">
        <v>339</v>
      </c>
      <c r="C174" s="22"/>
      <c r="D174" s="22"/>
      <c r="E174" s="22"/>
      <c r="F174" s="22"/>
      <c r="G174" s="22"/>
      <c r="H174" s="22"/>
      <c r="I174" s="22"/>
      <c r="J174" s="22"/>
      <c r="K174" s="22"/>
      <c r="L174" s="22"/>
      <c r="M174" s="22"/>
      <c r="N174" s="22"/>
      <c r="O174" s="22"/>
      <c r="P174" s="22"/>
      <c r="Q174" s="22"/>
      <c r="R174" s="22"/>
      <c r="S174" s="22"/>
      <c r="T174" s="22"/>
      <c r="U174" s="22"/>
      <c r="V174" s="22"/>
      <c r="W174" s="22"/>
      <c r="X174" s="22"/>
      <c r="Y174" s="23"/>
      <c r="Z174" s="22"/>
      <c r="AA174" s="22"/>
      <c r="AB174" s="22"/>
      <c r="AC174" s="22"/>
      <c r="AD174" s="22"/>
      <c r="AE174" s="22"/>
      <c r="AF174" s="22"/>
      <c r="AG174" s="22"/>
      <c r="AH174" s="22"/>
      <c r="AI174" s="22"/>
      <c r="AJ174" s="22"/>
      <c r="AK174" s="22"/>
      <c r="AL174" s="22"/>
      <c r="AM174" s="22" t="str">
        <f t="shared" ref="AM174" si="216">B174</f>
        <v>ActiveWorkbook.Close SaveChanges:=False</v>
      </c>
      <c r="AO174" t="s">
        <v>339</v>
      </c>
    </row>
    <row r="176" spans="2:41" x14ac:dyDescent="0.25">
      <c r="B176" s="19" t="s">
        <v>316</v>
      </c>
      <c r="C176" s="19"/>
      <c r="D176" s="19"/>
      <c r="E176" s="19"/>
      <c r="F176" s="19"/>
      <c r="G176" s="19"/>
      <c r="H176" s="19"/>
      <c r="I176" s="19"/>
      <c r="J176" s="19"/>
      <c r="K176" s="19"/>
      <c r="L176" s="19"/>
      <c r="M176" s="19"/>
      <c r="N176" s="19" t="s">
        <v>321</v>
      </c>
      <c r="O176" s="19"/>
      <c r="P176" s="19"/>
      <c r="Q176" s="19"/>
      <c r="R176" s="19"/>
      <c r="S176" s="19"/>
      <c r="T176" s="19"/>
      <c r="U176" s="19"/>
      <c r="V176" s="19">
        <f t="shared" si="159"/>
        <v>33</v>
      </c>
      <c r="W176" s="19"/>
      <c r="X176" s="19"/>
      <c r="Y176" s="21"/>
      <c r="Z176" s="19" t="s">
        <v>322</v>
      </c>
      <c r="AA176" s="19"/>
      <c r="AB176" s="19"/>
      <c r="AC176" s="19"/>
      <c r="AD176" s="19"/>
      <c r="AE176" s="19"/>
      <c r="AF176" s="19"/>
      <c r="AG176" s="19"/>
      <c r="AH176" s="19"/>
      <c r="AI176" s="19"/>
      <c r="AJ176" s="19"/>
      <c r="AK176" s="19"/>
      <c r="AL176" s="19"/>
      <c r="AM176" s="19" t="str">
        <f t="shared" ref="AM176" si="217">+_xlfn.CONCAT(N176&amp;V176&amp;Z176)</f>
        <v xml:space="preserve"> Workbooks.Open "A:\Homes for Ukraine data\Ukraine_sponsorship_data_33.ods"</v>
      </c>
      <c r="AO176" t="s">
        <v>741</v>
      </c>
    </row>
    <row r="177" spans="2:41" x14ac:dyDescent="0.25">
      <c r="B177" s="19" t="s">
        <v>533</v>
      </c>
      <c r="C177" s="19"/>
      <c r="D177" s="19"/>
      <c r="E177" s="19"/>
      <c r="F177" s="19"/>
      <c r="G177" s="19"/>
      <c r="H177" s="19"/>
      <c r="I177" s="19"/>
      <c r="J177" s="19"/>
      <c r="K177" s="19"/>
      <c r="L177" s="19"/>
      <c r="M177" s="19"/>
      <c r="N177" s="19" t="s">
        <v>323</v>
      </c>
      <c r="O177" s="19"/>
      <c r="P177" s="19"/>
      <c r="Q177" s="19"/>
      <c r="R177" s="19"/>
      <c r="S177" s="19"/>
      <c r="T177" s="19"/>
      <c r="U177" s="19"/>
      <c r="V177" s="19">
        <f t="shared" si="159"/>
        <v>33</v>
      </c>
      <c r="W177" s="19"/>
      <c r="X177" s="19"/>
      <c r="Y177" s="21"/>
      <c r="Z177" s="19" t="s">
        <v>532</v>
      </c>
      <c r="AA177" s="19"/>
      <c r="AB177" s="19"/>
      <c r="AC177" s="19"/>
      <c r="AD177" s="19"/>
      <c r="AE177" s="19" t="s">
        <v>382</v>
      </c>
      <c r="AF177" s="19">
        <f t="shared" si="161"/>
        <v>11</v>
      </c>
      <c r="AG177" s="19" t="s">
        <v>327</v>
      </c>
      <c r="AH177" s="19"/>
      <c r="AI177" s="19">
        <f t="shared" si="162"/>
        <v>24</v>
      </c>
      <c r="AJ177" s="19"/>
      <c r="AK177" s="19" t="s">
        <v>325</v>
      </c>
      <c r="AL177" s="19"/>
      <c r="AM177" s="19" t="str">
        <f t="shared" ref="AM177" si="218">_xlfn.CONCAT(N177&amp;V177&amp;Z177&amp;AE177&amp;AF177&amp;AG177&amp;AE177&amp;AI177&amp;AK177)</f>
        <v xml:space="preserve"> Workbooks("Ukraine_sponsorship_data_33.ods").Worksheets("Northern_Ireland").Range("D11:D24").Copy _</v>
      </c>
      <c r="AO177" t="s">
        <v>791</v>
      </c>
    </row>
    <row r="178" spans="2:41" x14ac:dyDescent="0.25">
      <c r="B178" s="19" t="s">
        <v>808</v>
      </c>
      <c r="C178" s="19"/>
      <c r="D178" s="19"/>
      <c r="E178" s="19"/>
      <c r="F178" s="19"/>
      <c r="G178" s="19"/>
      <c r="H178" s="19"/>
      <c r="I178" s="19"/>
      <c r="J178" s="19"/>
      <c r="K178" s="19"/>
      <c r="L178" s="19"/>
      <c r="M178" s="19"/>
      <c r="N178" s="19" t="s">
        <v>809</v>
      </c>
      <c r="O178" s="19"/>
      <c r="P178" s="19"/>
      <c r="Q178" s="19"/>
      <c r="R178" s="19"/>
      <c r="S178" s="19"/>
      <c r="T178" s="19"/>
      <c r="U178" s="19"/>
      <c r="V178" s="19"/>
      <c r="W178" s="19" t="s">
        <v>312</v>
      </c>
      <c r="X178" s="19" t="str">
        <f t="shared" ref="X178" si="219">CHAR(CODE(X173)+1)</f>
        <v>N</v>
      </c>
      <c r="Y178" s="21">
        <f t="shared" si="165"/>
        <v>264</v>
      </c>
      <c r="Z178" s="19" t="s">
        <v>324</v>
      </c>
      <c r="AA178" s="19"/>
      <c r="AB178" s="19"/>
      <c r="AC178" s="19"/>
      <c r="AD178" s="19"/>
      <c r="AE178" s="19"/>
      <c r="AF178" s="19"/>
      <c r="AG178" s="19"/>
      <c r="AH178" s="19"/>
      <c r="AI178" s="19"/>
      <c r="AJ178" s="19"/>
      <c r="AK178" s="19"/>
      <c r="AL178" s="19"/>
      <c r="AM178" s="19" t="str">
        <f t="shared" ref="AM178" si="220">_xlfn.CONCAT(N178&amp;W178&amp;X178&amp;Y178&amp;Z178)</f>
        <v>Workbooks("HFU Forecast UTLA 1.0.xlsm").Worksheets("Combined data").Range("AN264")</v>
      </c>
      <c r="AO178" t="s">
        <v>905</v>
      </c>
    </row>
    <row r="179" spans="2:41" x14ac:dyDescent="0.25">
      <c r="B179" s="19" t="s">
        <v>339</v>
      </c>
      <c r="C179" s="19"/>
      <c r="D179" s="19"/>
      <c r="E179" s="19"/>
      <c r="F179" s="19"/>
      <c r="G179" s="19"/>
      <c r="H179" s="19"/>
      <c r="I179" s="19"/>
      <c r="J179" s="19"/>
      <c r="K179" s="19"/>
      <c r="L179" s="19"/>
      <c r="M179" s="19"/>
      <c r="N179" s="19"/>
      <c r="O179" s="19"/>
      <c r="P179" s="19"/>
      <c r="Q179" s="19"/>
      <c r="R179" s="19"/>
      <c r="S179" s="19"/>
      <c r="T179" s="19"/>
      <c r="U179" s="19"/>
      <c r="V179" s="19"/>
      <c r="W179" s="19"/>
      <c r="X179" s="19"/>
      <c r="Y179" s="21"/>
      <c r="Z179" s="19"/>
      <c r="AA179" s="19"/>
      <c r="AB179" s="19"/>
      <c r="AC179" s="19"/>
      <c r="AD179" s="19"/>
      <c r="AE179" s="19"/>
      <c r="AF179" s="19"/>
      <c r="AG179" s="19"/>
      <c r="AH179" s="19"/>
      <c r="AI179" s="19"/>
      <c r="AJ179" s="19"/>
      <c r="AK179" s="19"/>
      <c r="AL179" s="19"/>
      <c r="AM179" s="19" t="str">
        <f t="shared" ref="AM179" si="221">B179</f>
        <v>ActiveWorkbook.Close SaveChanges:=False</v>
      </c>
      <c r="AO179" t="s">
        <v>339</v>
      </c>
    </row>
    <row r="181" spans="2:41" x14ac:dyDescent="0.25">
      <c r="B181" s="22" t="s">
        <v>316</v>
      </c>
      <c r="C181" s="22"/>
      <c r="D181" s="22"/>
      <c r="E181" s="22"/>
      <c r="F181" s="22"/>
      <c r="G181" s="22"/>
      <c r="H181" s="22"/>
      <c r="I181" s="22"/>
      <c r="J181" s="22"/>
      <c r="K181" s="22"/>
      <c r="L181" s="22"/>
      <c r="M181" s="22"/>
      <c r="N181" s="22" t="s">
        <v>321</v>
      </c>
      <c r="O181" s="22"/>
      <c r="P181" s="22"/>
      <c r="Q181" s="22"/>
      <c r="R181" s="22"/>
      <c r="S181" s="22"/>
      <c r="T181" s="22"/>
      <c r="U181" s="22"/>
      <c r="V181" s="22">
        <f t="shared" si="168"/>
        <v>34</v>
      </c>
      <c r="W181" s="22"/>
      <c r="X181" s="22"/>
      <c r="Y181" s="23"/>
      <c r="Z181" s="22" t="s">
        <v>322</v>
      </c>
      <c r="AA181" s="22"/>
      <c r="AB181" s="22"/>
      <c r="AC181" s="22"/>
      <c r="AD181" s="22"/>
      <c r="AE181" s="22"/>
      <c r="AF181" s="22"/>
      <c r="AG181" s="22"/>
      <c r="AH181" s="22"/>
      <c r="AI181" s="22"/>
      <c r="AJ181" s="22"/>
      <c r="AK181" s="22"/>
      <c r="AL181" s="22"/>
      <c r="AM181" s="22" t="str">
        <f t="shared" ref="AM181" si="222">+_xlfn.CONCAT(N181&amp;V181&amp;Z181)</f>
        <v xml:space="preserve"> Workbooks.Open "A:\Homes for Ukraine data\Ukraine_sponsorship_data_34.ods"</v>
      </c>
      <c r="AO181" t="s">
        <v>743</v>
      </c>
    </row>
    <row r="182" spans="2:41" x14ac:dyDescent="0.25">
      <c r="B182" s="22" t="s">
        <v>533</v>
      </c>
      <c r="C182" s="22"/>
      <c r="D182" s="22"/>
      <c r="E182" s="22"/>
      <c r="F182" s="22"/>
      <c r="G182" s="22"/>
      <c r="H182" s="22"/>
      <c r="I182" s="22"/>
      <c r="J182" s="22"/>
      <c r="K182" s="22"/>
      <c r="L182" s="22"/>
      <c r="M182" s="22"/>
      <c r="N182" s="22" t="s">
        <v>323</v>
      </c>
      <c r="O182" s="22"/>
      <c r="P182" s="22"/>
      <c r="Q182" s="22"/>
      <c r="R182" s="22"/>
      <c r="S182" s="22"/>
      <c r="T182" s="22"/>
      <c r="U182" s="22"/>
      <c r="V182" s="22">
        <f t="shared" si="168"/>
        <v>34</v>
      </c>
      <c r="W182" s="22"/>
      <c r="X182" s="22"/>
      <c r="Y182" s="23"/>
      <c r="Z182" s="22" t="s">
        <v>532</v>
      </c>
      <c r="AA182" s="22"/>
      <c r="AB182" s="22"/>
      <c r="AC182" s="22"/>
      <c r="AD182" s="22"/>
      <c r="AE182" s="22" t="s">
        <v>382</v>
      </c>
      <c r="AF182" s="22">
        <f t="shared" si="170"/>
        <v>11</v>
      </c>
      <c r="AG182" s="22" t="s">
        <v>327</v>
      </c>
      <c r="AH182" s="22"/>
      <c r="AI182" s="22">
        <f t="shared" si="171"/>
        <v>24</v>
      </c>
      <c r="AJ182" s="22"/>
      <c r="AK182" s="22" t="s">
        <v>325</v>
      </c>
      <c r="AL182" s="22"/>
      <c r="AM182" s="22" t="str">
        <f t="shared" ref="AM182" si="223">_xlfn.CONCAT(N182&amp;V182&amp;Z182&amp;AE182&amp;AF182&amp;AG182&amp;AE182&amp;AI182&amp;AK182)</f>
        <v xml:space="preserve"> Workbooks("Ukraine_sponsorship_data_34.ods").Worksheets("Northern_Ireland").Range("D11:D24").Copy _</v>
      </c>
      <c r="AO182" t="s">
        <v>792</v>
      </c>
    </row>
    <row r="183" spans="2:41" x14ac:dyDescent="0.25">
      <c r="B183" s="22" t="s">
        <v>808</v>
      </c>
      <c r="C183" s="22"/>
      <c r="D183" s="22"/>
      <c r="E183" s="22"/>
      <c r="F183" s="22"/>
      <c r="G183" s="22"/>
      <c r="H183" s="22"/>
      <c r="I183" s="22"/>
      <c r="J183" s="22"/>
      <c r="K183" s="22"/>
      <c r="L183" s="22"/>
      <c r="M183" s="22"/>
      <c r="N183" s="22" t="s">
        <v>809</v>
      </c>
      <c r="O183" s="22"/>
      <c r="P183" s="22"/>
      <c r="Q183" s="22"/>
      <c r="R183" s="22"/>
      <c r="S183" s="22"/>
      <c r="T183" s="22"/>
      <c r="U183" s="22"/>
      <c r="V183" s="22"/>
      <c r="W183" s="22" t="s">
        <v>312</v>
      </c>
      <c r="X183" s="22" t="str">
        <f t="shared" ref="X183" si="224">CHAR(CODE(X178)+1)</f>
        <v>O</v>
      </c>
      <c r="Y183" s="23">
        <f t="shared" si="174"/>
        <v>264</v>
      </c>
      <c r="Z183" s="22" t="s">
        <v>324</v>
      </c>
      <c r="AA183" s="22"/>
      <c r="AB183" s="22"/>
      <c r="AC183" s="22"/>
      <c r="AD183" s="22"/>
      <c r="AE183" s="22"/>
      <c r="AF183" s="22"/>
      <c r="AG183" s="22"/>
      <c r="AH183" s="22"/>
      <c r="AI183" s="22"/>
      <c r="AJ183" s="22"/>
      <c r="AK183" s="22"/>
      <c r="AL183" s="22"/>
      <c r="AM183" s="22" t="str">
        <f t="shared" ref="AM183" si="225">_xlfn.CONCAT(N183&amp;W183&amp;X183&amp;Y183&amp;Z183)</f>
        <v>Workbooks("HFU Forecast UTLA 1.0.xlsm").Worksheets("Combined data").Range("AO264")</v>
      </c>
      <c r="AO183" t="s">
        <v>906</v>
      </c>
    </row>
    <row r="184" spans="2:41" x14ac:dyDescent="0.25">
      <c r="B184" s="22" t="s">
        <v>339</v>
      </c>
      <c r="C184" s="22"/>
      <c r="D184" s="22"/>
      <c r="E184" s="22"/>
      <c r="F184" s="22"/>
      <c r="G184" s="22"/>
      <c r="H184" s="22"/>
      <c r="I184" s="22"/>
      <c r="J184" s="22"/>
      <c r="K184" s="22"/>
      <c r="L184" s="22"/>
      <c r="M184" s="22"/>
      <c r="N184" s="22"/>
      <c r="O184" s="22"/>
      <c r="P184" s="22"/>
      <c r="Q184" s="22"/>
      <c r="R184" s="22"/>
      <c r="S184" s="22"/>
      <c r="T184" s="22"/>
      <c r="U184" s="22"/>
      <c r="V184" s="22"/>
      <c r="W184" s="22"/>
      <c r="X184" s="22"/>
      <c r="Y184" s="23"/>
      <c r="Z184" s="22"/>
      <c r="AA184" s="22"/>
      <c r="AB184" s="22"/>
      <c r="AC184" s="22"/>
      <c r="AD184" s="22"/>
      <c r="AE184" s="22"/>
      <c r="AF184" s="22"/>
      <c r="AG184" s="22"/>
      <c r="AH184" s="22"/>
      <c r="AI184" s="22"/>
      <c r="AJ184" s="22"/>
      <c r="AK184" s="22"/>
      <c r="AL184" s="22"/>
      <c r="AM184" s="22" t="str">
        <f t="shared" ref="AM184" si="226">B184</f>
        <v>ActiveWorkbook.Close SaveChanges:=False</v>
      </c>
      <c r="AO184" t="s">
        <v>339</v>
      </c>
    </row>
  </sheetData>
  <mergeCells count="2">
    <mergeCell ref="B3:P3"/>
    <mergeCell ref="AE5:AI5"/>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1FC26-3A63-475A-AC03-566E004B791B}">
  <sheetPr codeName="Sheet11"/>
  <dimension ref="A1:AO177"/>
  <sheetViews>
    <sheetView topLeftCell="I1" zoomScaleNormal="100" workbookViewId="0">
      <selection activeCell="AO9" sqref="AO9:AO177"/>
    </sheetView>
  </sheetViews>
  <sheetFormatPr defaultRowHeight="15" x14ac:dyDescent="0.25"/>
  <cols>
    <col min="1" max="1" width="2.85546875" customWidth="1"/>
    <col min="2" max="3" width="9.140625" customWidth="1"/>
    <col min="4" max="4" width="51.140625" customWidth="1"/>
    <col min="5" max="9" width="9.140625" customWidth="1"/>
    <col min="10" max="10" width="6.7109375" customWidth="1"/>
    <col min="11" max="12" width="9.140625" customWidth="1"/>
    <col min="13" max="13" width="4.28515625" customWidth="1"/>
    <col min="14" max="21" width="9.140625" customWidth="1"/>
    <col min="22" max="24" width="6.7109375" customWidth="1"/>
    <col min="25" max="25" width="6.7109375" style="20" customWidth="1"/>
    <col min="26" max="30" width="9.140625" customWidth="1"/>
    <col min="31" max="31" width="5.85546875" customWidth="1"/>
    <col min="32" max="32" width="7.140625" customWidth="1"/>
    <col min="33" max="35" width="4.85546875" customWidth="1"/>
    <col min="36" max="36" width="6.85546875" customWidth="1"/>
    <col min="37" max="37" width="13.28515625" customWidth="1"/>
    <col min="38" max="38" width="7" customWidth="1"/>
    <col min="39" max="39" width="97.85546875" customWidth="1"/>
  </cols>
  <sheetData>
    <row r="1" spans="1:41" x14ac:dyDescent="0.25">
      <c r="B1" t="s">
        <v>329</v>
      </c>
    </row>
    <row r="3" spans="1:41" ht="78.75" customHeight="1" x14ac:dyDescent="0.25">
      <c r="B3" s="320" t="s">
        <v>330</v>
      </c>
      <c r="C3" s="320"/>
      <c r="D3" s="320"/>
      <c r="E3" s="320"/>
      <c r="F3" s="320"/>
      <c r="G3" s="320"/>
      <c r="H3" s="320"/>
      <c r="I3" s="320"/>
      <c r="J3" s="320"/>
      <c r="K3" s="320"/>
      <c r="L3" s="320"/>
      <c r="M3" s="320"/>
      <c r="N3" s="320"/>
      <c r="O3" s="320"/>
      <c r="P3" s="320"/>
    </row>
    <row r="5" spans="1:41" x14ac:dyDescent="0.25">
      <c r="V5" t="s">
        <v>331</v>
      </c>
      <c r="W5" t="s">
        <v>333</v>
      </c>
      <c r="AE5" s="316" t="s">
        <v>332</v>
      </c>
      <c r="AF5" s="316"/>
      <c r="AG5" s="316"/>
      <c r="AH5" s="316"/>
      <c r="AI5" s="316"/>
    </row>
    <row r="6" spans="1:41" x14ac:dyDescent="0.25">
      <c r="B6" t="s">
        <v>319</v>
      </c>
    </row>
    <row r="7" spans="1:41" x14ac:dyDescent="0.25">
      <c r="N7" t="s">
        <v>320</v>
      </c>
    </row>
    <row r="8" spans="1:41" x14ac:dyDescent="0.25">
      <c r="B8" t="s">
        <v>315</v>
      </c>
      <c r="AM8" t="s">
        <v>328</v>
      </c>
    </row>
    <row r="9" spans="1:41" x14ac:dyDescent="0.25">
      <c r="B9" t="s">
        <v>316</v>
      </c>
      <c r="N9" t="s">
        <v>321</v>
      </c>
      <c r="V9">
        <v>1</v>
      </c>
      <c r="Z9" t="s">
        <v>322</v>
      </c>
      <c r="AM9" t="str">
        <f>+_xlfn.CONCAT(N9&amp;V9&amp;Z9)</f>
        <v xml:space="preserve"> Workbooks.Open "A:\Homes for Ukraine data\Ukraine_sponsorship_data_1.ods"</v>
      </c>
      <c r="AO9" t="s">
        <v>334</v>
      </c>
    </row>
    <row r="10" spans="1:41" x14ac:dyDescent="0.25">
      <c r="B10" t="s">
        <v>533</v>
      </c>
      <c r="N10" t="s">
        <v>323</v>
      </c>
      <c r="V10">
        <v>1</v>
      </c>
      <c r="Z10" t="s">
        <v>532</v>
      </c>
      <c r="AE10" t="s">
        <v>382</v>
      </c>
      <c r="AF10">
        <v>11</v>
      </c>
      <c r="AG10" t="s">
        <v>327</v>
      </c>
      <c r="AH10" t="s">
        <v>382</v>
      </c>
      <c r="AI10">
        <v>24</v>
      </c>
      <c r="AK10" t="s">
        <v>325</v>
      </c>
      <c r="AM10" t="str">
        <f>_xlfn.CONCAT(N10&amp;V10&amp;Z10&amp;AE10&amp;AF10&amp;AG10&amp;AE10&amp;AI10&amp;AK10)</f>
        <v xml:space="preserve"> Workbooks("Ukraine_sponsorship_data_1.ods").Worksheets("Northern_Ireland").Range("D11:D24").Copy _</v>
      </c>
      <c r="AO10" t="s">
        <v>536</v>
      </c>
    </row>
    <row r="11" spans="1:41" x14ac:dyDescent="0.25">
      <c r="B11" t="s">
        <v>808</v>
      </c>
      <c r="N11" t="s">
        <v>809</v>
      </c>
      <c r="W11" t="s">
        <v>312</v>
      </c>
      <c r="X11" t="s">
        <v>805</v>
      </c>
      <c r="Y11" s="20">
        <v>264</v>
      </c>
      <c r="Z11" t="s">
        <v>324</v>
      </c>
      <c r="AM11" t="str">
        <f>_xlfn.CONCAT(N11&amp;W11&amp;X11&amp;Y11&amp;Z11)</f>
        <v>Workbooks("HFU Forecast UTLA 1.0.xlsm").Worksheets("Combined data").Range("AR264")</v>
      </c>
      <c r="AO11" t="s">
        <v>848</v>
      </c>
    </row>
    <row r="12" spans="1:41" x14ac:dyDescent="0.25">
      <c r="B12" t="s">
        <v>339</v>
      </c>
      <c r="AM12" t="str">
        <f>B12</f>
        <v>ActiveWorkbook.Close SaveChanges:=False</v>
      </c>
      <c r="AO12" t="s">
        <v>339</v>
      </c>
    </row>
    <row r="14" spans="1:41" x14ac:dyDescent="0.25">
      <c r="A14" s="19"/>
      <c r="B14" s="22" t="s">
        <v>316</v>
      </c>
      <c r="C14" s="22"/>
      <c r="D14" s="22"/>
      <c r="E14" s="22"/>
      <c r="F14" s="22"/>
      <c r="G14" s="22"/>
      <c r="H14" s="22"/>
      <c r="I14" s="22"/>
      <c r="J14" s="22"/>
      <c r="K14" s="22"/>
      <c r="L14" s="22"/>
      <c r="M14" s="22"/>
      <c r="N14" s="22" t="s">
        <v>321</v>
      </c>
      <c r="O14" s="22"/>
      <c r="P14" s="22"/>
      <c r="Q14" s="22"/>
      <c r="R14" s="22"/>
      <c r="S14" s="22"/>
      <c r="T14" s="22"/>
      <c r="U14" s="22"/>
      <c r="V14" s="22">
        <f>V9+1</f>
        <v>2</v>
      </c>
      <c r="W14" s="22"/>
      <c r="X14" s="22"/>
      <c r="Y14" s="23"/>
      <c r="Z14" s="22" t="s">
        <v>322</v>
      </c>
      <c r="AA14" s="22"/>
      <c r="AB14" s="22"/>
      <c r="AC14" s="22"/>
      <c r="AD14" s="22"/>
      <c r="AE14" s="22"/>
      <c r="AF14" s="22"/>
      <c r="AG14" s="22"/>
      <c r="AH14" s="22"/>
      <c r="AI14" s="22"/>
      <c r="AJ14" s="22"/>
      <c r="AK14" s="22"/>
      <c r="AL14" s="22"/>
      <c r="AM14" s="22" t="str">
        <f>+_xlfn.CONCAT(N14&amp;V14&amp;Z14)</f>
        <v xml:space="preserve"> Workbooks.Open "A:\Homes for Ukraine data\Ukraine_sponsorship_data_2.ods"</v>
      </c>
      <c r="AO14" t="s">
        <v>335</v>
      </c>
    </row>
    <row r="15" spans="1:41" x14ac:dyDescent="0.25">
      <c r="A15" s="19"/>
      <c r="B15" s="22" t="s">
        <v>533</v>
      </c>
      <c r="C15" s="22"/>
      <c r="D15" s="22"/>
      <c r="E15" s="22"/>
      <c r="F15" s="22"/>
      <c r="G15" s="22"/>
      <c r="H15" s="22"/>
      <c r="I15" s="22"/>
      <c r="J15" s="22"/>
      <c r="K15" s="22"/>
      <c r="L15" s="22"/>
      <c r="M15" s="22"/>
      <c r="N15" s="22" t="s">
        <v>323</v>
      </c>
      <c r="O15" s="22"/>
      <c r="P15" s="22"/>
      <c r="Q15" s="22"/>
      <c r="R15" s="22"/>
      <c r="S15" s="22"/>
      <c r="T15" s="22"/>
      <c r="U15" s="22"/>
      <c r="V15" s="22">
        <f>V10+1</f>
        <v>2</v>
      </c>
      <c r="W15" s="22"/>
      <c r="X15" s="22"/>
      <c r="Y15" s="23"/>
      <c r="Z15" s="22" t="s">
        <v>532</v>
      </c>
      <c r="AA15" s="22"/>
      <c r="AB15" s="22"/>
      <c r="AC15" s="22"/>
      <c r="AD15" s="22"/>
      <c r="AE15" s="22" t="s">
        <v>642</v>
      </c>
      <c r="AF15" s="22">
        <v>11</v>
      </c>
      <c r="AG15" s="22" t="s">
        <v>327</v>
      </c>
      <c r="AH15" s="22" t="s">
        <v>642</v>
      </c>
      <c r="AI15" s="22">
        <v>24</v>
      </c>
      <c r="AJ15" s="22"/>
      <c r="AK15" s="22" t="s">
        <v>325</v>
      </c>
      <c r="AL15" s="22"/>
      <c r="AM15" s="22" t="str">
        <f>_xlfn.CONCAT(N15&amp;V15&amp;Z15&amp;AE15&amp;AF15&amp;AG15&amp;AE15&amp;AI15&amp;AK15)</f>
        <v xml:space="preserve"> Workbooks("Ukraine_sponsorship_data_2.ods").Worksheets("Northern_Ireland").Range("E11:E24").Copy _</v>
      </c>
      <c r="AO15" t="s">
        <v>685</v>
      </c>
    </row>
    <row r="16" spans="1:41" ht="17.25" customHeight="1" x14ac:dyDescent="0.25">
      <c r="A16" s="19"/>
      <c r="B16" s="22" t="s">
        <v>808</v>
      </c>
      <c r="C16" s="22"/>
      <c r="D16" s="22"/>
      <c r="E16" s="22"/>
      <c r="F16" s="22"/>
      <c r="G16" s="22"/>
      <c r="H16" s="22"/>
      <c r="I16" s="22"/>
      <c r="J16" s="22"/>
      <c r="K16" s="22"/>
      <c r="L16" s="22"/>
      <c r="M16" s="22"/>
      <c r="N16" s="22" t="s">
        <v>809</v>
      </c>
      <c r="O16" s="22"/>
      <c r="P16" s="22"/>
      <c r="Q16" s="22"/>
      <c r="R16" s="22"/>
      <c r="S16" s="22"/>
      <c r="T16" s="22"/>
      <c r="U16" s="22"/>
      <c r="V16" s="22"/>
      <c r="W16" s="22" t="str">
        <f>W11</f>
        <v>A</v>
      </c>
      <c r="X16" s="22" t="str">
        <f>CHAR(CODE(X11)+1)</f>
        <v>S</v>
      </c>
      <c r="Y16" s="23">
        <f>Y11</f>
        <v>264</v>
      </c>
      <c r="Z16" s="22" t="s">
        <v>324</v>
      </c>
      <c r="AA16" s="22"/>
      <c r="AB16" s="22"/>
      <c r="AC16" s="22"/>
      <c r="AD16" s="22"/>
      <c r="AE16" s="22"/>
      <c r="AF16" s="22"/>
      <c r="AG16" s="22"/>
      <c r="AH16" s="22"/>
      <c r="AI16" s="22"/>
      <c r="AJ16" s="22"/>
      <c r="AK16" s="22"/>
      <c r="AL16" s="22"/>
      <c r="AM16" s="22" t="str">
        <f>_xlfn.CONCAT(N16&amp;W16&amp;X16&amp;Y16&amp;Z16)</f>
        <v>Workbooks("HFU Forecast UTLA 1.0.xlsm").Worksheets("Combined data").Range("AS264")</v>
      </c>
      <c r="AO16" t="s">
        <v>849</v>
      </c>
    </row>
    <row r="17" spans="1:41" ht="17.25" customHeight="1" x14ac:dyDescent="0.25">
      <c r="A17" s="19"/>
      <c r="B17" s="22" t="s">
        <v>339</v>
      </c>
      <c r="C17" s="22"/>
      <c r="D17" s="22"/>
      <c r="E17" s="22"/>
      <c r="F17" s="22"/>
      <c r="G17" s="22"/>
      <c r="H17" s="22"/>
      <c r="I17" s="22"/>
      <c r="J17" s="22"/>
      <c r="K17" s="22"/>
      <c r="L17" s="22"/>
      <c r="M17" s="22"/>
      <c r="N17" s="22"/>
      <c r="O17" s="22"/>
      <c r="P17" s="22"/>
      <c r="Q17" s="22"/>
      <c r="R17" s="22"/>
      <c r="S17" s="22"/>
      <c r="T17" s="22"/>
      <c r="U17" s="22"/>
      <c r="V17" s="22"/>
      <c r="W17" s="22"/>
      <c r="X17" s="22"/>
      <c r="Y17" s="23"/>
      <c r="Z17" s="22"/>
      <c r="AA17" s="22"/>
      <c r="AB17" s="22"/>
      <c r="AC17" s="22"/>
      <c r="AD17" s="22"/>
      <c r="AE17" s="22"/>
      <c r="AF17" s="22"/>
      <c r="AG17" s="22"/>
      <c r="AH17" s="22"/>
      <c r="AI17" s="22"/>
      <c r="AJ17" s="22"/>
      <c r="AK17" s="22"/>
      <c r="AL17" s="22"/>
      <c r="AM17" s="22" t="str">
        <f>B17</f>
        <v>ActiveWorkbook.Close SaveChanges:=False</v>
      </c>
      <c r="AO17" t="s">
        <v>339</v>
      </c>
    </row>
    <row r="19" spans="1:41" x14ac:dyDescent="0.25">
      <c r="B19" s="19" t="s">
        <v>316</v>
      </c>
      <c r="C19" s="19"/>
      <c r="D19" s="19"/>
      <c r="E19" s="19"/>
      <c r="F19" s="19"/>
      <c r="G19" s="19"/>
      <c r="H19" s="19"/>
      <c r="I19" s="19"/>
      <c r="J19" s="19"/>
      <c r="K19" s="19"/>
      <c r="L19" s="19"/>
      <c r="M19" s="19"/>
      <c r="N19" s="19" t="s">
        <v>321</v>
      </c>
      <c r="O19" s="19"/>
      <c r="P19" s="19"/>
      <c r="Q19" s="19"/>
      <c r="R19" s="19"/>
      <c r="S19" s="19"/>
      <c r="T19" s="19"/>
      <c r="U19" s="19"/>
      <c r="V19" s="19">
        <f>V14+1</f>
        <v>3</v>
      </c>
      <c r="W19" s="19"/>
      <c r="X19" s="19"/>
      <c r="Y19" s="21"/>
      <c r="Z19" s="19" t="s">
        <v>322</v>
      </c>
      <c r="AA19" s="19"/>
      <c r="AB19" s="19"/>
      <c r="AC19" s="19"/>
      <c r="AD19" s="19"/>
      <c r="AE19" s="19"/>
      <c r="AF19" s="19"/>
      <c r="AG19" s="19"/>
      <c r="AH19" s="19"/>
      <c r="AI19" s="19"/>
      <c r="AJ19" s="19"/>
      <c r="AK19" s="19"/>
      <c r="AL19" s="19"/>
      <c r="AM19" s="19" t="str">
        <f>+_xlfn.CONCAT(N19&amp;V19&amp;Z19)</f>
        <v xml:space="preserve"> Workbooks.Open "A:\Homes for Ukraine data\Ukraine_sponsorship_data_3.ods"</v>
      </c>
      <c r="AO19" t="s">
        <v>336</v>
      </c>
    </row>
    <row r="20" spans="1:41" x14ac:dyDescent="0.25">
      <c r="B20" s="19" t="s">
        <v>533</v>
      </c>
      <c r="C20" s="19"/>
      <c r="D20" s="19"/>
      <c r="E20" s="19"/>
      <c r="F20" s="19"/>
      <c r="G20" s="19"/>
      <c r="H20" s="19"/>
      <c r="I20" s="19"/>
      <c r="J20" s="19"/>
      <c r="K20" s="19"/>
      <c r="L20" s="19"/>
      <c r="M20" s="19"/>
      <c r="N20" s="19" t="s">
        <v>323</v>
      </c>
      <c r="O20" s="19"/>
      <c r="P20" s="19"/>
      <c r="Q20" s="19"/>
      <c r="R20" s="19"/>
      <c r="S20" s="19"/>
      <c r="T20" s="19"/>
      <c r="U20" s="19"/>
      <c r="V20" s="19">
        <f>V15+1</f>
        <v>3</v>
      </c>
      <c r="W20" s="19"/>
      <c r="X20" s="19"/>
      <c r="Y20" s="21"/>
      <c r="Z20" s="19" t="s">
        <v>532</v>
      </c>
      <c r="AA20" s="19"/>
      <c r="AB20" s="19"/>
      <c r="AC20" s="19"/>
      <c r="AD20" s="19"/>
      <c r="AE20" s="19" t="str">
        <f>AE15</f>
        <v>E</v>
      </c>
      <c r="AF20" s="19">
        <f>AF15</f>
        <v>11</v>
      </c>
      <c r="AG20" s="19" t="s">
        <v>327</v>
      </c>
      <c r="AH20" s="19" t="str">
        <f>AH15</f>
        <v>E</v>
      </c>
      <c r="AI20" s="19">
        <f>AI15</f>
        <v>24</v>
      </c>
      <c r="AJ20" s="19"/>
      <c r="AK20" s="19" t="s">
        <v>325</v>
      </c>
      <c r="AL20" s="19"/>
      <c r="AM20" s="19" t="str">
        <f>_xlfn.CONCAT(N20&amp;V20&amp;Z20&amp;AE20&amp;AF20&amp;AG20&amp;AE20&amp;AI20&amp;AK20)</f>
        <v xml:space="preserve"> Workbooks("Ukraine_sponsorship_data_3.ods").Worksheets("Northern_Ireland").Range("E11:E24").Copy _</v>
      </c>
      <c r="AO20" t="s">
        <v>686</v>
      </c>
    </row>
    <row r="21" spans="1:41" x14ac:dyDescent="0.25">
      <c r="B21" s="19" t="s">
        <v>808</v>
      </c>
      <c r="C21" s="19"/>
      <c r="D21" s="19"/>
      <c r="E21" s="19"/>
      <c r="F21" s="19"/>
      <c r="G21" s="19"/>
      <c r="H21" s="19"/>
      <c r="I21" s="19"/>
      <c r="J21" s="19"/>
      <c r="K21" s="19"/>
      <c r="L21" s="19"/>
      <c r="M21" s="19"/>
      <c r="N21" s="19" t="s">
        <v>809</v>
      </c>
      <c r="O21" s="19"/>
      <c r="P21" s="19"/>
      <c r="Q21" s="19"/>
      <c r="R21" s="19"/>
      <c r="S21" s="19"/>
      <c r="T21" s="19"/>
      <c r="U21" s="19"/>
      <c r="V21" s="19"/>
      <c r="W21" s="19" t="str">
        <f>W16</f>
        <v>A</v>
      </c>
      <c r="X21" s="19" t="str">
        <f>CHAR(CODE(X16)+1)</f>
        <v>T</v>
      </c>
      <c r="Y21" s="21">
        <f>Y16</f>
        <v>264</v>
      </c>
      <c r="Z21" s="19" t="s">
        <v>324</v>
      </c>
      <c r="AA21" s="19"/>
      <c r="AB21" s="19"/>
      <c r="AC21" s="19"/>
      <c r="AD21" s="19"/>
      <c r="AE21" s="19"/>
      <c r="AF21" s="19"/>
      <c r="AG21" s="19"/>
      <c r="AH21" s="19"/>
      <c r="AI21" s="19"/>
      <c r="AJ21" s="19"/>
      <c r="AK21" s="19"/>
      <c r="AL21" s="19"/>
      <c r="AM21" s="19" t="str">
        <f>_xlfn.CONCAT(N21&amp;W21&amp;X21&amp;Y21&amp;Z21)</f>
        <v>Workbooks("HFU Forecast UTLA 1.0.xlsm").Worksheets("Combined data").Range("AT264")</v>
      </c>
      <c r="AO21" t="s">
        <v>850</v>
      </c>
    </row>
    <row r="22" spans="1:41" x14ac:dyDescent="0.25">
      <c r="B22" s="19" t="s">
        <v>339</v>
      </c>
      <c r="C22" s="19"/>
      <c r="D22" s="19"/>
      <c r="E22" s="19"/>
      <c r="F22" s="19"/>
      <c r="G22" s="19"/>
      <c r="H22" s="19"/>
      <c r="I22" s="19"/>
      <c r="J22" s="19"/>
      <c r="K22" s="19"/>
      <c r="L22" s="19"/>
      <c r="M22" s="19"/>
      <c r="N22" s="19"/>
      <c r="O22" s="19"/>
      <c r="P22" s="19"/>
      <c r="Q22" s="19"/>
      <c r="R22" s="19"/>
      <c r="S22" s="19"/>
      <c r="T22" s="19"/>
      <c r="U22" s="19"/>
      <c r="V22" s="19"/>
      <c r="W22" s="19"/>
      <c r="X22" s="19"/>
      <c r="Y22" s="21"/>
      <c r="Z22" s="19"/>
      <c r="AA22" s="19"/>
      <c r="AB22" s="19"/>
      <c r="AC22" s="19"/>
      <c r="AD22" s="19"/>
      <c r="AE22" s="19"/>
      <c r="AF22" s="19"/>
      <c r="AG22" s="19"/>
      <c r="AH22" s="19"/>
      <c r="AI22" s="19"/>
      <c r="AJ22" s="19"/>
      <c r="AK22" s="19"/>
      <c r="AL22" s="19"/>
      <c r="AM22" s="19" t="str">
        <f>B22</f>
        <v>ActiveWorkbook.Close SaveChanges:=False</v>
      </c>
      <c r="AO22" t="s">
        <v>339</v>
      </c>
    </row>
    <row r="24" spans="1:41" x14ac:dyDescent="0.25">
      <c r="B24" s="22" t="s">
        <v>316</v>
      </c>
      <c r="C24" s="22"/>
      <c r="D24" s="22"/>
      <c r="E24" s="22"/>
      <c r="F24" s="22"/>
      <c r="G24" s="22"/>
      <c r="H24" s="22"/>
      <c r="I24" s="22"/>
      <c r="J24" s="22"/>
      <c r="K24" s="22"/>
      <c r="L24" s="22"/>
      <c r="M24" s="22"/>
      <c r="N24" s="22" t="s">
        <v>321</v>
      </c>
      <c r="O24" s="22"/>
      <c r="P24" s="22"/>
      <c r="Q24" s="22"/>
      <c r="R24" s="22"/>
      <c r="S24" s="22"/>
      <c r="T24" s="22"/>
      <c r="U24" s="22"/>
      <c r="V24" s="22">
        <f>V19+1</f>
        <v>4</v>
      </c>
      <c r="W24" s="22"/>
      <c r="X24" s="22"/>
      <c r="Y24" s="23"/>
      <c r="Z24" s="22" t="s">
        <v>322</v>
      </c>
      <c r="AA24" s="22"/>
      <c r="AB24" s="22"/>
      <c r="AC24" s="22"/>
      <c r="AD24" s="22"/>
      <c r="AE24" s="22"/>
      <c r="AF24" s="22"/>
      <c r="AG24" s="22"/>
      <c r="AH24" s="22"/>
      <c r="AI24" s="22"/>
      <c r="AJ24" s="22"/>
      <c r="AK24" s="22"/>
      <c r="AL24" s="22"/>
      <c r="AM24" s="22" t="str">
        <f>+_xlfn.CONCAT(N24&amp;V24&amp;Z24)</f>
        <v xml:space="preserve"> Workbooks.Open "A:\Homes for Ukraine data\Ukraine_sponsorship_data_4.ods"</v>
      </c>
      <c r="AO24" t="s">
        <v>340</v>
      </c>
    </row>
    <row r="25" spans="1:41" x14ac:dyDescent="0.25">
      <c r="B25" s="22" t="s">
        <v>533</v>
      </c>
      <c r="C25" s="22"/>
      <c r="D25" s="22"/>
      <c r="E25" s="22"/>
      <c r="F25" s="22"/>
      <c r="G25" s="22"/>
      <c r="H25" s="22"/>
      <c r="I25" s="22"/>
      <c r="J25" s="22"/>
      <c r="K25" s="22"/>
      <c r="L25" s="22"/>
      <c r="M25" s="22"/>
      <c r="N25" s="22" t="s">
        <v>323</v>
      </c>
      <c r="O25" s="22"/>
      <c r="P25" s="22"/>
      <c r="Q25" s="22"/>
      <c r="R25" s="22"/>
      <c r="S25" s="22"/>
      <c r="T25" s="22"/>
      <c r="U25" s="22"/>
      <c r="V25" s="22">
        <f>V20+1</f>
        <v>4</v>
      </c>
      <c r="W25" s="22"/>
      <c r="X25" s="22"/>
      <c r="Y25" s="23"/>
      <c r="Z25" s="22" t="s">
        <v>532</v>
      </c>
      <c r="AA25" s="22"/>
      <c r="AB25" s="22"/>
      <c r="AC25" s="22"/>
      <c r="AD25" s="22"/>
      <c r="AE25" s="22" t="str">
        <f t="shared" ref="AE25" si="0">AE20</f>
        <v>E</v>
      </c>
      <c r="AF25" s="22">
        <f>AF20</f>
        <v>11</v>
      </c>
      <c r="AG25" s="22" t="s">
        <v>327</v>
      </c>
      <c r="AH25" s="22" t="str">
        <f t="shared" ref="AH25" si="1">AH20</f>
        <v>E</v>
      </c>
      <c r="AI25" s="22">
        <f>AI20</f>
        <v>24</v>
      </c>
      <c r="AJ25" s="22"/>
      <c r="AK25" s="22" t="s">
        <v>325</v>
      </c>
      <c r="AL25" s="22"/>
      <c r="AM25" s="22" t="str">
        <f>_xlfn.CONCAT(N25&amp;V25&amp;Z25&amp;AE25&amp;AF25&amp;AG25&amp;AE25&amp;AI25&amp;AK25)</f>
        <v xml:space="preserve"> Workbooks("Ukraine_sponsorship_data_4.ods").Worksheets("Northern_Ireland").Range("E11:E24").Copy _</v>
      </c>
      <c r="AO25" t="s">
        <v>687</v>
      </c>
    </row>
    <row r="26" spans="1:41" x14ac:dyDescent="0.25">
      <c r="B26" s="22" t="s">
        <v>808</v>
      </c>
      <c r="C26" s="22"/>
      <c r="D26" s="22"/>
      <c r="E26" s="22"/>
      <c r="F26" s="22"/>
      <c r="G26" s="22"/>
      <c r="H26" s="22"/>
      <c r="I26" s="22"/>
      <c r="J26" s="22"/>
      <c r="K26" s="22"/>
      <c r="L26" s="22"/>
      <c r="M26" s="22"/>
      <c r="N26" s="22" t="s">
        <v>809</v>
      </c>
      <c r="O26" s="22"/>
      <c r="P26" s="22"/>
      <c r="Q26" s="22"/>
      <c r="R26" s="22"/>
      <c r="S26" s="22"/>
      <c r="T26" s="22"/>
      <c r="U26" s="22"/>
      <c r="V26" s="22"/>
      <c r="W26" s="22" t="str">
        <f>W21</f>
        <v>A</v>
      </c>
      <c r="X26" s="22" t="str">
        <f>CHAR(CODE(X21)+1)</f>
        <v>U</v>
      </c>
      <c r="Y26" s="23">
        <f t="shared" ref="Y26" si="2">Y21</f>
        <v>264</v>
      </c>
      <c r="Z26" s="22" t="s">
        <v>324</v>
      </c>
      <c r="AA26" s="22"/>
      <c r="AB26" s="22"/>
      <c r="AC26" s="22"/>
      <c r="AD26" s="22"/>
      <c r="AE26" s="22"/>
      <c r="AF26" s="22"/>
      <c r="AG26" s="22"/>
      <c r="AH26" s="22"/>
      <c r="AI26" s="22"/>
      <c r="AJ26" s="22"/>
      <c r="AK26" s="22"/>
      <c r="AL26" s="22"/>
      <c r="AM26" s="22" t="str">
        <f>_xlfn.CONCAT(N26&amp;W26&amp;X26&amp;Y26&amp;Z26)</f>
        <v>Workbooks("HFU Forecast UTLA 1.0.xlsm").Worksheets("Combined data").Range("AU264")</v>
      </c>
      <c r="AO26" t="s">
        <v>851</v>
      </c>
    </row>
    <row r="27" spans="1:41" x14ac:dyDescent="0.25">
      <c r="B27" s="22" t="s">
        <v>339</v>
      </c>
      <c r="C27" s="22"/>
      <c r="D27" s="22"/>
      <c r="E27" s="22"/>
      <c r="F27" s="22"/>
      <c r="G27" s="22"/>
      <c r="H27" s="22"/>
      <c r="I27" s="22"/>
      <c r="J27" s="22"/>
      <c r="K27" s="22"/>
      <c r="L27" s="22"/>
      <c r="M27" s="22"/>
      <c r="N27" s="22"/>
      <c r="O27" s="22"/>
      <c r="P27" s="22"/>
      <c r="Q27" s="22"/>
      <c r="R27" s="22"/>
      <c r="S27" s="22"/>
      <c r="T27" s="22"/>
      <c r="U27" s="22"/>
      <c r="V27" s="22"/>
      <c r="W27" s="22"/>
      <c r="X27" s="22"/>
      <c r="Y27" s="23"/>
      <c r="Z27" s="22"/>
      <c r="AA27" s="22"/>
      <c r="AB27" s="22"/>
      <c r="AC27" s="22"/>
      <c r="AD27" s="22"/>
      <c r="AE27" s="22"/>
      <c r="AF27" s="22"/>
      <c r="AG27" s="22"/>
      <c r="AH27" s="22"/>
      <c r="AI27" s="22"/>
      <c r="AJ27" s="22"/>
      <c r="AK27" s="22"/>
      <c r="AL27" s="22"/>
      <c r="AM27" s="22" t="str">
        <f>B27</f>
        <v>ActiveWorkbook.Close SaveChanges:=False</v>
      </c>
      <c r="AO27" t="s">
        <v>339</v>
      </c>
    </row>
    <row r="29" spans="1:41" x14ac:dyDescent="0.25">
      <c r="B29" s="19" t="s">
        <v>316</v>
      </c>
      <c r="C29" s="19"/>
      <c r="D29" s="19"/>
      <c r="E29" s="19"/>
      <c r="F29" s="19"/>
      <c r="G29" s="19"/>
      <c r="H29" s="19"/>
      <c r="I29" s="19"/>
      <c r="J29" s="19"/>
      <c r="K29" s="19"/>
      <c r="L29" s="19"/>
      <c r="M29" s="19"/>
      <c r="N29" s="19" t="s">
        <v>321</v>
      </c>
      <c r="O29" s="19"/>
      <c r="P29" s="19"/>
      <c r="Q29" s="19"/>
      <c r="R29" s="19"/>
      <c r="S29" s="19"/>
      <c r="T29" s="19"/>
      <c r="U29" s="19"/>
      <c r="V29" s="19">
        <f t="shared" ref="V29:V30" si="3">V24+1</f>
        <v>5</v>
      </c>
      <c r="W29" s="19"/>
      <c r="X29" s="19"/>
      <c r="Y29" s="21"/>
      <c r="Z29" s="19" t="s">
        <v>322</v>
      </c>
      <c r="AA29" s="19"/>
      <c r="AB29" s="19"/>
      <c r="AC29" s="19"/>
      <c r="AD29" s="19"/>
      <c r="AE29" s="19"/>
      <c r="AF29" s="19"/>
      <c r="AG29" s="19"/>
      <c r="AH29" s="19"/>
      <c r="AI29" s="19"/>
      <c r="AJ29" s="19"/>
      <c r="AK29" s="19"/>
      <c r="AL29" s="19"/>
      <c r="AM29" s="19" t="str">
        <f t="shared" ref="AM29" si="4">+_xlfn.CONCAT(N29&amp;V29&amp;Z29)</f>
        <v xml:space="preserve"> Workbooks.Open "A:\Homes for Ukraine data\Ukraine_sponsorship_data_5.ods"</v>
      </c>
      <c r="AO29" t="s">
        <v>341</v>
      </c>
    </row>
    <row r="30" spans="1:41" x14ac:dyDescent="0.25">
      <c r="B30" s="19" t="s">
        <v>533</v>
      </c>
      <c r="C30" s="19"/>
      <c r="D30" s="19"/>
      <c r="E30" s="19"/>
      <c r="F30" s="19"/>
      <c r="G30" s="19"/>
      <c r="H30" s="19"/>
      <c r="I30" s="19"/>
      <c r="J30" s="19"/>
      <c r="K30" s="19"/>
      <c r="L30" s="19"/>
      <c r="M30" s="19"/>
      <c r="N30" s="19" t="s">
        <v>323</v>
      </c>
      <c r="O30" s="19"/>
      <c r="P30" s="19"/>
      <c r="Q30" s="19"/>
      <c r="R30" s="19"/>
      <c r="S30" s="19"/>
      <c r="T30" s="19"/>
      <c r="U30" s="19"/>
      <c r="V30" s="19">
        <f t="shared" si="3"/>
        <v>5</v>
      </c>
      <c r="W30" s="19"/>
      <c r="X30" s="19"/>
      <c r="Y30" s="21"/>
      <c r="Z30" s="19" t="s">
        <v>532</v>
      </c>
      <c r="AA30" s="19"/>
      <c r="AB30" s="19"/>
      <c r="AC30" s="19"/>
      <c r="AD30" s="19"/>
      <c r="AE30" s="19" t="str">
        <f t="shared" ref="AE30:AF30" si="5">AE25</f>
        <v>E</v>
      </c>
      <c r="AF30" s="19">
        <f t="shared" si="5"/>
        <v>11</v>
      </c>
      <c r="AG30" s="19" t="s">
        <v>327</v>
      </c>
      <c r="AH30" s="19" t="str">
        <f t="shared" ref="AH30:AI30" si="6">AH25</f>
        <v>E</v>
      </c>
      <c r="AI30" s="19">
        <f t="shared" si="6"/>
        <v>24</v>
      </c>
      <c r="AJ30" s="19"/>
      <c r="AK30" s="19" t="s">
        <v>325</v>
      </c>
      <c r="AL30" s="19"/>
      <c r="AM30" s="19" t="str">
        <f t="shared" ref="AM30" si="7">_xlfn.CONCAT(N30&amp;V30&amp;Z30&amp;AE30&amp;AF30&amp;AG30&amp;AE30&amp;AI30&amp;AK30)</f>
        <v xml:space="preserve"> Workbooks("Ukraine_sponsorship_data_5.ods").Worksheets("Northern_Ireland").Range("E11:E24").Copy _</v>
      </c>
      <c r="AO30" t="s">
        <v>688</v>
      </c>
    </row>
    <row r="31" spans="1:41" x14ac:dyDescent="0.25">
      <c r="B31" s="19" t="s">
        <v>808</v>
      </c>
      <c r="C31" s="19"/>
      <c r="D31" s="19"/>
      <c r="E31" s="19"/>
      <c r="F31" s="19"/>
      <c r="G31" s="19"/>
      <c r="H31" s="19"/>
      <c r="I31" s="19"/>
      <c r="J31" s="19"/>
      <c r="K31" s="19"/>
      <c r="L31" s="19"/>
      <c r="M31" s="19"/>
      <c r="N31" s="19" t="s">
        <v>809</v>
      </c>
      <c r="O31" s="19"/>
      <c r="P31" s="19"/>
      <c r="Q31" s="19"/>
      <c r="R31" s="19"/>
      <c r="S31" s="19"/>
      <c r="T31" s="19"/>
      <c r="U31" s="19"/>
      <c r="V31" s="19"/>
      <c r="W31" s="19" t="str">
        <f t="shared" ref="W31" si="8">W26</f>
        <v>A</v>
      </c>
      <c r="X31" s="19" t="str">
        <f t="shared" ref="X31" si="9">CHAR(CODE(X26)+1)</f>
        <v>V</v>
      </c>
      <c r="Y31" s="21">
        <f t="shared" ref="Y31" si="10">Y26</f>
        <v>264</v>
      </c>
      <c r="Z31" s="19" t="s">
        <v>324</v>
      </c>
      <c r="AA31" s="19"/>
      <c r="AB31" s="19"/>
      <c r="AC31" s="19"/>
      <c r="AD31" s="19"/>
      <c r="AE31" s="19"/>
      <c r="AF31" s="19"/>
      <c r="AG31" s="19"/>
      <c r="AH31" s="19"/>
      <c r="AI31" s="19"/>
      <c r="AJ31" s="19"/>
      <c r="AK31" s="19"/>
      <c r="AL31" s="19"/>
      <c r="AM31" s="19" t="str">
        <f t="shared" ref="AM31" si="11">_xlfn.CONCAT(N31&amp;W31&amp;X31&amp;Y31&amp;Z31)</f>
        <v>Workbooks("HFU Forecast UTLA 1.0.xlsm").Worksheets("Combined data").Range("AV264")</v>
      </c>
      <c r="AO31" t="s">
        <v>852</v>
      </c>
    </row>
    <row r="32" spans="1:41" x14ac:dyDescent="0.25">
      <c r="B32" s="19" t="s">
        <v>339</v>
      </c>
      <c r="C32" s="19"/>
      <c r="D32" s="19"/>
      <c r="E32" s="19"/>
      <c r="F32" s="19"/>
      <c r="G32" s="19"/>
      <c r="H32" s="19"/>
      <c r="I32" s="19"/>
      <c r="J32" s="19"/>
      <c r="K32" s="19"/>
      <c r="L32" s="19"/>
      <c r="M32" s="19"/>
      <c r="N32" s="19"/>
      <c r="O32" s="19"/>
      <c r="P32" s="19"/>
      <c r="Q32" s="19"/>
      <c r="R32" s="19"/>
      <c r="S32" s="19"/>
      <c r="T32" s="19"/>
      <c r="U32" s="19"/>
      <c r="V32" s="19"/>
      <c r="W32" s="19"/>
      <c r="X32" s="19"/>
      <c r="Y32" s="21"/>
      <c r="Z32" s="19"/>
      <c r="AA32" s="19"/>
      <c r="AB32" s="19"/>
      <c r="AC32" s="19"/>
      <c r="AD32" s="19"/>
      <c r="AE32" s="19"/>
      <c r="AF32" s="19"/>
      <c r="AG32" s="19"/>
      <c r="AH32" s="19"/>
      <c r="AI32" s="19"/>
      <c r="AJ32" s="19"/>
      <c r="AK32" s="19"/>
      <c r="AL32" s="19"/>
      <c r="AM32" s="19" t="str">
        <f t="shared" ref="AM32" si="12">B32</f>
        <v>ActiveWorkbook.Close SaveChanges:=False</v>
      </c>
      <c r="AO32" t="s">
        <v>339</v>
      </c>
    </row>
    <row r="34" spans="2:41" x14ac:dyDescent="0.25">
      <c r="B34" s="22" t="s">
        <v>316</v>
      </c>
      <c r="C34" s="22"/>
      <c r="D34" s="22"/>
      <c r="E34" s="22"/>
      <c r="F34" s="22"/>
      <c r="G34" s="22"/>
      <c r="H34" s="22"/>
      <c r="I34" s="22"/>
      <c r="J34" s="22"/>
      <c r="K34" s="22"/>
      <c r="L34" s="22"/>
      <c r="M34" s="22"/>
      <c r="N34" s="22" t="s">
        <v>321</v>
      </c>
      <c r="O34" s="22"/>
      <c r="P34" s="22"/>
      <c r="Q34" s="22"/>
      <c r="R34" s="22"/>
      <c r="S34" s="22"/>
      <c r="T34" s="22"/>
      <c r="U34" s="22"/>
      <c r="V34" s="22">
        <f t="shared" ref="V34:V35" si="13">V29+1</f>
        <v>6</v>
      </c>
      <c r="W34" s="22"/>
      <c r="X34" s="22"/>
      <c r="Y34" s="23"/>
      <c r="Z34" s="22" t="s">
        <v>322</v>
      </c>
      <c r="AA34" s="22"/>
      <c r="AB34" s="22"/>
      <c r="AC34" s="22"/>
      <c r="AD34" s="22"/>
      <c r="AE34" s="22"/>
      <c r="AF34" s="22"/>
      <c r="AG34" s="22"/>
      <c r="AH34" s="22"/>
      <c r="AI34" s="22"/>
      <c r="AJ34" s="22"/>
      <c r="AK34" s="22"/>
      <c r="AL34" s="22"/>
      <c r="AM34" s="22" t="str">
        <f t="shared" ref="AM34" si="14">+_xlfn.CONCAT(N34&amp;V34&amp;Z34)</f>
        <v xml:space="preserve"> Workbooks.Open "A:\Homes for Ukraine data\Ukraine_sponsorship_data_6.ods"</v>
      </c>
      <c r="AO34" t="s">
        <v>342</v>
      </c>
    </row>
    <row r="35" spans="2:41" x14ac:dyDescent="0.25">
      <c r="B35" s="22" t="s">
        <v>533</v>
      </c>
      <c r="C35" s="22"/>
      <c r="D35" s="22"/>
      <c r="E35" s="22"/>
      <c r="F35" s="22"/>
      <c r="G35" s="22"/>
      <c r="H35" s="22"/>
      <c r="I35" s="22"/>
      <c r="J35" s="22"/>
      <c r="K35" s="22"/>
      <c r="L35" s="22"/>
      <c r="M35" s="22"/>
      <c r="N35" s="22" t="s">
        <v>323</v>
      </c>
      <c r="O35" s="22"/>
      <c r="P35" s="22"/>
      <c r="Q35" s="22"/>
      <c r="R35" s="22"/>
      <c r="S35" s="22"/>
      <c r="T35" s="22"/>
      <c r="U35" s="22"/>
      <c r="V35" s="22">
        <f t="shared" si="13"/>
        <v>6</v>
      </c>
      <c r="W35" s="22"/>
      <c r="X35" s="22"/>
      <c r="Y35" s="23"/>
      <c r="Z35" s="22" t="s">
        <v>532</v>
      </c>
      <c r="AA35" s="22"/>
      <c r="AB35" s="22"/>
      <c r="AC35" s="22"/>
      <c r="AD35" s="22"/>
      <c r="AE35" s="22" t="str">
        <f t="shared" ref="AE35:AF35" si="15">AE30</f>
        <v>E</v>
      </c>
      <c r="AF35" s="22">
        <f t="shared" si="15"/>
        <v>11</v>
      </c>
      <c r="AG35" s="22" t="s">
        <v>327</v>
      </c>
      <c r="AH35" s="22" t="str">
        <f t="shared" ref="AH35:AI35" si="16">AH30</f>
        <v>E</v>
      </c>
      <c r="AI35" s="22">
        <f t="shared" si="16"/>
        <v>24</v>
      </c>
      <c r="AJ35" s="22"/>
      <c r="AK35" s="22" t="s">
        <v>325</v>
      </c>
      <c r="AL35" s="22"/>
      <c r="AM35" s="22" t="str">
        <f t="shared" ref="AM35" si="17">_xlfn.CONCAT(N35&amp;V35&amp;Z35&amp;AE35&amp;AF35&amp;AG35&amp;AE35&amp;AI35&amp;AK35)</f>
        <v xml:space="preserve"> Workbooks("Ukraine_sponsorship_data_6.ods").Worksheets("Northern_Ireland").Range("E11:E24").Copy _</v>
      </c>
      <c r="AO35" t="s">
        <v>689</v>
      </c>
    </row>
    <row r="36" spans="2:41" x14ac:dyDescent="0.25">
      <c r="B36" s="22" t="s">
        <v>808</v>
      </c>
      <c r="C36" s="22"/>
      <c r="D36" s="22"/>
      <c r="E36" s="22"/>
      <c r="F36" s="22"/>
      <c r="G36" s="22"/>
      <c r="H36" s="22"/>
      <c r="I36" s="22"/>
      <c r="J36" s="22"/>
      <c r="K36" s="22"/>
      <c r="L36" s="22"/>
      <c r="M36" s="22"/>
      <c r="N36" s="22" t="s">
        <v>809</v>
      </c>
      <c r="O36" s="22"/>
      <c r="P36" s="22"/>
      <c r="Q36" s="22"/>
      <c r="R36" s="22"/>
      <c r="S36" s="22"/>
      <c r="T36" s="22"/>
      <c r="U36" s="22"/>
      <c r="V36" s="22"/>
      <c r="W36" s="22" t="str">
        <f t="shared" ref="W36" si="18">W31</f>
        <v>A</v>
      </c>
      <c r="X36" s="22" t="str">
        <f t="shared" ref="X36" si="19">CHAR(CODE(X31)+1)</f>
        <v>W</v>
      </c>
      <c r="Y36" s="23">
        <f t="shared" ref="Y36" si="20">Y31</f>
        <v>264</v>
      </c>
      <c r="Z36" s="22" t="s">
        <v>324</v>
      </c>
      <c r="AA36" s="22"/>
      <c r="AB36" s="22"/>
      <c r="AC36" s="22"/>
      <c r="AD36" s="22"/>
      <c r="AE36" s="22"/>
      <c r="AF36" s="22"/>
      <c r="AG36" s="22"/>
      <c r="AH36" s="22"/>
      <c r="AI36" s="22"/>
      <c r="AJ36" s="22"/>
      <c r="AK36" s="22"/>
      <c r="AL36" s="22"/>
      <c r="AM36" s="22" t="str">
        <f t="shared" ref="AM36" si="21">_xlfn.CONCAT(N36&amp;W36&amp;X36&amp;Y36&amp;Z36)</f>
        <v>Workbooks("HFU Forecast UTLA 1.0.xlsm").Worksheets("Combined data").Range("AW264")</v>
      </c>
      <c r="AO36" t="s">
        <v>853</v>
      </c>
    </row>
    <row r="37" spans="2:41" x14ac:dyDescent="0.25">
      <c r="B37" s="22" t="s">
        <v>339</v>
      </c>
      <c r="C37" s="22"/>
      <c r="D37" s="22"/>
      <c r="E37" s="22"/>
      <c r="F37" s="22"/>
      <c r="G37" s="22"/>
      <c r="H37" s="22"/>
      <c r="I37" s="22"/>
      <c r="J37" s="22"/>
      <c r="K37" s="22"/>
      <c r="L37" s="22"/>
      <c r="M37" s="22"/>
      <c r="N37" s="22"/>
      <c r="O37" s="22"/>
      <c r="P37" s="22"/>
      <c r="Q37" s="22"/>
      <c r="R37" s="22"/>
      <c r="S37" s="22"/>
      <c r="T37" s="22"/>
      <c r="U37" s="22"/>
      <c r="V37" s="22"/>
      <c r="W37" s="22"/>
      <c r="X37" s="22"/>
      <c r="Y37" s="23"/>
      <c r="Z37" s="22"/>
      <c r="AA37" s="22"/>
      <c r="AB37" s="22"/>
      <c r="AC37" s="22"/>
      <c r="AD37" s="22"/>
      <c r="AE37" s="22"/>
      <c r="AF37" s="22"/>
      <c r="AG37" s="22"/>
      <c r="AH37" s="22"/>
      <c r="AI37" s="22"/>
      <c r="AJ37" s="22"/>
      <c r="AK37" s="22"/>
      <c r="AL37" s="22"/>
      <c r="AM37" s="22" t="str">
        <f t="shared" ref="AM37" si="22">B37</f>
        <v>ActiveWorkbook.Close SaveChanges:=False</v>
      </c>
      <c r="AO37" t="s">
        <v>339</v>
      </c>
    </row>
    <row r="39" spans="2:41" x14ac:dyDescent="0.25">
      <c r="B39" s="19" t="s">
        <v>316</v>
      </c>
      <c r="C39" s="19"/>
      <c r="D39" s="19"/>
      <c r="E39" s="19"/>
      <c r="F39" s="19"/>
      <c r="G39" s="19"/>
      <c r="H39" s="19"/>
      <c r="I39" s="19"/>
      <c r="J39" s="19"/>
      <c r="K39" s="19"/>
      <c r="L39" s="19"/>
      <c r="M39" s="19"/>
      <c r="N39" s="19" t="s">
        <v>321</v>
      </c>
      <c r="O39" s="19"/>
      <c r="P39" s="19"/>
      <c r="Q39" s="19"/>
      <c r="R39" s="19"/>
      <c r="S39" s="19"/>
      <c r="T39" s="19"/>
      <c r="U39" s="19"/>
      <c r="V39" s="19">
        <f t="shared" ref="V39:V40" si="23">V34+1</f>
        <v>7</v>
      </c>
      <c r="W39" s="19"/>
      <c r="X39" s="19"/>
      <c r="Y39" s="21"/>
      <c r="Z39" s="19" t="s">
        <v>322</v>
      </c>
      <c r="AA39" s="19"/>
      <c r="AB39" s="19"/>
      <c r="AC39" s="19"/>
      <c r="AD39" s="19"/>
      <c r="AE39" s="19"/>
      <c r="AF39" s="19"/>
      <c r="AG39" s="19"/>
      <c r="AH39" s="19"/>
      <c r="AI39" s="19"/>
      <c r="AJ39" s="19"/>
      <c r="AK39" s="19"/>
      <c r="AL39" s="19"/>
      <c r="AM39" s="19" t="str">
        <f t="shared" ref="AM39" si="24">+_xlfn.CONCAT(N39&amp;V39&amp;Z39)</f>
        <v xml:space="preserve"> Workbooks.Open "A:\Homes for Ukraine data\Ukraine_sponsorship_data_7.ods"</v>
      </c>
      <c r="AO39" t="s">
        <v>343</v>
      </c>
    </row>
    <row r="40" spans="2:41" x14ac:dyDescent="0.25">
      <c r="B40" s="19" t="s">
        <v>533</v>
      </c>
      <c r="C40" s="19"/>
      <c r="D40" s="19"/>
      <c r="E40" s="19"/>
      <c r="F40" s="19"/>
      <c r="G40" s="19"/>
      <c r="H40" s="19"/>
      <c r="I40" s="19"/>
      <c r="J40" s="19"/>
      <c r="K40" s="19"/>
      <c r="L40" s="19"/>
      <c r="M40" s="19"/>
      <c r="N40" s="19" t="s">
        <v>323</v>
      </c>
      <c r="O40" s="19"/>
      <c r="P40" s="19"/>
      <c r="Q40" s="19"/>
      <c r="R40" s="19"/>
      <c r="S40" s="19"/>
      <c r="T40" s="19"/>
      <c r="U40" s="19"/>
      <c r="V40" s="19">
        <f t="shared" si="23"/>
        <v>7</v>
      </c>
      <c r="W40" s="19"/>
      <c r="X40" s="19"/>
      <c r="Y40" s="21"/>
      <c r="Z40" s="19" t="s">
        <v>532</v>
      </c>
      <c r="AA40" s="19"/>
      <c r="AB40" s="19"/>
      <c r="AC40" s="19"/>
      <c r="AD40" s="19"/>
      <c r="AE40" s="19" t="str">
        <f t="shared" ref="AE40:AF40" si="25">AE35</f>
        <v>E</v>
      </c>
      <c r="AF40" s="19">
        <f t="shared" si="25"/>
        <v>11</v>
      </c>
      <c r="AG40" s="19" t="s">
        <v>327</v>
      </c>
      <c r="AH40" s="19" t="str">
        <f t="shared" ref="AH40:AI40" si="26">AH35</f>
        <v>E</v>
      </c>
      <c r="AI40" s="19">
        <f t="shared" si="26"/>
        <v>24</v>
      </c>
      <c r="AJ40" s="19"/>
      <c r="AK40" s="19" t="s">
        <v>325</v>
      </c>
      <c r="AL40" s="19"/>
      <c r="AM40" s="19" t="str">
        <f t="shared" ref="AM40" si="27">_xlfn.CONCAT(N40&amp;V40&amp;Z40&amp;AE40&amp;AF40&amp;AG40&amp;AE40&amp;AI40&amp;AK40)</f>
        <v xml:space="preserve"> Workbooks("Ukraine_sponsorship_data_7.ods").Worksheets("Northern_Ireland").Range("E11:E24").Copy _</v>
      </c>
      <c r="AO40" t="s">
        <v>690</v>
      </c>
    </row>
    <row r="41" spans="2:41" x14ac:dyDescent="0.25">
      <c r="B41" s="19" t="s">
        <v>808</v>
      </c>
      <c r="C41" s="19"/>
      <c r="D41" s="19"/>
      <c r="E41" s="19"/>
      <c r="F41" s="19"/>
      <c r="G41" s="19"/>
      <c r="H41" s="19"/>
      <c r="I41" s="19"/>
      <c r="J41" s="19"/>
      <c r="K41" s="19"/>
      <c r="L41" s="19"/>
      <c r="M41" s="19"/>
      <c r="N41" s="19" t="s">
        <v>809</v>
      </c>
      <c r="O41" s="19"/>
      <c r="P41" s="19"/>
      <c r="Q41" s="19"/>
      <c r="R41" s="19"/>
      <c r="S41" s="19"/>
      <c r="T41" s="19"/>
      <c r="U41" s="19"/>
      <c r="V41" s="19"/>
      <c r="W41" s="19" t="str">
        <f t="shared" ref="W41" si="28">W36</f>
        <v>A</v>
      </c>
      <c r="X41" s="19" t="str">
        <f t="shared" ref="X41" si="29">CHAR(CODE(X36)+1)</f>
        <v>X</v>
      </c>
      <c r="Y41" s="21">
        <f t="shared" ref="Y41" si="30">Y36</f>
        <v>264</v>
      </c>
      <c r="Z41" s="19" t="s">
        <v>324</v>
      </c>
      <c r="AA41" s="19"/>
      <c r="AB41" s="19"/>
      <c r="AC41" s="19"/>
      <c r="AD41" s="19"/>
      <c r="AE41" s="19"/>
      <c r="AF41" s="19"/>
      <c r="AG41" s="19"/>
      <c r="AH41" s="19"/>
      <c r="AI41" s="19"/>
      <c r="AJ41" s="19"/>
      <c r="AK41" s="19"/>
      <c r="AL41" s="19"/>
      <c r="AM41" s="19" t="str">
        <f t="shared" ref="AM41" si="31">_xlfn.CONCAT(N41&amp;W41&amp;X41&amp;Y41&amp;Z41)</f>
        <v>Workbooks("HFU Forecast UTLA 1.0.xlsm").Worksheets("Combined data").Range("AX264")</v>
      </c>
      <c r="AO41" t="s">
        <v>854</v>
      </c>
    </row>
    <row r="42" spans="2:41" x14ac:dyDescent="0.25">
      <c r="B42" s="19" t="s">
        <v>339</v>
      </c>
      <c r="C42" s="19"/>
      <c r="D42" s="19"/>
      <c r="E42" s="19"/>
      <c r="F42" s="19"/>
      <c r="G42" s="19"/>
      <c r="H42" s="19"/>
      <c r="I42" s="19"/>
      <c r="J42" s="19"/>
      <c r="K42" s="19"/>
      <c r="L42" s="19"/>
      <c r="M42" s="19"/>
      <c r="N42" s="19"/>
      <c r="O42" s="19"/>
      <c r="P42" s="19"/>
      <c r="Q42" s="19"/>
      <c r="R42" s="19"/>
      <c r="S42" s="19"/>
      <c r="T42" s="19"/>
      <c r="U42" s="19"/>
      <c r="V42" s="19"/>
      <c r="W42" s="19"/>
      <c r="X42" s="19"/>
      <c r="Y42" s="21"/>
      <c r="Z42" s="19"/>
      <c r="AA42" s="19"/>
      <c r="AB42" s="19"/>
      <c r="AC42" s="19"/>
      <c r="AD42" s="19"/>
      <c r="AE42" s="19"/>
      <c r="AF42" s="19"/>
      <c r="AG42" s="19"/>
      <c r="AH42" s="19"/>
      <c r="AI42" s="19"/>
      <c r="AJ42" s="19"/>
      <c r="AK42" s="19"/>
      <c r="AL42" s="19"/>
      <c r="AM42" s="19" t="str">
        <f t="shared" ref="AM42" si="32">B42</f>
        <v>ActiveWorkbook.Close SaveChanges:=False</v>
      </c>
      <c r="AO42" t="s">
        <v>339</v>
      </c>
    </row>
    <row r="44" spans="2:41" x14ac:dyDescent="0.25">
      <c r="B44" s="22" t="s">
        <v>316</v>
      </c>
      <c r="C44" s="22"/>
      <c r="D44" s="22"/>
      <c r="E44" s="22"/>
      <c r="F44" s="22"/>
      <c r="G44" s="22"/>
      <c r="H44" s="22"/>
      <c r="I44" s="22"/>
      <c r="J44" s="22"/>
      <c r="K44" s="22"/>
      <c r="L44" s="22"/>
      <c r="M44" s="22"/>
      <c r="N44" s="22" t="s">
        <v>321</v>
      </c>
      <c r="O44" s="22"/>
      <c r="P44" s="22"/>
      <c r="Q44" s="22"/>
      <c r="R44" s="22"/>
      <c r="S44" s="22"/>
      <c r="T44" s="22"/>
      <c r="U44" s="22"/>
      <c r="V44" s="22">
        <f t="shared" ref="V44:V45" si="33">V39+1</f>
        <v>8</v>
      </c>
      <c r="W44" s="22"/>
      <c r="X44" s="22"/>
      <c r="Y44" s="23"/>
      <c r="Z44" s="22" t="s">
        <v>322</v>
      </c>
      <c r="AA44" s="22"/>
      <c r="AB44" s="22"/>
      <c r="AC44" s="22"/>
      <c r="AD44" s="22"/>
      <c r="AE44" s="22"/>
      <c r="AF44" s="22"/>
      <c r="AG44" s="22"/>
      <c r="AH44" s="22"/>
      <c r="AI44" s="22"/>
      <c r="AJ44" s="22"/>
      <c r="AK44" s="22"/>
      <c r="AL44" s="22"/>
      <c r="AM44" s="22" t="str">
        <f t="shared" ref="AM44" si="34">+_xlfn.CONCAT(N44&amp;V44&amp;Z44)</f>
        <v xml:space="preserve"> Workbooks.Open "A:\Homes for Ukraine data\Ukraine_sponsorship_data_8.ods"</v>
      </c>
      <c r="AO44" t="s">
        <v>344</v>
      </c>
    </row>
    <row r="45" spans="2:41" x14ac:dyDescent="0.25">
      <c r="B45" s="22" t="s">
        <v>533</v>
      </c>
      <c r="C45" s="22"/>
      <c r="D45" s="22"/>
      <c r="E45" s="22"/>
      <c r="F45" s="22"/>
      <c r="G45" s="22"/>
      <c r="H45" s="22"/>
      <c r="I45" s="22"/>
      <c r="J45" s="22"/>
      <c r="K45" s="22"/>
      <c r="L45" s="22"/>
      <c r="M45" s="22"/>
      <c r="N45" s="22" t="s">
        <v>323</v>
      </c>
      <c r="O45" s="22"/>
      <c r="P45" s="22"/>
      <c r="Q45" s="22"/>
      <c r="R45" s="22"/>
      <c r="S45" s="22"/>
      <c r="T45" s="22"/>
      <c r="U45" s="22"/>
      <c r="V45" s="22">
        <f t="shared" si="33"/>
        <v>8</v>
      </c>
      <c r="W45" s="22"/>
      <c r="X45" s="22"/>
      <c r="Y45" s="23"/>
      <c r="Z45" s="22" t="s">
        <v>532</v>
      </c>
      <c r="AA45" s="22"/>
      <c r="AB45" s="22"/>
      <c r="AC45" s="22"/>
      <c r="AD45" s="22"/>
      <c r="AE45" s="22" t="str">
        <f t="shared" ref="AE45:AF45" si="35">AE40</f>
        <v>E</v>
      </c>
      <c r="AF45" s="22">
        <f t="shared" si="35"/>
        <v>11</v>
      </c>
      <c r="AG45" s="22" t="s">
        <v>327</v>
      </c>
      <c r="AH45" s="22" t="str">
        <f t="shared" ref="AH45:AI45" si="36">AH40</f>
        <v>E</v>
      </c>
      <c r="AI45" s="22">
        <f t="shared" si="36"/>
        <v>24</v>
      </c>
      <c r="AJ45" s="22"/>
      <c r="AK45" s="22" t="s">
        <v>325</v>
      </c>
      <c r="AL45" s="22"/>
      <c r="AM45" s="22" t="str">
        <f t="shared" ref="AM45" si="37">_xlfn.CONCAT(N45&amp;V45&amp;Z45&amp;AE45&amp;AF45&amp;AG45&amp;AE45&amp;AI45&amp;AK45)</f>
        <v xml:space="preserve"> Workbooks("Ukraine_sponsorship_data_8.ods").Worksheets("Northern_Ireland").Range("E11:E24").Copy _</v>
      </c>
      <c r="AO45" t="s">
        <v>691</v>
      </c>
    </row>
    <row r="46" spans="2:41" x14ac:dyDescent="0.25">
      <c r="B46" s="22" t="s">
        <v>808</v>
      </c>
      <c r="C46" s="22"/>
      <c r="D46" s="22"/>
      <c r="E46" s="22"/>
      <c r="F46" s="22"/>
      <c r="G46" s="22"/>
      <c r="H46" s="22"/>
      <c r="I46" s="22"/>
      <c r="J46" s="22"/>
      <c r="K46" s="22"/>
      <c r="L46" s="22"/>
      <c r="M46" s="22"/>
      <c r="N46" s="22" t="s">
        <v>809</v>
      </c>
      <c r="O46" s="22"/>
      <c r="P46" s="22"/>
      <c r="Q46" s="22"/>
      <c r="R46" s="22"/>
      <c r="S46" s="22"/>
      <c r="T46" s="22"/>
      <c r="U46" s="22"/>
      <c r="V46" s="22"/>
      <c r="W46" s="22" t="str">
        <f t="shared" ref="W46" si="38">W41</f>
        <v>A</v>
      </c>
      <c r="X46" s="22" t="str">
        <f t="shared" ref="X46" si="39">CHAR(CODE(X41)+1)</f>
        <v>Y</v>
      </c>
      <c r="Y46" s="23">
        <f t="shared" ref="Y46" si="40">Y41</f>
        <v>264</v>
      </c>
      <c r="Z46" s="22" t="s">
        <v>324</v>
      </c>
      <c r="AA46" s="22"/>
      <c r="AB46" s="22"/>
      <c r="AC46" s="22"/>
      <c r="AD46" s="22"/>
      <c r="AE46" s="22"/>
      <c r="AF46" s="22"/>
      <c r="AG46" s="22"/>
      <c r="AH46" s="22"/>
      <c r="AI46" s="22"/>
      <c r="AJ46" s="22"/>
      <c r="AK46" s="22"/>
      <c r="AL46" s="22"/>
      <c r="AM46" s="22" t="str">
        <f t="shared" ref="AM46" si="41">_xlfn.CONCAT(N46&amp;W46&amp;X46&amp;Y46&amp;Z46)</f>
        <v>Workbooks("HFU Forecast UTLA 1.0.xlsm").Worksheets("Combined data").Range("AY264")</v>
      </c>
      <c r="AO46" t="s">
        <v>855</v>
      </c>
    </row>
    <row r="47" spans="2:41" x14ac:dyDescent="0.25">
      <c r="B47" s="22" t="s">
        <v>339</v>
      </c>
      <c r="C47" s="22"/>
      <c r="D47" s="22"/>
      <c r="E47" s="22"/>
      <c r="F47" s="22"/>
      <c r="G47" s="22"/>
      <c r="H47" s="22"/>
      <c r="I47" s="22"/>
      <c r="J47" s="22"/>
      <c r="K47" s="22"/>
      <c r="L47" s="22"/>
      <c r="M47" s="22"/>
      <c r="N47" s="22"/>
      <c r="O47" s="22"/>
      <c r="P47" s="22"/>
      <c r="Q47" s="22"/>
      <c r="R47" s="22"/>
      <c r="S47" s="22"/>
      <c r="T47" s="22"/>
      <c r="U47" s="22"/>
      <c r="V47" s="22"/>
      <c r="W47" s="22"/>
      <c r="X47" s="22"/>
      <c r="Y47" s="23"/>
      <c r="Z47" s="22"/>
      <c r="AA47" s="22"/>
      <c r="AB47" s="22"/>
      <c r="AC47" s="22"/>
      <c r="AD47" s="22"/>
      <c r="AE47" s="22"/>
      <c r="AF47" s="22"/>
      <c r="AG47" s="22"/>
      <c r="AH47" s="22"/>
      <c r="AI47" s="22"/>
      <c r="AJ47" s="22"/>
      <c r="AK47" s="22"/>
      <c r="AL47" s="22"/>
      <c r="AM47" s="22" t="str">
        <f t="shared" ref="AM47" si="42">B47</f>
        <v>ActiveWorkbook.Close SaveChanges:=False</v>
      </c>
      <c r="AO47" t="s">
        <v>339</v>
      </c>
    </row>
    <row r="49" spans="2:41" x14ac:dyDescent="0.25">
      <c r="B49" s="19" t="s">
        <v>316</v>
      </c>
      <c r="C49" s="19"/>
      <c r="D49" s="19"/>
      <c r="E49" s="19"/>
      <c r="F49" s="19"/>
      <c r="G49" s="19"/>
      <c r="H49" s="19"/>
      <c r="I49" s="19"/>
      <c r="J49" s="19"/>
      <c r="K49" s="19"/>
      <c r="L49" s="19"/>
      <c r="M49" s="19"/>
      <c r="N49" s="19" t="s">
        <v>321</v>
      </c>
      <c r="O49" s="19"/>
      <c r="P49" s="19"/>
      <c r="Q49" s="19"/>
      <c r="R49" s="19"/>
      <c r="S49" s="19"/>
      <c r="T49" s="19"/>
      <c r="U49" s="19"/>
      <c r="V49" s="19">
        <f t="shared" ref="V49:V110" si="43">V44+1</f>
        <v>9</v>
      </c>
      <c r="W49" s="19"/>
      <c r="X49" s="19"/>
      <c r="Y49" s="21"/>
      <c r="Z49" s="19" t="s">
        <v>322</v>
      </c>
      <c r="AA49" s="19"/>
      <c r="AB49" s="19"/>
      <c r="AC49" s="19"/>
      <c r="AD49" s="19"/>
      <c r="AE49" s="19"/>
      <c r="AF49" s="19"/>
      <c r="AG49" s="19"/>
      <c r="AH49" s="19"/>
      <c r="AI49" s="19"/>
      <c r="AJ49" s="19"/>
      <c r="AK49" s="19"/>
      <c r="AL49" s="19"/>
      <c r="AM49" s="19" t="str">
        <f t="shared" ref="AM49" si="44">+_xlfn.CONCAT(N49&amp;V49&amp;Z49)</f>
        <v xml:space="preserve"> Workbooks.Open "A:\Homes for Ukraine data\Ukraine_sponsorship_data_9.ods"</v>
      </c>
      <c r="AO49" t="s">
        <v>345</v>
      </c>
    </row>
    <row r="50" spans="2:41" x14ac:dyDescent="0.25">
      <c r="B50" s="19" t="s">
        <v>533</v>
      </c>
      <c r="C50" s="19"/>
      <c r="D50" s="19"/>
      <c r="E50" s="19"/>
      <c r="F50" s="19"/>
      <c r="G50" s="19"/>
      <c r="H50" s="19"/>
      <c r="I50" s="19"/>
      <c r="J50" s="19"/>
      <c r="K50" s="19"/>
      <c r="L50" s="19"/>
      <c r="M50" s="19"/>
      <c r="N50" s="19" t="s">
        <v>323</v>
      </c>
      <c r="O50" s="19"/>
      <c r="P50" s="19"/>
      <c r="Q50" s="19"/>
      <c r="R50" s="19"/>
      <c r="S50" s="19"/>
      <c r="T50" s="19"/>
      <c r="U50" s="19"/>
      <c r="V50" s="19">
        <f t="shared" si="43"/>
        <v>9</v>
      </c>
      <c r="W50" s="19"/>
      <c r="X50" s="19"/>
      <c r="Y50" s="21"/>
      <c r="Z50" s="19" t="s">
        <v>532</v>
      </c>
      <c r="AA50" s="19"/>
      <c r="AB50" s="19"/>
      <c r="AC50" s="19"/>
      <c r="AD50" s="19"/>
      <c r="AE50" s="19" t="str">
        <f t="shared" ref="AE50:AF50" si="45">AE45</f>
        <v>E</v>
      </c>
      <c r="AF50" s="19">
        <f t="shared" si="45"/>
        <v>11</v>
      </c>
      <c r="AG50" s="19" t="s">
        <v>327</v>
      </c>
      <c r="AH50" s="19" t="str">
        <f t="shared" ref="AH50:AI50" si="46">AH45</f>
        <v>E</v>
      </c>
      <c r="AI50" s="19">
        <f t="shared" si="46"/>
        <v>24</v>
      </c>
      <c r="AJ50" s="19"/>
      <c r="AK50" s="19" t="s">
        <v>325</v>
      </c>
      <c r="AL50" s="19"/>
      <c r="AM50" s="19" t="str">
        <f t="shared" ref="AM50" si="47">_xlfn.CONCAT(N50&amp;V50&amp;Z50&amp;AE50&amp;AF50&amp;AG50&amp;AE50&amp;AI50&amp;AK50)</f>
        <v xml:space="preserve"> Workbooks("Ukraine_sponsorship_data_9.ods").Worksheets("Northern_Ireland").Range("E11:E24").Copy _</v>
      </c>
      <c r="AO50" t="s">
        <v>692</v>
      </c>
    </row>
    <row r="51" spans="2:41" x14ac:dyDescent="0.25">
      <c r="B51" s="19" t="s">
        <v>808</v>
      </c>
      <c r="C51" s="19"/>
      <c r="D51" s="19"/>
      <c r="E51" s="19"/>
      <c r="F51" s="19"/>
      <c r="G51" s="19"/>
      <c r="H51" s="19"/>
      <c r="I51" s="19"/>
      <c r="J51" s="19"/>
      <c r="K51" s="19"/>
      <c r="L51" s="19"/>
      <c r="M51" s="19"/>
      <c r="N51" s="19" t="s">
        <v>809</v>
      </c>
      <c r="O51" s="19"/>
      <c r="P51" s="19"/>
      <c r="Q51" s="19"/>
      <c r="R51" s="19"/>
      <c r="S51" s="19"/>
      <c r="T51" s="19"/>
      <c r="U51" s="19"/>
      <c r="V51" s="19"/>
      <c r="W51" s="19" t="str">
        <f t="shared" ref="W51:W101" si="48">W46</f>
        <v>A</v>
      </c>
      <c r="X51" s="19" t="str">
        <f t="shared" ref="X51:X111" si="49">CHAR(CODE(X46)+1)</f>
        <v>Z</v>
      </c>
      <c r="Y51" s="21">
        <f t="shared" ref="Y51" si="50">Y46</f>
        <v>264</v>
      </c>
      <c r="Z51" s="19" t="s">
        <v>324</v>
      </c>
      <c r="AA51" s="19"/>
      <c r="AB51" s="19"/>
      <c r="AC51" s="19"/>
      <c r="AD51" s="19"/>
      <c r="AE51" s="19"/>
      <c r="AF51" s="19"/>
      <c r="AG51" s="19"/>
      <c r="AH51" s="19"/>
      <c r="AI51" s="19"/>
      <c r="AJ51" s="19"/>
      <c r="AK51" s="19"/>
      <c r="AL51" s="19"/>
      <c r="AM51" s="19" t="str">
        <f t="shared" ref="AM51" si="51">_xlfn.CONCAT(N51&amp;W51&amp;X51&amp;Y51&amp;Z51)</f>
        <v>Workbooks("HFU Forecast UTLA 1.0.xlsm").Worksheets("Combined data").Range("AZ264")</v>
      </c>
      <c r="AO51" t="s">
        <v>856</v>
      </c>
    </row>
    <row r="52" spans="2:41" x14ac:dyDescent="0.25">
      <c r="B52" s="19" t="s">
        <v>339</v>
      </c>
      <c r="C52" s="19"/>
      <c r="D52" s="19"/>
      <c r="E52" s="19"/>
      <c r="F52" s="19"/>
      <c r="G52" s="19"/>
      <c r="H52" s="19"/>
      <c r="I52" s="19"/>
      <c r="J52" s="19"/>
      <c r="K52" s="19"/>
      <c r="L52" s="19"/>
      <c r="M52" s="19"/>
      <c r="N52" s="19"/>
      <c r="O52" s="19"/>
      <c r="P52" s="19"/>
      <c r="Q52" s="19"/>
      <c r="R52" s="19"/>
      <c r="S52" s="19"/>
      <c r="T52" s="19"/>
      <c r="U52" s="19"/>
      <c r="V52" s="19"/>
      <c r="W52" s="19"/>
      <c r="X52" s="19"/>
      <c r="Y52" s="21"/>
      <c r="Z52" s="19"/>
      <c r="AA52" s="19"/>
      <c r="AB52" s="19"/>
      <c r="AC52" s="19"/>
      <c r="AD52" s="19"/>
      <c r="AE52" s="19"/>
      <c r="AF52" s="19"/>
      <c r="AG52" s="19"/>
      <c r="AH52" s="19"/>
      <c r="AI52" s="19"/>
      <c r="AJ52" s="19"/>
      <c r="AK52" s="19"/>
      <c r="AL52" s="19"/>
      <c r="AM52" s="19" t="str">
        <f t="shared" ref="AM52" si="52">B52</f>
        <v>ActiveWorkbook.Close SaveChanges:=False</v>
      </c>
      <c r="AO52" t="s">
        <v>339</v>
      </c>
    </row>
    <row r="54" spans="2:41" x14ac:dyDescent="0.25">
      <c r="B54" s="22" t="s">
        <v>316</v>
      </c>
      <c r="C54" s="22"/>
      <c r="D54" s="22"/>
      <c r="E54" s="22"/>
      <c r="F54" s="22"/>
      <c r="G54" s="22"/>
      <c r="H54" s="22"/>
      <c r="I54" s="22"/>
      <c r="J54" s="22"/>
      <c r="K54" s="22"/>
      <c r="L54" s="22"/>
      <c r="M54" s="22"/>
      <c r="N54" s="22" t="s">
        <v>321</v>
      </c>
      <c r="O54" s="22"/>
      <c r="P54" s="22"/>
      <c r="Q54" s="22"/>
      <c r="R54" s="22"/>
      <c r="S54" s="22"/>
      <c r="T54" s="22"/>
      <c r="U54" s="22"/>
      <c r="V54" s="22">
        <f t="shared" ref="V54:V115" si="53">V49+1</f>
        <v>10</v>
      </c>
      <c r="W54" s="22"/>
      <c r="X54" s="22"/>
      <c r="Y54" s="23"/>
      <c r="Z54" s="22" t="s">
        <v>322</v>
      </c>
      <c r="AA54" s="22"/>
      <c r="AB54" s="22"/>
      <c r="AC54" s="22"/>
      <c r="AD54" s="22"/>
      <c r="AE54" s="22"/>
      <c r="AF54" s="22"/>
      <c r="AG54" s="22"/>
      <c r="AH54" s="22"/>
      <c r="AI54" s="22"/>
      <c r="AJ54" s="22"/>
      <c r="AK54" s="22"/>
      <c r="AL54" s="22"/>
      <c r="AM54" s="22" t="str">
        <f t="shared" ref="AM54" si="54">+_xlfn.CONCAT(N54&amp;V54&amp;Z54)</f>
        <v xml:space="preserve"> Workbooks.Open "A:\Homes for Ukraine data\Ukraine_sponsorship_data_10.ods"</v>
      </c>
      <c r="AO54" t="s">
        <v>346</v>
      </c>
    </row>
    <row r="55" spans="2:41" x14ac:dyDescent="0.25">
      <c r="B55" s="22" t="s">
        <v>533</v>
      </c>
      <c r="C55" s="22"/>
      <c r="D55" s="22"/>
      <c r="E55" s="22"/>
      <c r="F55" s="22"/>
      <c r="G55" s="22"/>
      <c r="H55" s="22"/>
      <c r="I55" s="22"/>
      <c r="J55" s="22"/>
      <c r="K55" s="22"/>
      <c r="L55" s="22"/>
      <c r="M55" s="22"/>
      <c r="N55" s="22" t="s">
        <v>323</v>
      </c>
      <c r="O55" s="22"/>
      <c r="P55" s="22"/>
      <c r="Q55" s="22"/>
      <c r="R55" s="22"/>
      <c r="S55" s="22"/>
      <c r="T55" s="22"/>
      <c r="U55" s="22"/>
      <c r="V55" s="22">
        <f t="shared" si="53"/>
        <v>10</v>
      </c>
      <c r="W55" s="22"/>
      <c r="X55" s="22"/>
      <c r="Y55" s="23"/>
      <c r="Z55" s="22" t="s">
        <v>532</v>
      </c>
      <c r="AA55" s="22"/>
      <c r="AB55" s="22"/>
      <c r="AC55" s="22"/>
      <c r="AD55" s="22"/>
      <c r="AE55" s="22" t="str">
        <f t="shared" ref="AE55:AF55" si="55">AE50</f>
        <v>E</v>
      </c>
      <c r="AF55" s="22">
        <f t="shared" si="55"/>
        <v>11</v>
      </c>
      <c r="AG55" s="22" t="s">
        <v>327</v>
      </c>
      <c r="AH55" s="22" t="str">
        <f t="shared" ref="AH55:AI55" si="56">AH50</f>
        <v>E</v>
      </c>
      <c r="AI55" s="22">
        <f t="shared" si="56"/>
        <v>24</v>
      </c>
      <c r="AJ55" s="22"/>
      <c r="AK55" s="22" t="s">
        <v>325</v>
      </c>
      <c r="AL55" s="22"/>
      <c r="AM55" s="22" t="str">
        <f t="shared" ref="AM55" si="57">_xlfn.CONCAT(N55&amp;V55&amp;Z55&amp;AE55&amp;AF55&amp;AG55&amp;AE55&amp;AI55&amp;AK55)</f>
        <v xml:space="preserve"> Workbooks("Ukraine_sponsorship_data_10.ods").Worksheets("Northern_Ireland").Range("E11:E24").Copy _</v>
      </c>
      <c r="AO55" t="s">
        <v>693</v>
      </c>
    </row>
    <row r="56" spans="2:41" x14ac:dyDescent="0.25">
      <c r="B56" s="22" t="s">
        <v>808</v>
      </c>
      <c r="C56" s="22"/>
      <c r="D56" s="22"/>
      <c r="E56" s="22"/>
      <c r="F56" s="22"/>
      <c r="G56" s="22"/>
      <c r="H56" s="22"/>
      <c r="I56" s="22"/>
      <c r="J56" s="22"/>
      <c r="K56" s="22"/>
      <c r="L56" s="22"/>
      <c r="M56" s="22"/>
      <c r="N56" s="22" t="s">
        <v>809</v>
      </c>
      <c r="O56" s="22"/>
      <c r="P56" s="22"/>
      <c r="Q56" s="22"/>
      <c r="R56" s="22"/>
      <c r="S56" s="22"/>
      <c r="T56" s="22"/>
      <c r="U56" s="22"/>
      <c r="V56" s="22"/>
      <c r="W56" s="22" t="s">
        <v>313</v>
      </c>
      <c r="X56" s="22" t="s">
        <v>312</v>
      </c>
      <c r="Y56" s="23">
        <f t="shared" ref="Y56" si="58">Y51</f>
        <v>264</v>
      </c>
      <c r="Z56" s="22" t="s">
        <v>324</v>
      </c>
      <c r="AA56" s="22"/>
      <c r="AB56" s="22"/>
      <c r="AC56" s="22"/>
      <c r="AD56" s="22"/>
      <c r="AE56" s="22"/>
      <c r="AF56" s="22"/>
      <c r="AG56" s="22"/>
      <c r="AH56" s="22"/>
      <c r="AI56" s="22"/>
      <c r="AJ56" s="22"/>
      <c r="AK56" s="22"/>
      <c r="AL56" s="22"/>
      <c r="AM56" s="22" t="str">
        <f t="shared" ref="AM56" si="59">_xlfn.CONCAT(N56&amp;W56&amp;X56&amp;Y56&amp;Z56)</f>
        <v>Workbooks("HFU Forecast UTLA 1.0.xlsm").Worksheets("Combined data").Range("BA264")</v>
      </c>
      <c r="AO56" t="s">
        <v>1194</v>
      </c>
    </row>
    <row r="57" spans="2:41" x14ac:dyDescent="0.25">
      <c r="B57" s="22" t="s">
        <v>339</v>
      </c>
      <c r="C57" s="22"/>
      <c r="D57" s="22"/>
      <c r="E57" s="22"/>
      <c r="F57" s="22"/>
      <c r="G57" s="22"/>
      <c r="H57" s="22"/>
      <c r="I57" s="22"/>
      <c r="J57" s="22"/>
      <c r="K57" s="22"/>
      <c r="L57" s="22"/>
      <c r="M57" s="22"/>
      <c r="N57" s="22"/>
      <c r="O57" s="22"/>
      <c r="P57" s="22"/>
      <c r="Q57" s="22"/>
      <c r="R57" s="22"/>
      <c r="S57" s="22"/>
      <c r="T57" s="22"/>
      <c r="U57" s="22"/>
      <c r="V57" s="22"/>
      <c r="W57" s="22"/>
      <c r="X57" s="22"/>
      <c r="Y57" s="23"/>
      <c r="Z57" s="22"/>
      <c r="AA57" s="22"/>
      <c r="AB57" s="22"/>
      <c r="AC57" s="22"/>
      <c r="AD57" s="22"/>
      <c r="AE57" s="22"/>
      <c r="AF57" s="22"/>
      <c r="AG57" s="22"/>
      <c r="AH57" s="22"/>
      <c r="AI57" s="22"/>
      <c r="AJ57" s="22"/>
      <c r="AK57" s="22"/>
      <c r="AL57" s="22"/>
      <c r="AM57" s="22" t="str">
        <f t="shared" ref="AM57" si="60">B57</f>
        <v>ActiveWorkbook.Close SaveChanges:=False</v>
      </c>
      <c r="AO57" t="s">
        <v>339</v>
      </c>
    </row>
    <row r="59" spans="2:41" x14ac:dyDescent="0.25">
      <c r="B59" s="19" t="s">
        <v>316</v>
      </c>
      <c r="C59" s="19"/>
      <c r="D59" s="19"/>
      <c r="E59" s="19"/>
      <c r="F59" s="19"/>
      <c r="G59" s="19"/>
      <c r="H59" s="19"/>
      <c r="I59" s="19"/>
      <c r="J59" s="19"/>
      <c r="K59" s="19"/>
      <c r="L59" s="19"/>
      <c r="M59" s="19"/>
      <c r="N59" s="19" t="s">
        <v>321</v>
      </c>
      <c r="O59" s="19"/>
      <c r="P59" s="19"/>
      <c r="Q59" s="19"/>
      <c r="R59" s="19"/>
      <c r="S59" s="19"/>
      <c r="T59" s="19"/>
      <c r="U59" s="19"/>
      <c r="V59" s="19">
        <f t="shared" si="43"/>
        <v>11</v>
      </c>
      <c r="W59" s="19"/>
      <c r="X59" s="19"/>
      <c r="Y59" s="21"/>
      <c r="Z59" s="19" t="s">
        <v>322</v>
      </c>
      <c r="AA59" s="19"/>
      <c r="AB59" s="19"/>
      <c r="AC59" s="19"/>
      <c r="AD59" s="19"/>
      <c r="AE59" s="19"/>
      <c r="AF59" s="19"/>
      <c r="AG59" s="19"/>
      <c r="AH59" s="19"/>
      <c r="AI59" s="19"/>
      <c r="AJ59" s="19"/>
      <c r="AK59" s="19"/>
      <c r="AL59" s="19"/>
      <c r="AM59" s="19" t="str">
        <f t="shared" ref="AM59" si="61">+_xlfn.CONCAT(N59&amp;V59&amp;Z59)</f>
        <v xml:space="preserve"> Workbooks.Open "A:\Homes for Ukraine data\Ukraine_sponsorship_data_11.ods"</v>
      </c>
      <c r="AO59" t="s">
        <v>347</v>
      </c>
    </row>
    <row r="60" spans="2:41" x14ac:dyDescent="0.25">
      <c r="B60" s="19" t="s">
        <v>533</v>
      </c>
      <c r="C60" s="19"/>
      <c r="D60" s="19"/>
      <c r="E60" s="19"/>
      <c r="F60" s="19"/>
      <c r="G60" s="19"/>
      <c r="H60" s="19"/>
      <c r="I60" s="19"/>
      <c r="J60" s="19"/>
      <c r="K60" s="19"/>
      <c r="L60" s="19"/>
      <c r="M60" s="19"/>
      <c r="N60" s="19" t="s">
        <v>323</v>
      </c>
      <c r="O60" s="19"/>
      <c r="P60" s="19"/>
      <c r="Q60" s="19"/>
      <c r="R60" s="19"/>
      <c r="S60" s="19"/>
      <c r="T60" s="19"/>
      <c r="U60" s="19"/>
      <c r="V60" s="19">
        <f t="shared" si="43"/>
        <v>11</v>
      </c>
      <c r="W60" s="19"/>
      <c r="X60" s="19"/>
      <c r="Y60" s="21"/>
      <c r="Z60" s="19" t="s">
        <v>532</v>
      </c>
      <c r="AA60" s="19"/>
      <c r="AB60" s="19"/>
      <c r="AC60" s="19"/>
      <c r="AD60" s="19"/>
      <c r="AE60" s="19" t="str">
        <f t="shared" ref="AE60:AF60" si="62">AE55</f>
        <v>E</v>
      </c>
      <c r="AF60" s="19">
        <f t="shared" si="62"/>
        <v>11</v>
      </c>
      <c r="AG60" s="19" t="s">
        <v>327</v>
      </c>
      <c r="AH60" s="19" t="str">
        <f t="shared" ref="AH60:AI60" si="63">AH55</f>
        <v>E</v>
      </c>
      <c r="AI60" s="19">
        <f t="shared" si="63"/>
        <v>24</v>
      </c>
      <c r="AJ60" s="19"/>
      <c r="AK60" s="19" t="s">
        <v>325</v>
      </c>
      <c r="AL60" s="19"/>
      <c r="AM60" s="19" t="str">
        <f t="shared" ref="AM60" si="64">_xlfn.CONCAT(N60&amp;V60&amp;Z60&amp;AE60&amp;AF60&amp;AG60&amp;AE60&amp;AI60&amp;AK60)</f>
        <v xml:space="preserve"> Workbooks("Ukraine_sponsorship_data_11.ods").Worksheets("Northern_Ireland").Range("E11:E24").Copy _</v>
      </c>
      <c r="AO60" t="s">
        <v>694</v>
      </c>
    </row>
    <row r="61" spans="2:41" x14ac:dyDescent="0.25">
      <c r="B61" s="19" t="s">
        <v>808</v>
      </c>
      <c r="C61" s="19"/>
      <c r="D61" s="19"/>
      <c r="E61" s="19"/>
      <c r="F61" s="19"/>
      <c r="G61" s="19"/>
      <c r="H61" s="19"/>
      <c r="I61" s="19"/>
      <c r="J61" s="19"/>
      <c r="K61" s="19"/>
      <c r="L61" s="19"/>
      <c r="M61" s="19"/>
      <c r="N61" s="19" t="s">
        <v>809</v>
      </c>
      <c r="O61" s="19"/>
      <c r="P61" s="19"/>
      <c r="Q61" s="19"/>
      <c r="R61" s="19"/>
      <c r="S61" s="19"/>
      <c r="T61" s="19"/>
      <c r="U61" s="19"/>
      <c r="V61" s="19"/>
      <c r="W61" s="19" t="str">
        <f t="shared" si="48"/>
        <v>B</v>
      </c>
      <c r="X61" s="19" t="str">
        <f t="shared" si="49"/>
        <v>B</v>
      </c>
      <c r="Y61" s="21">
        <f t="shared" ref="Y61" si="65">Y56</f>
        <v>264</v>
      </c>
      <c r="Z61" s="19" t="s">
        <v>324</v>
      </c>
      <c r="AA61" s="19"/>
      <c r="AB61" s="19"/>
      <c r="AC61" s="19"/>
      <c r="AD61" s="19"/>
      <c r="AE61" s="19"/>
      <c r="AF61" s="19"/>
      <c r="AG61" s="19"/>
      <c r="AH61" s="19"/>
      <c r="AI61" s="19"/>
      <c r="AJ61" s="19"/>
      <c r="AK61" s="19"/>
      <c r="AL61" s="19"/>
      <c r="AM61" s="19" t="str">
        <f t="shared" ref="AM61" si="66">_xlfn.CONCAT(N61&amp;W61&amp;X61&amp;Y61&amp;Z61)</f>
        <v>Workbooks("HFU Forecast UTLA 1.0.xlsm").Worksheets("Combined data").Range("BB264")</v>
      </c>
      <c r="AO61" t="s">
        <v>1195</v>
      </c>
    </row>
    <row r="62" spans="2:41" x14ac:dyDescent="0.25">
      <c r="B62" s="19" t="s">
        <v>339</v>
      </c>
      <c r="C62" s="19"/>
      <c r="D62" s="19"/>
      <c r="E62" s="19"/>
      <c r="F62" s="19"/>
      <c r="G62" s="19"/>
      <c r="H62" s="19"/>
      <c r="I62" s="19"/>
      <c r="J62" s="19"/>
      <c r="K62" s="19"/>
      <c r="L62" s="19"/>
      <c r="M62" s="19"/>
      <c r="N62" s="19"/>
      <c r="O62" s="19"/>
      <c r="P62" s="19"/>
      <c r="Q62" s="19"/>
      <c r="R62" s="19"/>
      <c r="S62" s="19"/>
      <c r="T62" s="19"/>
      <c r="U62" s="19"/>
      <c r="V62" s="19"/>
      <c r="W62" s="19"/>
      <c r="X62" s="19"/>
      <c r="Y62" s="21"/>
      <c r="Z62" s="19"/>
      <c r="AA62" s="19"/>
      <c r="AB62" s="19"/>
      <c r="AC62" s="19"/>
      <c r="AD62" s="19"/>
      <c r="AE62" s="19"/>
      <c r="AF62" s="19"/>
      <c r="AG62" s="19"/>
      <c r="AH62" s="19"/>
      <c r="AI62" s="19"/>
      <c r="AJ62" s="19"/>
      <c r="AK62" s="19"/>
      <c r="AL62" s="19"/>
      <c r="AM62" s="19" t="str">
        <f t="shared" ref="AM62" si="67">B62</f>
        <v>ActiveWorkbook.Close SaveChanges:=False</v>
      </c>
      <c r="AO62" t="s">
        <v>339</v>
      </c>
    </row>
    <row r="64" spans="2:41" x14ac:dyDescent="0.25">
      <c r="B64" s="22" t="s">
        <v>316</v>
      </c>
      <c r="C64" s="22"/>
      <c r="D64" s="22"/>
      <c r="E64" s="22"/>
      <c r="F64" s="22"/>
      <c r="G64" s="22"/>
      <c r="H64" s="22"/>
      <c r="I64" s="22"/>
      <c r="J64" s="22"/>
      <c r="K64" s="22"/>
      <c r="L64" s="22"/>
      <c r="M64" s="22"/>
      <c r="N64" s="22" t="s">
        <v>321</v>
      </c>
      <c r="O64" s="22"/>
      <c r="P64" s="22"/>
      <c r="Q64" s="22"/>
      <c r="R64" s="22"/>
      <c r="S64" s="22"/>
      <c r="T64" s="22"/>
      <c r="U64" s="22"/>
      <c r="V64" s="22">
        <f t="shared" si="53"/>
        <v>12</v>
      </c>
      <c r="W64" s="22"/>
      <c r="X64" s="22"/>
      <c r="Y64" s="23"/>
      <c r="Z64" s="22" t="s">
        <v>322</v>
      </c>
      <c r="AA64" s="22"/>
      <c r="AB64" s="22"/>
      <c r="AC64" s="22"/>
      <c r="AD64" s="22"/>
      <c r="AE64" s="22"/>
      <c r="AF64" s="22"/>
      <c r="AG64" s="22"/>
      <c r="AH64" s="22"/>
      <c r="AI64" s="22"/>
      <c r="AJ64" s="22"/>
      <c r="AK64" s="22"/>
      <c r="AL64" s="22"/>
      <c r="AM64" s="22" t="str">
        <f t="shared" ref="AM64" si="68">+_xlfn.CONCAT(N64&amp;V64&amp;Z64)</f>
        <v xml:space="preserve"> Workbooks.Open "A:\Homes for Ukraine data\Ukraine_sponsorship_data_12.ods"</v>
      </c>
      <c r="AO64" t="s">
        <v>348</v>
      </c>
    </row>
    <row r="65" spans="2:41" x14ac:dyDescent="0.25">
      <c r="B65" s="22" t="s">
        <v>533</v>
      </c>
      <c r="C65" s="22"/>
      <c r="D65" s="22"/>
      <c r="E65" s="22"/>
      <c r="F65" s="22"/>
      <c r="G65" s="22"/>
      <c r="H65" s="22"/>
      <c r="I65" s="22"/>
      <c r="J65" s="22"/>
      <c r="K65" s="22"/>
      <c r="L65" s="22"/>
      <c r="M65" s="22"/>
      <c r="N65" s="22" t="s">
        <v>323</v>
      </c>
      <c r="O65" s="22"/>
      <c r="P65" s="22"/>
      <c r="Q65" s="22"/>
      <c r="R65" s="22"/>
      <c r="S65" s="22"/>
      <c r="T65" s="22"/>
      <c r="U65" s="22"/>
      <c r="V65" s="22">
        <f t="shared" si="53"/>
        <v>12</v>
      </c>
      <c r="W65" s="22"/>
      <c r="X65" s="22"/>
      <c r="Y65" s="23"/>
      <c r="Z65" s="22" t="s">
        <v>532</v>
      </c>
      <c r="AA65" s="22"/>
      <c r="AB65" s="22"/>
      <c r="AC65" s="22"/>
      <c r="AD65" s="22"/>
      <c r="AE65" s="22" t="str">
        <f t="shared" ref="AE65:AF65" si="69">AE60</f>
        <v>E</v>
      </c>
      <c r="AF65" s="22">
        <f t="shared" si="69"/>
        <v>11</v>
      </c>
      <c r="AG65" s="22" t="s">
        <v>327</v>
      </c>
      <c r="AH65" s="22" t="str">
        <f t="shared" ref="AH65:AI65" si="70">AH60</f>
        <v>E</v>
      </c>
      <c r="AI65" s="22">
        <f t="shared" si="70"/>
        <v>24</v>
      </c>
      <c r="AJ65" s="22"/>
      <c r="AK65" s="22" t="s">
        <v>325</v>
      </c>
      <c r="AL65" s="22"/>
      <c r="AM65" s="22" t="str">
        <f t="shared" ref="AM65" si="71">_xlfn.CONCAT(N65&amp;V65&amp;Z65&amp;AE65&amp;AF65&amp;AG65&amp;AE65&amp;AI65&amp;AK65)</f>
        <v xml:space="preserve"> Workbooks("Ukraine_sponsorship_data_12.ods").Worksheets("Northern_Ireland").Range("E11:E24").Copy _</v>
      </c>
      <c r="AO65" t="s">
        <v>695</v>
      </c>
    </row>
    <row r="66" spans="2:41" x14ac:dyDescent="0.25">
      <c r="B66" s="22" t="s">
        <v>808</v>
      </c>
      <c r="C66" s="22"/>
      <c r="D66" s="22"/>
      <c r="E66" s="22"/>
      <c r="F66" s="22"/>
      <c r="G66" s="22"/>
      <c r="H66" s="22"/>
      <c r="I66" s="22"/>
      <c r="J66" s="22"/>
      <c r="K66" s="22"/>
      <c r="L66" s="22"/>
      <c r="M66" s="22"/>
      <c r="N66" s="22" t="s">
        <v>809</v>
      </c>
      <c r="O66" s="22"/>
      <c r="P66" s="22"/>
      <c r="Q66" s="22"/>
      <c r="R66" s="22"/>
      <c r="S66" s="22"/>
      <c r="T66" s="22"/>
      <c r="U66" s="22"/>
      <c r="V66" s="22"/>
      <c r="W66" s="22" t="str">
        <f t="shared" ref="W66:W116" si="72">W61</f>
        <v>B</v>
      </c>
      <c r="X66" s="22" t="str">
        <f t="shared" ref="X66:X116" si="73">CHAR(CODE(X61)+1)</f>
        <v>C</v>
      </c>
      <c r="Y66" s="23">
        <f t="shared" ref="Y66" si="74">Y61</f>
        <v>264</v>
      </c>
      <c r="Z66" s="22" t="s">
        <v>324</v>
      </c>
      <c r="AA66" s="22"/>
      <c r="AB66" s="22"/>
      <c r="AC66" s="22"/>
      <c r="AD66" s="22"/>
      <c r="AE66" s="22"/>
      <c r="AF66" s="22"/>
      <c r="AG66" s="22"/>
      <c r="AH66" s="22"/>
      <c r="AI66" s="22"/>
      <c r="AJ66" s="22"/>
      <c r="AK66" s="22"/>
      <c r="AL66" s="22"/>
      <c r="AM66" s="22" t="str">
        <f t="shared" ref="AM66" si="75">_xlfn.CONCAT(N66&amp;W66&amp;X66&amp;Y66&amp;Z66)</f>
        <v>Workbooks("HFU Forecast UTLA 1.0.xlsm").Worksheets("Combined data").Range("BC264")</v>
      </c>
      <c r="AO66" t="s">
        <v>1196</v>
      </c>
    </row>
    <row r="67" spans="2:41" x14ac:dyDescent="0.25">
      <c r="B67" s="22" t="s">
        <v>339</v>
      </c>
      <c r="C67" s="22"/>
      <c r="D67" s="22"/>
      <c r="E67" s="22"/>
      <c r="F67" s="22"/>
      <c r="G67" s="22"/>
      <c r="H67" s="22"/>
      <c r="I67" s="22"/>
      <c r="J67" s="22"/>
      <c r="K67" s="22"/>
      <c r="L67" s="22"/>
      <c r="M67" s="22"/>
      <c r="N67" s="22"/>
      <c r="O67" s="22"/>
      <c r="P67" s="22"/>
      <c r="Q67" s="22"/>
      <c r="R67" s="22"/>
      <c r="S67" s="22"/>
      <c r="T67" s="22"/>
      <c r="U67" s="22"/>
      <c r="V67" s="22"/>
      <c r="W67" s="22"/>
      <c r="X67" s="22"/>
      <c r="Y67" s="23"/>
      <c r="Z67" s="22"/>
      <c r="AA67" s="22"/>
      <c r="AB67" s="22"/>
      <c r="AC67" s="22"/>
      <c r="AD67" s="22"/>
      <c r="AE67" s="22"/>
      <c r="AF67" s="22"/>
      <c r="AG67" s="22"/>
      <c r="AH67" s="22"/>
      <c r="AI67" s="22"/>
      <c r="AJ67" s="22"/>
      <c r="AK67" s="22"/>
      <c r="AL67" s="22"/>
      <c r="AM67" s="22" t="str">
        <f t="shared" ref="AM67" si="76">B67</f>
        <v>ActiveWorkbook.Close SaveChanges:=False</v>
      </c>
      <c r="AO67" t="s">
        <v>339</v>
      </c>
    </row>
    <row r="69" spans="2:41" x14ac:dyDescent="0.25">
      <c r="B69" s="19" t="s">
        <v>316</v>
      </c>
      <c r="C69" s="19"/>
      <c r="D69" s="19"/>
      <c r="E69" s="19"/>
      <c r="F69" s="19"/>
      <c r="G69" s="19"/>
      <c r="H69" s="19"/>
      <c r="I69" s="19"/>
      <c r="J69" s="19"/>
      <c r="K69" s="19"/>
      <c r="L69" s="19"/>
      <c r="M69" s="19"/>
      <c r="N69" s="19" t="s">
        <v>321</v>
      </c>
      <c r="O69" s="19"/>
      <c r="P69" s="19"/>
      <c r="Q69" s="19"/>
      <c r="R69" s="19"/>
      <c r="S69" s="19"/>
      <c r="T69" s="19"/>
      <c r="U69" s="19"/>
      <c r="V69" s="19">
        <f t="shared" si="43"/>
        <v>13</v>
      </c>
      <c r="W69" s="19"/>
      <c r="X69" s="19"/>
      <c r="Y69" s="21"/>
      <c r="Z69" s="19" t="s">
        <v>322</v>
      </c>
      <c r="AA69" s="19"/>
      <c r="AB69" s="19"/>
      <c r="AC69" s="19"/>
      <c r="AD69" s="19"/>
      <c r="AE69" s="19"/>
      <c r="AF69" s="19"/>
      <c r="AG69" s="19"/>
      <c r="AH69" s="19"/>
      <c r="AI69" s="19"/>
      <c r="AJ69" s="19"/>
      <c r="AK69" s="19"/>
      <c r="AL69" s="19"/>
      <c r="AM69" s="19" t="str">
        <f t="shared" ref="AM69" si="77">+_xlfn.CONCAT(N69&amp;V69&amp;Z69)</f>
        <v xml:space="preserve"> Workbooks.Open "A:\Homes for Ukraine data\Ukraine_sponsorship_data_13.ods"</v>
      </c>
      <c r="AO69" t="s">
        <v>349</v>
      </c>
    </row>
    <row r="70" spans="2:41" x14ac:dyDescent="0.25">
      <c r="B70" s="19" t="s">
        <v>533</v>
      </c>
      <c r="C70" s="19"/>
      <c r="D70" s="19"/>
      <c r="E70" s="19"/>
      <c r="F70" s="19"/>
      <c r="G70" s="19"/>
      <c r="H70" s="19"/>
      <c r="I70" s="19"/>
      <c r="J70" s="19"/>
      <c r="K70" s="19"/>
      <c r="L70" s="19"/>
      <c r="M70" s="19"/>
      <c r="N70" s="19" t="s">
        <v>323</v>
      </c>
      <c r="O70" s="19"/>
      <c r="P70" s="19"/>
      <c r="Q70" s="19"/>
      <c r="R70" s="19"/>
      <c r="S70" s="19"/>
      <c r="T70" s="19"/>
      <c r="U70" s="19"/>
      <c r="V70" s="19">
        <f t="shared" si="43"/>
        <v>13</v>
      </c>
      <c r="W70" s="19"/>
      <c r="X70" s="19"/>
      <c r="Y70" s="21"/>
      <c r="Z70" s="19" t="s">
        <v>532</v>
      </c>
      <c r="AA70" s="19"/>
      <c r="AB70" s="19"/>
      <c r="AC70" s="19"/>
      <c r="AD70" s="19"/>
      <c r="AE70" s="19" t="str">
        <f t="shared" ref="AE70:AF70" si="78">AE65</f>
        <v>E</v>
      </c>
      <c r="AF70" s="19">
        <f t="shared" si="78"/>
        <v>11</v>
      </c>
      <c r="AG70" s="19" t="s">
        <v>327</v>
      </c>
      <c r="AH70" s="19" t="str">
        <f t="shared" ref="AH70:AI70" si="79">AH65</f>
        <v>E</v>
      </c>
      <c r="AI70" s="19">
        <f t="shared" si="79"/>
        <v>24</v>
      </c>
      <c r="AJ70" s="19"/>
      <c r="AK70" s="19" t="s">
        <v>325</v>
      </c>
      <c r="AL70" s="19"/>
      <c r="AM70" s="19" t="str">
        <f t="shared" ref="AM70" si="80">_xlfn.CONCAT(N70&amp;V70&amp;Z70&amp;AE70&amp;AF70&amp;AG70&amp;AE70&amp;AI70&amp;AK70)</f>
        <v xml:space="preserve"> Workbooks("Ukraine_sponsorship_data_13.ods").Worksheets("Northern_Ireland").Range("E11:E24").Copy _</v>
      </c>
      <c r="AO70" t="s">
        <v>696</v>
      </c>
    </row>
    <row r="71" spans="2:41" x14ac:dyDescent="0.25">
      <c r="B71" s="19" t="s">
        <v>808</v>
      </c>
      <c r="C71" s="19"/>
      <c r="D71" s="19"/>
      <c r="E71" s="19"/>
      <c r="F71" s="19"/>
      <c r="G71" s="19"/>
      <c r="H71" s="19"/>
      <c r="I71" s="19"/>
      <c r="J71" s="19"/>
      <c r="K71" s="19"/>
      <c r="L71" s="19"/>
      <c r="M71" s="19"/>
      <c r="N71" s="19" t="s">
        <v>809</v>
      </c>
      <c r="O71" s="19"/>
      <c r="P71" s="19"/>
      <c r="Q71" s="19"/>
      <c r="R71" s="19"/>
      <c r="S71" s="19"/>
      <c r="T71" s="19"/>
      <c r="U71" s="19"/>
      <c r="V71" s="19"/>
      <c r="W71" s="19" t="str">
        <f t="shared" si="48"/>
        <v>B</v>
      </c>
      <c r="X71" s="19" t="str">
        <f t="shared" si="49"/>
        <v>D</v>
      </c>
      <c r="Y71" s="21">
        <f t="shared" ref="Y71" si="81">Y66</f>
        <v>264</v>
      </c>
      <c r="Z71" s="19" t="s">
        <v>324</v>
      </c>
      <c r="AA71" s="19"/>
      <c r="AB71" s="19"/>
      <c r="AC71" s="19"/>
      <c r="AD71" s="19"/>
      <c r="AE71" s="19"/>
      <c r="AF71" s="19"/>
      <c r="AG71" s="19"/>
      <c r="AH71" s="19"/>
      <c r="AI71" s="19"/>
      <c r="AJ71" s="19"/>
      <c r="AK71" s="19"/>
      <c r="AL71" s="19"/>
      <c r="AM71" s="19" t="str">
        <f t="shared" ref="AM71" si="82">_xlfn.CONCAT(N71&amp;W71&amp;X71&amp;Y71&amp;Z71)</f>
        <v>Workbooks("HFU Forecast UTLA 1.0.xlsm").Worksheets("Combined data").Range("BD264")</v>
      </c>
      <c r="AO71" t="s">
        <v>1197</v>
      </c>
    </row>
    <row r="72" spans="2:41" x14ac:dyDescent="0.25">
      <c r="B72" s="19" t="s">
        <v>339</v>
      </c>
      <c r="C72" s="19"/>
      <c r="D72" s="19"/>
      <c r="E72" s="19"/>
      <c r="F72" s="19"/>
      <c r="G72" s="19"/>
      <c r="H72" s="19"/>
      <c r="I72" s="19"/>
      <c r="J72" s="19"/>
      <c r="K72" s="19"/>
      <c r="L72" s="19"/>
      <c r="M72" s="19"/>
      <c r="N72" s="19"/>
      <c r="O72" s="19"/>
      <c r="P72" s="19"/>
      <c r="Q72" s="19"/>
      <c r="R72" s="19"/>
      <c r="S72" s="19"/>
      <c r="T72" s="19"/>
      <c r="U72" s="19"/>
      <c r="V72" s="19"/>
      <c r="W72" s="19"/>
      <c r="X72" s="19"/>
      <c r="Y72" s="21"/>
      <c r="Z72" s="19"/>
      <c r="AA72" s="19"/>
      <c r="AB72" s="19"/>
      <c r="AC72" s="19"/>
      <c r="AD72" s="19"/>
      <c r="AE72" s="19"/>
      <c r="AF72" s="19"/>
      <c r="AG72" s="19"/>
      <c r="AH72" s="19"/>
      <c r="AI72" s="19"/>
      <c r="AJ72" s="19"/>
      <c r="AK72" s="19"/>
      <c r="AL72" s="19"/>
      <c r="AM72" s="19" t="str">
        <f t="shared" ref="AM72" si="83">B72</f>
        <v>ActiveWorkbook.Close SaveChanges:=False</v>
      </c>
      <c r="AO72" t="s">
        <v>339</v>
      </c>
    </row>
    <row r="74" spans="2:41" x14ac:dyDescent="0.25">
      <c r="B74" s="22" t="s">
        <v>316</v>
      </c>
      <c r="C74" s="22"/>
      <c r="D74" s="22"/>
      <c r="E74" s="22"/>
      <c r="F74" s="22"/>
      <c r="G74" s="22"/>
      <c r="H74" s="22"/>
      <c r="I74" s="22"/>
      <c r="J74" s="22"/>
      <c r="K74" s="22"/>
      <c r="L74" s="22"/>
      <c r="M74" s="22"/>
      <c r="N74" s="22" t="s">
        <v>321</v>
      </c>
      <c r="O74" s="22"/>
      <c r="P74" s="22"/>
      <c r="Q74" s="22"/>
      <c r="R74" s="22"/>
      <c r="S74" s="22"/>
      <c r="T74" s="22"/>
      <c r="U74" s="22"/>
      <c r="V74" s="22">
        <f t="shared" si="53"/>
        <v>14</v>
      </c>
      <c r="W74" s="22"/>
      <c r="X74" s="22"/>
      <c r="Y74" s="23"/>
      <c r="Z74" s="22" t="s">
        <v>322</v>
      </c>
      <c r="AA74" s="22"/>
      <c r="AB74" s="22"/>
      <c r="AC74" s="22"/>
      <c r="AD74" s="22"/>
      <c r="AE74" s="22"/>
      <c r="AF74" s="22"/>
      <c r="AG74" s="22"/>
      <c r="AH74" s="22"/>
      <c r="AI74" s="22"/>
      <c r="AJ74" s="22"/>
      <c r="AK74" s="22"/>
      <c r="AL74" s="22"/>
      <c r="AM74" s="22" t="str">
        <f t="shared" ref="AM74" si="84">+_xlfn.CONCAT(N74&amp;V74&amp;Z74)</f>
        <v xml:space="preserve"> Workbooks.Open "A:\Homes for Ukraine data\Ukraine_sponsorship_data_14.ods"</v>
      </c>
      <c r="AO74" t="s">
        <v>350</v>
      </c>
    </row>
    <row r="75" spans="2:41" x14ac:dyDescent="0.25">
      <c r="B75" s="22" t="s">
        <v>533</v>
      </c>
      <c r="C75" s="22"/>
      <c r="D75" s="22"/>
      <c r="E75" s="22"/>
      <c r="F75" s="22"/>
      <c r="G75" s="22"/>
      <c r="H75" s="22"/>
      <c r="I75" s="22"/>
      <c r="J75" s="22"/>
      <c r="K75" s="22"/>
      <c r="L75" s="22"/>
      <c r="M75" s="22"/>
      <c r="N75" s="22" t="s">
        <v>323</v>
      </c>
      <c r="O75" s="22"/>
      <c r="P75" s="22"/>
      <c r="Q75" s="22"/>
      <c r="R75" s="22"/>
      <c r="S75" s="22"/>
      <c r="T75" s="22"/>
      <c r="U75" s="22"/>
      <c r="V75" s="22">
        <f t="shared" si="53"/>
        <v>14</v>
      </c>
      <c r="W75" s="22"/>
      <c r="X75" s="22"/>
      <c r="Y75" s="23"/>
      <c r="Z75" s="22" t="s">
        <v>532</v>
      </c>
      <c r="AA75" s="22"/>
      <c r="AB75" s="22"/>
      <c r="AC75" s="22"/>
      <c r="AD75" s="22"/>
      <c r="AE75" s="22" t="str">
        <f t="shared" ref="AE75:AF75" si="85">AE70</f>
        <v>E</v>
      </c>
      <c r="AF75" s="22">
        <f t="shared" si="85"/>
        <v>11</v>
      </c>
      <c r="AG75" s="22" t="s">
        <v>327</v>
      </c>
      <c r="AH75" s="22" t="str">
        <f t="shared" ref="AH75:AI75" si="86">AH70</f>
        <v>E</v>
      </c>
      <c r="AI75" s="22">
        <f t="shared" si="86"/>
        <v>24</v>
      </c>
      <c r="AJ75" s="22"/>
      <c r="AK75" s="22" t="s">
        <v>325</v>
      </c>
      <c r="AL75" s="22"/>
      <c r="AM75" s="22" t="str">
        <f t="shared" ref="AM75" si="87">_xlfn.CONCAT(N75&amp;V75&amp;Z75&amp;AE75&amp;AF75&amp;AG75&amp;AE75&amp;AI75&amp;AK75)</f>
        <v xml:space="preserve"> Workbooks("Ukraine_sponsorship_data_14.ods").Worksheets("Northern_Ireland").Range("E11:E24").Copy _</v>
      </c>
      <c r="AO75" t="s">
        <v>697</v>
      </c>
    </row>
    <row r="76" spans="2:41" x14ac:dyDescent="0.25">
      <c r="B76" s="22" t="s">
        <v>808</v>
      </c>
      <c r="C76" s="22"/>
      <c r="D76" s="22"/>
      <c r="E76" s="22"/>
      <c r="F76" s="22"/>
      <c r="G76" s="22"/>
      <c r="H76" s="22"/>
      <c r="I76" s="22"/>
      <c r="J76" s="22"/>
      <c r="K76" s="22"/>
      <c r="L76" s="22"/>
      <c r="M76" s="22"/>
      <c r="N76" s="22" t="s">
        <v>809</v>
      </c>
      <c r="O76" s="22"/>
      <c r="P76" s="22"/>
      <c r="Q76" s="22"/>
      <c r="R76" s="22"/>
      <c r="S76" s="22"/>
      <c r="T76" s="22"/>
      <c r="U76" s="22"/>
      <c r="V76" s="22"/>
      <c r="W76" s="22" t="str">
        <f t="shared" si="72"/>
        <v>B</v>
      </c>
      <c r="X76" s="22" t="str">
        <f t="shared" si="73"/>
        <v>E</v>
      </c>
      <c r="Y76" s="23">
        <f t="shared" ref="Y76" si="88">Y71</f>
        <v>264</v>
      </c>
      <c r="Z76" s="22" t="s">
        <v>324</v>
      </c>
      <c r="AA76" s="22"/>
      <c r="AB76" s="22"/>
      <c r="AC76" s="22"/>
      <c r="AD76" s="22"/>
      <c r="AE76" s="22"/>
      <c r="AF76" s="22"/>
      <c r="AG76" s="22"/>
      <c r="AH76" s="22"/>
      <c r="AI76" s="22"/>
      <c r="AJ76" s="22"/>
      <c r="AK76" s="22"/>
      <c r="AL76" s="22"/>
      <c r="AM76" s="22" t="str">
        <f t="shared" ref="AM76" si="89">_xlfn.CONCAT(N76&amp;W76&amp;X76&amp;Y76&amp;Z76)</f>
        <v>Workbooks("HFU Forecast UTLA 1.0.xlsm").Worksheets("Combined data").Range("BE264")</v>
      </c>
      <c r="AO76" t="s">
        <v>1198</v>
      </c>
    </row>
    <row r="77" spans="2:41" x14ac:dyDescent="0.25">
      <c r="B77" s="22" t="s">
        <v>339</v>
      </c>
      <c r="C77" s="22"/>
      <c r="D77" s="22"/>
      <c r="E77" s="22"/>
      <c r="F77" s="22"/>
      <c r="G77" s="22"/>
      <c r="H77" s="22"/>
      <c r="I77" s="22"/>
      <c r="J77" s="22"/>
      <c r="K77" s="22"/>
      <c r="L77" s="22"/>
      <c r="M77" s="22"/>
      <c r="N77" s="22"/>
      <c r="O77" s="22"/>
      <c r="P77" s="22"/>
      <c r="Q77" s="22"/>
      <c r="R77" s="22"/>
      <c r="S77" s="22"/>
      <c r="T77" s="22"/>
      <c r="U77" s="22"/>
      <c r="V77" s="22"/>
      <c r="W77" s="22"/>
      <c r="X77" s="22"/>
      <c r="Y77" s="23"/>
      <c r="Z77" s="22"/>
      <c r="AA77" s="22"/>
      <c r="AB77" s="22"/>
      <c r="AC77" s="22"/>
      <c r="AD77" s="22"/>
      <c r="AE77" s="22"/>
      <c r="AF77" s="22"/>
      <c r="AG77" s="22"/>
      <c r="AH77" s="22"/>
      <c r="AI77" s="22"/>
      <c r="AJ77" s="22"/>
      <c r="AK77" s="22"/>
      <c r="AL77" s="22"/>
      <c r="AM77" s="22" t="str">
        <f t="shared" ref="AM77" si="90">B77</f>
        <v>ActiveWorkbook.Close SaveChanges:=False</v>
      </c>
      <c r="AO77" t="s">
        <v>339</v>
      </c>
    </row>
    <row r="79" spans="2:41" x14ac:dyDescent="0.25">
      <c r="B79" s="19" t="s">
        <v>316</v>
      </c>
      <c r="C79" s="19"/>
      <c r="D79" s="19"/>
      <c r="E79" s="19"/>
      <c r="F79" s="19"/>
      <c r="G79" s="19"/>
      <c r="H79" s="19"/>
      <c r="I79" s="19"/>
      <c r="J79" s="19"/>
      <c r="K79" s="19"/>
      <c r="L79" s="19"/>
      <c r="M79" s="19"/>
      <c r="N79" s="19" t="s">
        <v>321</v>
      </c>
      <c r="O79" s="19"/>
      <c r="P79" s="19"/>
      <c r="Q79" s="19"/>
      <c r="R79" s="19"/>
      <c r="S79" s="19"/>
      <c r="T79" s="19"/>
      <c r="U79" s="19"/>
      <c r="V79" s="19">
        <f t="shared" si="43"/>
        <v>15</v>
      </c>
      <c r="W79" s="19"/>
      <c r="X79" s="19"/>
      <c r="Y79" s="21"/>
      <c r="Z79" s="19" t="s">
        <v>322</v>
      </c>
      <c r="AA79" s="19"/>
      <c r="AB79" s="19"/>
      <c r="AC79" s="19"/>
      <c r="AD79" s="19"/>
      <c r="AE79" s="19"/>
      <c r="AF79" s="19"/>
      <c r="AG79" s="19"/>
      <c r="AH79" s="19"/>
      <c r="AI79" s="19"/>
      <c r="AJ79" s="19"/>
      <c r="AK79" s="19"/>
      <c r="AL79" s="19"/>
      <c r="AM79" s="19" t="str">
        <f t="shared" ref="AM79" si="91">+_xlfn.CONCAT(N79&amp;V79&amp;Z79)</f>
        <v xml:space="preserve"> Workbooks.Open "A:\Homes for Ukraine data\Ukraine_sponsorship_data_15.ods"</v>
      </c>
      <c r="AO79" t="s">
        <v>351</v>
      </c>
    </row>
    <row r="80" spans="2:41" x14ac:dyDescent="0.25">
      <c r="B80" s="19" t="s">
        <v>533</v>
      </c>
      <c r="C80" s="19"/>
      <c r="D80" s="19"/>
      <c r="E80" s="19"/>
      <c r="F80" s="19"/>
      <c r="G80" s="19"/>
      <c r="H80" s="19"/>
      <c r="I80" s="19"/>
      <c r="J80" s="19"/>
      <c r="K80" s="19"/>
      <c r="L80" s="19"/>
      <c r="M80" s="19"/>
      <c r="N80" s="19" t="s">
        <v>323</v>
      </c>
      <c r="O80" s="19"/>
      <c r="P80" s="19"/>
      <c r="Q80" s="19"/>
      <c r="R80" s="19"/>
      <c r="S80" s="19"/>
      <c r="T80" s="19"/>
      <c r="U80" s="19"/>
      <c r="V80" s="19">
        <f t="shared" si="43"/>
        <v>15</v>
      </c>
      <c r="W80" s="19"/>
      <c r="X80" s="19"/>
      <c r="Y80" s="21"/>
      <c r="Z80" s="19" t="s">
        <v>532</v>
      </c>
      <c r="AA80" s="19"/>
      <c r="AB80" s="19"/>
      <c r="AC80" s="19"/>
      <c r="AD80" s="19"/>
      <c r="AE80" s="19" t="str">
        <f t="shared" ref="AE80:AF80" si="92">AE75</f>
        <v>E</v>
      </c>
      <c r="AF80" s="19">
        <f t="shared" si="92"/>
        <v>11</v>
      </c>
      <c r="AG80" s="19" t="s">
        <v>327</v>
      </c>
      <c r="AH80" s="19" t="str">
        <f t="shared" ref="AH80:AI80" si="93">AH75</f>
        <v>E</v>
      </c>
      <c r="AI80" s="19">
        <f t="shared" si="93"/>
        <v>24</v>
      </c>
      <c r="AJ80" s="19"/>
      <c r="AK80" s="19" t="s">
        <v>325</v>
      </c>
      <c r="AL80" s="19"/>
      <c r="AM80" s="19" t="str">
        <f t="shared" ref="AM80" si="94">_xlfn.CONCAT(N80&amp;V80&amp;Z80&amp;AE80&amp;AF80&amp;AG80&amp;AE80&amp;AI80&amp;AK80)</f>
        <v xml:space="preserve"> Workbooks("Ukraine_sponsorship_data_15.ods").Worksheets("Northern_Ireland").Range("E11:E24").Copy _</v>
      </c>
      <c r="AO80" t="s">
        <v>698</v>
      </c>
    </row>
    <row r="81" spans="2:41" x14ac:dyDescent="0.25">
      <c r="B81" s="19" t="s">
        <v>808</v>
      </c>
      <c r="C81" s="19"/>
      <c r="D81" s="19"/>
      <c r="E81" s="19"/>
      <c r="F81" s="19"/>
      <c r="G81" s="19"/>
      <c r="H81" s="19"/>
      <c r="I81" s="19"/>
      <c r="J81" s="19"/>
      <c r="K81" s="19"/>
      <c r="L81" s="19"/>
      <c r="M81" s="19"/>
      <c r="N81" s="19" t="s">
        <v>809</v>
      </c>
      <c r="O81" s="19"/>
      <c r="P81" s="19"/>
      <c r="Q81" s="19"/>
      <c r="R81" s="19"/>
      <c r="S81" s="19"/>
      <c r="T81" s="19"/>
      <c r="U81" s="19"/>
      <c r="V81" s="19"/>
      <c r="W81" s="19" t="str">
        <f t="shared" si="48"/>
        <v>B</v>
      </c>
      <c r="X81" s="19" t="str">
        <f t="shared" si="49"/>
        <v>F</v>
      </c>
      <c r="Y81" s="21">
        <f t="shared" ref="Y81" si="95">Y76</f>
        <v>264</v>
      </c>
      <c r="Z81" s="19" t="s">
        <v>324</v>
      </c>
      <c r="AA81" s="19"/>
      <c r="AB81" s="19"/>
      <c r="AC81" s="19"/>
      <c r="AD81" s="19"/>
      <c r="AE81" s="19"/>
      <c r="AF81" s="19"/>
      <c r="AG81" s="19"/>
      <c r="AH81" s="19"/>
      <c r="AI81" s="19"/>
      <c r="AJ81" s="19"/>
      <c r="AK81" s="19"/>
      <c r="AL81" s="19"/>
      <c r="AM81" s="19" t="str">
        <f t="shared" ref="AM81" si="96">_xlfn.CONCAT(N81&amp;W81&amp;X81&amp;Y81&amp;Z81)</f>
        <v>Workbooks("HFU Forecast UTLA 1.0.xlsm").Worksheets("Combined data").Range("BF264")</v>
      </c>
      <c r="AO81" t="s">
        <v>1199</v>
      </c>
    </row>
    <row r="82" spans="2:41" x14ac:dyDescent="0.25">
      <c r="B82" s="19" t="s">
        <v>339</v>
      </c>
      <c r="C82" s="19"/>
      <c r="D82" s="19"/>
      <c r="E82" s="19"/>
      <c r="F82" s="19"/>
      <c r="G82" s="19"/>
      <c r="H82" s="19"/>
      <c r="I82" s="19"/>
      <c r="J82" s="19"/>
      <c r="K82" s="19"/>
      <c r="L82" s="19"/>
      <c r="M82" s="19"/>
      <c r="N82" s="19"/>
      <c r="O82" s="19"/>
      <c r="P82" s="19"/>
      <c r="Q82" s="19"/>
      <c r="R82" s="19"/>
      <c r="S82" s="19"/>
      <c r="T82" s="19"/>
      <c r="U82" s="19"/>
      <c r="V82" s="19"/>
      <c r="W82" s="19"/>
      <c r="X82" s="19"/>
      <c r="Y82" s="21"/>
      <c r="Z82" s="19"/>
      <c r="AA82" s="19"/>
      <c r="AB82" s="19"/>
      <c r="AC82" s="19"/>
      <c r="AD82" s="19"/>
      <c r="AE82" s="19"/>
      <c r="AF82" s="19"/>
      <c r="AG82" s="19"/>
      <c r="AH82" s="19"/>
      <c r="AI82" s="19"/>
      <c r="AJ82" s="19"/>
      <c r="AK82" s="19"/>
      <c r="AL82" s="19"/>
      <c r="AM82" s="19" t="str">
        <f t="shared" ref="AM82" si="97">B82</f>
        <v>ActiveWorkbook.Close SaveChanges:=False</v>
      </c>
      <c r="AO82" t="s">
        <v>339</v>
      </c>
    </row>
    <row r="84" spans="2:41" x14ac:dyDescent="0.25">
      <c r="B84" s="22" t="s">
        <v>316</v>
      </c>
      <c r="C84" s="22"/>
      <c r="D84" s="22"/>
      <c r="E84" s="22"/>
      <c r="F84" s="22"/>
      <c r="G84" s="22"/>
      <c r="H84" s="22"/>
      <c r="I84" s="22"/>
      <c r="J84" s="22"/>
      <c r="K84" s="22"/>
      <c r="L84" s="22"/>
      <c r="M84" s="22"/>
      <c r="N84" s="22" t="s">
        <v>321</v>
      </c>
      <c r="O84" s="22"/>
      <c r="P84" s="22"/>
      <c r="Q84" s="22"/>
      <c r="R84" s="22"/>
      <c r="S84" s="22"/>
      <c r="T84" s="22"/>
      <c r="U84" s="22"/>
      <c r="V84" s="22">
        <f t="shared" si="53"/>
        <v>16</v>
      </c>
      <c r="W84" s="22"/>
      <c r="X84" s="22"/>
      <c r="Y84" s="23"/>
      <c r="Z84" s="22" t="s">
        <v>322</v>
      </c>
      <c r="AA84" s="22"/>
      <c r="AB84" s="22"/>
      <c r="AC84" s="22"/>
      <c r="AD84" s="22"/>
      <c r="AE84" s="22"/>
      <c r="AF84" s="22"/>
      <c r="AG84" s="22"/>
      <c r="AH84" s="22"/>
      <c r="AI84" s="22"/>
      <c r="AJ84" s="22"/>
      <c r="AK84" s="22"/>
      <c r="AL84" s="22"/>
      <c r="AM84" s="22" t="str">
        <f t="shared" ref="AM84" si="98">+_xlfn.CONCAT(N84&amp;V84&amp;Z84)</f>
        <v xml:space="preserve"> Workbooks.Open "A:\Homes for Ukraine data\Ukraine_sponsorship_data_16.ods"</v>
      </c>
      <c r="AO84" t="s">
        <v>352</v>
      </c>
    </row>
    <row r="85" spans="2:41" x14ac:dyDescent="0.25">
      <c r="B85" s="22" t="s">
        <v>533</v>
      </c>
      <c r="C85" s="22"/>
      <c r="D85" s="22"/>
      <c r="E85" s="22"/>
      <c r="F85" s="22"/>
      <c r="G85" s="22"/>
      <c r="H85" s="22"/>
      <c r="I85" s="22"/>
      <c r="J85" s="22"/>
      <c r="K85" s="22"/>
      <c r="L85" s="22"/>
      <c r="M85" s="22"/>
      <c r="N85" s="22" t="s">
        <v>323</v>
      </c>
      <c r="O85" s="22"/>
      <c r="P85" s="22"/>
      <c r="Q85" s="22"/>
      <c r="R85" s="22"/>
      <c r="S85" s="22"/>
      <c r="T85" s="22"/>
      <c r="U85" s="22"/>
      <c r="V85" s="22">
        <f t="shared" si="53"/>
        <v>16</v>
      </c>
      <c r="W85" s="22"/>
      <c r="X85" s="22"/>
      <c r="Y85" s="23"/>
      <c r="Z85" s="22" t="s">
        <v>532</v>
      </c>
      <c r="AA85" s="22"/>
      <c r="AB85" s="22"/>
      <c r="AC85" s="22"/>
      <c r="AD85" s="22"/>
      <c r="AE85" s="22" t="str">
        <f t="shared" ref="AE85:AF85" si="99">AE80</f>
        <v>E</v>
      </c>
      <c r="AF85" s="22">
        <f t="shared" si="99"/>
        <v>11</v>
      </c>
      <c r="AG85" s="22" t="s">
        <v>327</v>
      </c>
      <c r="AH85" s="22" t="str">
        <f t="shared" ref="AH85:AI85" si="100">AH80</f>
        <v>E</v>
      </c>
      <c r="AI85" s="22">
        <f t="shared" si="100"/>
        <v>24</v>
      </c>
      <c r="AJ85" s="22"/>
      <c r="AK85" s="22" t="s">
        <v>325</v>
      </c>
      <c r="AL85" s="22"/>
      <c r="AM85" s="22" t="str">
        <f t="shared" ref="AM85" si="101">_xlfn.CONCAT(N85&amp;V85&amp;Z85&amp;AE85&amp;AF85&amp;AG85&amp;AE85&amp;AI85&amp;AK85)</f>
        <v xml:space="preserve"> Workbooks("Ukraine_sponsorship_data_16.ods").Worksheets("Northern_Ireland").Range("E11:E24").Copy _</v>
      </c>
      <c r="AO85" t="s">
        <v>699</v>
      </c>
    </row>
    <row r="86" spans="2:41" x14ac:dyDescent="0.25">
      <c r="B86" s="22" t="s">
        <v>808</v>
      </c>
      <c r="C86" s="22"/>
      <c r="D86" s="22"/>
      <c r="E86" s="22"/>
      <c r="F86" s="22"/>
      <c r="G86" s="22"/>
      <c r="H86" s="22"/>
      <c r="I86" s="22"/>
      <c r="J86" s="22"/>
      <c r="K86" s="22"/>
      <c r="L86" s="22"/>
      <c r="M86" s="22"/>
      <c r="N86" s="22" t="s">
        <v>809</v>
      </c>
      <c r="O86" s="22"/>
      <c r="P86" s="22"/>
      <c r="Q86" s="22"/>
      <c r="R86" s="22"/>
      <c r="S86" s="22"/>
      <c r="T86" s="22"/>
      <c r="U86" s="22"/>
      <c r="V86" s="22"/>
      <c r="W86" s="22" t="str">
        <f t="shared" si="72"/>
        <v>B</v>
      </c>
      <c r="X86" s="22" t="str">
        <f t="shared" si="73"/>
        <v>G</v>
      </c>
      <c r="Y86" s="23">
        <f t="shared" ref="Y86" si="102">Y81</f>
        <v>264</v>
      </c>
      <c r="Z86" s="22" t="s">
        <v>324</v>
      </c>
      <c r="AA86" s="22"/>
      <c r="AB86" s="22"/>
      <c r="AC86" s="22"/>
      <c r="AD86" s="22"/>
      <c r="AE86" s="22"/>
      <c r="AF86" s="22"/>
      <c r="AG86" s="22"/>
      <c r="AH86" s="22"/>
      <c r="AI86" s="22"/>
      <c r="AJ86" s="22"/>
      <c r="AK86" s="22"/>
      <c r="AL86" s="22"/>
      <c r="AM86" s="22" t="str">
        <f t="shared" ref="AM86" si="103">_xlfn.CONCAT(N86&amp;W86&amp;X86&amp;Y86&amp;Z86)</f>
        <v>Workbooks("HFU Forecast UTLA 1.0.xlsm").Worksheets("Combined data").Range("BG264")</v>
      </c>
      <c r="AO86" t="s">
        <v>1200</v>
      </c>
    </row>
    <row r="87" spans="2:41" x14ac:dyDescent="0.25">
      <c r="B87" s="22" t="s">
        <v>339</v>
      </c>
      <c r="C87" s="22"/>
      <c r="D87" s="22"/>
      <c r="E87" s="22"/>
      <c r="F87" s="22"/>
      <c r="G87" s="22"/>
      <c r="H87" s="22"/>
      <c r="I87" s="22"/>
      <c r="J87" s="22"/>
      <c r="K87" s="22"/>
      <c r="L87" s="22"/>
      <c r="M87" s="22"/>
      <c r="N87" s="22"/>
      <c r="O87" s="22"/>
      <c r="P87" s="22"/>
      <c r="Q87" s="22"/>
      <c r="R87" s="22"/>
      <c r="S87" s="22"/>
      <c r="T87" s="22"/>
      <c r="U87" s="22"/>
      <c r="V87" s="22"/>
      <c r="W87" s="22"/>
      <c r="X87" s="22"/>
      <c r="Y87" s="23"/>
      <c r="Z87" s="22"/>
      <c r="AA87" s="22"/>
      <c r="AB87" s="22"/>
      <c r="AC87" s="22"/>
      <c r="AD87" s="22"/>
      <c r="AE87" s="22"/>
      <c r="AF87" s="22"/>
      <c r="AG87" s="22"/>
      <c r="AH87" s="22"/>
      <c r="AI87" s="22"/>
      <c r="AJ87" s="22"/>
      <c r="AK87" s="22"/>
      <c r="AL87" s="22"/>
      <c r="AM87" s="22" t="str">
        <f t="shared" ref="AM87" si="104">B87</f>
        <v>ActiveWorkbook.Close SaveChanges:=False</v>
      </c>
      <c r="AO87" t="s">
        <v>339</v>
      </c>
    </row>
    <row r="89" spans="2:41" x14ac:dyDescent="0.25">
      <c r="B89" s="19" t="s">
        <v>316</v>
      </c>
      <c r="C89" s="19"/>
      <c r="D89" s="19"/>
      <c r="E89" s="19"/>
      <c r="F89" s="19"/>
      <c r="G89" s="19"/>
      <c r="H89" s="19"/>
      <c r="I89" s="19"/>
      <c r="J89" s="19"/>
      <c r="K89" s="19"/>
      <c r="L89" s="19"/>
      <c r="M89" s="19"/>
      <c r="N89" s="19" t="s">
        <v>321</v>
      </c>
      <c r="O89" s="19"/>
      <c r="P89" s="19"/>
      <c r="Q89" s="19"/>
      <c r="R89" s="19"/>
      <c r="S89" s="19"/>
      <c r="T89" s="19"/>
      <c r="U89" s="19"/>
      <c r="V89" s="19">
        <f t="shared" si="43"/>
        <v>17</v>
      </c>
      <c r="W89" s="19"/>
      <c r="X89" s="19"/>
      <c r="Y89" s="21"/>
      <c r="Z89" s="19" t="s">
        <v>322</v>
      </c>
      <c r="AA89" s="19"/>
      <c r="AB89" s="19"/>
      <c r="AC89" s="19"/>
      <c r="AD89" s="19"/>
      <c r="AE89" s="19"/>
      <c r="AF89" s="19"/>
      <c r="AG89" s="19"/>
      <c r="AH89" s="19"/>
      <c r="AI89" s="19"/>
      <c r="AJ89" s="19"/>
      <c r="AK89" s="19"/>
      <c r="AL89" s="19"/>
      <c r="AM89" s="19" t="str">
        <f t="shared" ref="AM89" si="105">+_xlfn.CONCAT(N89&amp;V89&amp;Z89)</f>
        <v xml:space="preserve"> Workbooks.Open "A:\Homes for Ukraine data\Ukraine_sponsorship_data_17.ods"</v>
      </c>
      <c r="AO89" t="s">
        <v>353</v>
      </c>
    </row>
    <row r="90" spans="2:41" x14ac:dyDescent="0.25">
      <c r="B90" s="19" t="s">
        <v>533</v>
      </c>
      <c r="C90" s="19"/>
      <c r="D90" s="19"/>
      <c r="E90" s="19"/>
      <c r="F90" s="19"/>
      <c r="G90" s="19"/>
      <c r="H90" s="19"/>
      <c r="I90" s="19"/>
      <c r="J90" s="19"/>
      <c r="K90" s="19"/>
      <c r="L90" s="19"/>
      <c r="M90" s="19"/>
      <c r="N90" s="19" t="s">
        <v>323</v>
      </c>
      <c r="O90" s="19"/>
      <c r="P90" s="19"/>
      <c r="Q90" s="19"/>
      <c r="R90" s="19"/>
      <c r="S90" s="19"/>
      <c r="T90" s="19"/>
      <c r="U90" s="19"/>
      <c r="V90" s="19">
        <f t="shared" si="43"/>
        <v>17</v>
      </c>
      <c r="W90" s="19"/>
      <c r="X90" s="19"/>
      <c r="Y90" s="21"/>
      <c r="Z90" s="19" t="s">
        <v>532</v>
      </c>
      <c r="AA90" s="19"/>
      <c r="AB90" s="19"/>
      <c r="AC90" s="19"/>
      <c r="AD90" s="19"/>
      <c r="AE90" s="19" t="str">
        <f t="shared" ref="AE90:AF90" si="106">AE85</f>
        <v>E</v>
      </c>
      <c r="AF90" s="19">
        <f t="shared" si="106"/>
        <v>11</v>
      </c>
      <c r="AG90" s="19" t="s">
        <v>327</v>
      </c>
      <c r="AH90" s="19" t="str">
        <f t="shared" ref="AH90:AI90" si="107">AH85</f>
        <v>E</v>
      </c>
      <c r="AI90" s="19">
        <f t="shared" si="107"/>
        <v>24</v>
      </c>
      <c r="AJ90" s="19"/>
      <c r="AK90" s="19" t="s">
        <v>325</v>
      </c>
      <c r="AL90" s="19"/>
      <c r="AM90" s="19" t="str">
        <f t="shared" ref="AM90" si="108">_xlfn.CONCAT(N90&amp;V90&amp;Z90&amp;AE90&amp;AF90&amp;AG90&amp;AE90&amp;AI90&amp;AK90)</f>
        <v xml:space="preserve"> Workbooks("Ukraine_sponsorship_data_17.ods").Worksheets("Northern_Ireland").Range("E11:E24").Copy _</v>
      </c>
      <c r="AO90" t="s">
        <v>700</v>
      </c>
    </row>
    <row r="91" spans="2:41" x14ac:dyDescent="0.25">
      <c r="B91" s="19" t="s">
        <v>808</v>
      </c>
      <c r="C91" s="19"/>
      <c r="D91" s="19"/>
      <c r="E91" s="19"/>
      <c r="F91" s="19"/>
      <c r="G91" s="19"/>
      <c r="H91" s="19"/>
      <c r="I91" s="19"/>
      <c r="J91" s="19"/>
      <c r="K91" s="19"/>
      <c r="L91" s="19"/>
      <c r="M91" s="19"/>
      <c r="N91" s="19" t="s">
        <v>809</v>
      </c>
      <c r="O91" s="19"/>
      <c r="P91" s="19"/>
      <c r="Q91" s="19"/>
      <c r="R91" s="19"/>
      <c r="S91" s="19"/>
      <c r="T91" s="19"/>
      <c r="U91" s="19"/>
      <c r="V91" s="19"/>
      <c r="W91" s="19" t="str">
        <f t="shared" si="48"/>
        <v>B</v>
      </c>
      <c r="X91" s="19" t="str">
        <f t="shared" si="49"/>
        <v>H</v>
      </c>
      <c r="Y91" s="21">
        <f t="shared" ref="Y91" si="109">Y86</f>
        <v>264</v>
      </c>
      <c r="Z91" s="19" t="s">
        <v>324</v>
      </c>
      <c r="AA91" s="19"/>
      <c r="AB91" s="19"/>
      <c r="AC91" s="19"/>
      <c r="AD91" s="19"/>
      <c r="AE91" s="19"/>
      <c r="AF91" s="19"/>
      <c r="AG91" s="19"/>
      <c r="AH91" s="19"/>
      <c r="AI91" s="19"/>
      <c r="AJ91" s="19"/>
      <c r="AK91" s="19"/>
      <c r="AL91" s="19"/>
      <c r="AM91" s="19" t="str">
        <f t="shared" ref="AM91" si="110">_xlfn.CONCAT(N91&amp;W91&amp;X91&amp;Y91&amp;Z91)</f>
        <v>Workbooks("HFU Forecast UTLA 1.0.xlsm").Worksheets("Combined data").Range("BH264")</v>
      </c>
      <c r="AO91" t="s">
        <v>1201</v>
      </c>
    </row>
    <row r="92" spans="2:41" x14ac:dyDescent="0.25">
      <c r="B92" s="19" t="s">
        <v>339</v>
      </c>
      <c r="C92" s="19"/>
      <c r="D92" s="19"/>
      <c r="E92" s="19"/>
      <c r="F92" s="19"/>
      <c r="G92" s="19"/>
      <c r="H92" s="19"/>
      <c r="I92" s="19"/>
      <c r="J92" s="19"/>
      <c r="K92" s="19"/>
      <c r="L92" s="19"/>
      <c r="M92" s="19"/>
      <c r="N92" s="19"/>
      <c r="O92" s="19"/>
      <c r="P92" s="19"/>
      <c r="Q92" s="19"/>
      <c r="R92" s="19"/>
      <c r="S92" s="19"/>
      <c r="T92" s="19"/>
      <c r="U92" s="19"/>
      <c r="V92" s="19"/>
      <c r="W92" s="19"/>
      <c r="X92" s="19"/>
      <c r="Y92" s="21"/>
      <c r="Z92" s="19"/>
      <c r="AA92" s="19"/>
      <c r="AB92" s="19"/>
      <c r="AC92" s="19"/>
      <c r="AD92" s="19"/>
      <c r="AE92" s="19"/>
      <c r="AF92" s="19"/>
      <c r="AG92" s="19"/>
      <c r="AH92" s="19"/>
      <c r="AI92" s="19"/>
      <c r="AJ92" s="19"/>
      <c r="AK92" s="19"/>
      <c r="AL92" s="19"/>
      <c r="AM92" s="19" t="str">
        <f t="shared" ref="AM92" si="111">B92</f>
        <v>ActiveWorkbook.Close SaveChanges:=False</v>
      </c>
      <c r="AO92" t="s">
        <v>339</v>
      </c>
    </row>
    <row r="94" spans="2:41" x14ac:dyDescent="0.25">
      <c r="B94" s="22" t="s">
        <v>316</v>
      </c>
      <c r="C94" s="22"/>
      <c r="D94" s="22"/>
      <c r="E94" s="22"/>
      <c r="F94" s="22"/>
      <c r="G94" s="22"/>
      <c r="H94" s="22"/>
      <c r="I94" s="22"/>
      <c r="J94" s="22"/>
      <c r="K94" s="22"/>
      <c r="L94" s="22"/>
      <c r="M94" s="22"/>
      <c r="N94" s="22" t="s">
        <v>321</v>
      </c>
      <c r="O94" s="22"/>
      <c r="P94" s="22"/>
      <c r="Q94" s="22"/>
      <c r="R94" s="22"/>
      <c r="S94" s="22"/>
      <c r="T94" s="22"/>
      <c r="U94" s="22"/>
      <c r="V94" s="22">
        <f t="shared" si="53"/>
        <v>18</v>
      </c>
      <c r="W94" s="22"/>
      <c r="X94" s="22"/>
      <c r="Y94" s="23"/>
      <c r="Z94" s="22" t="s">
        <v>322</v>
      </c>
      <c r="AA94" s="22"/>
      <c r="AB94" s="22"/>
      <c r="AC94" s="22"/>
      <c r="AD94" s="22"/>
      <c r="AE94" s="22"/>
      <c r="AF94" s="22"/>
      <c r="AG94" s="22"/>
      <c r="AH94" s="22"/>
      <c r="AI94" s="22"/>
      <c r="AJ94" s="22"/>
      <c r="AK94" s="22"/>
      <c r="AL94" s="22"/>
      <c r="AM94" s="22" t="str">
        <f t="shared" ref="AM94" si="112">+_xlfn.CONCAT(N94&amp;V94&amp;Z94)</f>
        <v xml:space="preserve"> Workbooks.Open "A:\Homes for Ukraine data\Ukraine_sponsorship_data_18.ods"</v>
      </c>
      <c r="AO94" t="s">
        <v>354</v>
      </c>
    </row>
    <row r="95" spans="2:41" x14ac:dyDescent="0.25">
      <c r="B95" s="22" t="s">
        <v>533</v>
      </c>
      <c r="C95" s="22"/>
      <c r="D95" s="22"/>
      <c r="E95" s="22"/>
      <c r="F95" s="22"/>
      <c r="G95" s="22"/>
      <c r="H95" s="22"/>
      <c r="I95" s="22"/>
      <c r="J95" s="22"/>
      <c r="K95" s="22"/>
      <c r="L95" s="22"/>
      <c r="M95" s="22"/>
      <c r="N95" s="22" t="s">
        <v>323</v>
      </c>
      <c r="O95" s="22"/>
      <c r="P95" s="22"/>
      <c r="Q95" s="22"/>
      <c r="R95" s="22"/>
      <c r="S95" s="22"/>
      <c r="T95" s="22"/>
      <c r="U95" s="22"/>
      <c r="V95" s="22">
        <f t="shared" si="53"/>
        <v>18</v>
      </c>
      <c r="W95" s="22"/>
      <c r="X95" s="22"/>
      <c r="Y95" s="23"/>
      <c r="Z95" s="22" t="s">
        <v>532</v>
      </c>
      <c r="AA95" s="22"/>
      <c r="AB95" s="22"/>
      <c r="AC95" s="22"/>
      <c r="AD95" s="22"/>
      <c r="AE95" s="22" t="str">
        <f t="shared" ref="AE95:AF95" si="113">AE90</f>
        <v>E</v>
      </c>
      <c r="AF95" s="22">
        <f t="shared" si="113"/>
        <v>11</v>
      </c>
      <c r="AG95" s="22" t="s">
        <v>327</v>
      </c>
      <c r="AH95" s="22" t="str">
        <f t="shared" ref="AH95:AI95" si="114">AH90</f>
        <v>E</v>
      </c>
      <c r="AI95" s="22">
        <f t="shared" si="114"/>
        <v>24</v>
      </c>
      <c r="AJ95" s="22"/>
      <c r="AK95" s="22" t="s">
        <v>325</v>
      </c>
      <c r="AL95" s="22"/>
      <c r="AM95" s="22" t="str">
        <f t="shared" ref="AM95" si="115">_xlfn.CONCAT(N95&amp;V95&amp;Z95&amp;AE95&amp;AF95&amp;AG95&amp;AE95&amp;AI95&amp;AK95)</f>
        <v xml:space="preserve"> Workbooks("Ukraine_sponsorship_data_18.ods").Worksheets("Northern_Ireland").Range("E11:E24").Copy _</v>
      </c>
      <c r="AO95" t="s">
        <v>701</v>
      </c>
    </row>
    <row r="96" spans="2:41" x14ac:dyDescent="0.25">
      <c r="B96" s="22" t="s">
        <v>808</v>
      </c>
      <c r="C96" s="22"/>
      <c r="D96" s="22"/>
      <c r="E96" s="22"/>
      <c r="F96" s="22"/>
      <c r="G96" s="22"/>
      <c r="H96" s="22"/>
      <c r="I96" s="22"/>
      <c r="J96" s="22"/>
      <c r="K96" s="22"/>
      <c r="L96" s="22"/>
      <c r="M96" s="22"/>
      <c r="N96" s="22" t="s">
        <v>809</v>
      </c>
      <c r="O96" s="22"/>
      <c r="P96" s="22"/>
      <c r="Q96" s="22"/>
      <c r="R96" s="22"/>
      <c r="S96" s="22"/>
      <c r="T96" s="22"/>
      <c r="U96" s="22"/>
      <c r="V96" s="22"/>
      <c r="W96" s="22" t="str">
        <f t="shared" si="72"/>
        <v>B</v>
      </c>
      <c r="X96" s="22" t="str">
        <f t="shared" si="73"/>
        <v>I</v>
      </c>
      <c r="Y96" s="23">
        <f t="shared" ref="Y96" si="116">Y91</f>
        <v>264</v>
      </c>
      <c r="Z96" s="22" t="s">
        <v>324</v>
      </c>
      <c r="AA96" s="22"/>
      <c r="AB96" s="22"/>
      <c r="AC96" s="22"/>
      <c r="AD96" s="22"/>
      <c r="AE96" s="22"/>
      <c r="AF96" s="22"/>
      <c r="AG96" s="22"/>
      <c r="AH96" s="22"/>
      <c r="AI96" s="22"/>
      <c r="AJ96" s="22"/>
      <c r="AK96" s="22"/>
      <c r="AL96" s="22"/>
      <c r="AM96" s="22" t="str">
        <f t="shared" ref="AM96" si="117">_xlfn.CONCAT(N96&amp;W96&amp;X96&amp;Y96&amp;Z96)</f>
        <v>Workbooks("HFU Forecast UTLA 1.0.xlsm").Worksheets("Combined data").Range("BI264")</v>
      </c>
      <c r="AO96" t="s">
        <v>1202</v>
      </c>
    </row>
    <row r="97" spans="2:41" x14ac:dyDescent="0.25">
      <c r="B97" s="22" t="s">
        <v>339</v>
      </c>
      <c r="C97" s="22"/>
      <c r="D97" s="22"/>
      <c r="E97" s="22"/>
      <c r="F97" s="22"/>
      <c r="G97" s="22"/>
      <c r="H97" s="22"/>
      <c r="I97" s="22"/>
      <c r="J97" s="22"/>
      <c r="K97" s="22"/>
      <c r="L97" s="22"/>
      <c r="M97" s="22"/>
      <c r="N97" s="22"/>
      <c r="O97" s="22"/>
      <c r="P97" s="22"/>
      <c r="Q97" s="22"/>
      <c r="R97" s="22"/>
      <c r="S97" s="22"/>
      <c r="T97" s="22"/>
      <c r="U97" s="22"/>
      <c r="V97" s="22"/>
      <c r="W97" s="22"/>
      <c r="X97" s="22"/>
      <c r="Y97" s="23"/>
      <c r="Z97" s="22"/>
      <c r="AA97" s="22"/>
      <c r="AB97" s="22"/>
      <c r="AC97" s="22"/>
      <c r="AD97" s="22"/>
      <c r="AE97" s="22"/>
      <c r="AF97" s="22"/>
      <c r="AG97" s="22"/>
      <c r="AH97" s="22"/>
      <c r="AI97" s="22"/>
      <c r="AJ97" s="22"/>
      <c r="AK97" s="22"/>
      <c r="AL97" s="22"/>
      <c r="AM97" s="22" t="str">
        <f t="shared" ref="AM97" si="118">B97</f>
        <v>ActiveWorkbook.Close SaveChanges:=False</v>
      </c>
      <c r="AO97" t="s">
        <v>339</v>
      </c>
    </row>
    <row r="99" spans="2:41" x14ac:dyDescent="0.25">
      <c r="B99" s="19" t="s">
        <v>316</v>
      </c>
      <c r="C99" s="19"/>
      <c r="D99" s="19"/>
      <c r="E99" s="19"/>
      <c r="F99" s="19"/>
      <c r="G99" s="19"/>
      <c r="H99" s="19"/>
      <c r="I99" s="19"/>
      <c r="J99" s="19"/>
      <c r="K99" s="19"/>
      <c r="L99" s="19"/>
      <c r="M99" s="19"/>
      <c r="N99" s="19" t="s">
        <v>321</v>
      </c>
      <c r="O99" s="19"/>
      <c r="P99" s="19"/>
      <c r="Q99" s="19"/>
      <c r="R99" s="19"/>
      <c r="S99" s="19"/>
      <c r="T99" s="19"/>
      <c r="U99" s="19"/>
      <c r="V99" s="19">
        <f t="shared" si="43"/>
        <v>19</v>
      </c>
      <c r="W99" s="19"/>
      <c r="X99" s="19"/>
      <c r="Y99" s="21"/>
      <c r="Z99" s="19" t="s">
        <v>322</v>
      </c>
      <c r="AA99" s="19"/>
      <c r="AB99" s="19"/>
      <c r="AC99" s="19"/>
      <c r="AD99" s="19"/>
      <c r="AE99" s="19"/>
      <c r="AF99" s="19"/>
      <c r="AG99" s="19"/>
      <c r="AH99" s="19"/>
      <c r="AI99" s="19"/>
      <c r="AJ99" s="19"/>
      <c r="AK99" s="19"/>
      <c r="AL99" s="19"/>
      <c r="AM99" s="19" t="str">
        <f t="shared" ref="AM99" si="119">+_xlfn.CONCAT(N99&amp;V99&amp;Z99)</f>
        <v xml:space="preserve"> Workbooks.Open "A:\Homes for Ukraine data\Ukraine_sponsorship_data_19.ods"</v>
      </c>
      <c r="AO99" t="s">
        <v>355</v>
      </c>
    </row>
    <row r="100" spans="2:41" x14ac:dyDescent="0.25">
      <c r="B100" s="19" t="s">
        <v>533</v>
      </c>
      <c r="C100" s="19"/>
      <c r="D100" s="19"/>
      <c r="E100" s="19"/>
      <c r="F100" s="19"/>
      <c r="G100" s="19"/>
      <c r="H100" s="19"/>
      <c r="I100" s="19"/>
      <c r="J100" s="19"/>
      <c r="K100" s="19"/>
      <c r="L100" s="19"/>
      <c r="M100" s="19"/>
      <c r="N100" s="19" t="s">
        <v>323</v>
      </c>
      <c r="O100" s="19"/>
      <c r="P100" s="19"/>
      <c r="Q100" s="19"/>
      <c r="R100" s="19"/>
      <c r="S100" s="19"/>
      <c r="T100" s="19"/>
      <c r="U100" s="19"/>
      <c r="V100" s="19">
        <f t="shared" si="43"/>
        <v>19</v>
      </c>
      <c r="W100" s="19"/>
      <c r="X100" s="19"/>
      <c r="Y100" s="21"/>
      <c r="Z100" s="19" t="s">
        <v>532</v>
      </c>
      <c r="AA100" s="19"/>
      <c r="AB100" s="19"/>
      <c r="AC100" s="19"/>
      <c r="AD100" s="19"/>
      <c r="AE100" s="19" t="str">
        <f t="shared" ref="AE100:AF100" si="120">AE95</f>
        <v>E</v>
      </c>
      <c r="AF100" s="19">
        <f t="shared" si="120"/>
        <v>11</v>
      </c>
      <c r="AG100" s="19" t="s">
        <v>327</v>
      </c>
      <c r="AH100" s="19" t="str">
        <f t="shared" ref="AH100:AI100" si="121">AH95</f>
        <v>E</v>
      </c>
      <c r="AI100" s="19">
        <f t="shared" si="121"/>
        <v>24</v>
      </c>
      <c r="AJ100" s="19"/>
      <c r="AK100" s="19" t="s">
        <v>325</v>
      </c>
      <c r="AL100" s="19"/>
      <c r="AM100" s="19" t="str">
        <f t="shared" ref="AM100" si="122">_xlfn.CONCAT(N100&amp;V100&amp;Z100&amp;AE100&amp;AF100&amp;AG100&amp;AE100&amp;AI100&amp;AK100)</f>
        <v xml:space="preserve"> Workbooks("Ukraine_sponsorship_data_19.ods").Worksheets("Northern_Ireland").Range("E11:E24").Copy _</v>
      </c>
      <c r="AO100" t="s">
        <v>702</v>
      </c>
    </row>
    <row r="101" spans="2:41" x14ac:dyDescent="0.25">
      <c r="B101" s="19" t="s">
        <v>808</v>
      </c>
      <c r="C101" s="19"/>
      <c r="D101" s="19"/>
      <c r="E101" s="19"/>
      <c r="F101" s="19"/>
      <c r="G101" s="19"/>
      <c r="H101" s="19"/>
      <c r="I101" s="19"/>
      <c r="J101" s="19"/>
      <c r="K101" s="19"/>
      <c r="L101" s="19"/>
      <c r="M101" s="19"/>
      <c r="N101" s="19" t="s">
        <v>809</v>
      </c>
      <c r="O101" s="19"/>
      <c r="P101" s="19"/>
      <c r="Q101" s="19"/>
      <c r="R101" s="19"/>
      <c r="S101" s="19"/>
      <c r="T101" s="19"/>
      <c r="U101" s="19"/>
      <c r="V101" s="19"/>
      <c r="W101" s="19" t="str">
        <f t="shared" si="48"/>
        <v>B</v>
      </c>
      <c r="X101" s="19" t="str">
        <f t="shared" si="49"/>
        <v>J</v>
      </c>
      <c r="Y101" s="21">
        <f t="shared" ref="Y101" si="123">Y96</f>
        <v>264</v>
      </c>
      <c r="Z101" s="19" t="s">
        <v>324</v>
      </c>
      <c r="AA101" s="19"/>
      <c r="AB101" s="19"/>
      <c r="AC101" s="19"/>
      <c r="AD101" s="19"/>
      <c r="AE101" s="19"/>
      <c r="AF101" s="19"/>
      <c r="AG101" s="19"/>
      <c r="AH101" s="19"/>
      <c r="AI101" s="19"/>
      <c r="AJ101" s="19"/>
      <c r="AK101" s="19"/>
      <c r="AL101" s="19"/>
      <c r="AM101" s="19" t="str">
        <f t="shared" ref="AM101" si="124">_xlfn.CONCAT(N101&amp;W101&amp;X101&amp;Y101&amp;Z101)</f>
        <v>Workbooks("HFU Forecast UTLA 1.0.xlsm").Worksheets("Combined data").Range("BJ264")</v>
      </c>
      <c r="AO101" t="s">
        <v>1203</v>
      </c>
    </row>
    <row r="102" spans="2:41" x14ac:dyDescent="0.25">
      <c r="B102" s="19" t="s">
        <v>339</v>
      </c>
      <c r="C102" s="19"/>
      <c r="D102" s="19"/>
      <c r="E102" s="19"/>
      <c r="F102" s="19"/>
      <c r="G102" s="19"/>
      <c r="H102" s="19"/>
      <c r="I102" s="19"/>
      <c r="J102" s="19"/>
      <c r="K102" s="19"/>
      <c r="L102" s="19"/>
      <c r="M102" s="19"/>
      <c r="N102" s="19"/>
      <c r="O102" s="19"/>
      <c r="P102" s="19"/>
      <c r="Q102" s="19"/>
      <c r="R102" s="19"/>
      <c r="S102" s="19"/>
      <c r="T102" s="19"/>
      <c r="U102" s="19"/>
      <c r="V102" s="19"/>
      <c r="W102" s="19"/>
      <c r="X102" s="19"/>
      <c r="Y102" s="21"/>
      <c r="Z102" s="19"/>
      <c r="AA102" s="19"/>
      <c r="AB102" s="19"/>
      <c r="AC102" s="19"/>
      <c r="AD102" s="19"/>
      <c r="AE102" s="19"/>
      <c r="AF102" s="19"/>
      <c r="AG102" s="19"/>
      <c r="AH102" s="19"/>
      <c r="AI102" s="19"/>
      <c r="AJ102" s="19"/>
      <c r="AK102" s="19"/>
      <c r="AL102" s="19"/>
      <c r="AM102" s="19" t="str">
        <f t="shared" ref="AM102" si="125">B102</f>
        <v>ActiveWorkbook.Close SaveChanges:=False</v>
      </c>
      <c r="AO102" t="s">
        <v>339</v>
      </c>
    </row>
    <row r="104" spans="2:41" x14ac:dyDescent="0.25">
      <c r="B104" s="22" t="s">
        <v>316</v>
      </c>
      <c r="C104" s="22"/>
      <c r="D104" s="22"/>
      <c r="E104" s="22"/>
      <c r="F104" s="22"/>
      <c r="G104" s="22"/>
      <c r="H104" s="22"/>
      <c r="I104" s="22"/>
      <c r="J104" s="22"/>
      <c r="K104" s="22"/>
      <c r="L104" s="22"/>
      <c r="M104" s="22"/>
      <c r="N104" s="22" t="s">
        <v>321</v>
      </c>
      <c r="O104" s="22"/>
      <c r="P104" s="22"/>
      <c r="Q104" s="22"/>
      <c r="R104" s="22"/>
      <c r="S104" s="22"/>
      <c r="T104" s="22"/>
      <c r="U104" s="22"/>
      <c r="V104" s="22">
        <f t="shared" si="53"/>
        <v>20</v>
      </c>
      <c r="W104" s="22"/>
      <c r="X104" s="22"/>
      <c r="Y104" s="23"/>
      <c r="Z104" s="22" t="s">
        <v>322</v>
      </c>
      <c r="AA104" s="22"/>
      <c r="AB104" s="22"/>
      <c r="AC104" s="22"/>
      <c r="AD104" s="22"/>
      <c r="AE104" s="22"/>
      <c r="AF104" s="22"/>
      <c r="AG104" s="22"/>
      <c r="AH104" s="22"/>
      <c r="AI104" s="22"/>
      <c r="AJ104" s="22"/>
      <c r="AK104" s="22"/>
      <c r="AL104" s="22"/>
      <c r="AM104" s="22" t="str">
        <f t="shared" ref="AM104" si="126">+_xlfn.CONCAT(N104&amp;V104&amp;Z104)</f>
        <v xml:space="preserve"> Workbooks.Open "A:\Homes for Ukraine data\Ukraine_sponsorship_data_20.ods"</v>
      </c>
      <c r="AO104" t="s">
        <v>356</v>
      </c>
    </row>
    <row r="105" spans="2:41" x14ac:dyDescent="0.25">
      <c r="B105" s="22" t="s">
        <v>533</v>
      </c>
      <c r="C105" s="22"/>
      <c r="D105" s="22"/>
      <c r="E105" s="22"/>
      <c r="F105" s="22"/>
      <c r="G105" s="22"/>
      <c r="H105" s="22"/>
      <c r="I105" s="22"/>
      <c r="J105" s="22"/>
      <c r="K105" s="22"/>
      <c r="L105" s="22"/>
      <c r="M105" s="22"/>
      <c r="N105" s="22" t="s">
        <v>323</v>
      </c>
      <c r="O105" s="22"/>
      <c r="P105" s="22"/>
      <c r="Q105" s="22"/>
      <c r="R105" s="22"/>
      <c r="S105" s="22"/>
      <c r="T105" s="22"/>
      <c r="U105" s="22"/>
      <c r="V105" s="22">
        <f t="shared" si="53"/>
        <v>20</v>
      </c>
      <c r="W105" s="22"/>
      <c r="X105" s="22"/>
      <c r="Y105" s="23"/>
      <c r="Z105" s="22" t="s">
        <v>532</v>
      </c>
      <c r="AA105" s="22"/>
      <c r="AB105" s="22"/>
      <c r="AC105" s="22"/>
      <c r="AD105" s="22"/>
      <c r="AE105" s="22" t="str">
        <f t="shared" ref="AE105:AF105" si="127">AE100</f>
        <v>E</v>
      </c>
      <c r="AF105" s="22">
        <f t="shared" si="127"/>
        <v>11</v>
      </c>
      <c r="AG105" s="22" t="s">
        <v>327</v>
      </c>
      <c r="AH105" s="22" t="str">
        <f t="shared" ref="AH105:AI105" si="128">AH100</f>
        <v>E</v>
      </c>
      <c r="AI105" s="22">
        <f t="shared" si="128"/>
        <v>24</v>
      </c>
      <c r="AJ105" s="22"/>
      <c r="AK105" s="22" t="s">
        <v>325</v>
      </c>
      <c r="AL105" s="22"/>
      <c r="AM105" s="22" t="str">
        <f t="shared" ref="AM105" si="129">_xlfn.CONCAT(N105&amp;V105&amp;Z105&amp;AE105&amp;AF105&amp;AG105&amp;AE105&amp;AI105&amp;AK105)</f>
        <v xml:space="preserve"> Workbooks("Ukraine_sponsorship_data_20.ods").Worksheets("Northern_Ireland").Range("E11:E24").Copy _</v>
      </c>
      <c r="AO105" t="s">
        <v>703</v>
      </c>
    </row>
    <row r="106" spans="2:41" x14ac:dyDescent="0.25">
      <c r="B106" s="22" t="s">
        <v>808</v>
      </c>
      <c r="C106" s="22"/>
      <c r="D106" s="22"/>
      <c r="E106" s="22"/>
      <c r="F106" s="22"/>
      <c r="G106" s="22"/>
      <c r="H106" s="22"/>
      <c r="I106" s="22"/>
      <c r="J106" s="22"/>
      <c r="K106" s="22"/>
      <c r="L106" s="22"/>
      <c r="M106" s="22"/>
      <c r="N106" s="22" t="s">
        <v>809</v>
      </c>
      <c r="O106" s="22"/>
      <c r="P106" s="22"/>
      <c r="Q106" s="22"/>
      <c r="R106" s="22"/>
      <c r="S106" s="22"/>
      <c r="T106" s="22"/>
      <c r="U106" s="22"/>
      <c r="V106" s="22"/>
      <c r="W106" s="22" t="str">
        <f t="shared" si="72"/>
        <v>B</v>
      </c>
      <c r="X106" s="22" t="str">
        <f t="shared" si="73"/>
        <v>K</v>
      </c>
      <c r="Y106" s="23">
        <f t="shared" ref="Y106" si="130">Y101</f>
        <v>264</v>
      </c>
      <c r="Z106" s="22" t="s">
        <v>324</v>
      </c>
      <c r="AA106" s="22"/>
      <c r="AB106" s="22"/>
      <c r="AC106" s="22"/>
      <c r="AD106" s="22"/>
      <c r="AE106" s="22"/>
      <c r="AF106" s="22"/>
      <c r="AG106" s="22"/>
      <c r="AH106" s="22"/>
      <c r="AI106" s="22"/>
      <c r="AJ106" s="22"/>
      <c r="AK106" s="22"/>
      <c r="AL106" s="22"/>
      <c r="AM106" s="22" t="str">
        <f t="shared" ref="AM106" si="131">_xlfn.CONCAT(N106&amp;W106&amp;X106&amp;Y106&amp;Z106)</f>
        <v>Workbooks("HFU Forecast UTLA 1.0.xlsm").Worksheets("Combined data").Range("BK264")</v>
      </c>
      <c r="AO106" t="s">
        <v>1204</v>
      </c>
    </row>
    <row r="107" spans="2:41" x14ac:dyDescent="0.25">
      <c r="B107" s="22" t="s">
        <v>339</v>
      </c>
      <c r="C107" s="22"/>
      <c r="D107" s="22"/>
      <c r="E107" s="22"/>
      <c r="F107" s="22"/>
      <c r="G107" s="22"/>
      <c r="H107" s="22"/>
      <c r="I107" s="22"/>
      <c r="J107" s="22"/>
      <c r="K107" s="22"/>
      <c r="L107" s="22"/>
      <c r="M107" s="22"/>
      <c r="N107" s="22"/>
      <c r="O107" s="22"/>
      <c r="P107" s="22"/>
      <c r="Q107" s="22"/>
      <c r="R107" s="22"/>
      <c r="S107" s="22"/>
      <c r="T107" s="22"/>
      <c r="U107" s="22"/>
      <c r="V107" s="22"/>
      <c r="W107" s="22"/>
      <c r="X107" s="22"/>
      <c r="Y107" s="23"/>
      <c r="Z107" s="22"/>
      <c r="AA107" s="22"/>
      <c r="AB107" s="22"/>
      <c r="AC107" s="22"/>
      <c r="AD107" s="22"/>
      <c r="AE107" s="22"/>
      <c r="AF107" s="22"/>
      <c r="AG107" s="22"/>
      <c r="AH107" s="22"/>
      <c r="AI107" s="22"/>
      <c r="AJ107" s="22"/>
      <c r="AK107" s="22"/>
      <c r="AL107" s="22"/>
      <c r="AM107" s="22" t="str">
        <f t="shared" ref="AM107" si="132">B107</f>
        <v>ActiveWorkbook.Close SaveChanges:=False</v>
      </c>
      <c r="AO107" t="s">
        <v>339</v>
      </c>
    </row>
    <row r="109" spans="2:41" x14ac:dyDescent="0.25">
      <c r="B109" s="19" t="s">
        <v>316</v>
      </c>
      <c r="C109" s="19"/>
      <c r="D109" s="19"/>
      <c r="E109" s="19"/>
      <c r="F109" s="19"/>
      <c r="G109" s="19"/>
      <c r="H109" s="19"/>
      <c r="I109" s="19"/>
      <c r="J109" s="19"/>
      <c r="K109" s="19"/>
      <c r="L109" s="19"/>
      <c r="M109" s="19"/>
      <c r="N109" s="19" t="s">
        <v>321</v>
      </c>
      <c r="O109" s="19"/>
      <c r="P109" s="19"/>
      <c r="Q109" s="19"/>
      <c r="R109" s="19"/>
      <c r="S109" s="19"/>
      <c r="T109" s="19"/>
      <c r="U109" s="19"/>
      <c r="V109" s="19">
        <f t="shared" si="43"/>
        <v>21</v>
      </c>
      <c r="W109" s="19"/>
      <c r="X109" s="19"/>
      <c r="Y109" s="21"/>
      <c r="Z109" s="19" t="s">
        <v>322</v>
      </c>
      <c r="AA109" s="19"/>
      <c r="AB109" s="19"/>
      <c r="AC109" s="19"/>
      <c r="AD109" s="19"/>
      <c r="AE109" s="19"/>
      <c r="AF109" s="19"/>
      <c r="AG109" s="19"/>
      <c r="AH109" s="19"/>
      <c r="AI109" s="19"/>
      <c r="AJ109" s="19"/>
      <c r="AK109" s="19"/>
      <c r="AL109" s="19"/>
      <c r="AM109" s="19" t="str">
        <f t="shared" ref="AM109" si="133">+_xlfn.CONCAT(N109&amp;V109&amp;Z109)</f>
        <v xml:space="preserve"> Workbooks.Open "A:\Homes for Ukraine data\Ukraine_sponsorship_data_21.ods"</v>
      </c>
      <c r="AO109" t="s">
        <v>357</v>
      </c>
    </row>
    <row r="110" spans="2:41" x14ac:dyDescent="0.25">
      <c r="B110" s="19" t="s">
        <v>533</v>
      </c>
      <c r="C110" s="19"/>
      <c r="D110" s="19"/>
      <c r="E110" s="19"/>
      <c r="F110" s="19"/>
      <c r="G110" s="19"/>
      <c r="H110" s="19"/>
      <c r="I110" s="19"/>
      <c r="J110" s="19"/>
      <c r="K110" s="19"/>
      <c r="L110" s="19"/>
      <c r="M110" s="19"/>
      <c r="N110" s="19" t="s">
        <v>323</v>
      </c>
      <c r="O110" s="19"/>
      <c r="P110" s="19"/>
      <c r="Q110" s="19"/>
      <c r="R110" s="19"/>
      <c r="S110" s="19"/>
      <c r="T110" s="19"/>
      <c r="U110" s="19"/>
      <c r="V110" s="19">
        <f t="shared" si="43"/>
        <v>21</v>
      </c>
      <c r="W110" s="19"/>
      <c r="X110" s="19"/>
      <c r="Y110" s="21"/>
      <c r="Z110" s="19" t="s">
        <v>532</v>
      </c>
      <c r="AA110" s="19"/>
      <c r="AB110" s="19"/>
      <c r="AC110" s="19"/>
      <c r="AD110" s="19"/>
      <c r="AE110" s="19" t="str">
        <f t="shared" ref="AE110:AF110" si="134">AE105</f>
        <v>E</v>
      </c>
      <c r="AF110" s="19">
        <f t="shared" si="134"/>
        <v>11</v>
      </c>
      <c r="AG110" s="19" t="s">
        <v>327</v>
      </c>
      <c r="AH110" s="19" t="str">
        <f t="shared" ref="AH110:AI110" si="135">AH105</f>
        <v>E</v>
      </c>
      <c r="AI110" s="19">
        <f t="shared" si="135"/>
        <v>24</v>
      </c>
      <c r="AJ110" s="19"/>
      <c r="AK110" s="19" t="s">
        <v>325</v>
      </c>
      <c r="AL110" s="19"/>
      <c r="AM110" s="19" t="str">
        <f t="shared" ref="AM110" si="136">_xlfn.CONCAT(N110&amp;V110&amp;Z110&amp;AE110&amp;AF110&amp;AG110&amp;AE110&amp;AI110&amp;AK110)</f>
        <v xml:space="preserve"> Workbooks("Ukraine_sponsorship_data_21.ods").Worksheets("Northern_Ireland").Range("E11:E24").Copy _</v>
      </c>
      <c r="AO110" t="s">
        <v>704</v>
      </c>
    </row>
    <row r="111" spans="2:41" x14ac:dyDescent="0.25">
      <c r="B111" s="19" t="s">
        <v>808</v>
      </c>
      <c r="C111" s="19"/>
      <c r="D111" s="19"/>
      <c r="E111" s="19"/>
      <c r="F111" s="19"/>
      <c r="G111" s="19"/>
      <c r="H111" s="19"/>
      <c r="I111" s="19"/>
      <c r="J111" s="19"/>
      <c r="K111" s="19"/>
      <c r="L111" s="19"/>
      <c r="M111" s="19"/>
      <c r="N111" s="19" t="s">
        <v>809</v>
      </c>
      <c r="O111" s="19"/>
      <c r="P111" s="19"/>
      <c r="Q111" s="19"/>
      <c r="R111" s="19"/>
      <c r="S111" s="19"/>
      <c r="T111" s="19"/>
      <c r="U111" s="19"/>
      <c r="V111" s="19"/>
      <c r="W111" s="19" t="s">
        <v>313</v>
      </c>
      <c r="X111" s="19" t="str">
        <f t="shared" si="49"/>
        <v>L</v>
      </c>
      <c r="Y111" s="21">
        <f t="shared" ref="Y111" si="137">Y106</f>
        <v>264</v>
      </c>
      <c r="Z111" s="19" t="s">
        <v>324</v>
      </c>
      <c r="AA111" s="19"/>
      <c r="AB111" s="19"/>
      <c r="AC111" s="19"/>
      <c r="AD111" s="19"/>
      <c r="AE111" s="19"/>
      <c r="AF111" s="19"/>
      <c r="AG111" s="19"/>
      <c r="AH111" s="19"/>
      <c r="AI111" s="19"/>
      <c r="AJ111" s="19"/>
      <c r="AK111" s="19"/>
      <c r="AL111" s="19"/>
      <c r="AM111" s="19" t="str">
        <f t="shared" ref="AM111" si="138">_xlfn.CONCAT(N111&amp;W111&amp;X111&amp;Y111&amp;Z111)</f>
        <v>Workbooks("HFU Forecast UTLA 1.0.xlsm").Worksheets("Combined data").Range("BL264")</v>
      </c>
      <c r="AO111" t="s">
        <v>868</v>
      </c>
    </row>
    <row r="112" spans="2:41" x14ac:dyDescent="0.25">
      <c r="B112" s="19" t="s">
        <v>339</v>
      </c>
      <c r="C112" s="19"/>
      <c r="D112" s="19"/>
      <c r="E112" s="19"/>
      <c r="F112" s="19"/>
      <c r="G112" s="19"/>
      <c r="H112" s="19"/>
      <c r="I112" s="19"/>
      <c r="J112" s="19"/>
      <c r="K112" s="19"/>
      <c r="L112" s="19"/>
      <c r="M112" s="19"/>
      <c r="N112" s="19"/>
      <c r="O112" s="19"/>
      <c r="P112" s="19"/>
      <c r="Q112" s="19"/>
      <c r="R112" s="19"/>
      <c r="S112" s="19"/>
      <c r="T112" s="19"/>
      <c r="U112" s="19"/>
      <c r="V112" s="19"/>
      <c r="W112" s="19"/>
      <c r="X112" s="19"/>
      <c r="Y112" s="21"/>
      <c r="Z112" s="19"/>
      <c r="AA112" s="19"/>
      <c r="AB112" s="19"/>
      <c r="AC112" s="19"/>
      <c r="AD112" s="19"/>
      <c r="AE112" s="19"/>
      <c r="AF112" s="19"/>
      <c r="AG112" s="19"/>
      <c r="AH112" s="19"/>
      <c r="AI112" s="19"/>
      <c r="AJ112" s="19"/>
      <c r="AK112" s="19"/>
      <c r="AL112" s="19"/>
      <c r="AM112" s="19" t="str">
        <f t="shared" ref="AM112" si="139">B112</f>
        <v>ActiveWorkbook.Close SaveChanges:=False</v>
      </c>
      <c r="AO112" t="s">
        <v>339</v>
      </c>
    </row>
    <row r="114" spans="2:41" x14ac:dyDescent="0.25">
      <c r="B114" s="22" t="s">
        <v>316</v>
      </c>
      <c r="C114" s="22"/>
      <c r="D114" s="22"/>
      <c r="E114" s="22"/>
      <c r="F114" s="22"/>
      <c r="G114" s="22"/>
      <c r="H114" s="22"/>
      <c r="I114" s="22"/>
      <c r="J114" s="22"/>
      <c r="K114" s="22"/>
      <c r="L114" s="22"/>
      <c r="M114" s="22"/>
      <c r="N114" s="22" t="s">
        <v>321</v>
      </c>
      <c r="O114" s="22"/>
      <c r="P114" s="22"/>
      <c r="Q114" s="22"/>
      <c r="R114" s="22"/>
      <c r="S114" s="22"/>
      <c r="T114" s="22"/>
      <c r="U114" s="22"/>
      <c r="V114" s="22">
        <f t="shared" si="53"/>
        <v>22</v>
      </c>
      <c r="W114" s="22"/>
      <c r="X114" s="22"/>
      <c r="Y114" s="23"/>
      <c r="Z114" s="22" t="s">
        <v>322</v>
      </c>
      <c r="AA114" s="22"/>
      <c r="AB114" s="22"/>
      <c r="AC114" s="22"/>
      <c r="AD114" s="22"/>
      <c r="AE114" s="22"/>
      <c r="AF114" s="22"/>
      <c r="AG114" s="22"/>
      <c r="AH114" s="22"/>
      <c r="AI114" s="22"/>
      <c r="AJ114" s="22"/>
      <c r="AK114" s="22"/>
      <c r="AL114" s="22"/>
      <c r="AM114" s="22" t="str">
        <f t="shared" ref="AM114" si="140">+_xlfn.CONCAT(N114&amp;V114&amp;Z114)</f>
        <v xml:space="preserve"> Workbooks.Open "A:\Homes for Ukraine data\Ukraine_sponsorship_data_22.ods"</v>
      </c>
      <c r="AO114" t="s">
        <v>358</v>
      </c>
    </row>
    <row r="115" spans="2:41" x14ac:dyDescent="0.25">
      <c r="B115" s="22" t="s">
        <v>533</v>
      </c>
      <c r="C115" s="22"/>
      <c r="D115" s="22"/>
      <c r="E115" s="22"/>
      <c r="F115" s="22"/>
      <c r="G115" s="22"/>
      <c r="H115" s="22"/>
      <c r="I115" s="22"/>
      <c r="J115" s="22"/>
      <c r="K115" s="22"/>
      <c r="L115" s="22"/>
      <c r="M115" s="22"/>
      <c r="N115" s="22" t="s">
        <v>323</v>
      </c>
      <c r="O115" s="22"/>
      <c r="P115" s="22"/>
      <c r="Q115" s="22"/>
      <c r="R115" s="22"/>
      <c r="S115" s="22"/>
      <c r="T115" s="22"/>
      <c r="U115" s="22"/>
      <c r="V115" s="22">
        <f t="shared" si="53"/>
        <v>22</v>
      </c>
      <c r="W115" s="22"/>
      <c r="X115" s="22"/>
      <c r="Y115" s="23"/>
      <c r="Z115" s="22" t="s">
        <v>532</v>
      </c>
      <c r="AA115" s="22"/>
      <c r="AB115" s="22"/>
      <c r="AC115" s="22"/>
      <c r="AD115" s="22"/>
      <c r="AE115" s="22" t="str">
        <f t="shared" ref="AE115:AF115" si="141">AE110</f>
        <v>E</v>
      </c>
      <c r="AF115" s="22">
        <f t="shared" si="141"/>
        <v>11</v>
      </c>
      <c r="AG115" s="22" t="s">
        <v>327</v>
      </c>
      <c r="AH115" s="22" t="str">
        <f t="shared" ref="AH115:AI115" si="142">AH110</f>
        <v>E</v>
      </c>
      <c r="AI115" s="22">
        <f t="shared" si="142"/>
        <v>24</v>
      </c>
      <c r="AJ115" s="22"/>
      <c r="AK115" s="22" t="s">
        <v>325</v>
      </c>
      <c r="AL115" s="22"/>
      <c r="AM115" s="22" t="str">
        <f t="shared" ref="AM115" si="143">_xlfn.CONCAT(N115&amp;V115&amp;Z115&amp;AE115&amp;AF115&amp;AG115&amp;AE115&amp;AI115&amp;AK115)</f>
        <v xml:space="preserve"> Workbooks("Ukraine_sponsorship_data_22.ods").Worksheets("Northern_Ireland").Range("E11:E24").Copy _</v>
      </c>
      <c r="AO115" t="s">
        <v>705</v>
      </c>
    </row>
    <row r="116" spans="2:41" x14ac:dyDescent="0.25">
      <c r="B116" s="22" t="s">
        <v>808</v>
      </c>
      <c r="C116" s="22"/>
      <c r="D116" s="22"/>
      <c r="E116" s="22"/>
      <c r="F116" s="22"/>
      <c r="G116" s="22"/>
      <c r="H116" s="22"/>
      <c r="I116" s="22"/>
      <c r="J116" s="22"/>
      <c r="K116" s="22"/>
      <c r="L116" s="22"/>
      <c r="M116" s="22"/>
      <c r="N116" s="22" t="s">
        <v>809</v>
      </c>
      <c r="O116" s="22"/>
      <c r="P116" s="22"/>
      <c r="Q116" s="22"/>
      <c r="R116" s="22"/>
      <c r="S116" s="22"/>
      <c r="T116" s="22"/>
      <c r="U116" s="22"/>
      <c r="V116" s="22"/>
      <c r="W116" s="22" t="str">
        <f t="shared" si="72"/>
        <v>B</v>
      </c>
      <c r="X116" s="22" t="str">
        <f t="shared" si="73"/>
        <v>M</v>
      </c>
      <c r="Y116" s="23">
        <f t="shared" ref="Y116" si="144">Y111</f>
        <v>264</v>
      </c>
      <c r="Z116" s="22" t="s">
        <v>324</v>
      </c>
      <c r="AA116" s="22"/>
      <c r="AB116" s="22"/>
      <c r="AC116" s="22"/>
      <c r="AD116" s="22"/>
      <c r="AE116" s="22"/>
      <c r="AF116" s="22"/>
      <c r="AG116" s="22"/>
      <c r="AH116" s="22"/>
      <c r="AI116" s="22"/>
      <c r="AJ116" s="22"/>
      <c r="AK116" s="22"/>
      <c r="AL116" s="22"/>
      <c r="AM116" s="22" t="str">
        <f t="shared" ref="AM116" si="145">_xlfn.CONCAT(N116&amp;W116&amp;X116&amp;Y116&amp;Z116)</f>
        <v>Workbooks("HFU Forecast UTLA 1.0.xlsm").Worksheets("Combined data").Range("BM264")</v>
      </c>
      <c r="AO116" t="s">
        <v>869</v>
      </c>
    </row>
    <row r="117" spans="2:41" x14ac:dyDescent="0.25">
      <c r="B117" s="22" t="s">
        <v>339</v>
      </c>
      <c r="C117" s="22"/>
      <c r="D117" s="22"/>
      <c r="E117" s="22"/>
      <c r="F117" s="22"/>
      <c r="G117" s="22"/>
      <c r="H117" s="22"/>
      <c r="I117" s="22"/>
      <c r="J117" s="22"/>
      <c r="K117" s="22"/>
      <c r="L117" s="22"/>
      <c r="M117" s="22"/>
      <c r="N117" s="22"/>
      <c r="O117" s="22"/>
      <c r="P117" s="22"/>
      <c r="Q117" s="22"/>
      <c r="R117" s="22"/>
      <c r="S117" s="22"/>
      <c r="T117" s="22"/>
      <c r="U117" s="22"/>
      <c r="V117" s="22"/>
      <c r="W117" s="22"/>
      <c r="X117" s="22"/>
      <c r="Y117" s="23"/>
      <c r="Z117" s="22"/>
      <c r="AA117" s="22"/>
      <c r="AB117" s="22"/>
      <c r="AC117" s="22"/>
      <c r="AD117" s="22"/>
      <c r="AE117" s="22"/>
      <c r="AF117" s="22"/>
      <c r="AG117" s="22"/>
      <c r="AH117" s="22"/>
      <c r="AI117" s="22"/>
      <c r="AJ117" s="22"/>
      <c r="AK117" s="22"/>
      <c r="AL117" s="22"/>
      <c r="AM117" s="22" t="str">
        <f t="shared" ref="AM117" si="146">B117</f>
        <v>ActiveWorkbook.Close SaveChanges:=False</v>
      </c>
      <c r="AO117" t="s">
        <v>339</v>
      </c>
    </row>
    <row r="119" spans="2:41" x14ac:dyDescent="0.25">
      <c r="B119" s="19" t="s">
        <v>316</v>
      </c>
      <c r="C119" s="19"/>
      <c r="D119" s="19"/>
      <c r="E119" s="19"/>
      <c r="F119" s="19"/>
      <c r="G119" s="19"/>
      <c r="H119" s="19"/>
      <c r="I119" s="19"/>
      <c r="J119" s="19"/>
      <c r="K119" s="19"/>
      <c r="L119" s="19"/>
      <c r="M119" s="19"/>
      <c r="N119" s="19" t="s">
        <v>321</v>
      </c>
      <c r="O119" s="19"/>
      <c r="P119" s="19"/>
      <c r="Q119" s="19"/>
      <c r="R119" s="19"/>
      <c r="S119" s="19"/>
      <c r="T119" s="19"/>
      <c r="U119" s="19"/>
      <c r="V119" s="19">
        <f t="shared" ref="V119:V170" si="147">V114+1</f>
        <v>23</v>
      </c>
      <c r="W119" s="19"/>
      <c r="X119" s="19"/>
      <c r="Y119" s="21"/>
      <c r="Z119" s="19" t="s">
        <v>322</v>
      </c>
      <c r="AA119" s="19"/>
      <c r="AB119" s="19"/>
      <c r="AC119" s="19"/>
      <c r="AD119" s="19"/>
      <c r="AE119" s="19"/>
      <c r="AF119" s="19"/>
      <c r="AG119" s="19"/>
      <c r="AH119" s="19"/>
      <c r="AI119" s="19"/>
      <c r="AJ119" s="19"/>
      <c r="AK119" s="19"/>
      <c r="AL119" s="19"/>
      <c r="AM119" s="19" t="str">
        <f t="shared" ref="AM119" si="148">+_xlfn.CONCAT(N119&amp;V119&amp;Z119)</f>
        <v xml:space="preserve"> Workbooks.Open "A:\Homes for Ukraine data\Ukraine_sponsorship_data_23.ods"</v>
      </c>
      <c r="AO119" t="s">
        <v>721</v>
      </c>
    </row>
    <row r="120" spans="2:41" x14ac:dyDescent="0.25">
      <c r="B120" s="19" t="s">
        <v>533</v>
      </c>
      <c r="C120" s="19"/>
      <c r="D120" s="19"/>
      <c r="E120" s="19"/>
      <c r="F120" s="19"/>
      <c r="G120" s="19"/>
      <c r="H120" s="19"/>
      <c r="I120" s="19"/>
      <c r="J120" s="19"/>
      <c r="K120" s="19"/>
      <c r="L120" s="19"/>
      <c r="M120" s="19"/>
      <c r="N120" s="19" t="s">
        <v>323</v>
      </c>
      <c r="O120" s="19"/>
      <c r="P120" s="19"/>
      <c r="Q120" s="19"/>
      <c r="R120" s="19"/>
      <c r="S120" s="19"/>
      <c r="T120" s="19"/>
      <c r="U120" s="19"/>
      <c r="V120" s="19">
        <f t="shared" si="147"/>
        <v>23</v>
      </c>
      <c r="W120" s="19"/>
      <c r="X120" s="19"/>
      <c r="Y120" s="21"/>
      <c r="Z120" s="19" t="s">
        <v>532</v>
      </c>
      <c r="AA120" s="19"/>
      <c r="AB120" s="19"/>
      <c r="AC120" s="19"/>
      <c r="AD120" s="19"/>
      <c r="AE120" s="19" t="str">
        <f t="shared" ref="AE120:AF120" si="149">AE115</f>
        <v>E</v>
      </c>
      <c r="AF120" s="19">
        <f t="shared" si="149"/>
        <v>11</v>
      </c>
      <c r="AG120" s="19" t="s">
        <v>327</v>
      </c>
      <c r="AH120" s="19" t="str">
        <f t="shared" ref="AH120:AI120" si="150">AH115</f>
        <v>E</v>
      </c>
      <c r="AI120" s="19">
        <f t="shared" si="150"/>
        <v>24</v>
      </c>
      <c r="AJ120" s="19"/>
      <c r="AK120" s="19" t="s">
        <v>325</v>
      </c>
      <c r="AL120" s="19"/>
      <c r="AM120" s="19" t="str">
        <f t="shared" ref="AM120" si="151">_xlfn.CONCAT(N120&amp;V120&amp;Z120&amp;AE120&amp;AF120&amp;AG120&amp;AE120&amp;AI120&amp;AK120)</f>
        <v xml:space="preserve"> Workbooks("Ukraine_sponsorship_data_23.ods").Worksheets("Northern_Ireland").Range("E11:E24").Copy _</v>
      </c>
      <c r="AO120" t="s">
        <v>793</v>
      </c>
    </row>
    <row r="121" spans="2:41" x14ac:dyDescent="0.25">
      <c r="B121" s="19" t="s">
        <v>808</v>
      </c>
      <c r="C121" s="19"/>
      <c r="D121" s="19"/>
      <c r="E121" s="19"/>
      <c r="F121" s="19"/>
      <c r="G121" s="19"/>
      <c r="H121" s="19"/>
      <c r="I121" s="19"/>
      <c r="J121" s="19"/>
      <c r="K121" s="19"/>
      <c r="L121" s="19"/>
      <c r="M121" s="19"/>
      <c r="N121" s="19" t="s">
        <v>809</v>
      </c>
      <c r="O121" s="19"/>
      <c r="P121" s="19"/>
      <c r="Q121" s="19"/>
      <c r="R121" s="19"/>
      <c r="S121" s="19"/>
      <c r="T121" s="19"/>
      <c r="U121" s="19"/>
      <c r="V121" s="19"/>
      <c r="W121" s="19" t="s">
        <v>313</v>
      </c>
      <c r="X121" s="19" t="str">
        <f t="shared" ref="X121:X171" si="152">CHAR(CODE(X116)+1)</f>
        <v>N</v>
      </c>
      <c r="Y121" s="21">
        <f t="shared" ref="Y121:Y171" si="153">Y116</f>
        <v>264</v>
      </c>
      <c r="Z121" s="19" t="s">
        <v>324</v>
      </c>
      <c r="AA121" s="19"/>
      <c r="AB121" s="19"/>
      <c r="AC121" s="19"/>
      <c r="AD121" s="19"/>
      <c r="AE121" s="19"/>
      <c r="AF121" s="19"/>
      <c r="AG121" s="19"/>
      <c r="AH121" s="19"/>
      <c r="AI121" s="19"/>
      <c r="AJ121" s="19"/>
      <c r="AK121" s="19"/>
      <c r="AL121" s="19"/>
      <c r="AM121" s="19" t="str">
        <f t="shared" ref="AM121" si="154">_xlfn.CONCAT(N121&amp;W121&amp;X121&amp;Y121&amp;Z121)</f>
        <v>Workbooks("HFU Forecast UTLA 1.0.xlsm").Worksheets("Combined data").Range("BN264")</v>
      </c>
      <c r="AO121" t="s">
        <v>870</v>
      </c>
    </row>
    <row r="122" spans="2:41" x14ac:dyDescent="0.25">
      <c r="B122" s="19" t="s">
        <v>339</v>
      </c>
      <c r="C122" s="19"/>
      <c r="D122" s="19"/>
      <c r="E122" s="19"/>
      <c r="F122" s="19"/>
      <c r="G122" s="19"/>
      <c r="H122" s="19"/>
      <c r="I122" s="19"/>
      <c r="J122" s="19"/>
      <c r="K122" s="19"/>
      <c r="L122" s="19"/>
      <c r="M122" s="19"/>
      <c r="N122" s="19"/>
      <c r="O122" s="19"/>
      <c r="P122" s="19"/>
      <c r="Q122" s="19"/>
      <c r="R122" s="19"/>
      <c r="S122" s="19"/>
      <c r="T122" s="19"/>
      <c r="U122" s="19"/>
      <c r="V122" s="19"/>
      <c r="W122" s="19"/>
      <c r="X122" s="19"/>
      <c r="Y122" s="21"/>
      <c r="Z122" s="19"/>
      <c r="AA122" s="19"/>
      <c r="AB122" s="19"/>
      <c r="AC122" s="19"/>
      <c r="AD122" s="19"/>
      <c r="AE122" s="19"/>
      <c r="AF122" s="19"/>
      <c r="AG122" s="19"/>
      <c r="AH122" s="19"/>
      <c r="AI122" s="19"/>
      <c r="AJ122" s="19"/>
      <c r="AK122" s="19"/>
      <c r="AL122" s="19"/>
      <c r="AM122" s="19" t="str">
        <f t="shared" ref="AM122" si="155">B122</f>
        <v>ActiveWorkbook.Close SaveChanges:=False</v>
      </c>
      <c r="AO122" t="s">
        <v>339</v>
      </c>
    </row>
    <row r="124" spans="2:41" x14ac:dyDescent="0.25">
      <c r="B124" s="22" t="s">
        <v>316</v>
      </c>
      <c r="C124" s="22"/>
      <c r="D124" s="22"/>
      <c r="E124" s="22"/>
      <c r="F124" s="22"/>
      <c r="G124" s="22"/>
      <c r="H124" s="22"/>
      <c r="I124" s="22"/>
      <c r="J124" s="22"/>
      <c r="K124" s="22"/>
      <c r="L124" s="22"/>
      <c r="M124" s="22"/>
      <c r="N124" s="22" t="s">
        <v>321</v>
      </c>
      <c r="O124" s="22"/>
      <c r="P124" s="22"/>
      <c r="Q124" s="22"/>
      <c r="R124" s="22"/>
      <c r="S124" s="22"/>
      <c r="T124" s="22"/>
      <c r="U124" s="22"/>
      <c r="V124" s="22">
        <f t="shared" ref="V124:V175" si="156">V119+1</f>
        <v>24</v>
      </c>
      <c r="W124" s="22"/>
      <c r="X124" s="22"/>
      <c r="Y124" s="23"/>
      <c r="Z124" s="22" t="s">
        <v>322</v>
      </c>
      <c r="AA124" s="22"/>
      <c r="AB124" s="22"/>
      <c r="AC124" s="22"/>
      <c r="AD124" s="22"/>
      <c r="AE124" s="22"/>
      <c r="AF124" s="22"/>
      <c r="AG124" s="22"/>
      <c r="AH124" s="22"/>
      <c r="AI124" s="22"/>
      <c r="AJ124" s="22"/>
      <c r="AK124" s="22"/>
      <c r="AL124" s="22"/>
      <c r="AM124" s="22" t="str">
        <f t="shared" ref="AM124" si="157">+_xlfn.CONCAT(N124&amp;V124&amp;Z124)</f>
        <v xml:space="preserve"> Workbooks.Open "A:\Homes for Ukraine data\Ukraine_sponsorship_data_24.ods"</v>
      </c>
      <c r="AO124" t="s">
        <v>723</v>
      </c>
    </row>
    <row r="125" spans="2:41" x14ac:dyDescent="0.25">
      <c r="B125" s="22" t="s">
        <v>533</v>
      </c>
      <c r="C125" s="22"/>
      <c r="D125" s="22"/>
      <c r="E125" s="22"/>
      <c r="F125" s="22"/>
      <c r="G125" s="22"/>
      <c r="H125" s="22"/>
      <c r="I125" s="22"/>
      <c r="J125" s="22"/>
      <c r="K125" s="22"/>
      <c r="L125" s="22"/>
      <c r="M125" s="22"/>
      <c r="N125" s="22" t="s">
        <v>323</v>
      </c>
      <c r="O125" s="22"/>
      <c r="P125" s="22"/>
      <c r="Q125" s="22"/>
      <c r="R125" s="22"/>
      <c r="S125" s="22"/>
      <c r="T125" s="22"/>
      <c r="U125" s="22"/>
      <c r="V125" s="22">
        <f t="shared" si="156"/>
        <v>24</v>
      </c>
      <c r="W125" s="22"/>
      <c r="X125" s="22"/>
      <c r="Y125" s="23"/>
      <c r="Z125" s="22" t="s">
        <v>532</v>
      </c>
      <c r="AA125" s="22"/>
      <c r="AB125" s="22"/>
      <c r="AC125" s="22"/>
      <c r="AD125" s="22"/>
      <c r="AE125" s="22" t="str">
        <f t="shared" ref="AE125:AF125" si="158">AE120</f>
        <v>E</v>
      </c>
      <c r="AF125" s="22">
        <f t="shared" si="158"/>
        <v>11</v>
      </c>
      <c r="AG125" s="22" t="s">
        <v>327</v>
      </c>
      <c r="AH125" s="22" t="str">
        <f t="shared" ref="AH125:AI125" si="159">AH120</f>
        <v>E</v>
      </c>
      <c r="AI125" s="22">
        <f t="shared" si="159"/>
        <v>24</v>
      </c>
      <c r="AJ125" s="22"/>
      <c r="AK125" s="22" t="s">
        <v>325</v>
      </c>
      <c r="AL125" s="22"/>
      <c r="AM125" s="22" t="str">
        <f t="shared" ref="AM125" si="160">_xlfn.CONCAT(N125&amp;V125&amp;Z125&amp;AE125&amp;AF125&amp;AG125&amp;AE125&amp;AI125&amp;AK125)</f>
        <v xml:space="preserve"> Workbooks("Ukraine_sponsorship_data_24.ods").Worksheets("Northern_Ireland").Range("E11:E24").Copy _</v>
      </c>
      <c r="AO125" t="s">
        <v>794</v>
      </c>
    </row>
    <row r="126" spans="2:41" x14ac:dyDescent="0.25">
      <c r="B126" s="22" t="s">
        <v>808</v>
      </c>
      <c r="C126" s="22"/>
      <c r="D126" s="22"/>
      <c r="E126" s="22"/>
      <c r="F126" s="22"/>
      <c r="G126" s="22"/>
      <c r="H126" s="22"/>
      <c r="I126" s="22"/>
      <c r="J126" s="22"/>
      <c r="K126" s="22"/>
      <c r="L126" s="22"/>
      <c r="M126" s="22"/>
      <c r="N126" s="22" t="s">
        <v>809</v>
      </c>
      <c r="O126" s="22"/>
      <c r="P126" s="22"/>
      <c r="Q126" s="22"/>
      <c r="R126" s="22"/>
      <c r="S126" s="22"/>
      <c r="T126" s="22"/>
      <c r="U126" s="22"/>
      <c r="V126" s="22"/>
      <c r="W126" s="22" t="str">
        <f t="shared" ref="W126:W176" si="161">W121</f>
        <v>B</v>
      </c>
      <c r="X126" s="22" t="str">
        <f t="shared" ref="X126:X176" si="162">CHAR(CODE(X121)+1)</f>
        <v>O</v>
      </c>
      <c r="Y126" s="23">
        <f t="shared" ref="Y126:Y176" si="163">Y121</f>
        <v>264</v>
      </c>
      <c r="Z126" s="22" t="s">
        <v>324</v>
      </c>
      <c r="AA126" s="22"/>
      <c r="AB126" s="22"/>
      <c r="AC126" s="22"/>
      <c r="AD126" s="22"/>
      <c r="AE126" s="22"/>
      <c r="AF126" s="22"/>
      <c r="AG126" s="22"/>
      <c r="AH126" s="22"/>
      <c r="AI126" s="22"/>
      <c r="AJ126" s="22"/>
      <c r="AK126" s="22"/>
      <c r="AL126" s="22"/>
      <c r="AM126" s="22" t="str">
        <f t="shared" ref="AM126" si="164">_xlfn.CONCAT(N126&amp;W126&amp;X126&amp;Y126&amp;Z126)</f>
        <v>Workbooks("HFU Forecast UTLA 1.0.xlsm").Worksheets("Combined data").Range("BO264")</v>
      </c>
      <c r="AO126" t="s">
        <v>871</v>
      </c>
    </row>
    <row r="127" spans="2:41" x14ac:dyDescent="0.25">
      <c r="B127" s="22" t="s">
        <v>339</v>
      </c>
      <c r="C127" s="22"/>
      <c r="D127" s="22"/>
      <c r="E127" s="22"/>
      <c r="F127" s="22"/>
      <c r="G127" s="22"/>
      <c r="H127" s="22"/>
      <c r="I127" s="22"/>
      <c r="J127" s="22"/>
      <c r="K127" s="22"/>
      <c r="L127" s="22"/>
      <c r="M127" s="22"/>
      <c r="N127" s="22"/>
      <c r="O127" s="22"/>
      <c r="P127" s="22"/>
      <c r="Q127" s="22"/>
      <c r="R127" s="22"/>
      <c r="S127" s="22"/>
      <c r="T127" s="22"/>
      <c r="U127" s="22"/>
      <c r="V127" s="22"/>
      <c r="W127" s="22"/>
      <c r="X127" s="22"/>
      <c r="Y127" s="23"/>
      <c r="Z127" s="22"/>
      <c r="AA127" s="22"/>
      <c r="AB127" s="22"/>
      <c r="AC127" s="22"/>
      <c r="AD127" s="22"/>
      <c r="AE127" s="22"/>
      <c r="AF127" s="22"/>
      <c r="AG127" s="22"/>
      <c r="AH127" s="22"/>
      <c r="AI127" s="22"/>
      <c r="AJ127" s="22"/>
      <c r="AK127" s="22"/>
      <c r="AL127" s="22"/>
      <c r="AM127" s="22" t="str">
        <f t="shared" ref="AM127" si="165">B127</f>
        <v>ActiveWorkbook.Close SaveChanges:=False</v>
      </c>
      <c r="AO127" t="s">
        <v>339</v>
      </c>
    </row>
    <row r="129" spans="2:41" x14ac:dyDescent="0.25">
      <c r="B129" s="19" t="s">
        <v>316</v>
      </c>
      <c r="C129" s="19"/>
      <c r="D129" s="19"/>
      <c r="E129" s="19"/>
      <c r="F129" s="19"/>
      <c r="G129" s="19"/>
      <c r="H129" s="19"/>
      <c r="I129" s="19"/>
      <c r="J129" s="19"/>
      <c r="K129" s="19"/>
      <c r="L129" s="19"/>
      <c r="M129" s="19"/>
      <c r="N129" s="19" t="s">
        <v>321</v>
      </c>
      <c r="O129" s="19"/>
      <c r="P129" s="19"/>
      <c r="Q129" s="19"/>
      <c r="R129" s="19"/>
      <c r="S129" s="19"/>
      <c r="T129" s="19"/>
      <c r="U129" s="19"/>
      <c r="V129" s="19">
        <f t="shared" si="147"/>
        <v>25</v>
      </c>
      <c r="W129" s="19"/>
      <c r="X129" s="19"/>
      <c r="Y129" s="21"/>
      <c r="Z129" s="19" t="s">
        <v>322</v>
      </c>
      <c r="AA129" s="19"/>
      <c r="AB129" s="19"/>
      <c r="AC129" s="19"/>
      <c r="AD129" s="19"/>
      <c r="AE129" s="19"/>
      <c r="AF129" s="19"/>
      <c r="AG129" s="19"/>
      <c r="AH129" s="19"/>
      <c r="AI129" s="19"/>
      <c r="AJ129" s="19"/>
      <c r="AK129" s="19"/>
      <c r="AL129" s="19"/>
      <c r="AM129" s="19" t="str">
        <f t="shared" ref="AM129" si="166">+_xlfn.CONCAT(N129&amp;V129&amp;Z129)</f>
        <v xml:space="preserve"> Workbooks.Open "A:\Homes for Ukraine data\Ukraine_sponsorship_data_25.ods"</v>
      </c>
      <c r="AO129" t="s">
        <v>725</v>
      </c>
    </row>
    <row r="130" spans="2:41" x14ac:dyDescent="0.25">
      <c r="B130" s="19" t="s">
        <v>533</v>
      </c>
      <c r="C130" s="19"/>
      <c r="D130" s="19"/>
      <c r="E130" s="19"/>
      <c r="F130" s="19"/>
      <c r="G130" s="19"/>
      <c r="H130" s="19"/>
      <c r="I130" s="19"/>
      <c r="J130" s="19"/>
      <c r="K130" s="19"/>
      <c r="L130" s="19"/>
      <c r="M130" s="19"/>
      <c r="N130" s="19" t="s">
        <v>323</v>
      </c>
      <c r="O130" s="19"/>
      <c r="P130" s="19"/>
      <c r="Q130" s="19"/>
      <c r="R130" s="19"/>
      <c r="S130" s="19"/>
      <c r="T130" s="19"/>
      <c r="U130" s="19"/>
      <c r="V130" s="19">
        <f t="shared" si="147"/>
        <v>25</v>
      </c>
      <c r="W130" s="19"/>
      <c r="X130" s="19"/>
      <c r="Y130" s="21"/>
      <c r="Z130" s="19" t="s">
        <v>532</v>
      </c>
      <c r="AA130" s="19"/>
      <c r="AB130" s="19"/>
      <c r="AC130" s="19"/>
      <c r="AD130" s="19"/>
      <c r="AE130" s="19" t="str">
        <f t="shared" ref="AE130:AF130" si="167">AE125</f>
        <v>E</v>
      </c>
      <c r="AF130" s="19">
        <f t="shared" si="167"/>
        <v>11</v>
      </c>
      <c r="AG130" s="19" t="s">
        <v>327</v>
      </c>
      <c r="AH130" s="19" t="str">
        <f t="shared" ref="AH130:AI130" si="168">AH125</f>
        <v>E</v>
      </c>
      <c r="AI130" s="19">
        <f t="shared" si="168"/>
        <v>24</v>
      </c>
      <c r="AJ130" s="19"/>
      <c r="AK130" s="19" t="s">
        <v>325</v>
      </c>
      <c r="AL130" s="19"/>
      <c r="AM130" s="19" t="str">
        <f t="shared" ref="AM130" si="169">_xlfn.CONCAT(N130&amp;V130&amp;Z130&amp;AE130&amp;AF130&amp;AG130&amp;AE130&amp;AI130&amp;AK130)</f>
        <v xml:space="preserve"> Workbooks("Ukraine_sponsorship_data_25.ods").Worksheets("Northern_Ireland").Range("E11:E24").Copy _</v>
      </c>
      <c r="AO130" t="s">
        <v>795</v>
      </c>
    </row>
    <row r="131" spans="2:41" x14ac:dyDescent="0.25">
      <c r="B131" s="19" t="s">
        <v>808</v>
      </c>
      <c r="C131" s="19"/>
      <c r="D131" s="19"/>
      <c r="E131" s="19"/>
      <c r="F131" s="19"/>
      <c r="G131" s="19"/>
      <c r="H131" s="19"/>
      <c r="I131" s="19"/>
      <c r="J131" s="19"/>
      <c r="K131" s="19"/>
      <c r="L131" s="19"/>
      <c r="M131" s="19"/>
      <c r="N131" s="19" t="s">
        <v>809</v>
      </c>
      <c r="O131" s="19"/>
      <c r="P131" s="19"/>
      <c r="Q131" s="19"/>
      <c r="R131" s="19"/>
      <c r="S131" s="19"/>
      <c r="T131" s="19"/>
      <c r="U131" s="19"/>
      <c r="V131" s="19"/>
      <c r="W131" s="19" t="s">
        <v>313</v>
      </c>
      <c r="X131" s="19" t="str">
        <f t="shared" si="152"/>
        <v>P</v>
      </c>
      <c r="Y131" s="21">
        <f t="shared" si="153"/>
        <v>264</v>
      </c>
      <c r="Z131" s="19" t="s">
        <v>324</v>
      </c>
      <c r="AA131" s="19"/>
      <c r="AB131" s="19"/>
      <c r="AC131" s="19"/>
      <c r="AD131" s="19"/>
      <c r="AE131" s="19"/>
      <c r="AF131" s="19"/>
      <c r="AG131" s="19"/>
      <c r="AH131" s="19"/>
      <c r="AI131" s="19"/>
      <c r="AJ131" s="19"/>
      <c r="AK131" s="19"/>
      <c r="AL131" s="19"/>
      <c r="AM131" s="19" t="str">
        <f t="shared" ref="AM131" si="170">_xlfn.CONCAT(N131&amp;W131&amp;X131&amp;Y131&amp;Z131)</f>
        <v>Workbooks("HFU Forecast UTLA 1.0.xlsm").Worksheets("Combined data").Range("BP264")</v>
      </c>
      <c r="AO131" t="s">
        <v>872</v>
      </c>
    </row>
    <row r="132" spans="2:41" x14ac:dyDescent="0.25">
      <c r="B132" s="19" t="s">
        <v>339</v>
      </c>
      <c r="C132" s="19"/>
      <c r="D132" s="19"/>
      <c r="E132" s="19"/>
      <c r="F132" s="19"/>
      <c r="G132" s="19"/>
      <c r="H132" s="19"/>
      <c r="I132" s="19"/>
      <c r="J132" s="19"/>
      <c r="K132" s="19"/>
      <c r="L132" s="19"/>
      <c r="M132" s="19"/>
      <c r="N132" s="19"/>
      <c r="O132" s="19"/>
      <c r="P132" s="19"/>
      <c r="Q132" s="19"/>
      <c r="R132" s="19"/>
      <c r="S132" s="19"/>
      <c r="T132" s="19"/>
      <c r="U132" s="19"/>
      <c r="V132" s="19"/>
      <c r="W132" s="19"/>
      <c r="X132" s="19"/>
      <c r="Y132" s="21"/>
      <c r="Z132" s="19"/>
      <c r="AA132" s="19"/>
      <c r="AB132" s="19"/>
      <c r="AC132" s="19"/>
      <c r="AD132" s="19"/>
      <c r="AE132" s="19"/>
      <c r="AF132" s="19"/>
      <c r="AG132" s="19"/>
      <c r="AH132" s="19"/>
      <c r="AI132" s="19"/>
      <c r="AJ132" s="19"/>
      <c r="AK132" s="19"/>
      <c r="AL132" s="19"/>
      <c r="AM132" s="19" t="str">
        <f t="shared" ref="AM132" si="171">B132</f>
        <v>ActiveWorkbook.Close SaveChanges:=False</v>
      </c>
      <c r="AO132" t="s">
        <v>339</v>
      </c>
    </row>
    <row r="134" spans="2:41" x14ac:dyDescent="0.25">
      <c r="B134" s="22" t="s">
        <v>316</v>
      </c>
      <c r="C134" s="22"/>
      <c r="D134" s="22"/>
      <c r="E134" s="22"/>
      <c r="F134" s="22"/>
      <c r="G134" s="22"/>
      <c r="H134" s="22"/>
      <c r="I134" s="22"/>
      <c r="J134" s="22"/>
      <c r="K134" s="22"/>
      <c r="L134" s="22"/>
      <c r="M134" s="22"/>
      <c r="N134" s="22" t="s">
        <v>321</v>
      </c>
      <c r="O134" s="22"/>
      <c r="P134" s="22"/>
      <c r="Q134" s="22"/>
      <c r="R134" s="22"/>
      <c r="S134" s="22"/>
      <c r="T134" s="22"/>
      <c r="U134" s="22"/>
      <c r="V134" s="22">
        <f t="shared" si="156"/>
        <v>26</v>
      </c>
      <c r="W134" s="22"/>
      <c r="X134" s="22"/>
      <c r="Y134" s="23"/>
      <c r="Z134" s="22" t="s">
        <v>322</v>
      </c>
      <c r="AA134" s="22"/>
      <c r="AB134" s="22"/>
      <c r="AC134" s="22"/>
      <c r="AD134" s="22"/>
      <c r="AE134" s="22"/>
      <c r="AF134" s="22"/>
      <c r="AG134" s="22"/>
      <c r="AH134" s="22"/>
      <c r="AI134" s="22"/>
      <c r="AJ134" s="22"/>
      <c r="AK134" s="22"/>
      <c r="AL134" s="22"/>
      <c r="AM134" s="22" t="str">
        <f t="shared" ref="AM134" si="172">+_xlfn.CONCAT(N134&amp;V134&amp;Z134)</f>
        <v xml:space="preserve"> Workbooks.Open "A:\Homes for Ukraine data\Ukraine_sponsorship_data_26.ods"</v>
      </c>
      <c r="AO134" t="s">
        <v>727</v>
      </c>
    </row>
    <row r="135" spans="2:41" x14ac:dyDescent="0.25">
      <c r="B135" s="22" t="s">
        <v>533</v>
      </c>
      <c r="C135" s="22"/>
      <c r="D135" s="22"/>
      <c r="E135" s="22"/>
      <c r="F135" s="22"/>
      <c r="G135" s="22"/>
      <c r="H135" s="22"/>
      <c r="I135" s="22"/>
      <c r="J135" s="22"/>
      <c r="K135" s="22"/>
      <c r="L135" s="22"/>
      <c r="M135" s="22"/>
      <c r="N135" s="22" t="s">
        <v>323</v>
      </c>
      <c r="O135" s="22"/>
      <c r="P135" s="22"/>
      <c r="Q135" s="22"/>
      <c r="R135" s="22"/>
      <c r="S135" s="22"/>
      <c r="T135" s="22"/>
      <c r="U135" s="22"/>
      <c r="V135" s="22">
        <f t="shared" si="156"/>
        <v>26</v>
      </c>
      <c r="W135" s="22"/>
      <c r="X135" s="22"/>
      <c r="Y135" s="23"/>
      <c r="Z135" s="22" t="s">
        <v>532</v>
      </c>
      <c r="AA135" s="22"/>
      <c r="AB135" s="22"/>
      <c r="AC135" s="22"/>
      <c r="AD135" s="22"/>
      <c r="AE135" s="22" t="str">
        <f t="shared" ref="AE135:AF135" si="173">AE130</f>
        <v>E</v>
      </c>
      <c r="AF135" s="22">
        <f t="shared" si="173"/>
        <v>11</v>
      </c>
      <c r="AG135" s="22" t="s">
        <v>327</v>
      </c>
      <c r="AH135" s="22" t="str">
        <f t="shared" ref="AH135:AI135" si="174">AH130</f>
        <v>E</v>
      </c>
      <c r="AI135" s="22">
        <f t="shared" si="174"/>
        <v>24</v>
      </c>
      <c r="AJ135" s="22"/>
      <c r="AK135" s="22" t="s">
        <v>325</v>
      </c>
      <c r="AL135" s="22"/>
      <c r="AM135" s="22" t="str">
        <f t="shared" ref="AM135" si="175">_xlfn.CONCAT(N135&amp;V135&amp;Z135&amp;AE135&amp;AF135&amp;AG135&amp;AE135&amp;AI135&amp;AK135)</f>
        <v xml:space="preserve"> Workbooks("Ukraine_sponsorship_data_26.ods").Worksheets("Northern_Ireland").Range("E11:E24").Copy _</v>
      </c>
      <c r="AO135" t="s">
        <v>796</v>
      </c>
    </row>
    <row r="136" spans="2:41" x14ac:dyDescent="0.25">
      <c r="B136" s="22" t="s">
        <v>808</v>
      </c>
      <c r="C136" s="22"/>
      <c r="D136" s="22"/>
      <c r="E136" s="22"/>
      <c r="F136" s="22"/>
      <c r="G136" s="22"/>
      <c r="H136" s="22"/>
      <c r="I136" s="22"/>
      <c r="J136" s="22"/>
      <c r="K136" s="22"/>
      <c r="L136" s="22"/>
      <c r="M136" s="22"/>
      <c r="N136" s="22" t="s">
        <v>809</v>
      </c>
      <c r="O136" s="22"/>
      <c r="P136" s="22"/>
      <c r="Q136" s="22"/>
      <c r="R136" s="22"/>
      <c r="S136" s="22"/>
      <c r="T136" s="22"/>
      <c r="U136" s="22"/>
      <c r="V136" s="22"/>
      <c r="W136" s="22" t="str">
        <f t="shared" si="161"/>
        <v>B</v>
      </c>
      <c r="X136" s="22" t="str">
        <f t="shared" si="162"/>
        <v>Q</v>
      </c>
      <c r="Y136" s="23">
        <f t="shared" si="163"/>
        <v>264</v>
      </c>
      <c r="Z136" s="22" t="s">
        <v>324</v>
      </c>
      <c r="AA136" s="22"/>
      <c r="AB136" s="22"/>
      <c r="AC136" s="22"/>
      <c r="AD136" s="22"/>
      <c r="AE136" s="22"/>
      <c r="AF136" s="22"/>
      <c r="AG136" s="22"/>
      <c r="AH136" s="22"/>
      <c r="AI136" s="22"/>
      <c r="AJ136" s="22"/>
      <c r="AK136" s="22"/>
      <c r="AL136" s="22"/>
      <c r="AM136" s="22" t="str">
        <f t="shared" ref="AM136" si="176">_xlfn.CONCAT(N136&amp;W136&amp;X136&amp;Y136&amp;Z136)</f>
        <v>Workbooks("HFU Forecast UTLA 1.0.xlsm").Worksheets("Combined data").Range("BQ264")</v>
      </c>
      <c r="AO136" t="s">
        <v>873</v>
      </c>
    </row>
    <row r="137" spans="2:41" x14ac:dyDescent="0.25">
      <c r="B137" s="22" t="s">
        <v>339</v>
      </c>
      <c r="C137" s="22"/>
      <c r="D137" s="22"/>
      <c r="E137" s="22"/>
      <c r="F137" s="22"/>
      <c r="G137" s="22"/>
      <c r="H137" s="22"/>
      <c r="I137" s="22"/>
      <c r="J137" s="22"/>
      <c r="K137" s="22"/>
      <c r="L137" s="22"/>
      <c r="M137" s="22"/>
      <c r="N137" s="22"/>
      <c r="O137" s="22"/>
      <c r="P137" s="22"/>
      <c r="Q137" s="22"/>
      <c r="R137" s="22"/>
      <c r="S137" s="22"/>
      <c r="T137" s="22"/>
      <c r="U137" s="22"/>
      <c r="V137" s="22"/>
      <c r="W137" s="22"/>
      <c r="X137" s="22"/>
      <c r="Y137" s="23"/>
      <c r="Z137" s="22"/>
      <c r="AA137" s="22"/>
      <c r="AB137" s="22"/>
      <c r="AC137" s="22"/>
      <c r="AD137" s="22"/>
      <c r="AE137" s="22"/>
      <c r="AF137" s="22"/>
      <c r="AG137" s="22"/>
      <c r="AH137" s="22"/>
      <c r="AI137" s="22"/>
      <c r="AJ137" s="22"/>
      <c r="AK137" s="22"/>
      <c r="AL137" s="22"/>
      <c r="AM137" s="22" t="str">
        <f t="shared" ref="AM137" si="177">B137</f>
        <v>ActiveWorkbook.Close SaveChanges:=False</v>
      </c>
      <c r="AO137" t="s">
        <v>339</v>
      </c>
    </row>
    <row r="139" spans="2:41" x14ac:dyDescent="0.25">
      <c r="B139" s="19" t="s">
        <v>316</v>
      </c>
      <c r="C139" s="19"/>
      <c r="D139" s="19"/>
      <c r="E139" s="19"/>
      <c r="F139" s="19"/>
      <c r="G139" s="19"/>
      <c r="H139" s="19"/>
      <c r="I139" s="19"/>
      <c r="J139" s="19"/>
      <c r="K139" s="19"/>
      <c r="L139" s="19"/>
      <c r="M139" s="19"/>
      <c r="N139" s="19" t="s">
        <v>321</v>
      </c>
      <c r="O139" s="19"/>
      <c r="P139" s="19"/>
      <c r="Q139" s="19"/>
      <c r="R139" s="19"/>
      <c r="S139" s="19"/>
      <c r="T139" s="19"/>
      <c r="U139" s="19"/>
      <c r="V139" s="19">
        <f t="shared" si="147"/>
        <v>27</v>
      </c>
      <c r="W139" s="19"/>
      <c r="X139" s="19"/>
      <c r="Y139" s="21"/>
      <c r="Z139" s="19" t="s">
        <v>322</v>
      </c>
      <c r="AA139" s="19"/>
      <c r="AB139" s="19"/>
      <c r="AC139" s="19"/>
      <c r="AD139" s="19"/>
      <c r="AE139" s="19"/>
      <c r="AF139" s="19"/>
      <c r="AG139" s="19"/>
      <c r="AH139" s="19"/>
      <c r="AI139" s="19"/>
      <c r="AJ139" s="19"/>
      <c r="AK139" s="19"/>
      <c r="AL139" s="19"/>
      <c r="AM139" s="19" t="str">
        <f t="shared" ref="AM139" si="178">+_xlfn.CONCAT(N139&amp;V139&amp;Z139)</f>
        <v xml:space="preserve"> Workbooks.Open "A:\Homes for Ukraine data\Ukraine_sponsorship_data_27.ods"</v>
      </c>
      <c r="AO139" t="s">
        <v>729</v>
      </c>
    </row>
    <row r="140" spans="2:41" x14ac:dyDescent="0.25">
      <c r="B140" s="19" t="s">
        <v>533</v>
      </c>
      <c r="C140" s="19"/>
      <c r="D140" s="19"/>
      <c r="E140" s="19"/>
      <c r="F140" s="19"/>
      <c r="G140" s="19"/>
      <c r="H140" s="19"/>
      <c r="I140" s="19"/>
      <c r="J140" s="19"/>
      <c r="K140" s="19"/>
      <c r="L140" s="19"/>
      <c r="M140" s="19"/>
      <c r="N140" s="19" t="s">
        <v>323</v>
      </c>
      <c r="O140" s="19"/>
      <c r="P140" s="19"/>
      <c r="Q140" s="19"/>
      <c r="R140" s="19"/>
      <c r="S140" s="19"/>
      <c r="T140" s="19"/>
      <c r="U140" s="19"/>
      <c r="V140" s="19">
        <f t="shared" si="147"/>
        <v>27</v>
      </c>
      <c r="W140" s="19"/>
      <c r="X140" s="19"/>
      <c r="Y140" s="21"/>
      <c r="Z140" s="19" t="s">
        <v>532</v>
      </c>
      <c r="AA140" s="19"/>
      <c r="AB140" s="19"/>
      <c r="AC140" s="19"/>
      <c r="AD140" s="19"/>
      <c r="AE140" s="19" t="str">
        <f t="shared" ref="AE140:AF140" si="179">AE135</f>
        <v>E</v>
      </c>
      <c r="AF140" s="19">
        <f t="shared" si="179"/>
        <v>11</v>
      </c>
      <c r="AG140" s="19" t="s">
        <v>327</v>
      </c>
      <c r="AH140" s="19" t="str">
        <f t="shared" ref="AH140:AI140" si="180">AH135</f>
        <v>E</v>
      </c>
      <c r="AI140" s="19">
        <f t="shared" si="180"/>
        <v>24</v>
      </c>
      <c r="AJ140" s="19"/>
      <c r="AK140" s="19" t="s">
        <v>325</v>
      </c>
      <c r="AL140" s="19"/>
      <c r="AM140" s="19" t="str">
        <f t="shared" ref="AM140" si="181">_xlfn.CONCAT(N140&amp;V140&amp;Z140&amp;AE140&amp;AF140&amp;AG140&amp;AE140&amp;AI140&amp;AK140)</f>
        <v xml:space="preserve"> Workbooks("Ukraine_sponsorship_data_27.ods").Worksheets("Northern_Ireland").Range("E11:E24").Copy _</v>
      </c>
      <c r="AO140" t="s">
        <v>797</v>
      </c>
    </row>
    <row r="141" spans="2:41" x14ac:dyDescent="0.25">
      <c r="B141" s="19" t="s">
        <v>808</v>
      </c>
      <c r="C141" s="19"/>
      <c r="D141" s="19"/>
      <c r="E141" s="19"/>
      <c r="F141" s="19"/>
      <c r="G141" s="19"/>
      <c r="H141" s="19"/>
      <c r="I141" s="19"/>
      <c r="J141" s="19"/>
      <c r="K141" s="19"/>
      <c r="L141" s="19"/>
      <c r="M141" s="19"/>
      <c r="N141" s="19" t="s">
        <v>809</v>
      </c>
      <c r="O141" s="19"/>
      <c r="P141" s="19"/>
      <c r="Q141" s="19"/>
      <c r="R141" s="19"/>
      <c r="S141" s="19"/>
      <c r="T141" s="19"/>
      <c r="U141" s="19"/>
      <c r="V141" s="19"/>
      <c r="W141" s="19" t="s">
        <v>313</v>
      </c>
      <c r="X141" s="19" t="str">
        <f t="shared" si="152"/>
        <v>R</v>
      </c>
      <c r="Y141" s="21">
        <f t="shared" si="153"/>
        <v>264</v>
      </c>
      <c r="Z141" s="19" t="s">
        <v>324</v>
      </c>
      <c r="AA141" s="19"/>
      <c r="AB141" s="19"/>
      <c r="AC141" s="19"/>
      <c r="AD141" s="19"/>
      <c r="AE141" s="19"/>
      <c r="AF141" s="19"/>
      <c r="AG141" s="19"/>
      <c r="AH141" s="19"/>
      <c r="AI141" s="19"/>
      <c r="AJ141" s="19"/>
      <c r="AK141" s="19"/>
      <c r="AL141" s="19"/>
      <c r="AM141" s="19" t="str">
        <f t="shared" ref="AM141" si="182">_xlfn.CONCAT(N141&amp;W141&amp;X141&amp;Y141&amp;Z141)</f>
        <v>Workbooks("HFU Forecast UTLA 1.0.xlsm").Worksheets("Combined data").Range("BR264")</v>
      </c>
      <c r="AO141" t="s">
        <v>874</v>
      </c>
    </row>
    <row r="142" spans="2:41" x14ac:dyDescent="0.25">
      <c r="B142" s="19" t="s">
        <v>339</v>
      </c>
      <c r="C142" s="19"/>
      <c r="D142" s="19"/>
      <c r="E142" s="19"/>
      <c r="F142" s="19"/>
      <c r="G142" s="19"/>
      <c r="H142" s="19"/>
      <c r="I142" s="19"/>
      <c r="J142" s="19"/>
      <c r="K142" s="19"/>
      <c r="L142" s="19"/>
      <c r="M142" s="19"/>
      <c r="N142" s="19"/>
      <c r="O142" s="19"/>
      <c r="P142" s="19"/>
      <c r="Q142" s="19"/>
      <c r="R142" s="19"/>
      <c r="S142" s="19"/>
      <c r="T142" s="19"/>
      <c r="U142" s="19"/>
      <c r="V142" s="19"/>
      <c r="W142" s="19"/>
      <c r="X142" s="19"/>
      <c r="Y142" s="21"/>
      <c r="Z142" s="19"/>
      <c r="AA142" s="19"/>
      <c r="AB142" s="19"/>
      <c r="AC142" s="19"/>
      <c r="AD142" s="19"/>
      <c r="AE142" s="19"/>
      <c r="AF142" s="19"/>
      <c r="AG142" s="19"/>
      <c r="AH142" s="19"/>
      <c r="AI142" s="19"/>
      <c r="AJ142" s="19"/>
      <c r="AK142" s="19"/>
      <c r="AL142" s="19"/>
      <c r="AM142" s="19" t="str">
        <f t="shared" ref="AM142" si="183">B142</f>
        <v>ActiveWorkbook.Close SaveChanges:=False</v>
      </c>
      <c r="AO142" t="s">
        <v>339</v>
      </c>
    </row>
    <row r="144" spans="2:41" x14ac:dyDescent="0.25">
      <c r="B144" s="22" t="s">
        <v>316</v>
      </c>
      <c r="C144" s="22"/>
      <c r="D144" s="22"/>
      <c r="E144" s="22"/>
      <c r="F144" s="22"/>
      <c r="G144" s="22"/>
      <c r="H144" s="22"/>
      <c r="I144" s="22"/>
      <c r="J144" s="22"/>
      <c r="K144" s="22"/>
      <c r="L144" s="22"/>
      <c r="M144" s="22"/>
      <c r="N144" s="22" t="s">
        <v>321</v>
      </c>
      <c r="O144" s="22"/>
      <c r="P144" s="22"/>
      <c r="Q144" s="22"/>
      <c r="R144" s="22"/>
      <c r="S144" s="22"/>
      <c r="T144" s="22"/>
      <c r="U144" s="22"/>
      <c r="V144" s="22">
        <f t="shared" si="156"/>
        <v>28</v>
      </c>
      <c r="W144" s="22"/>
      <c r="X144" s="22"/>
      <c r="Y144" s="23"/>
      <c r="Z144" s="22" t="s">
        <v>322</v>
      </c>
      <c r="AA144" s="22"/>
      <c r="AB144" s="22"/>
      <c r="AC144" s="22"/>
      <c r="AD144" s="22"/>
      <c r="AE144" s="22"/>
      <c r="AF144" s="22"/>
      <c r="AG144" s="22"/>
      <c r="AH144" s="22"/>
      <c r="AI144" s="22"/>
      <c r="AJ144" s="22"/>
      <c r="AK144" s="22"/>
      <c r="AL144" s="22"/>
      <c r="AM144" s="22" t="str">
        <f t="shared" ref="AM144" si="184">+_xlfn.CONCAT(N144&amp;V144&amp;Z144)</f>
        <v xml:space="preserve"> Workbooks.Open "A:\Homes for Ukraine data\Ukraine_sponsorship_data_28.ods"</v>
      </c>
      <c r="AO144" t="s">
        <v>731</v>
      </c>
    </row>
    <row r="145" spans="2:41" x14ac:dyDescent="0.25">
      <c r="B145" s="22" t="s">
        <v>533</v>
      </c>
      <c r="C145" s="22"/>
      <c r="D145" s="22"/>
      <c r="E145" s="22"/>
      <c r="F145" s="22"/>
      <c r="G145" s="22"/>
      <c r="H145" s="22"/>
      <c r="I145" s="22"/>
      <c r="J145" s="22"/>
      <c r="K145" s="22"/>
      <c r="L145" s="22"/>
      <c r="M145" s="22"/>
      <c r="N145" s="22" t="s">
        <v>323</v>
      </c>
      <c r="O145" s="22"/>
      <c r="P145" s="22"/>
      <c r="Q145" s="22"/>
      <c r="R145" s="22"/>
      <c r="S145" s="22"/>
      <c r="T145" s="22"/>
      <c r="U145" s="22"/>
      <c r="V145" s="22">
        <f t="shared" si="156"/>
        <v>28</v>
      </c>
      <c r="W145" s="22"/>
      <c r="X145" s="22"/>
      <c r="Y145" s="23"/>
      <c r="Z145" s="22" t="s">
        <v>532</v>
      </c>
      <c r="AA145" s="22"/>
      <c r="AB145" s="22"/>
      <c r="AC145" s="22"/>
      <c r="AD145" s="22"/>
      <c r="AE145" s="22" t="str">
        <f t="shared" ref="AE145:AF145" si="185">AE140</f>
        <v>E</v>
      </c>
      <c r="AF145" s="22">
        <f t="shared" si="185"/>
        <v>11</v>
      </c>
      <c r="AG145" s="22" t="s">
        <v>327</v>
      </c>
      <c r="AH145" s="22" t="str">
        <f t="shared" ref="AH145:AI145" si="186">AH140</f>
        <v>E</v>
      </c>
      <c r="AI145" s="22">
        <f t="shared" si="186"/>
        <v>24</v>
      </c>
      <c r="AJ145" s="22"/>
      <c r="AK145" s="22" t="s">
        <v>325</v>
      </c>
      <c r="AL145" s="22"/>
      <c r="AM145" s="22" t="str">
        <f t="shared" ref="AM145" si="187">_xlfn.CONCAT(N145&amp;V145&amp;Z145&amp;AE145&amp;AF145&amp;AG145&amp;AE145&amp;AI145&amp;AK145)</f>
        <v xml:space="preserve"> Workbooks("Ukraine_sponsorship_data_28.ods").Worksheets("Northern_Ireland").Range("E11:E24").Copy _</v>
      </c>
      <c r="AO145" t="s">
        <v>798</v>
      </c>
    </row>
    <row r="146" spans="2:41" x14ac:dyDescent="0.25">
      <c r="B146" s="22" t="s">
        <v>808</v>
      </c>
      <c r="C146" s="22"/>
      <c r="D146" s="22"/>
      <c r="E146" s="22"/>
      <c r="F146" s="22"/>
      <c r="G146" s="22"/>
      <c r="H146" s="22"/>
      <c r="I146" s="22"/>
      <c r="J146" s="22"/>
      <c r="K146" s="22"/>
      <c r="L146" s="22"/>
      <c r="M146" s="22"/>
      <c r="N146" s="22" t="s">
        <v>809</v>
      </c>
      <c r="O146" s="22"/>
      <c r="P146" s="22"/>
      <c r="Q146" s="22"/>
      <c r="R146" s="22"/>
      <c r="S146" s="22"/>
      <c r="T146" s="22"/>
      <c r="U146" s="22"/>
      <c r="V146" s="22"/>
      <c r="W146" s="22" t="str">
        <f t="shared" si="161"/>
        <v>B</v>
      </c>
      <c r="X146" s="22" t="str">
        <f t="shared" si="162"/>
        <v>S</v>
      </c>
      <c r="Y146" s="23">
        <f t="shared" si="163"/>
        <v>264</v>
      </c>
      <c r="Z146" s="22" t="s">
        <v>324</v>
      </c>
      <c r="AA146" s="22"/>
      <c r="AB146" s="22"/>
      <c r="AC146" s="22"/>
      <c r="AD146" s="22"/>
      <c r="AE146" s="22"/>
      <c r="AF146" s="22"/>
      <c r="AG146" s="22"/>
      <c r="AH146" s="22"/>
      <c r="AI146" s="22"/>
      <c r="AJ146" s="22"/>
      <c r="AK146" s="22"/>
      <c r="AL146" s="22"/>
      <c r="AM146" s="22" t="str">
        <f t="shared" ref="AM146" si="188">_xlfn.CONCAT(N146&amp;W146&amp;X146&amp;Y146&amp;Z146)</f>
        <v>Workbooks("HFU Forecast UTLA 1.0.xlsm").Worksheets("Combined data").Range("BS264")</v>
      </c>
      <c r="AO146" t="s">
        <v>875</v>
      </c>
    </row>
    <row r="147" spans="2:41" x14ac:dyDescent="0.25">
      <c r="B147" s="22" t="s">
        <v>339</v>
      </c>
      <c r="C147" s="22"/>
      <c r="D147" s="22"/>
      <c r="E147" s="22"/>
      <c r="F147" s="22"/>
      <c r="G147" s="22"/>
      <c r="H147" s="22"/>
      <c r="I147" s="22"/>
      <c r="J147" s="22"/>
      <c r="K147" s="22"/>
      <c r="L147" s="22"/>
      <c r="M147" s="22"/>
      <c r="N147" s="22"/>
      <c r="O147" s="22"/>
      <c r="P147" s="22"/>
      <c r="Q147" s="22"/>
      <c r="R147" s="22"/>
      <c r="S147" s="22"/>
      <c r="T147" s="22"/>
      <c r="U147" s="22"/>
      <c r="V147" s="22"/>
      <c r="W147" s="22"/>
      <c r="X147" s="22"/>
      <c r="Y147" s="23"/>
      <c r="Z147" s="22"/>
      <c r="AA147" s="22"/>
      <c r="AB147" s="22"/>
      <c r="AC147" s="22"/>
      <c r="AD147" s="22"/>
      <c r="AE147" s="22"/>
      <c r="AF147" s="22"/>
      <c r="AG147" s="22"/>
      <c r="AH147" s="22"/>
      <c r="AI147" s="22"/>
      <c r="AJ147" s="22"/>
      <c r="AK147" s="22"/>
      <c r="AL147" s="22"/>
      <c r="AM147" s="22" t="str">
        <f t="shared" ref="AM147" si="189">B147</f>
        <v>ActiveWorkbook.Close SaveChanges:=False</v>
      </c>
      <c r="AO147" t="s">
        <v>339</v>
      </c>
    </row>
    <row r="149" spans="2:41" x14ac:dyDescent="0.25">
      <c r="B149" s="19" t="s">
        <v>316</v>
      </c>
      <c r="C149" s="19"/>
      <c r="D149" s="19"/>
      <c r="E149" s="19"/>
      <c r="F149" s="19"/>
      <c r="G149" s="19"/>
      <c r="H149" s="19"/>
      <c r="I149" s="19"/>
      <c r="J149" s="19"/>
      <c r="K149" s="19"/>
      <c r="L149" s="19"/>
      <c r="M149" s="19"/>
      <c r="N149" s="19" t="s">
        <v>321</v>
      </c>
      <c r="O149" s="19"/>
      <c r="P149" s="19"/>
      <c r="Q149" s="19"/>
      <c r="R149" s="19"/>
      <c r="S149" s="19"/>
      <c r="T149" s="19"/>
      <c r="U149" s="19"/>
      <c r="V149" s="19">
        <f t="shared" si="147"/>
        <v>29</v>
      </c>
      <c r="W149" s="19"/>
      <c r="X149" s="19"/>
      <c r="Y149" s="21"/>
      <c r="Z149" s="19" t="s">
        <v>322</v>
      </c>
      <c r="AA149" s="19"/>
      <c r="AB149" s="19"/>
      <c r="AC149" s="19"/>
      <c r="AD149" s="19"/>
      <c r="AE149" s="19"/>
      <c r="AF149" s="19"/>
      <c r="AG149" s="19"/>
      <c r="AH149" s="19"/>
      <c r="AI149" s="19"/>
      <c r="AJ149" s="19"/>
      <c r="AK149" s="19"/>
      <c r="AL149" s="19"/>
      <c r="AM149" s="19" t="str">
        <f t="shared" ref="AM149" si="190">+_xlfn.CONCAT(N149&amp;V149&amp;Z149)</f>
        <v xml:space="preserve"> Workbooks.Open "A:\Homes for Ukraine data\Ukraine_sponsorship_data_29.ods"</v>
      </c>
      <c r="AO149" t="s">
        <v>733</v>
      </c>
    </row>
    <row r="150" spans="2:41" x14ac:dyDescent="0.25">
      <c r="B150" s="19" t="s">
        <v>533</v>
      </c>
      <c r="C150" s="19"/>
      <c r="D150" s="19"/>
      <c r="E150" s="19"/>
      <c r="F150" s="19"/>
      <c r="G150" s="19"/>
      <c r="H150" s="19"/>
      <c r="I150" s="19"/>
      <c r="J150" s="19"/>
      <c r="K150" s="19"/>
      <c r="L150" s="19"/>
      <c r="M150" s="19"/>
      <c r="N150" s="19" t="s">
        <v>323</v>
      </c>
      <c r="O150" s="19"/>
      <c r="P150" s="19"/>
      <c r="Q150" s="19"/>
      <c r="R150" s="19"/>
      <c r="S150" s="19"/>
      <c r="T150" s="19"/>
      <c r="U150" s="19"/>
      <c r="V150" s="19">
        <f t="shared" si="147"/>
        <v>29</v>
      </c>
      <c r="W150" s="19"/>
      <c r="X150" s="19"/>
      <c r="Y150" s="21"/>
      <c r="Z150" s="19" t="s">
        <v>532</v>
      </c>
      <c r="AA150" s="19"/>
      <c r="AB150" s="19"/>
      <c r="AC150" s="19"/>
      <c r="AD150" s="19"/>
      <c r="AE150" s="19" t="str">
        <f t="shared" ref="AE150:AF150" si="191">AE145</f>
        <v>E</v>
      </c>
      <c r="AF150" s="19">
        <f t="shared" si="191"/>
        <v>11</v>
      </c>
      <c r="AG150" s="19" t="s">
        <v>327</v>
      </c>
      <c r="AH150" s="19" t="str">
        <f t="shared" ref="AH150:AI150" si="192">AH145</f>
        <v>E</v>
      </c>
      <c r="AI150" s="19">
        <f t="shared" si="192"/>
        <v>24</v>
      </c>
      <c r="AJ150" s="19"/>
      <c r="AK150" s="19" t="s">
        <v>325</v>
      </c>
      <c r="AL150" s="19"/>
      <c r="AM150" s="19" t="str">
        <f t="shared" ref="AM150" si="193">_xlfn.CONCAT(N150&amp;V150&amp;Z150&amp;AE150&amp;AF150&amp;AG150&amp;AE150&amp;AI150&amp;AK150)</f>
        <v xml:space="preserve"> Workbooks("Ukraine_sponsorship_data_29.ods").Worksheets("Northern_Ireland").Range("E11:E24").Copy _</v>
      </c>
      <c r="AO150" t="s">
        <v>799</v>
      </c>
    </row>
    <row r="151" spans="2:41" x14ac:dyDescent="0.25">
      <c r="B151" s="19" t="s">
        <v>808</v>
      </c>
      <c r="C151" s="19"/>
      <c r="D151" s="19"/>
      <c r="E151" s="19"/>
      <c r="F151" s="19"/>
      <c r="G151" s="19"/>
      <c r="H151" s="19"/>
      <c r="I151" s="19"/>
      <c r="J151" s="19"/>
      <c r="K151" s="19"/>
      <c r="L151" s="19"/>
      <c r="M151" s="19"/>
      <c r="N151" s="19" t="s">
        <v>809</v>
      </c>
      <c r="O151" s="19"/>
      <c r="P151" s="19"/>
      <c r="Q151" s="19"/>
      <c r="R151" s="19"/>
      <c r="S151" s="19"/>
      <c r="T151" s="19"/>
      <c r="U151" s="19"/>
      <c r="V151" s="19"/>
      <c r="W151" s="19" t="s">
        <v>313</v>
      </c>
      <c r="X151" s="19" t="str">
        <f t="shared" si="152"/>
        <v>T</v>
      </c>
      <c r="Y151" s="21">
        <f t="shared" si="153"/>
        <v>264</v>
      </c>
      <c r="Z151" s="19" t="s">
        <v>324</v>
      </c>
      <c r="AA151" s="19"/>
      <c r="AB151" s="19"/>
      <c r="AC151" s="19"/>
      <c r="AD151" s="19"/>
      <c r="AE151" s="19"/>
      <c r="AF151" s="19"/>
      <c r="AG151" s="19"/>
      <c r="AH151" s="19"/>
      <c r="AI151" s="19"/>
      <c r="AJ151" s="19"/>
      <c r="AK151" s="19"/>
      <c r="AL151" s="19"/>
      <c r="AM151" s="19" t="str">
        <f t="shared" ref="AM151" si="194">_xlfn.CONCAT(N151&amp;W151&amp;X151&amp;Y151&amp;Z151)</f>
        <v>Workbooks("HFU Forecast UTLA 1.0.xlsm").Worksheets("Combined data").Range("BT264")</v>
      </c>
      <c r="AO151" t="s">
        <v>876</v>
      </c>
    </row>
    <row r="152" spans="2:41" x14ac:dyDescent="0.25">
      <c r="B152" s="19" t="s">
        <v>339</v>
      </c>
      <c r="C152" s="19"/>
      <c r="D152" s="19"/>
      <c r="E152" s="19"/>
      <c r="F152" s="19"/>
      <c r="G152" s="19"/>
      <c r="H152" s="19"/>
      <c r="I152" s="19"/>
      <c r="J152" s="19"/>
      <c r="K152" s="19"/>
      <c r="L152" s="19"/>
      <c r="M152" s="19"/>
      <c r="N152" s="19"/>
      <c r="O152" s="19"/>
      <c r="P152" s="19"/>
      <c r="Q152" s="19"/>
      <c r="R152" s="19"/>
      <c r="S152" s="19"/>
      <c r="T152" s="19"/>
      <c r="U152" s="19"/>
      <c r="V152" s="19"/>
      <c r="W152" s="19"/>
      <c r="X152" s="19"/>
      <c r="Y152" s="21"/>
      <c r="Z152" s="19"/>
      <c r="AA152" s="19"/>
      <c r="AB152" s="19"/>
      <c r="AC152" s="19"/>
      <c r="AD152" s="19"/>
      <c r="AE152" s="19"/>
      <c r="AF152" s="19"/>
      <c r="AG152" s="19"/>
      <c r="AH152" s="19"/>
      <c r="AI152" s="19"/>
      <c r="AJ152" s="19"/>
      <c r="AK152" s="19"/>
      <c r="AL152" s="19"/>
      <c r="AM152" s="19" t="str">
        <f t="shared" ref="AM152" si="195">B152</f>
        <v>ActiveWorkbook.Close SaveChanges:=False</v>
      </c>
      <c r="AO152" t="s">
        <v>339</v>
      </c>
    </row>
    <row r="154" spans="2:41" x14ac:dyDescent="0.25">
      <c r="B154" s="22" t="s">
        <v>316</v>
      </c>
      <c r="C154" s="22"/>
      <c r="D154" s="22"/>
      <c r="E154" s="22"/>
      <c r="F154" s="22"/>
      <c r="G154" s="22"/>
      <c r="H154" s="22"/>
      <c r="I154" s="22"/>
      <c r="J154" s="22"/>
      <c r="K154" s="22"/>
      <c r="L154" s="22"/>
      <c r="M154" s="22"/>
      <c r="N154" s="22" t="s">
        <v>321</v>
      </c>
      <c r="O154" s="22"/>
      <c r="P154" s="22"/>
      <c r="Q154" s="22"/>
      <c r="R154" s="22"/>
      <c r="S154" s="22"/>
      <c r="T154" s="22"/>
      <c r="U154" s="22"/>
      <c r="V154" s="22">
        <f t="shared" si="156"/>
        <v>30</v>
      </c>
      <c r="W154" s="22"/>
      <c r="X154" s="22"/>
      <c r="Y154" s="23"/>
      <c r="Z154" s="22" t="s">
        <v>322</v>
      </c>
      <c r="AA154" s="22"/>
      <c r="AB154" s="22"/>
      <c r="AC154" s="22"/>
      <c r="AD154" s="22"/>
      <c r="AE154" s="22"/>
      <c r="AF154" s="22"/>
      <c r="AG154" s="22"/>
      <c r="AH154" s="22"/>
      <c r="AI154" s="22"/>
      <c r="AJ154" s="22"/>
      <c r="AK154" s="22"/>
      <c r="AL154" s="22"/>
      <c r="AM154" s="22" t="str">
        <f t="shared" ref="AM154" si="196">+_xlfn.CONCAT(N154&amp;V154&amp;Z154)</f>
        <v xml:space="preserve"> Workbooks.Open "A:\Homes for Ukraine data\Ukraine_sponsorship_data_30.ods"</v>
      </c>
      <c r="AO154" t="s">
        <v>735</v>
      </c>
    </row>
    <row r="155" spans="2:41" x14ac:dyDescent="0.25">
      <c r="B155" s="22" t="s">
        <v>533</v>
      </c>
      <c r="C155" s="22"/>
      <c r="D155" s="22"/>
      <c r="E155" s="22"/>
      <c r="F155" s="22"/>
      <c r="G155" s="22"/>
      <c r="H155" s="22"/>
      <c r="I155" s="22"/>
      <c r="J155" s="22"/>
      <c r="K155" s="22"/>
      <c r="L155" s="22"/>
      <c r="M155" s="22"/>
      <c r="N155" s="22" t="s">
        <v>323</v>
      </c>
      <c r="O155" s="22"/>
      <c r="P155" s="22"/>
      <c r="Q155" s="22"/>
      <c r="R155" s="22"/>
      <c r="S155" s="22"/>
      <c r="T155" s="22"/>
      <c r="U155" s="22"/>
      <c r="V155" s="22">
        <f t="shared" si="156"/>
        <v>30</v>
      </c>
      <c r="W155" s="22"/>
      <c r="X155" s="22"/>
      <c r="Y155" s="23"/>
      <c r="Z155" s="22" t="s">
        <v>532</v>
      </c>
      <c r="AA155" s="22"/>
      <c r="AB155" s="22"/>
      <c r="AC155" s="22"/>
      <c r="AD155" s="22"/>
      <c r="AE155" s="22" t="str">
        <f t="shared" ref="AE155:AF155" si="197">AE150</f>
        <v>E</v>
      </c>
      <c r="AF155" s="22">
        <f t="shared" si="197"/>
        <v>11</v>
      </c>
      <c r="AG155" s="22" t="s">
        <v>327</v>
      </c>
      <c r="AH155" s="22" t="str">
        <f t="shared" ref="AH155:AI155" si="198">AH150</f>
        <v>E</v>
      </c>
      <c r="AI155" s="22">
        <f t="shared" si="198"/>
        <v>24</v>
      </c>
      <c r="AJ155" s="22"/>
      <c r="AK155" s="22" t="s">
        <v>325</v>
      </c>
      <c r="AL155" s="22"/>
      <c r="AM155" s="22" t="str">
        <f t="shared" ref="AM155" si="199">_xlfn.CONCAT(N155&amp;V155&amp;Z155&amp;AE155&amp;AF155&amp;AG155&amp;AE155&amp;AI155&amp;AK155)</f>
        <v xml:space="preserve"> Workbooks("Ukraine_sponsorship_data_30.ods").Worksheets("Northern_Ireland").Range("E11:E24").Copy _</v>
      </c>
      <c r="AO155" t="s">
        <v>800</v>
      </c>
    </row>
    <row r="156" spans="2:41" x14ac:dyDescent="0.25">
      <c r="B156" s="22" t="s">
        <v>808</v>
      </c>
      <c r="C156" s="22"/>
      <c r="D156" s="22"/>
      <c r="E156" s="22"/>
      <c r="F156" s="22"/>
      <c r="G156" s="22"/>
      <c r="H156" s="22"/>
      <c r="I156" s="22"/>
      <c r="J156" s="22"/>
      <c r="K156" s="22"/>
      <c r="L156" s="22"/>
      <c r="M156" s="22"/>
      <c r="N156" s="22" t="s">
        <v>809</v>
      </c>
      <c r="O156" s="22"/>
      <c r="P156" s="22"/>
      <c r="Q156" s="22"/>
      <c r="R156" s="22"/>
      <c r="S156" s="22"/>
      <c r="T156" s="22"/>
      <c r="U156" s="22"/>
      <c r="V156" s="22"/>
      <c r="W156" s="22" t="str">
        <f t="shared" si="161"/>
        <v>B</v>
      </c>
      <c r="X156" s="22" t="str">
        <f t="shared" si="162"/>
        <v>U</v>
      </c>
      <c r="Y156" s="23">
        <f t="shared" si="163"/>
        <v>264</v>
      </c>
      <c r="Z156" s="22" t="s">
        <v>324</v>
      </c>
      <c r="AA156" s="22"/>
      <c r="AB156" s="22"/>
      <c r="AC156" s="22"/>
      <c r="AD156" s="22"/>
      <c r="AE156" s="22"/>
      <c r="AF156" s="22"/>
      <c r="AG156" s="22"/>
      <c r="AH156" s="22"/>
      <c r="AI156" s="22"/>
      <c r="AJ156" s="22"/>
      <c r="AK156" s="22"/>
      <c r="AL156" s="22"/>
      <c r="AM156" s="22" t="str">
        <f t="shared" ref="AM156" si="200">_xlfn.CONCAT(N156&amp;W156&amp;X156&amp;Y156&amp;Z156)</f>
        <v>Workbooks("HFU Forecast UTLA 1.0.xlsm").Worksheets("Combined data").Range("BU264")</v>
      </c>
      <c r="AO156" t="s">
        <v>877</v>
      </c>
    </row>
    <row r="157" spans="2:41" x14ac:dyDescent="0.25">
      <c r="B157" s="22" t="s">
        <v>339</v>
      </c>
      <c r="C157" s="22"/>
      <c r="D157" s="22"/>
      <c r="E157" s="22"/>
      <c r="F157" s="22"/>
      <c r="G157" s="22"/>
      <c r="H157" s="22"/>
      <c r="I157" s="22"/>
      <c r="J157" s="22"/>
      <c r="K157" s="22"/>
      <c r="L157" s="22"/>
      <c r="M157" s="22"/>
      <c r="N157" s="22"/>
      <c r="O157" s="22"/>
      <c r="P157" s="22"/>
      <c r="Q157" s="22"/>
      <c r="R157" s="22"/>
      <c r="S157" s="22"/>
      <c r="T157" s="22"/>
      <c r="U157" s="22"/>
      <c r="V157" s="22"/>
      <c r="W157" s="22"/>
      <c r="X157" s="22"/>
      <c r="Y157" s="23"/>
      <c r="Z157" s="22"/>
      <c r="AA157" s="22"/>
      <c r="AB157" s="22"/>
      <c r="AC157" s="22"/>
      <c r="AD157" s="22"/>
      <c r="AE157" s="22"/>
      <c r="AF157" s="22"/>
      <c r="AG157" s="22"/>
      <c r="AH157" s="22"/>
      <c r="AI157" s="22"/>
      <c r="AJ157" s="22"/>
      <c r="AK157" s="22"/>
      <c r="AL157" s="22"/>
      <c r="AM157" s="22" t="str">
        <f t="shared" ref="AM157" si="201">B157</f>
        <v>ActiveWorkbook.Close SaveChanges:=False</v>
      </c>
      <c r="AO157" t="s">
        <v>339</v>
      </c>
    </row>
    <row r="159" spans="2:41" x14ac:dyDescent="0.25">
      <c r="B159" s="19" t="s">
        <v>316</v>
      </c>
      <c r="C159" s="19"/>
      <c r="D159" s="19"/>
      <c r="E159" s="19"/>
      <c r="F159" s="19"/>
      <c r="G159" s="19"/>
      <c r="H159" s="19"/>
      <c r="I159" s="19"/>
      <c r="J159" s="19"/>
      <c r="K159" s="19"/>
      <c r="L159" s="19"/>
      <c r="M159" s="19"/>
      <c r="N159" s="19" t="s">
        <v>321</v>
      </c>
      <c r="O159" s="19"/>
      <c r="P159" s="19"/>
      <c r="Q159" s="19"/>
      <c r="R159" s="19"/>
      <c r="S159" s="19"/>
      <c r="T159" s="19"/>
      <c r="U159" s="19"/>
      <c r="V159" s="19">
        <f t="shared" si="147"/>
        <v>31</v>
      </c>
      <c r="W159" s="19"/>
      <c r="X159" s="19"/>
      <c r="Y159" s="21"/>
      <c r="Z159" s="19" t="s">
        <v>322</v>
      </c>
      <c r="AA159" s="19"/>
      <c r="AB159" s="19"/>
      <c r="AC159" s="19"/>
      <c r="AD159" s="19"/>
      <c r="AE159" s="19"/>
      <c r="AF159" s="19"/>
      <c r="AG159" s="19"/>
      <c r="AH159" s="19"/>
      <c r="AI159" s="19"/>
      <c r="AJ159" s="19"/>
      <c r="AK159" s="19"/>
      <c r="AL159" s="19"/>
      <c r="AM159" s="19" t="str">
        <f t="shared" ref="AM159" si="202">+_xlfn.CONCAT(N159&amp;V159&amp;Z159)</f>
        <v xml:space="preserve"> Workbooks.Open "A:\Homes for Ukraine data\Ukraine_sponsorship_data_31.ods"</v>
      </c>
      <c r="AO159" t="s">
        <v>737</v>
      </c>
    </row>
    <row r="160" spans="2:41" x14ac:dyDescent="0.25">
      <c r="B160" s="19" t="s">
        <v>533</v>
      </c>
      <c r="C160" s="19"/>
      <c r="D160" s="19"/>
      <c r="E160" s="19"/>
      <c r="F160" s="19"/>
      <c r="G160" s="19"/>
      <c r="H160" s="19"/>
      <c r="I160" s="19"/>
      <c r="J160" s="19"/>
      <c r="K160" s="19"/>
      <c r="L160" s="19"/>
      <c r="M160" s="19"/>
      <c r="N160" s="19" t="s">
        <v>323</v>
      </c>
      <c r="O160" s="19"/>
      <c r="P160" s="19"/>
      <c r="Q160" s="19"/>
      <c r="R160" s="19"/>
      <c r="S160" s="19"/>
      <c r="T160" s="19"/>
      <c r="U160" s="19"/>
      <c r="V160" s="19">
        <f t="shared" si="147"/>
        <v>31</v>
      </c>
      <c r="W160" s="19"/>
      <c r="X160" s="19"/>
      <c r="Y160" s="21"/>
      <c r="Z160" s="19" t="s">
        <v>532</v>
      </c>
      <c r="AA160" s="19"/>
      <c r="AB160" s="19"/>
      <c r="AC160" s="19"/>
      <c r="AD160" s="19"/>
      <c r="AE160" s="19" t="str">
        <f t="shared" ref="AE160:AF160" si="203">AE155</f>
        <v>E</v>
      </c>
      <c r="AF160" s="19">
        <f t="shared" si="203"/>
        <v>11</v>
      </c>
      <c r="AG160" s="19" t="s">
        <v>327</v>
      </c>
      <c r="AH160" s="19" t="str">
        <f t="shared" ref="AH160:AI160" si="204">AH155</f>
        <v>E</v>
      </c>
      <c r="AI160" s="19">
        <f t="shared" si="204"/>
        <v>24</v>
      </c>
      <c r="AJ160" s="19"/>
      <c r="AK160" s="19" t="s">
        <v>325</v>
      </c>
      <c r="AL160" s="19"/>
      <c r="AM160" s="19" t="str">
        <f t="shared" ref="AM160" si="205">_xlfn.CONCAT(N160&amp;V160&amp;Z160&amp;AE160&amp;AF160&amp;AG160&amp;AE160&amp;AI160&amp;AK160)</f>
        <v xml:space="preserve"> Workbooks("Ukraine_sponsorship_data_31.ods").Worksheets("Northern_Ireland").Range("E11:E24").Copy _</v>
      </c>
      <c r="AO160" t="s">
        <v>801</v>
      </c>
    </row>
    <row r="161" spans="2:41" x14ac:dyDescent="0.25">
      <c r="B161" s="19" t="s">
        <v>808</v>
      </c>
      <c r="C161" s="19"/>
      <c r="D161" s="19"/>
      <c r="E161" s="19"/>
      <c r="F161" s="19"/>
      <c r="G161" s="19"/>
      <c r="H161" s="19"/>
      <c r="I161" s="19"/>
      <c r="J161" s="19"/>
      <c r="K161" s="19"/>
      <c r="L161" s="19"/>
      <c r="M161" s="19"/>
      <c r="N161" s="19" t="s">
        <v>809</v>
      </c>
      <c r="O161" s="19"/>
      <c r="P161" s="19"/>
      <c r="Q161" s="19"/>
      <c r="R161" s="19"/>
      <c r="S161" s="19"/>
      <c r="T161" s="19"/>
      <c r="U161" s="19"/>
      <c r="V161" s="19"/>
      <c r="W161" s="19" t="s">
        <v>313</v>
      </c>
      <c r="X161" s="19" t="str">
        <f t="shared" si="152"/>
        <v>V</v>
      </c>
      <c r="Y161" s="21">
        <f t="shared" si="153"/>
        <v>264</v>
      </c>
      <c r="Z161" s="19" t="s">
        <v>324</v>
      </c>
      <c r="AA161" s="19"/>
      <c r="AB161" s="19"/>
      <c r="AC161" s="19"/>
      <c r="AD161" s="19"/>
      <c r="AE161" s="19"/>
      <c r="AF161" s="19"/>
      <c r="AG161" s="19"/>
      <c r="AH161" s="19"/>
      <c r="AI161" s="19"/>
      <c r="AJ161" s="19"/>
      <c r="AK161" s="19"/>
      <c r="AL161" s="19"/>
      <c r="AM161" s="19" t="str">
        <f t="shared" ref="AM161" si="206">_xlfn.CONCAT(N161&amp;W161&amp;X161&amp;Y161&amp;Z161)</f>
        <v>Workbooks("HFU Forecast UTLA 1.0.xlsm").Worksheets("Combined data").Range("BV264")</v>
      </c>
      <c r="AO161" t="s">
        <v>878</v>
      </c>
    </row>
    <row r="162" spans="2:41" x14ac:dyDescent="0.25">
      <c r="B162" s="19" t="s">
        <v>339</v>
      </c>
      <c r="C162" s="19"/>
      <c r="D162" s="19"/>
      <c r="E162" s="19"/>
      <c r="F162" s="19"/>
      <c r="G162" s="19"/>
      <c r="H162" s="19"/>
      <c r="I162" s="19"/>
      <c r="J162" s="19"/>
      <c r="K162" s="19"/>
      <c r="L162" s="19"/>
      <c r="M162" s="19"/>
      <c r="N162" s="19"/>
      <c r="O162" s="19"/>
      <c r="P162" s="19"/>
      <c r="Q162" s="19"/>
      <c r="R162" s="19"/>
      <c r="S162" s="19"/>
      <c r="T162" s="19"/>
      <c r="U162" s="19"/>
      <c r="V162" s="19"/>
      <c r="W162" s="19"/>
      <c r="X162" s="19"/>
      <c r="Y162" s="21"/>
      <c r="Z162" s="19"/>
      <c r="AA162" s="19"/>
      <c r="AB162" s="19"/>
      <c r="AC162" s="19"/>
      <c r="AD162" s="19"/>
      <c r="AE162" s="19"/>
      <c r="AF162" s="19"/>
      <c r="AG162" s="19"/>
      <c r="AH162" s="19"/>
      <c r="AI162" s="19"/>
      <c r="AJ162" s="19"/>
      <c r="AK162" s="19"/>
      <c r="AL162" s="19"/>
      <c r="AM162" s="19" t="str">
        <f t="shared" ref="AM162" si="207">B162</f>
        <v>ActiveWorkbook.Close SaveChanges:=False</v>
      </c>
      <c r="AO162" t="s">
        <v>339</v>
      </c>
    </row>
    <row r="164" spans="2:41" x14ac:dyDescent="0.25">
      <c r="B164" s="22" t="s">
        <v>316</v>
      </c>
      <c r="C164" s="22"/>
      <c r="D164" s="22"/>
      <c r="E164" s="22"/>
      <c r="F164" s="22"/>
      <c r="G164" s="22"/>
      <c r="H164" s="22"/>
      <c r="I164" s="22"/>
      <c r="J164" s="22"/>
      <c r="K164" s="22"/>
      <c r="L164" s="22"/>
      <c r="M164" s="22"/>
      <c r="N164" s="22" t="s">
        <v>321</v>
      </c>
      <c r="O164" s="22"/>
      <c r="P164" s="22"/>
      <c r="Q164" s="22"/>
      <c r="R164" s="22"/>
      <c r="S164" s="22"/>
      <c r="T164" s="22"/>
      <c r="U164" s="22"/>
      <c r="V164" s="22">
        <f t="shared" si="156"/>
        <v>32</v>
      </c>
      <c r="W164" s="22"/>
      <c r="X164" s="22"/>
      <c r="Y164" s="23"/>
      <c r="Z164" s="22" t="s">
        <v>322</v>
      </c>
      <c r="AA164" s="22"/>
      <c r="AB164" s="22"/>
      <c r="AC164" s="22"/>
      <c r="AD164" s="22"/>
      <c r="AE164" s="22"/>
      <c r="AF164" s="22"/>
      <c r="AG164" s="22"/>
      <c r="AH164" s="22"/>
      <c r="AI164" s="22"/>
      <c r="AJ164" s="22"/>
      <c r="AK164" s="22"/>
      <c r="AL164" s="22"/>
      <c r="AM164" s="22" t="str">
        <f t="shared" ref="AM164" si="208">+_xlfn.CONCAT(N164&amp;V164&amp;Z164)</f>
        <v xml:space="preserve"> Workbooks.Open "A:\Homes for Ukraine data\Ukraine_sponsorship_data_32.ods"</v>
      </c>
      <c r="AO164" t="s">
        <v>739</v>
      </c>
    </row>
    <row r="165" spans="2:41" x14ac:dyDescent="0.25">
      <c r="B165" s="22" t="s">
        <v>533</v>
      </c>
      <c r="C165" s="22"/>
      <c r="D165" s="22"/>
      <c r="E165" s="22"/>
      <c r="F165" s="22"/>
      <c r="G165" s="22"/>
      <c r="H165" s="22"/>
      <c r="I165" s="22"/>
      <c r="J165" s="22"/>
      <c r="K165" s="22"/>
      <c r="L165" s="22"/>
      <c r="M165" s="22"/>
      <c r="N165" s="22" t="s">
        <v>323</v>
      </c>
      <c r="O165" s="22"/>
      <c r="P165" s="22"/>
      <c r="Q165" s="22"/>
      <c r="R165" s="22"/>
      <c r="S165" s="22"/>
      <c r="T165" s="22"/>
      <c r="U165" s="22"/>
      <c r="V165" s="22">
        <f t="shared" si="156"/>
        <v>32</v>
      </c>
      <c r="W165" s="22"/>
      <c r="X165" s="22"/>
      <c r="Y165" s="23"/>
      <c r="Z165" s="22" t="s">
        <v>532</v>
      </c>
      <c r="AA165" s="22"/>
      <c r="AB165" s="22"/>
      <c r="AC165" s="22"/>
      <c r="AD165" s="22"/>
      <c r="AE165" s="22" t="str">
        <f t="shared" ref="AE165:AF165" si="209">AE160</f>
        <v>E</v>
      </c>
      <c r="AF165" s="22">
        <f t="shared" si="209"/>
        <v>11</v>
      </c>
      <c r="AG165" s="22" t="s">
        <v>327</v>
      </c>
      <c r="AH165" s="22" t="str">
        <f t="shared" ref="AH165:AI165" si="210">AH160</f>
        <v>E</v>
      </c>
      <c r="AI165" s="22">
        <f t="shared" si="210"/>
        <v>24</v>
      </c>
      <c r="AJ165" s="22"/>
      <c r="AK165" s="22" t="s">
        <v>325</v>
      </c>
      <c r="AL165" s="22"/>
      <c r="AM165" s="22" t="str">
        <f t="shared" ref="AM165" si="211">_xlfn.CONCAT(N165&amp;V165&amp;Z165&amp;AE165&amp;AF165&amp;AG165&amp;AE165&amp;AI165&amp;AK165)</f>
        <v xml:space="preserve"> Workbooks("Ukraine_sponsorship_data_32.ods").Worksheets("Northern_Ireland").Range("E11:E24").Copy _</v>
      </c>
      <c r="AO165" t="s">
        <v>802</v>
      </c>
    </row>
    <row r="166" spans="2:41" x14ac:dyDescent="0.25">
      <c r="B166" s="22" t="s">
        <v>808</v>
      </c>
      <c r="C166" s="22"/>
      <c r="D166" s="22"/>
      <c r="E166" s="22"/>
      <c r="F166" s="22"/>
      <c r="G166" s="22"/>
      <c r="H166" s="22"/>
      <c r="I166" s="22"/>
      <c r="J166" s="22"/>
      <c r="K166" s="22"/>
      <c r="L166" s="22"/>
      <c r="M166" s="22"/>
      <c r="N166" s="22" t="s">
        <v>809</v>
      </c>
      <c r="O166" s="22"/>
      <c r="P166" s="22"/>
      <c r="Q166" s="22"/>
      <c r="R166" s="22"/>
      <c r="S166" s="22"/>
      <c r="T166" s="22"/>
      <c r="U166" s="22"/>
      <c r="V166" s="22"/>
      <c r="W166" s="22" t="str">
        <f t="shared" si="161"/>
        <v>B</v>
      </c>
      <c r="X166" s="22" t="str">
        <f t="shared" si="162"/>
        <v>W</v>
      </c>
      <c r="Y166" s="23">
        <f t="shared" si="163"/>
        <v>264</v>
      </c>
      <c r="Z166" s="22" t="s">
        <v>324</v>
      </c>
      <c r="AA166" s="22"/>
      <c r="AB166" s="22"/>
      <c r="AC166" s="22"/>
      <c r="AD166" s="22"/>
      <c r="AE166" s="22"/>
      <c r="AF166" s="22"/>
      <c r="AG166" s="22"/>
      <c r="AH166" s="22"/>
      <c r="AI166" s="22"/>
      <c r="AJ166" s="22"/>
      <c r="AK166" s="22"/>
      <c r="AL166" s="22"/>
      <c r="AM166" s="22" t="str">
        <f t="shared" ref="AM166" si="212">_xlfn.CONCAT(N166&amp;W166&amp;X166&amp;Y166&amp;Z166)</f>
        <v>Workbooks("HFU Forecast UTLA 1.0.xlsm").Worksheets("Combined data").Range("BW264")</v>
      </c>
      <c r="AO166" t="s">
        <v>879</v>
      </c>
    </row>
    <row r="167" spans="2:41" x14ac:dyDescent="0.25">
      <c r="B167" s="22" t="s">
        <v>339</v>
      </c>
      <c r="C167" s="22"/>
      <c r="D167" s="22"/>
      <c r="E167" s="22"/>
      <c r="F167" s="22"/>
      <c r="G167" s="22"/>
      <c r="H167" s="22"/>
      <c r="I167" s="22"/>
      <c r="J167" s="22"/>
      <c r="K167" s="22"/>
      <c r="L167" s="22"/>
      <c r="M167" s="22"/>
      <c r="N167" s="22"/>
      <c r="O167" s="22"/>
      <c r="P167" s="22"/>
      <c r="Q167" s="22"/>
      <c r="R167" s="22"/>
      <c r="S167" s="22"/>
      <c r="T167" s="22"/>
      <c r="U167" s="22"/>
      <c r="V167" s="22"/>
      <c r="W167" s="22"/>
      <c r="X167" s="22"/>
      <c r="Y167" s="23"/>
      <c r="Z167" s="22"/>
      <c r="AA167" s="22"/>
      <c r="AB167" s="22"/>
      <c r="AC167" s="22"/>
      <c r="AD167" s="22"/>
      <c r="AE167" s="22"/>
      <c r="AF167" s="22"/>
      <c r="AG167" s="22"/>
      <c r="AH167" s="22"/>
      <c r="AI167" s="22"/>
      <c r="AJ167" s="22"/>
      <c r="AK167" s="22"/>
      <c r="AL167" s="22"/>
      <c r="AM167" s="22" t="str">
        <f t="shared" ref="AM167" si="213">B167</f>
        <v>ActiveWorkbook.Close SaveChanges:=False</v>
      </c>
      <c r="AO167" t="s">
        <v>339</v>
      </c>
    </row>
    <row r="169" spans="2:41" x14ac:dyDescent="0.25">
      <c r="B169" s="19" t="s">
        <v>316</v>
      </c>
      <c r="C169" s="19"/>
      <c r="D169" s="19"/>
      <c r="E169" s="19"/>
      <c r="F169" s="19"/>
      <c r="G169" s="19"/>
      <c r="H169" s="19"/>
      <c r="I169" s="19"/>
      <c r="J169" s="19"/>
      <c r="K169" s="19"/>
      <c r="L169" s="19"/>
      <c r="M169" s="19"/>
      <c r="N169" s="19" t="s">
        <v>321</v>
      </c>
      <c r="O169" s="19"/>
      <c r="P169" s="19"/>
      <c r="Q169" s="19"/>
      <c r="R169" s="19"/>
      <c r="S169" s="19"/>
      <c r="T169" s="19"/>
      <c r="U169" s="19"/>
      <c r="V169" s="19">
        <f t="shared" si="147"/>
        <v>33</v>
      </c>
      <c r="W169" s="19"/>
      <c r="X169" s="19"/>
      <c r="Y169" s="21"/>
      <c r="Z169" s="19" t="s">
        <v>322</v>
      </c>
      <c r="AA169" s="19"/>
      <c r="AB169" s="19"/>
      <c r="AC169" s="19"/>
      <c r="AD169" s="19"/>
      <c r="AE169" s="19"/>
      <c r="AF169" s="19"/>
      <c r="AG169" s="19"/>
      <c r="AH169" s="19"/>
      <c r="AI169" s="19"/>
      <c r="AJ169" s="19"/>
      <c r="AK169" s="19"/>
      <c r="AL169" s="19"/>
      <c r="AM169" s="19" t="str">
        <f t="shared" ref="AM169" si="214">+_xlfn.CONCAT(N169&amp;V169&amp;Z169)</f>
        <v xml:space="preserve"> Workbooks.Open "A:\Homes for Ukraine data\Ukraine_sponsorship_data_33.ods"</v>
      </c>
      <c r="AO169" t="s">
        <v>741</v>
      </c>
    </row>
    <row r="170" spans="2:41" x14ac:dyDescent="0.25">
      <c r="B170" s="19" t="s">
        <v>533</v>
      </c>
      <c r="C170" s="19"/>
      <c r="D170" s="19"/>
      <c r="E170" s="19"/>
      <c r="F170" s="19"/>
      <c r="G170" s="19"/>
      <c r="H170" s="19"/>
      <c r="I170" s="19"/>
      <c r="J170" s="19"/>
      <c r="K170" s="19"/>
      <c r="L170" s="19"/>
      <c r="M170" s="19"/>
      <c r="N170" s="19" t="s">
        <v>323</v>
      </c>
      <c r="O170" s="19"/>
      <c r="P170" s="19"/>
      <c r="Q170" s="19"/>
      <c r="R170" s="19"/>
      <c r="S170" s="19"/>
      <c r="T170" s="19"/>
      <c r="U170" s="19"/>
      <c r="V170" s="19">
        <f t="shared" si="147"/>
        <v>33</v>
      </c>
      <c r="W170" s="19"/>
      <c r="X170" s="19"/>
      <c r="Y170" s="21"/>
      <c r="Z170" s="19" t="s">
        <v>532</v>
      </c>
      <c r="AA170" s="19"/>
      <c r="AB170" s="19"/>
      <c r="AC170" s="19"/>
      <c r="AD170" s="19"/>
      <c r="AE170" s="19" t="str">
        <f t="shared" ref="AE170:AF170" si="215">AE165</f>
        <v>E</v>
      </c>
      <c r="AF170" s="19">
        <f t="shared" si="215"/>
        <v>11</v>
      </c>
      <c r="AG170" s="19" t="s">
        <v>327</v>
      </c>
      <c r="AH170" s="19" t="str">
        <f t="shared" ref="AH170:AI170" si="216">AH165</f>
        <v>E</v>
      </c>
      <c r="AI170" s="19">
        <f t="shared" si="216"/>
        <v>24</v>
      </c>
      <c r="AJ170" s="19"/>
      <c r="AK170" s="19" t="s">
        <v>325</v>
      </c>
      <c r="AL170" s="19"/>
      <c r="AM170" s="19" t="str">
        <f t="shared" ref="AM170" si="217">_xlfn.CONCAT(N170&amp;V170&amp;Z170&amp;AE170&amp;AF170&amp;AG170&amp;AE170&amp;AI170&amp;AK170)</f>
        <v xml:space="preserve"> Workbooks("Ukraine_sponsorship_data_33.ods").Worksheets("Northern_Ireland").Range("E11:E24").Copy _</v>
      </c>
      <c r="AO170" t="s">
        <v>803</v>
      </c>
    </row>
    <row r="171" spans="2:41" x14ac:dyDescent="0.25">
      <c r="B171" s="19" t="s">
        <v>808</v>
      </c>
      <c r="C171" s="19"/>
      <c r="D171" s="19"/>
      <c r="E171" s="19"/>
      <c r="F171" s="19"/>
      <c r="G171" s="19"/>
      <c r="H171" s="19"/>
      <c r="I171" s="19"/>
      <c r="J171" s="19"/>
      <c r="K171" s="19"/>
      <c r="L171" s="19"/>
      <c r="M171" s="19"/>
      <c r="N171" s="19" t="s">
        <v>809</v>
      </c>
      <c r="O171" s="19"/>
      <c r="P171" s="19"/>
      <c r="Q171" s="19"/>
      <c r="R171" s="19"/>
      <c r="S171" s="19"/>
      <c r="T171" s="19"/>
      <c r="U171" s="19"/>
      <c r="V171" s="19"/>
      <c r="W171" s="19" t="s">
        <v>313</v>
      </c>
      <c r="X171" s="19" t="str">
        <f t="shared" si="152"/>
        <v>X</v>
      </c>
      <c r="Y171" s="21">
        <f t="shared" si="153"/>
        <v>264</v>
      </c>
      <c r="Z171" s="19" t="s">
        <v>324</v>
      </c>
      <c r="AA171" s="19"/>
      <c r="AB171" s="19"/>
      <c r="AC171" s="19"/>
      <c r="AD171" s="19"/>
      <c r="AE171" s="19"/>
      <c r="AF171" s="19"/>
      <c r="AG171" s="19"/>
      <c r="AH171" s="19"/>
      <c r="AI171" s="19"/>
      <c r="AJ171" s="19"/>
      <c r="AK171" s="19"/>
      <c r="AL171" s="19"/>
      <c r="AM171" s="19" t="str">
        <f t="shared" ref="AM171" si="218">_xlfn.CONCAT(N171&amp;W171&amp;X171&amp;Y171&amp;Z171)</f>
        <v>Workbooks("HFU Forecast UTLA 1.0.xlsm").Worksheets("Combined data").Range("BX264")</v>
      </c>
      <c r="AO171" t="s">
        <v>880</v>
      </c>
    </row>
    <row r="172" spans="2:41" x14ac:dyDescent="0.25">
      <c r="B172" s="19" t="s">
        <v>339</v>
      </c>
      <c r="C172" s="19"/>
      <c r="D172" s="19"/>
      <c r="E172" s="19"/>
      <c r="F172" s="19"/>
      <c r="G172" s="19"/>
      <c r="H172" s="19"/>
      <c r="I172" s="19"/>
      <c r="J172" s="19"/>
      <c r="K172" s="19"/>
      <c r="L172" s="19"/>
      <c r="M172" s="19"/>
      <c r="N172" s="19"/>
      <c r="O172" s="19"/>
      <c r="P172" s="19"/>
      <c r="Q172" s="19"/>
      <c r="R172" s="19"/>
      <c r="S172" s="19"/>
      <c r="T172" s="19"/>
      <c r="U172" s="19"/>
      <c r="V172" s="19"/>
      <c r="W172" s="19"/>
      <c r="X172" s="19"/>
      <c r="Y172" s="21"/>
      <c r="Z172" s="19"/>
      <c r="AA172" s="19"/>
      <c r="AB172" s="19"/>
      <c r="AC172" s="19"/>
      <c r="AD172" s="19"/>
      <c r="AE172" s="19"/>
      <c r="AF172" s="19"/>
      <c r="AG172" s="19"/>
      <c r="AH172" s="19"/>
      <c r="AI172" s="19"/>
      <c r="AJ172" s="19"/>
      <c r="AK172" s="19"/>
      <c r="AL172" s="19"/>
      <c r="AM172" s="19" t="str">
        <f t="shared" ref="AM172" si="219">B172</f>
        <v>ActiveWorkbook.Close SaveChanges:=False</v>
      </c>
      <c r="AO172" t="s">
        <v>339</v>
      </c>
    </row>
    <row r="174" spans="2:41" x14ac:dyDescent="0.25">
      <c r="B174" s="22" t="s">
        <v>316</v>
      </c>
      <c r="C174" s="22"/>
      <c r="D174" s="22"/>
      <c r="E174" s="22"/>
      <c r="F174" s="22"/>
      <c r="G174" s="22"/>
      <c r="H174" s="22"/>
      <c r="I174" s="22"/>
      <c r="J174" s="22"/>
      <c r="K174" s="22"/>
      <c r="L174" s="22"/>
      <c r="M174" s="22"/>
      <c r="N174" s="22" t="s">
        <v>321</v>
      </c>
      <c r="O174" s="22"/>
      <c r="P174" s="22"/>
      <c r="Q174" s="22"/>
      <c r="R174" s="22"/>
      <c r="S174" s="22"/>
      <c r="T174" s="22"/>
      <c r="U174" s="22"/>
      <c r="V174" s="22">
        <f t="shared" si="156"/>
        <v>34</v>
      </c>
      <c r="W174" s="22"/>
      <c r="X174" s="22"/>
      <c r="Y174" s="23"/>
      <c r="Z174" s="22" t="s">
        <v>322</v>
      </c>
      <c r="AA174" s="22"/>
      <c r="AB174" s="22"/>
      <c r="AC174" s="22"/>
      <c r="AD174" s="22"/>
      <c r="AE174" s="22"/>
      <c r="AF174" s="22"/>
      <c r="AG174" s="22"/>
      <c r="AH174" s="22"/>
      <c r="AI174" s="22"/>
      <c r="AJ174" s="22"/>
      <c r="AK174" s="22"/>
      <c r="AL174" s="22"/>
      <c r="AM174" s="22" t="str">
        <f t="shared" ref="AM174" si="220">+_xlfn.CONCAT(N174&amp;V174&amp;Z174)</f>
        <v xml:space="preserve"> Workbooks.Open "A:\Homes for Ukraine data\Ukraine_sponsorship_data_34.ods"</v>
      </c>
      <c r="AO174" t="s">
        <v>743</v>
      </c>
    </row>
    <row r="175" spans="2:41" x14ac:dyDescent="0.25">
      <c r="B175" s="22" t="s">
        <v>533</v>
      </c>
      <c r="C175" s="22"/>
      <c r="D175" s="22"/>
      <c r="E175" s="22"/>
      <c r="F175" s="22"/>
      <c r="G175" s="22"/>
      <c r="H175" s="22"/>
      <c r="I175" s="22"/>
      <c r="J175" s="22"/>
      <c r="K175" s="22"/>
      <c r="L175" s="22"/>
      <c r="M175" s="22"/>
      <c r="N175" s="22" t="s">
        <v>323</v>
      </c>
      <c r="O175" s="22"/>
      <c r="P175" s="22"/>
      <c r="Q175" s="22"/>
      <c r="R175" s="22"/>
      <c r="S175" s="22"/>
      <c r="T175" s="22"/>
      <c r="U175" s="22"/>
      <c r="V175" s="22">
        <f t="shared" si="156"/>
        <v>34</v>
      </c>
      <c r="W175" s="22"/>
      <c r="X175" s="22"/>
      <c r="Y175" s="23"/>
      <c r="Z175" s="22" t="s">
        <v>532</v>
      </c>
      <c r="AA175" s="22"/>
      <c r="AB175" s="22"/>
      <c r="AC175" s="22"/>
      <c r="AD175" s="22"/>
      <c r="AE175" s="22" t="str">
        <f t="shared" ref="AE175:AF175" si="221">AE170</f>
        <v>E</v>
      </c>
      <c r="AF175" s="22">
        <f t="shared" si="221"/>
        <v>11</v>
      </c>
      <c r="AG175" s="22" t="s">
        <v>327</v>
      </c>
      <c r="AH175" s="22" t="str">
        <f t="shared" ref="AH175:AI175" si="222">AH170</f>
        <v>E</v>
      </c>
      <c r="AI175" s="22">
        <f t="shared" si="222"/>
        <v>24</v>
      </c>
      <c r="AJ175" s="22"/>
      <c r="AK175" s="22" t="s">
        <v>325</v>
      </c>
      <c r="AL175" s="22"/>
      <c r="AM175" s="22" t="str">
        <f t="shared" ref="AM175" si="223">_xlfn.CONCAT(N175&amp;V175&amp;Z175&amp;AE175&amp;AF175&amp;AG175&amp;AE175&amp;AI175&amp;AK175)</f>
        <v xml:space="preserve"> Workbooks("Ukraine_sponsorship_data_34.ods").Worksheets("Northern_Ireland").Range("E11:E24").Copy _</v>
      </c>
      <c r="AO175" t="s">
        <v>804</v>
      </c>
    </row>
    <row r="176" spans="2:41" x14ac:dyDescent="0.25">
      <c r="B176" s="22" t="s">
        <v>808</v>
      </c>
      <c r="C176" s="22"/>
      <c r="D176" s="22"/>
      <c r="E176" s="22"/>
      <c r="F176" s="22"/>
      <c r="G176" s="22"/>
      <c r="H176" s="22"/>
      <c r="I176" s="22"/>
      <c r="J176" s="22"/>
      <c r="K176" s="22"/>
      <c r="L176" s="22"/>
      <c r="M176" s="22"/>
      <c r="N176" s="22" t="s">
        <v>809</v>
      </c>
      <c r="O176" s="22"/>
      <c r="P176" s="22"/>
      <c r="Q176" s="22"/>
      <c r="R176" s="22"/>
      <c r="S176" s="22"/>
      <c r="T176" s="22"/>
      <c r="U176" s="22"/>
      <c r="V176" s="22"/>
      <c r="W176" s="22" t="str">
        <f t="shared" si="161"/>
        <v>B</v>
      </c>
      <c r="X176" s="22" t="str">
        <f t="shared" si="162"/>
        <v>Y</v>
      </c>
      <c r="Y176" s="23">
        <f t="shared" si="163"/>
        <v>264</v>
      </c>
      <c r="Z176" s="22" t="s">
        <v>324</v>
      </c>
      <c r="AA176" s="22"/>
      <c r="AB176" s="22"/>
      <c r="AC176" s="22"/>
      <c r="AD176" s="22"/>
      <c r="AE176" s="22"/>
      <c r="AF176" s="22"/>
      <c r="AG176" s="22"/>
      <c r="AH176" s="22"/>
      <c r="AI176" s="22"/>
      <c r="AJ176" s="22"/>
      <c r="AK176" s="22"/>
      <c r="AL176" s="22"/>
      <c r="AM176" s="22" t="str">
        <f t="shared" ref="AM176" si="224">_xlfn.CONCAT(N176&amp;W176&amp;X176&amp;Y176&amp;Z176)</f>
        <v>Workbooks("HFU Forecast UTLA 1.0.xlsm").Worksheets("Combined data").Range("BY264")</v>
      </c>
      <c r="AO176" t="s">
        <v>881</v>
      </c>
    </row>
    <row r="177" spans="2:41" x14ac:dyDescent="0.25">
      <c r="B177" s="22" t="s">
        <v>339</v>
      </c>
      <c r="C177" s="22"/>
      <c r="D177" s="22"/>
      <c r="E177" s="22"/>
      <c r="F177" s="22"/>
      <c r="G177" s="22"/>
      <c r="H177" s="22"/>
      <c r="I177" s="22"/>
      <c r="J177" s="22"/>
      <c r="K177" s="22"/>
      <c r="L177" s="22"/>
      <c r="M177" s="22"/>
      <c r="N177" s="22"/>
      <c r="O177" s="22"/>
      <c r="P177" s="22"/>
      <c r="Q177" s="22"/>
      <c r="R177" s="22"/>
      <c r="S177" s="22"/>
      <c r="T177" s="22"/>
      <c r="U177" s="22"/>
      <c r="V177" s="22"/>
      <c r="W177" s="22"/>
      <c r="X177" s="22"/>
      <c r="Y177" s="23"/>
      <c r="Z177" s="22"/>
      <c r="AA177" s="22"/>
      <c r="AB177" s="22"/>
      <c r="AC177" s="22"/>
      <c r="AD177" s="22"/>
      <c r="AE177" s="22"/>
      <c r="AF177" s="22"/>
      <c r="AG177" s="22"/>
      <c r="AH177" s="22"/>
      <c r="AI177" s="22"/>
      <c r="AJ177" s="22"/>
      <c r="AK177" s="22"/>
      <c r="AL177" s="22"/>
      <c r="AM177" s="22" t="str">
        <f t="shared" ref="AM177" si="225">B177</f>
        <v>ActiveWorkbook.Close SaveChanges:=False</v>
      </c>
      <c r="AO177" t="s">
        <v>339</v>
      </c>
    </row>
  </sheetData>
  <mergeCells count="2">
    <mergeCell ref="B3:P3"/>
    <mergeCell ref="AE5:AI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Reporting</vt:lpstr>
      <vt:lpstr>DropDown Lists</vt:lpstr>
      <vt:lpstr>With Action</vt:lpstr>
      <vt:lpstr>No Action</vt:lpstr>
      <vt:lpstr>Rolling report</vt:lpstr>
      <vt:lpstr>Combined data</vt:lpstr>
      <vt:lpstr>EnglandVisa</vt:lpstr>
      <vt:lpstr>EnglandArrivals</vt:lpstr>
      <vt:lpstr>ScotlandVisa</vt:lpstr>
      <vt:lpstr>ScotlandArrivals</vt:lpstr>
      <vt:lpstr>WalesVisa</vt:lpstr>
      <vt:lpstr>WalesArrivals</vt:lpstr>
      <vt:lpstr>NorthernIrelandVisa</vt:lpstr>
      <vt:lpstr>NorthernIrelandArrivals</vt:lpstr>
      <vt:lpstr>All</vt:lpstr>
      <vt:lpstr>England</vt:lpstr>
      <vt:lpstr>NOGO</vt:lpstr>
      <vt:lpstr>Northern_Ireland</vt:lpstr>
      <vt:lpstr>Scotland</vt:lpstr>
      <vt:lpstr>Wales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root</dc:creator>
  <cp:lastModifiedBy>stanley root</cp:lastModifiedBy>
  <dcterms:created xsi:type="dcterms:W3CDTF">2022-10-08T05:23:09Z</dcterms:created>
  <dcterms:modified xsi:type="dcterms:W3CDTF">2022-10-14T16:51:29Z</dcterms:modified>
</cp:coreProperties>
</file>